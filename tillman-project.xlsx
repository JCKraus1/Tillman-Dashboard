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9" documentId="8_{E14B221E-02E2-46A3-8CEC-C736815F2DD5}" xr6:coauthVersionLast="47" xr6:coauthVersionMax="47" xr10:uidLastSave="{3C5150CE-C62C-4AC4-96F3-097735B9DAC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4714" r:id="rId12"/>
    <pivotCache cacheId="4715" r:id="rId13"/>
    <pivotCache cacheId="4716" r:id="rId14"/>
    <pivotCache cacheId="4717" r:id="rId15"/>
    <pivotCache cacheId="47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<sst xmlns="http://schemas.openxmlformats.org/spreadsheetml/2006/main" count="16276" uniqueCount="2105">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</sst>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AC33" activePane="topRight" state="frozen"/>
      <selection pane="topRight" activeCell="AD52" sqref="AD5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4">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1365">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5">
        <v>1035</v>
      </c>
      <c r="O63" s="1228" t="s">
        <v>57</v>
      </c>
      <c r="P63" s="1241" t="s">
        <v>58</v>
      </c>
      <c r="Q63" s="1376"/>
      <c r="R63" s="1376"/>
      <c r="S63" s="1376"/>
      <c r="T63" s="1376"/>
      <c r="U63" s="1376"/>
      <c r="V63" s="1377">
        <v>0</v>
      </c>
      <c r="W63" s="1378"/>
      <c r="X63" s="1378">
        <f>SUM(V63-W63)</f>
        <v>0</v>
      </c>
      <c r="Y63" s="662">
        <f>IFERROR($W63/$V63, 0)</f>
        <v>0</v>
      </c>
      <c r="Z63" s="1379"/>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0"/>
      <c r="I77" s="829" t="s">
        <v>55</v>
      </c>
      <c r="J77" s="832" t="s">
        <v>63</v>
      </c>
      <c r="K77" s="1374"/>
      <c r="L77" s="1356"/>
      <c r="M77" s="829" t="s">
        <v>57</v>
      </c>
      <c r="N77" s="1375">
        <v>36998.550000000003</v>
      </c>
      <c r="O77" s="829" t="s">
        <v>57</v>
      </c>
      <c r="P77" s="1241" t="s">
        <v>58</v>
      </c>
      <c r="Q77" s="1376"/>
      <c r="R77" s="1376"/>
      <c r="S77" s="1376"/>
      <c r="T77" s="1376"/>
      <c r="U77" s="1376"/>
      <c r="V77" s="1377">
        <v>2944</v>
      </c>
      <c r="W77" s="1378"/>
      <c r="X77" s="1378">
        <f>SUM(V77-W77)</f>
        <v>2944</v>
      </c>
      <c r="Y77" s="662">
        <f>IFERROR($W77/$V77, 0)</f>
        <v>0</v>
      </c>
      <c r="Z77" s="1379"/>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5">
        <v>118710.8</v>
      </c>
      <c r="O86" s="1228" t="s">
        <v>57</v>
      </c>
      <c r="P86" s="1210" t="s">
        <v>58</v>
      </c>
      <c r="Q86" s="1376"/>
      <c r="R86" s="1376"/>
      <c r="S86" s="1376"/>
      <c r="T86" s="1376"/>
      <c r="U86" s="1376"/>
      <c r="V86" s="1377">
        <v>9628</v>
      </c>
      <c r="W86" s="1378"/>
      <c r="X86" s="1378">
        <f>SUM(V86-W86)</f>
        <v>9628</v>
      </c>
      <c r="Y86" s="662">
        <f>IFERROR($W86/$V86, 0)</f>
        <v>0</v>
      </c>
      <c r="Z86" s="1376"/>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67">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66">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66">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199</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199</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199</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170</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170</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170</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170</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170</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170</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170</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170</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170</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170</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170</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170</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170</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170</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170</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170</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167</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170</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170</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170</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170</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170</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170</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170</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170</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170</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170</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170</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170</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170</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170</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170</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170</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170</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170</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170</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199</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199</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199</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199</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199</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199</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199</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199</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199</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170</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170</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170</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170</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934</v>
      </c>
      <c r="B122" s="374" t="s">
        <v>111</v>
      </c>
      <c r="C122" s="51">
        <v>45930</v>
      </c>
      <c r="D122" s="375" t="s">
        <v>131</v>
      </c>
      <c r="E122" s="649">
        <v>45910</v>
      </c>
      <c r="F122" s="649" t="s">
        <v>170</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170</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199</v>
      </c>
      <c r="E125" s="51">
        <v>45887</v>
      </c>
      <c r="F125" s="381" t="s">
        <v>170</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170</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199</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199</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199</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199</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199</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370</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370</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422</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422</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422</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422</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422</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284</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284</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284</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370</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350</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373</v>
      </c>
      <c r="C753">
        <v>251</v>
      </c>
      <c r="D753">
        <v>253</v>
      </c>
      <c r="E753">
        <v>1076</v>
      </c>
      <c r="G753">
        <v>1580</v>
      </c>
    </row>
    <row r="754" spans="1:7">
      <c r="A754" t="s">
        <v>350</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284</v>
      </c>
      <c r="D767">
        <v>362</v>
      </c>
      <c r="E767">
        <v>399</v>
      </c>
      <c r="G767">
        <v>761</v>
      </c>
    </row>
    <row r="768" spans="1:7">
      <c r="A768" t="s">
        <v>948</v>
      </c>
    </row>
    <row r="769" spans="1:7">
      <c r="A769" t="s">
        <v>930</v>
      </c>
    </row>
    <row r="770" spans="1:7">
      <c r="A770" t="s">
        <v>373</v>
      </c>
      <c r="C770">
        <v>120</v>
      </c>
      <c r="D770">
        <v>190</v>
      </c>
      <c r="G770">
        <v>310</v>
      </c>
    </row>
    <row r="771" spans="1:7">
      <c r="A771" t="s">
        <v>350</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376</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373</v>
      </c>
      <c r="B794">
        <v>479</v>
      </c>
      <c r="E794">
        <v>170</v>
      </c>
      <c r="G794">
        <v>649</v>
      </c>
    </row>
    <row r="795" spans="1:7">
      <c r="A795" t="s">
        <v>350</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376</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373</v>
      </c>
      <c r="E818">
        <v>725</v>
      </c>
      <c r="G818">
        <v>725</v>
      </c>
    </row>
    <row r="819" spans="1:7">
      <c r="A819" t="s">
        <v>350</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376</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165</v>
      </c>
      <c r="D829">
        <v>1282</v>
      </c>
      <c r="E829">
        <v>980</v>
      </c>
      <c r="G829">
        <v>2262</v>
      </c>
    </row>
    <row r="830" spans="1:7">
      <c r="A830" t="s">
        <v>353</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284</v>
      </c>
      <c r="E838">
        <v>170</v>
      </c>
      <c r="G838">
        <v>170</v>
      </c>
    </row>
    <row r="839" spans="1:7">
      <c r="A839" t="s">
        <v>350</v>
      </c>
      <c r="D839">
        <v>986</v>
      </c>
      <c r="G839">
        <v>986</v>
      </c>
    </row>
    <row r="840" spans="1:7">
      <c r="A840" t="s">
        <v>1084</v>
      </c>
      <c r="B840">
        <v>916</v>
      </c>
      <c r="C840">
        <v>144</v>
      </c>
      <c r="G840">
        <v>1060</v>
      </c>
    </row>
    <row r="841" spans="1:7">
      <c r="A841" t="s">
        <v>566</v>
      </c>
    </row>
    <row r="842" spans="1:7">
      <c r="A842" t="s">
        <v>950</v>
      </c>
    </row>
    <row r="843" spans="1:7">
      <c r="A843" t="s">
        <v>165</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356</v>
      </c>
      <c r="B847">
        <v>60</v>
      </c>
      <c r="C847">
        <v>219</v>
      </c>
      <c r="G847">
        <v>279</v>
      </c>
    </row>
    <row r="848" spans="1:7">
      <c r="A848" t="s">
        <v>972</v>
      </c>
      <c r="D848">
        <v>240</v>
      </c>
      <c r="G848">
        <v>240</v>
      </c>
    </row>
    <row r="849" spans="1:7">
      <c r="A849" t="s">
        <v>1089</v>
      </c>
      <c r="C849">
        <v>1603</v>
      </c>
      <c r="D849">
        <v>791</v>
      </c>
      <c r="E849">
        <v>2803</v>
      </c>
      <c r="G849">
        <v>5197</v>
      </c>
    </row>
    <row r="850" spans="1:7">
      <c r="A850" t="s">
        <v>366</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369</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366</v>
      </c>
      <c r="B867">
        <v>1100</v>
      </c>
      <c r="C867">
        <v>527</v>
      </c>
      <c r="D867">
        <v>553</v>
      </c>
      <c r="G867">
        <v>2180</v>
      </c>
    </row>
    <row r="868" spans="1:7">
      <c r="A868" t="s">
        <v>572</v>
      </c>
      <c r="C868">
        <v>230</v>
      </c>
      <c r="G868">
        <v>230</v>
      </c>
    </row>
    <row r="869" spans="1:7">
      <c r="A869" t="s">
        <v>952</v>
      </c>
      <c r="B869">
        <v>853</v>
      </c>
      <c r="G869">
        <v>853</v>
      </c>
    </row>
    <row r="870" spans="1:7">
      <c r="A870" t="s">
        <v>369</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379</v>
      </c>
      <c r="D873">
        <v>1624</v>
      </c>
      <c r="E873">
        <v>551</v>
      </c>
      <c r="G873">
        <v>2175</v>
      </c>
    </row>
    <row r="874" spans="1:7">
      <c r="A874" t="s">
        <v>367</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284</v>
      </c>
    </row>
    <row r="885" spans="1:7">
      <c r="A885" t="s">
        <v>350</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366</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379</v>
      </c>
      <c r="F895">
        <v>168</v>
      </c>
      <c r="G895">
        <v>168</v>
      </c>
    </row>
    <row r="896" spans="1:7">
      <c r="A896" t="s">
        <v>367</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362</v>
      </c>
      <c r="D899">
        <v>3179</v>
      </c>
      <c r="G899">
        <v>3179</v>
      </c>
    </row>
    <row r="900" spans="1:7">
      <c r="A900" t="s">
        <v>591</v>
      </c>
      <c r="E900">
        <v>978</v>
      </c>
      <c r="G900">
        <v>978</v>
      </c>
    </row>
    <row r="901" spans="1:7">
      <c r="A901" t="s">
        <v>428</v>
      </c>
      <c r="E901">
        <v>502</v>
      </c>
      <c r="G901">
        <v>502</v>
      </c>
    </row>
    <row r="902" spans="1:7">
      <c r="A902" t="s">
        <v>239</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350</v>
      </c>
    </row>
    <row r="911" spans="1:7">
      <c r="A911" t="s">
        <v>376</v>
      </c>
      <c r="F911">
        <v>569</v>
      </c>
      <c r="G911">
        <v>569</v>
      </c>
    </row>
    <row r="912" spans="1:7">
      <c r="A912" t="s">
        <v>520</v>
      </c>
    </row>
    <row r="913" spans="1:7">
      <c r="A913" t="s">
        <v>356</v>
      </c>
      <c r="D913">
        <v>150</v>
      </c>
      <c r="G913">
        <v>150</v>
      </c>
    </row>
    <row r="914" spans="1:7">
      <c r="A914" t="s">
        <v>369</v>
      </c>
    </row>
    <row r="915" spans="1:7">
      <c r="A915" t="s">
        <v>578</v>
      </c>
      <c r="B915">
        <v>701</v>
      </c>
      <c r="G915">
        <v>701</v>
      </c>
    </row>
    <row r="916" spans="1:7">
      <c r="A916" t="s">
        <v>379</v>
      </c>
      <c r="B916">
        <v>463</v>
      </c>
      <c r="C916">
        <v>633</v>
      </c>
      <c r="D916">
        <v>625</v>
      </c>
      <c r="G916">
        <v>1721</v>
      </c>
    </row>
    <row r="917" spans="1:7">
      <c r="A917" t="s">
        <v>367</v>
      </c>
    </row>
    <row r="918" spans="1:7">
      <c r="A918" t="s">
        <v>362</v>
      </c>
      <c r="B918">
        <v>882</v>
      </c>
      <c r="C918">
        <v>1072</v>
      </c>
      <c r="D918">
        <v>1034</v>
      </c>
      <c r="E918">
        <v>209</v>
      </c>
      <c r="G918">
        <v>3197</v>
      </c>
    </row>
    <row r="919" spans="1:7">
      <c r="A919" t="s">
        <v>591</v>
      </c>
      <c r="B919">
        <v>1420</v>
      </c>
      <c r="C919">
        <v>990</v>
      </c>
      <c r="D919">
        <v>549</v>
      </c>
      <c r="G919">
        <v>2959</v>
      </c>
    </row>
    <row r="920" spans="1:7">
      <c r="A920" t="s">
        <v>428</v>
      </c>
      <c r="B920">
        <v>259</v>
      </c>
      <c r="C920">
        <v>1087</v>
      </c>
      <c r="D920">
        <v>2206</v>
      </c>
      <c r="E920">
        <v>453</v>
      </c>
      <c r="G920">
        <v>4005</v>
      </c>
    </row>
    <row r="921" spans="1:7">
      <c r="A921" t="s">
        <v>239</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381</v>
      </c>
      <c r="B924">
        <v>207</v>
      </c>
      <c r="G924">
        <v>207</v>
      </c>
    </row>
    <row r="925" spans="1:7">
      <c r="A925" t="s">
        <v>522</v>
      </c>
      <c r="C925">
        <v>1691</v>
      </c>
      <c r="D925">
        <v>1998</v>
      </c>
      <c r="E925">
        <v>760</v>
      </c>
      <c r="F925">
        <v>3975</v>
      </c>
      <c r="G925">
        <v>8424</v>
      </c>
    </row>
    <row r="926" spans="1:7">
      <c r="A926" t="s">
        <v>594</v>
      </c>
      <c r="D926">
        <v>1031</v>
      </c>
      <c r="G926">
        <v>1031</v>
      </c>
    </row>
    <row r="927" spans="1:7">
      <c r="A927" t="s">
        <v>378</v>
      </c>
      <c r="E927">
        <v>1063</v>
      </c>
      <c r="F927">
        <v>1263</v>
      </c>
      <c r="G927">
        <v>2326</v>
      </c>
    </row>
    <row r="928" spans="1:7">
      <c r="A928" t="s">
        <v>517</v>
      </c>
      <c r="F928">
        <v>451</v>
      </c>
      <c r="G928">
        <v>451</v>
      </c>
    </row>
    <row r="929" spans="1:7">
      <c r="A929" t="s">
        <v>452</v>
      </c>
      <c r="B929">
        <v>3266</v>
      </c>
      <c r="C929">
        <v>3910</v>
      </c>
      <c r="D929">
        <v>346</v>
      </c>
      <c r="G929">
        <v>7522</v>
      </c>
    </row>
    <row r="930" spans="1:7">
      <c r="A930" t="s">
        <v>322</v>
      </c>
      <c r="C930">
        <v>372</v>
      </c>
      <c r="D930">
        <v>656</v>
      </c>
      <c r="G930">
        <v>1028</v>
      </c>
    </row>
    <row r="931" spans="1:7">
      <c r="A931" t="s">
        <v>443</v>
      </c>
      <c r="D931">
        <v>2985</v>
      </c>
      <c r="E931">
        <v>2373</v>
      </c>
      <c r="G931">
        <v>5358</v>
      </c>
    </row>
    <row r="932" spans="1:7">
      <c r="A932" t="s">
        <v>470</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353</v>
      </c>
    </row>
    <row r="940" spans="1:7">
      <c r="A940" t="s">
        <v>520</v>
      </c>
      <c r="B940">
        <v>560</v>
      </c>
      <c r="G940">
        <v>560</v>
      </c>
    </row>
    <row r="941" spans="1:7">
      <c r="A941" t="s">
        <v>369</v>
      </c>
    </row>
    <row r="942" spans="1:7">
      <c r="A942" t="s">
        <v>578</v>
      </c>
      <c r="B942">
        <v>138</v>
      </c>
      <c r="G942">
        <v>138</v>
      </c>
    </row>
    <row r="943" spans="1:7">
      <c r="A943" t="s">
        <v>367</v>
      </c>
    </row>
    <row r="944" spans="1:7">
      <c r="A944" t="s">
        <v>362</v>
      </c>
      <c r="B944">
        <v>96</v>
      </c>
      <c r="G944">
        <v>96</v>
      </c>
    </row>
    <row r="945" spans="1:7">
      <c r="A945" t="s">
        <v>591</v>
      </c>
      <c r="B945">
        <v>632</v>
      </c>
      <c r="G945">
        <v>632</v>
      </c>
    </row>
    <row r="946" spans="1:7">
      <c r="A946" t="s">
        <v>428</v>
      </c>
      <c r="B946">
        <v>558</v>
      </c>
      <c r="G946">
        <v>558</v>
      </c>
    </row>
    <row r="947" spans="1:7">
      <c r="A947" t="s">
        <v>239</v>
      </c>
      <c r="B947">
        <v>562</v>
      </c>
      <c r="D947">
        <v>474</v>
      </c>
      <c r="E947">
        <v>606</v>
      </c>
      <c r="F947">
        <v>322</v>
      </c>
      <c r="G947">
        <v>1964</v>
      </c>
    </row>
    <row r="948" spans="1:7">
      <c r="A948" t="s">
        <v>594</v>
      </c>
      <c r="B948">
        <v>1351</v>
      </c>
      <c r="D948">
        <v>890</v>
      </c>
      <c r="G948">
        <v>2241</v>
      </c>
    </row>
    <row r="949" spans="1:7">
      <c r="A949" t="s">
        <v>470</v>
      </c>
      <c r="B949">
        <v>4084</v>
      </c>
      <c r="D949">
        <v>242</v>
      </c>
      <c r="G949">
        <v>4326</v>
      </c>
    </row>
    <row r="950" spans="1:7">
      <c r="A950" t="s">
        <v>1092</v>
      </c>
      <c r="B950">
        <v>748</v>
      </c>
      <c r="C950">
        <v>1062</v>
      </c>
      <c r="G950">
        <v>1810</v>
      </c>
    </row>
    <row r="951" spans="1:7">
      <c r="A951" t="s">
        <v>364</v>
      </c>
      <c r="B951">
        <v>435</v>
      </c>
      <c r="E951">
        <v>1123</v>
      </c>
      <c r="G951">
        <v>1558</v>
      </c>
    </row>
    <row r="952" spans="1:7">
      <c r="A952" t="s">
        <v>409</v>
      </c>
      <c r="D952">
        <v>1580</v>
      </c>
      <c r="E952">
        <v>1258</v>
      </c>
      <c r="G952">
        <v>2838</v>
      </c>
    </row>
    <row r="953" spans="1:7">
      <c r="A953" t="s">
        <v>574</v>
      </c>
      <c r="D953">
        <v>877</v>
      </c>
      <c r="E953">
        <v>814</v>
      </c>
      <c r="G953">
        <v>1691</v>
      </c>
    </row>
    <row r="954" spans="1:7">
      <c r="A954" t="s">
        <v>222</v>
      </c>
      <c r="D954">
        <v>711</v>
      </c>
      <c r="E954">
        <v>325</v>
      </c>
      <c r="F954">
        <v>430</v>
      </c>
      <c r="G954">
        <v>1466</v>
      </c>
    </row>
    <row r="955" spans="1:7">
      <c r="A955" t="s">
        <v>393</v>
      </c>
      <c r="D955">
        <v>1486</v>
      </c>
      <c r="E955">
        <v>2912</v>
      </c>
      <c r="F955">
        <v>2125</v>
      </c>
      <c r="G955">
        <v>6523</v>
      </c>
    </row>
    <row r="956" spans="1:7">
      <c r="A956" t="s">
        <v>462</v>
      </c>
      <c r="D956">
        <v>1264</v>
      </c>
      <c r="E956">
        <v>1281</v>
      </c>
      <c r="G956">
        <v>2545</v>
      </c>
    </row>
    <row r="957" spans="1:7">
      <c r="A957" t="s">
        <v>1093</v>
      </c>
    </row>
    <row r="958" spans="1:7">
      <c r="A958" t="s">
        <v>475</v>
      </c>
      <c r="D958">
        <v>3678</v>
      </c>
      <c r="E958">
        <v>3382</v>
      </c>
      <c r="G958">
        <v>7060</v>
      </c>
    </row>
    <row r="959" spans="1:7">
      <c r="A959" t="s">
        <v>1094</v>
      </c>
      <c r="F959">
        <v>1505</v>
      </c>
      <c r="G959">
        <v>1505</v>
      </c>
    </row>
    <row r="960" spans="1:7">
      <c r="A960" t="s">
        <v>501</v>
      </c>
      <c r="E960">
        <v>424</v>
      </c>
      <c r="G960">
        <v>424</v>
      </c>
    </row>
    <row r="961" spans="1:7">
      <c r="A961" t="s">
        <v>477</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284</v>
      </c>
      <c r="B969">
        <v>446</v>
      </c>
      <c r="C969">
        <v>120</v>
      </c>
      <c r="D969">
        <v>550</v>
      </c>
      <c r="G969">
        <v>1116</v>
      </c>
    </row>
    <row r="970" spans="1:7">
      <c r="A970" t="s">
        <v>520</v>
      </c>
      <c r="C970">
        <v>17</v>
      </c>
      <c r="G970">
        <v>17</v>
      </c>
    </row>
    <row r="971" spans="1:7">
      <c r="A971" t="s">
        <v>578</v>
      </c>
    </row>
    <row r="972" spans="1:7">
      <c r="A972" t="s">
        <v>428</v>
      </c>
      <c r="B972">
        <v>127</v>
      </c>
      <c r="G972">
        <v>127</v>
      </c>
    </row>
    <row r="973" spans="1:7">
      <c r="A973" t="s">
        <v>239</v>
      </c>
      <c r="B973">
        <v>420</v>
      </c>
      <c r="G973">
        <v>420</v>
      </c>
    </row>
    <row r="974" spans="1:7">
      <c r="A974" t="s">
        <v>594</v>
      </c>
    </row>
    <row r="975" spans="1:7">
      <c r="A975" t="s">
        <v>364</v>
      </c>
      <c r="C975">
        <v>1917</v>
      </c>
      <c r="E975">
        <v>272</v>
      </c>
      <c r="G975">
        <v>2189</v>
      </c>
    </row>
    <row r="976" spans="1:7">
      <c r="A976" t="s">
        <v>574</v>
      </c>
      <c r="B976">
        <v>956</v>
      </c>
      <c r="G976">
        <v>956</v>
      </c>
    </row>
    <row r="977" spans="1:7">
      <c r="A977" t="s">
        <v>222</v>
      </c>
      <c r="E977">
        <v>195</v>
      </c>
      <c r="G977">
        <v>195</v>
      </c>
    </row>
    <row r="978" spans="1:7">
      <c r="A978" t="s">
        <v>393</v>
      </c>
      <c r="B978">
        <v>1449</v>
      </c>
      <c r="G978">
        <v>1449</v>
      </c>
    </row>
    <row r="979" spans="1:7">
      <c r="A979" t="s">
        <v>462</v>
      </c>
      <c r="B979">
        <v>1662</v>
      </c>
      <c r="C979">
        <v>2684</v>
      </c>
      <c r="F979">
        <v>51</v>
      </c>
      <c r="G979">
        <v>4397</v>
      </c>
    </row>
    <row r="980" spans="1:7">
      <c r="A980" t="s">
        <v>472</v>
      </c>
      <c r="B980">
        <v>5466</v>
      </c>
      <c r="E980">
        <v>2252</v>
      </c>
      <c r="G980">
        <v>7718</v>
      </c>
    </row>
    <row r="981" spans="1:7">
      <c r="A981" t="s">
        <v>1094</v>
      </c>
      <c r="B981">
        <v>907</v>
      </c>
      <c r="G981">
        <v>907</v>
      </c>
    </row>
    <row r="982" spans="1:7">
      <c r="A982" t="s">
        <v>501</v>
      </c>
      <c r="E982">
        <v>313</v>
      </c>
      <c r="F982">
        <v>3007</v>
      </c>
      <c r="G982">
        <v>3320</v>
      </c>
    </row>
    <row r="983" spans="1:7">
      <c r="A983" t="s">
        <v>477</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412</v>
      </c>
      <c r="C987">
        <v>1679</v>
      </c>
      <c r="D987">
        <v>1429</v>
      </c>
      <c r="E987">
        <v>1624</v>
      </c>
      <c r="G987">
        <v>4732</v>
      </c>
    </row>
    <row r="988" spans="1:7">
      <c r="A988" t="s">
        <v>394</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359</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396</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353</v>
      </c>
    </row>
    <row r="1008" spans="1:7">
      <c r="A1008" t="s">
        <v>379</v>
      </c>
    </row>
    <row r="1009" spans="1:7">
      <c r="A1009" t="s">
        <v>367</v>
      </c>
    </row>
    <row r="1010" spans="1:7">
      <c r="A1010" t="s">
        <v>362</v>
      </c>
    </row>
    <row r="1011" spans="1:7">
      <c r="A1011" t="s">
        <v>239</v>
      </c>
      <c r="D1011">
        <v>426</v>
      </c>
      <c r="G1011">
        <v>426</v>
      </c>
    </row>
    <row r="1012" spans="1:7">
      <c r="A1012" t="s">
        <v>378</v>
      </c>
    </row>
    <row r="1013" spans="1:7">
      <c r="A1013" t="s">
        <v>452</v>
      </c>
    </row>
    <row r="1014" spans="1:7">
      <c r="A1014" t="s">
        <v>322</v>
      </c>
      <c r="C1014">
        <v>1175</v>
      </c>
      <c r="G1014">
        <v>1175</v>
      </c>
    </row>
    <row r="1015" spans="1:7">
      <c r="A1015" t="s">
        <v>443</v>
      </c>
      <c r="C1015">
        <v>996</v>
      </c>
      <c r="G1015">
        <v>996</v>
      </c>
    </row>
    <row r="1016" spans="1:7">
      <c r="A1016" t="s">
        <v>364</v>
      </c>
      <c r="B1016">
        <v>900</v>
      </c>
      <c r="G1016">
        <v>900</v>
      </c>
    </row>
    <row r="1017" spans="1:7">
      <c r="A1017" t="s">
        <v>409</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412</v>
      </c>
      <c r="B1022">
        <v>572</v>
      </c>
      <c r="G1022">
        <v>572</v>
      </c>
    </row>
    <row r="1023" spans="1:7">
      <c r="A1023" t="s">
        <v>1097</v>
      </c>
      <c r="B1023">
        <v>1718</v>
      </c>
      <c r="C1023">
        <v>2478</v>
      </c>
      <c r="D1023">
        <v>1567</v>
      </c>
      <c r="G1023">
        <v>5763</v>
      </c>
    </row>
    <row r="1024" spans="1:7">
      <c r="A1024" t="s">
        <v>480</v>
      </c>
      <c r="C1024">
        <v>3411</v>
      </c>
      <c r="G1024">
        <v>3411</v>
      </c>
    </row>
    <row r="1025" spans="1:7">
      <c r="A1025" t="s">
        <v>212</v>
      </c>
      <c r="B1025">
        <v>82</v>
      </c>
      <c r="G1025">
        <v>82</v>
      </c>
    </row>
    <row r="1026" spans="1:7">
      <c r="A1026" t="s">
        <v>483</v>
      </c>
      <c r="C1026">
        <v>3311</v>
      </c>
      <c r="G1026">
        <v>3311</v>
      </c>
    </row>
    <row r="1027" spans="1:7">
      <c r="A1027" t="s">
        <v>446</v>
      </c>
    </row>
    <row r="1028" spans="1:7">
      <c r="A1028" t="s">
        <v>396</v>
      </c>
      <c r="C1028">
        <v>2568</v>
      </c>
      <c r="G1028">
        <v>2568</v>
      </c>
    </row>
    <row r="1029" spans="1:7">
      <c r="A1029" t="s">
        <v>418</v>
      </c>
      <c r="B1029">
        <v>286</v>
      </c>
      <c r="C1029">
        <v>357</v>
      </c>
      <c r="D1029">
        <v>331</v>
      </c>
      <c r="G1029">
        <v>974</v>
      </c>
    </row>
    <row r="1030" spans="1:7">
      <c r="A1030" t="s">
        <v>390</v>
      </c>
      <c r="B1030">
        <v>1655</v>
      </c>
      <c r="C1030">
        <v>2537</v>
      </c>
      <c r="G1030">
        <v>4192</v>
      </c>
    </row>
    <row r="1031" spans="1:7">
      <c r="A1031" t="s">
        <v>464</v>
      </c>
      <c r="C1031">
        <v>2382</v>
      </c>
      <c r="G1031">
        <v>2382</v>
      </c>
    </row>
    <row r="1032" spans="1:7">
      <c r="A1032" t="s">
        <v>586</v>
      </c>
      <c r="C1032">
        <v>1100</v>
      </c>
      <c r="D1032">
        <v>855</v>
      </c>
      <c r="G1032">
        <v>1955</v>
      </c>
    </row>
    <row r="1033" spans="1:7">
      <c r="A1033" t="s">
        <v>1098</v>
      </c>
      <c r="C1033">
        <v>486</v>
      </c>
      <c r="G1033">
        <v>486</v>
      </c>
    </row>
    <row r="1034" spans="1:7">
      <c r="A1034" t="s">
        <v>486</v>
      </c>
      <c r="C1034">
        <v>3634</v>
      </c>
      <c r="G1034">
        <v>3634</v>
      </c>
    </row>
    <row r="1035" spans="1:7">
      <c r="A1035" t="s">
        <v>1099</v>
      </c>
      <c r="D1035">
        <v>955</v>
      </c>
      <c r="G1035">
        <v>955</v>
      </c>
    </row>
    <row r="1036" spans="1:7">
      <c r="A1036" t="s">
        <v>1100</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322</v>
      </c>
      <c r="B1053">
        <v>1515</v>
      </c>
      <c r="G1053">
        <v>1515</v>
      </c>
    </row>
    <row r="1054" spans="1:7">
      <c r="A1054" t="s">
        <v>472</v>
      </c>
      <c r="E1054">
        <v>64</v>
      </c>
      <c r="G1054">
        <v>64</v>
      </c>
    </row>
    <row r="1055" spans="1:7">
      <c r="A1055" t="s">
        <v>475</v>
      </c>
    </row>
    <row r="1056" spans="1:7">
      <c r="A1056" t="s">
        <v>583</v>
      </c>
      <c r="B1056">
        <v>1610</v>
      </c>
      <c r="G1056">
        <v>1610</v>
      </c>
    </row>
    <row r="1057" spans="1:7">
      <c r="A1057" t="s">
        <v>580</v>
      </c>
    </row>
    <row r="1058" spans="1:7">
      <c r="A1058" t="s">
        <v>480</v>
      </c>
      <c r="E1058">
        <v>52</v>
      </c>
      <c r="G1058">
        <v>52</v>
      </c>
    </row>
    <row r="1059" spans="1:7">
      <c r="A1059" t="s">
        <v>396</v>
      </c>
      <c r="E1059">
        <v>489</v>
      </c>
      <c r="F1059">
        <v>2020</v>
      </c>
      <c r="G1059">
        <v>2509</v>
      </c>
    </row>
    <row r="1060" spans="1:7">
      <c r="A1060" t="s">
        <v>390</v>
      </c>
      <c r="B1060">
        <v>2113</v>
      </c>
      <c r="D1060">
        <v>1677</v>
      </c>
      <c r="E1060">
        <v>1316</v>
      </c>
      <c r="G1060">
        <v>5106</v>
      </c>
    </row>
    <row r="1061" spans="1:7">
      <c r="A1061" t="s">
        <v>464</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486</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346</v>
      </c>
      <c r="B1067">
        <v>1829</v>
      </c>
      <c r="C1067">
        <v>2302</v>
      </c>
      <c r="D1067">
        <v>694</v>
      </c>
      <c r="G1067">
        <v>4825</v>
      </c>
    </row>
    <row r="1068" spans="1:7">
      <c r="A1068" t="s">
        <v>467</v>
      </c>
      <c r="B1068">
        <v>1391</v>
      </c>
      <c r="C1068">
        <v>2916</v>
      </c>
      <c r="D1068">
        <v>2430</v>
      </c>
      <c r="G1068">
        <v>6737</v>
      </c>
    </row>
    <row r="1069" spans="1:7">
      <c r="A1069" t="s">
        <v>406</v>
      </c>
      <c r="D1069">
        <v>466</v>
      </c>
      <c r="E1069">
        <v>345</v>
      </c>
      <c r="G1069">
        <v>811</v>
      </c>
    </row>
    <row r="1070" spans="1:7">
      <c r="A1070" t="s">
        <v>415</v>
      </c>
      <c r="E1070">
        <v>1431</v>
      </c>
      <c r="G1070">
        <v>1431</v>
      </c>
    </row>
    <row r="1071" spans="1:7">
      <c r="A1071" t="s">
        <v>561</v>
      </c>
      <c r="D1071">
        <v>1379</v>
      </c>
      <c r="E1071">
        <v>1154</v>
      </c>
      <c r="G1071">
        <v>2533</v>
      </c>
    </row>
    <row r="1072" spans="1:7">
      <c r="A1072" t="s">
        <v>327</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443</v>
      </c>
      <c r="C1082">
        <v>2203</v>
      </c>
      <c r="G1082">
        <v>2203</v>
      </c>
    </row>
    <row r="1083" spans="1:7">
      <c r="A1083" t="s">
        <v>477</v>
      </c>
      <c r="E1083">
        <v>242</v>
      </c>
      <c r="G1083">
        <v>242</v>
      </c>
    </row>
    <row r="1084" spans="1:7">
      <c r="A1084" t="s">
        <v>583</v>
      </c>
    </row>
    <row r="1085" spans="1:7">
      <c r="A1085" t="s">
        <v>396</v>
      </c>
      <c r="B1085">
        <v>428</v>
      </c>
      <c r="G1085">
        <v>428</v>
      </c>
    </row>
    <row r="1086" spans="1:7">
      <c r="A1086" t="s">
        <v>1099</v>
      </c>
    </row>
    <row r="1087" spans="1:7">
      <c r="A1087" t="s">
        <v>1101</v>
      </c>
      <c r="C1087">
        <v>265</v>
      </c>
      <c r="D1087">
        <v>542</v>
      </c>
      <c r="E1087">
        <v>739</v>
      </c>
      <c r="G1087">
        <v>1546</v>
      </c>
    </row>
    <row r="1088" spans="1:7">
      <c r="A1088" t="s">
        <v>346</v>
      </c>
      <c r="D1088">
        <v>91</v>
      </c>
      <c r="G1088">
        <v>91</v>
      </c>
    </row>
    <row r="1089" spans="1:7">
      <c r="A1089" t="s">
        <v>406</v>
      </c>
      <c r="B1089">
        <v>1172</v>
      </c>
      <c r="G1089">
        <v>1172</v>
      </c>
    </row>
    <row r="1090" spans="1:7">
      <c r="A1090" t="s">
        <v>415</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384</v>
      </c>
      <c r="C1096">
        <v>1640</v>
      </c>
      <c r="D1096">
        <v>1177</v>
      </c>
      <c r="G1096">
        <v>2817</v>
      </c>
    </row>
    <row r="1097" spans="1:7">
      <c r="A1097" t="s">
        <v>489</v>
      </c>
      <c r="C1097">
        <v>1980</v>
      </c>
      <c r="D1097">
        <v>1251</v>
      </c>
      <c r="E1097">
        <v>3172</v>
      </c>
      <c r="G1097">
        <v>6403</v>
      </c>
    </row>
    <row r="1098" spans="1:7">
      <c r="A1098" t="s">
        <v>330</v>
      </c>
      <c r="C1098">
        <v>1111</v>
      </c>
      <c r="D1098">
        <v>1373</v>
      </c>
      <c r="E1098">
        <v>1090</v>
      </c>
      <c r="F1098">
        <v>1204</v>
      </c>
      <c r="G1098">
        <v>4778</v>
      </c>
    </row>
    <row r="1099" spans="1:7">
      <c r="A1099" t="s">
        <v>403</v>
      </c>
      <c r="C1099">
        <v>1500</v>
      </c>
      <c r="D1099">
        <v>1084</v>
      </c>
      <c r="G1099">
        <v>2584</v>
      </c>
    </row>
    <row r="1100" spans="1:7">
      <c r="A1100" t="s">
        <v>387</v>
      </c>
      <c r="D1100">
        <v>817</v>
      </c>
      <c r="E1100">
        <v>1820</v>
      </c>
      <c r="G1100">
        <v>2637</v>
      </c>
    </row>
    <row r="1101" spans="1:7">
      <c r="A1101" t="s">
        <v>400</v>
      </c>
      <c r="E1101">
        <v>1351</v>
      </c>
      <c r="G1101">
        <v>1351</v>
      </c>
    </row>
    <row r="1102" spans="1:7">
      <c r="A1102" t="s">
        <v>306</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F1108">
        <v>166</v>
      </c>
      <c r="G1108">
        <v>741</v>
      </c>
    </row>
    <row r="1109" spans="1:7">
      <c r="A1109" t="s">
        <v>522</v>
      </c>
      <c r="B1109">
        <v>735</v>
      </c>
      <c r="G1109">
        <v>735</v>
      </c>
    </row>
    <row r="1110" spans="1:7">
      <c r="A1110" t="s">
        <v>452</v>
      </c>
    </row>
    <row r="1111" spans="1:7">
      <c r="A1111" t="s">
        <v>475</v>
      </c>
    </row>
    <row r="1112" spans="1:7">
      <c r="A1112" t="s">
        <v>501</v>
      </c>
      <c r="E1112">
        <v>396</v>
      </c>
      <c r="G1112">
        <v>396</v>
      </c>
    </row>
    <row r="1113" spans="1:7">
      <c r="A1113" t="s">
        <v>477</v>
      </c>
    </row>
    <row r="1114" spans="1:7">
      <c r="A1114" t="s">
        <v>583</v>
      </c>
    </row>
    <row r="1115" spans="1:7">
      <c r="A1115" t="s">
        <v>483</v>
      </c>
      <c r="B1115">
        <v>87</v>
      </c>
      <c r="G1115">
        <v>87</v>
      </c>
    </row>
    <row r="1116" spans="1:7">
      <c r="A1116" t="s">
        <v>1101</v>
      </c>
      <c r="B1116">
        <v>671</v>
      </c>
      <c r="C1116">
        <v>1204</v>
      </c>
      <c r="D1116">
        <v>1210</v>
      </c>
      <c r="E1116">
        <v>292</v>
      </c>
      <c r="G1116">
        <v>3377</v>
      </c>
    </row>
    <row r="1117" spans="1:7">
      <c r="A1117" t="s">
        <v>346</v>
      </c>
      <c r="D1117">
        <v>320</v>
      </c>
      <c r="E1117">
        <v>652</v>
      </c>
      <c r="F1117">
        <v>780</v>
      </c>
      <c r="G1117">
        <v>1752</v>
      </c>
    </row>
    <row r="1118" spans="1:7">
      <c r="A1118" t="s">
        <v>406</v>
      </c>
      <c r="D1118">
        <v>163</v>
      </c>
      <c r="G1118">
        <v>163</v>
      </c>
    </row>
    <row r="1119" spans="1:7">
      <c r="A1119" t="s">
        <v>327</v>
      </c>
      <c r="D1119">
        <v>372</v>
      </c>
      <c r="F1119">
        <v>582</v>
      </c>
      <c r="G1119">
        <v>954</v>
      </c>
    </row>
    <row r="1120" spans="1:7">
      <c r="A1120" t="s">
        <v>1102</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330</v>
      </c>
    </row>
    <row r="1124" spans="1:7">
      <c r="A1124" t="s">
        <v>403</v>
      </c>
    </row>
    <row r="1125" spans="1:7">
      <c r="A1125" t="s">
        <v>400</v>
      </c>
      <c r="B1125">
        <v>689</v>
      </c>
      <c r="C1125">
        <v>586</v>
      </c>
      <c r="D1125">
        <v>199</v>
      </c>
      <c r="G1125">
        <v>1474</v>
      </c>
    </row>
    <row r="1126" spans="1:7">
      <c r="A1126" t="s">
        <v>306</v>
      </c>
      <c r="C1126">
        <v>1164</v>
      </c>
      <c r="D1126">
        <v>308</v>
      </c>
      <c r="E1126">
        <v>892</v>
      </c>
      <c r="F1126">
        <v>366</v>
      </c>
      <c r="G1126">
        <v>2730</v>
      </c>
    </row>
    <row r="1127" spans="1:7">
      <c r="A1127" t="s">
        <v>398</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492</v>
      </c>
      <c r="C1131">
        <v>1617</v>
      </c>
      <c r="D1131">
        <v>1083</v>
      </c>
      <c r="E1131">
        <v>1905</v>
      </c>
      <c r="F1131">
        <v>2064</v>
      </c>
      <c r="G1131">
        <v>6669</v>
      </c>
    </row>
    <row r="1132" spans="1:7">
      <c r="A1132" t="s">
        <v>339</v>
      </c>
      <c r="D1132">
        <v>95</v>
      </c>
      <c r="E1132">
        <v>881</v>
      </c>
      <c r="G1132">
        <v>976</v>
      </c>
    </row>
    <row r="1133" spans="1:7">
      <c r="A1133" t="s">
        <v>333</v>
      </c>
      <c r="E1133">
        <v>3028</v>
      </c>
      <c r="F1133">
        <v>1683</v>
      </c>
      <c r="G1133">
        <v>4711</v>
      </c>
    </row>
    <row r="1134" spans="1:7">
      <c r="A1134" t="s">
        <v>182</v>
      </c>
      <c r="E1134">
        <v>1568</v>
      </c>
      <c r="G1134">
        <v>1568</v>
      </c>
    </row>
    <row r="1135" spans="1:7">
      <c r="A1135" t="s">
        <v>1105</v>
      </c>
    </row>
    <row r="1136" spans="1:7">
      <c r="A1136" t="s">
        <v>1027</v>
      </c>
      <c r="B1136">
        <v>7278</v>
      </c>
      <c r="C1136">
        <v>12066</v>
      </c>
      <c r="D1136">
        <v>9926</v>
      </c>
      <c r="E1136">
        <v>14444</v>
      </c>
      <c r="F1136">
        <v>7098</v>
      </c>
      <c r="G1136">
        <v>50812</v>
      </c>
    </row>
    <row r="1138" spans="1:3">
      <c r="A1138" s="44" t="s">
        <v>1025</v>
      </c>
      <c r="B1138" s="44" t="s">
        <v>1023</v>
      </c>
    </row>
    <row r="1139" spans="1:3">
      <c r="A1139" s="44" t="s">
        <v>1026</v>
      </c>
      <c r="B1139" s="111">
        <v>46013</v>
      </c>
      <c r="C1139" t="s">
        <v>1027</v>
      </c>
    </row>
    <row r="1140" spans="1:3">
      <c r="A1140" t="s">
        <v>1101</v>
      </c>
    </row>
    <row r="1141" spans="1:3">
      <c r="A1141" t="s">
        <v>346</v>
      </c>
    </row>
    <row r="1142" spans="1:3">
      <c r="A1142" t="s">
        <v>327</v>
      </c>
    </row>
    <row r="1143" spans="1:3">
      <c r="A1143" t="s">
        <v>1102</v>
      </c>
    </row>
    <row r="1144" spans="1:3">
      <c r="A1144" t="s">
        <v>306</v>
      </c>
      <c r="B1144">
        <v>154</v>
      </c>
      <c r="C1144">
        <v>154</v>
      </c>
    </row>
    <row r="1145" spans="1:3">
      <c r="A1145" t="s">
        <v>130</v>
      </c>
      <c r="B1145">
        <v>342</v>
      </c>
      <c r="C1145">
        <v>342</v>
      </c>
    </row>
    <row r="1146" spans="1:3">
      <c r="A1146" t="s">
        <v>492</v>
      </c>
    </row>
    <row r="1147" spans="1:3">
      <c r="A1147" t="s">
        <v>339</v>
      </c>
    </row>
    <row r="1148" spans="1:3">
      <c r="A1148" t="s">
        <v>333</v>
      </c>
    </row>
    <row r="1149" spans="1:3">
      <c r="A1149" t="s">
        <v>182</v>
      </c>
      <c r="B1149">
        <v>380</v>
      </c>
      <c r="C1149">
        <v>380</v>
      </c>
    </row>
    <row r="1150" spans="1:3">
      <c r="A1150" t="s">
        <v>202</v>
      </c>
      <c r="B1150">
        <v>523</v>
      </c>
      <c r="C1150">
        <v>523</v>
      </c>
    </row>
    <row r="1151" spans="1:3">
      <c r="A1151" t="s">
        <v>1027</v>
      </c>
      <c r="B1151">
        <v>1399</v>
      </c>
      <c r="C1151">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199</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199</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199</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199</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199</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199</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199</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199</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199</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199</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199</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199</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199</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199</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199</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199</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199</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199</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199</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199</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199</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199</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199</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199</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199</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199</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199</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199</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199</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199</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199</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199</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199</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199</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199</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199</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199</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199</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199</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199</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199</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199</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199</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199</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199</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199</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199</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199</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199</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199</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199</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199</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199</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199</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199</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199</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199</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199</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199</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199</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199</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199</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199</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199</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199</v>
      </c>
      <c r="C1216" s="56">
        <v>45812</v>
      </c>
      <c r="D1216" s="43">
        <v>83</v>
      </c>
      <c r="G1216" t="s">
        <v>1484</v>
      </c>
    </row>
    <row r="1217" spans="1:7">
      <c r="A1217" s="304" t="s">
        <v>507</v>
      </c>
      <c r="B1217" s="304" t="s">
        <v>199</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199</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199</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199</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199</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199</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199</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199</v>
      </c>
      <c r="C1289" s="56">
        <v>45834</v>
      </c>
      <c r="F1289" s="316" t="s">
        <v>1510</v>
      </c>
      <c r="G1289" t="s">
        <v>1484</v>
      </c>
    </row>
    <row r="1290" spans="1:7">
      <c r="A1290" s="349" t="s">
        <v>760</v>
      </c>
      <c r="B1290" s="307" t="s">
        <v>199</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199</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199</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199</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199</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199</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199</v>
      </c>
      <c r="C1391" s="56">
        <v>45866</v>
      </c>
      <c r="D1391" s="155">
        <v>1181</v>
      </c>
      <c r="G1391" t="s">
        <v>1517</v>
      </c>
    </row>
    <row r="1392" spans="1:7">
      <c r="A1392" s="123" t="s">
        <v>533</v>
      </c>
      <c r="B1392" s="157" t="s">
        <v>371</v>
      </c>
      <c r="C1392" s="56">
        <v>45866</v>
      </c>
      <c r="D1392" s="43">
        <v>345</v>
      </c>
      <c r="G1392" t="s">
        <v>1517</v>
      </c>
    </row>
    <row r="1393" spans="1:7">
      <c r="A1393" s="618" t="s">
        <v>656</v>
      </c>
      <c r="B1393" s="69" t="s">
        <v>199</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199</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199</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199</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199</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199</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199</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199</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199</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199</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199</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199</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199</v>
      </c>
      <c r="C1566" s="56">
        <v>45911</v>
      </c>
      <c r="D1566" s="43">
        <v>279</v>
      </c>
      <c r="F1566" s="43" t="s">
        <v>1617</v>
      </c>
      <c r="G1566" t="s">
        <v>1594</v>
      </c>
    </row>
    <row r="1567" spans="1:7">
      <c r="A1567" s="88" t="s">
        <v>1079</v>
      </c>
      <c r="B1567" s="398" t="s">
        <v>199</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199</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165</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165</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165</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165</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165</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199</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199</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199</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199</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199</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199</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199</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199</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199</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199</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199</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199</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199</v>
      </c>
      <c r="C2355" s="56">
        <v>46009</v>
      </c>
      <c r="F2355" s="304" t="s">
        <v>1767</v>
      </c>
      <c r="G2355" t="s">
        <v>1855</v>
      </c>
    </row>
    <row r="2356" spans="1:7">
      <c r="A2356" s="349" t="s">
        <v>406</v>
      </c>
      <c r="B2356" s="307" t="s">
        <v>199</v>
      </c>
      <c r="C2356" s="56">
        <v>46009</v>
      </c>
      <c r="F2356" s="304" t="s">
        <v>1767</v>
      </c>
      <c r="G2356" t="s">
        <v>1855</v>
      </c>
    </row>
    <row r="2357" spans="1:7">
      <c r="A2357" s="348" t="s">
        <v>182</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199</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199</v>
      </c>
      <c r="C2376" s="310">
        <v>46010</v>
      </c>
      <c r="E2376" s="139">
        <v>765</v>
      </c>
      <c r="G2376" t="s">
        <v>1855</v>
      </c>
    </row>
    <row r="2377" spans="1:7">
      <c r="A2377" s="141" t="s">
        <v>406</v>
      </c>
      <c r="B2377" s="141" t="s">
        <v>199</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182</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8"/>
      <c r="B1" s="1368"/>
      <c r="C1" s="1368"/>
      <c r="D1" s="1368"/>
      <c r="E1" s="1368"/>
      <c r="F1" s="1368"/>
      <c r="G1" s="1368"/>
      <c r="H1" s="1368"/>
      <c r="I1" s="1368"/>
      <c r="J1" s="1"/>
      <c r="K1" s="1"/>
      <c r="L1" s="1"/>
      <c r="M1" s="1"/>
      <c r="N1" s="1"/>
      <c r="O1" s="1"/>
      <c r="P1" s="1369" t="s">
        <v>34</v>
      </c>
      <c r="Q1" s="1369"/>
      <c r="R1" s="1369"/>
      <c r="S1" s="1369"/>
      <c r="T1" s="1369"/>
      <c r="U1" s="1369"/>
      <c r="V1" s="1369"/>
      <c r="W1" s="1369"/>
      <c r="X1" s="1369"/>
      <c r="Y1" s="1369"/>
      <c r="Z1" s="1369"/>
      <c r="AA1" s="1369"/>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170</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0" t="s">
        <v>2047</v>
      </c>
      <c r="C1" s="1370"/>
      <c r="D1" s="558"/>
      <c r="E1" s="1370" t="s">
        <v>2048</v>
      </c>
      <c r="F1" s="1370"/>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v>81486</v>
      </c>
      <c r="E4" s="44" t="s">
        <v>2049</v>
      </c>
      <c r="F4" t="s">
        <v>1030</v>
      </c>
      <c r="W4" t="s">
        <v>2053</v>
      </c>
      <c r="X4">
        <v>22</v>
      </c>
    </row>
    <row r="5" spans="1:25">
      <c r="B5" t="s">
        <v>71</v>
      </c>
      <c r="C5">
        <v>25486</v>
      </c>
      <c r="E5" t="s">
        <v>1030</v>
      </c>
      <c r="F5">
        <v>112340</v>
      </c>
      <c r="K5" s="44" t="s">
        <v>2054</v>
      </c>
      <c r="P5" s="44" t="s">
        <v>2054</v>
      </c>
      <c r="W5" t="s">
        <v>2055</v>
      </c>
      <c r="X5">
        <v>13</v>
      </c>
    </row>
    <row r="6" spans="1:25">
      <c r="B6" t="s">
        <v>1057</v>
      </c>
      <c r="C6">
        <v>224648</v>
      </c>
      <c r="K6" s="44" t="s">
        <v>27</v>
      </c>
      <c r="L6" s="44" t="s">
        <v>2056</v>
      </c>
      <c r="M6" t="s">
        <v>1030</v>
      </c>
      <c r="P6" s="44" t="s">
        <v>2057</v>
      </c>
      <c r="Q6" s="44" t="s">
        <v>2056</v>
      </c>
      <c r="R6" t="s">
        <v>1030</v>
      </c>
    </row>
    <row r="7" spans="1:25">
      <c r="B7" t="s">
        <v>51</v>
      </c>
      <c r="C7">
        <v>446</v>
      </c>
      <c r="K7" t="s">
        <v>2050</v>
      </c>
      <c r="L7" t="s">
        <v>642</v>
      </c>
      <c r="M7">
        <v>1</v>
      </c>
      <c r="P7" t="s">
        <v>2058</v>
      </c>
      <c r="R7">
        <v>1</v>
      </c>
      <c r="X7" t="s">
        <v>2059</v>
      </c>
      <c r="Y7" t="s">
        <v>2060</v>
      </c>
    </row>
    <row r="8" spans="1:25">
      <c r="B8" t="s">
        <v>22</v>
      </c>
      <c r="C8">
        <v>0</v>
      </c>
      <c r="L8" t="s">
        <v>644</v>
      </c>
      <c r="M8">
        <v>1</v>
      </c>
      <c r="P8" t="s">
        <v>2061</v>
      </c>
      <c r="R8">
        <v>1</v>
      </c>
      <c r="V8" t="s">
        <v>2062</v>
      </c>
      <c r="W8" s="257">
        <v>203521</v>
      </c>
      <c r="X8" s="313">
        <f>X5/X4</f>
        <v>0.59090909090909094</v>
      </c>
      <c r="Y8" s="313">
        <f>W9/W8</f>
        <v>0.31446386367991508</v>
      </c>
    </row>
    <row r="9" spans="1:25">
      <c r="B9" t="s">
        <v>232</v>
      </c>
      <c r="C9">
        <v>7128</v>
      </c>
      <c r="L9" t="s">
        <v>2063</v>
      </c>
      <c r="M9">
        <v>1</v>
      </c>
      <c r="P9" t="s">
        <v>2064</v>
      </c>
      <c r="Q9" t="s">
        <v>2063</v>
      </c>
      <c r="R9">
        <v>1</v>
      </c>
      <c r="V9" t="s">
        <v>2065</v>
      </c>
      <c r="W9">
        <v>64000</v>
      </c>
    </row>
    <row r="10" spans="1:25">
      <c r="B10" t="s">
        <v>243</v>
      </c>
      <c r="C10">
        <v>23241</v>
      </c>
      <c r="L10" t="s">
        <v>800</v>
      </c>
      <c r="M10">
        <v>1</v>
      </c>
      <c r="Q10" t="s">
        <v>804</v>
      </c>
      <c r="R10">
        <v>1</v>
      </c>
    </row>
    <row r="11" spans="1:25">
      <c r="B11" t="s">
        <v>213</v>
      </c>
      <c r="C11">
        <v>103</v>
      </c>
      <c r="L11" t="s">
        <v>804</v>
      </c>
      <c r="M11">
        <v>1</v>
      </c>
      <c r="Q11" t="s">
        <v>807</v>
      </c>
      <c r="R11">
        <v>1</v>
      </c>
    </row>
    <row r="12" spans="1:25">
      <c r="B12" t="s">
        <v>199</v>
      </c>
      <c r="C12">
        <v>5368</v>
      </c>
      <c r="L12" t="s">
        <v>807</v>
      </c>
      <c r="M12">
        <v>1</v>
      </c>
      <c r="Q12" t="s">
        <v>2066</v>
      </c>
      <c r="R12">
        <v>1</v>
      </c>
    </row>
    <row r="13" spans="1:25">
      <c r="B13" t="s">
        <v>186</v>
      </c>
      <c r="C13">
        <v>3</v>
      </c>
      <c r="L13" t="s">
        <v>2067</v>
      </c>
      <c r="M13">
        <v>1</v>
      </c>
      <c r="Q13" t="s">
        <v>979</v>
      </c>
      <c r="R13">
        <v>1</v>
      </c>
    </row>
    <row r="14" spans="1:25">
      <c r="B14" t="s">
        <v>67</v>
      </c>
      <c r="C14">
        <v>3796</v>
      </c>
      <c r="L14" t="s">
        <v>821</v>
      </c>
      <c r="M14">
        <v>1</v>
      </c>
      <c r="P14" t="s">
        <v>2068</v>
      </c>
      <c r="R14">
        <v>5</v>
      </c>
    </row>
    <row r="15" spans="1:25">
      <c r="B15" t="s">
        <v>60</v>
      </c>
      <c r="C15">
        <v>6182</v>
      </c>
      <c r="L15" t="s">
        <v>2066</v>
      </c>
      <c r="M15">
        <v>1</v>
      </c>
      <c r="P15" t="s">
        <v>1057</v>
      </c>
      <c r="R15">
        <v>12</v>
      </c>
    </row>
    <row r="16" spans="1:25">
      <c r="B16" t="s">
        <v>78</v>
      </c>
      <c r="C16">
        <v>3834</v>
      </c>
      <c r="L16" t="s">
        <v>823</v>
      </c>
      <c r="M16">
        <v>1</v>
      </c>
      <c r="P16" t="s">
        <v>1027</v>
      </c>
      <c r="R16">
        <v>19</v>
      </c>
    </row>
    <row r="17" spans="2:13">
      <c r="B17" t="s">
        <v>82</v>
      </c>
      <c r="C17">
        <v>831</v>
      </c>
      <c r="L17" t="s">
        <v>827</v>
      </c>
      <c r="M17">
        <v>1</v>
      </c>
    </row>
    <row r="18" spans="2:13">
      <c r="B18" t="s">
        <v>104</v>
      </c>
      <c r="C18">
        <v>9181</v>
      </c>
      <c r="L18" t="s">
        <v>829</v>
      </c>
      <c r="M18">
        <v>1</v>
      </c>
    </row>
    <row r="19" spans="2:13">
      <c r="B19" t="s">
        <v>285</v>
      </c>
      <c r="C19">
        <v>8622</v>
      </c>
      <c r="L19" t="s">
        <v>833</v>
      </c>
      <c r="M19">
        <v>1</v>
      </c>
    </row>
    <row r="20" spans="2:13">
      <c r="B20" t="s">
        <v>229</v>
      </c>
      <c r="C20">
        <v>0</v>
      </c>
      <c r="L20" t="s">
        <v>837</v>
      </c>
      <c r="M20">
        <v>1</v>
      </c>
    </row>
    <row r="21" spans="2:13">
      <c r="B21" t="s">
        <v>1027</v>
      </c>
      <c r="C21">
        <v>400355</v>
      </c>
      <c r="L21" t="s">
        <v>2069</v>
      </c>
      <c r="M21">
        <v>1</v>
      </c>
    </row>
    <row r="22" spans="2:13">
      <c r="L22" t="s">
        <v>979</v>
      </c>
      <c r="M22">
        <v>1</v>
      </c>
    </row>
    <row r="23" spans="2:13">
      <c r="L23" t="s">
        <v>869</v>
      </c>
      <c r="M23">
        <v>1</v>
      </c>
    </row>
    <row r="24" spans="2:13">
      <c r="L24" t="s">
        <v>890</v>
      </c>
      <c r="M24">
        <v>1</v>
      </c>
    </row>
    <row r="25" spans="2:13">
      <c r="L25" t="s">
        <v>180</v>
      </c>
      <c r="M25">
        <v>1</v>
      </c>
    </row>
    <row r="26" spans="2:13">
      <c r="K26" t="s">
        <v>2070</v>
      </c>
      <c r="M26">
        <v>19</v>
      </c>
    </row>
    <row r="27" spans="2:13">
      <c r="K27" t="s">
        <v>2071</v>
      </c>
      <c r="L27" t="s">
        <v>815</v>
      </c>
      <c r="M27">
        <v>1</v>
      </c>
    </row>
    <row r="28" spans="2:13">
      <c r="L28" t="s">
        <v>817</v>
      </c>
      <c r="M28">
        <v>1</v>
      </c>
    </row>
    <row r="29" spans="2:13">
      <c r="L29" t="s">
        <v>819</v>
      </c>
      <c r="M29">
        <v>1</v>
      </c>
    </row>
    <row r="30" spans="2:13">
      <c r="L30" t="s">
        <v>835</v>
      </c>
      <c r="M30">
        <v>1</v>
      </c>
    </row>
    <row r="31" spans="2:13">
      <c r="L31" t="s">
        <v>839</v>
      </c>
      <c r="M31">
        <v>1</v>
      </c>
    </row>
    <row r="32" spans="2:13">
      <c r="L32" t="s">
        <v>2072</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2073</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1"/>
      <c r="B1" s="1371"/>
      <c r="C1" s="1371"/>
      <c r="D1" s="1371"/>
      <c r="E1" s="1371"/>
      <c r="F1" s="1371"/>
      <c r="G1" s="1371"/>
      <c r="H1" s="1372" t="s">
        <v>2074</v>
      </c>
      <c r="I1" s="1372"/>
      <c r="J1" s="1372"/>
      <c r="K1" s="1372"/>
      <c r="L1" s="1372"/>
      <c r="M1" s="1372"/>
      <c r="N1" s="1372"/>
      <c r="O1" s="1372"/>
      <c r="P1" s="260"/>
      <c r="Q1" s="1373" t="s">
        <v>34</v>
      </c>
      <c r="R1" s="1373"/>
      <c r="S1" s="1369"/>
      <c r="T1" s="1373"/>
      <c r="U1" s="1373"/>
      <c r="V1" s="1373"/>
      <c r="W1" s="1373"/>
      <c r="X1" s="1373"/>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180</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6742D4-640E-47A2-BCB3-51068AC0549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2025-12-23T12:12:10Z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