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75" documentId="120_S{26355A1A-C9FF-5539-9B49-32C1F08D0326}" xr6:coauthVersionLast="47" xr6:coauthVersionMax="47" xr10:uidLastSave="{2A3BCB42-670C-4CCA-B2A6-82BE9CC6ABF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3228" r:id="rId11"/>
    <pivotCache cacheId="3229" r:id="rId12"/>
    <pivotCache cacheId="3230" r:id="rId13"/>
    <pivotCache cacheId="3231" r:id="rId14"/>
    <pivotCache cacheId="323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<sst xmlns="http://schemas.openxmlformats.org/spreadsheetml/2006/main" count="18392" uniqueCount="2317">
  <si>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</si>
  <si>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</si>
  <si>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</si>
  <si>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</si>
  <si>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</si>
  <si>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</si>
  <si>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</si>
  <si>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</si>
  <si>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</si>
  <si>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</si>
  <si>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</si>
  <si>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</si>
  <si>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</si>
  <si>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</si>
  <si>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</si>
  <si>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</si>
  <si>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</si>
  <si>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</si>
  <si>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</si>
  <si>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</si>
  <si>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</si>
  <si>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</si>
  <si>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</si>
  <si>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</si>
  <si>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</si>
  <si>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</si>
  <si>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</si>
  <si>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</si>
  <si>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</si>
  <si>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</si>
  <si>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</si>
  <si>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</si>
  <si>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</si>
  <si>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</si>
  <si>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</si>
  <si>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</si>
  <si>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</si>
  <si>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</si>
  <si>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</si>
  <si>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</si>
  <si>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</si>
  <si>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</si>
  <si>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</si>
  <si>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</si>
  <si>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</si>
  <si>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</si>
  <si>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</si>
  <si>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</si>
  <si>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</si>
  <si>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</si>
  <si>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</si>
  <si>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</si>
  <si>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</si>
  <si>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</si>
  <si>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</si>
  <si>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</si>
  <si>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</si>
  <si>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</si>
  <si>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</si>
  <si>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</si>
  <si>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</si>
  <si>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</si>
  <si>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</si>
  <si>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</si>
  <si>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</si>
  <si>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</si>
  <si>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</si>
  <si>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</si>
  <si>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</si>
  <si>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</si>
  <si>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</si>
  <si>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</si>
  <si>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</si>
  <si>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</si>
  <si>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</si>
  <si>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</si>
  <si>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</si>
  <si>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</si>
  <si>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</si>
  <si>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</si>
  <si>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</si>
  <si>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</si>
  <si>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3-4 Sch SR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</si>
  <si>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</si>
  <si>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</si>
  <si>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</si>
  <si>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</si>
  <si>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</si>
  <si>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</si>
  <si>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</si>
  <si>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</si>
  <si>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</si>
  <si>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</si>
  <si>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</si>
  <si>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</si>
  <si>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</si>
  <si>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</si>
  <si>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Lightspeed In-House</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</si>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</sst>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3" fontId="43" fillId="22" borderId="16" xfId="0" applyNumberFormat="1" applyFont="1" applyFill="1" applyBorder="1" applyAlignment="1">
      <alignment horizontal="center"/>
    </xf>
    <xf numFmtId="0" fontId="53" fillId="3" borderId="16" xfId="0" applyFont="1" applyFill="1" applyBorder="1" applyAlignment="1">
      <alignment horizontal="left"/>
    </xf>
    <xf numFmtId="3" fontId="43" fillId="22"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28704"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m/>
    <m/>
    <m/>
    <x v="1"/>
  </r>
  <r>
    <s v="D-HOE501"/>
    <x v="26"/>
    <d v="2026-03-03T00:00:00"/>
    <m/>
    <m/>
    <m/>
    <x v="1"/>
  </r>
  <r>
    <s v="Willow Walk North"/>
    <x v="24"/>
    <d v="2026-03-03T00:00:00"/>
    <m/>
    <m/>
    <m/>
    <x v="1"/>
  </r>
  <r>
    <s v="Sabal Lakes"/>
    <x v="31"/>
    <d v="2026-03-03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m/>
    <m/>
    <m/>
  </r>
  <r>
    <x v="315"/>
    <x v="26"/>
    <x v="275"/>
    <m/>
    <m/>
    <m/>
  </r>
  <r>
    <x v="372"/>
    <x v="24"/>
    <x v="275"/>
    <m/>
    <m/>
    <m/>
  </r>
  <r>
    <x v="370"/>
    <x v="31"/>
    <x v="275"/>
    <m/>
    <m/>
    <m/>
  </r>
  <r>
    <x v="125"/>
    <x v="15"/>
    <x v="2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7">
    <i>
      <x v="322"/>
    </i>
    <i>
      <x v="375"/>
    </i>
    <i>
      <x v="380"/>
    </i>
    <i>
      <x v="384"/>
    </i>
    <i>
      <x v="385"/>
    </i>
    <i>
      <x v="386"/>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B25" activePane="topRight" state="frozen"/>
      <selection pane="topRight" activeCell="G32" sqref="G32"/>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4">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t="s">
        <v>97</v>
      </c>
      <c r="E14" s="887">
        <v>46084</v>
      </c>
      <c r="F14" s="888" t="s">
        <v>78</v>
      </c>
      <c r="G14" s="888" t="s">
        <v>98</v>
      </c>
      <c r="H14" s="889">
        <v>26</v>
      </c>
      <c r="I14" s="521" t="s">
        <v>54</v>
      </c>
      <c r="J14" s="889" t="s">
        <v>94</v>
      </c>
      <c r="K14" s="889" t="s">
        <v>99</v>
      </c>
      <c r="L14" s="887"/>
      <c r="M14" s="889" t="s">
        <v>56</v>
      </c>
      <c r="N14" s="890">
        <v>12781.6</v>
      </c>
      <c r="O14" s="889" t="s">
        <v>56</v>
      </c>
      <c r="P14" s="891" t="s">
        <v>70</v>
      </c>
      <c r="Q14" s="892">
        <v>46084</v>
      </c>
      <c r="R14" s="892"/>
      <c r="S14" s="892"/>
      <c r="T14" s="892"/>
      <c r="U14" s="892"/>
      <c r="V14" s="634">
        <v>937</v>
      </c>
      <c r="W14" s="893"/>
      <c r="X14" s="893">
        <f>SUM(V14-W14)</f>
        <v>937</v>
      </c>
      <c r="Y14" s="522">
        <f t="shared" ref="Y14:Y23" si="4">IFERROR($W14/$V14, 0)</f>
        <v>0</v>
      </c>
      <c r="Z14" s="894"/>
      <c r="AA14" s="895">
        <v>0</v>
      </c>
      <c r="AB14" s="895">
        <v>0</v>
      </c>
      <c r="AC14" s="854">
        <v>0</v>
      </c>
      <c r="AD14" s="929" t="s">
        <v>100</v>
      </c>
      <c r="AE14" s="928"/>
    </row>
    <row r="15" spans="1:116" ht="24.75" customHeight="1">
      <c r="A15" s="923" t="s">
        <v>101</v>
      </c>
      <c r="B15" s="888" t="s">
        <v>76</v>
      </c>
      <c r="C15" s="887">
        <v>46006</v>
      </c>
      <c r="D15" s="887" t="s">
        <v>84</v>
      </c>
      <c r="E15" s="887">
        <v>45936</v>
      </c>
      <c r="F15" s="888" t="s">
        <v>78</v>
      </c>
      <c r="G15" s="888" t="s">
        <v>102</v>
      </c>
      <c r="H15" s="889">
        <v>0</v>
      </c>
      <c r="I15" s="521" t="s">
        <v>54</v>
      </c>
      <c r="J15" s="889" t="s">
        <v>55</v>
      </c>
      <c r="K15" s="889" t="s">
        <v>99</v>
      </c>
      <c r="L15" s="887" t="s">
        <v>103</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104</v>
      </c>
      <c r="AE15" s="913"/>
    </row>
    <row r="16" spans="1:116" ht="24.75" customHeight="1">
      <c r="A16" s="923" t="s">
        <v>105</v>
      </c>
      <c r="B16" s="888" t="s">
        <v>76</v>
      </c>
      <c r="C16" s="887">
        <v>46117</v>
      </c>
      <c r="D16" s="887"/>
      <c r="E16" s="887"/>
      <c r="F16" s="508" t="s">
        <v>106</v>
      </c>
      <c r="G16" s="888" t="s">
        <v>107</v>
      </c>
      <c r="H16" s="889">
        <v>0</v>
      </c>
      <c r="I16" s="521" t="s">
        <v>54</v>
      </c>
      <c r="J16" s="889" t="s">
        <v>94</v>
      </c>
      <c r="K16" s="889" t="s">
        <v>99</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108</v>
      </c>
    </row>
    <row r="17" spans="1:32" ht="24.75" customHeight="1">
      <c r="A17" s="923" t="s">
        <v>109</v>
      </c>
      <c r="B17" s="888" t="s">
        <v>76</v>
      </c>
      <c r="C17" s="887">
        <v>46053</v>
      </c>
      <c r="D17" s="887"/>
      <c r="E17" s="887"/>
      <c r="F17" s="888" t="s">
        <v>85</v>
      </c>
      <c r="G17" s="888" t="s">
        <v>110</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111</v>
      </c>
    </row>
    <row r="18" spans="1:32" ht="24.75" customHeight="1">
      <c r="A18" s="1099" t="s">
        <v>112</v>
      </c>
      <c r="B18" s="888" t="s">
        <v>76</v>
      </c>
      <c r="C18" s="887">
        <v>46142</v>
      </c>
      <c r="D18" s="887" t="s">
        <v>113</v>
      </c>
      <c r="E18" s="887"/>
      <c r="F18" s="888" t="s">
        <v>114</v>
      </c>
      <c r="G18" s="888" t="s">
        <v>115</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116</v>
      </c>
    </row>
    <row r="19" spans="1:32" ht="24.75" customHeight="1">
      <c r="A19" s="923" t="s">
        <v>117</v>
      </c>
      <c r="B19" s="888" t="s">
        <v>76</v>
      </c>
      <c r="C19" s="887">
        <v>46020</v>
      </c>
      <c r="D19" s="887"/>
      <c r="E19" s="887"/>
      <c r="F19" s="888" t="s">
        <v>78</v>
      </c>
      <c r="G19" s="888" t="s">
        <v>118</v>
      </c>
      <c r="H19" s="889">
        <v>0</v>
      </c>
      <c r="I19" s="889" t="s">
        <v>54</v>
      </c>
      <c r="J19" s="889" t="s">
        <v>94</v>
      </c>
      <c r="K19" s="889" t="s">
        <v>99</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119</v>
      </c>
    </row>
    <row r="20" spans="1:32" ht="24.75" customHeight="1">
      <c r="A20" s="923" t="s">
        <v>120</v>
      </c>
      <c r="B20" s="888" t="s">
        <v>76</v>
      </c>
      <c r="C20" s="887">
        <v>46052</v>
      </c>
      <c r="D20" s="887"/>
      <c r="E20" s="887">
        <v>45866</v>
      </c>
      <c r="F20" s="888" t="s">
        <v>78</v>
      </c>
      <c r="G20" s="888" t="s">
        <v>121</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122</v>
      </c>
    </row>
    <row r="21" spans="1:32" ht="24.75" customHeight="1">
      <c r="A21" s="923" t="s">
        <v>123</v>
      </c>
      <c r="B21" s="888" t="s">
        <v>76</v>
      </c>
      <c r="C21" s="887">
        <v>46010</v>
      </c>
      <c r="D21" s="887" t="s">
        <v>97</v>
      </c>
      <c r="E21" s="887">
        <v>46007</v>
      </c>
      <c r="F21" s="888" t="s">
        <v>78</v>
      </c>
      <c r="G21" s="888" t="s">
        <v>124</v>
      </c>
      <c r="H21" s="889">
        <v>0</v>
      </c>
      <c r="I21" s="521" t="s">
        <v>54</v>
      </c>
      <c r="J21" s="889" t="s">
        <v>94</v>
      </c>
      <c r="K21" s="889" t="s">
        <v>64</v>
      </c>
      <c r="L21" s="887" t="s">
        <v>103</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113</v>
      </c>
      <c r="E22" s="887"/>
      <c r="F22" s="888" t="s">
        <v>114</v>
      </c>
      <c r="G22" s="888" t="s">
        <v>127</v>
      </c>
      <c r="H22" s="889">
        <v>0</v>
      </c>
      <c r="I22" s="521" t="s">
        <v>54</v>
      </c>
      <c r="J22" s="889" t="s">
        <v>63</v>
      </c>
      <c r="K22" s="889"/>
      <c r="L22" s="887" t="s">
        <v>103</v>
      </c>
      <c r="M22" s="889" t="s">
        <v>56</v>
      </c>
      <c r="N22" s="890">
        <v>388</v>
      </c>
      <c r="O22" s="889" t="s">
        <v>56</v>
      </c>
      <c r="P22" s="891" t="s">
        <v>65</v>
      </c>
      <c r="Q22" s="937" t="s">
        <v>103</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113</v>
      </c>
      <c r="E23" s="986"/>
      <c r="F23" s="888" t="s">
        <v>114</v>
      </c>
      <c r="G23" s="888" t="s">
        <v>130</v>
      </c>
      <c r="H23" s="889">
        <v>0</v>
      </c>
      <c r="I23" s="521" t="s">
        <v>54</v>
      </c>
      <c r="J23" s="889" t="s">
        <v>55</v>
      </c>
      <c r="K23" s="1366"/>
      <c r="L23" s="986"/>
      <c r="M23" s="889" t="s">
        <v>56</v>
      </c>
      <c r="N23" s="1367">
        <v>223.8</v>
      </c>
      <c r="O23" s="889" t="s">
        <v>56</v>
      </c>
      <c r="P23" s="891" t="s">
        <v>70</v>
      </c>
      <c r="Q23" s="1368"/>
      <c r="R23" s="1368"/>
      <c r="S23" s="1368"/>
      <c r="T23" s="1368"/>
      <c r="U23" s="1368"/>
      <c r="V23" s="807">
        <v>0</v>
      </c>
      <c r="W23" s="1255"/>
      <c r="X23" s="1369">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6"/>
      <c r="L27" s="986"/>
      <c r="M27" s="889" t="s">
        <v>56</v>
      </c>
      <c r="N27" s="1367">
        <v>12404.9</v>
      </c>
      <c r="O27" s="663" t="s">
        <v>56</v>
      </c>
      <c r="P27" s="912" t="s">
        <v>65</v>
      </c>
      <c r="Q27" s="1368">
        <v>46077</v>
      </c>
      <c r="R27" s="1368"/>
      <c r="S27" s="1368"/>
      <c r="T27" s="1368"/>
      <c r="U27" s="1368"/>
      <c r="V27" s="1369">
        <v>1111</v>
      </c>
      <c r="W27" s="1369"/>
      <c r="X27" s="1369">
        <f>SUM(V27-W27)</f>
        <v>1111</v>
      </c>
      <c r="Y27" s="690">
        <f>IFERROR($W27/$V27, 0)</f>
        <v>0</v>
      </c>
      <c r="Z27" s="1370"/>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6" t="s">
        <v>68</v>
      </c>
      <c r="L28" s="986"/>
      <c r="M28" s="963" t="s">
        <v>69</v>
      </c>
      <c r="N28" s="1118"/>
      <c r="O28" s="963" t="s">
        <v>69</v>
      </c>
      <c r="P28" s="953" t="s">
        <v>70</v>
      </c>
      <c r="Q28" s="1368"/>
      <c r="R28" s="1368"/>
      <c r="S28" s="1368"/>
      <c r="T28" s="1368"/>
      <c r="U28" s="1368"/>
      <c r="V28" s="1369">
        <v>311</v>
      </c>
      <c r="W28" s="1369"/>
      <c r="X28" s="1369">
        <f>SUM(V28-W28)</f>
        <v>311</v>
      </c>
      <c r="Y28" s="690">
        <f>IFERROR($W28/$V28, 0)</f>
        <v>0</v>
      </c>
      <c r="Z28" s="1370"/>
      <c r="AA28" s="895">
        <v>0</v>
      </c>
      <c r="AB28" s="895">
        <v>0</v>
      </c>
      <c r="AC28" s="904">
        <v>0</v>
      </c>
      <c r="AD28" s="896" t="s">
        <v>140</v>
      </c>
      <c r="AE28" s="938"/>
      <c r="AF28" s="936"/>
    </row>
    <row r="29" spans="1:32" ht="24.75" customHeight="1">
      <c r="A29" s="886" t="s">
        <v>141</v>
      </c>
      <c r="B29" s="665" t="s">
        <v>133</v>
      </c>
      <c r="C29" s="887">
        <v>46107</v>
      </c>
      <c r="D29" s="887" t="s">
        <v>97</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97</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t="s">
        <v>149</v>
      </c>
      <c r="E32" s="887">
        <v>46009</v>
      </c>
      <c r="F32" s="887" t="s">
        <v>138</v>
      </c>
      <c r="G32" s="888" t="s">
        <v>154</v>
      </c>
      <c r="H32" s="889">
        <v>54</v>
      </c>
      <c r="I32" s="889" t="s">
        <v>54</v>
      </c>
      <c r="J32" s="889" t="s">
        <v>55</v>
      </c>
      <c r="K32" s="889"/>
      <c r="L32" s="887"/>
      <c r="M32" s="889" t="s">
        <v>56</v>
      </c>
      <c r="N32" s="890">
        <v>58240</v>
      </c>
      <c r="O32" s="889" t="s">
        <v>56</v>
      </c>
      <c r="P32" s="891" t="s">
        <v>65</v>
      </c>
      <c r="Q32" s="1368">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97</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71">
        <v>0</v>
      </c>
      <c r="I43" s="663" t="s">
        <v>54</v>
      </c>
      <c r="J43" s="666" t="s">
        <v>55</v>
      </c>
      <c r="K43" s="1366"/>
      <c r="L43" s="988"/>
      <c r="M43" s="663" t="s">
        <v>56</v>
      </c>
      <c r="N43" s="1372">
        <v>36998.550000000003</v>
      </c>
      <c r="O43" s="663" t="s">
        <v>56</v>
      </c>
      <c r="P43" s="912" t="s">
        <v>70</v>
      </c>
      <c r="Q43" s="1373"/>
      <c r="R43" s="1373"/>
      <c r="S43" s="1373"/>
      <c r="T43" s="1373"/>
      <c r="U43" s="1373"/>
      <c r="V43" s="1374">
        <v>2944</v>
      </c>
      <c r="W43" s="1369"/>
      <c r="X43" s="1369">
        <f>SUM(V43-W43)</f>
        <v>2944</v>
      </c>
      <c r="Y43" s="522">
        <f>IFERROR($W43/$V43, 0)</f>
        <v>0</v>
      </c>
      <c r="Z43" s="1375"/>
      <c r="AA43" s="895">
        <v>0</v>
      </c>
      <c r="AB43" s="895">
        <v>0</v>
      </c>
      <c r="AC43" s="509">
        <v>0</v>
      </c>
      <c r="AD43" s="896"/>
      <c r="AE43" s="941"/>
    </row>
    <row r="44" spans="1:56" ht="24.75" customHeight="1">
      <c r="A44" s="985" t="s">
        <v>185</v>
      </c>
      <c r="B44" s="665" t="s">
        <v>133</v>
      </c>
      <c r="C44" s="986">
        <v>46079</v>
      </c>
      <c r="D44" s="988"/>
      <c r="E44" s="988"/>
      <c r="F44" s="987"/>
      <c r="G44" s="898" t="s">
        <v>186</v>
      </c>
      <c r="H44" s="1371">
        <v>0</v>
      </c>
      <c r="I44" s="663" t="s">
        <v>54</v>
      </c>
      <c r="J44" s="666" t="s">
        <v>55</v>
      </c>
      <c r="K44" s="1366"/>
      <c r="L44" s="988"/>
      <c r="M44" s="663" t="s">
        <v>56</v>
      </c>
      <c r="N44" s="1372">
        <v>49932.800000000003</v>
      </c>
      <c r="O44" s="663" t="s">
        <v>56</v>
      </c>
      <c r="P44" s="912" t="s">
        <v>70</v>
      </c>
      <c r="Q44" s="1373"/>
      <c r="R44" s="1373"/>
      <c r="S44" s="1373"/>
      <c r="T44" s="1373"/>
      <c r="U44" s="1373"/>
      <c r="V44" s="1374">
        <v>4048</v>
      </c>
      <c r="W44" s="1369"/>
      <c r="X44" s="1369">
        <f>SUM(V44-W44)</f>
        <v>4048</v>
      </c>
      <c r="Y44" s="522">
        <f>IFERROR($W44/$V44, 0)</f>
        <v>0</v>
      </c>
      <c r="Z44" s="1375"/>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97</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97</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6"/>
      <c r="L50" s="988"/>
      <c r="M50" s="900" t="s">
        <v>56</v>
      </c>
      <c r="N50" s="1372">
        <v>118710.8</v>
      </c>
      <c r="O50" s="900" t="s">
        <v>56</v>
      </c>
      <c r="P50" s="891" t="s">
        <v>57</v>
      </c>
      <c r="Q50" s="1373">
        <v>46062</v>
      </c>
      <c r="R50" s="1373"/>
      <c r="S50" s="1373"/>
      <c r="T50" s="1373"/>
      <c r="U50" s="1373"/>
      <c r="V50" s="1374">
        <v>9628</v>
      </c>
      <c r="W50" s="1376">
        <v>6978</v>
      </c>
      <c r="X50" s="1369">
        <f>SUM(V50-W50)</f>
        <v>2650</v>
      </c>
      <c r="Y50" s="522">
        <f>IFERROR($W50/$V50, 0)</f>
        <v>0.72476111341919403</v>
      </c>
      <c r="Z50" s="1373">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97</v>
      </c>
      <c r="E52" s="898">
        <v>46077</v>
      </c>
      <c r="F52" s="987"/>
      <c r="G52" s="899" t="s">
        <v>208</v>
      </c>
      <c r="H52" s="1371">
        <v>0</v>
      </c>
      <c r="I52" s="663" t="s">
        <v>54</v>
      </c>
      <c r="J52" s="900" t="s">
        <v>55</v>
      </c>
      <c r="K52" s="1366"/>
      <c r="L52" s="988"/>
      <c r="M52" s="900" t="s">
        <v>56</v>
      </c>
      <c r="N52" s="1372">
        <v>15002.75</v>
      </c>
      <c r="O52" s="900" t="s">
        <v>56</v>
      </c>
      <c r="P52" s="912" t="s">
        <v>65</v>
      </c>
      <c r="Q52" s="1373">
        <v>46077</v>
      </c>
      <c r="R52" s="1373"/>
      <c r="S52" s="1373"/>
      <c r="T52" s="1373"/>
      <c r="U52" s="1373"/>
      <c r="V52" s="1374">
        <v>1175</v>
      </c>
      <c r="W52" s="1369"/>
      <c r="X52" s="1369">
        <f>SUM(V52-W52)</f>
        <v>1175</v>
      </c>
      <c r="Y52" s="522">
        <f>IFERROR($W52/$V52, 0)</f>
        <v>0</v>
      </c>
      <c r="Z52" s="1375"/>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71">
        <v>0</v>
      </c>
      <c r="I53" s="663" t="s">
        <v>54</v>
      </c>
      <c r="J53" s="900" t="s">
        <v>55</v>
      </c>
      <c r="K53" s="1366"/>
      <c r="L53" s="988"/>
      <c r="M53" s="900" t="s">
        <v>56</v>
      </c>
      <c r="N53" s="1372">
        <v>12977.65</v>
      </c>
      <c r="O53" s="900" t="s">
        <v>56</v>
      </c>
      <c r="P53" s="912" t="s">
        <v>70</v>
      </c>
      <c r="Q53" s="1373"/>
      <c r="R53" s="1373"/>
      <c r="S53" s="1373"/>
      <c r="T53" s="1373"/>
      <c r="U53" s="1373"/>
      <c r="V53" s="1374">
        <v>1029</v>
      </c>
      <c r="W53" s="1369"/>
      <c r="X53" s="1369">
        <f>SUM(V53-W53)</f>
        <v>1029</v>
      </c>
      <c r="Y53" s="522">
        <f>IFERROR($W53/$V53, 0)</f>
        <v>0</v>
      </c>
      <c r="Z53" s="1375"/>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71">
        <v>107</v>
      </c>
      <c r="I56" s="663" t="s">
        <v>54</v>
      </c>
      <c r="J56" s="959" t="s">
        <v>63</v>
      </c>
      <c r="K56" s="1366" t="s">
        <v>68</v>
      </c>
      <c r="L56" s="988"/>
      <c r="M56" s="963" t="s">
        <v>69</v>
      </c>
      <c r="N56" s="1118"/>
      <c r="O56" s="963" t="s">
        <v>69</v>
      </c>
      <c r="P56" s="953" t="s">
        <v>70</v>
      </c>
      <c r="Q56" s="1373"/>
      <c r="R56" s="1373"/>
      <c r="S56" s="1373"/>
      <c r="T56" s="1373"/>
      <c r="U56" s="1373"/>
      <c r="V56" s="1374">
        <v>9568</v>
      </c>
      <c r="W56" s="1369"/>
      <c r="X56" s="1369">
        <f>SUM(V56-W56)</f>
        <v>9568</v>
      </c>
      <c r="Y56" s="522">
        <f>IFERROR($W56/$V56, 0)</f>
        <v>0</v>
      </c>
      <c r="Z56" s="1375"/>
      <c r="AA56" s="895">
        <v>0</v>
      </c>
      <c r="AB56" s="895">
        <v>0</v>
      </c>
      <c r="AC56" s="904">
        <v>0</v>
      </c>
      <c r="AD56" s="896" t="s">
        <v>217</v>
      </c>
      <c r="AE56" s="941"/>
    </row>
    <row r="57" spans="1:31" ht="24.75" customHeight="1">
      <c r="A57" s="1310" t="s">
        <v>218</v>
      </c>
      <c r="B57" s="665" t="s">
        <v>133</v>
      </c>
      <c r="C57" s="986">
        <v>46174</v>
      </c>
      <c r="D57" s="987"/>
      <c r="E57" s="988"/>
      <c r="F57" s="987"/>
      <c r="G57" s="899"/>
      <c r="H57" s="1371">
        <v>115</v>
      </c>
      <c r="I57" s="663" t="s">
        <v>54</v>
      </c>
      <c r="J57" s="959" t="s">
        <v>63</v>
      </c>
      <c r="K57" s="1366"/>
      <c r="L57" s="988"/>
      <c r="M57" s="900" t="s">
        <v>56</v>
      </c>
      <c r="N57" s="1118">
        <v>125188</v>
      </c>
      <c r="O57" s="900" t="s">
        <v>56</v>
      </c>
      <c r="P57" s="912" t="s">
        <v>70</v>
      </c>
      <c r="Q57" s="1373"/>
      <c r="R57" s="1373"/>
      <c r="S57" s="1373"/>
      <c r="T57" s="1373"/>
      <c r="U57" s="1373"/>
      <c r="V57" s="1374">
        <v>11028</v>
      </c>
      <c r="W57" s="1369"/>
      <c r="X57" s="1369">
        <f>SUM(V57-W57)</f>
        <v>11028</v>
      </c>
      <c r="Y57" s="522">
        <f>IFERROR($W57/$V57, 0)</f>
        <v>0</v>
      </c>
      <c r="Z57" s="1375"/>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99</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99</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99</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7">
        <v>0</v>
      </c>
      <c r="I61" s="520" t="s">
        <v>54</v>
      </c>
      <c r="J61" s="963" t="s">
        <v>94</v>
      </c>
      <c r="K61" s="1378" t="s">
        <v>68</v>
      </c>
      <c r="L61" s="1116"/>
      <c r="M61" s="963" t="s">
        <v>69</v>
      </c>
      <c r="N61" s="1118"/>
      <c r="O61" s="963" t="s">
        <v>69</v>
      </c>
      <c r="P61" s="953" t="s">
        <v>70</v>
      </c>
      <c r="Q61" s="1373"/>
      <c r="R61" s="1373"/>
      <c r="S61" s="1373"/>
      <c r="T61" s="1373"/>
      <c r="U61" s="1373"/>
      <c r="V61" s="1379">
        <v>6202</v>
      </c>
      <c r="W61" s="1380"/>
      <c r="X61" s="1380">
        <f>SUM(V61-W61)</f>
        <v>6202</v>
      </c>
      <c r="Y61" s="689">
        <f>IFERROR($W61/$V61, 0)</f>
        <v>0</v>
      </c>
      <c r="Z61" s="1381"/>
      <c r="AA61" s="1100">
        <v>0</v>
      </c>
      <c r="AB61" s="1129">
        <v>0</v>
      </c>
      <c r="AC61" s="950">
        <v>0</v>
      </c>
      <c r="AD61" s="896" t="s">
        <v>230</v>
      </c>
      <c r="AE61" s="941"/>
    </row>
    <row r="62" spans="1:31" ht="24.75" customHeight="1">
      <c r="A62" s="1241" t="s">
        <v>231</v>
      </c>
      <c r="B62" s="1316" t="s">
        <v>220</v>
      </c>
      <c r="C62" s="986">
        <v>46172</v>
      </c>
      <c r="D62" s="987"/>
      <c r="E62" s="988"/>
      <c r="F62" s="987"/>
      <c r="G62" s="899"/>
      <c r="H62" s="1371">
        <v>402</v>
      </c>
      <c r="I62" s="520" t="s">
        <v>54</v>
      </c>
      <c r="J62" s="963" t="s">
        <v>94</v>
      </c>
      <c r="K62" s="1378" t="s">
        <v>68</v>
      </c>
      <c r="L62" s="988"/>
      <c r="M62" s="1013" t="s">
        <v>69</v>
      </c>
      <c r="N62" s="1336"/>
      <c r="O62" s="1013" t="s">
        <v>69</v>
      </c>
      <c r="P62" s="953" t="s">
        <v>70</v>
      </c>
      <c r="Q62" s="1373"/>
      <c r="R62" s="1373"/>
      <c r="S62" s="1373"/>
      <c r="T62" s="1373"/>
      <c r="U62" s="1373"/>
      <c r="V62" s="1374">
        <v>30807</v>
      </c>
      <c r="W62" s="1369"/>
      <c r="X62" s="1369">
        <f>SUM(V62-W62)</f>
        <v>30807</v>
      </c>
      <c r="Y62" s="522">
        <f>IFERROR($W62/$V62, 0)</f>
        <v>0</v>
      </c>
      <c r="Z62" s="1373"/>
      <c r="AA62" s="1100">
        <v>0</v>
      </c>
      <c r="AB62" s="1129">
        <v>0</v>
      </c>
      <c r="AC62" s="950">
        <v>0</v>
      </c>
      <c r="AD62" s="896"/>
      <c r="AE62" s="941"/>
    </row>
    <row r="63" spans="1:31" ht="24.75" customHeight="1">
      <c r="A63" s="1117" t="s">
        <v>232</v>
      </c>
      <c r="B63" s="1317" t="s">
        <v>233</v>
      </c>
      <c r="C63" s="986">
        <v>46111</v>
      </c>
      <c r="D63" s="987"/>
      <c r="E63" s="988"/>
      <c r="F63" s="987"/>
      <c r="G63" s="899" t="s">
        <v>234</v>
      </c>
      <c r="H63" s="1377">
        <v>0</v>
      </c>
      <c r="I63" s="520" t="s">
        <v>54</v>
      </c>
      <c r="J63" s="963" t="s">
        <v>55</v>
      </c>
      <c r="K63" s="1378"/>
      <c r="L63" s="988"/>
      <c r="M63" s="963" t="s">
        <v>56</v>
      </c>
      <c r="N63" s="1118">
        <v>12316.35</v>
      </c>
      <c r="O63" s="963" t="s">
        <v>56</v>
      </c>
      <c r="P63" s="953" t="s">
        <v>70</v>
      </c>
      <c r="Q63" s="1373"/>
      <c r="R63" s="1373"/>
      <c r="S63" s="1373"/>
      <c r="T63" s="1373"/>
      <c r="U63" s="1373"/>
      <c r="V63" s="1374">
        <v>47</v>
      </c>
      <c r="W63" s="1369"/>
      <c r="X63" s="1369">
        <f>SUM(V63-W63)</f>
        <v>47</v>
      </c>
      <c r="Y63" s="522">
        <f>IFERROR($W63/$V63, 0)</f>
        <v>0</v>
      </c>
      <c r="Z63" s="1381"/>
      <c r="AA63" s="1100">
        <v>0</v>
      </c>
      <c r="AB63" s="1129">
        <v>0</v>
      </c>
      <c r="AC63" s="950">
        <v>0</v>
      </c>
      <c r="AD63" s="896" t="s">
        <v>235</v>
      </c>
      <c r="AE63" s="941"/>
    </row>
    <row r="64" spans="1:31" ht="24.75" customHeight="1">
      <c r="A64" s="1117" t="s">
        <v>236</v>
      </c>
      <c r="B64" s="1317" t="s">
        <v>233</v>
      </c>
      <c r="C64" s="986">
        <v>46111</v>
      </c>
      <c r="D64" s="987"/>
      <c r="E64" s="988"/>
      <c r="F64" s="987"/>
      <c r="G64" s="899" t="s">
        <v>237</v>
      </c>
      <c r="H64" s="1377">
        <v>0</v>
      </c>
      <c r="I64" s="520" t="s">
        <v>54</v>
      </c>
      <c r="J64" s="963" t="s">
        <v>55</v>
      </c>
      <c r="K64" s="1378"/>
      <c r="L64" s="988"/>
      <c r="M64" s="963" t="s">
        <v>56</v>
      </c>
      <c r="N64" s="1118">
        <v>151170.79999999999</v>
      </c>
      <c r="O64" s="963" t="s">
        <v>56</v>
      </c>
      <c r="P64" s="953" t="s">
        <v>70</v>
      </c>
      <c r="Q64" s="1373"/>
      <c r="R64" s="1373"/>
      <c r="S64" s="1373"/>
      <c r="T64" s="1373"/>
      <c r="U64" s="1373"/>
      <c r="V64" s="1374">
        <v>11789</v>
      </c>
      <c r="W64" s="1369"/>
      <c r="X64" s="1369">
        <f>SUM(V64-W64)</f>
        <v>11789</v>
      </c>
      <c r="Y64" s="522">
        <f>IFERROR($W64/$V64, 0)</f>
        <v>0</v>
      </c>
      <c r="Z64" s="1381"/>
      <c r="AA64" s="1100">
        <v>0</v>
      </c>
      <c r="AB64" s="1129">
        <v>0</v>
      </c>
      <c r="AC64" s="950">
        <v>0</v>
      </c>
      <c r="AD64" s="896" t="s">
        <v>235</v>
      </c>
      <c r="AE64" s="941"/>
    </row>
    <row r="65" spans="1:31" ht="24.75" customHeight="1">
      <c r="A65" s="1318" t="s">
        <v>238</v>
      </c>
      <c r="B65" s="1317" t="s">
        <v>233</v>
      </c>
      <c r="C65" s="986">
        <v>46111</v>
      </c>
      <c r="D65" s="987"/>
      <c r="E65" s="988"/>
      <c r="F65" s="987"/>
      <c r="G65" s="899" t="s">
        <v>239</v>
      </c>
      <c r="H65" s="1377">
        <v>0</v>
      </c>
      <c r="I65" s="520" t="s">
        <v>54</v>
      </c>
      <c r="J65" s="963" t="s">
        <v>55</v>
      </c>
      <c r="K65" s="1378"/>
      <c r="L65" s="988"/>
      <c r="M65" s="963" t="s">
        <v>56</v>
      </c>
      <c r="N65" s="1118">
        <v>24122.75</v>
      </c>
      <c r="O65" s="963" t="s">
        <v>56</v>
      </c>
      <c r="P65" s="953" t="s">
        <v>70</v>
      </c>
      <c r="Q65" s="1373"/>
      <c r="R65" s="1373"/>
      <c r="S65" s="1373"/>
      <c r="T65" s="1373"/>
      <c r="U65" s="1373"/>
      <c r="V65" s="1374">
        <v>1925</v>
      </c>
      <c r="W65" s="1369"/>
      <c r="X65" s="1369">
        <f>SUM(V65-W65)</f>
        <v>1925</v>
      </c>
      <c r="Y65" s="522">
        <f>IFERROR($W65/$V65, 0)</f>
        <v>0</v>
      </c>
      <c r="Z65" s="1381"/>
      <c r="AA65" s="1100">
        <v>0</v>
      </c>
      <c r="AB65" s="1129">
        <v>0</v>
      </c>
      <c r="AC65" s="950">
        <v>0</v>
      </c>
      <c r="AD65" s="896" t="s">
        <v>235</v>
      </c>
      <c r="AE65" s="941"/>
    </row>
    <row r="66" spans="1:31" ht="24.75" customHeight="1">
      <c r="A66" s="985" t="s">
        <v>240</v>
      </c>
      <c r="B66" s="1317" t="s">
        <v>233</v>
      </c>
      <c r="C66" s="986">
        <v>46111</v>
      </c>
      <c r="D66" s="987"/>
      <c r="E66" s="988"/>
      <c r="F66" s="987"/>
      <c r="G66" s="899" t="s">
        <v>241</v>
      </c>
      <c r="H66" s="1377">
        <v>0</v>
      </c>
      <c r="I66" s="520" t="s">
        <v>54</v>
      </c>
      <c r="J66" s="963" t="s">
        <v>55</v>
      </c>
      <c r="K66" s="1378"/>
      <c r="L66" s="988"/>
      <c r="M66" s="963" t="s">
        <v>56</v>
      </c>
      <c r="N66" s="1118">
        <v>26639.1</v>
      </c>
      <c r="O66" s="963" t="s">
        <v>56</v>
      </c>
      <c r="P66" s="953" t="s">
        <v>70</v>
      </c>
      <c r="Q66" s="1373"/>
      <c r="R66" s="1373"/>
      <c r="S66" s="1373"/>
      <c r="T66" s="1373"/>
      <c r="U66" s="1373"/>
      <c r="V66" s="1374">
        <v>2136</v>
      </c>
      <c r="W66" s="1369"/>
      <c r="X66" s="1369">
        <f>SUM(V66-W66)</f>
        <v>2136</v>
      </c>
      <c r="Y66" s="522">
        <f>IFERROR($W66/$V66, 0)</f>
        <v>0</v>
      </c>
      <c r="Z66" s="1381"/>
      <c r="AA66" s="1100">
        <v>0</v>
      </c>
      <c r="AB66" s="1129">
        <v>0</v>
      </c>
      <c r="AC66" s="950">
        <v>0</v>
      </c>
      <c r="AD66" s="896" t="s">
        <v>235</v>
      </c>
      <c r="AE66" s="941"/>
    </row>
    <row r="67" spans="1:31" ht="24.75" customHeight="1">
      <c r="A67" s="985" t="s">
        <v>242</v>
      </c>
      <c r="B67" s="1317" t="s">
        <v>233</v>
      </c>
      <c r="C67" s="986">
        <v>46111</v>
      </c>
      <c r="D67" s="987"/>
      <c r="E67" s="988"/>
      <c r="F67" s="987"/>
      <c r="G67" s="899" t="s">
        <v>243</v>
      </c>
      <c r="H67" s="1377">
        <v>0</v>
      </c>
      <c r="I67" s="520" t="s">
        <v>54</v>
      </c>
      <c r="J67" s="963" t="s">
        <v>55</v>
      </c>
      <c r="K67" s="1378"/>
      <c r="L67" s="988"/>
      <c r="M67" s="963" t="s">
        <v>56</v>
      </c>
      <c r="N67" s="1118">
        <v>1698.25</v>
      </c>
      <c r="O67" s="963" t="s">
        <v>56</v>
      </c>
      <c r="P67" s="953" t="s">
        <v>70</v>
      </c>
      <c r="Q67" s="1373"/>
      <c r="R67" s="1373"/>
      <c r="S67" s="1373"/>
      <c r="T67" s="1373"/>
      <c r="U67" s="1373"/>
      <c r="V67" s="1374">
        <v>105</v>
      </c>
      <c r="W67" s="1369"/>
      <c r="X67" s="1369">
        <f>SUM(V67-W67)</f>
        <v>105</v>
      </c>
      <c r="Y67" s="522">
        <f>IFERROR($W67/$V67, 0)</f>
        <v>0</v>
      </c>
      <c r="Z67" s="1381"/>
      <c r="AA67" s="1100">
        <v>0</v>
      </c>
      <c r="AB67" s="1129">
        <v>0</v>
      </c>
      <c r="AC67" s="950">
        <v>0</v>
      </c>
      <c r="AD67" s="896" t="s">
        <v>235</v>
      </c>
      <c r="AE67" s="941"/>
    </row>
    <row r="68" spans="1:31" ht="24.75" customHeight="1">
      <c r="A68" s="1241" t="s">
        <v>244</v>
      </c>
      <c r="B68" s="1317" t="s">
        <v>233</v>
      </c>
      <c r="C68" s="986">
        <v>46111</v>
      </c>
      <c r="D68" s="987"/>
      <c r="E68" s="988"/>
      <c r="F68" s="987"/>
      <c r="G68" s="899" t="s">
        <v>245</v>
      </c>
      <c r="H68" s="1377">
        <v>0</v>
      </c>
      <c r="I68" s="520" t="s">
        <v>54</v>
      </c>
      <c r="J68" s="963" t="s">
        <v>94</v>
      </c>
      <c r="K68" s="1378" t="s">
        <v>68</v>
      </c>
      <c r="L68" s="988"/>
      <c r="M68" s="963" t="s">
        <v>69</v>
      </c>
      <c r="N68" s="1118">
        <v>5779.1</v>
      </c>
      <c r="O68" s="963" t="s">
        <v>56</v>
      </c>
      <c r="P68" s="953" t="s">
        <v>70</v>
      </c>
      <c r="Q68" s="1373"/>
      <c r="R68" s="1373"/>
      <c r="S68" s="1373"/>
      <c r="T68" s="1373"/>
      <c r="U68" s="1373"/>
      <c r="V68" s="1374">
        <v>406</v>
      </c>
      <c r="W68" s="1369"/>
      <c r="X68" s="1369">
        <f>SUM(V68-W68)</f>
        <v>406</v>
      </c>
      <c r="Y68" s="522">
        <f>IFERROR($W68/$V68, 0)</f>
        <v>0</v>
      </c>
      <c r="Z68" s="1381"/>
      <c r="AA68" s="1100">
        <v>0</v>
      </c>
      <c r="AB68" s="1129">
        <v>0</v>
      </c>
      <c r="AC68" s="950">
        <v>0</v>
      </c>
      <c r="AD68" s="896" t="s">
        <v>235</v>
      </c>
      <c r="AE68" s="941"/>
    </row>
    <row r="69" spans="1:31" ht="24.75" customHeight="1">
      <c r="A69" s="1241" t="s">
        <v>246</v>
      </c>
      <c r="B69" s="1317" t="s">
        <v>233</v>
      </c>
      <c r="C69" s="986">
        <v>46111</v>
      </c>
      <c r="D69" s="987"/>
      <c r="E69" s="988"/>
      <c r="F69" s="987"/>
      <c r="G69" s="899" t="s">
        <v>247</v>
      </c>
      <c r="H69" s="1377">
        <v>0</v>
      </c>
      <c r="I69" s="520" t="s">
        <v>54</v>
      </c>
      <c r="J69" s="963" t="s">
        <v>94</v>
      </c>
      <c r="K69" s="1378" t="s">
        <v>68</v>
      </c>
      <c r="L69" s="988"/>
      <c r="M69" s="963" t="s">
        <v>69</v>
      </c>
      <c r="N69" s="1118"/>
      <c r="O69" s="963" t="s">
        <v>56</v>
      </c>
      <c r="P69" s="953" t="s">
        <v>70</v>
      </c>
      <c r="Q69" s="1373"/>
      <c r="R69" s="1373"/>
      <c r="S69" s="1373"/>
      <c r="T69" s="1373"/>
      <c r="U69" s="1373"/>
      <c r="V69" s="1374">
        <v>508</v>
      </c>
      <c r="W69" s="1369"/>
      <c r="X69" s="1369">
        <f>SUM(V69-W69)</f>
        <v>508</v>
      </c>
      <c r="Y69" s="522">
        <f>IFERROR($W69/$V69, 0)</f>
        <v>0</v>
      </c>
      <c r="Z69" s="1381"/>
      <c r="AA69" s="1100">
        <v>0</v>
      </c>
      <c r="AB69" s="1129">
        <v>0</v>
      </c>
      <c r="AC69" s="950">
        <v>0</v>
      </c>
      <c r="AD69" s="896" t="s">
        <v>248</v>
      </c>
      <c r="AE69" s="941"/>
    </row>
    <row r="70" spans="1:31" ht="24.75" customHeight="1">
      <c r="A70" s="985" t="s">
        <v>249</v>
      </c>
      <c r="B70" s="1317" t="s">
        <v>233</v>
      </c>
      <c r="C70" s="986">
        <v>46111</v>
      </c>
      <c r="D70" s="987"/>
      <c r="E70" s="988"/>
      <c r="F70" s="987"/>
      <c r="G70" s="899" t="s">
        <v>250</v>
      </c>
      <c r="H70" s="1377">
        <v>0</v>
      </c>
      <c r="I70" s="520" t="s">
        <v>54</v>
      </c>
      <c r="J70" s="963" t="s">
        <v>94</v>
      </c>
      <c r="K70" s="1378"/>
      <c r="L70" s="988"/>
      <c r="M70" s="963" t="s">
        <v>56</v>
      </c>
      <c r="N70" s="1118">
        <v>9496.2000000000007</v>
      </c>
      <c r="O70" s="963" t="s">
        <v>56</v>
      </c>
      <c r="P70" s="953" t="s">
        <v>70</v>
      </c>
      <c r="Q70" s="1373"/>
      <c r="R70" s="1373"/>
      <c r="S70" s="1373"/>
      <c r="T70" s="1373"/>
      <c r="U70" s="1373"/>
      <c r="V70" s="1374">
        <v>742</v>
      </c>
      <c r="W70" s="1369"/>
      <c r="X70" s="1369">
        <f>SUM(V70-W70)</f>
        <v>742</v>
      </c>
      <c r="Y70" s="522">
        <f>IFERROR($W70/$V70, 0)</f>
        <v>0</v>
      </c>
      <c r="Z70" s="1381"/>
      <c r="AA70" s="1100">
        <v>0</v>
      </c>
      <c r="AB70" s="1129">
        <v>0</v>
      </c>
      <c r="AC70" s="950">
        <v>0</v>
      </c>
      <c r="AD70" s="896" t="s">
        <v>235</v>
      </c>
      <c r="AE70" s="941"/>
    </row>
    <row r="71" spans="1:31" ht="24.75" customHeight="1">
      <c r="A71" s="1241" t="s">
        <v>251</v>
      </c>
      <c r="B71" s="1317" t="s">
        <v>233</v>
      </c>
      <c r="C71" s="986">
        <v>46111</v>
      </c>
      <c r="D71" s="987"/>
      <c r="E71" s="988"/>
      <c r="F71" s="987"/>
      <c r="G71" s="899" t="s">
        <v>252</v>
      </c>
      <c r="H71" s="1377">
        <v>0</v>
      </c>
      <c r="I71" s="520" t="s">
        <v>54</v>
      </c>
      <c r="J71" s="963" t="s">
        <v>94</v>
      </c>
      <c r="K71" s="1378" t="s">
        <v>68</v>
      </c>
      <c r="L71" s="988"/>
      <c r="M71" s="963" t="s">
        <v>69</v>
      </c>
      <c r="N71" s="1118">
        <v>16760.150000000001</v>
      </c>
      <c r="O71" s="963" t="s">
        <v>56</v>
      </c>
      <c r="P71" s="953" t="s">
        <v>70</v>
      </c>
      <c r="Q71" s="1373"/>
      <c r="R71" s="1373"/>
      <c r="S71" s="1373"/>
      <c r="T71" s="1373"/>
      <c r="U71" s="1373"/>
      <c r="V71" s="1374">
        <v>1329</v>
      </c>
      <c r="W71" s="1369"/>
      <c r="X71" s="1369">
        <f>SUM(V71-W71)</f>
        <v>1329</v>
      </c>
      <c r="Y71" s="522">
        <f>IFERROR($W71/$V71, 0)</f>
        <v>0</v>
      </c>
      <c r="Z71" s="1381"/>
      <c r="AA71" s="1100">
        <v>0</v>
      </c>
      <c r="AB71" s="1129">
        <v>0</v>
      </c>
      <c r="AC71" s="950">
        <v>0</v>
      </c>
      <c r="AD71" s="896" t="s">
        <v>248</v>
      </c>
      <c r="AE71" s="941"/>
    </row>
    <row r="72" spans="1:31" ht="24.75" customHeight="1">
      <c r="A72" s="1241" t="s">
        <v>253</v>
      </c>
      <c r="B72" s="1317" t="s">
        <v>233</v>
      </c>
      <c r="C72" s="986">
        <v>46111</v>
      </c>
      <c r="D72" s="987"/>
      <c r="E72" s="988"/>
      <c r="F72" s="987"/>
      <c r="G72" s="899" t="s">
        <v>247</v>
      </c>
      <c r="H72" s="1377">
        <v>0</v>
      </c>
      <c r="I72" s="520" t="s">
        <v>54</v>
      </c>
      <c r="J72" s="963" t="s">
        <v>94</v>
      </c>
      <c r="K72" s="1378" t="s">
        <v>68</v>
      </c>
      <c r="L72" s="988"/>
      <c r="M72" s="963" t="s">
        <v>69</v>
      </c>
      <c r="N72" s="1118">
        <v>14178.2</v>
      </c>
      <c r="O72" s="963" t="s">
        <v>56</v>
      </c>
      <c r="P72" s="953" t="s">
        <v>70</v>
      </c>
      <c r="Q72" s="1373"/>
      <c r="R72" s="1373"/>
      <c r="S72" s="1373"/>
      <c r="T72" s="1373"/>
      <c r="U72" s="1373"/>
      <c r="V72" s="1374">
        <v>1124</v>
      </c>
      <c r="W72" s="1369"/>
      <c r="X72" s="1369">
        <f>SUM(V72-W72)</f>
        <v>1124</v>
      </c>
      <c r="Y72" s="522">
        <f>IFERROR($W72/$V72, 0)</f>
        <v>0</v>
      </c>
      <c r="Z72" s="1381"/>
      <c r="AA72" s="1100">
        <v>0</v>
      </c>
      <c r="AB72" s="1129">
        <v>0</v>
      </c>
      <c r="AC72" s="950">
        <v>0</v>
      </c>
      <c r="AD72" s="896" t="s">
        <v>248</v>
      </c>
      <c r="AE72" s="941"/>
    </row>
    <row r="73" spans="1:31" ht="24.75" customHeight="1">
      <c r="A73" s="985" t="s">
        <v>254</v>
      </c>
      <c r="B73" s="1317" t="s">
        <v>233</v>
      </c>
      <c r="C73" s="986">
        <v>46111</v>
      </c>
      <c r="D73" s="987"/>
      <c r="E73" s="988"/>
      <c r="F73" s="987"/>
      <c r="G73" s="899"/>
      <c r="H73" s="1377">
        <v>0</v>
      </c>
      <c r="I73" s="520" t="s">
        <v>54</v>
      </c>
      <c r="J73" s="963" t="s">
        <v>94</v>
      </c>
      <c r="K73" s="1378" t="s">
        <v>68</v>
      </c>
      <c r="L73" s="988"/>
      <c r="M73" s="963" t="s">
        <v>69</v>
      </c>
      <c r="N73" s="1118"/>
      <c r="O73" s="963" t="s">
        <v>69</v>
      </c>
      <c r="P73" s="953" t="s">
        <v>70</v>
      </c>
      <c r="Q73" s="1373"/>
      <c r="R73" s="1373"/>
      <c r="S73" s="1373"/>
      <c r="T73" s="1373"/>
      <c r="U73" s="1373"/>
      <c r="V73" s="1379"/>
      <c r="W73" s="1380"/>
      <c r="X73" s="1380">
        <f>SUM(V73-W73)</f>
        <v>0</v>
      </c>
      <c r="Y73" s="689">
        <f>IFERROR($W73/$V73, 0)</f>
        <v>0</v>
      </c>
      <c r="Z73" s="1381"/>
      <c r="AA73" s="1100">
        <v>0</v>
      </c>
      <c r="AB73" s="1129">
        <v>0</v>
      </c>
      <c r="AC73" s="950">
        <v>0</v>
      </c>
      <c r="AD73" s="896" t="s">
        <v>255</v>
      </c>
      <c r="AE73" s="941"/>
    </row>
    <row r="74" spans="1:31" ht="24.75" customHeight="1">
      <c r="A74" s="985" t="s">
        <v>256</v>
      </c>
      <c r="B74" s="1317" t="s">
        <v>233</v>
      </c>
      <c r="C74" s="986">
        <v>46111</v>
      </c>
      <c r="D74" s="987"/>
      <c r="E74" s="988"/>
      <c r="F74" s="987"/>
      <c r="G74" s="899"/>
      <c r="H74" s="1377">
        <v>0</v>
      </c>
      <c r="I74" s="520" t="s">
        <v>54</v>
      </c>
      <c r="J74" s="963" t="s">
        <v>94</v>
      </c>
      <c r="K74" s="1378" t="s">
        <v>68</v>
      </c>
      <c r="L74" s="988"/>
      <c r="M74" s="963" t="s">
        <v>69</v>
      </c>
      <c r="N74" s="1118"/>
      <c r="O74" s="963" t="s">
        <v>69</v>
      </c>
      <c r="P74" s="953" t="s">
        <v>70</v>
      </c>
      <c r="Q74" s="1373"/>
      <c r="R74" s="1373"/>
      <c r="S74" s="1373"/>
      <c r="T74" s="1373"/>
      <c r="U74" s="1373"/>
      <c r="V74" s="1379"/>
      <c r="W74" s="1380"/>
      <c r="X74" s="1380">
        <f>SUM(V74-W74)</f>
        <v>0</v>
      </c>
      <c r="Y74" s="517">
        <f>IFERROR($W74/$V74, 0)</f>
        <v>0</v>
      </c>
      <c r="Z74" s="1382"/>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56">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99</v>
      </c>
      <c r="L82" s="1020"/>
      <c r="M82" s="963" t="s">
        <v>69</v>
      </c>
      <c r="N82" s="1118"/>
      <c r="O82" s="963" t="s">
        <v>69</v>
      </c>
      <c r="P82" s="953" t="s">
        <v>70</v>
      </c>
      <c r="Q82" s="1383"/>
      <c r="R82" s="1003"/>
      <c r="S82" s="1003"/>
      <c r="T82" s="1003"/>
      <c r="U82" s="1003"/>
      <c r="V82" s="972">
        <v>4564</v>
      </c>
      <c r="W82" s="935"/>
      <c r="X82" s="972">
        <v>4564</v>
      </c>
      <c r="Y82" s="866"/>
      <c r="Z82" s="1384"/>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99</v>
      </c>
      <c r="L83" s="1020"/>
      <c r="M83" s="963" t="s">
        <v>69</v>
      </c>
      <c r="N83" s="1118"/>
      <c r="O83" s="963" t="s">
        <v>69</v>
      </c>
      <c r="P83" s="953" t="s">
        <v>70</v>
      </c>
      <c r="Q83" s="1383"/>
      <c r="R83" s="1003"/>
      <c r="S83" s="1003"/>
      <c r="T83" s="1003"/>
      <c r="U83" s="1003"/>
      <c r="V83" s="972">
        <v>5936</v>
      </c>
      <c r="W83" s="935"/>
      <c r="X83" s="972">
        <v>5936</v>
      </c>
      <c r="Y83" s="866"/>
      <c r="Z83" s="1384"/>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99</v>
      </c>
      <c r="L84" s="1020"/>
      <c r="M84" s="963" t="s">
        <v>56</v>
      </c>
      <c r="N84" s="1118">
        <v>82732</v>
      </c>
      <c r="O84" s="963" t="s">
        <v>56</v>
      </c>
      <c r="P84" s="953" t="s">
        <v>70</v>
      </c>
      <c r="Q84" s="1383"/>
      <c r="R84" s="1003"/>
      <c r="S84" s="1003"/>
      <c r="T84" s="1003"/>
      <c r="U84" s="1003"/>
      <c r="V84" s="972">
        <v>7117</v>
      </c>
      <c r="W84" s="935"/>
      <c r="X84" s="972">
        <v>7117</v>
      </c>
      <c r="Y84" s="866"/>
      <c r="Z84" s="1384"/>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99</v>
      </c>
      <c r="L85" s="1020"/>
      <c r="M85" s="963" t="s">
        <v>56</v>
      </c>
      <c r="N85" s="1118">
        <v>110980</v>
      </c>
      <c r="O85" s="963" t="s">
        <v>56</v>
      </c>
      <c r="P85" s="953" t="s">
        <v>70</v>
      </c>
      <c r="Q85" s="1383"/>
      <c r="R85" s="1003"/>
      <c r="S85" s="1003"/>
      <c r="T85" s="1003"/>
      <c r="U85" s="1003"/>
      <c r="V85" s="972">
        <v>9590</v>
      </c>
      <c r="W85" s="935"/>
      <c r="X85" s="972">
        <v>9590</v>
      </c>
      <c r="Y85" s="866"/>
      <c r="Z85" s="1384"/>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99</v>
      </c>
      <c r="L86" s="1020"/>
      <c r="M86" s="963" t="s">
        <v>56</v>
      </c>
      <c r="N86" s="1118">
        <v>108948</v>
      </c>
      <c r="O86" s="963" t="s">
        <v>56</v>
      </c>
      <c r="P86" s="953" t="s">
        <v>70</v>
      </c>
      <c r="Q86" s="1383"/>
      <c r="R86" s="1003"/>
      <c r="S86" s="1003"/>
      <c r="T86" s="1003"/>
      <c r="U86" s="1003"/>
      <c r="V86" s="972">
        <v>9329</v>
      </c>
      <c r="W86" s="935"/>
      <c r="X86" s="972">
        <v>9329</v>
      </c>
      <c r="Y86" s="866"/>
      <c r="Z86" s="1384"/>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99</v>
      </c>
      <c r="L87" s="1020"/>
      <c r="M87" s="963" t="s">
        <v>56</v>
      </c>
      <c r="N87" s="1118">
        <v>116114</v>
      </c>
      <c r="O87" s="963" t="s">
        <v>56</v>
      </c>
      <c r="P87" s="953" t="s">
        <v>70</v>
      </c>
      <c r="Q87" s="1383"/>
      <c r="R87" s="1003"/>
      <c r="S87" s="1003"/>
      <c r="T87" s="1003"/>
      <c r="U87" s="1003"/>
      <c r="V87" s="972">
        <v>9709</v>
      </c>
      <c r="W87" s="935"/>
      <c r="X87" s="972">
        <v>9709</v>
      </c>
      <c r="Y87" s="866"/>
      <c r="Z87" s="1384"/>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99</v>
      </c>
      <c r="L88" s="1020"/>
      <c r="M88" s="963" t="s">
        <v>56</v>
      </c>
      <c r="N88" s="1118">
        <v>108665</v>
      </c>
      <c r="O88" s="963" t="s">
        <v>56</v>
      </c>
      <c r="P88" s="953" t="s">
        <v>70</v>
      </c>
      <c r="Q88" s="1383"/>
      <c r="R88" s="1003"/>
      <c r="S88" s="1003"/>
      <c r="T88" s="1003"/>
      <c r="U88" s="1003"/>
      <c r="V88" s="972">
        <v>9263</v>
      </c>
      <c r="W88" s="935"/>
      <c r="X88" s="972">
        <v>9263</v>
      </c>
      <c r="Y88" s="866"/>
      <c r="Z88" s="1384"/>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99</v>
      </c>
      <c r="L89" s="1020"/>
      <c r="M89" s="963" t="s">
        <v>56</v>
      </c>
      <c r="N89" s="1118">
        <v>120731</v>
      </c>
      <c r="O89" s="963" t="s">
        <v>56</v>
      </c>
      <c r="P89" s="953" t="s">
        <v>70</v>
      </c>
      <c r="Q89" s="1383"/>
      <c r="R89" s="1003"/>
      <c r="S89" s="1003"/>
      <c r="T89" s="1003"/>
      <c r="U89" s="1003"/>
      <c r="V89" s="972">
        <v>10385</v>
      </c>
      <c r="W89" s="935"/>
      <c r="X89" s="972">
        <v>10385</v>
      </c>
      <c r="Y89" s="866"/>
      <c r="Z89" s="1384"/>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99</v>
      </c>
      <c r="L90" s="1020"/>
      <c r="M90" s="963" t="s">
        <v>56</v>
      </c>
      <c r="N90" s="1118">
        <v>111864</v>
      </c>
      <c r="O90" s="963" t="s">
        <v>56</v>
      </c>
      <c r="P90" s="953" t="s">
        <v>70</v>
      </c>
      <c r="Q90" s="1383"/>
      <c r="R90" s="1003"/>
      <c r="S90" s="1003"/>
      <c r="T90" s="1003"/>
      <c r="U90" s="1003"/>
      <c r="V90" s="972">
        <v>9398</v>
      </c>
      <c r="W90" s="935"/>
      <c r="X90" s="972">
        <v>9398</v>
      </c>
      <c r="Y90" s="866"/>
      <c r="Z90" s="1384"/>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99</v>
      </c>
      <c r="L91" s="1020"/>
      <c r="M91" s="963" t="s">
        <v>56</v>
      </c>
      <c r="N91" s="1118">
        <v>88533.5</v>
      </c>
      <c r="O91" s="963" t="s">
        <v>56</v>
      </c>
      <c r="P91" s="953" t="s">
        <v>70</v>
      </c>
      <c r="Q91" s="1383"/>
      <c r="R91" s="1003"/>
      <c r="S91" s="1003"/>
      <c r="T91" s="1003"/>
      <c r="U91" s="1003"/>
      <c r="V91" s="972">
        <v>7517</v>
      </c>
      <c r="W91" s="935"/>
      <c r="X91" s="972">
        <v>7517</v>
      </c>
      <c r="Y91" s="866"/>
      <c r="Z91" s="1384"/>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99</v>
      </c>
      <c r="L92" s="1020"/>
      <c r="M92" s="963" t="s">
        <v>56</v>
      </c>
      <c r="N92" s="1118">
        <v>75143.5</v>
      </c>
      <c r="O92" s="963" t="s">
        <v>56</v>
      </c>
      <c r="P92" s="953" t="s">
        <v>70</v>
      </c>
      <c r="Q92" s="1383"/>
      <c r="R92" s="1003"/>
      <c r="S92" s="1003"/>
      <c r="T92" s="1003"/>
      <c r="U92" s="1003"/>
      <c r="V92" s="972">
        <v>5920</v>
      </c>
      <c r="W92" s="935"/>
      <c r="X92" s="972">
        <v>5920</v>
      </c>
      <c r="Y92" s="866"/>
      <c r="Z92" s="1384"/>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99</v>
      </c>
      <c r="L93" s="1020"/>
      <c r="M93" s="963" t="s">
        <v>56</v>
      </c>
      <c r="N93" s="1118">
        <v>66890</v>
      </c>
      <c r="O93" s="963" t="s">
        <v>56</v>
      </c>
      <c r="P93" s="953" t="s">
        <v>70</v>
      </c>
      <c r="Q93" s="1383"/>
      <c r="R93" s="1003"/>
      <c r="S93" s="1003"/>
      <c r="T93" s="1003"/>
      <c r="U93" s="1003"/>
      <c r="V93" s="972">
        <v>5589</v>
      </c>
      <c r="W93" s="935"/>
      <c r="X93" s="972">
        <v>5589</v>
      </c>
      <c r="Y93" s="866"/>
      <c r="Z93" s="1384"/>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99</v>
      </c>
      <c r="L94" s="1020"/>
      <c r="M94" s="963" t="s">
        <v>56</v>
      </c>
      <c r="N94" s="1118">
        <v>65974</v>
      </c>
      <c r="O94" s="963" t="s">
        <v>56</v>
      </c>
      <c r="P94" s="953" t="s">
        <v>70</v>
      </c>
      <c r="Q94" s="1383"/>
      <c r="R94" s="1003"/>
      <c r="S94" s="1003"/>
      <c r="T94" s="1003"/>
      <c r="U94" s="1003"/>
      <c r="V94" s="972">
        <v>5515</v>
      </c>
      <c r="W94" s="935"/>
      <c r="X94" s="972">
        <v>5515</v>
      </c>
      <c r="Y94" s="866"/>
      <c r="Z94" s="1384"/>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99</v>
      </c>
      <c r="L95" s="1020"/>
      <c r="M95" s="963" t="s">
        <v>56</v>
      </c>
      <c r="N95" s="1118">
        <v>63989.5</v>
      </c>
      <c r="O95" s="963" t="s">
        <v>56</v>
      </c>
      <c r="P95" s="953" t="s">
        <v>70</v>
      </c>
      <c r="Q95" s="1383"/>
      <c r="R95" s="1003"/>
      <c r="S95" s="1003"/>
      <c r="T95" s="1003"/>
      <c r="U95" s="1003"/>
      <c r="V95" s="972">
        <v>5191</v>
      </c>
      <c r="W95" s="935"/>
      <c r="X95" s="972">
        <v>5191</v>
      </c>
      <c r="Y95" s="866"/>
      <c r="Z95" s="1384"/>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99</v>
      </c>
      <c r="L96" s="1020"/>
      <c r="M96" s="963" t="s">
        <v>56</v>
      </c>
      <c r="N96" s="1118">
        <v>67355.5</v>
      </c>
      <c r="O96" s="963" t="s">
        <v>56</v>
      </c>
      <c r="P96" s="953" t="s">
        <v>70</v>
      </c>
      <c r="Q96" s="1383"/>
      <c r="R96" s="1003"/>
      <c r="S96" s="1003"/>
      <c r="T96" s="1003"/>
      <c r="U96" s="1003"/>
      <c r="V96" s="972">
        <v>5620</v>
      </c>
      <c r="W96" s="935"/>
      <c r="X96" s="972">
        <v>5620</v>
      </c>
      <c r="Y96" s="866"/>
      <c r="Z96" s="1384"/>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99</v>
      </c>
      <c r="L97" s="1020"/>
      <c r="M97" s="963" t="s">
        <v>56</v>
      </c>
      <c r="N97" s="1118">
        <v>86438.5</v>
      </c>
      <c r="O97" s="963" t="s">
        <v>56</v>
      </c>
      <c r="P97" s="953" t="s">
        <v>70</v>
      </c>
      <c r="Q97" s="1383"/>
      <c r="R97" s="1003"/>
      <c r="S97" s="1003"/>
      <c r="T97" s="1003"/>
      <c r="U97" s="1003"/>
      <c r="V97" s="972">
        <v>6864</v>
      </c>
      <c r="W97" s="935"/>
      <c r="X97" s="972">
        <v>6864</v>
      </c>
      <c r="Y97" s="866"/>
      <c r="Z97" s="1384"/>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99</v>
      </c>
      <c r="L98" s="1020"/>
      <c r="M98" s="963" t="s">
        <v>56</v>
      </c>
      <c r="N98" s="1118">
        <v>88748.5</v>
      </c>
      <c r="O98" s="963" t="s">
        <v>56</v>
      </c>
      <c r="P98" s="953" t="s">
        <v>70</v>
      </c>
      <c r="Q98" s="1383"/>
      <c r="R98" s="1003"/>
      <c r="S98" s="1003"/>
      <c r="T98" s="1003"/>
      <c r="U98" s="1003"/>
      <c r="V98" s="972">
        <v>6461</v>
      </c>
      <c r="W98" s="935"/>
      <c r="X98" s="972">
        <v>6461</v>
      </c>
      <c r="Y98" s="866"/>
      <c r="Z98" s="1384"/>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99</v>
      </c>
      <c r="L99" s="1020"/>
      <c r="M99" s="963" t="s">
        <v>56</v>
      </c>
      <c r="N99" s="1118">
        <v>33288</v>
      </c>
      <c r="O99" s="963" t="s">
        <v>56</v>
      </c>
      <c r="P99" s="953" t="s">
        <v>70</v>
      </c>
      <c r="Q99" s="1383"/>
      <c r="R99" s="1003"/>
      <c r="S99" s="1003"/>
      <c r="T99" s="1003"/>
      <c r="U99" s="1003"/>
      <c r="V99" s="972">
        <v>2790</v>
      </c>
      <c r="W99" s="935"/>
      <c r="X99" s="972">
        <v>2790</v>
      </c>
      <c r="Y99" s="866"/>
      <c r="Z99" s="1384"/>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99</v>
      </c>
      <c r="L100" s="1020"/>
      <c r="M100" s="963" t="s">
        <v>56</v>
      </c>
      <c r="N100" s="1118">
        <v>89875.5</v>
      </c>
      <c r="O100" s="963" t="s">
        <v>56</v>
      </c>
      <c r="P100" s="953" t="s">
        <v>70</v>
      </c>
      <c r="Q100" s="1383"/>
      <c r="R100" s="1003"/>
      <c r="S100" s="1003"/>
      <c r="T100" s="1003"/>
      <c r="U100" s="1003"/>
      <c r="V100" s="972">
        <v>7368</v>
      </c>
      <c r="W100" s="935"/>
      <c r="X100" s="972">
        <v>7368</v>
      </c>
      <c r="Y100" s="866"/>
      <c r="Z100" s="1384"/>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99</v>
      </c>
      <c r="L101" s="1020"/>
      <c r="M101" s="963" t="s">
        <v>56</v>
      </c>
      <c r="N101" s="1118">
        <v>95052.5</v>
      </c>
      <c r="O101" s="963" t="s">
        <v>56</v>
      </c>
      <c r="P101" s="953" t="s">
        <v>70</v>
      </c>
      <c r="Q101" s="1383"/>
      <c r="R101" s="1003"/>
      <c r="S101" s="1003"/>
      <c r="T101" s="1003"/>
      <c r="U101" s="1003"/>
      <c r="V101" s="972">
        <v>7844</v>
      </c>
      <c r="W101" s="935"/>
      <c r="X101" s="972">
        <v>7844</v>
      </c>
      <c r="Y101" s="866"/>
      <c r="Z101" s="1384"/>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99</v>
      </c>
      <c r="L102" s="1020"/>
      <c r="M102" s="963" t="s">
        <v>56</v>
      </c>
      <c r="N102" s="1118">
        <v>102476</v>
      </c>
      <c r="O102" s="963" t="s">
        <v>56</v>
      </c>
      <c r="P102" s="953" t="s">
        <v>70</v>
      </c>
      <c r="Q102" s="1383"/>
      <c r="R102" s="1003"/>
      <c r="S102" s="1003"/>
      <c r="T102" s="1003"/>
      <c r="U102" s="1003"/>
      <c r="V102" s="972">
        <v>8148</v>
      </c>
      <c r="W102" s="935"/>
      <c r="X102" s="972">
        <v>8148</v>
      </c>
      <c r="Y102" s="866"/>
      <c r="Z102" s="1384"/>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99</v>
      </c>
      <c r="L103" s="1020"/>
      <c r="M103" s="963" t="s">
        <v>56</v>
      </c>
      <c r="N103" s="1118">
        <v>80344</v>
      </c>
      <c r="O103" s="963" t="s">
        <v>56</v>
      </c>
      <c r="P103" s="953" t="s">
        <v>70</v>
      </c>
      <c r="Q103" s="1383"/>
      <c r="R103" s="1003"/>
      <c r="S103" s="1003"/>
      <c r="T103" s="1003"/>
      <c r="U103" s="1003"/>
      <c r="V103" s="972">
        <v>6829</v>
      </c>
      <c r="W103" s="935"/>
      <c r="X103" s="972">
        <v>6829</v>
      </c>
      <c r="Y103" s="866"/>
      <c r="Z103" s="1384"/>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99</v>
      </c>
      <c r="L104" s="1020"/>
      <c r="M104" s="963" t="s">
        <v>56</v>
      </c>
      <c r="N104" s="1118">
        <v>73166</v>
      </c>
      <c r="O104" s="963" t="s">
        <v>56</v>
      </c>
      <c r="P104" s="953" t="s">
        <v>70</v>
      </c>
      <c r="Q104" s="1383"/>
      <c r="R104" s="1003"/>
      <c r="S104" s="1003"/>
      <c r="T104" s="1003"/>
      <c r="U104" s="1003"/>
      <c r="V104" s="972">
        <v>6157</v>
      </c>
      <c r="W104" s="935"/>
      <c r="X104" s="972">
        <v>6157</v>
      </c>
      <c r="Y104" s="866"/>
      <c r="Z104" s="1384"/>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99</v>
      </c>
      <c r="L105" s="1020"/>
      <c r="M105" s="963" t="s">
        <v>56</v>
      </c>
      <c r="N105" s="1118">
        <v>114642</v>
      </c>
      <c r="O105" s="963" t="s">
        <v>56</v>
      </c>
      <c r="P105" s="953" t="s">
        <v>70</v>
      </c>
      <c r="Q105" s="1383"/>
      <c r="R105" s="1003"/>
      <c r="S105" s="1003"/>
      <c r="T105" s="1003"/>
      <c r="U105" s="1003"/>
      <c r="V105" s="972">
        <v>9537</v>
      </c>
      <c r="W105" s="935"/>
      <c r="X105" s="972">
        <v>9537</v>
      </c>
      <c r="Y105" s="866"/>
      <c r="Z105" s="1384"/>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99</v>
      </c>
      <c r="L106" s="1020"/>
      <c r="M106" s="963" t="s">
        <v>56</v>
      </c>
      <c r="N106" s="1118">
        <v>85589.5</v>
      </c>
      <c r="O106" s="963" t="s">
        <v>56</v>
      </c>
      <c r="P106" s="953" t="s">
        <v>70</v>
      </c>
      <c r="Q106" s="1383"/>
      <c r="R106" s="1003"/>
      <c r="S106" s="1003"/>
      <c r="T106" s="1003"/>
      <c r="U106" s="1003"/>
      <c r="V106" s="972">
        <v>6796</v>
      </c>
      <c r="W106" s="935"/>
      <c r="X106" s="972">
        <v>6796</v>
      </c>
      <c r="Y106" s="866"/>
      <c r="Z106" s="1384"/>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99</v>
      </c>
      <c r="L107" s="1020"/>
      <c r="M107" s="963" t="s">
        <v>56</v>
      </c>
      <c r="N107" s="1118">
        <v>76640</v>
      </c>
      <c r="O107" s="963" t="s">
        <v>56</v>
      </c>
      <c r="P107" s="953" t="s">
        <v>70</v>
      </c>
      <c r="Q107" s="1383"/>
      <c r="R107" s="1003"/>
      <c r="S107" s="1003"/>
      <c r="T107" s="1003"/>
      <c r="U107" s="1003"/>
      <c r="V107" s="972">
        <v>6149</v>
      </c>
      <c r="W107" s="935"/>
      <c r="X107" s="972">
        <v>6149</v>
      </c>
      <c r="Y107" s="866"/>
      <c r="Z107" s="1384"/>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99</v>
      </c>
      <c r="L108" s="1020"/>
      <c r="M108" s="963" t="s">
        <v>56</v>
      </c>
      <c r="N108" s="1118">
        <v>80780</v>
      </c>
      <c r="O108" s="963" t="s">
        <v>56</v>
      </c>
      <c r="P108" s="953" t="s">
        <v>70</v>
      </c>
      <c r="Q108" s="1383"/>
      <c r="R108" s="1003"/>
      <c r="S108" s="1003"/>
      <c r="T108" s="1003"/>
      <c r="U108" s="1003"/>
      <c r="V108" s="972">
        <v>6284</v>
      </c>
      <c r="W108" s="935"/>
      <c r="X108" s="972">
        <v>6284</v>
      </c>
      <c r="Y108" s="866"/>
      <c r="Z108" s="1384"/>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99</v>
      </c>
      <c r="L109" s="1020"/>
      <c r="M109" s="963" t="s">
        <v>56</v>
      </c>
      <c r="N109" s="1118">
        <v>95244</v>
      </c>
      <c r="O109" s="963" t="s">
        <v>56</v>
      </c>
      <c r="P109" s="953" t="s">
        <v>70</v>
      </c>
      <c r="Q109" s="1383"/>
      <c r="R109" s="1003"/>
      <c r="S109" s="1003"/>
      <c r="T109" s="1003"/>
      <c r="U109" s="1003"/>
      <c r="V109" s="972">
        <v>7743</v>
      </c>
      <c r="W109" s="935"/>
      <c r="X109" s="972">
        <v>7743</v>
      </c>
      <c r="Y109" s="866"/>
      <c r="Z109" s="1384"/>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99</v>
      </c>
      <c r="L110" s="1020"/>
      <c r="M110" s="963" t="s">
        <v>56</v>
      </c>
      <c r="N110" s="1118">
        <v>86888</v>
      </c>
      <c r="O110" s="963" t="s">
        <v>56</v>
      </c>
      <c r="P110" s="953" t="s">
        <v>70</v>
      </c>
      <c r="Q110" s="1383"/>
      <c r="R110" s="1003"/>
      <c r="S110" s="1003"/>
      <c r="T110" s="1003"/>
      <c r="U110" s="1003"/>
      <c r="V110" s="972">
        <v>6932</v>
      </c>
      <c r="W110" s="935"/>
      <c r="X110" s="972">
        <v>6932</v>
      </c>
      <c r="Y110" s="866"/>
      <c r="Z110" s="1384"/>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99</v>
      </c>
      <c r="L111" s="1020"/>
      <c r="M111" s="963" t="s">
        <v>56</v>
      </c>
      <c r="N111" s="1118">
        <v>75700</v>
      </c>
      <c r="O111" s="963" t="s">
        <v>56</v>
      </c>
      <c r="P111" s="953" t="s">
        <v>70</v>
      </c>
      <c r="Q111" s="1383"/>
      <c r="R111" s="1003"/>
      <c r="S111" s="1003"/>
      <c r="T111" s="1003"/>
      <c r="U111" s="1003"/>
      <c r="V111" s="972">
        <v>6213</v>
      </c>
      <c r="W111" s="935"/>
      <c r="X111" s="972">
        <v>6213</v>
      </c>
      <c r="Y111" s="866"/>
      <c r="Z111" s="1384"/>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99</v>
      </c>
      <c r="L112" s="1020"/>
      <c r="M112" s="963" t="s">
        <v>56</v>
      </c>
      <c r="N112" s="1118">
        <v>53698</v>
      </c>
      <c r="O112" s="963" t="s">
        <v>56</v>
      </c>
      <c r="P112" s="953" t="s">
        <v>70</v>
      </c>
      <c r="Q112" s="1383"/>
      <c r="R112" s="1003"/>
      <c r="S112" s="1003"/>
      <c r="T112" s="1003"/>
      <c r="U112" s="1003"/>
      <c r="V112" s="972">
        <v>4339</v>
      </c>
      <c r="W112" s="935"/>
      <c r="X112" s="972">
        <v>4339</v>
      </c>
      <c r="Y112" s="866"/>
      <c r="Z112" s="1384"/>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99</v>
      </c>
      <c r="L113" s="1020"/>
      <c r="M113" s="963" t="s">
        <v>56</v>
      </c>
      <c r="N113" s="1118">
        <v>48883</v>
      </c>
      <c r="O113" s="963" t="s">
        <v>56</v>
      </c>
      <c r="P113" s="953" t="s">
        <v>70</v>
      </c>
      <c r="Q113" s="1383"/>
      <c r="R113" s="1003"/>
      <c r="S113" s="1003"/>
      <c r="T113" s="1003"/>
      <c r="U113" s="1003"/>
      <c r="V113" s="972">
        <v>3940</v>
      </c>
      <c r="W113" s="935"/>
      <c r="X113" s="972">
        <v>3940</v>
      </c>
      <c r="Y113" s="866"/>
      <c r="Z113" s="1384"/>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99</v>
      </c>
      <c r="L114" s="1020"/>
      <c r="M114" s="963" t="s">
        <v>56</v>
      </c>
      <c r="N114" s="1118">
        <v>83382</v>
      </c>
      <c r="O114" s="963" t="s">
        <v>56</v>
      </c>
      <c r="P114" s="953" t="s">
        <v>70</v>
      </c>
      <c r="Q114" s="1383"/>
      <c r="R114" s="1003"/>
      <c r="S114" s="1003"/>
      <c r="T114" s="1003"/>
      <c r="U114" s="1003"/>
      <c r="V114" s="972">
        <v>6855</v>
      </c>
      <c r="W114" s="935"/>
      <c r="X114" s="972">
        <v>6855</v>
      </c>
      <c r="Y114" s="866"/>
      <c r="Z114" s="1384"/>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99</v>
      </c>
      <c r="L115" s="1020"/>
      <c r="M115" s="963" t="s">
        <v>56</v>
      </c>
      <c r="N115" s="1118">
        <v>88834</v>
      </c>
      <c r="O115" s="963" t="s">
        <v>56</v>
      </c>
      <c r="P115" s="953" t="s">
        <v>70</v>
      </c>
      <c r="Q115" s="1383"/>
      <c r="R115" s="1003"/>
      <c r="S115" s="1003"/>
      <c r="T115" s="1003"/>
      <c r="U115" s="1003"/>
      <c r="V115" s="972">
        <v>7147</v>
      </c>
      <c r="W115" s="935"/>
      <c r="X115" s="972">
        <v>7147</v>
      </c>
      <c r="Y115" s="866"/>
      <c r="Z115" s="1384"/>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99</v>
      </c>
      <c r="L116" s="1020"/>
      <c r="M116" s="963" t="s">
        <v>56</v>
      </c>
      <c r="N116" s="1118">
        <v>81027.5</v>
      </c>
      <c r="O116" s="963" t="s">
        <v>56</v>
      </c>
      <c r="P116" s="953" t="s">
        <v>70</v>
      </c>
      <c r="Q116" s="1383"/>
      <c r="R116" s="1003"/>
      <c r="S116" s="1003"/>
      <c r="T116" s="1003"/>
      <c r="U116" s="1003"/>
      <c r="V116" s="972">
        <v>6376</v>
      </c>
      <c r="W116" s="935"/>
      <c r="X116" s="972">
        <v>6376</v>
      </c>
      <c r="Y116" s="866"/>
      <c r="Z116" s="1384"/>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99</v>
      </c>
      <c r="L117" s="1020"/>
      <c r="M117" s="963" t="s">
        <v>56</v>
      </c>
      <c r="N117" s="1118">
        <v>60264</v>
      </c>
      <c r="O117" s="963" t="s">
        <v>56</v>
      </c>
      <c r="P117" s="953" t="s">
        <v>70</v>
      </c>
      <c r="Q117" s="1383"/>
      <c r="R117" s="1003"/>
      <c r="S117" s="1003"/>
      <c r="T117" s="1003"/>
      <c r="U117" s="1003"/>
      <c r="V117" s="972">
        <v>4784</v>
      </c>
      <c r="W117" s="935"/>
      <c r="X117" s="972">
        <v>4784</v>
      </c>
      <c r="Y117" s="866"/>
      <c r="Z117" s="1384"/>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99</v>
      </c>
      <c r="L118" s="1020"/>
      <c r="M118" s="963" t="s">
        <v>56</v>
      </c>
      <c r="N118" s="1118">
        <v>81096</v>
      </c>
      <c r="O118" s="963" t="s">
        <v>56</v>
      </c>
      <c r="P118" s="953" t="s">
        <v>70</v>
      </c>
      <c r="Q118" s="1383"/>
      <c r="R118" s="1003"/>
      <c r="S118" s="1003"/>
      <c r="T118" s="1003"/>
      <c r="U118" s="1003"/>
      <c r="V118" s="972">
        <v>6387</v>
      </c>
      <c r="W118" s="935"/>
      <c r="X118" s="972">
        <v>6387</v>
      </c>
      <c r="Y118" s="866"/>
      <c r="Z118" s="1384"/>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99</v>
      </c>
      <c r="L119" s="1020"/>
      <c r="M119" s="963" t="s">
        <v>56</v>
      </c>
      <c r="N119" s="1118">
        <v>79796</v>
      </c>
      <c r="O119" s="963" t="s">
        <v>56</v>
      </c>
      <c r="P119" s="953" t="s">
        <v>70</v>
      </c>
      <c r="Q119" s="1383"/>
      <c r="R119" s="1003"/>
      <c r="S119" s="1003"/>
      <c r="T119" s="1003"/>
      <c r="U119" s="1003"/>
      <c r="V119" s="972">
        <v>6372</v>
      </c>
      <c r="W119" s="935"/>
      <c r="X119" s="972">
        <v>6372</v>
      </c>
      <c r="Y119" s="866"/>
      <c r="Z119" s="1384"/>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99</v>
      </c>
      <c r="L120" s="1020"/>
      <c r="M120" s="963" t="s">
        <v>56</v>
      </c>
      <c r="N120" s="1118">
        <v>69082</v>
      </c>
      <c r="O120" s="963" t="s">
        <v>56</v>
      </c>
      <c r="P120" s="953" t="s">
        <v>70</v>
      </c>
      <c r="Q120" s="1383"/>
      <c r="R120" s="1003"/>
      <c r="S120" s="1003"/>
      <c r="T120" s="1003"/>
      <c r="U120" s="1003"/>
      <c r="V120" s="972">
        <v>5363</v>
      </c>
      <c r="W120" s="935"/>
      <c r="X120" s="972">
        <v>5363</v>
      </c>
      <c r="Y120" s="866"/>
      <c r="Z120" s="1384"/>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99</v>
      </c>
      <c r="L121" s="1020"/>
      <c r="M121" s="963" t="s">
        <v>56</v>
      </c>
      <c r="N121" s="1118">
        <v>65448</v>
      </c>
      <c r="O121" s="963" t="s">
        <v>56</v>
      </c>
      <c r="P121" s="953" t="s">
        <v>70</v>
      </c>
      <c r="Q121" s="1383"/>
      <c r="R121" s="1003"/>
      <c r="S121" s="1003"/>
      <c r="T121" s="1003"/>
      <c r="U121" s="1003"/>
      <c r="V121" s="972">
        <v>5199</v>
      </c>
      <c r="W121" s="935"/>
      <c r="X121" s="972">
        <v>5199</v>
      </c>
      <c r="Y121" s="866"/>
      <c r="Z121" s="1384"/>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99</v>
      </c>
      <c r="L122" s="1020"/>
      <c r="M122" s="963" t="s">
        <v>56</v>
      </c>
      <c r="N122" s="1118">
        <v>116020.5</v>
      </c>
      <c r="O122" s="963" t="s">
        <v>56</v>
      </c>
      <c r="P122" s="953" t="s">
        <v>70</v>
      </c>
      <c r="Q122" s="1383"/>
      <c r="R122" s="1003"/>
      <c r="S122" s="1003"/>
      <c r="T122" s="1003"/>
      <c r="U122" s="1003"/>
      <c r="V122" s="972">
        <v>9771</v>
      </c>
      <c r="W122" s="935"/>
      <c r="X122" s="972">
        <v>9771</v>
      </c>
      <c r="Y122" s="866"/>
      <c r="Z122" s="1384"/>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99</v>
      </c>
      <c r="L123" s="1020"/>
      <c r="M123" s="963" t="s">
        <v>56</v>
      </c>
      <c r="N123" s="1118">
        <v>114306</v>
      </c>
      <c r="O123" s="963" t="s">
        <v>56</v>
      </c>
      <c r="P123" s="953" t="s">
        <v>70</v>
      </c>
      <c r="Q123" s="1383"/>
      <c r="R123" s="1003"/>
      <c r="S123" s="1003"/>
      <c r="T123" s="1003"/>
      <c r="U123" s="1003"/>
      <c r="V123" s="972">
        <v>9562</v>
      </c>
      <c r="W123" s="935"/>
      <c r="X123" s="972">
        <v>9562</v>
      </c>
      <c r="Y123" s="866"/>
      <c r="Z123" s="1384"/>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99</v>
      </c>
      <c r="L124" s="1020"/>
      <c r="M124" s="963" t="s">
        <v>56</v>
      </c>
      <c r="N124" s="1118">
        <v>80784</v>
      </c>
      <c r="O124" s="963" t="s">
        <v>56</v>
      </c>
      <c r="P124" s="953" t="s">
        <v>70</v>
      </c>
      <c r="Q124" s="1383"/>
      <c r="R124" s="1003"/>
      <c r="S124" s="1003"/>
      <c r="T124" s="1003"/>
      <c r="U124" s="1003"/>
      <c r="V124" s="972">
        <v>6309</v>
      </c>
      <c r="W124" s="935"/>
      <c r="X124" s="972">
        <v>6309</v>
      </c>
      <c r="Y124" s="866"/>
      <c r="Z124" s="1384"/>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99</v>
      </c>
      <c r="L125" s="1020"/>
      <c r="M125" s="963" t="s">
        <v>56</v>
      </c>
      <c r="N125" s="1118">
        <v>125540.85</v>
      </c>
      <c r="O125" s="963" t="s">
        <v>56</v>
      </c>
      <c r="P125" s="953" t="s">
        <v>70</v>
      </c>
      <c r="Q125" s="1383"/>
      <c r="R125" s="1003"/>
      <c r="S125" s="1003"/>
      <c r="T125" s="1003"/>
      <c r="U125" s="1003"/>
      <c r="V125" s="972">
        <v>10260</v>
      </c>
      <c r="W125" s="935"/>
      <c r="X125" s="972">
        <v>10260</v>
      </c>
      <c r="Y125" s="866"/>
      <c r="Z125" s="1384"/>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99</v>
      </c>
      <c r="L126" s="1020"/>
      <c r="M126" s="963" t="s">
        <v>56</v>
      </c>
      <c r="N126" s="1118">
        <v>119327</v>
      </c>
      <c r="O126" s="963" t="s">
        <v>56</v>
      </c>
      <c r="P126" s="953" t="s">
        <v>70</v>
      </c>
      <c r="Q126" s="1383"/>
      <c r="R126" s="1003"/>
      <c r="S126" s="1003"/>
      <c r="T126" s="1003"/>
      <c r="U126" s="1003"/>
      <c r="V126" s="972">
        <v>10080</v>
      </c>
      <c r="W126" s="935"/>
      <c r="X126" s="972">
        <v>10080</v>
      </c>
      <c r="Y126" s="866"/>
      <c r="Z126" s="1384"/>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99</v>
      </c>
      <c r="L127" s="1020"/>
      <c r="M127" s="963" t="s">
        <v>56</v>
      </c>
      <c r="N127" s="1118">
        <v>85720</v>
      </c>
      <c r="O127" s="963" t="s">
        <v>56</v>
      </c>
      <c r="P127" s="953" t="s">
        <v>70</v>
      </c>
      <c r="Q127" s="1383"/>
      <c r="R127" s="1003"/>
      <c r="S127" s="1003"/>
      <c r="T127" s="1003"/>
      <c r="U127" s="1003"/>
      <c r="V127" s="972">
        <v>6859</v>
      </c>
      <c r="W127" s="935"/>
      <c r="X127" s="972">
        <v>6859</v>
      </c>
      <c r="Y127" s="866"/>
      <c r="Z127" s="1384"/>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99</v>
      </c>
      <c r="L128" s="1020"/>
      <c r="M128" s="963" t="s">
        <v>56</v>
      </c>
      <c r="N128" s="1118">
        <v>75682</v>
      </c>
      <c r="O128" s="963" t="s">
        <v>56</v>
      </c>
      <c r="P128" s="953" t="s">
        <v>70</v>
      </c>
      <c r="Q128" s="1383"/>
      <c r="R128" s="1003"/>
      <c r="S128" s="1003"/>
      <c r="T128" s="1003"/>
      <c r="U128" s="1003"/>
      <c r="V128" s="972">
        <v>5873</v>
      </c>
      <c r="W128" s="935"/>
      <c r="X128" s="972">
        <v>5873</v>
      </c>
      <c r="Y128" s="866"/>
      <c r="Z128" s="1384"/>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99</v>
      </c>
      <c r="L129" s="1020"/>
      <c r="M129" s="963" t="s">
        <v>56</v>
      </c>
      <c r="N129" s="1118">
        <v>60784</v>
      </c>
      <c r="O129" s="963" t="s">
        <v>56</v>
      </c>
      <c r="P129" s="953" t="s">
        <v>70</v>
      </c>
      <c r="Q129" s="1383"/>
      <c r="R129" s="1003"/>
      <c r="S129" s="1003"/>
      <c r="T129" s="1003"/>
      <c r="U129" s="1003"/>
      <c r="V129" s="972">
        <v>4945</v>
      </c>
      <c r="W129" s="935"/>
      <c r="X129" s="972">
        <v>4945</v>
      </c>
      <c r="Y129" s="866"/>
      <c r="Z129" s="1384"/>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99</v>
      </c>
      <c r="L130" s="1020"/>
      <c r="M130" s="963" t="s">
        <v>56</v>
      </c>
      <c r="N130" s="1118">
        <v>52670</v>
      </c>
      <c r="O130" s="963" t="s">
        <v>56</v>
      </c>
      <c r="P130" s="953" t="s">
        <v>70</v>
      </c>
      <c r="Q130" s="1383"/>
      <c r="R130" s="1003"/>
      <c r="S130" s="1003"/>
      <c r="T130" s="1003"/>
      <c r="U130" s="1003"/>
      <c r="V130" s="972">
        <v>4275</v>
      </c>
      <c r="W130" s="935"/>
      <c r="X130" s="972">
        <v>4275</v>
      </c>
      <c r="Y130" s="866"/>
      <c r="Z130" s="1384"/>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99</v>
      </c>
      <c r="L131" s="1020"/>
      <c r="M131" s="963" t="s">
        <v>69</v>
      </c>
      <c r="N131" s="1118"/>
      <c r="O131" s="963" t="s">
        <v>69</v>
      </c>
      <c r="P131" s="953" t="s">
        <v>70</v>
      </c>
      <c r="Q131" s="1383"/>
      <c r="R131" s="1003"/>
      <c r="S131" s="1003"/>
      <c r="T131" s="1003"/>
      <c r="U131" s="1003"/>
      <c r="V131" s="972">
        <v>6378</v>
      </c>
      <c r="W131" s="935"/>
      <c r="X131" s="972">
        <v>6378</v>
      </c>
      <c r="Y131" s="866"/>
      <c r="Z131" s="1384"/>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99</v>
      </c>
      <c r="L132" s="1020"/>
      <c r="M132" s="963" t="s">
        <v>69</v>
      </c>
      <c r="N132" s="1118"/>
      <c r="O132" s="963" t="s">
        <v>69</v>
      </c>
      <c r="P132" s="953" t="s">
        <v>70</v>
      </c>
      <c r="Q132" s="1383"/>
      <c r="R132" s="1003"/>
      <c r="S132" s="1003"/>
      <c r="T132" s="1003"/>
      <c r="U132" s="1003"/>
      <c r="V132" s="972">
        <v>7373</v>
      </c>
      <c r="W132" s="935"/>
      <c r="X132" s="972">
        <v>7373</v>
      </c>
      <c r="Y132" s="866"/>
      <c r="Z132" s="1384"/>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99</v>
      </c>
      <c r="L133" s="1020"/>
      <c r="M133" s="963" t="s">
        <v>69</v>
      </c>
      <c r="N133" s="1118"/>
      <c r="O133" s="963" t="s">
        <v>69</v>
      </c>
      <c r="P133" s="953" t="s">
        <v>70</v>
      </c>
      <c r="Q133" s="1383"/>
      <c r="R133" s="1003"/>
      <c r="S133" s="1003"/>
      <c r="T133" s="1003"/>
      <c r="U133" s="1003"/>
      <c r="V133" s="972">
        <v>5781</v>
      </c>
      <c r="W133" s="935"/>
      <c r="X133" s="972">
        <v>5781</v>
      </c>
      <c r="Y133" s="866"/>
      <c r="Z133" s="1384"/>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99</v>
      </c>
      <c r="L134" s="1020"/>
      <c r="M134" s="963" t="s">
        <v>69</v>
      </c>
      <c r="N134" s="1118"/>
      <c r="O134" s="963" t="s">
        <v>69</v>
      </c>
      <c r="P134" s="953" t="s">
        <v>70</v>
      </c>
      <c r="Q134" s="1383"/>
      <c r="R134" s="1003"/>
      <c r="S134" s="1003"/>
      <c r="T134" s="1003"/>
      <c r="U134" s="1003"/>
      <c r="V134" s="972">
        <v>9051</v>
      </c>
      <c r="W134" s="935"/>
      <c r="X134" s="972">
        <v>9051</v>
      </c>
      <c r="Y134" s="866"/>
      <c r="Z134" s="1384"/>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99</v>
      </c>
      <c r="L135" s="1020"/>
      <c r="M135" s="963" t="s">
        <v>69</v>
      </c>
      <c r="N135" s="1118"/>
      <c r="O135" s="963" t="s">
        <v>69</v>
      </c>
      <c r="P135" s="953" t="s">
        <v>70</v>
      </c>
      <c r="Q135" s="1383"/>
      <c r="R135" s="1003"/>
      <c r="S135" s="1003"/>
      <c r="T135" s="1003"/>
      <c r="U135" s="1003"/>
      <c r="V135" s="972">
        <v>7261</v>
      </c>
      <c r="W135" s="935"/>
      <c r="X135" s="972">
        <v>7261</v>
      </c>
      <c r="Y135" s="866"/>
      <c r="Z135" s="1384"/>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99</v>
      </c>
      <c r="L136" s="1020"/>
      <c r="M136" s="963" t="s">
        <v>69</v>
      </c>
      <c r="N136" s="1118"/>
      <c r="O136" s="963" t="s">
        <v>69</v>
      </c>
      <c r="P136" s="953" t="s">
        <v>70</v>
      </c>
      <c r="Q136" s="1383"/>
      <c r="R136" s="1003"/>
      <c r="S136" s="1003"/>
      <c r="T136" s="1003"/>
      <c r="U136" s="1003"/>
      <c r="V136" s="972">
        <v>9638</v>
      </c>
      <c r="W136" s="935"/>
      <c r="X136" s="972">
        <v>9638</v>
      </c>
      <c r="Y136" s="866"/>
      <c r="Z136" s="1384"/>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99</v>
      </c>
      <c r="L137" s="1020"/>
      <c r="M137" s="963" t="s">
        <v>69</v>
      </c>
      <c r="N137" s="1118"/>
      <c r="O137" s="963" t="s">
        <v>69</v>
      </c>
      <c r="P137" s="953" t="s">
        <v>70</v>
      </c>
      <c r="Q137" s="1383"/>
      <c r="R137" s="1003"/>
      <c r="S137" s="1003"/>
      <c r="T137" s="1003"/>
      <c r="U137" s="1003"/>
      <c r="V137" s="972">
        <v>8746</v>
      </c>
      <c r="W137" s="935"/>
      <c r="X137" s="972">
        <v>8746</v>
      </c>
      <c r="Y137" s="866"/>
      <c r="Z137" s="1384"/>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3"/>
      <c r="R138" s="1003"/>
      <c r="S138" s="1003"/>
      <c r="T138" s="1003"/>
      <c r="U138" s="1003"/>
      <c r="V138" s="1110"/>
      <c r="W138" s="935"/>
      <c r="X138" s="1110"/>
      <c r="Y138" s="866"/>
      <c r="Z138" s="1384"/>
      <c r="AA138" s="1385"/>
      <c r="AB138" s="1385"/>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3"/>
      <c r="R139" s="1003"/>
      <c r="S139" s="1003"/>
      <c r="T139" s="1003"/>
      <c r="U139" s="1003"/>
      <c r="V139" s="1110"/>
      <c r="W139" s="935"/>
      <c r="X139" s="1110"/>
      <c r="Y139" s="866"/>
      <c r="Z139" s="1384"/>
      <c r="AA139" s="1385"/>
      <c r="AB139" s="1385"/>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99</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99</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99</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99</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99</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99</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99</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99</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99</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99</v>
      </c>
      <c r="L150" s="1020"/>
      <c r="M150" s="963" t="s">
        <v>56</v>
      </c>
      <c r="N150" s="1014">
        <v>105892.05</v>
      </c>
      <c r="O150" s="963" t="s">
        <v>56</v>
      </c>
      <c r="P150" s="941" t="s">
        <v>70</v>
      </c>
      <c r="Q150" s="1383"/>
      <c r="R150" s="1003"/>
      <c r="S150" s="1003"/>
      <c r="T150" s="1003"/>
      <c r="U150" s="1003"/>
      <c r="V150" s="935">
        <v>8641</v>
      </c>
      <c r="W150" s="1380"/>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99</v>
      </c>
      <c r="L151" s="1020"/>
      <c r="M151" s="963" t="s">
        <v>56</v>
      </c>
      <c r="N151" s="1014">
        <v>88420</v>
      </c>
      <c r="O151" s="963" t="s">
        <v>56</v>
      </c>
      <c r="P151" s="941" t="s">
        <v>70</v>
      </c>
      <c r="Q151" s="1386"/>
      <c r="R151" s="1005"/>
      <c r="S151" s="1005"/>
      <c r="T151" s="1005"/>
      <c r="U151" s="1005"/>
      <c r="V151" s="1007">
        <v>7502</v>
      </c>
      <c r="W151" s="1387"/>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99</v>
      </c>
      <c r="L152" s="1020"/>
      <c r="M152" s="963" t="s">
        <v>69</v>
      </c>
      <c r="N152" s="1014"/>
      <c r="O152" s="963" t="s">
        <v>56</v>
      </c>
      <c r="P152" s="941" t="s">
        <v>70</v>
      </c>
      <c r="Q152" s="925">
        <v>45659</v>
      </c>
      <c r="R152" s="1005"/>
      <c r="S152" s="1005"/>
      <c r="T152" s="1005"/>
      <c r="U152" s="1005"/>
      <c r="V152" s="1007">
        <v>3682</v>
      </c>
      <c r="W152" s="1387"/>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97</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97</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71">
        <v>109</v>
      </c>
      <c r="I10" s="663" t="s">
        <v>80</v>
      </c>
      <c r="J10" s="666" t="s">
        <v>55</v>
      </c>
      <c r="K10" s="1366"/>
      <c r="L10" s="988">
        <v>45663</v>
      </c>
      <c r="M10" s="900" t="s">
        <v>56</v>
      </c>
      <c r="N10" s="1372">
        <v>123587.5</v>
      </c>
      <c r="O10" s="1371" t="s">
        <v>56</v>
      </c>
      <c r="P10" s="1388" t="s">
        <v>81</v>
      </c>
      <c r="Q10" s="1373">
        <v>46008</v>
      </c>
      <c r="R10" s="1373"/>
      <c r="S10" s="1373"/>
      <c r="T10" s="1373"/>
      <c r="U10" s="1373"/>
      <c r="V10" s="1374">
        <v>6825</v>
      </c>
      <c r="W10" s="1389">
        <v>6575</v>
      </c>
      <c r="X10" s="1369">
        <f>SUM(V10-W10)</f>
        <v>250</v>
      </c>
      <c r="Y10" s="522">
        <f>IFERROR($W10/$V10, 0)</f>
        <v>0.96336996336996339</v>
      </c>
      <c r="Z10" s="1373">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97</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103</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97</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97</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97</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97</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97</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106</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97</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106</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106</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106</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97</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106</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106</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106</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106</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106</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106</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106</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106</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106</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106</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106</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106</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106</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106</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106</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106</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106</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97</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6">
        <v>0</v>
      </c>
      <c r="I64" s="521" t="s">
        <v>80</v>
      </c>
      <c r="J64" s="1366" t="s">
        <v>55</v>
      </c>
      <c r="K64" s="986" t="s">
        <v>103</v>
      </c>
      <c r="L64" s="1366" t="s">
        <v>56</v>
      </c>
      <c r="M64" s="1390">
        <v>15670.45</v>
      </c>
      <c r="N64" s="346">
        <v>12965</v>
      </c>
      <c r="O64" s="1366" t="s">
        <v>56</v>
      </c>
      <c r="P64" s="1391" t="s">
        <v>81</v>
      </c>
      <c r="Q64" s="1368">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106</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97</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106</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106</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106</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106</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106</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97</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103</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97</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97</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97</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97</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97</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97</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106</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97</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97</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289"/>
      <c r="O166" s="849" t="s">
        <v>56</v>
      </c>
      <c r="P166" s="603" t="s">
        <v>81</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5"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97</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106</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97</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97</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97</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106</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106</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106</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106</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106</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106</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106</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106</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106</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97</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103</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103</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106</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97</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103</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103</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106</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106</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97</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97</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106</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106</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106</v>
      </c>
      <c r="G253" s="531" t="s">
        <v>1080</v>
      </c>
      <c r="H253" s="303">
        <v>59</v>
      </c>
      <c r="I253" s="766" t="s">
        <v>80</v>
      </c>
      <c r="J253" s="767" t="s">
        <v>55</v>
      </c>
      <c r="K253" s="20">
        <v>45964</v>
      </c>
      <c r="L253" s="767" t="s">
        <v>56</v>
      </c>
      <c r="M253" s="1226">
        <v>65066.5</v>
      </c>
      <c r="N253" s="595"/>
      <c r="O253" s="21" t="s">
        <v>56</v>
      </c>
      <c r="P253" s="1048" t="s">
        <v>81</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106</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106</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106</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106</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106</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106</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106</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106</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106</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106</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106</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106</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106</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106</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106</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106</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106</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106</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106</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106</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92">
        <v>5883</v>
      </c>
      <c r="T275" s="1045">
        <v>0</v>
      </c>
      <c r="U275" s="81">
        <f>IFERROR(Table5[[#This Row],[Actual Redline Completed Footage UG]]/Table5[[#This Row],[Footage UG]], 0)</f>
        <v>1.0039249146757678</v>
      </c>
      <c r="V275" s="1383">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92">
        <v>4894</v>
      </c>
      <c r="T278" s="1044">
        <v>0</v>
      </c>
      <c r="U278" s="4">
        <f>IFERROR(Table5[[#This Row],[Actual Redline Completed Footage UG]]/Table5[[#This Row],[Footage UG]], 0)</f>
        <v>1.011993382961125</v>
      </c>
      <c r="V278" s="1386">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93">
        <v>7212</v>
      </c>
      <c r="T280" s="1044">
        <v>0</v>
      </c>
      <c r="U280" s="4">
        <f>IFERROR(Table5[[#This Row],[Actual Redline Completed Footage UG]]/Table5[[#This Row],[Footage UG]], 0)</f>
        <v>0.98242746219861055</v>
      </c>
      <c r="V280" s="1383">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106</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106</v>
      </c>
      <c r="G282" s="1131"/>
      <c r="H282" s="1013">
        <v>0</v>
      </c>
      <c r="I282" s="637" t="s">
        <v>80</v>
      </c>
      <c r="J282" s="1013" t="s">
        <v>55</v>
      </c>
      <c r="K282" s="956">
        <v>46027</v>
      </c>
      <c r="L282" s="900" t="s">
        <v>56</v>
      </c>
      <c r="M282" s="1133">
        <v>18078.28</v>
      </c>
      <c r="N282" s="627"/>
      <c r="O282" s="1013" t="s">
        <v>56</v>
      </c>
      <c r="P282" s="1134" t="s">
        <v>81</v>
      </c>
      <c r="Q282" s="925">
        <v>46027</v>
      </c>
      <c r="R282" s="6">
        <v>1284</v>
      </c>
      <c r="S282" s="1393">
        <v>1277</v>
      </c>
      <c r="T282" s="1045">
        <v>0</v>
      </c>
      <c r="U282" s="81">
        <f>IFERROR(Table5[[#This Row],[Actual Redline Completed Footage UG]]/Table5[[#This Row],[Footage UG]], 0)</f>
        <v>0.99454828660436134</v>
      </c>
      <c r="V282" s="1383">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114</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114</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114</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97</v>
      </c>
      <c r="E296" s="721">
        <v>45768</v>
      </c>
      <c r="F296" s="722" t="s">
        <v>106</v>
      </c>
      <c r="G296" s="719"/>
      <c r="H296" s="723">
        <v>0</v>
      </c>
      <c r="I296" s="724" t="s">
        <v>81</v>
      </c>
      <c r="J296" s="723" t="s">
        <v>63</v>
      </c>
      <c r="K296" s="720"/>
      <c r="L296" s="725" t="s">
        <v>63</v>
      </c>
      <c r="M296" s="723" t="s">
        <v>69</v>
      </c>
      <c r="N296" s="726">
        <v>0</v>
      </c>
      <c r="O296" s="723" t="s">
        <v>69</v>
      </c>
      <c r="P296" s="727" t="s">
        <v>81</v>
      </c>
      <c r="Q296" s="728" t="s">
        <v>63</v>
      </c>
      <c r="R296" s="729" t="s">
        <v>103</v>
      </c>
      <c r="S296" s="729" t="s">
        <v>103</v>
      </c>
      <c r="T296" s="729" t="s">
        <v>103</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97</v>
      </c>
      <c r="E297" s="684">
        <v>45768</v>
      </c>
      <c r="F297" s="683" t="s">
        <v>106</v>
      </c>
      <c r="G297" s="685"/>
      <c r="H297" s="686">
        <v>0</v>
      </c>
      <c r="I297" s="692" t="s">
        <v>81</v>
      </c>
      <c r="J297" s="686" t="s">
        <v>63</v>
      </c>
      <c r="K297" s="691"/>
      <c r="L297" s="693" t="s">
        <v>63</v>
      </c>
      <c r="M297" s="686" t="s">
        <v>69</v>
      </c>
      <c r="N297" s="687">
        <v>0</v>
      </c>
      <c r="O297" s="686" t="s">
        <v>69</v>
      </c>
      <c r="P297" s="688" t="s">
        <v>81</v>
      </c>
      <c r="Q297" s="36" t="s">
        <v>63</v>
      </c>
      <c r="R297" s="258" t="s">
        <v>103</v>
      </c>
      <c r="S297" s="258" t="s">
        <v>103</v>
      </c>
      <c r="T297" s="258" t="s">
        <v>103</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4" t="s">
        <v>55</v>
      </c>
      <c r="K298" s="43"/>
      <c r="L298" s="693" t="s">
        <v>63</v>
      </c>
      <c r="M298" s="767" t="s">
        <v>56</v>
      </c>
      <c r="N298" s="1395">
        <v>1035</v>
      </c>
      <c r="O298" s="947" t="s">
        <v>56</v>
      </c>
      <c r="P298" s="1300" t="s">
        <v>81</v>
      </c>
      <c r="Q298" s="1396">
        <v>46030</v>
      </c>
      <c r="R298" s="258" t="s">
        <v>103</v>
      </c>
      <c r="S298" s="258" t="s">
        <v>103</v>
      </c>
      <c r="T298" s="258" t="s">
        <v>103</v>
      </c>
      <c r="U298" s="36"/>
      <c r="V298" s="1397">
        <v>0</v>
      </c>
      <c r="W298" s="1398">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1220</v>
      </c>
      <c r="C1" s="1357"/>
      <c r="D1" s="433"/>
      <c r="E1" s="1357" t="s">
        <v>1221</v>
      </c>
      <c r="F1" s="1357"/>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v>12656</v>
      </c>
      <c r="E4" s="13" t="s">
        <v>1222</v>
      </c>
      <c r="F4" t="s">
        <v>1225</v>
      </c>
      <c r="W4" t="s">
        <v>1228</v>
      </c>
      <c r="X4">
        <v>22</v>
      </c>
    </row>
    <row r="5" spans="1:25">
      <c r="B5" t="s">
        <v>97</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149</v>
      </c>
      <c r="C8">
        <v>16756</v>
      </c>
      <c r="L8" t="s">
        <v>464</v>
      </c>
      <c r="M8">
        <v>1</v>
      </c>
      <c r="P8" t="s">
        <v>1237</v>
      </c>
      <c r="R8">
        <v>1</v>
      </c>
      <c r="V8" t="s">
        <v>1238</v>
      </c>
      <c r="W8" s="189">
        <v>203521</v>
      </c>
      <c r="X8" s="245">
        <f>X5/X4</f>
        <v>0.59090909090909094</v>
      </c>
      <c r="Y8" s="245">
        <f>W9/W8</f>
        <v>0.31446386367991508</v>
      </c>
    </row>
    <row r="9" spans="1:25">
      <c r="B9" t="s">
        <v>134</v>
      </c>
      <c r="C9">
        <v>25873</v>
      </c>
      <c r="L9" t="s">
        <v>1239</v>
      </c>
      <c r="M9">
        <v>1</v>
      </c>
      <c r="P9" t="s">
        <v>1240</v>
      </c>
      <c r="Q9" t="s">
        <v>1239</v>
      </c>
      <c r="R9">
        <v>1</v>
      </c>
      <c r="V9" t="s">
        <v>1241</v>
      </c>
      <c r="W9">
        <v>64000</v>
      </c>
    </row>
    <row r="10" spans="1:25">
      <c r="B10" t="s">
        <v>77</v>
      </c>
      <c r="C10">
        <v>4907</v>
      </c>
      <c r="L10" t="s">
        <v>719</v>
      </c>
      <c r="M10">
        <v>1</v>
      </c>
      <c r="Q10" t="s">
        <v>723</v>
      </c>
      <c r="R10">
        <v>1</v>
      </c>
    </row>
    <row r="11" spans="1:25">
      <c r="B11" t="s">
        <v>113</v>
      </c>
      <c r="C11">
        <v>3</v>
      </c>
      <c r="L11" t="s">
        <v>723</v>
      </c>
      <c r="M11">
        <v>1</v>
      </c>
      <c r="Q11" t="s">
        <v>726</v>
      </c>
      <c r="R11">
        <v>1</v>
      </c>
    </row>
    <row r="12" spans="1:25">
      <c r="B12" t="s">
        <v>51</v>
      </c>
      <c r="C12">
        <v>8185</v>
      </c>
      <c r="L12" t="s">
        <v>726</v>
      </c>
      <c r="M12">
        <v>1</v>
      </c>
      <c r="Q12" t="s">
        <v>1242</v>
      </c>
      <c r="R12">
        <v>1</v>
      </c>
    </row>
    <row r="13" spans="1:25">
      <c r="B13" t="s">
        <v>260</v>
      </c>
      <c r="C13">
        <v>12242</v>
      </c>
      <c r="L13" t="s">
        <v>1243</v>
      </c>
      <c r="M13">
        <v>1</v>
      </c>
      <c r="Q13" t="s">
        <v>1033</v>
      </c>
      <c r="R13">
        <v>1</v>
      </c>
    </row>
    <row r="14" spans="1:25">
      <c r="B14" t="s">
        <v>1244</v>
      </c>
      <c r="C14">
        <v>271134</v>
      </c>
      <c r="L14" t="s">
        <v>740</v>
      </c>
      <c r="M14">
        <v>1</v>
      </c>
      <c r="P14" t="s">
        <v>1245</v>
      </c>
      <c r="R14">
        <v>5</v>
      </c>
    </row>
    <row r="15" spans="1:25">
      <c r="L15" t="s">
        <v>1242</v>
      </c>
      <c r="M15">
        <v>1</v>
      </c>
      <c r="P15" t="s">
        <v>1231</v>
      </c>
      <c r="R15">
        <v>12</v>
      </c>
    </row>
    <row r="16" spans="1:25">
      <c r="L16" t="s">
        <v>742</v>
      </c>
      <c r="M16">
        <v>1</v>
      </c>
      <c r="P16" t="s">
        <v>1244</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109</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1251</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109</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3"/>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F4">
        <v>1049</v>
      </c>
      <c r="G4">
        <v>1049</v>
      </c>
      <c r="J4" s="13" t="s">
        <v>1295</v>
      </c>
      <c r="K4" t="s">
        <v>1225</v>
      </c>
      <c r="N4" s="13" t="s">
        <v>1295</v>
      </c>
      <c r="O4" t="s">
        <v>1296</v>
      </c>
      <c r="P4" t="s">
        <v>1297</v>
      </c>
      <c r="Q4" t="s">
        <v>1298</v>
      </c>
      <c r="R4" t="s">
        <v>1244</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84</v>
      </c>
      <c r="K6">
        <v>22274</v>
      </c>
      <c r="N6" t="s">
        <v>84</v>
      </c>
      <c r="O6">
        <v>24798</v>
      </c>
      <c r="P6">
        <v>44426</v>
      </c>
      <c r="Q6">
        <v>33743</v>
      </c>
      <c r="R6">
        <v>102967</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1244</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1244</v>
      </c>
      <c r="O13">
        <v>50898</v>
      </c>
      <c r="P13">
        <v>140140</v>
      </c>
      <c r="Q13">
        <v>113546</v>
      </c>
      <c r="R13">
        <v>304584</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1244</v>
      </c>
      <c r="J16" t="s">
        <v>699</v>
      </c>
      <c r="K16">
        <v>6718</v>
      </c>
    </row>
    <row r="17" spans="1:11">
      <c r="A17" t="s">
        <v>692</v>
      </c>
      <c r="E17">
        <v>547</v>
      </c>
      <c r="F17">
        <v>792</v>
      </c>
      <c r="G17">
        <v>1339</v>
      </c>
      <c r="J17" t="s">
        <v>441</v>
      </c>
    </row>
    <row r="18" spans="1:11">
      <c r="A18" t="s">
        <v>695</v>
      </c>
      <c r="F18">
        <v>823</v>
      </c>
      <c r="G18">
        <v>823</v>
      </c>
      <c r="J18" t="s">
        <v>1244</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359</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359</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355</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355</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355</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359</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355</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101</v>
      </c>
      <c r="D829">
        <v>1282</v>
      </c>
      <c r="E829">
        <v>980</v>
      </c>
      <c r="G829">
        <v>2262</v>
      </c>
    </row>
    <row r="830" spans="1:7">
      <c r="A830" t="s">
        <v>855</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355</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101</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343</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355</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346</v>
      </c>
      <c r="D899">
        <v>3179</v>
      </c>
      <c r="G899">
        <v>3179</v>
      </c>
    </row>
    <row r="900" spans="1:7">
      <c r="A900" t="s">
        <v>1003</v>
      </c>
      <c r="E900">
        <v>978</v>
      </c>
      <c r="G900">
        <v>978</v>
      </c>
    </row>
    <row r="901" spans="1:7">
      <c r="A901" t="s">
        <v>992</v>
      </c>
      <c r="E901">
        <v>502</v>
      </c>
      <c r="G901">
        <v>502</v>
      </c>
    </row>
    <row r="902" spans="1:7">
      <c r="A902" t="s">
        <v>156</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886</v>
      </c>
    </row>
    <row r="910" spans="1:7">
      <c r="A910" t="s">
        <v>852</v>
      </c>
    </row>
    <row r="911" spans="1:7">
      <c r="A911" t="s">
        <v>871</v>
      </c>
      <c r="F911">
        <v>569</v>
      </c>
      <c r="G911">
        <v>569</v>
      </c>
    </row>
    <row r="912" spans="1:7">
      <c r="A912" t="s">
        <v>1057</v>
      </c>
    </row>
    <row r="913" spans="1:7">
      <c r="A913" t="s">
        <v>343</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346</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365</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346</v>
      </c>
      <c r="B944">
        <v>96</v>
      </c>
      <c r="G944">
        <v>96</v>
      </c>
    </row>
    <row r="945" spans="1:7">
      <c r="A945" t="s">
        <v>1003</v>
      </c>
      <c r="B945">
        <v>632</v>
      </c>
      <c r="G945">
        <v>632</v>
      </c>
    </row>
    <row r="946" spans="1:7">
      <c r="A946" t="s">
        <v>992</v>
      </c>
      <c r="B946">
        <v>558</v>
      </c>
      <c r="G946">
        <v>558</v>
      </c>
    </row>
    <row r="947" spans="1:7">
      <c r="A947" t="s">
        <v>156</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970</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383</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E968">
        <v>170</v>
      </c>
      <c r="F968">
        <v>271</v>
      </c>
      <c r="G968">
        <v>441</v>
      </c>
    </row>
    <row r="969" spans="1:7">
      <c r="A969" t="s">
        <v>355</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156</v>
      </c>
      <c r="B973">
        <v>420</v>
      </c>
      <c r="G973">
        <v>420</v>
      </c>
    </row>
    <row r="974" spans="1:7">
      <c r="A974" t="s">
        <v>995</v>
      </c>
    </row>
    <row r="975" spans="1:7">
      <c r="A975" t="s">
        <v>348</v>
      </c>
      <c r="C975">
        <v>1917</v>
      </c>
      <c r="E975">
        <v>272</v>
      </c>
      <c r="G975">
        <v>2189</v>
      </c>
    </row>
    <row r="976" spans="1:7">
      <c r="A976" t="s">
        <v>565</v>
      </c>
      <c r="B976">
        <v>956</v>
      </c>
      <c r="G976">
        <v>956</v>
      </c>
    </row>
    <row r="977" spans="1:7">
      <c r="A977" t="s">
        <v>145</v>
      </c>
      <c r="E977">
        <v>195</v>
      </c>
      <c r="G977">
        <v>195</v>
      </c>
    </row>
    <row r="978" spans="1:7">
      <c r="A978" t="s">
        <v>383</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385</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346</v>
      </c>
    </row>
    <row r="1011" spans="1:7">
      <c r="A1011" t="s">
        <v>156</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348</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371</v>
      </c>
      <c r="D1100">
        <v>817</v>
      </c>
      <c r="E1100">
        <v>1820</v>
      </c>
      <c r="G1100">
        <v>2637</v>
      </c>
    </row>
    <row r="1101" spans="1:7">
      <c r="A1101" t="s">
        <v>928</v>
      </c>
      <c r="E1101">
        <v>1351</v>
      </c>
      <c r="G1101">
        <v>1351</v>
      </c>
    </row>
    <row r="1102" spans="1:7">
      <c r="A1102" t="s">
        <v>377</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377</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148</v>
      </c>
      <c r="C1129">
        <v>890</v>
      </c>
      <c r="D1129">
        <v>1810</v>
      </c>
      <c r="E1129">
        <v>967</v>
      </c>
      <c r="G1129">
        <v>3667</v>
      </c>
    </row>
    <row r="1130" spans="1:7">
      <c r="A1130" t="s">
        <v>387</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377</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377</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362</v>
      </c>
      <c r="F1196">
        <v>0</v>
      </c>
      <c r="G1196">
        <v>0</v>
      </c>
    </row>
    <row r="1197" spans="1:7">
      <c r="A1197" t="s">
        <v>374</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F1203">
        <v>50</v>
      </c>
      <c r="G1203">
        <v>50</v>
      </c>
    </row>
    <row r="1204" spans="1:7">
      <c r="A1204" t="s">
        <v>430</v>
      </c>
      <c r="C1204">
        <v>312</v>
      </c>
      <c r="G1204">
        <v>312</v>
      </c>
    </row>
    <row r="1205" spans="1:7">
      <c r="A1205" t="s">
        <v>1207</v>
      </c>
      <c r="E1205">
        <v>142</v>
      </c>
      <c r="G1205">
        <v>142</v>
      </c>
    </row>
    <row r="1206" spans="1:7">
      <c r="A1206" t="s">
        <v>355</v>
      </c>
      <c r="D1206">
        <v>1200</v>
      </c>
      <c r="E1206">
        <v>445</v>
      </c>
      <c r="F1206">
        <v>686</v>
      </c>
      <c r="G1206">
        <v>2331</v>
      </c>
    </row>
    <row r="1207" spans="1:7">
      <c r="A1207" t="s">
        <v>886</v>
      </c>
    </row>
    <row r="1208" spans="1:7">
      <c r="A1208" t="s">
        <v>855</v>
      </c>
    </row>
    <row r="1209" spans="1:7">
      <c r="A1209" t="s">
        <v>365</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374</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368</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355</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219</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226</v>
      </c>
      <c r="D1256">
        <v>2000</v>
      </c>
      <c r="E1256">
        <v>970</v>
      </c>
      <c r="G1256">
        <v>2970</v>
      </c>
    </row>
    <row r="1257" spans="1:7">
      <c r="A1257" t="s">
        <v>351</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351</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380</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v>859</v>
      </c>
      <c r="G1296">
        <v>859</v>
      </c>
    </row>
    <row r="1297" spans="1:7">
      <c r="A1297" t="s">
        <v>1277</v>
      </c>
      <c r="B1297">
        <v>251</v>
      </c>
      <c r="G1297">
        <v>251</v>
      </c>
    </row>
    <row r="1298" spans="1:7">
      <c r="A1298" t="s">
        <v>156</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219</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380</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202</v>
      </c>
      <c r="D1328">
        <v>753</v>
      </c>
      <c r="E1328">
        <v>1289</v>
      </c>
      <c r="G1328">
        <v>2042</v>
      </c>
    </row>
    <row r="1329" spans="1:7">
      <c r="A1329" t="s">
        <v>223</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362</v>
      </c>
      <c r="C1339">
        <v>1340</v>
      </c>
      <c r="D1339">
        <v>1529</v>
      </c>
      <c r="E1339">
        <v>1168</v>
      </c>
      <c r="F1339">
        <v>1008</v>
      </c>
      <c r="G1339">
        <v>5045</v>
      </c>
    </row>
    <row r="1340" spans="1:7">
      <c r="A1340" t="s">
        <v>393</v>
      </c>
      <c r="B1340">
        <v>669</v>
      </c>
      <c r="C1340">
        <v>467</v>
      </c>
      <c r="D1340">
        <v>1133</v>
      </c>
      <c r="E1340">
        <v>448</v>
      </c>
      <c r="G1340">
        <v>2717</v>
      </c>
    </row>
    <row r="1341" spans="1:7">
      <c r="A1341" t="s">
        <v>390</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362</v>
      </c>
      <c r="B1351">
        <v>1274</v>
      </c>
      <c r="C1351">
        <v>1073</v>
      </c>
      <c r="D1351">
        <v>271</v>
      </c>
      <c r="G1351">
        <v>2618</v>
      </c>
    </row>
    <row r="1352" spans="1:7">
      <c r="A1352" t="s">
        <v>399</v>
      </c>
      <c r="E1352">
        <v>1033</v>
      </c>
      <c r="G1352">
        <v>1033</v>
      </c>
    </row>
    <row r="1353" spans="1:7">
      <c r="A1353" t="s">
        <v>219</v>
      </c>
      <c r="D1353">
        <v>667</v>
      </c>
      <c r="G1353">
        <v>667</v>
      </c>
    </row>
    <row r="1354" spans="1:7">
      <c r="A1354" t="s">
        <v>393</v>
      </c>
      <c r="B1354">
        <v>1044</v>
      </c>
      <c r="G1354">
        <v>1044</v>
      </c>
    </row>
    <row r="1355" spans="1:7">
      <c r="A1355" t="s">
        <v>202</v>
      </c>
      <c r="C1355">
        <v>1062</v>
      </c>
      <c r="D1355">
        <v>1318</v>
      </c>
      <c r="E1355">
        <v>1165</v>
      </c>
      <c r="G1355">
        <v>3545</v>
      </c>
    </row>
    <row r="1356" spans="1:7">
      <c r="A1356" t="s">
        <v>223</v>
      </c>
      <c r="B1356">
        <v>1099</v>
      </c>
      <c r="D1356">
        <v>2025</v>
      </c>
      <c r="G1356">
        <v>3124</v>
      </c>
    </row>
    <row r="1357" spans="1:7">
      <c r="A1357" t="s">
        <v>390</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t="s">
        <v>1244</v>
      </c>
    </row>
    <row r="1367" spans="1:7">
      <c r="A1367" t="s">
        <v>148</v>
      </c>
    </row>
    <row r="1368" spans="1:7">
      <c r="A1368" t="s">
        <v>202</v>
      </c>
      <c r="B1368">
        <v>1391</v>
      </c>
      <c r="D1368">
        <v>1391</v>
      </c>
    </row>
    <row r="1369" spans="1:7">
      <c r="A1369" t="s">
        <v>75</v>
      </c>
      <c r="B1369">
        <v>1016</v>
      </c>
      <c r="D1369">
        <v>1016</v>
      </c>
    </row>
    <row r="1370" spans="1:7">
      <c r="A1370" t="s">
        <v>1363</v>
      </c>
      <c r="B1370">
        <v>1287</v>
      </c>
      <c r="D1370">
        <v>1287</v>
      </c>
    </row>
    <row r="1371" spans="1:7">
      <c r="A1371" t="s">
        <v>89</v>
      </c>
      <c r="B1371">
        <v>611</v>
      </c>
      <c r="D1371">
        <v>611</v>
      </c>
    </row>
    <row r="1372" spans="1:7">
      <c r="A1372" t="s">
        <v>218</v>
      </c>
    </row>
    <row r="1373" spans="1:7">
      <c r="A1373" t="s">
        <v>1244</v>
      </c>
      <c r="B1373">
        <v>4305</v>
      </c>
      <c r="D1373">
        <v>4305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7"/>
  <sheetViews>
    <sheetView workbookViewId="0">
      <pane ySplit="1" topLeftCell="A2740" activePane="bottomLeft" state="frozen"/>
      <selection pane="bottomLeft" activeCell="A2749" sqref="A2749"/>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101</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101</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101</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101</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101</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row r="2744" spans="1:7">
      <c r="A2744" s="243" t="s">
        <v>89</v>
      </c>
      <c r="B2744" s="243" t="s">
        <v>84</v>
      </c>
      <c r="C2744" s="24">
        <v>46084</v>
      </c>
      <c r="G2744" t="s">
        <v>1297</v>
      </c>
    </row>
    <row r="2745" spans="1:7">
      <c r="A2745" s="243" t="s">
        <v>148</v>
      </c>
      <c r="B2745" s="243" t="s">
        <v>149</v>
      </c>
      <c r="C2745" s="24">
        <v>46084</v>
      </c>
      <c r="G2745" t="s">
        <v>1297</v>
      </c>
    </row>
    <row r="2746" spans="1:7">
      <c r="A2746" s="247" t="s">
        <v>218</v>
      </c>
      <c r="B2746" s="247" t="s">
        <v>369</v>
      </c>
      <c r="C2746" s="24">
        <v>46084</v>
      </c>
      <c r="G2746" t="s">
        <v>1297</v>
      </c>
    </row>
    <row r="2747" spans="1:7">
      <c r="A2747" s="243" t="s">
        <v>1363</v>
      </c>
      <c r="B2747" s="243" t="s">
        <v>1964</v>
      </c>
      <c r="C2747" s="24">
        <v>46084</v>
      </c>
      <c r="G2747"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62"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63">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63">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63">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63">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63">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63"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62"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1363">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1363">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1363">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1363">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1363">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1363">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1363">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1363">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1363">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1363">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1363">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1363">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1363">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1363">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62"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1363"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1363">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63">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63">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63">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63">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63">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63">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63">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63">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63">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63">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63">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63">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63">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63">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63">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63">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63">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63">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63">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63">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63">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63">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63">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63">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63">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63">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63">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63">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63">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63">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63">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63">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63">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63">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63">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63">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63">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63">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63">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63">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63">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63">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63">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63">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63">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63">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62">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63"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62"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63">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63"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63"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63">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63">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63">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63">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63">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63">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63">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63">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63">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63">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63">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63">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63">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63">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63">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63">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63">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63">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63">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63">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63">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63">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63">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63">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63">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63">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63">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63">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63">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63">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63">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63">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63">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63">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63">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63">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63">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63">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63">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63">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63">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63">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63">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63">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63">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63">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63">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63">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63">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63">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63">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63">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63">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62">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63">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63">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63"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63"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63">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63">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63">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63">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63">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63">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63">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63">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63">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63">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63">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63">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63"/>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63"/>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63"/>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63"/>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63"/>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63"/>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64"/>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64"/>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64"/>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64"/>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64"/>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64"/>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64"/>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64"/>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64"/>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64"/>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64"/>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64"/>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64"/>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64"/>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64"/>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64"/>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64"/>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64"/>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64"/>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64"/>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64"/>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64"/>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64"/>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64"/>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64"/>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64"/>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64"/>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64"/>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64"/>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64"/>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64"/>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64"/>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64"/>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64"/>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64"/>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65"/>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D1D5DAA-9E71-407A-B03E-E41EEC4DC60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2026-03-03T19:17:52Z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