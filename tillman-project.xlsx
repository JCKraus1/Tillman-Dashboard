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7" documentId="8_{E14B221E-02E2-46A3-8CEC-C736815F2DD5}" xr6:coauthVersionLast="47" xr6:coauthVersionMax="47" xr10:uidLastSave="{BC0F3E96-7DA4-4499-A4E2-72E414A5C456}"/>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889" r:id="rId12"/>
    <pivotCache cacheId="890" r:id="rId13"/>
    <pivotCache cacheId="891" r:id="rId14"/>
    <pivotCache cacheId="892"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<sst xmlns="http://schemas.openxmlformats.org/spreadsheetml/2006/main" count="13845" uniqueCount="1681">
  <si>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</si>
  <si>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</si>
  <si>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</si>
  <si>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</si>
  <si>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</si>
  <si>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</si>
  <si>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</si>
  <si>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</si>
  <si>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</si>
  <si>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</si>
  <si>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</si>
  <si>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</si>
  <si>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</si>
  <si>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</si>
  <si>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</si>
  <si>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</si>
  <si>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</si>
  <si>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</si>
  <si>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</si>
  <si>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</si>
  <si>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</si>
  <si>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</si>
  <si>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</si>
  <si>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</si>
  <si>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</si>
  <si>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</si>
  <si>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</si>
  <si>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</si>
  <si>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</si>
  <si>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</si>
  <si>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</si>
  <si>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</si>
  <si>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</si>
  <si>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</si>
  <si>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</si>
  <si>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</si>
  <si>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</si>
  <si>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</si>
  <si>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</si>
  <si>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</si>
  <si>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</si>
  <si>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</si>
  <si>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</si>
  <si>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</si>
  <si>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</si>
  <si>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</si>
  <si>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</si>
  <si>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</si>
  <si>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</si>
  <si>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</si>
  <si>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</si>
  <si>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</si>
  <si>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</si>
  <si>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</si>
  <si>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</si>
  <si>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</si>
  <si>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</si>
  <si>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</si>
  <si>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</si>
  <si>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</si>
  <si>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</si>
  <si>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</si>
  <si>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</si>
  <si>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</si>
  <si>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</si>
  <si>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</si>
  <si>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</si>
  <si>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</si>
  <si>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</si>
  <si>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</si>
  <si>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</si>
  <si>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</si>
  <si>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</si>
  <si>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</si>
  <si>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</si>
  <si>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</si>
  <si>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</si>
  <si>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</si>
  <si>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</si>
  <si>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</si>
  <si>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</si>
  <si>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</si>
  <si>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</si>
  <si>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</si>
  <si>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</si>
  <si>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</si>
  <si>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</si>
  <si>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</si>
  <si>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</si>
  <si>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</si>
  <si>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</si>
  <si>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</si>
  <si>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</si>
  <si>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</si>
  <si>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</si>
  <si>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</si>
  <si>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</si>
  <si>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</si>
  <si>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</si>
  <si>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</si>
  <si>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</si>
  <si>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</si>
  <si>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</si>
  <si>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</si>
  <si>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</si>
  <si>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</si>
  <si>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</si>
  <si>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</si>
  <si>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</si>
  <si>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</si>
  <si>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</si>
  <si>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</si>
  <si>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</si>
  <si>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</si>
  <si>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</si>
  <si>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</si>
  <si>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</si>
  <si>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</si>
  <si>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</si>
  <si>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</si>
  <si>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</si>
  <si>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</si>
  <si>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</si>
  <si>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</si>
  <si>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</si>
  <si>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</si>
  <si>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</si>
  <si>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</si>
  <si>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</si>
  <si>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</si>
  <si>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</si>
  <si>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</si>
  <si>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</si>
  <si>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</si>
  <si>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</si>
  <si>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</si>
  <si>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</si>
  <si>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</si>
  <si>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</si>
  <si>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</si>
  <si>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</si>
  <si>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</si>
  <si>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</si>
  <si>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</si>
  <si>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</si>
  <si>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</si>
  <si>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</si>
  <si>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</si>
  <si>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</si>
  <si>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</si>
  <si>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</si>
  <si>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</si>
  <si>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</si>
  <si>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</si>
  <si>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</si>
  <si>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</si>
  <si>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</si>
  <si>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</si>
  <si>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</si>
  <si>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</si>
  <si>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</si>
  <si>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</si>
  <si>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</si>
  <si>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</si>
  <si>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</si>
  <si>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</si>
  <si>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</si>
  <si>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</si>
  <si>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</si>
  <si>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</si>
  <si>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</si>
  <si>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</si>
  <si>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</si>
  <si>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</si>
  <si>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</si>
  <si>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</si>
  <si>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</si>
  <si>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</si>
  <si>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</si>
  <si>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</si>
  <si>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</si>
  <si>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</si>
  <si>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</si>
  <si>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</si>
  <si>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</si>
  <si>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</si>
  <si>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</si>
  <si>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</si>
  <si>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</si>
  <si>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</si>
  <si>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</si>
  <si>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</si>
  <si>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</si>
  <si>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</si>
  <si>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</si>
  <si>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</si>
  <si>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</si>
  <si>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</si>
  <si>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</si>
  <si>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</si>
  <si>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</si>
  <si>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</si>
  <si>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</si>
  <si>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</si>
  <si>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</si>
  <si>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</si>
  <si>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</si>
  <si>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</si>
  <si>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</si>
  <si>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</si>
  <si>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</si>
  <si>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</si>
  <si>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</si>
  <si>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</si>
  <si>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</si>
  <si>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</si>
  <si>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</si>
  <si>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</si>
  <si>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</si>
  <si>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</si>
  <si>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</si>
  <si>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</si>
  <si>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</si>
  <si>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</si>
  <si>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</si>
  <si>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</si>
  <si>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</si>
  <si>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</si>
  <si>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</si>
  <si>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</si>
  <si>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</si>
  <si>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</si>
  <si>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</si>
  <si>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</si>
  <si>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</si>
  <si>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</si>
  <si>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</si>
  <si>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</si>
  <si>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</si>
  <si>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</si>
  <si>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</si>
  <si>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</si>
  <si>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</si>
  <si>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</si>
  <si>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</si>
  <si>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</si>
  <si>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</si>
  <si>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</si>
  <si>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</si>
  <si>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</si>
  <si>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</si>
  <si>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</si>
  <si>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</si>
  <si>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</si>
  <si>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</si>
  <si>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</si>
  <si>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</si>
  <si>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</si>
  <si>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</si>
  <si>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</si>
  <si>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</si>
  <si>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</si>
  <si>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</si>
  <si>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</si>
  <si>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</si>
  <si>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</si>
  <si>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</si>
  <si>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</si>
  <si>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</si>
  <si>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</si>
  <si>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</si>
  <si>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</si>
  <si>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</si>
  <si>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</si>
  <si>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</si>
  <si>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</si>
  <si>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</si>
  <si>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</si>
  <si>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</si>
  <si>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</si>
  <si>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</si>
  <si>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</si>
  <si>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</si>
  <si>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</si>
  <si>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</si>
  <si>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</si>
  <si>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</si>
  <si>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</si>
  <si>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</si>
  <si>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</si>
  <si>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</si>
  <si>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</si>
  <si>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</si>
  <si>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</si>
  <si>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</si>
  <si>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</si>
  <si>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</si>
  <si>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</si>
  <si>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</si>
  <si>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</si>
  <si>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</si>
  <si>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</si>
  <si>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</si>
  <si>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</si>
  <si>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</si>
  <si>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</si>
  <si>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</si>
  <si>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</si>
  <si>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</si>
  <si>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</si>
  <si>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</si>
  <si>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</si>
  <si>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</si>
  <si>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</si>
  <si>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</si>
  <si>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</si>
  <si>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</si>
  <si>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</si>
  <si>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</si>
  <si>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</si>
  <si>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</si>
  <si>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</si>
  <si>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</si>
  <si>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</si>
  <si>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</si>
  <si>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</si>
  <si>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</si>
  <si>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</si>
  <si>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</si>
  <si>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</si>
  <si>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</si>
  <si>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</si>
  <si>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D-HWP811</t>
  </si>
  <si>
    <t>PLK97116</t>
  </si>
  <si>
    <t>Needs City Permit, Just Email. 8/29 Permit Received./cx start sch 9-18 / 9/19-cx IP ECD 9.23/permit closed 9-25. 10/21 COP IP</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</si>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</sst>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dimension ref="A1:DQ182"/>
  <sheetViews>
    <sheetView tabSelected="1" topLeftCell="A4" zoomScale="80" zoomScaleNormal="80" workbookViewId="0">
      <pane xSplit="1" topLeftCell="B1" activePane="topRight" state="frozen"/>
      <selection pane="topRight" activeCell="AC23" sqref="A1:AC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SUM(V35-W35)</f>
        <v>3763</v>
      </c>
      <c r="Y35" s="688">
        <f t="shared" si="1"/>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SUM(V41-W41)</f>
        <v>175</v>
      </c>
      <c r="Y41" s="688">
        <f t="shared" si="1"/>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SUM(V60-W60)</f>
        <v>2146</v>
      </c>
      <c r="Y60" s="688">
        <f t="shared" si="1"/>
        <v>0.52772887323943662</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SUM(V62-W62)</f>
        <v>6295</v>
      </c>
      <c r="Y62" s="688">
        <f t="shared" si="1"/>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SUM(V77-W77)</f>
        <v>2538</v>
      </c>
      <c r="Y77" s="688">
        <f t="shared" si="2"/>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SUM(V82-W82)</f>
        <v>2982</v>
      </c>
      <c r="Y82" s="688">
        <f t="shared" si="2"/>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SUM(V85-W85)</f>
        <v>6762</v>
      </c>
      <c r="Y85" s="688">
        <f t="shared" si="2"/>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SUM(V87-W87)</f>
        <v>4515</v>
      </c>
      <c r="Y87" s="688">
        <f t="shared" si="2"/>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SUM(V88-W88)</f>
        <v>5795</v>
      </c>
      <c r="Y88" s="688">
        <f t="shared" si="2"/>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SUM(V89-W89)</f>
        <v>7140</v>
      </c>
      <c r="Y89" s="688">
        <f t="shared" si="2"/>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SUM(V91-W91)</f>
        <v>881</v>
      </c>
      <c r="Y91" s="688">
        <f t="shared" si="2"/>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SUM(V92-W92)</f>
        <v>2372</v>
      </c>
      <c r="Y92" s="688">
        <f t="shared" si="2"/>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SUM(V94-W94)</f>
        <v>1278</v>
      </c>
      <c r="Y94" s="688">
        <f t="shared" si="2"/>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SUM(V96-W96)</f>
        <v>2</v>
      </c>
      <c r="Y96" s="688">
        <f t="shared" si="2"/>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SUM(V97-W97)</f>
        <v>2092</v>
      </c>
      <c r="Y97" s="688">
        <f t="shared" si="2"/>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SUM(V98-W98)</f>
        <v>11150</v>
      </c>
      <c r="Y98" s="688">
        <f t="shared" si="2"/>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SUM(V99-W99)</f>
        <v>5394</v>
      </c>
      <c r="Y99" s="688">
        <f t="shared" si="2"/>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SUM(V113-W113)</f>
        <v>3150</v>
      </c>
      <c r="Y113" s="929">
        <f t="shared" si="2"/>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SUM(V117-W117)</f>
        <v>6935</v>
      </c>
      <c r="Y117" s="929">
        <f t="shared" ref="Y117:Y132" si="3">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SUM(V118-W118)</f>
        <v>5421</v>
      </c>
      <c r="Y118" s="939">
        <f t="shared" si="3"/>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SUM(V119-W119)</f>
        <v>6752</v>
      </c>
      <c r="Y119" s="939">
        <f t="shared" si="3"/>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SUM(V120-W120)</f>
        <v>7274</v>
      </c>
      <c r="Y120" s="939">
        <f t="shared" si="3"/>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SUM(V121-W121)</f>
        <v>7782</v>
      </c>
      <c r="Y121" s="939">
        <f t="shared" si="3"/>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SUM(V122-W122)</f>
        <v>7060</v>
      </c>
      <c r="Y122" s="939">
        <f t="shared" si="3"/>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SUM(V123-W123)</f>
        <v>7457</v>
      </c>
      <c r="Y123" s="939">
        <f t="shared" si="3"/>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SUM(V124-W124)</f>
        <v>8042</v>
      </c>
      <c r="Y124" s="939">
        <f t="shared" si="3"/>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SUM(V125-W125)</f>
        <v>6981</v>
      </c>
      <c r="Y125" s="939">
        <f t="shared" si="3"/>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SUM(V126-W126)</f>
        <v>7010</v>
      </c>
      <c r="Y126" s="939">
        <f t="shared" si="3"/>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SUM(V127-W127)</f>
        <v>6403</v>
      </c>
      <c r="Y127" s="939">
        <f t="shared" si="3"/>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SUM(V128-W128)</f>
        <v>6739</v>
      </c>
      <c r="Y128" s="939">
        <f t="shared" si="3"/>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SUM(V129-W129)</f>
        <v>6577</v>
      </c>
      <c r="Y129" s="939">
        <f t="shared" si="3"/>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SUM(V130-W130)</f>
        <v>6965</v>
      </c>
      <c r="Y130" s="939">
        <f t="shared" si="3"/>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SUM(V131-W131)</f>
        <v>7319</v>
      </c>
      <c r="Y131" s="939">
        <f t="shared" si="3"/>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SUM(V132-W132)</f>
        <v>4140</v>
      </c>
      <c r="Y132" s="939">
        <f t="shared" si="3"/>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7"/>
  <sheetViews>
    <sheetView workbookViewId="0">
      <pane xSplit="1" topLeftCell="B1" activePane="topRight" state="frozen"/>
      <selection pane="topRight" activeCell="W26" sqref="W26"/>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6" t="s">
        <v>332</v>
      </c>
      <c r="B14" s="479" t="s">
        <v>112</v>
      </c>
      <c r="C14" s="490">
        <v>45930</v>
      </c>
      <c r="D14" s="481" t="s">
        <v>133</v>
      </c>
      <c r="E14" s="481">
        <v>45896</v>
      </c>
      <c r="F14" s="479" t="s">
        <v>126</v>
      </c>
      <c r="G14" s="479" t="s">
        <v>333</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334</v>
      </c>
    </row>
    <row r="15" spans="1:30" ht="39.75" customHeight="1">
      <c r="A15" s="1011" t="s">
        <v>335</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336</v>
      </c>
    </row>
    <row r="16" spans="1:30" ht="39.75" customHeight="1">
      <c r="A16" s="513" t="s">
        <v>337</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338</v>
      </c>
    </row>
    <row r="17" spans="1:30" ht="39.75" customHeight="1">
      <c r="A17" s="1011" t="s">
        <v>339</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340</v>
      </c>
    </row>
    <row r="18" spans="1:30" ht="39.75" customHeight="1">
      <c r="A18" s="1011" t="s">
        <v>341</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342</v>
      </c>
    </row>
    <row r="19" spans="1:30" ht="39.75" customHeight="1">
      <c r="A19" s="1011" t="s">
        <v>343</v>
      </c>
      <c r="B19" s="479" t="s">
        <v>112</v>
      </c>
      <c r="C19" s="505">
        <v>45838</v>
      </c>
      <c r="D19" s="505" t="s">
        <v>133</v>
      </c>
      <c r="E19" s="490">
        <v>45786</v>
      </c>
      <c r="F19" s="505" t="s">
        <v>126</v>
      </c>
      <c r="G19" s="1025" t="s">
        <v>344</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345</v>
      </c>
    </row>
    <row r="20" spans="1:30" ht="39.75" customHeight="1">
      <c r="A20" s="1011" t="s">
        <v>346</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347</v>
      </c>
    </row>
    <row r="21" spans="1:30" ht="39.75" customHeight="1">
      <c r="A21" s="649" t="s">
        <v>348</v>
      </c>
      <c r="B21" s="480" t="s">
        <v>50</v>
      </c>
      <c r="C21" s="490">
        <v>45742</v>
      </c>
      <c r="D21" s="490" t="s">
        <v>349</v>
      </c>
      <c r="E21" s="442">
        <v>45680</v>
      </c>
      <c r="F21" s="489" t="s">
        <v>61</v>
      </c>
      <c r="G21" s="509" t="s">
        <v>350</v>
      </c>
      <c r="H21" s="492">
        <v>79</v>
      </c>
      <c r="I21" s="498" t="s">
        <v>351</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352</v>
      </c>
    </row>
    <row r="22" spans="1:30" ht="39.75" customHeight="1">
      <c r="A22" s="1011" t="s">
        <v>353</v>
      </c>
      <c r="B22" s="886" t="s">
        <v>50</v>
      </c>
      <c r="C22" s="481">
        <v>45991</v>
      </c>
      <c r="D22" s="481" t="s">
        <v>60</v>
      </c>
      <c r="E22" s="490">
        <v>45743</v>
      </c>
      <c r="F22" s="489" t="s">
        <v>61</v>
      </c>
      <c r="G22" s="887" t="s">
        <v>354</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c r="A23" s="906" t="s">
        <v>355</v>
      </c>
      <c r="B23" s="480" t="s">
        <v>50</v>
      </c>
      <c r="C23" s="481">
        <v>45991</v>
      </c>
      <c r="D23" s="489" t="s">
        <v>356</v>
      </c>
      <c r="E23" s="442">
        <v>45735</v>
      </c>
      <c r="F23" s="489" t="s">
        <v>61</v>
      </c>
      <c r="G23" s="491" t="s">
        <v>357</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358</v>
      </c>
    </row>
    <row r="24" spans="1:30" ht="39.75" customHeight="1">
      <c r="A24" s="1011" t="s">
        <v>359</v>
      </c>
      <c r="B24" s="886" t="s">
        <v>50</v>
      </c>
      <c r="C24" s="481">
        <v>45991</v>
      </c>
      <c r="D24" s="481" t="s">
        <v>60</v>
      </c>
      <c r="E24" s="490">
        <v>45779</v>
      </c>
      <c r="F24" s="489" t="s">
        <v>61</v>
      </c>
      <c r="G24" s="887" t="s">
        <v>360</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361</v>
      </c>
    </row>
    <row r="25" spans="1:30" ht="39.75" customHeight="1">
      <c r="A25" s="1011" t="s">
        <v>362</v>
      </c>
      <c r="B25" s="886" t="s">
        <v>50</v>
      </c>
      <c r="C25" s="481">
        <v>46008</v>
      </c>
      <c r="D25" s="481" t="s">
        <v>363</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3"/>
  <sheetViews>
    <sheetView topLeftCell="A2" zoomScale="80" zoomScaleNormal="80" workbookViewId="0">
      <selection activeCell="A34" sqref="A3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364</v>
      </c>
      <c r="B2" s="508" t="s">
        <v>204</v>
      </c>
      <c r="C2" s="481">
        <v>45868</v>
      </c>
      <c r="D2" s="489" t="s">
        <v>365</v>
      </c>
      <c r="E2" s="490">
        <v>45716</v>
      </c>
      <c r="F2" s="489" t="s">
        <v>209</v>
      </c>
      <c r="G2" s="617" t="s">
        <v>366</v>
      </c>
      <c r="H2" s="492">
        <v>0</v>
      </c>
      <c r="I2" s="498" t="s">
        <v>98</v>
      </c>
      <c r="J2" s="492" t="s">
        <v>63</v>
      </c>
      <c r="K2" s="504"/>
      <c r="L2" s="481">
        <v>45716</v>
      </c>
      <c r="M2" s="492" t="s">
        <v>57</v>
      </c>
      <c r="N2" s="561">
        <v>64932.55</v>
      </c>
      <c r="O2" s="492" t="s">
        <v>57</v>
      </c>
      <c r="P2" s="843" t="s">
        <v>99</v>
      </c>
      <c r="Q2" s="493">
        <v>45721</v>
      </c>
      <c r="R2" s="493"/>
      <c r="S2" s="493"/>
      <c r="T2" s="493"/>
      <c r="U2" s="501" t="s">
        <v>367</v>
      </c>
      <c r="V2" s="41">
        <v>5151</v>
      </c>
      <c r="W2" s="772">
        <v>5207</v>
      </c>
      <c r="X2" s="107">
        <f>SUM(V2-W2)</f>
        <v>-56</v>
      </c>
      <c r="Y2" s="22">
        <f>IFERROR($W2/$V2, 0)</f>
        <v>1.0108716754028344</v>
      </c>
      <c r="Z2" s="704">
        <v>45748</v>
      </c>
      <c r="AA2" s="366">
        <v>1</v>
      </c>
      <c r="AB2" s="366">
        <v>1</v>
      </c>
      <c r="AC2" s="41">
        <v>0</v>
      </c>
      <c r="AD2" s="944"/>
    </row>
    <row r="3" spans="1:30" ht="39.75" customHeight="1">
      <c r="A3" s="957" t="s">
        <v>368</v>
      </c>
      <c r="B3" s="508" t="s">
        <v>204</v>
      </c>
      <c r="C3" s="481">
        <v>45991</v>
      </c>
      <c r="D3" s="490" t="s">
        <v>316</v>
      </c>
      <c r="E3" s="442">
        <v>45707</v>
      </c>
      <c r="F3" s="489" t="s">
        <v>209</v>
      </c>
      <c r="G3" s="509" t="s">
        <v>369</v>
      </c>
      <c r="H3" s="498">
        <v>0</v>
      </c>
      <c r="I3" s="498" t="s">
        <v>98</v>
      </c>
      <c r="J3" s="498" t="s">
        <v>63</v>
      </c>
      <c r="K3" s="498"/>
      <c r="L3" s="490">
        <v>45708</v>
      </c>
      <c r="M3" s="498" t="s">
        <v>57</v>
      </c>
      <c r="N3" s="562">
        <v>87944.4</v>
      </c>
      <c r="O3" s="498" t="s">
        <v>57</v>
      </c>
      <c r="P3" s="843" t="s">
        <v>99</v>
      </c>
      <c r="Q3" s="493">
        <v>45709</v>
      </c>
      <c r="R3" s="493"/>
      <c r="S3" s="493"/>
      <c r="T3" s="493"/>
      <c r="U3" s="501" t="s">
        <v>367</v>
      </c>
      <c r="V3" s="510">
        <v>7008</v>
      </c>
      <c r="W3" s="771">
        <v>7258</v>
      </c>
      <c r="X3" s="107">
        <f t="shared" ref="X3" si="0">SUM(V3-W3)</f>
        <v>-250</v>
      </c>
      <c r="Y3" s="22">
        <f t="shared" ref="Y3" si="1">IFERROR($W3/$V3, 0)</f>
        <v>1.0356735159817352</v>
      </c>
      <c r="Z3" s="704">
        <v>45747</v>
      </c>
      <c r="AA3" s="487">
        <v>1</v>
      </c>
      <c r="AB3" s="487">
        <v>1</v>
      </c>
      <c r="AC3" s="855">
        <v>0</v>
      </c>
      <c r="AD3" s="945" t="s">
        <v>370</v>
      </c>
    </row>
    <row r="4" spans="1:30" ht="39.75" customHeight="1">
      <c r="A4" s="908" t="s">
        <v>371</v>
      </c>
      <c r="B4" s="895" t="s">
        <v>204</v>
      </c>
      <c r="C4" s="490">
        <v>45807</v>
      </c>
      <c r="D4" s="479" t="s">
        <v>365</v>
      </c>
      <c r="E4" s="489" t="s">
        <v>52</v>
      </c>
      <c r="F4" s="479" t="s">
        <v>209</v>
      </c>
      <c r="G4" s="887" t="s">
        <v>372</v>
      </c>
      <c r="H4" s="483">
        <v>84</v>
      </c>
      <c r="I4" s="892" t="s">
        <v>98</v>
      </c>
      <c r="J4" s="492" t="s">
        <v>63</v>
      </c>
      <c r="K4" s="909"/>
      <c r="L4" s="481">
        <v>45716</v>
      </c>
      <c r="M4" s="492" t="s">
        <v>57</v>
      </c>
      <c r="N4" s="560">
        <v>2812.95</v>
      </c>
      <c r="O4" s="492" t="s">
        <v>57</v>
      </c>
      <c r="P4" s="843" t="s">
        <v>99</v>
      </c>
      <c r="Q4" s="493">
        <v>45792</v>
      </c>
      <c r="R4" s="493">
        <v>45947</v>
      </c>
      <c r="S4" s="363"/>
      <c r="T4" s="363"/>
      <c r="U4" s="501" t="s">
        <v>367</v>
      </c>
      <c r="V4" s="41">
        <v>285</v>
      </c>
      <c r="W4" s="910">
        <v>285</v>
      </c>
      <c r="X4" s="486">
        <f>SUM(V4-W4)</f>
        <v>0</v>
      </c>
      <c r="Y4" s="688">
        <f>IFERROR($W4/$V4, 0)</f>
        <v>1</v>
      </c>
      <c r="Z4" s="493">
        <v>45798</v>
      </c>
      <c r="AA4" s="688">
        <v>1</v>
      </c>
      <c r="AB4" s="688">
        <v>1</v>
      </c>
      <c r="AC4" s="486">
        <v>3451</v>
      </c>
      <c r="AD4" s="690"/>
    </row>
    <row r="5" spans="1:30" ht="39.75" customHeight="1">
      <c r="A5" s="908" t="s">
        <v>373</v>
      </c>
      <c r="B5" s="508" t="s">
        <v>204</v>
      </c>
      <c r="C5" s="481">
        <v>45991</v>
      </c>
      <c r="D5" s="489" t="s">
        <v>316</v>
      </c>
      <c r="E5" s="490">
        <v>45866</v>
      </c>
      <c r="F5" s="489" t="s">
        <v>209</v>
      </c>
      <c r="G5" s="491" t="s">
        <v>374</v>
      </c>
      <c r="H5" s="492">
        <v>0</v>
      </c>
      <c r="I5" s="498" t="s">
        <v>98</v>
      </c>
      <c r="J5" s="492" t="s">
        <v>63</v>
      </c>
      <c r="K5" s="504"/>
      <c r="L5" s="490">
        <v>45863</v>
      </c>
      <c r="M5" s="492" t="s">
        <v>57</v>
      </c>
      <c r="N5" s="561">
        <v>143407.25</v>
      </c>
      <c r="O5" s="492" t="s">
        <v>57</v>
      </c>
      <c r="P5" s="843" t="s">
        <v>99</v>
      </c>
      <c r="Q5" s="493">
        <v>45863</v>
      </c>
      <c r="R5" s="493"/>
      <c r="S5" s="493"/>
      <c r="T5" s="493"/>
      <c r="U5" s="501" t="s">
        <v>367</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375</v>
      </c>
      <c r="B6" s="508" t="s">
        <v>204</v>
      </c>
      <c r="C6" s="481">
        <v>45991</v>
      </c>
      <c r="D6" s="489" t="s">
        <v>60</v>
      </c>
      <c r="E6" s="490">
        <v>45880</v>
      </c>
      <c r="F6" s="489" t="s">
        <v>225</v>
      </c>
      <c r="G6" s="491" t="s">
        <v>376</v>
      </c>
      <c r="H6" s="492">
        <v>0</v>
      </c>
      <c r="I6" s="498" t="s">
        <v>98</v>
      </c>
      <c r="J6" s="492" t="s">
        <v>63</v>
      </c>
      <c r="K6" s="504"/>
      <c r="L6" s="490">
        <v>45881</v>
      </c>
      <c r="M6" s="492" t="s">
        <v>57</v>
      </c>
      <c r="N6" s="561">
        <v>4815.6499999999996</v>
      </c>
      <c r="O6" s="492" t="s">
        <v>57</v>
      </c>
      <c r="P6" s="843" t="s">
        <v>99</v>
      </c>
      <c r="Q6" s="493">
        <v>45881</v>
      </c>
      <c r="R6" s="493">
        <v>45947</v>
      </c>
      <c r="S6" s="493"/>
      <c r="T6" s="493"/>
      <c r="U6" s="501" t="s">
        <v>367</v>
      </c>
      <c r="V6" s="41">
        <v>321</v>
      </c>
      <c r="W6" s="772">
        <v>367</v>
      </c>
      <c r="X6" s="107">
        <f>SUM(V6-W6)</f>
        <v>-46</v>
      </c>
      <c r="Y6" s="22">
        <f>IFERROR($W6/$V6, 0)</f>
        <v>1.1433021806853583</v>
      </c>
      <c r="Z6" s="704">
        <v>45905</v>
      </c>
      <c r="AA6" s="366">
        <v>0</v>
      </c>
      <c r="AB6" s="366">
        <v>0</v>
      </c>
      <c r="AC6" s="41">
        <v>0</v>
      </c>
      <c r="AD6" s="533"/>
    </row>
    <row r="7" spans="1:30" ht="39.75" customHeight="1">
      <c r="A7" s="1028" t="s">
        <v>377</v>
      </c>
      <c r="B7" s="898" t="s">
        <v>204</v>
      </c>
      <c r="C7" s="899">
        <v>45955</v>
      </c>
      <c r="D7" s="900" t="s">
        <v>133</v>
      </c>
      <c r="E7" s="900">
        <v>45919</v>
      </c>
      <c r="F7" s="900" t="s">
        <v>230</v>
      </c>
      <c r="G7" s="901" t="s">
        <v>378</v>
      </c>
      <c r="H7" s="405">
        <v>0</v>
      </c>
      <c r="I7" s="902" t="s">
        <v>98</v>
      </c>
      <c r="J7" s="405" t="s">
        <v>63</v>
      </c>
      <c r="K7" s="405"/>
      <c r="L7" s="900" t="s">
        <v>52</v>
      </c>
      <c r="M7" s="405" t="s">
        <v>57</v>
      </c>
      <c r="N7" s="903">
        <v>4646.75</v>
      </c>
      <c r="O7" s="405" t="s">
        <v>94</v>
      </c>
      <c r="P7" s="998" t="s">
        <v>99</v>
      </c>
      <c r="Q7" s="618"/>
      <c r="R7" s="618">
        <v>45947</v>
      </c>
      <c r="S7" s="618"/>
      <c r="T7" s="618"/>
      <c r="U7" s="501" t="s">
        <v>367</v>
      </c>
      <c r="V7" s="1022">
        <v>117</v>
      </c>
      <c r="W7" s="1029">
        <v>117</v>
      </c>
      <c r="X7" s="107">
        <f t="shared" ref="X7:X37" si="4">SUM(V7-W7)</f>
        <v>0</v>
      </c>
      <c r="Y7" s="683">
        <f t="shared" ref="Y7:Y37" si="5">IFERROR($W7/$V7, 0)</f>
        <v>1</v>
      </c>
      <c r="Z7" s="956">
        <v>45946</v>
      </c>
      <c r="AA7" s="622">
        <v>0</v>
      </c>
      <c r="AB7" s="622">
        <v>0</v>
      </c>
      <c r="AC7" s="904">
        <v>0</v>
      </c>
      <c r="AD7" s="905"/>
    </row>
    <row r="8" spans="1:30" ht="39.75" customHeight="1">
      <c r="A8" s="1042" t="s">
        <v>379</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367</v>
      </c>
      <c r="V8" s="486">
        <v>865</v>
      </c>
      <c r="W8" s="772">
        <v>851</v>
      </c>
      <c r="X8" s="107">
        <f t="shared" si="4"/>
        <v>14</v>
      </c>
      <c r="Y8" s="683">
        <f t="shared" si="5"/>
        <v>0.98381502890173411</v>
      </c>
      <c r="Z8" s="678">
        <v>45924</v>
      </c>
      <c r="AA8" s="517">
        <v>1</v>
      </c>
      <c r="AB8" s="517">
        <v>1</v>
      </c>
      <c r="AC8" s="668">
        <v>0</v>
      </c>
      <c r="AD8" s="947" t="s">
        <v>380</v>
      </c>
    </row>
    <row r="9" spans="1:30" ht="39.75" customHeight="1">
      <c r="A9" s="911" t="s">
        <v>381</v>
      </c>
      <c r="B9" s="479" t="s">
        <v>112</v>
      </c>
      <c r="C9" s="490">
        <v>45899</v>
      </c>
      <c r="D9" s="529" t="s">
        <v>382</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367</v>
      </c>
      <c r="V9" s="41">
        <v>3566</v>
      </c>
      <c r="W9" s="772">
        <v>3704</v>
      </c>
      <c r="X9" s="107">
        <f t="shared" si="4"/>
        <v>-138</v>
      </c>
      <c r="Y9" s="22">
        <f t="shared" si="5"/>
        <v>1.0386988222097588</v>
      </c>
      <c r="Z9" s="704">
        <v>45904</v>
      </c>
      <c r="AA9" s="366">
        <v>1</v>
      </c>
      <c r="AB9" s="366">
        <v>1</v>
      </c>
      <c r="AC9" s="668">
        <v>0</v>
      </c>
      <c r="AD9" s="533" t="s">
        <v>383</v>
      </c>
    </row>
    <row r="10" spans="1:30" ht="39.75" customHeight="1">
      <c r="A10" s="911" t="s">
        <v>384</v>
      </c>
      <c r="B10" s="479" t="s">
        <v>112</v>
      </c>
      <c r="C10" s="490">
        <v>45930</v>
      </c>
      <c r="D10" s="481" t="s">
        <v>133</v>
      </c>
      <c r="E10" s="481">
        <v>45896</v>
      </c>
      <c r="F10" s="505" t="s">
        <v>126</v>
      </c>
      <c r="G10" s="479" t="s">
        <v>385</v>
      </c>
      <c r="H10" s="483">
        <v>72</v>
      </c>
      <c r="I10" s="483" t="s">
        <v>98</v>
      </c>
      <c r="J10" s="483" t="s">
        <v>63</v>
      </c>
      <c r="K10" s="483"/>
      <c r="L10" s="481">
        <v>45897</v>
      </c>
      <c r="M10" s="483" t="s">
        <v>57</v>
      </c>
      <c r="N10" s="560">
        <v>50874.95</v>
      </c>
      <c r="O10" s="483" t="s">
        <v>57</v>
      </c>
      <c r="P10" s="843" t="s">
        <v>99</v>
      </c>
      <c r="Q10" s="485">
        <v>45897</v>
      </c>
      <c r="R10" s="496"/>
      <c r="S10" s="496"/>
      <c r="T10" s="496"/>
      <c r="U10" s="501" t="s">
        <v>367</v>
      </c>
      <c r="V10" s="486">
        <v>3012</v>
      </c>
      <c r="W10" s="772">
        <v>3012</v>
      </c>
      <c r="X10" s="486">
        <f t="shared" si="4"/>
        <v>0</v>
      </c>
      <c r="Y10" s="688">
        <f t="shared" si="5"/>
        <v>1</v>
      </c>
      <c r="Z10" s="493">
        <v>45916</v>
      </c>
      <c r="AA10" s="366">
        <v>1</v>
      </c>
      <c r="AB10" s="366">
        <v>1</v>
      </c>
      <c r="AC10" s="668">
        <v>0</v>
      </c>
      <c r="AD10" s="177" t="s">
        <v>386</v>
      </c>
    </row>
    <row r="11" spans="1:30" ht="39.75" customHeight="1">
      <c r="A11" s="908" t="s">
        <v>387</v>
      </c>
      <c r="B11" s="479" t="s">
        <v>112</v>
      </c>
      <c r="C11" s="490">
        <v>45930</v>
      </c>
      <c r="D11" s="481" t="s">
        <v>133</v>
      </c>
      <c r="E11" s="665">
        <v>45910</v>
      </c>
      <c r="F11" s="665" t="s">
        <v>126</v>
      </c>
      <c r="G11" s="479" t="s">
        <v>388</v>
      </c>
      <c r="H11" s="483">
        <v>87</v>
      </c>
      <c r="I11" s="483" t="s">
        <v>98</v>
      </c>
      <c r="J11" s="483" t="s">
        <v>63</v>
      </c>
      <c r="K11" s="483"/>
      <c r="L11" s="481">
        <v>45912</v>
      </c>
      <c r="M11" s="483" t="s">
        <v>57</v>
      </c>
      <c r="N11" s="560">
        <v>60115.95</v>
      </c>
      <c r="O11" s="483" t="s">
        <v>57</v>
      </c>
      <c r="P11" s="843" t="s">
        <v>99</v>
      </c>
      <c r="Q11" s="485">
        <v>45908</v>
      </c>
      <c r="R11" s="485"/>
      <c r="S11" s="485"/>
      <c r="T11" s="485"/>
      <c r="U11" s="501" t="s">
        <v>367</v>
      </c>
      <c r="V11" s="486">
        <v>4774</v>
      </c>
      <c r="W11" s="772">
        <v>4605</v>
      </c>
      <c r="X11" s="107">
        <f t="shared" si="4"/>
        <v>169</v>
      </c>
      <c r="Y11" s="22">
        <f t="shared" si="5"/>
        <v>0.96459991621281949</v>
      </c>
      <c r="Z11" s="704">
        <v>45930</v>
      </c>
      <c r="AA11" s="366">
        <v>1</v>
      </c>
      <c r="AB11" s="366">
        <v>1</v>
      </c>
      <c r="AC11" s="668">
        <v>0</v>
      </c>
      <c r="AD11" s="427" t="s">
        <v>389</v>
      </c>
    </row>
    <row r="12" spans="1:30" ht="39.75" customHeight="1">
      <c r="A12" s="911" t="s">
        <v>390</v>
      </c>
      <c r="B12" s="479" t="s">
        <v>112</v>
      </c>
      <c r="C12" s="490">
        <v>45930</v>
      </c>
      <c r="D12" s="481" t="s">
        <v>133</v>
      </c>
      <c r="E12" s="665">
        <v>45910</v>
      </c>
      <c r="F12" s="479" t="s">
        <v>113</v>
      </c>
      <c r="G12" s="479" t="s">
        <v>391</v>
      </c>
      <c r="H12" s="483">
        <v>80</v>
      </c>
      <c r="I12" s="483" t="s">
        <v>98</v>
      </c>
      <c r="J12" s="483" t="s">
        <v>63</v>
      </c>
      <c r="K12" s="483"/>
      <c r="L12" s="481">
        <v>45903</v>
      </c>
      <c r="M12" s="483" t="s">
        <v>57</v>
      </c>
      <c r="N12" s="560">
        <v>59116.7</v>
      </c>
      <c r="O12" s="483" t="s">
        <v>57</v>
      </c>
      <c r="P12" s="843" t="s">
        <v>99</v>
      </c>
      <c r="Q12" s="485">
        <v>45903</v>
      </c>
      <c r="R12" s="496"/>
      <c r="S12" s="496"/>
      <c r="T12" s="485"/>
      <c r="U12" s="501" t="s">
        <v>367</v>
      </c>
      <c r="V12" s="486">
        <v>4833</v>
      </c>
      <c r="W12" s="772">
        <v>4446</v>
      </c>
      <c r="X12" s="107">
        <f t="shared" si="4"/>
        <v>387</v>
      </c>
      <c r="Y12" s="22">
        <f t="shared" si="5"/>
        <v>0.91992551210428308</v>
      </c>
      <c r="Z12" s="704">
        <v>45923</v>
      </c>
      <c r="AA12" s="366">
        <v>1</v>
      </c>
      <c r="AB12" s="366">
        <v>1</v>
      </c>
      <c r="AC12" s="668">
        <v>0</v>
      </c>
      <c r="AD12" s="427" t="s">
        <v>392</v>
      </c>
    </row>
    <row r="13" spans="1:30" ht="39.75" customHeight="1">
      <c r="A13" s="908" t="s">
        <v>393</v>
      </c>
      <c r="B13" s="479" t="s">
        <v>112</v>
      </c>
      <c r="C13" s="490">
        <v>45930</v>
      </c>
      <c r="D13" s="481" t="s">
        <v>133</v>
      </c>
      <c r="E13" s="665">
        <v>45910</v>
      </c>
      <c r="F13" s="665" t="s">
        <v>126</v>
      </c>
      <c r="G13" s="709" t="s">
        <v>394</v>
      </c>
      <c r="H13" s="483">
        <v>67</v>
      </c>
      <c r="I13" s="687" t="s">
        <v>98</v>
      </c>
      <c r="J13" s="483" t="s">
        <v>63</v>
      </c>
      <c r="K13" s="483"/>
      <c r="L13" s="481">
        <v>45903</v>
      </c>
      <c r="M13" s="483" t="s">
        <v>57</v>
      </c>
      <c r="N13" s="560">
        <v>40406</v>
      </c>
      <c r="O13" s="483" t="s">
        <v>57</v>
      </c>
      <c r="P13" s="843" t="s">
        <v>99</v>
      </c>
      <c r="Q13" s="485">
        <v>45903</v>
      </c>
      <c r="R13" s="571"/>
      <c r="S13" s="571"/>
      <c r="T13" s="571"/>
      <c r="U13" s="501" t="s">
        <v>367</v>
      </c>
      <c r="V13" s="486">
        <v>3895</v>
      </c>
      <c r="W13" s="772">
        <v>3809</v>
      </c>
      <c r="X13" s="107">
        <f t="shared" si="4"/>
        <v>86</v>
      </c>
      <c r="Y13" s="683">
        <f t="shared" si="5"/>
        <v>0.97792041078305525</v>
      </c>
      <c r="Z13" s="704">
        <v>45924</v>
      </c>
      <c r="AA13" s="366">
        <v>1</v>
      </c>
      <c r="AB13" s="366">
        <v>1</v>
      </c>
      <c r="AC13" s="668">
        <v>0</v>
      </c>
      <c r="AD13" s="946" t="s">
        <v>395</v>
      </c>
    </row>
    <row r="14" spans="1:30" ht="39.75" customHeight="1">
      <c r="A14" s="911" t="s">
        <v>396</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367</v>
      </c>
      <c r="V14" s="486">
        <v>2084</v>
      </c>
      <c r="W14" s="772">
        <v>2039</v>
      </c>
      <c r="X14" s="107">
        <f t="shared" si="4"/>
        <v>45</v>
      </c>
      <c r="Y14" s="683">
        <f t="shared" si="5"/>
        <v>0.97840690978886757</v>
      </c>
      <c r="Z14" s="704">
        <v>45918</v>
      </c>
      <c r="AA14" s="366">
        <v>1</v>
      </c>
      <c r="AB14" s="366">
        <v>1</v>
      </c>
      <c r="AC14" s="668">
        <v>0</v>
      </c>
      <c r="AD14" s="947" t="s">
        <v>397</v>
      </c>
    </row>
    <row r="15" spans="1:30" ht="39.75" customHeight="1">
      <c r="A15" s="911" t="s">
        <v>398</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367</v>
      </c>
      <c r="V15" s="486">
        <v>4048</v>
      </c>
      <c r="W15" s="772">
        <v>5120</v>
      </c>
      <c r="X15" s="107">
        <f t="shared" si="4"/>
        <v>-1072</v>
      </c>
      <c r="Y15" s="22">
        <f t="shared" si="5"/>
        <v>1.2648221343873518</v>
      </c>
      <c r="Z15" s="704">
        <v>45910</v>
      </c>
      <c r="AA15" s="366">
        <v>1</v>
      </c>
      <c r="AB15" s="366">
        <v>1</v>
      </c>
      <c r="AC15" s="907">
        <v>0</v>
      </c>
      <c r="AD15" s="946" t="s">
        <v>399</v>
      </c>
    </row>
    <row r="16" spans="1:30" ht="39.75" customHeight="1">
      <c r="A16" s="1014" t="s">
        <v>400</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367</v>
      </c>
      <c r="V16" s="486">
        <v>4022</v>
      </c>
      <c r="W16" s="772">
        <v>3933</v>
      </c>
      <c r="X16" s="107">
        <f t="shared" si="4"/>
        <v>89</v>
      </c>
      <c r="Y16" s="683">
        <f t="shared" si="5"/>
        <v>0.97787170561909498</v>
      </c>
      <c r="Z16" s="704">
        <v>45931</v>
      </c>
      <c r="AA16" s="366">
        <v>1</v>
      </c>
      <c r="AB16" s="366">
        <v>1</v>
      </c>
      <c r="AC16" s="668">
        <v>0</v>
      </c>
      <c r="AD16" s="787" t="s">
        <v>401</v>
      </c>
    </row>
    <row r="17" spans="1:30" ht="39.75" customHeight="1">
      <c r="A17" s="1014" t="s">
        <v>402</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367</v>
      </c>
      <c r="V17" s="486">
        <v>3495</v>
      </c>
      <c r="W17" s="772">
        <v>3448</v>
      </c>
      <c r="X17" s="107">
        <f>SUM(V17-W17)</f>
        <v>47</v>
      </c>
      <c r="Y17" s="683">
        <f>IFERROR($W17/$V17, 0)</f>
        <v>0.98655221745350496</v>
      </c>
      <c r="Z17" s="704">
        <v>45945</v>
      </c>
      <c r="AA17" s="366">
        <v>1</v>
      </c>
      <c r="AB17" s="366">
        <v>1</v>
      </c>
      <c r="AC17" s="822">
        <v>0</v>
      </c>
      <c r="AD17" s="787" t="s">
        <v>403</v>
      </c>
    </row>
    <row r="18" spans="1:30" ht="39.75" customHeight="1">
      <c r="A18" s="911" t="s">
        <v>404</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367</v>
      </c>
      <c r="V18" s="486">
        <v>5653</v>
      </c>
      <c r="W18" s="772">
        <v>5653</v>
      </c>
      <c r="X18" s="107">
        <f t="shared" si="4"/>
        <v>0</v>
      </c>
      <c r="Y18" s="683">
        <f t="shared" si="5"/>
        <v>1</v>
      </c>
      <c r="Z18" s="704">
        <v>45932</v>
      </c>
      <c r="AA18" s="366">
        <v>1</v>
      </c>
      <c r="AB18" s="366">
        <v>1</v>
      </c>
      <c r="AC18" s="822">
        <v>0</v>
      </c>
      <c r="AD18" s="946" t="s">
        <v>405</v>
      </c>
    </row>
    <row r="19" spans="1:30" ht="39.75" customHeight="1">
      <c r="A19" s="1014" t="s">
        <v>406</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367</v>
      </c>
      <c r="V19" s="486">
        <v>4747</v>
      </c>
      <c r="W19" s="772">
        <v>4925</v>
      </c>
      <c r="X19" s="107">
        <f t="shared" si="4"/>
        <v>-178</v>
      </c>
      <c r="Y19" s="683">
        <f t="shared" si="5"/>
        <v>1.0374973667579523</v>
      </c>
      <c r="Z19" s="704">
        <v>45951</v>
      </c>
      <c r="AA19" s="366">
        <v>1</v>
      </c>
      <c r="AB19" s="366">
        <v>1</v>
      </c>
      <c r="AC19" s="822">
        <v>0</v>
      </c>
      <c r="AD19" s="488" t="s">
        <v>407</v>
      </c>
    </row>
    <row r="20" spans="1:30" ht="39.75" customHeight="1">
      <c r="A20" s="908" t="s">
        <v>408</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367</v>
      </c>
      <c r="V20" s="486">
        <v>328</v>
      </c>
      <c r="W20" s="772">
        <v>335</v>
      </c>
      <c r="X20" s="486">
        <f t="shared" si="4"/>
        <v>-7</v>
      </c>
      <c r="Y20" s="487">
        <f t="shared" si="5"/>
        <v>1.0213414634146341</v>
      </c>
      <c r="Z20" s="493">
        <v>45922</v>
      </c>
      <c r="AA20" s="366">
        <v>1</v>
      </c>
      <c r="AB20" s="366">
        <v>1</v>
      </c>
      <c r="AC20" s="486">
        <v>0</v>
      </c>
      <c r="AD20" s="787" t="s">
        <v>409</v>
      </c>
    </row>
    <row r="21" spans="1:30" ht="39.75" customHeight="1">
      <c r="A21" s="1042" t="s">
        <v>410</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367</v>
      </c>
      <c r="V21" s="430">
        <v>228</v>
      </c>
      <c r="W21" s="1044">
        <v>240</v>
      </c>
      <c r="X21" s="107">
        <f t="shared" si="4"/>
        <v>-12</v>
      </c>
      <c r="Y21" s="683">
        <f t="shared" si="5"/>
        <v>1.0526315789473684</v>
      </c>
      <c r="Z21" s="704">
        <v>45945</v>
      </c>
      <c r="AA21" s="366">
        <v>1</v>
      </c>
      <c r="AB21" s="366">
        <v>1</v>
      </c>
      <c r="AC21" s="486">
        <v>0</v>
      </c>
      <c r="AD21" s="533" t="s">
        <v>411</v>
      </c>
    </row>
    <row r="22" spans="1:30" ht="39.75" customHeight="1">
      <c r="A22" s="908" t="s">
        <v>412</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367</v>
      </c>
      <c r="V22" s="822">
        <v>1010</v>
      </c>
      <c r="W22" s="960">
        <v>978</v>
      </c>
      <c r="X22" s="486">
        <f t="shared" si="4"/>
        <v>32</v>
      </c>
      <c r="Y22" s="688">
        <f t="shared" si="5"/>
        <v>0.96831683168316829</v>
      </c>
      <c r="Z22" s="493">
        <v>45911</v>
      </c>
      <c r="AA22" s="366">
        <v>1</v>
      </c>
      <c r="AB22" s="366">
        <v>1</v>
      </c>
      <c r="AC22" s="486">
        <v>0</v>
      </c>
      <c r="AD22" s="787" t="s">
        <v>413</v>
      </c>
    </row>
    <row r="23" spans="1:30" ht="39.75" customHeight="1">
      <c r="A23" s="908" t="s">
        <v>414</v>
      </c>
      <c r="B23" s="479" t="s">
        <v>112</v>
      </c>
      <c r="C23" s="490">
        <v>45960</v>
      </c>
      <c r="D23" s="481" t="s">
        <v>415</v>
      </c>
      <c r="E23" s="481">
        <v>45915</v>
      </c>
      <c r="F23" s="479" t="s">
        <v>416</v>
      </c>
      <c r="G23" s="709"/>
      <c r="H23" s="483">
        <v>384</v>
      </c>
      <c r="I23" s="687" t="s">
        <v>98</v>
      </c>
      <c r="J23" s="483" t="s">
        <v>56</v>
      </c>
      <c r="K23" s="483"/>
      <c r="L23" s="481">
        <v>45905</v>
      </c>
      <c r="M23" s="483" t="s">
        <v>57</v>
      </c>
      <c r="N23" s="560">
        <v>145985.5</v>
      </c>
      <c r="O23" s="483" t="s">
        <v>57</v>
      </c>
      <c r="P23" s="843" t="s">
        <v>99</v>
      </c>
      <c r="Q23" s="485">
        <v>45906</v>
      </c>
      <c r="R23" s="485"/>
      <c r="S23" s="485"/>
      <c r="T23" s="485"/>
      <c r="U23" s="501" t="s">
        <v>367</v>
      </c>
      <c r="V23" s="822">
        <v>14150</v>
      </c>
      <c r="W23" s="960">
        <v>15469</v>
      </c>
      <c r="X23" s="107">
        <f t="shared" si="4"/>
        <v>-1319</v>
      </c>
      <c r="Y23" s="683">
        <f t="shared" si="5"/>
        <v>1.0932155477031802</v>
      </c>
      <c r="Z23" s="704">
        <v>45926</v>
      </c>
      <c r="AA23" s="366">
        <v>1</v>
      </c>
      <c r="AB23" s="366">
        <v>1</v>
      </c>
      <c r="AC23" s="486">
        <v>0</v>
      </c>
      <c r="AD23" s="944" t="s">
        <v>417</v>
      </c>
    </row>
    <row r="24" spans="1:30" ht="39.75" customHeight="1">
      <c r="A24" s="1014" t="s">
        <v>418</v>
      </c>
      <c r="B24" s="479" t="s">
        <v>112</v>
      </c>
      <c r="C24" s="490">
        <v>45930</v>
      </c>
      <c r="D24" s="481" t="s">
        <v>419</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367</v>
      </c>
      <c r="V24" s="822">
        <v>2811</v>
      </c>
      <c r="W24" s="960">
        <v>2732</v>
      </c>
      <c r="X24" s="107">
        <f>SUM(V24-W24)</f>
        <v>79</v>
      </c>
      <c r="Y24" s="22">
        <f>IFERROR($W24/$V24, 0)</f>
        <v>0.97189612237637857</v>
      </c>
      <c r="Z24" s="704">
        <v>45922</v>
      </c>
      <c r="AA24" s="366">
        <v>1</v>
      </c>
      <c r="AB24" s="366">
        <v>1</v>
      </c>
      <c r="AC24" s="486">
        <v>0</v>
      </c>
      <c r="AD24" s="690" t="s">
        <v>420</v>
      </c>
    </row>
    <row r="25" spans="1:30" ht="39.75" customHeight="1">
      <c r="A25" s="908" t="s">
        <v>421</v>
      </c>
      <c r="B25" s="886" t="s">
        <v>50</v>
      </c>
      <c r="C25" s="665">
        <v>45838</v>
      </c>
      <c r="D25" s="489" t="s">
        <v>422</v>
      </c>
      <c r="E25" s="490">
        <v>45727</v>
      </c>
      <c r="F25" s="489" t="s">
        <v>61</v>
      </c>
      <c r="G25" s="912" t="s">
        <v>423</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367</v>
      </c>
      <c r="V25" s="913">
        <v>4979</v>
      </c>
      <c r="W25" s="772">
        <v>5020</v>
      </c>
      <c r="X25" s="486">
        <f t="shared" si="4"/>
        <v>-41</v>
      </c>
      <c r="Y25" s="688">
        <f t="shared" si="5"/>
        <v>1.0082345852580838</v>
      </c>
      <c r="Z25" s="493">
        <v>45741</v>
      </c>
      <c r="AA25" s="688">
        <v>1</v>
      </c>
      <c r="AB25" s="688">
        <v>1</v>
      </c>
      <c r="AC25" s="363">
        <v>0</v>
      </c>
      <c r="AD25" s="690" t="s">
        <v>424</v>
      </c>
    </row>
    <row r="26" spans="1:30" ht="39.75" customHeight="1">
      <c r="A26" s="1012" t="s">
        <v>425</v>
      </c>
      <c r="B26" s="528" t="s">
        <v>50</v>
      </c>
      <c r="C26" s="514">
        <v>45772</v>
      </c>
      <c r="D26" s="529" t="s">
        <v>426</v>
      </c>
      <c r="E26" s="529">
        <v>45693</v>
      </c>
      <c r="F26" s="519" t="s">
        <v>61</v>
      </c>
      <c r="G26" s="530" t="s">
        <v>427</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367</v>
      </c>
      <c r="V26" s="510">
        <v>7980</v>
      </c>
      <c r="W26" s="771">
        <v>7901</v>
      </c>
      <c r="X26" s="107">
        <f t="shared" si="4"/>
        <v>79</v>
      </c>
      <c r="Y26" s="22">
        <f t="shared" si="5"/>
        <v>0.99010025062656637</v>
      </c>
      <c r="Z26" s="704">
        <v>45713</v>
      </c>
      <c r="AA26" s="487">
        <v>1</v>
      </c>
      <c r="AB26" s="487">
        <v>1</v>
      </c>
      <c r="AC26" s="855">
        <v>0</v>
      </c>
      <c r="AD26" s="176" t="s">
        <v>428</v>
      </c>
    </row>
    <row r="27" spans="1:30" ht="39.75" customHeight="1">
      <c r="A27" s="1012" t="s">
        <v>429</v>
      </c>
      <c r="B27" s="528" t="s">
        <v>50</v>
      </c>
      <c r="C27" s="514">
        <v>45772</v>
      </c>
      <c r="D27" s="529" t="s">
        <v>426</v>
      </c>
      <c r="E27" s="529">
        <v>45698</v>
      </c>
      <c r="F27" s="514" t="s">
        <v>61</v>
      </c>
      <c r="G27" s="530" t="s">
        <v>430</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367</v>
      </c>
      <c r="V27" s="510">
        <v>7562</v>
      </c>
      <c r="W27" s="771">
        <v>7556</v>
      </c>
      <c r="X27" s="107">
        <f t="shared" si="4"/>
        <v>6</v>
      </c>
      <c r="Y27" s="22">
        <f t="shared" si="5"/>
        <v>0.99920655911134626</v>
      </c>
      <c r="Z27" s="704">
        <v>45709</v>
      </c>
      <c r="AA27" s="487">
        <v>1</v>
      </c>
      <c r="AB27" s="487">
        <v>1</v>
      </c>
      <c r="AC27" s="855">
        <v>0</v>
      </c>
      <c r="AD27" s="204" t="s">
        <v>431</v>
      </c>
    </row>
    <row r="28" spans="1:30" ht="39.75" customHeight="1">
      <c r="A28" s="914" t="s">
        <v>432</v>
      </c>
      <c r="B28" s="886" t="s">
        <v>50</v>
      </c>
      <c r="C28" s="490">
        <v>45772</v>
      </c>
      <c r="D28" s="490" t="s">
        <v>422</v>
      </c>
      <c r="E28" s="889">
        <v>45686</v>
      </c>
      <c r="F28" s="489" t="s">
        <v>61</v>
      </c>
      <c r="G28" s="915" t="s">
        <v>433</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367</v>
      </c>
      <c r="V28" s="917">
        <v>5005</v>
      </c>
      <c r="W28" s="918">
        <v>4996</v>
      </c>
      <c r="X28" s="486">
        <f t="shared" si="4"/>
        <v>9</v>
      </c>
      <c r="Y28" s="688">
        <f t="shared" si="5"/>
        <v>0.99820179820179822</v>
      </c>
      <c r="Z28" s="493">
        <v>45708</v>
      </c>
      <c r="AA28" s="688">
        <v>1</v>
      </c>
      <c r="AB28" s="688">
        <v>1</v>
      </c>
      <c r="AC28" s="855">
        <v>0</v>
      </c>
      <c r="AD28" s="921" t="s">
        <v>434</v>
      </c>
    </row>
    <row r="29" spans="1:30" ht="39.75" customHeight="1">
      <c r="A29" s="914" t="s">
        <v>435</v>
      </c>
      <c r="B29" s="886" t="s">
        <v>50</v>
      </c>
      <c r="C29" s="490">
        <v>45772</v>
      </c>
      <c r="D29" s="889" t="s">
        <v>436</v>
      </c>
      <c r="E29" s="889">
        <v>45694</v>
      </c>
      <c r="F29" s="889" t="s">
        <v>61</v>
      </c>
      <c r="G29" s="915" t="s">
        <v>437</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367</v>
      </c>
      <c r="V29" s="913">
        <v>4979</v>
      </c>
      <c r="W29" s="918">
        <v>4984</v>
      </c>
      <c r="X29" s="486">
        <f t="shared" si="4"/>
        <v>-5</v>
      </c>
      <c r="Y29" s="688">
        <f t="shared" si="5"/>
        <v>1.0010042177144005</v>
      </c>
      <c r="Z29" s="493">
        <v>45714</v>
      </c>
      <c r="AA29" s="688">
        <v>1</v>
      </c>
      <c r="AB29" s="688">
        <v>1</v>
      </c>
      <c r="AC29" s="855">
        <v>0</v>
      </c>
      <c r="AD29" s="149" t="s">
        <v>438</v>
      </c>
    </row>
    <row r="30" spans="1:30" ht="39.75" customHeight="1">
      <c r="A30" s="908" t="s">
        <v>439</v>
      </c>
      <c r="B30" s="919" t="s">
        <v>50</v>
      </c>
      <c r="C30" s="665">
        <v>45688</v>
      </c>
      <c r="D30" s="665" t="s">
        <v>426</v>
      </c>
      <c r="E30" s="665">
        <v>45695</v>
      </c>
      <c r="F30" s="481" t="s">
        <v>61</v>
      </c>
      <c r="G30" s="920" t="s">
        <v>440</v>
      </c>
      <c r="H30" s="483">
        <v>88</v>
      </c>
      <c r="I30" s="687" t="s">
        <v>351</v>
      </c>
      <c r="J30" s="483" t="s">
        <v>63</v>
      </c>
      <c r="K30" s="892"/>
      <c r="L30" s="479" t="s">
        <v>99</v>
      </c>
      <c r="M30" s="687" t="s">
        <v>57</v>
      </c>
      <c r="N30" s="560">
        <v>43130</v>
      </c>
      <c r="O30" s="687" t="s">
        <v>57</v>
      </c>
      <c r="P30" s="843" t="s">
        <v>99</v>
      </c>
      <c r="Q30" s="485">
        <v>45691</v>
      </c>
      <c r="R30" s="485">
        <v>45870</v>
      </c>
      <c r="S30" s="485">
        <v>45908</v>
      </c>
      <c r="T30" s="485"/>
      <c r="U30" s="501" t="s">
        <v>367</v>
      </c>
      <c r="V30" s="486">
        <v>2931</v>
      </c>
      <c r="W30" s="772">
        <v>3257</v>
      </c>
      <c r="X30" s="486">
        <f t="shared" si="4"/>
        <v>-326</v>
      </c>
      <c r="Y30" s="688">
        <f t="shared" si="5"/>
        <v>1.11122483793927</v>
      </c>
      <c r="Z30" s="485">
        <v>45750</v>
      </c>
      <c r="AA30" s="516">
        <v>1</v>
      </c>
      <c r="AB30" s="516">
        <v>1</v>
      </c>
      <c r="AC30" s="668">
        <v>0</v>
      </c>
      <c r="AD30" s="964" t="s">
        <v>441</v>
      </c>
    </row>
    <row r="31" spans="1:30" ht="39.75" customHeight="1">
      <c r="A31" s="908" t="s">
        <v>442</v>
      </c>
      <c r="B31" s="886" t="s">
        <v>50</v>
      </c>
      <c r="C31" s="889">
        <v>45688</v>
      </c>
      <c r="D31" s="490" t="s">
        <v>60</v>
      </c>
      <c r="E31" s="889">
        <v>45686</v>
      </c>
      <c r="F31" s="889" t="s">
        <v>61</v>
      </c>
      <c r="G31" s="915" t="s">
        <v>443</v>
      </c>
      <c r="H31" s="492">
        <v>88</v>
      </c>
      <c r="I31" s="892" t="s">
        <v>351</v>
      </c>
      <c r="J31" s="492" t="s">
        <v>63</v>
      </c>
      <c r="K31" s="492"/>
      <c r="L31" s="893">
        <v>45706</v>
      </c>
      <c r="M31" s="892" t="s">
        <v>57</v>
      </c>
      <c r="N31" s="561">
        <v>69212.5</v>
      </c>
      <c r="O31" s="892" t="s">
        <v>57</v>
      </c>
      <c r="P31" s="843" t="s">
        <v>99</v>
      </c>
      <c r="Q31" s="493">
        <v>45679</v>
      </c>
      <c r="R31" s="493">
        <v>45917</v>
      </c>
      <c r="S31" s="493">
        <v>45918</v>
      </c>
      <c r="T31" s="493"/>
      <c r="U31" s="501" t="s">
        <v>367</v>
      </c>
      <c r="V31" s="41">
        <v>5661</v>
      </c>
      <c r="W31" s="772">
        <v>5752</v>
      </c>
      <c r="X31" s="486">
        <f t="shared" si="4"/>
        <v>-91</v>
      </c>
      <c r="Y31" s="688">
        <f t="shared" si="5"/>
        <v>1.0160748984278396</v>
      </c>
      <c r="Z31" s="493">
        <v>45681</v>
      </c>
      <c r="AA31" s="688">
        <v>1</v>
      </c>
      <c r="AB31" s="688">
        <v>1</v>
      </c>
      <c r="AC31" s="855">
        <v>0</v>
      </c>
      <c r="AD31" s="149" t="s">
        <v>444</v>
      </c>
    </row>
    <row r="32" spans="1:30" ht="39.75" customHeight="1">
      <c r="A32" s="908" t="s">
        <v>445</v>
      </c>
      <c r="B32" s="886" t="s">
        <v>50</v>
      </c>
      <c r="C32" s="490">
        <v>45772</v>
      </c>
      <c r="D32" s="489" t="s">
        <v>436</v>
      </c>
      <c r="E32" s="490">
        <v>45743</v>
      </c>
      <c r="F32" s="489" t="s">
        <v>61</v>
      </c>
      <c r="G32" s="887" t="s">
        <v>446</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367</v>
      </c>
      <c r="V32" s="41">
        <v>3967</v>
      </c>
      <c r="W32" s="772">
        <v>3936</v>
      </c>
      <c r="X32" s="486">
        <f t="shared" si="4"/>
        <v>31</v>
      </c>
      <c r="Y32" s="688">
        <f t="shared" si="5"/>
        <v>0.99218553062767834</v>
      </c>
      <c r="Z32" s="493">
        <v>45756</v>
      </c>
      <c r="AA32" s="688">
        <v>1</v>
      </c>
      <c r="AB32" s="688">
        <v>1</v>
      </c>
      <c r="AC32" s="668">
        <v>0</v>
      </c>
      <c r="AD32" s="963" t="s">
        <v>447</v>
      </c>
    </row>
    <row r="33" spans="1:30" ht="39.75" customHeight="1">
      <c r="A33" s="908" t="s">
        <v>448</v>
      </c>
      <c r="B33" s="886" t="s">
        <v>50</v>
      </c>
      <c r="C33" s="481">
        <v>45960</v>
      </c>
      <c r="D33" s="479" t="s">
        <v>229</v>
      </c>
      <c r="E33" s="481">
        <v>45927</v>
      </c>
      <c r="F33" s="479" t="s">
        <v>97</v>
      </c>
      <c r="G33" s="709" t="s">
        <v>449</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367</v>
      </c>
      <c r="V33" s="486">
        <v>3242</v>
      </c>
      <c r="W33" s="772">
        <v>3228</v>
      </c>
      <c r="X33" s="107">
        <f t="shared" si="4"/>
        <v>14</v>
      </c>
      <c r="Y33" s="683">
        <f t="shared" si="5"/>
        <v>0.99568167797655771</v>
      </c>
      <c r="Z33" s="704">
        <v>45930</v>
      </c>
      <c r="AA33" s="366">
        <v>0</v>
      </c>
      <c r="AB33" s="366">
        <v>0</v>
      </c>
      <c r="AC33" s="822">
        <v>0</v>
      </c>
      <c r="AD33" s="963"/>
    </row>
    <row r="34" spans="1:30" ht="39.75" customHeight="1">
      <c r="A34" s="908" t="s">
        <v>450</v>
      </c>
      <c r="B34" s="886" t="s">
        <v>50</v>
      </c>
      <c r="C34" s="481">
        <v>45991</v>
      </c>
      <c r="D34" s="481" t="s">
        <v>451</v>
      </c>
      <c r="E34" s="490">
        <v>45743</v>
      </c>
      <c r="F34" s="489" t="s">
        <v>61</v>
      </c>
      <c r="G34" s="887" t="s">
        <v>452</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367</v>
      </c>
      <c r="V34" s="41">
        <v>4194</v>
      </c>
      <c r="W34" s="772">
        <v>4448</v>
      </c>
      <c r="X34" s="486">
        <f t="shared" si="4"/>
        <v>-254</v>
      </c>
      <c r="Y34" s="688">
        <f t="shared" si="5"/>
        <v>1.0605627086313782</v>
      </c>
      <c r="Z34" s="493">
        <v>45784</v>
      </c>
      <c r="AA34" s="366">
        <v>0</v>
      </c>
      <c r="AB34" s="366">
        <v>0</v>
      </c>
      <c r="AC34" s="668">
        <v>0</v>
      </c>
      <c r="AD34" s="965" t="s">
        <v>453</v>
      </c>
    </row>
    <row r="35" spans="1:30" ht="39.75" customHeight="1">
      <c r="A35" s="1014" t="s">
        <v>454</v>
      </c>
      <c r="B35" s="886" t="s">
        <v>50</v>
      </c>
      <c r="C35" s="481">
        <v>45991</v>
      </c>
      <c r="D35" s="481" t="s">
        <v>60</v>
      </c>
      <c r="E35" s="490">
        <v>45743</v>
      </c>
      <c r="F35" s="489" t="s">
        <v>61</v>
      </c>
      <c r="G35" s="887" t="s">
        <v>455</v>
      </c>
      <c r="H35" s="492">
        <v>70</v>
      </c>
      <c r="I35" s="687" t="s">
        <v>98</v>
      </c>
      <c r="J35" s="483" t="s">
        <v>63</v>
      </c>
      <c r="K35" s="888"/>
      <c r="L35" s="490">
        <v>45741</v>
      </c>
      <c r="M35" s="483" t="s">
        <v>57</v>
      </c>
      <c r="N35" s="561">
        <v>67735.5</v>
      </c>
      <c r="O35" s="483" t="s">
        <v>57</v>
      </c>
      <c r="P35" s="843" t="s">
        <v>99</v>
      </c>
      <c r="Q35" s="493">
        <v>45779</v>
      </c>
      <c r="R35" s="493"/>
      <c r="S35" s="493"/>
      <c r="T35" s="493"/>
      <c r="U35" s="501" t="s">
        <v>367</v>
      </c>
      <c r="V35" s="41">
        <v>6152</v>
      </c>
      <c r="W35" s="772">
        <v>5723</v>
      </c>
      <c r="X35" s="107">
        <f>SUM(V35-W35)</f>
        <v>429</v>
      </c>
      <c r="Y35" s="683">
        <f>IFERROR($W35/$V35, 0)</f>
        <v>0.9302665799739922</v>
      </c>
      <c r="Z35" s="704">
        <v>45792</v>
      </c>
      <c r="AA35" s="366">
        <v>0</v>
      </c>
      <c r="AB35" s="366">
        <v>0</v>
      </c>
      <c r="AC35" s="668">
        <v>0</v>
      </c>
      <c r="AD35" s="364" t="s">
        <v>456</v>
      </c>
    </row>
    <row r="36" spans="1:30" ht="39.75" customHeight="1">
      <c r="A36" s="957" t="s">
        <v>457</v>
      </c>
      <c r="B36" s="886" t="s">
        <v>50</v>
      </c>
      <c r="C36" s="889">
        <v>45716</v>
      </c>
      <c r="D36" s="889" t="s">
        <v>60</v>
      </c>
      <c r="E36" s="889">
        <v>45701</v>
      </c>
      <c r="F36" s="489" t="s">
        <v>61</v>
      </c>
      <c r="G36" s="915" t="s">
        <v>369</v>
      </c>
      <c r="H36" s="892">
        <v>0</v>
      </c>
      <c r="I36" s="892" t="s">
        <v>99</v>
      </c>
      <c r="J36" s="892" t="s">
        <v>63</v>
      </c>
      <c r="K36" s="892"/>
      <c r="L36" s="889">
        <v>45705</v>
      </c>
      <c r="M36" s="892" t="s">
        <v>57</v>
      </c>
      <c r="N36" s="916">
        <v>1295</v>
      </c>
      <c r="O36" s="892" t="s">
        <v>57</v>
      </c>
      <c r="P36" s="843" t="s">
        <v>99</v>
      </c>
      <c r="Q36" s="531">
        <v>45706</v>
      </c>
      <c r="R36" s="531">
        <v>45826</v>
      </c>
      <c r="S36" s="531"/>
      <c r="T36" s="531"/>
      <c r="U36" s="501" t="s">
        <v>367</v>
      </c>
      <c r="V36" s="917">
        <v>153</v>
      </c>
      <c r="W36" s="771">
        <v>153</v>
      </c>
      <c r="X36" s="107">
        <f t="shared" si="4"/>
        <v>0</v>
      </c>
      <c r="Y36" s="683">
        <f t="shared" si="5"/>
        <v>1</v>
      </c>
      <c r="Z36" s="704">
        <v>45754</v>
      </c>
      <c r="AA36" s="487">
        <v>1</v>
      </c>
      <c r="AB36" s="487">
        <v>1</v>
      </c>
      <c r="AC36" s="855">
        <v>0</v>
      </c>
      <c r="AD36" s="176" t="s">
        <v>458</v>
      </c>
    </row>
    <row r="37" spans="1:30" ht="39.75" customHeight="1">
      <c r="A37" s="922" t="s">
        <v>459</v>
      </c>
      <c r="B37" s="958" t="s">
        <v>50</v>
      </c>
      <c r="C37" s="924">
        <v>45924</v>
      </c>
      <c r="D37" s="923" t="s">
        <v>133</v>
      </c>
      <c r="E37" s="924">
        <v>45772</v>
      </c>
      <c r="F37" s="925" t="s">
        <v>61</v>
      </c>
      <c r="G37" s="925" t="s">
        <v>460</v>
      </c>
      <c r="H37" s="926">
        <v>0</v>
      </c>
      <c r="I37" s="926" t="s">
        <v>98</v>
      </c>
      <c r="J37" s="926" t="s">
        <v>63</v>
      </c>
      <c r="K37" s="925"/>
      <c r="L37" s="933" t="s">
        <v>52</v>
      </c>
      <c r="M37" s="926" t="s">
        <v>57</v>
      </c>
      <c r="N37" s="927">
        <v>4397.6499999999996</v>
      </c>
      <c r="O37" s="926" t="s">
        <v>57</v>
      </c>
      <c r="P37" s="928" t="s">
        <v>99</v>
      </c>
      <c r="Q37" s="511">
        <v>45852</v>
      </c>
      <c r="R37" s="959"/>
      <c r="S37" s="959"/>
      <c r="T37" s="959"/>
      <c r="U37" s="332" t="s">
        <v>367</v>
      </c>
      <c r="V37" s="512">
        <v>129</v>
      </c>
      <c r="W37" s="961">
        <v>129</v>
      </c>
      <c r="X37" s="512">
        <f t="shared" si="4"/>
        <v>0</v>
      </c>
      <c r="Y37" s="929">
        <f t="shared" si="5"/>
        <v>1</v>
      </c>
      <c r="Z37" s="367">
        <v>45856</v>
      </c>
      <c r="AA37" s="61">
        <v>0</v>
      </c>
      <c r="AB37" s="61">
        <v>0</v>
      </c>
      <c r="AC37" s="962">
        <v>0</v>
      </c>
      <c r="AD37" s="150" t="s">
        <v>461</v>
      </c>
    </row>
    <row r="38" spans="1:30" ht="39.75" customHeight="1">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6"/>
  <sheetViews>
    <sheetView topLeftCell="A8" workbookViewId="0">
      <pane xSplit="1" topLeftCell="N97" activePane="topRight" state="frozen"/>
      <selection pane="topRight" activeCell="A106" sqref="A106:XFD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351</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351</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351</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351</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351</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351</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351</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351</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351</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351</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365</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382</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351</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349</v>
      </c>
      <c r="E42" s="684">
        <v>45692</v>
      </c>
      <c r="F42" s="684" t="s">
        <v>225</v>
      </c>
      <c r="G42" s="685" t="s">
        <v>562</v>
      </c>
      <c r="H42" s="52">
        <v>86</v>
      </c>
      <c r="I42" s="686" t="s">
        <v>351</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349</v>
      </c>
      <c r="E45" s="684">
        <v>45691</v>
      </c>
      <c r="F45" s="684" t="s">
        <v>225</v>
      </c>
      <c r="G45" s="685" t="s">
        <v>572</v>
      </c>
      <c r="H45" s="52">
        <v>73</v>
      </c>
      <c r="I45" s="693" t="s">
        <v>351</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351</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382</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382</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382</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351</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382</v>
      </c>
      <c r="E60" s="684">
        <v>45686</v>
      </c>
      <c r="F60" s="684" t="s">
        <v>555</v>
      </c>
      <c r="G60" s="685" t="s">
        <v>607</v>
      </c>
      <c r="H60" s="52">
        <v>90</v>
      </c>
      <c r="I60" s="693" t="s">
        <v>351</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382</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382</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351</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382</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351</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351</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686</v>
      </c>
    </row>
    <row r="95" spans="1:27" ht="39.75" customHeigh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385</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382</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382</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351</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382</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382</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382</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365</v>
      </c>
      <c r="E128" s="57">
        <v>45694</v>
      </c>
      <c r="F128" s="57" t="s">
        <v>540</v>
      </c>
      <c r="G128" s="829" t="s">
        <v>775</v>
      </c>
      <c r="H128" s="808">
        <v>0</v>
      </c>
      <c r="I128" s="825" t="s">
        <v>351</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382</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382</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365</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348</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348</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348</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348</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348</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368</v>
      </c>
      <c r="B284">
        <v>2227</v>
      </c>
      <c r="G284">
        <v>2227</v>
      </c>
    </row>
    <row r="285" spans="1:7">
      <c r="A285" t="s">
        <v>439</v>
      </c>
      <c r="C285">
        <v>0</v>
      </c>
      <c r="D285">
        <v>0</v>
      </c>
      <c r="E285">
        <v>344</v>
      </c>
      <c r="G285">
        <v>344</v>
      </c>
    </row>
    <row r="286" spans="1:7">
      <c r="A286" t="s">
        <v>364</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364</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355</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355</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359</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343</v>
      </c>
      <c r="B470">
        <v>644</v>
      </c>
      <c r="C470">
        <v>1430</v>
      </c>
      <c r="D470">
        <v>970</v>
      </c>
      <c r="G470">
        <v>3044</v>
      </c>
    </row>
    <row r="471" spans="1:7">
      <c r="A471" t="s">
        <v>371</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343</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355</v>
      </c>
      <c r="E501">
        <v>341</v>
      </c>
      <c r="G501">
        <v>341</v>
      </c>
    </row>
    <row r="502" spans="1:7">
      <c r="A502" t="s">
        <v>839</v>
      </c>
    </row>
    <row r="503" spans="1:7">
      <c r="A503" t="s">
        <v>343</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364</v>
      </c>
      <c r="E534">
        <v>977</v>
      </c>
      <c r="G534">
        <v>977</v>
      </c>
    </row>
    <row r="535" spans="1:7">
      <c r="A535" t="s">
        <v>838</v>
      </c>
      <c r="D535">
        <v>81</v>
      </c>
      <c r="F535">
        <v>114</v>
      </c>
      <c r="G535">
        <v>195</v>
      </c>
    </row>
    <row r="536" spans="1:7">
      <c r="A536" t="s">
        <v>475</v>
      </c>
    </row>
    <row r="537" spans="1:7">
      <c r="A537" t="s">
        <v>343</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364</v>
      </c>
      <c r="E549">
        <v>676</v>
      </c>
      <c r="F549">
        <v>430</v>
      </c>
      <c r="G549">
        <v>1106</v>
      </c>
    </row>
    <row r="550" spans="1:7">
      <c r="A550" t="s">
        <v>355</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364</v>
      </c>
      <c r="B565">
        <v>885</v>
      </c>
      <c r="C565">
        <v>478</v>
      </c>
      <c r="D565">
        <v>490</v>
      </c>
      <c r="E565">
        <v>372</v>
      </c>
      <c r="G565">
        <v>2225</v>
      </c>
    </row>
    <row r="566" spans="1:7">
      <c r="A566" t="s">
        <v>75</v>
      </c>
    </row>
    <row r="567" spans="1:7">
      <c r="A567" t="s">
        <v>838</v>
      </c>
      <c r="B567">
        <v>360</v>
      </c>
      <c r="G567">
        <v>360</v>
      </c>
    </row>
    <row r="568" spans="1:7">
      <c r="A568" t="s">
        <v>343</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368</v>
      </c>
      <c r="F578">
        <v>198</v>
      </c>
      <c r="G578">
        <v>198</v>
      </c>
    </row>
    <row r="579" spans="1:7">
      <c r="A579" t="s">
        <v>364</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368</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368</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368</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373</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373</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373</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355</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373</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368</v>
      </c>
      <c r="D685">
        <v>1241</v>
      </c>
      <c r="G685">
        <v>1241</v>
      </c>
    </row>
    <row r="686" spans="1:7">
      <c r="A686" t="s">
        <v>312</v>
      </c>
      <c r="B686">
        <v>503</v>
      </c>
      <c r="C686">
        <v>295</v>
      </c>
      <c r="F686">
        <v>6</v>
      </c>
      <c r="G686">
        <v>804</v>
      </c>
    </row>
    <row r="687" spans="1:7">
      <c r="A687" t="s">
        <v>355</v>
      </c>
      <c r="C687">
        <v>1009</v>
      </c>
      <c r="G687">
        <v>1009</v>
      </c>
    </row>
    <row r="688" spans="1:7">
      <c r="A688" t="s">
        <v>833</v>
      </c>
      <c r="B688">
        <v>20</v>
      </c>
      <c r="E688">
        <v>250</v>
      </c>
      <c r="F688">
        <v>177</v>
      </c>
      <c r="G688">
        <v>447</v>
      </c>
    </row>
    <row r="689" spans="1:7">
      <c r="A689" t="s">
        <v>373</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368</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381</v>
      </c>
      <c r="E719">
        <v>903</v>
      </c>
      <c r="G719">
        <v>903</v>
      </c>
    </row>
    <row r="720" spans="1:7">
      <c r="A720" t="s">
        <v>375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355</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381</v>
      </c>
      <c r="B731">
        <v>254</v>
      </c>
      <c r="C731">
        <v>1686</v>
      </c>
      <c r="D731">
        <v>611</v>
      </c>
      <c r="G731">
        <v>2551</v>
      </c>
    </row>
    <row r="732" spans="1:7">
      <c r="A732" t="s">
        <v>375</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368</v>
      </c>
      <c r="D743">
        <v>139</v>
      </c>
      <c r="G743">
        <v>139</v>
      </c>
    </row>
    <row r="744" spans="1:7">
      <c r="A744" t="s">
        <v>312</v>
      </c>
    </row>
    <row r="745" spans="1:7">
      <c r="A745" t="s">
        <v>359</v>
      </c>
      <c r="E745">
        <v>97</v>
      </c>
      <c r="G745">
        <v>97</v>
      </c>
    </row>
    <row r="746" spans="1:7">
      <c r="A746" t="s">
        <v>838</v>
      </c>
      <c r="B746">
        <v>42</v>
      </c>
      <c r="C746">
        <v>219</v>
      </c>
      <c r="F746">
        <v>70</v>
      </c>
      <c r="G746">
        <v>331</v>
      </c>
    </row>
    <row r="747" spans="1:7">
      <c r="A747" t="s">
        <v>857</v>
      </c>
    </row>
    <row r="748" spans="1:7">
      <c r="A748" t="s">
        <v>381</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384</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332</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368</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384</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332</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379</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359</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379</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359</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337</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341</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359</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341</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373</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337</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339</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335</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349</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382</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349</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349</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349</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382</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349</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348</v>
      </c>
      <c r="B45" s="247" t="s">
        <v>349</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382</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349</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348</v>
      </c>
      <c r="B62" s="248" t="s">
        <v>349</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382</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349</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349</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348</v>
      </c>
      <c r="B87" s="248" t="s">
        <v>349</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382</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349</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349</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348</v>
      </c>
      <c r="B118" s="248" t="s">
        <v>349</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382</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349</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349</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348</v>
      </c>
      <c r="B149" s="248" t="s">
        <v>349</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382</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349</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349</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348</v>
      </c>
      <c r="B180" s="248" t="s">
        <v>349</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382</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349</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382</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349</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348</v>
      </c>
      <c r="B229" s="248" t="s">
        <v>349</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382</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349</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349</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348</v>
      </c>
      <c r="B266" s="248" t="s">
        <v>349</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382</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349</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349</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348</v>
      </c>
      <c r="B306" s="248" t="s">
        <v>349</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382</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349</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349</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348</v>
      </c>
      <c r="B347" s="248" t="s">
        <v>349</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382</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349</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349</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348</v>
      </c>
      <c r="B388" s="248" t="s">
        <v>349</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382</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349</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349</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348</v>
      </c>
      <c r="B434" s="248" t="s">
        <v>349</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382</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349</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382</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349</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348</v>
      </c>
      <c r="B484" s="248" t="s">
        <v>349</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382</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349</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382</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349</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348</v>
      </c>
      <c r="B535" s="248" t="s">
        <v>349</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382</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349</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382</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348</v>
      </c>
      <c r="B584" s="248" t="s">
        <v>349</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349</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382</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349</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382</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382</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382</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382</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382</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382</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382</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382</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382</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368</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364</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364</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382</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364</v>
      </c>
      <c r="B821" s="142" t="s">
        <v>816</v>
      </c>
      <c r="C821" s="56">
        <v>45750</v>
      </c>
      <c r="E821" s="43"/>
      <c r="F821" s="142" t="s">
        <v>1050</v>
      </c>
      <c r="G821" t="str">
        <f t="shared" si="12"/>
        <v>April</v>
      </c>
    </row>
    <row r="822" spans="1:7">
      <c r="A822" s="142" t="s">
        <v>425</v>
      </c>
      <c r="B822" s="247" t="s">
        <v>382</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364</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355</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355</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364</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364</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382</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382</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365</v>
      </c>
      <c r="C882" s="56">
        <v>45758</v>
      </c>
      <c r="E882" s="43"/>
      <c r="F882" s="142" t="s">
        <v>1071</v>
      </c>
      <c r="G882" t="str">
        <f t="shared" si="13"/>
        <v>April</v>
      </c>
    </row>
    <row r="883" spans="1:7">
      <c r="A883" s="142" t="s">
        <v>631</v>
      </c>
      <c r="B883" s="142" t="s">
        <v>365</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382</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365</v>
      </c>
      <c r="C894" s="56">
        <v>45761</v>
      </c>
      <c r="E894" s="43"/>
      <c r="G894" t="str">
        <f t="shared" si="13"/>
        <v>April</v>
      </c>
    </row>
    <row r="895" spans="1:7">
      <c r="A895" s="142" t="s">
        <v>631</v>
      </c>
      <c r="B895" s="142" t="s">
        <v>365</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382</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365</v>
      </c>
      <c r="C905" s="56">
        <v>45762</v>
      </c>
      <c r="E905" s="43"/>
      <c r="F905" s="142" t="s">
        <v>1083</v>
      </c>
      <c r="G905" t="str">
        <f t="shared" si="14"/>
        <v>April</v>
      </c>
    </row>
    <row r="906" spans="1:7">
      <c r="A906" s="142" t="s">
        <v>631</v>
      </c>
      <c r="B906" s="142" t="s">
        <v>365</v>
      </c>
      <c r="C906" s="56">
        <v>45762</v>
      </c>
      <c r="E906" s="43"/>
      <c r="F906" s="142" t="s">
        <v>1083</v>
      </c>
      <c r="G906" t="str">
        <f t="shared" si="14"/>
        <v>April</v>
      </c>
    </row>
    <row r="907" spans="1:7">
      <c r="A907" s="142" t="s">
        <v>611</v>
      </c>
      <c r="B907" s="142" t="s">
        <v>365</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382</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382</v>
      </c>
      <c r="C919" s="56">
        <v>45763</v>
      </c>
      <c r="D919" s="43">
        <v>173</v>
      </c>
      <c r="E919" s="43"/>
      <c r="G919" t="str">
        <f t="shared" si="14"/>
        <v>April</v>
      </c>
    </row>
    <row r="920" spans="1:7">
      <c r="A920" s="142" t="s">
        <v>604</v>
      </c>
      <c r="B920" s="142" t="s">
        <v>365</v>
      </c>
      <c r="C920" s="56">
        <v>45763</v>
      </c>
      <c r="E920" s="43"/>
      <c r="F920" s="142" t="s">
        <v>945</v>
      </c>
      <c r="G920" t="str">
        <f t="shared" si="14"/>
        <v>April</v>
      </c>
    </row>
    <row r="921" spans="1:7">
      <c r="A921" s="142" t="s">
        <v>611</v>
      </c>
      <c r="B921" s="142" t="s">
        <v>365</v>
      </c>
      <c r="C921" s="56">
        <v>45763</v>
      </c>
      <c r="E921" s="43"/>
      <c r="F921" s="142" t="s">
        <v>945</v>
      </c>
      <c r="G921" t="str">
        <f t="shared" si="14"/>
        <v>April</v>
      </c>
    </row>
    <row r="922" spans="1:7">
      <c r="A922" s="142" t="s">
        <v>609</v>
      </c>
      <c r="B922" s="247" t="s">
        <v>382</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382</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382</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365</v>
      </c>
      <c r="C946" s="56">
        <v>45765</v>
      </c>
      <c r="E946" s="43"/>
      <c r="F946" s="310" t="s">
        <v>1105</v>
      </c>
      <c r="G946" t="str">
        <f t="shared" si="14"/>
        <v>April</v>
      </c>
    </row>
    <row r="947" spans="1:7">
      <c r="A947" s="315" t="s">
        <v>611</v>
      </c>
      <c r="B947" s="315" t="s">
        <v>365</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382</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382</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365</v>
      </c>
      <c r="C959" s="56">
        <v>45768</v>
      </c>
      <c r="E959" s="43"/>
      <c r="F959" s="315" t="s">
        <v>1105</v>
      </c>
      <c r="G959" t="str">
        <f t="shared" si="15"/>
        <v>April</v>
      </c>
    </row>
    <row r="960" spans="1:7">
      <c r="A960" s="319" t="s">
        <v>631</v>
      </c>
      <c r="B960" s="142" t="s">
        <v>365</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382</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382</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382</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382</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382</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382</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382</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382</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382</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382</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382</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355</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355</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382</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359</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382</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382</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382</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382</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343</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382</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343</v>
      </c>
      <c r="B1158" s="308" t="s">
        <v>133</v>
      </c>
      <c r="C1158" s="56">
        <v>45797</v>
      </c>
      <c r="D1158" s="156">
        <v>1430</v>
      </c>
      <c r="F1158" s="43" t="s">
        <v>962</v>
      </c>
      <c r="G1158" t="str">
        <f t="shared" si="21"/>
        <v>May</v>
      </c>
    </row>
    <row r="1159" spans="1:7">
      <c r="A1159" s="135" t="s">
        <v>640</v>
      </c>
      <c r="B1159" s="142" t="s">
        <v>382</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343</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371</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382</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371</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343</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343</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382</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343</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382</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382</v>
      </c>
      <c r="C1216" s="56">
        <v>45812</v>
      </c>
      <c r="D1216" s="43">
        <v>83</v>
      </c>
      <c r="G1216" t="s">
        <v>1249</v>
      </c>
    </row>
    <row r="1217" spans="1:7">
      <c r="A1217" s="308" t="s">
        <v>355</v>
      </c>
      <c r="B1217" s="308" t="s">
        <v>382</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343</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355</v>
      </c>
      <c r="B1223" s="142" t="s">
        <v>382</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382</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382</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382</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364</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343</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382</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355</v>
      </c>
      <c r="B1284" s="311" t="s">
        <v>382</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382</v>
      </c>
      <c r="C1289" s="56">
        <v>45834</v>
      </c>
      <c r="F1289" s="320" t="s">
        <v>1275</v>
      </c>
      <c r="G1289" t="s">
        <v>1249</v>
      </c>
    </row>
    <row r="1290" spans="1:7">
      <c r="A1290" s="360" t="s">
        <v>640</v>
      </c>
      <c r="B1290" s="311" t="s">
        <v>382</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364</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382</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364</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364</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343</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364</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364</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364</v>
      </c>
      <c r="B1316" s="321" t="s">
        <v>426</v>
      </c>
      <c r="C1316" s="56">
        <v>45841</v>
      </c>
      <c r="D1316" s="43">
        <v>372</v>
      </c>
      <c r="F1316" s="116" t="s">
        <v>928</v>
      </c>
      <c r="G1316" t="s">
        <v>1282</v>
      </c>
    </row>
    <row r="1317" spans="1:7" ht="15.75">
      <c r="A1317" s="142" t="s">
        <v>364</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364</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368</v>
      </c>
      <c r="B1331" s="158" t="s">
        <v>316</v>
      </c>
      <c r="C1331" s="56">
        <v>45849</v>
      </c>
      <c r="D1331" s="43">
        <v>198</v>
      </c>
      <c r="G1331" t="s">
        <v>1282</v>
      </c>
    </row>
    <row r="1332" spans="1:7">
      <c r="A1332" s="251" t="s">
        <v>740</v>
      </c>
      <c r="B1332" s="412" t="s">
        <v>815</v>
      </c>
      <c r="C1332" s="56">
        <v>45852</v>
      </c>
      <c r="F1332" s="43" t="s">
        <v>945</v>
      </c>
      <c r="G1332" t="s">
        <v>1282</v>
      </c>
    </row>
    <row r="1333" spans="1:7">
      <c r="A1333" s="638" t="s">
        <v>368</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382</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382</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382</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368</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382</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368</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368</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382</v>
      </c>
      <c r="C1391" s="56">
        <v>45866</v>
      </c>
      <c r="D1391" s="156">
        <v>1181</v>
      </c>
      <c r="G1391" t="s">
        <v>1282</v>
      </c>
    </row>
    <row r="1392" spans="1:7">
      <c r="A1392" s="124" t="s">
        <v>368</v>
      </c>
      <c r="B1392" s="158" t="s">
        <v>316</v>
      </c>
      <c r="C1392" s="56">
        <v>45866</v>
      </c>
      <c r="D1392" s="43">
        <v>345</v>
      </c>
      <c r="G1392" t="s">
        <v>1282</v>
      </c>
    </row>
    <row r="1393" spans="1:7">
      <c r="A1393" s="639" t="s">
        <v>670</v>
      </c>
      <c r="B1393" s="69" t="s">
        <v>382</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382</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382</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373</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373</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373</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373</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373</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373</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373</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373</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373</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373</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373</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373</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373</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355</v>
      </c>
      <c r="B1470" s="412" t="s">
        <v>382</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373</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355</v>
      </c>
      <c r="B1477" s="412" t="s">
        <v>382</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373</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382</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373</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382</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373</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355</v>
      </c>
      <c r="B1498" s="412" t="s">
        <v>382</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368</v>
      </c>
      <c r="B1505" s="360" t="s">
        <v>316</v>
      </c>
      <c r="C1505" s="56">
        <v>45895</v>
      </c>
      <c r="F1505" s="43" t="s">
        <v>1022</v>
      </c>
      <c r="G1505" t="s">
        <v>1321</v>
      </c>
    </row>
    <row r="1506" spans="1:7">
      <c r="A1506" s="410" t="s">
        <v>703</v>
      </c>
      <c r="B1506" s="232" t="s">
        <v>382</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368</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373</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368</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368</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373</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368</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368</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381</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375</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381</v>
      </c>
      <c r="B1552" s="232" t="s">
        <v>382</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381</v>
      </c>
      <c r="B1555" s="232" t="s">
        <v>382</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381</v>
      </c>
      <c r="B1559" s="232" t="s">
        <v>382</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375</v>
      </c>
      <c r="B1564" s="711" t="s">
        <v>1240</v>
      </c>
      <c r="C1564" s="56">
        <v>45910</v>
      </c>
      <c r="F1564" s="43" t="s">
        <v>1078</v>
      </c>
      <c r="G1564" t="s">
        <v>1359</v>
      </c>
    </row>
    <row r="1565" spans="1:7">
      <c r="A1565" s="88" t="s">
        <v>838</v>
      </c>
      <c r="B1565" s="412" t="s">
        <v>815</v>
      </c>
      <c r="C1565" s="56">
        <v>45911</v>
      </c>
      <c r="D1565" s="43">
        <v>302</v>
      </c>
      <c r="G1565" t="s">
        <v>1359</v>
      </c>
    </row>
    <row r="1566" spans="1:7">
      <c r="A1566" s="88" t="s">
        <v>355</v>
      </c>
      <c r="B1566" s="412" t="s">
        <v>382</v>
      </c>
      <c r="C1566" s="56">
        <v>45911</v>
      </c>
      <c r="D1566" s="43">
        <v>279</v>
      </c>
      <c r="F1566" s="43" t="s">
        <v>1382</v>
      </c>
      <c r="G1566" t="s">
        <v>1359</v>
      </c>
    </row>
    <row r="1567" spans="1:7">
      <c r="A1567" s="88" t="s">
        <v>858</v>
      </c>
      <c r="B1567" s="412" t="s">
        <v>382</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375</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375</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384</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381</v>
      </c>
      <c r="B1591" s="319" t="s">
        <v>382</v>
      </c>
      <c r="C1591" s="56">
        <v>45917</v>
      </c>
      <c r="D1591" s="43">
        <v>250</v>
      </c>
      <c r="F1591" s="761" t="s">
        <v>1388</v>
      </c>
      <c r="G1591" t="s">
        <v>1359</v>
      </c>
    </row>
    <row r="1592" spans="1:7">
      <c r="A1592" s="142" t="s">
        <v>384</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368</v>
      </c>
      <c r="B1596" s="315" t="s">
        <v>815</v>
      </c>
      <c r="C1596" s="56">
        <v>45917</v>
      </c>
      <c r="D1596" s="43">
        <v>139</v>
      </c>
      <c r="F1596" s="761"/>
      <c r="G1596" t="s">
        <v>1359</v>
      </c>
    </row>
    <row r="1597" spans="1:7">
      <c r="A1597" s="88" t="s">
        <v>359</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384</v>
      </c>
      <c r="B1600" s="711" t="s">
        <v>133</v>
      </c>
      <c r="C1600" s="56">
        <v>45918</v>
      </c>
      <c r="D1600" s="156">
        <v>1204</v>
      </c>
      <c r="F1600" s="761" t="s">
        <v>1393</v>
      </c>
      <c r="G1600" t="s">
        <v>1359</v>
      </c>
    </row>
    <row r="1601" spans="1:7">
      <c r="A1601" s="69" t="s">
        <v>332</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332</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368</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332</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379</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332</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384</v>
      </c>
      <c r="B1642" s="653" t="s">
        <v>815</v>
      </c>
      <c r="C1642" s="56">
        <v>45924</v>
      </c>
      <c r="E1642" s="140">
        <v>731</v>
      </c>
      <c r="F1642" s="69" t="s">
        <v>1411</v>
      </c>
      <c r="G1642" t="s">
        <v>1359</v>
      </c>
    </row>
    <row r="1643" spans="1:7">
      <c r="A1643" s="786" t="s">
        <v>332</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379</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379</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359</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359</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359</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359</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359</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337</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337</v>
      </c>
      <c r="B1782" s="142" t="s">
        <v>133</v>
      </c>
      <c r="C1782" s="314">
        <v>45944</v>
      </c>
      <c r="D1782" s="43">
        <v>510</v>
      </c>
      <c r="F1782" s="43" t="s">
        <v>1453</v>
      </c>
      <c r="G1782" t="s">
        <v>1426</v>
      </c>
    </row>
    <row r="1783" spans="1:7">
      <c r="A1783" s="842" t="s">
        <v>341</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341</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341</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359</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359</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341</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359</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339</v>
      </c>
      <c r="B1879" s="142" t="s">
        <v>133</v>
      </c>
      <c r="C1879" s="56">
        <v>45958</v>
      </c>
      <c r="D1879" s="156">
        <v>1509</v>
      </c>
      <c r="F1879" s="43" t="s">
        <v>1508</v>
      </c>
      <c r="G1879" t="s">
        <v>1426</v>
      </c>
    </row>
    <row r="1880" spans="1:7">
      <c r="A1880" s="1067" t="s">
        <v>335</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339</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339</v>
      </c>
      <c r="B1904" s="322" t="s">
        <v>133</v>
      </c>
      <c r="C1904" s="56">
        <v>45960</v>
      </c>
      <c r="D1904" s="43">
        <v>777</v>
      </c>
      <c r="F1904" s="43" t="s">
        <v>1526</v>
      </c>
      <c r="G1904" t="s">
        <v>1426</v>
      </c>
    </row>
    <row r="1905" spans="1:7">
      <c r="A1905" s="43" t="s">
        <v>335</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337</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339</v>
      </c>
      <c r="B1920" s="142" t="s">
        <v>133</v>
      </c>
      <c r="C1920" s="56">
        <v>45961</v>
      </c>
      <c r="F1920" s="69" t="s">
        <v>1533</v>
      </c>
      <c r="G1920" t="s">
        <v>1426</v>
      </c>
    </row>
    <row r="1921" spans="1:7">
      <c r="A1921" s="43" t="s">
        <v>339</v>
      </c>
      <c r="B1921" s="409" t="s">
        <v>815</v>
      </c>
      <c r="C1921" s="56">
        <v>45961</v>
      </c>
      <c r="E1921" s="325">
        <v>1862</v>
      </c>
      <c r="F1921" s="639" t="s">
        <v>1248</v>
      </c>
      <c r="G1921" t="s">
        <v>1426</v>
      </c>
    </row>
    <row r="1922" spans="1:7">
      <c r="A1922" s="43" t="s">
        <v>373</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5"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364</v>
      </c>
      <c r="B3" s="548" t="s">
        <v>204</v>
      </c>
      <c r="C3" s="716">
        <v>45742</v>
      </c>
      <c r="D3" s="717" t="s">
        <v>366</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368</v>
      </c>
      <c r="B5" s="421" t="s">
        <v>204</v>
      </c>
      <c r="C5" s="414">
        <v>45991</v>
      </c>
      <c r="D5" s="553" t="s">
        <v>369</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371</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372</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373</v>
      </c>
      <c r="B17" s="183" t="s">
        <v>204</v>
      </c>
      <c r="C17" s="180">
        <v>45991</v>
      </c>
      <c r="D17" s="741" t="s">
        <v>374</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375</v>
      </c>
      <c r="B18" s="183" t="s">
        <v>204</v>
      </c>
      <c r="C18" s="423">
        <v>45991</v>
      </c>
      <c r="D18" s="424" t="s">
        <v>376</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385</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343</v>
      </c>
      <c r="B73" s="178" t="s">
        <v>112</v>
      </c>
      <c r="C73" s="186">
        <v>45838</v>
      </c>
      <c r="D73" s="640" t="s">
        <v>344</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369</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348</v>
      </c>
      <c r="B143" s="420" t="s">
        <v>50</v>
      </c>
      <c r="C143" s="750">
        <v>45688</v>
      </c>
      <c r="D143" s="538" t="s">
        <v>350</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355</v>
      </c>
      <c r="B148" s="420" t="s">
        <v>50</v>
      </c>
      <c r="C148" s="414">
        <v>45991</v>
      </c>
      <c r="D148" s="424" t="s">
        <v>357</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359</v>
      </c>
      <c r="B169" s="420" t="s">
        <v>50</v>
      </c>
      <c r="C169" s="598">
        <v>45991</v>
      </c>
      <c r="D169" s="424" t="s">
        <v>360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1622</v>
      </c>
      <c r="C1" s="1143"/>
      <c r="D1" s="577"/>
      <c r="E1" s="1143" t="s">
        <v>1623</v>
      </c>
      <c r="F1" s="1143"/>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355</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359</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21BD76-63F8-4BE7-908B-620480BF007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2025-11-04T15:56:35Z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