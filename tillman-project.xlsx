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E14B221E-02E2-46A3-8CEC-C736815F2DD5}" xr6:coauthVersionLast="47" xr6:coauthVersionMax="47" xr10:uidLastSave="{8077A545-A855-4E83-A105-E64A7BAB5E2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402" r:id="rId12"/>
    <pivotCache cacheId="3403" r:id="rId13"/>
    <pivotCache cacheId="3404" r:id="rId14"/>
    <pivotCache cacheId="3405" r:id="rId15"/>
    <pivotCache cacheId="34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<sst xmlns="http://schemas.openxmlformats.org/spreadsheetml/2006/main" count="16043" uniqueCount="2079">
  <si>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</si>
  <si>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</si>
  <si>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</si>
  <si>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</si>
  <si>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</si>
  <si>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</si>
  <si>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</si>
  <si>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</si>
  <si>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</si>
  <si>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</si>
  <si>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</si>
  <si>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</si>
  <si>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</si>
  <si>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</si>
  <si>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</si>
  <si>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</si>
  <si>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</si>
  <si>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</si>
  <si>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</si>
  <si>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</si>
  <si>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</si>
  <si>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</si>
  <si>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</si>
  <si>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</si>
  <si>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</si>
  <si>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</si>
  <si>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</si>
  <si>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</si>
  <si>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</si>
  <si>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</si>
  <si>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</si>
  <si>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</si>
  <si>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</si>
  <si>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</si>
  <si>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</si>
  <si>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</si>
  <si>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</si>
  <si>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</si>
  <si>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</si>
  <si>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</si>
  <si>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</si>
  <si>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</si>
  <si>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</si>
  <si>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</si>
  <si>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</si>
  <si>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</si>
  <si>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</si>
  <si>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</si>
  <si>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</si>
  <si>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</si>
  <si>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</si>
  <si>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</si>
  <si>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</si>
  <si>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</si>
  <si>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</si>
  <si>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</si>
  <si>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</si>
  <si>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</si>
  <si>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</si>
  <si>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</si>
  <si>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</si>
  <si>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</si>
  <si>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</si>
  <si>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</si>
  <si>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</si>
  <si>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</si>
  <si>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</si>
  <si>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</si>
  <si>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</si>
  <si>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</si>
  <si>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</si>
  <si>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</si>
  <si>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</si>
  <si>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</si>
  <si>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</si>
  <si>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</si>
  <si>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</si>
  <si>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</si>
  <si>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</si>
  <si>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</si>
  <si>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</si>
  <si>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</si>
  <si>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</si>
  <si>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</si>
  <si>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</si>
  <si>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</si>
  <si>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</si>
  <si>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</si>
  <si>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</si>
  <si>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</si>
  <si>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</si>
  <si>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</si>
  <si>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</si>
  <si>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</si>
  <si>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</si>
  <si>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</si>
  <si>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</si>
  <si>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</si>
  <si>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</si>
  <si>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</si>
  <si>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</si>
  <si>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</si>
  <si>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</si>
  <si>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</si>
  <si>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</si>
  <si>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</si>
  <si>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</si>
  <si>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</si>
  <si>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</si>
  <si>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</si>
  <si>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</si>
  <si>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</si>
  <si>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</si>
  <si>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</si>
  <si>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</si>
  <si>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</si>
  <si>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</si>
  <si>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</si>
  <si>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</si>
  <si>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</si>
  <si>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</si>
  <si>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</si>
  <si>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</si>
  <si>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</si>
  <si>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</si>
  <si>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</si>
  <si>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</si>
  <si>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</si>
  <si>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</si>
  <si>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</si>
  <si>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</si>
  <si>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</si>
  <si>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</si>
  <si>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</si>
  <si>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</si>
  <si>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</si>
  <si>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</si>
  <si>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</si>
  <si>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</si>
  <si>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</si>
  <si>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</si>
  <si>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</si>
  <si>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</si>
  <si>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</si>
  <si>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</si>
  <si>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</si>
  <si>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Completed on Track</t>
  </si>
  <si>
    <t>Completed</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</si>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</sst>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02778"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315"/>
    <x v="35"/>
    <x v="221"/>
    <m/>
    <m/>
    <m/>
  </r>
  <r>
    <x v="311"/>
    <x v="27"/>
    <x v="221"/>
    <m/>
    <m/>
    <m/>
  </r>
  <r>
    <x v="314"/>
    <x v="45"/>
    <x v="221"/>
    <m/>
    <m/>
    <m/>
  </r>
  <r>
    <x v="294"/>
    <x v="5"/>
    <x v="221"/>
    <m/>
    <m/>
    <m/>
  </r>
  <r>
    <x v="316"/>
    <x v="5"/>
    <x v="221"/>
    <n v="1083"/>
    <m/>
    <m/>
  </r>
  <r>
    <x v="260"/>
    <x v="5"/>
    <x v="221"/>
    <m/>
    <m/>
    <s v="11 Toby Boxes"/>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7"/>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G22" activePane="topRight" state="frozen"/>
      <selection pane="topRight" activeCell="I32" sqref="I3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28</v>
      </c>
      <c r="I32" s="661" t="s">
        <v>146</v>
      </c>
      <c r="J32" s="1208" t="s">
        <v>63</v>
      </c>
      <c r="K32" s="1208"/>
      <c r="L32" s="1206">
        <v>45972</v>
      </c>
      <c r="M32" s="1208" t="s">
        <v>57</v>
      </c>
      <c r="N32" s="1209">
        <v>27615.5</v>
      </c>
      <c r="O32" s="1208" t="s">
        <v>57</v>
      </c>
      <c r="P32" s="1281" t="s">
        <v>147</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141</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67"/>
      <c r="K69" s="1367"/>
      <c r="L69" s="1356"/>
      <c r="M69" s="1228" t="s">
        <v>57</v>
      </c>
      <c r="N69" s="1368">
        <v>1035</v>
      </c>
      <c r="O69" s="1228" t="s">
        <v>57</v>
      </c>
      <c r="P69" s="1241" t="s">
        <v>58</v>
      </c>
      <c r="Q69" s="1369"/>
      <c r="R69" s="1369"/>
      <c r="S69" s="1369"/>
      <c r="T69" s="1369"/>
      <c r="U69" s="1369"/>
      <c r="V69" s="1370">
        <v>0</v>
      </c>
      <c r="W69" s="1371"/>
      <c r="X69" s="1371">
        <f>SUM(V69-W69)</f>
        <v>0</v>
      </c>
      <c r="Y69" s="662">
        <f>IFERROR($W69/$V69, 0)</f>
        <v>0</v>
      </c>
      <c r="Z69" s="1372"/>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3"/>
      <c r="I83" s="829" t="s">
        <v>55</v>
      </c>
      <c r="J83" s="832" t="s">
        <v>63</v>
      </c>
      <c r="K83" s="1367"/>
      <c r="L83" s="1358"/>
      <c r="M83" s="829" t="s">
        <v>57</v>
      </c>
      <c r="N83" s="1368">
        <v>36998.550000000003</v>
      </c>
      <c r="O83" s="829" t="s">
        <v>57</v>
      </c>
      <c r="P83" s="1241" t="s">
        <v>58</v>
      </c>
      <c r="Q83" s="1369"/>
      <c r="R83" s="1369"/>
      <c r="S83" s="1369"/>
      <c r="T83" s="1369"/>
      <c r="U83" s="1369"/>
      <c r="V83" s="1370">
        <v>2944</v>
      </c>
      <c r="W83" s="1371"/>
      <c r="X83" s="1371">
        <f>SUM(V83-W83)</f>
        <v>2944</v>
      </c>
      <c r="Y83" s="662">
        <f>IFERROR($W83/$V83, 0)</f>
        <v>0</v>
      </c>
      <c r="Z83" s="1372"/>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67"/>
      <c r="L92" s="1358"/>
      <c r="M92" s="1228" t="s">
        <v>57</v>
      </c>
      <c r="N92" s="1368">
        <v>118710.8</v>
      </c>
      <c r="O92" s="1228" t="s">
        <v>57</v>
      </c>
      <c r="P92" s="1210" t="s">
        <v>58</v>
      </c>
      <c r="Q92" s="1369"/>
      <c r="R92" s="1369"/>
      <c r="S92" s="1369"/>
      <c r="T92" s="1369"/>
      <c r="U92" s="1369"/>
      <c r="V92" s="1370">
        <v>9628</v>
      </c>
      <c r="W92" s="1371"/>
      <c r="X92" s="1371">
        <f>SUM(V92-W92)</f>
        <v>9628</v>
      </c>
      <c r="Y92" s="662">
        <f>IFERROR($W92/$V92, 0)</f>
        <v>0</v>
      </c>
      <c r="Z92" s="1369"/>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84</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146</v>
      </c>
      <c r="J23" s="1208" t="s">
        <v>63</v>
      </c>
      <c r="K23" s="1208"/>
      <c r="L23" s="1206">
        <v>45936</v>
      </c>
      <c r="M23" s="1208" t="s">
        <v>57</v>
      </c>
      <c r="N23" s="1209">
        <v>37755.599999999999</v>
      </c>
      <c r="O23" s="1208" t="s">
        <v>57</v>
      </c>
      <c r="P23" s="1281" t="s">
        <v>147</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146</v>
      </c>
      <c r="J24" s="469" t="s">
        <v>63</v>
      </c>
      <c r="K24" s="469"/>
      <c r="L24" s="467">
        <v>45962</v>
      </c>
      <c r="M24" s="469" t="s">
        <v>57</v>
      </c>
      <c r="N24" s="542">
        <v>37418</v>
      </c>
      <c r="O24" s="469" t="s">
        <v>57</v>
      </c>
      <c r="P24" s="626" t="s">
        <v>147</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146</v>
      </c>
      <c r="J25" s="469" t="s">
        <v>63</v>
      </c>
      <c r="K25" s="469"/>
      <c r="L25" s="467">
        <v>45969</v>
      </c>
      <c r="M25" s="469" t="s">
        <v>57</v>
      </c>
      <c r="N25" s="542">
        <v>66402</v>
      </c>
      <c r="O25" s="469" t="s">
        <v>57</v>
      </c>
      <c r="P25" s="626" t="s">
        <v>147</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146</v>
      </c>
      <c r="J26" s="469" t="s">
        <v>63</v>
      </c>
      <c r="K26" s="469"/>
      <c r="L26" s="467">
        <v>45967</v>
      </c>
      <c r="M26" s="469" t="s">
        <v>57</v>
      </c>
      <c r="N26" s="542">
        <v>63997.35</v>
      </c>
      <c r="O26" s="469" t="s">
        <v>57</v>
      </c>
      <c r="P26" s="626" t="s">
        <v>147</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146</v>
      </c>
      <c r="J27" s="469" t="s">
        <v>63</v>
      </c>
      <c r="K27" s="469"/>
      <c r="L27" s="467">
        <v>45968</v>
      </c>
      <c r="M27" s="469" t="s">
        <v>57</v>
      </c>
      <c r="N27" s="542">
        <v>12840.7</v>
      </c>
      <c r="O27" s="469" t="s">
        <v>57</v>
      </c>
      <c r="P27" s="626" t="s">
        <v>147</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146</v>
      </c>
      <c r="J28" s="469" t="s">
        <v>63</v>
      </c>
      <c r="K28" s="469"/>
      <c r="L28" s="467">
        <v>45790</v>
      </c>
      <c r="M28" s="469" t="s">
        <v>57</v>
      </c>
      <c r="N28" s="542">
        <v>63283</v>
      </c>
      <c r="O28" s="469" t="s">
        <v>57</v>
      </c>
      <c r="P28" s="626" t="s">
        <v>147</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146</v>
      </c>
      <c r="J29" s="469" t="s">
        <v>63</v>
      </c>
      <c r="K29" s="469"/>
      <c r="L29" s="467" t="s">
        <v>183</v>
      </c>
      <c r="M29" s="469" t="s">
        <v>57</v>
      </c>
      <c r="N29" s="542">
        <v>1931.75</v>
      </c>
      <c r="O29" s="469" t="s">
        <v>57</v>
      </c>
      <c r="P29" s="1063" t="s">
        <v>147</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146</v>
      </c>
      <c r="J30" s="469" t="s">
        <v>63</v>
      </c>
      <c r="K30" s="469"/>
      <c r="L30" s="467" t="s">
        <v>183</v>
      </c>
      <c r="M30" s="469" t="s">
        <v>57</v>
      </c>
      <c r="N30" s="542">
        <v>74164.05</v>
      </c>
      <c r="O30" s="469" t="s">
        <v>57</v>
      </c>
      <c r="P30" s="1063" t="s">
        <v>147</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146</v>
      </c>
      <c r="J31" s="469" t="s">
        <v>56</v>
      </c>
      <c r="K31" s="469"/>
      <c r="L31" s="467">
        <v>45937</v>
      </c>
      <c r="M31" s="469" t="s">
        <v>57</v>
      </c>
      <c r="N31" s="542">
        <v>210533.1</v>
      </c>
      <c r="O31" s="469" t="s">
        <v>57</v>
      </c>
      <c r="P31" s="626" t="s">
        <v>147</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146</v>
      </c>
      <c r="J32" s="469" t="s">
        <v>56</v>
      </c>
      <c r="K32" s="469"/>
      <c r="L32" s="467">
        <v>45953</v>
      </c>
      <c r="M32" s="469" t="s">
        <v>57</v>
      </c>
      <c r="N32" s="542">
        <v>168480.8</v>
      </c>
      <c r="O32" s="469" t="s">
        <v>57</v>
      </c>
      <c r="P32" s="626" t="s">
        <v>147</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146</v>
      </c>
      <c r="J33" s="469" t="s">
        <v>56</v>
      </c>
      <c r="K33" s="469"/>
      <c r="L33" s="467">
        <v>45943</v>
      </c>
      <c r="M33" s="469" t="s">
        <v>57</v>
      </c>
      <c r="N33" s="542">
        <v>64059.5</v>
      </c>
      <c r="O33" s="469" t="s">
        <v>57</v>
      </c>
      <c r="P33" s="626" t="s">
        <v>147</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146</v>
      </c>
      <c r="J34" s="978" t="s">
        <v>63</v>
      </c>
      <c r="K34" s="469"/>
      <c r="L34" s="375">
        <v>45964</v>
      </c>
      <c r="M34" s="978" t="s">
        <v>57</v>
      </c>
      <c r="N34" s="1068">
        <v>62937.05</v>
      </c>
      <c r="O34" s="52" t="s">
        <v>57</v>
      </c>
      <c r="P34" s="1070" t="s">
        <v>147</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146</v>
      </c>
      <c r="J35" s="478" t="s">
        <v>63</v>
      </c>
      <c r="K35" s="1076"/>
      <c r="L35" s="476" t="s">
        <v>52</v>
      </c>
      <c r="M35" s="478" t="s">
        <v>57</v>
      </c>
      <c r="N35" s="1077">
        <v>4046.5</v>
      </c>
      <c r="O35" s="478" t="s">
        <v>57</v>
      </c>
      <c r="P35" s="626" t="s">
        <v>147</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146</v>
      </c>
      <c r="J36" s="478" t="s">
        <v>63</v>
      </c>
      <c r="K36" s="1076"/>
      <c r="L36" s="476" t="s">
        <v>52</v>
      </c>
      <c r="M36" s="478" t="s">
        <v>57</v>
      </c>
      <c r="N36" s="1077">
        <v>29180.45</v>
      </c>
      <c r="O36" s="478" t="s">
        <v>57</v>
      </c>
      <c r="P36" s="626" t="s">
        <v>147</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146</v>
      </c>
      <c r="J37" s="478" t="s">
        <v>63</v>
      </c>
      <c r="K37" s="1076"/>
      <c r="L37" s="476" t="s">
        <v>52</v>
      </c>
      <c r="M37" s="478" t="s">
        <v>57</v>
      </c>
      <c r="N37" s="1077">
        <v>170</v>
      </c>
      <c r="O37" s="478" t="s">
        <v>57</v>
      </c>
      <c r="P37" s="712" t="s">
        <v>147</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146</v>
      </c>
      <c r="J38" s="478" t="s">
        <v>63</v>
      </c>
      <c r="K38" s="1076"/>
      <c r="L38" s="467">
        <v>45964</v>
      </c>
      <c r="M38" s="478" t="s">
        <v>57</v>
      </c>
      <c r="N38" s="1077">
        <v>170</v>
      </c>
      <c r="O38" s="478" t="s">
        <v>57</v>
      </c>
      <c r="P38" s="626" t="s">
        <v>147</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146</v>
      </c>
      <c r="J39" s="978" t="s">
        <v>63</v>
      </c>
      <c r="K39" s="1009"/>
      <c r="L39" s="476" t="s">
        <v>52</v>
      </c>
      <c r="M39" s="978" t="s">
        <v>57</v>
      </c>
      <c r="N39" s="1068">
        <v>25891</v>
      </c>
      <c r="O39" s="52" t="s">
        <v>57</v>
      </c>
      <c r="P39" s="1070" t="s">
        <v>147</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146</v>
      </c>
      <c r="J40" s="978" t="s">
        <v>63</v>
      </c>
      <c r="K40" s="1009"/>
      <c r="L40" s="476" t="s">
        <v>52</v>
      </c>
      <c r="M40" s="978" t="s">
        <v>57</v>
      </c>
      <c r="N40" s="1068">
        <v>170</v>
      </c>
      <c r="O40" s="52" t="s">
        <v>57</v>
      </c>
      <c r="P40" s="1070" t="s">
        <v>147</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146</v>
      </c>
      <c r="J41" s="978" t="s">
        <v>63</v>
      </c>
      <c r="K41" s="1009"/>
      <c r="L41" s="476" t="s">
        <v>52</v>
      </c>
      <c r="M41" s="978" t="s">
        <v>57</v>
      </c>
      <c r="N41" s="1068">
        <v>30788</v>
      </c>
      <c r="O41" s="52" t="s">
        <v>57</v>
      </c>
      <c r="P41" s="1070" t="s">
        <v>147</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146</v>
      </c>
      <c r="J42" s="978" t="s">
        <v>63</v>
      </c>
      <c r="K42" s="1009"/>
      <c r="L42" s="476" t="s">
        <v>52</v>
      </c>
      <c r="M42" s="978" t="s">
        <v>57</v>
      </c>
      <c r="N42" s="1068">
        <v>5668</v>
      </c>
      <c r="O42" s="52" t="s">
        <v>57</v>
      </c>
      <c r="P42" s="1070" t="s">
        <v>147</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146</v>
      </c>
      <c r="J43" s="978" t="s">
        <v>63</v>
      </c>
      <c r="K43" s="1009"/>
      <c r="L43" s="476" t="s">
        <v>52</v>
      </c>
      <c r="M43" s="978" t="s">
        <v>57</v>
      </c>
      <c r="N43" s="1068">
        <v>170</v>
      </c>
      <c r="O43" s="52" t="s">
        <v>57</v>
      </c>
      <c r="P43" s="1070" t="s">
        <v>147</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146</v>
      </c>
      <c r="J44" s="978" t="s">
        <v>63</v>
      </c>
      <c r="K44" s="650"/>
      <c r="L44" s="51">
        <v>45964</v>
      </c>
      <c r="M44" s="52" t="s">
        <v>57</v>
      </c>
      <c r="N44" s="839">
        <v>84750.5</v>
      </c>
      <c r="O44" s="52" t="s">
        <v>57</v>
      </c>
      <c r="P44" s="1070" t="s">
        <v>147</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146</v>
      </c>
      <c r="J45" s="978" t="s">
        <v>63</v>
      </c>
      <c r="K45" s="650"/>
      <c r="L45" s="51">
        <v>45964</v>
      </c>
      <c r="M45" s="978" t="s">
        <v>57</v>
      </c>
      <c r="N45" s="839">
        <v>65066.5</v>
      </c>
      <c r="O45" s="52" t="s">
        <v>57</v>
      </c>
      <c r="P45" s="1070" t="s">
        <v>147</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146</v>
      </c>
      <c r="J46" s="978" t="s">
        <v>63</v>
      </c>
      <c r="K46" s="650"/>
      <c r="L46" s="51">
        <v>45964</v>
      </c>
      <c r="M46" s="978" t="s">
        <v>57</v>
      </c>
      <c r="N46" s="839">
        <v>81602</v>
      </c>
      <c r="O46" s="52" t="s">
        <v>57</v>
      </c>
      <c r="P46" s="1070" t="s">
        <v>147</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146</v>
      </c>
      <c r="J47" s="978" t="s">
        <v>63</v>
      </c>
      <c r="K47" s="650"/>
      <c r="L47" s="51">
        <v>45961</v>
      </c>
      <c r="M47" s="52" t="s">
        <v>57</v>
      </c>
      <c r="N47" s="839">
        <v>88231.9</v>
      </c>
      <c r="O47" s="52" t="s">
        <v>57</v>
      </c>
      <c r="P47" s="1070" t="s">
        <v>147</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146</v>
      </c>
      <c r="J48" s="978" t="s">
        <v>63</v>
      </c>
      <c r="K48" s="650"/>
      <c r="L48" s="51">
        <v>45964</v>
      </c>
      <c r="M48" s="978" t="s">
        <v>57</v>
      </c>
      <c r="N48" s="839">
        <v>93578</v>
      </c>
      <c r="O48" s="52" t="s">
        <v>57</v>
      </c>
      <c r="P48" s="1070" t="s">
        <v>147</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146</v>
      </c>
      <c r="J49" s="978" t="s">
        <v>63</v>
      </c>
      <c r="K49" s="650"/>
      <c r="L49" s="51">
        <v>45964</v>
      </c>
      <c r="M49" s="52" t="s">
        <v>57</v>
      </c>
      <c r="N49" s="839">
        <v>84896</v>
      </c>
      <c r="O49" s="52" t="s">
        <v>57</v>
      </c>
      <c r="P49" s="1070" t="s">
        <v>147</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146</v>
      </c>
      <c r="J50" s="1286" t="s">
        <v>63</v>
      </c>
      <c r="K50" s="650"/>
      <c r="L50" s="1307">
        <v>45961</v>
      </c>
      <c r="M50" s="1286" t="s">
        <v>57</v>
      </c>
      <c r="N50" s="1333">
        <v>91897</v>
      </c>
      <c r="O50" s="1309" t="s">
        <v>57</v>
      </c>
      <c r="P50" s="1334" t="s">
        <v>147</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146</v>
      </c>
      <c r="J51" s="978" t="s">
        <v>63</v>
      </c>
      <c r="K51" s="650"/>
      <c r="L51" s="51">
        <v>45964</v>
      </c>
      <c r="M51" s="978" t="s">
        <v>57</v>
      </c>
      <c r="N51" s="839">
        <v>96685</v>
      </c>
      <c r="O51" s="52" t="s">
        <v>57</v>
      </c>
      <c r="P51" s="1070" t="s">
        <v>147</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146</v>
      </c>
      <c r="J52" s="1286" t="s">
        <v>63</v>
      </c>
      <c r="K52" s="1306"/>
      <c r="L52" s="1307">
        <v>45964</v>
      </c>
      <c r="M52" s="1286" t="s">
        <v>57</v>
      </c>
      <c r="N52" s="1333">
        <v>85815</v>
      </c>
      <c r="O52" s="1309" t="s">
        <v>57</v>
      </c>
      <c r="P52" s="1334" t="s">
        <v>147</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146</v>
      </c>
      <c r="J53" s="978" t="s">
        <v>63</v>
      </c>
      <c r="K53" s="650"/>
      <c r="L53" s="51">
        <v>45961</v>
      </c>
      <c r="M53" s="978" t="s">
        <v>57</v>
      </c>
      <c r="N53" s="839">
        <v>83615</v>
      </c>
      <c r="O53" s="52" t="s">
        <v>57</v>
      </c>
      <c r="P53" s="1070" t="s">
        <v>147</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146</v>
      </c>
      <c r="J54" s="1286" t="s">
        <v>63</v>
      </c>
      <c r="K54" s="650"/>
      <c r="L54" s="1307">
        <v>45964</v>
      </c>
      <c r="M54" s="1286" t="s">
        <v>57</v>
      </c>
      <c r="N54" s="1333">
        <v>78736.5</v>
      </c>
      <c r="O54" s="1309" t="s">
        <v>57</v>
      </c>
      <c r="P54" s="1334" t="s">
        <v>147</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146</v>
      </c>
      <c r="J55" s="1286" t="s">
        <v>63</v>
      </c>
      <c r="K55" s="650"/>
      <c r="L55" s="1307">
        <v>45964</v>
      </c>
      <c r="M55" s="1286" t="s">
        <v>57</v>
      </c>
      <c r="N55" s="1333">
        <v>84770</v>
      </c>
      <c r="O55" s="1309" t="s">
        <v>57</v>
      </c>
      <c r="P55" s="1334" t="s">
        <v>147</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146</v>
      </c>
      <c r="J56" s="469" t="s">
        <v>63</v>
      </c>
      <c r="K56" s="904"/>
      <c r="L56" s="51">
        <v>45741</v>
      </c>
      <c r="M56" s="376" t="s">
        <v>57</v>
      </c>
      <c r="N56" s="839">
        <v>67734.5</v>
      </c>
      <c r="O56" s="376" t="s">
        <v>57</v>
      </c>
      <c r="P56" s="1070" t="s">
        <v>147</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146</v>
      </c>
      <c r="J57" s="478" t="s">
        <v>63</v>
      </c>
      <c r="K57" s="52"/>
      <c r="L57" s="375">
        <v>45716</v>
      </c>
      <c r="M57" s="52" t="s">
        <v>57</v>
      </c>
      <c r="N57" s="1078">
        <v>56262.5</v>
      </c>
      <c r="O57" s="52" t="s">
        <v>57</v>
      </c>
      <c r="P57" s="1070" t="s">
        <v>147</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146</v>
      </c>
      <c r="J58" s="469" t="s">
        <v>63</v>
      </c>
      <c r="K58" s="826"/>
      <c r="L58" s="476">
        <v>45741</v>
      </c>
      <c r="M58" s="469" t="s">
        <v>57</v>
      </c>
      <c r="N58" s="543">
        <v>17203.45</v>
      </c>
      <c r="O58" s="469" t="s">
        <v>57</v>
      </c>
      <c r="P58" s="975" t="s">
        <v>147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146</v>
      </c>
      <c r="J59" s="469" t="s">
        <v>63</v>
      </c>
      <c r="K59" s="904"/>
      <c r="L59" s="51">
        <v>45742</v>
      </c>
      <c r="M59" s="910" t="s">
        <v>57</v>
      </c>
      <c r="N59" s="1078">
        <v>23800.25</v>
      </c>
      <c r="O59" s="376" t="s">
        <v>57</v>
      </c>
      <c r="P59" s="1070" t="s">
        <v>147</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146</v>
      </c>
      <c r="J60" s="469" t="s">
        <v>56</v>
      </c>
      <c r="K60" s="52"/>
      <c r="L60" s="51" t="s">
        <v>52</v>
      </c>
      <c r="M60" s="978" t="s">
        <v>57</v>
      </c>
      <c r="N60" s="1078">
        <v>42766.5</v>
      </c>
      <c r="O60" s="52" t="s">
        <v>57</v>
      </c>
      <c r="P60" s="1070" t="s">
        <v>147</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146</v>
      </c>
      <c r="J61" s="469" t="s">
        <v>56</v>
      </c>
      <c r="K61" s="96"/>
      <c r="L61" s="51" t="s">
        <v>52</v>
      </c>
      <c r="M61" s="978" t="s">
        <v>57</v>
      </c>
      <c r="N61" s="1078">
        <v>86136</v>
      </c>
      <c r="O61" s="52" t="s">
        <v>57</v>
      </c>
      <c r="P61" s="1070" t="s">
        <v>147</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146</v>
      </c>
      <c r="J2" s="469" t="s">
        <v>63</v>
      </c>
      <c r="K2" s="469"/>
      <c r="L2" s="467">
        <v>45852</v>
      </c>
      <c r="M2" s="469" t="s">
        <v>57</v>
      </c>
      <c r="N2" s="542">
        <v>42837.2</v>
      </c>
      <c r="O2" s="469" t="s">
        <v>57</v>
      </c>
      <c r="P2" s="807" t="s">
        <v>147</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146</v>
      </c>
      <c r="J3" s="478" t="s">
        <v>63</v>
      </c>
      <c r="K3" s="487"/>
      <c r="L3" s="467">
        <v>45716</v>
      </c>
      <c r="M3" s="478" t="s">
        <v>57</v>
      </c>
      <c r="N3" s="543">
        <v>64932.55</v>
      </c>
      <c r="O3" s="478" t="s">
        <v>57</v>
      </c>
      <c r="P3" s="807" t="s">
        <v>147</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146</v>
      </c>
      <c r="J4" s="483" t="s">
        <v>63</v>
      </c>
      <c r="K4" s="483"/>
      <c r="L4" s="476">
        <v>45708</v>
      </c>
      <c r="M4" s="483" t="s">
        <v>57</v>
      </c>
      <c r="N4" s="544">
        <v>87944.4</v>
      </c>
      <c r="O4" s="483" t="s">
        <v>57</v>
      </c>
      <c r="P4" s="807" t="s">
        <v>147</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146</v>
      </c>
      <c r="J5" s="478" t="s">
        <v>63</v>
      </c>
      <c r="K5" s="844"/>
      <c r="L5" s="467">
        <v>45716</v>
      </c>
      <c r="M5" s="478" t="s">
        <v>57</v>
      </c>
      <c r="N5" s="542">
        <v>2812.95</v>
      </c>
      <c r="O5" s="478" t="s">
        <v>57</v>
      </c>
      <c r="P5" s="807" t="s">
        <v>147</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146</v>
      </c>
      <c r="J6" s="478" t="s">
        <v>63</v>
      </c>
      <c r="K6" s="487"/>
      <c r="L6" s="467">
        <v>45716</v>
      </c>
      <c r="M6" s="478" t="s">
        <v>57</v>
      </c>
      <c r="N6" s="543">
        <v>28777</v>
      </c>
      <c r="O6" s="478" t="s">
        <v>57</v>
      </c>
      <c r="P6" s="807" t="s">
        <v>147</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146</v>
      </c>
      <c r="J7" s="478" t="s">
        <v>63</v>
      </c>
      <c r="K7" s="487"/>
      <c r="L7" s="476">
        <v>45863</v>
      </c>
      <c r="M7" s="478" t="s">
        <v>57</v>
      </c>
      <c r="N7" s="543">
        <v>143407.25</v>
      </c>
      <c r="O7" s="478" t="s">
        <v>57</v>
      </c>
      <c r="P7" s="807" t="s">
        <v>147</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146</v>
      </c>
      <c r="J8" s="478" t="s">
        <v>63</v>
      </c>
      <c r="K8" s="487"/>
      <c r="L8" s="476">
        <v>45881</v>
      </c>
      <c r="M8" s="478" t="s">
        <v>57</v>
      </c>
      <c r="N8" s="543">
        <v>4815.6499999999996</v>
      </c>
      <c r="O8" s="478" t="s">
        <v>57</v>
      </c>
      <c r="P8" s="807" t="s">
        <v>147</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146</v>
      </c>
      <c r="J9" s="393" t="s">
        <v>63</v>
      </c>
      <c r="K9" s="393"/>
      <c r="L9" s="836" t="s">
        <v>52</v>
      </c>
      <c r="M9" s="393" t="s">
        <v>57</v>
      </c>
      <c r="N9" s="839">
        <v>4646.75</v>
      </c>
      <c r="O9" s="393" t="s">
        <v>91</v>
      </c>
      <c r="P9" s="914" t="s">
        <v>147</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146</v>
      </c>
      <c r="J10" s="469" t="s">
        <v>63</v>
      </c>
      <c r="K10" s="469"/>
      <c r="L10" s="476">
        <v>45918</v>
      </c>
      <c r="M10" s="478" t="s">
        <v>57</v>
      </c>
      <c r="N10" s="543">
        <v>9611.9500000000007</v>
      </c>
      <c r="O10" s="478" t="s">
        <v>57</v>
      </c>
      <c r="P10" s="807" t="s">
        <v>147</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186</v>
      </c>
      <c r="G11" s="477"/>
      <c r="H11" s="478">
        <v>76</v>
      </c>
      <c r="I11" s="483" t="s">
        <v>146</v>
      </c>
      <c r="J11" s="478" t="s">
        <v>63</v>
      </c>
      <c r="K11" s="487"/>
      <c r="L11" s="476">
        <v>45888</v>
      </c>
      <c r="M11" s="478" t="s">
        <v>57</v>
      </c>
      <c r="N11" s="543">
        <v>53902</v>
      </c>
      <c r="O11" s="478" t="s">
        <v>57</v>
      </c>
      <c r="P11" s="807" t="s">
        <v>147</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146</v>
      </c>
      <c r="J12" s="469" t="s">
        <v>63</v>
      </c>
      <c r="K12" s="469"/>
      <c r="L12" s="467">
        <v>45897</v>
      </c>
      <c r="M12" s="469" t="s">
        <v>57</v>
      </c>
      <c r="N12" s="542">
        <v>44896.1</v>
      </c>
      <c r="O12" s="469" t="s">
        <v>57</v>
      </c>
      <c r="P12" s="807" t="s">
        <v>147</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146</v>
      </c>
      <c r="J13" s="469" t="s">
        <v>63</v>
      </c>
      <c r="K13" s="469"/>
      <c r="L13" s="467">
        <v>45903</v>
      </c>
      <c r="M13" s="469" t="s">
        <v>57</v>
      </c>
      <c r="N13" s="542">
        <v>59116.7</v>
      </c>
      <c r="O13" s="469" t="s">
        <v>57</v>
      </c>
      <c r="P13" s="807" t="s">
        <v>147</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146</v>
      </c>
      <c r="J14" s="469" t="s">
        <v>63</v>
      </c>
      <c r="K14" s="469"/>
      <c r="L14" s="467">
        <v>45903</v>
      </c>
      <c r="M14" s="469" t="s">
        <v>57</v>
      </c>
      <c r="N14" s="542">
        <v>40406</v>
      </c>
      <c r="O14" s="469" t="s">
        <v>57</v>
      </c>
      <c r="P14" s="807" t="s">
        <v>147</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146</v>
      </c>
      <c r="J15" s="469" t="s">
        <v>63</v>
      </c>
      <c r="K15" s="469"/>
      <c r="L15" s="467">
        <v>45979</v>
      </c>
      <c r="M15" s="469" t="s">
        <v>57</v>
      </c>
      <c r="N15" s="542">
        <v>29683</v>
      </c>
      <c r="O15" s="469" t="s">
        <v>57</v>
      </c>
      <c r="P15" s="807" t="s">
        <v>147</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146</v>
      </c>
      <c r="J18" s="469" t="s">
        <v>63</v>
      </c>
      <c r="K18" s="469"/>
      <c r="L18" s="467">
        <v>45933</v>
      </c>
      <c r="M18" s="469" t="s">
        <v>57</v>
      </c>
      <c r="N18" s="542">
        <v>29646</v>
      </c>
      <c r="O18" s="469" t="s">
        <v>57</v>
      </c>
      <c r="P18" s="807" t="s">
        <v>147</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146</v>
      </c>
      <c r="J26" s="469" t="s">
        <v>63</v>
      </c>
      <c r="K26" s="469"/>
      <c r="L26" s="467">
        <v>45967</v>
      </c>
      <c r="M26" s="469" t="s">
        <v>57</v>
      </c>
      <c r="N26" s="542">
        <v>60620</v>
      </c>
      <c r="O26" s="469" t="s">
        <v>57</v>
      </c>
      <c r="P26" s="1154" t="s">
        <v>147</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146</v>
      </c>
      <c r="J28" s="469" t="s">
        <v>63</v>
      </c>
      <c r="K28" s="469"/>
      <c r="L28" s="467" t="s">
        <v>183</v>
      </c>
      <c r="M28" s="469" t="s">
        <v>57</v>
      </c>
      <c r="N28" s="542">
        <v>51970</v>
      </c>
      <c r="O28" s="469" t="s">
        <v>57</v>
      </c>
      <c r="P28" s="1154" t="s">
        <v>147</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146</v>
      </c>
      <c r="J29" s="469" t="s">
        <v>63</v>
      </c>
      <c r="K29" s="469"/>
      <c r="L29" s="467" t="s">
        <v>183</v>
      </c>
      <c r="M29" s="469" t="s">
        <v>57</v>
      </c>
      <c r="N29" s="542">
        <v>39221.800000000003</v>
      </c>
      <c r="O29" s="469" t="s">
        <v>57</v>
      </c>
      <c r="P29" s="1154" t="s">
        <v>147</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147</v>
      </c>
      <c r="M37" s="380" t="s">
        <v>57</v>
      </c>
      <c r="N37" s="1078">
        <v>64790.5</v>
      </c>
      <c r="O37" s="380" t="s">
        <v>57</v>
      </c>
      <c r="P37" s="1101" t="s">
        <v>147</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146</v>
      </c>
      <c r="J39" s="469" t="s">
        <v>63</v>
      </c>
      <c r="K39" s="826"/>
      <c r="L39" s="476">
        <v>45741</v>
      </c>
      <c r="M39" s="469" t="s">
        <v>57</v>
      </c>
      <c r="N39" s="543">
        <v>67735.5</v>
      </c>
      <c r="O39" s="469" t="s">
        <v>57</v>
      </c>
      <c r="P39" s="807" t="s">
        <v>147</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147</v>
      </c>
      <c r="J40" s="829" t="s">
        <v>63</v>
      </c>
      <c r="K40" s="829"/>
      <c r="L40" s="827">
        <v>45705</v>
      </c>
      <c r="M40" s="829" t="s">
        <v>57</v>
      </c>
      <c r="N40" s="851">
        <v>1295</v>
      </c>
      <c r="O40" s="829" t="s">
        <v>57</v>
      </c>
      <c r="P40" s="807" t="s">
        <v>147</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146</v>
      </c>
      <c r="J46" s="502" t="s">
        <v>63</v>
      </c>
      <c r="K46" s="503" t="s">
        <v>746</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146</v>
      </c>
      <c r="J91" s="776" t="s">
        <v>63</v>
      </c>
      <c r="K91" s="57">
        <v>45707</v>
      </c>
      <c r="L91" s="776" t="s">
        <v>57</v>
      </c>
      <c r="M91" s="426" t="s">
        <v>865</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186</v>
      </c>
      <c r="G125" s="379" t="s">
        <v>940</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147</v>
      </c>
      <c r="J163" s="910" t="s">
        <v>56</v>
      </c>
      <c r="K163" s="907"/>
      <c r="L163" s="912" t="s">
        <v>56</v>
      </c>
      <c r="M163" s="910" t="s">
        <v>91</v>
      </c>
      <c r="N163" s="913">
        <v>0</v>
      </c>
      <c r="O163" s="910" t="s">
        <v>91</v>
      </c>
      <c r="P163" s="914" t="s">
        <v>147</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147</v>
      </c>
      <c r="J164" s="859" t="s">
        <v>56</v>
      </c>
      <c r="K164" s="864"/>
      <c r="L164" s="866" t="s">
        <v>56</v>
      </c>
      <c r="M164" s="859" t="s">
        <v>91</v>
      </c>
      <c r="N164" s="860">
        <v>0</v>
      </c>
      <c r="O164" s="859" t="s">
        <v>91</v>
      </c>
      <c r="P164" s="861" t="s">
        <v>147</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137</v>
      </c>
      <c r="K6">
        <v>22274</v>
      </c>
      <c r="N6" t="s">
        <v>137</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141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141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393</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393</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437</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437</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437</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437</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437</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302</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302</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302</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393</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373</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302</v>
      </c>
      <c r="D767">
        <v>362</v>
      </c>
      <c r="E767">
        <v>399</v>
      </c>
      <c r="G767">
        <v>761</v>
      </c>
    </row>
    <row r="768" spans="1:7">
      <c r="A768" t="s">
        <v>945</v>
      </c>
    </row>
    <row r="769" spans="1:7">
      <c r="A769" t="s">
        <v>927</v>
      </c>
    </row>
    <row r="770" spans="1:7">
      <c r="A770" t="s">
        <v>396</v>
      </c>
      <c r="C770">
        <v>120</v>
      </c>
      <c r="D770">
        <v>190</v>
      </c>
      <c r="G770">
        <v>310</v>
      </c>
    </row>
    <row r="771" spans="1:7">
      <c r="A771" t="s">
        <v>373</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399</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399</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396</v>
      </c>
      <c r="E818">
        <v>725</v>
      </c>
      <c r="G818">
        <v>725</v>
      </c>
    </row>
    <row r="819" spans="1:7">
      <c r="A819" t="s">
        <v>373</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399</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181</v>
      </c>
      <c r="D829">
        <v>1282</v>
      </c>
      <c r="E829">
        <v>980</v>
      </c>
      <c r="G829">
        <v>2262</v>
      </c>
    </row>
    <row r="830" spans="1:7">
      <c r="A830" t="s">
        <v>376</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302</v>
      </c>
      <c r="E838">
        <v>170</v>
      </c>
      <c r="G838">
        <v>170</v>
      </c>
    </row>
    <row r="839" spans="1:7">
      <c r="A839" t="s">
        <v>373</v>
      </c>
      <c r="D839">
        <v>986</v>
      </c>
      <c r="G839">
        <v>986</v>
      </c>
    </row>
    <row r="840" spans="1:7">
      <c r="A840" t="s">
        <v>1081</v>
      </c>
      <c r="B840">
        <v>916</v>
      </c>
      <c r="C840">
        <v>144</v>
      </c>
      <c r="G840">
        <v>1060</v>
      </c>
    </row>
    <row r="841" spans="1:7">
      <c r="A841" t="s">
        <v>562</v>
      </c>
    </row>
    <row r="842" spans="1:7">
      <c r="A842" t="s">
        <v>947</v>
      </c>
    </row>
    <row r="843" spans="1:7">
      <c r="A843" t="s">
        <v>181</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379</v>
      </c>
      <c r="B847">
        <v>60</v>
      </c>
      <c r="C847">
        <v>219</v>
      </c>
      <c r="G847">
        <v>279</v>
      </c>
    </row>
    <row r="848" spans="1:7">
      <c r="A848" t="s">
        <v>969</v>
      </c>
      <c r="D848">
        <v>240</v>
      </c>
      <c r="G848">
        <v>240</v>
      </c>
    </row>
    <row r="849" spans="1:7">
      <c r="A849" t="s">
        <v>1086</v>
      </c>
      <c r="C849">
        <v>1603</v>
      </c>
      <c r="D849">
        <v>791</v>
      </c>
      <c r="E849">
        <v>2803</v>
      </c>
      <c r="G849">
        <v>5197</v>
      </c>
    </row>
    <row r="850" spans="1:7">
      <c r="A850" t="s">
        <v>389</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392</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389</v>
      </c>
      <c r="B867">
        <v>1100</v>
      </c>
      <c r="C867">
        <v>527</v>
      </c>
      <c r="D867">
        <v>553</v>
      </c>
      <c r="G867">
        <v>2180</v>
      </c>
    </row>
    <row r="868" spans="1:7">
      <c r="A868" t="s">
        <v>568</v>
      </c>
      <c r="C868">
        <v>230</v>
      </c>
      <c r="G868">
        <v>230</v>
      </c>
    </row>
    <row r="869" spans="1:7">
      <c r="A869" t="s">
        <v>949</v>
      </c>
      <c r="B869">
        <v>853</v>
      </c>
      <c r="G869">
        <v>853</v>
      </c>
    </row>
    <row r="870" spans="1:7">
      <c r="A870" t="s">
        <v>392</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402</v>
      </c>
      <c r="D873">
        <v>1624</v>
      </c>
      <c r="E873">
        <v>551</v>
      </c>
      <c r="G873">
        <v>2175</v>
      </c>
    </row>
    <row r="874" spans="1:7">
      <c r="A874" t="s">
        <v>390</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302</v>
      </c>
    </row>
    <row r="885" spans="1:7">
      <c r="A885" t="s">
        <v>373</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389</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385</v>
      </c>
      <c r="D899">
        <v>3179</v>
      </c>
      <c r="G899">
        <v>3179</v>
      </c>
    </row>
    <row r="900" spans="1:7">
      <c r="A900" t="s">
        <v>587</v>
      </c>
      <c r="E900">
        <v>978</v>
      </c>
      <c r="G900">
        <v>978</v>
      </c>
    </row>
    <row r="901" spans="1:7">
      <c r="A901" t="s">
        <v>443</v>
      </c>
      <c r="E901">
        <v>502</v>
      </c>
      <c r="G901">
        <v>502</v>
      </c>
    </row>
    <row r="902" spans="1:7">
      <c r="A902" t="s">
        <v>257</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373</v>
      </c>
    </row>
    <row r="911" spans="1:7">
      <c r="A911" t="s">
        <v>399</v>
      </c>
      <c r="F911">
        <v>569</v>
      </c>
      <c r="G911">
        <v>569</v>
      </c>
    </row>
    <row r="912" spans="1:7">
      <c r="A912" t="s">
        <v>521</v>
      </c>
    </row>
    <row r="913" spans="1:7">
      <c r="A913" t="s">
        <v>379</v>
      </c>
      <c r="D913">
        <v>150</v>
      </c>
      <c r="G913">
        <v>150</v>
      </c>
    </row>
    <row r="914" spans="1:7">
      <c r="A914" t="s">
        <v>392</v>
      </c>
    </row>
    <row r="915" spans="1:7">
      <c r="A915" t="s">
        <v>574</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587</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404</v>
      </c>
      <c r="B924">
        <v>207</v>
      </c>
      <c r="G924">
        <v>207</v>
      </c>
    </row>
    <row r="925" spans="1:7">
      <c r="A925" t="s">
        <v>99</v>
      </c>
      <c r="C925">
        <v>1691</v>
      </c>
      <c r="D925">
        <v>1998</v>
      </c>
      <c r="E925">
        <v>760</v>
      </c>
      <c r="F925">
        <v>3975</v>
      </c>
      <c r="G925">
        <v>8424</v>
      </c>
    </row>
    <row r="926" spans="1:7">
      <c r="A926" t="s">
        <v>590</v>
      </c>
      <c r="D926">
        <v>1031</v>
      </c>
      <c r="G926">
        <v>1031</v>
      </c>
    </row>
    <row r="927" spans="1:7">
      <c r="A927" t="s">
        <v>401</v>
      </c>
      <c r="E927">
        <v>1063</v>
      </c>
      <c r="F927">
        <v>1263</v>
      </c>
      <c r="G927">
        <v>2326</v>
      </c>
    </row>
    <row r="928" spans="1:7">
      <c r="A928" t="s">
        <v>519</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376</v>
      </c>
    </row>
    <row r="940" spans="1:7">
      <c r="A940" t="s">
        <v>521</v>
      </c>
      <c r="B940">
        <v>560</v>
      </c>
      <c r="G940">
        <v>560</v>
      </c>
    </row>
    <row r="941" spans="1:7">
      <c r="A941" t="s">
        <v>392</v>
      </c>
    </row>
    <row r="942" spans="1:7">
      <c r="A942" t="s">
        <v>574</v>
      </c>
      <c r="B942">
        <v>138</v>
      </c>
      <c r="G942">
        <v>138</v>
      </c>
    </row>
    <row r="943" spans="1:7">
      <c r="A943" t="s">
        <v>390</v>
      </c>
    </row>
    <row r="944" spans="1:7">
      <c r="A944" t="s">
        <v>385</v>
      </c>
      <c r="B944">
        <v>96</v>
      </c>
      <c r="G944">
        <v>96</v>
      </c>
    </row>
    <row r="945" spans="1:7">
      <c r="A945" t="s">
        <v>587</v>
      </c>
      <c r="B945">
        <v>632</v>
      </c>
      <c r="G945">
        <v>632</v>
      </c>
    </row>
    <row r="946" spans="1:7">
      <c r="A946" t="s">
        <v>443</v>
      </c>
      <c r="B946">
        <v>558</v>
      </c>
      <c r="G946">
        <v>558</v>
      </c>
    </row>
    <row r="947" spans="1:7">
      <c r="A947" t="s">
        <v>257</v>
      </c>
      <c r="B947">
        <v>562</v>
      </c>
      <c r="D947">
        <v>474</v>
      </c>
      <c r="E947">
        <v>606</v>
      </c>
      <c r="F947">
        <v>322</v>
      </c>
      <c r="G947">
        <v>1964</v>
      </c>
    </row>
    <row r="948" spans="1:7">
      <c r="A948" t="s">
        <v>590</v>
      </c>
      <c r="B948">
        <v>1351</v>
      </c>
      <c r="D948">
        <v>890</v>
      </c>
      <c r="G948">
        <v>2241</v>
      </c>
    </row>
    <row r="949" spans="1:7">
      <c r="A949" t="s">
        <v>481</v>
      </c>
      <c r="B949">
        <v>4084</v>
      </c>
      <c r="D949">
        <v>242</v>
      </c>
      <c r="G949">
        <v>4326</v>
      </c>
    </row>
    <row r="950" spans="1:7">
      <c r="A950" t="s">
        <v>1089</v>
      </c>
      <c r="B950">
        <v>748</v>
      </c>
      <c r="C950">
        <v>1062</v>
      </c>
      <c r="G950">
        <v>1810</v>
      </c>
    </row>
    <row r="951" spans="1:7">
      <c r="A951" t="s">
        <v>387</v>
      </c>
      <c r="B951">
        <v>435</v>
      </c>
      <c r="E951">
        <v>1123</v>
      </c>
      <c r="G951">
        <v>1558</v>
      </c>
    </row>
    <row r="952" spans="1:7">
      <c r="A952" t="s">
        <v>425</v>
      </c>
      <c r="D952">
        <v>1580</v>
      </c>
      <c r="E952">
        <v>1258</v>
      </c>
      <c r="G952">
        <v>2838</v>
      </c>
    </row>
    <row r="953" spans="1:7">
      <c r="A953" t="s">
        <v>570</v>
      </c>
      <c r="D953">
        <v>877</v>
      </c>
      <c r="E953">
        <v>814</v>
      </c>
      <c r="G953">
        <v>1691</v>
      </c>
    </row>
    <row r="954" spans="1:7">
      <c r="A954" t="s">
        <v>241</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1090</v>
      </c>
    </row>
    <row r="958" spans="1:7">
      <c r="A958" t="s">
        <v>486</v>
      </c>
      <c r="D958">
        <v>3678</v>
      </c>
      <c r="E958">
        <v>3382</v>
      </c>
      <c r="G958">
        <v>7060</v>
      </c>
    </row>
    <row r="959" spans="1:7">
      <c r="A959" t="s">
        <v>1091</v>
      </c>
      <c r="F959">
        <v>1505</v>
      </c>
      <c r="G959">
        <v>1505</v>
      </c>
    </row>
    <row r="960" spans="1:7">
      <c r="A960" t="s">
        <v>369</v>
      </c>
      <c r="E960">
        <v>424</v>
      </c>
      <c r="G960">
        <v>424</v>
      </c>
    </row>
    <row r="961" spans="1:7">
      <c r="A961" t="s">
        <v>488</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302</v>
      </c>
      <c r="B969">
        <v>446</v>
      </c>
      <c r="C969">
        <v>120</v>
      </c>
      <c r="D969">
        <v>550</v>
      </c>
      <c r="G969">
        <v>1116</v>
      </c>
    </row>
    <row r="970" spans="1:7">
      <c r="A970" t="s">
        <v>521</v>
      </c>
      <c r="C970">
        <v>17</v>
      </c>
      <c r="G970">
        <v>17</v>
      </c>
    </row>
    <row r="971" spans="1:7">
      <c r="A971" t="s">
        <v>574</v>
      </c>
    </row>
    <row r="972" spans="1:7">
      <c r="A972" t="s">
        <v>443</v>
      </c>
      <c r="B972">
        <v>127</v>
      </c>
      <c r="G972">
        <v>127</v>
      </c>
    </row>
    <row r="973" spans="1:7">
      <c r="A973" t="s">
        <v>257</v>
      </c>
      <c r="B973">
        <v>420</v>
      </c>
      <c r="G973">
        <v>420</v>
      </c>
    </row>
    <row r="974" spans="1:7">
      <c r="A974" t="s">
        <v>590</v>
      </c>
    </row>
    <row r="975" spans="1:7">
      <c r="A975" t="s">
        <v>387</v>
      </c>
      <c r="C975">
        <v>1917</v>
      </c>
      <c r="E975">
        <v>272</v>
      </c>
      <c r="G975">
        <v>2189</v>
      </c>
    </row>
    <row r="976" spans="1:7">
      <c r="A976" t="s">
        <v>570</v>
      </c>
      <c r="B976">
        <v>956</v>
      </c>
      <c r="G976">
        <v>956</v>
      </c>
    </row>
    <row r="977" spans="1:7">
      <c r="A977" t="s">
        <v>241</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1091</v>
      </c>
      <c r="B981">
        <v>907</v>
      </c>
      <c r="G981">
        <v>907</v>
      </c>
    </row>
    <row r="982" spans="1:7">
      <c r="A982" t="s">
        <v>369</v>
      </c>
      <c r="E982">
        <v>313</v>
      </c>
      <c r="F982">
        <v>3007</v>
      </c>
      <c r="G982">
        <v>3320</v>
      </c>
    </row>
    <row r="983" spans="1:7">
      <c r="A983" t="s">
        <v>488</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382</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419</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463</v>
      </c>
    </row>
    <row r="1014" spans="1:7">
      <c r="A1014" t="s">
        <v>338</v>
      </c>
      <c r="C1014">
        <v>1175</v>
      </c>
      <c r="G1014">
        <v>1175</v>
      </c>
    </row>
    <row r="1015" spans="1:7">
      <c r="A1015" t="s">
        <v>454</v>
      </c>
      <c r="C1015">
        <v>996</v>
      </c>
      <c r="G1015">
        <v>996</v>
      </c>
    </row>
    <row r="1016" spans="1:7">
      <c r="A1016" t="s">
        <v>387</v>
      </c>
      <c r="B1016">
        <v>900</v>
      </c>
      <c r="G1016">
        <v>900</v>
      </c>
    </row>
    <row r="1017" spans="1:7">
      <c r="A1017" t="s">
        <v>425</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428</v>
      </c>
      <c r="B1022">
        <v>572</v>
      </c>
      <c r="G1022">
        <v>572</v>
      </c>
    </row>
    <row r="1023" spans="1:7">
      <c r="A1023" t="s">
        <v>1094</v>
      </c>
      <c r="B1023">
        <v>1718</v>
      </c>
      <c r="C1023">
        <v>2478</v>
      </c>
      <c r="D1023">
        <v>1567</v>
      </c>
      <c r="G1023">
        <v>5763</v>
      </c>
    </row>
    <row r="1024" spans="1:7">
      <c r="A1024" t="s">
        <v>491</v>
      </c>
      <c r="C1024">
        <v>3411</v>
      </c>
      <c r="G1024">
        <v>3411</v>
      </c>
    </row>
    <row r="1025" spans="1:7">
      <c r="A1025" t="s">
        <v>227</v>
      </c>
      <c r="B1025">
        <v>82</v>
      </c>
      <c r="G1025">
        <v>82</v>
      </c>
    </row>
    <row r="1026" spans="1:7">
      <c r="A1026" t="s">
        <v>494</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582</v>
      </c>
      <c r="C1032">
        <v>1100</v>
      </c>
      <c r="D1032">
        <v>855</v>
      </c>
      <c r="G1032">
        <v>1955</v>
      </c>
    </row>
    <row r="1033" spans="1:7">
      <c r="A1033" t="s">
        <v>1095</v>
      </c>
      <c r="C1033">
        <v>486</v>
      </c>
      <c r="G1033">
        <v>486</v>
      </c>
    </row>
    <row r="1034" spans="1:7">
      <c r="A1034" t="s">
        <v>497</v>
      </c>
      <c r="C1034">
        <v>3634</v>
      </c>
      <c r="G1034">
        <v>3634</v>
      </c>
    </row>
    <row r="1035" spans="1:7">
      <c r="A1035" t="s">
        <v>1096</v>
      </c>
      <c r="D1035">
        <v>955</v>
      </c>
      <c r="G1035">
        <v>955</v>
      </c>
    </row>
    <row r="1036" spans="1:7">
      <c r="A1036" t="s">
        <v>1097</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579</v>
      </c>
      <c r="B1056">
        <v>1610</v>
      </c>
      <c r="G1056">
        <v>1610</v>
      </c>
    </row>
    <row r="1057" spans="1:7">
      <c r="A1057" t="s">
        <v>576</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497</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366</v>
      </c>
      <c r="B1067">
        <v>1829</v>
      </c>
      <c r="C1067">
        <v>2302</v>
      </c>
      <c r="D1067">
        <v>694</v>
      </c>
      <c r="G1067">
        <v>4825</v>
      </c>
    </row>
    <row r="1068" spans="1:7">
      <c r="A1068" t="s">
        <v>478</v>
      </c>
      <c r="B1068">
        <v>1391</v>
      </c>
      <c r="C1068">
        <v>2916</v>
      </c>
      <c r="D1068">
        <v>2430</v>
      </c>
      <c r="G1068">
        <v>6737</v>
      </c>
    </row>
    <row r="1069" spans="1:7">
      <c r="A1069" t="s">
        <v>144</v>
      </c>
      <c r="D1069">
        <v>466</v>
      </c>
      <c r="E1069">
        <v>345</v>
      </c>
      <c r="G1069">
        <v>811</v>
      </c>
    </row>
    <row r="1070" spans="1:7">
      <c r="A1070" t="s">
        <v>431</v>
      </c>
      <c r="E1070">
        <v>1431</v>
      </c>
      <c r="G1070">
        <v>1431</v>
      </c>
    </row>
    <row r="1071" spans="1:7">
      <c r="A1071" t="s">
        <v>557</v>
      </c>
      <c r="D1071">
        <v>1379</v>
      </c>
      <c r="E1071">
        <v>1154</v>
      </c>
      <c r="G1071">
        <v>2533</v>
      </c>
    </row>
    <row r="1072" spans="1:7">
      <c r="A1072" t="s">
        <v>343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579</v>
      </c>
    </row>
    <row r="1085" spans="1:7">
      <c r="A1085" t="s">
        <v>419</v>
      </c>
      <c r="B1085">
        <v>428</v>
      </c>
      <c r="G1085">
        <v>428</v>
      </c>
    </row>
    <row r="1086" spans="1:7">
      <c r="A1086" t="s">
        <v>1096</v>
      </c>
    </row>
    <row r="1087" spans="1:7">
      <c r="A1087" t="s">
        <v>1098</v>
      </c>
      <c r="C1087">
        <v>265</v>
      </c>
      <c r="D1087">
        <v>542</v>
      </c>
      <c r="E1087">
        <v>739</v>
      </c>
      <c r="G1087">
        <v>1546</v>
      </c>
    </row>
    <row r="1088" spans="1:7">
      <c r="A1088" t="s">
        <v>366</v>
      </c>
      <c r="D1088">
        <v>91</v>
      </c>
      <c r="G1088">
        <v>91</v>
      </c>
    </row>
    <row r="1089" spans="1:7">
      <c r="A1089" t="s">
        <v>144</v>
      </c>
      <c r="B1089">
        <v>1172</v>
      </c>
      <c r="G1089">
        <v>1172</v>
      </c>
    </row>
    <row r="1090" spans="1:7">
      <c r="A1090" t="s">
        <v>431</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503</v>
      </c>
      <c r="B1093">
        <v>2855</v>
      </c>
      <c r="C1093">
        <v>3343</v>
      </c>
      <c r="D1093">
        <v>931</v>
      </c>
      <c r="G1093">
        <v>7129</v>
      </c>
    </row>
    <row r="1094" spans="1:7">
      <c r="A1094" t="s">
        <v>352</v>
      </c>
      <c r="C1094">
        <v>1743</v>
      </c>
      <c r="D1094">
        <v>522</v>
      </c>
      <c r="E1094">
        <v>1194</v>
      </c>
      <c r="F1094">
        <v>2811</v>
      </c>
      <c r="G1094">
        <v>6270</v>
      </c>
    </row>
    <row r="1095" spans="1:7">
      <c r="A1095" t="s">
        <v>1101</v>
      </c>
    </row>
    <row r="1096" spans="1:7">
      <c r="A1096" t="s">
        <v>407</v>
      </c>
      <c r="C1096">
        <v>1640</v>
      </c>
      <c r="D1096">
        <v>1177</v>
      </c>
      <c r="G1096">
        <v>2817</v>
      </c>
    </row>
    <row r="1097" spans="1:7">
      <c r="A1097" t="s">
        <v>500</v>
      </c>
      <c r="C1097">
        <v>1980</v>
      </c>
      <c r="D1097">
        <v>1251</v>
      </c>
      <c r="E1097">
        <v>3172</v>
      </c>
      <c r="G1097">
        <v>6403</v>
      </c>
    </row>
    <row r="1098" spans="1:7">
      <c r="A1098" t="s">
        <v>349</v>
      </c>
      <c r="C1098">
        <v>1111</v>
      </c>
      <c r="D1098">
        <v>1373</v>
      </c>
      <c r="E1098">
        <v>1090</v>
      </c>
      <c r="F1098">
        <v>1204</v>
      </c>
      <c r="G1098">
        <v>4778</v>
      </c>
    </row>
    <row r="1099" spans="1:7">
      <c r="A1099" t="s">
        <v>422</v>
      </c>
      <c r="C1099">
        <v>1500</v>
      </c>
      <c r="D1099">
        <v>1084</v>
      </c>
      <c r="G1099">
        <v>2584</v>
      </c>
    </row>
    <row r="1100" spans="1:7">
      <c r="A1100" t="s">
        <v>410</v>
      </c>
      <c r="D1100">
        <v>817</v>
      </c>
      <c r="E1100">
        <v>1820</v>
      </c>
      <c r="G1100">
        <v>2637</v>
      </c>
    </row>
    <row r="1101" spans="1:7">
      <c r="A1101" t="s">
        <v>140</v>
      </c>
      <c r="E1101">
        <v>1351</v>
      </c>
      <c r="G1101">
        <v>1351</v>
      </c>
    </row>
    <row r="1102" spans="1:7">
      <c r="A1102" t="s">
        <v>324</v>
      </c>
      <c r="F1102">
        <v>1832</v>
      </c>
      <c r="G1102">
        <v>1832</v>
      </c>
    </row>
    <row r="1103" spans="1:7">
      <c r="A1103" t="s">
        <v>1024</v>
      </c>
      <c r="B1103">
        <v>8198</v>
      </c>
      <c r="C1103">
        <v>16287</v>
      </c>
      <c r="D1103">
        <v>9098</v>
      </c>
      <c r="E1103">
        <v>10383</v>
      </c>
      <c r="F1103">
        <v>7356</v>
      </c>
      <c r="G1103">
        <v>51322</v>
      </c>
    </row>
    <row r="1106" spans="1:5">
      <c r="A1106" s="44" t="s">
        <v>1022</v>
      </c>
      <c r="B1106" s="44" t="s">
        <v>1020</v>
      </c>
    </row>
    <row r="1107" spans="1:5">
      <c r="A1107" s="44" t="s">
        <v>1023</v>
      </c>
      <c r="B1107" s="111">
        <v>46006</v>
      </c>
      <c r="C1107" s="111">
        <v>46007</v>
      </c>
      <c r="D1107" s="111">
        <v>46008</v>
      </c>
      <c r="E1107" t="s">
        <v>1024</v>
      </c>
    </row>
    <row r="1108" spans="1:5">
      <c r="A1108" t="s">
        <v>1068</v>
      </c>
      <c r="B1108">
        <v>365</v>
      </c>
      <c r="C1108">
        <v>210</v>
      </c>
      <c r="E1108">
        <v>575</v>
      </c>
    </row>
    <row r="1109" spans="1:5">
      <c r="A1109" t="s">
        <v>99</v>
      </c>
      <c r="B1109">
        <v>735</v>
      </c>
      <c r="E1109">
        <v>735</v>
      </c>
    </row>
    <row r="1110" spans="1:5">
      <c r="A1110" t="s">
        <v>463</v>
      </c>
    </row>
    <row r="1111" spans="1:5">
      <c r="A1111" t="s">
        <v>488</v>
      </c>
    </row>
    <row r="1112" spans="1:5">
      <c r="A1112" t="s">
        <v>579</v>
      </c>
    </row>
    <row r="1113" spans="1:5">
      <c r="A1113" t="s">
        <v>494</v>
      </c>
      <c r="B1113">
        <v>87</v>
      </c>
      <c r="E1113">
        <v>87</v>
      </c>
    </row>
    <row r="1114" spans="1:5">
      <c r="A1114" t="s">
        <v>1098</v>
      </c>
      <c r="B1114">
        <v>671</v>
      </c>
      <c r="C1114">
        <v>1204</v>
      </c>
      <c r="E1114">
        <v>1875</v>
      </c>
    </row>
    <row r="1115" spans="1:5">
      <c r="A1115" t="s">
        <v>366</v>
      </c>
    </row>
    <row r="1116" spans="1:5">
      <c r="A1116" t="s">
        <v>1099</v>
      </c>
      <c r="B1116">
        <v>752</v>
      </c>
      <c r="C1116">
        <v>1249</v>
      </c>
      <c r="D1116">
        <v>235</v>
      </c>
      <c r="E1116">
        <v>2236</v>
      </c>
    </row>
    <row r="1117" spans="1:5">
      <c r="A1117" t="s">
        <v>500</v>
      </c>
      <c r="B1117">
        <v>29</v>
      </c>
      <c r="E1117">
        <v>29</v>
      </c>
    </row>
    <row r="1118" spans="1:5">
      <c r="A1118" t="s">
        <v>140</v>
      </c>
      <c r="B1118">
        <v>689</v>
      </c>
      <c r="C1118">
        <v>586</v>
      </c>
      <c r="E1118">
        <v>1275</v>
      </c>
    </row>
    <row r="1119" spans="1:5">
      <c r="A1119" t="s">
        <v>324</v>
      </c>
      <c r="C1119">
        <v>1164</v>
      </c>
      <c r="E1119">
        <v>1164</v>
      </c>
    </row>
    <row r="1120" spans="1:5">
      <c r="A1120" t="s">
        <v>136</v>
      </c>
      <c r="B1120">
        <v>1095</v>
      </c>
      <c r="C1120">
        <v>1676</v>
      </c>
      <c r="E1120">
        <v>2771</v>
      </c>
    </row>
    <row r="1121" spans="1:5">
      <c r="A1121" t="s">
        <v>149</v>
      </c>
      <c r="B1121">
        <v>1344</v>
      </c>
      <c r="C1121">
        <v>1583</v>
      </c>
      <c r="E1121">
        <v>2927</v>
      </c>
    </row>
    <row r="1122" spans="1:5">
      <c r="A1122" t="s">
        <v>250</v>
      </c>
      <c r="C1122">
        <v>890</v>
      </c>
      <c r="E1122">
        <v>890</v>
      </c>
    </row>
    <row r="1123" spans="1:5">
      <c r="A1123" t="s">
        <v>333</v>
      </c>
      <c r="B1123">
        <v>1511</v>
      </c>
      <c r="C1123">
        <v>1887</v>
      </c>
      <c r="E1123">
        <v>3398</v>
      </c>
    </row>
    <row r="1124" spans="1:5">
      <c r="A1124" t="s">
        <v>346</v>
      </c>
      <c r="C1124">
        <v>1617</v>
      </c>
      <c r="D1124">
        <v>1083</v>
      </c>
      <c r="E1124">
        <v>2700</v>
      </c>
    </row>
    <row r="1125" spans="1:5">
      <c r="A1125" t="s">
        <v>1024</v>
      </c>
      <c r="B1125">
        <v>7278</v>
      </c>
      <c r="C1125">
        <v>12066</v>
      </c>
      <c r="D1125">
        <v>1318</v>
      </c>
      <c r="E1125">
        <v>20662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17" activePane="bottomLeft" state="frozen"/>
      <selection pane="bottomLeft" activeCell="A2343" sqref="A234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232</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149</v>
      </c>
      <c r="B2334" t="s">
        <v>137</v>
      </c>
      <c r="C2334" s="56">
        <v>46008</v>
      </c>
      <c r="G2334" t="s">
        <v>1851</v>
      </c>
    </row>
    <row r="2335" spans="1:7">
      <c r="A2335" s="432" t="s">
        <v>250</v>
      </c>
      <c r="B2335" s="371" t="s">
        <v>251</v>
      </c>
      <c r="C2335" s="56">
        <v>46008</v>
      </c>
      <c r="G2335" t="s">
        <v>1851</v>
      </c>
    </row>
    <row r="2336" spans="1:7">
      <c r="A2336" s="43" t="s">
        <v>324</v>
      </c>
      <c r="B2336" s="115" t="s">
        <v>1471</v>
      </c>
      <c r="C2336" s="56">
        <v>46008</v>
      </c>
      <c r="G2336" t="s">
        <v>1851</v>
      </c>
    </row>
    <row r="2337" spans="1:7">
      <c r="A2337" s="148" t="s">
        <v>333</v>
      </c>
      <c r="B2337" s="43" t="s">
        <v>1691</v>
      </c>
      <c r="C2337" s="56">
        <v>46008</v>
      </c>
      <c r="G2337" t="s">
        <v>1851</v>
      </c>
    </row>
    <row r="2338" spans="1:7">
      <c r="A2338" s="1084" t="s">
        <v>366</v>
      </c>
      <c r="B2338" s="69" t="s">
        <v>137</v>
      </c>
      <c r="C2338" s="56">
        <v>46008</v>
      </c>
      <c r="G2338" t="s">
        <v>1851</v>
      </c>
    </row>
    <row r="2339" spans="1:7">
      <c r="A2339" s="148" t="s">
        <v>346</v>
      </c>
      <c r="B2339" s="148" t="s">
        <v>137</v>
      </c>
      <c r="C2339" s="56">
        <v>46008</v>
      </c>
      <c r="D2339" s="155">
        <v>1083</v>
      </c>
      <c r="G2339" t="s">
        <v>1851</v>
      </c>
    </row>
    <row r="2340" spans="1:7">
      <c r="A2340" s="148" t="s">
        <v>488</v>
      </c>
      <c r="B2340" s="148" t="s">
        <v>137</v>
      </c>
      <c r="C2340" s="56">
        <v>46008</v>
      </c>
      <c r="F2340" s="311"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238</v>
      </c>
      <c r="G4" s="382" t="s">
        <v>1945</v>
      </c>
      <c r="H4" s="97">
        <v>0</v>
      </c>
      <c r="I4" s="105"/>
      <c r="J4" s="76" t="s">
        <v>63</v>
      </c>
      <c r="K4" s="76" t="s">
        <v>1946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238</v>
      </c>
      <c r="G5" s="382" t="s">
        <v>1949</v>
      </c>
      <c r="H5" s="97">
        <v>0</v>
      </c>
      <c r="I5" s="105"/>
      <c r="J5" s="76" t="s">
        <v>63</v>
      </c>
      <c r="K5" s="76" t="s">
        <v>1946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238</v>
      </c>
      <c r="G6" s="382" t="s">
        <v>1951</v>
      </c>
      <c r="H6" s="97">
        <v>0</v>
      </c>
      <c r="I6" s="105"/>
      <c r="J6" s="76" t="s">
        <v>63</v>
      </c>
      <c r="K6" s="76" t="s">
        <v>1946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71</v>
      </c>
      <c r="E28" s="77">
        <v>45734</v>
      </c>
      <c r="F28" s="1111" t="s">
        <v>61</v>
      </c>
      <c r="G28" s="1122" t="s">
        <v>1982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71</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71</v>
      </c>
      <c r="E30" s="51">
        <v>45743</v>
      </c>
      <c r="F30" s="50" t="s">
        <v>61</v>
      </c>
      <c r="G30" s="379" t="s">
        <v>1987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71</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2006</v>
      </c>
      <c r="B4" s="407" t="s">
        <v>237</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147</v>
      </c>
      <c r="O6" s="356">
        <v>45718</v>
      </c>
      <c r="P6" s="30" t="s">
        <v>147</v>
      </c>
      <c r="Q6" s="334" t="s">
        <v>147</v>
      </c>
      <c r="R6" s="43" t="s">
        <v>2008</v>
      </c>
      <c r="S6" s="43" t="s">
        <v>147</v>
      </c>
      <c r="T6" s="43" t="s">
        <v>147</v>
      </c>
      <c r="U6" s="157" t="s">
        <v>147</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147</v>
      </c>
      <c r="O7" s="79" t="s">
        <v>147</v>
      </c>
      <c r="P7" s="30" t="s">
        <v>147</v>
      </c>
      <c r="Q7" s="334" t="s">
        <v>147</v>
      </c>
      <c r="R7" s="43" t="s">
        <v>2008</v>
      </c>
      <c r="S7" s="43" t="s">
        <v>147</v>
      </c>
      <c r="T7" s="43" t="s">
        <v>147</v>
      </c>
      <c r="U7" s="43" t="s">
        <v>147</v>
      </c>
      <c r="V7" s="69" t="s">
        <v>90</v>
      </c>
      <c r="W7" s="30"/>
      <c r="X7" s="69" t="s">
        <v>90</v>
      </c>
      <c r="Y7" t="e">
        <f>VLOOKUP(A7,#REF!,2,FALSE)</f>
        <v>#REF!</v>
      </c>
    </row>
    <row r="8" spans="1:25">
      <c r="A8" s="175" t="s">
        <v>532</v>
      </c>
      <c r="B8" s="180" t="s">
        <v>237</v>
      </c>
      <c r="C8" s="176">
        <v>45742</v>
      </c>
      <c r="D8" s="185" t="s">
        <v>2009</v>
      </c>
      <c r="E8" s="120"/>
      <c r="F8" s="108"/>
      <c r="G8" s="108"/>
      <c r="H8" s="179">
        <v>84</v>
      </c>
      <c r="I8" s="181"/>
      <c r="J8" s="185" t="s">
        <v>57</v>
      </c>
      <c r="K8" s="185" t="s">
        <v>57</v>
      </c>
      <c r="L8" s="185" t="s">
        <v>63</v>
      </c>
      <c r="M8" s="193">
        <v>45716</v>
      </c>
      <c r="N8" s="30" t="s">
        <v>147</v>
      </c>
      <c r="O8" s="30" t="s">
        <v>147</v>
      </c>
      <c r="P8" s="711" t="s">
        <v>147</v>
      </c>
      <c r="Q8" s="69" t="s">
        <v>147</v>
      </c>
      <c r="R8" s="43" t="s">
        <v>2008</v>
      </c>
      <c r="S8" s="43" t="s">
        <v>147</v>
      </c>
      <c r="T8" s="43" t="s">
        <v>147</v>
      </c>
      <c r="U8" s="43" t="s">
        <v>147</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147</v>
      </c>
      <c r="O9" s="54">
        <v>45718</v>
      </c>
      <c r="P9" s="119" t="s">
        <v>147</v>
      </c>
      <c r="Q9" s="69" t="s">
        <v>147</v>
      </c>
      <c r="R9" s="43" t="s">
        <v>2008</v>
      </c>
      <c r="S9" s="43" t="s">
        <v>147</v>
      </c>
      <c r="T9" s="43" t="s">
        <v>147</v>
      </c>
      <c r="U9" s="43" t="s">
        <v>147</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147</v>
      </c>
      <c r="O10" s="30" t="s">
        <v>147</v>
      </c>
      <c r="P10" s="30" t="s">
        <v>147</v>
      </c>
      <c r="Q10" s="43" t="s">
        <v>147</v>
      </c>
      <c r="R10" s="43" t="s">
        <v>2008</v>
      </c>
      <c r="S10" s="43" t="s">
        <v>147</v>
      </c>
      <c r="T10" s="43" t="s">
        <v>147</v>
      </c>
      <c r="U10" s="161" t="s">
        <v>147</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147</v>
      </c>
      <c r="Q11" s="69" t="s">
        <v>147</v>
      </c>
      <c r="R11" s="43" t="s">
        <v>2008</v>
      </c>
      <c r="S11" s="43" t="s">
        <v>147</v>
      </c>
      <c r="T11" s="43" t="s">
        <v>147</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147</v>
      </c>
      <c r="Q12" s="69" t="s">
        <v>147</v>
      </c>
      <c r="R12" s="43" t="s">
        <v>2008</v>
      </c>
      <c r="S12" s="43" t="s">
        <v>147</v>
      </c>
      <c r="T12" s="43" t="s">
        <v>147</v>
      </c>
      <c r="U12" s="69" t="s">
        <v>90</v>
      </c>
      <c r="V12" s="69" t="s">
        <v>90</v>
      </c>
      <c r="W12" s="30"/>
      <c r="X12" s="69" t="s">
        <v>90</v>
      </c>
      <c r="Y12" t="e">
        <f>VLOOKUP(A12,#REF!,2,FALSE)</f>
        <v>#REF!</v>
      </c>
    </row>
    <row r="13" spans="1:25">
      <c r="A13" s="178" t="s">
        <v>302</v>
      </c>
      <c r="B13" s="180" t="s">
        <v>237</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2011</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2012</v>
      </c>
      <c r="N16" s="30" t="s">
        <v>147</v>
      </c>
      <c r="O16" s="54" t="s">
        <v>2012</v>
      </c>
      <c r="P16" s="30" t="s">
        <v>147</v>
      </c>
      <c r="Q16" s="69" t="s">
        <v>147</v>
      </c>
      <c r="R16" s="43" t="s">
        <v>147</v>
      </c>
      <c r="S16" s="43" t="s">
        <v>56</v>
      </c>
      <c r="T16" s="43" t="s">
        <v>147</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147</v>
      </c>
      <c r="O31" s="54">
        <v>45707</v>
      </c>
      <c r="P31" s="87" t="s">
        <v>147</v>
      </c>
      <c r="Q31" s="43" t="s">
        <v>147</v>
      </c>
      <c r="R31" s="43" t="s">
        <v>2008</v>
      </c>
      <c r="S31" s="43" t="s">
        <v>147</v>
      </c>
      <c r="T31" s="139" t="s">
        <v>147</v>
      </c>
      <c r="U31" s="115" t="s">
        <v>147</v>
      </c>
      <c r="V31" s="69" t="s">
        <v>147</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147</v>
      </c>
      <c r="O32" s="54">
        <v>45756</v>
      </c>
      <c r="P32" s="30" t="s">
        <v>147</v>
      </c>
      <c r="Q32" s="69" t="s">
        <v>147</v>
      </c>
      <c r="R32" s="69" t="s">
        <v>2008</v>
      </c>
      <c r="S32" s="43" t="s">
        <v>147</v>
      </c>
      <c r="T32" s="139" t="s">
        <v>147</v>
      </c>
      <c r="U32" s="43" t="s">
        <v>147</v>
      </c>
      <c r="V32" s="69" t="s">
        <v>147</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147</v>
      </c>
      <c r="O33" s="124">
        <v>45749</v>
      </c>
      <c r="P33" s="30" t="s">
        <v>147</v>
      </c>
      <c r="Q33" s="69" t="s">
        <v>147</v>
      </c>
      <c r="R33" s="69" t="s">
        <v>2008</v>
      </c>
      <c r="S33" s="43" t="s">
        <v>147</v>
      </c>
      <c r="T33" s="139" t="s">
        <v>147</v>
      </c>
      <c r="U33" s="43" t="s">
        <v>147</v>
      </c>
      <c r="V33" s="334" t="s">
        <v>147</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147</v>
      </c>
      <c r="O34" s="124">
        <v>45750</v>
      </c>
      <c r="P34" s="30" t="s">
        <v>147</v>
      </c>
      <c r="Q34" s="69" t="s">
        <v>147</v>
      </c>
      <c r="R34" s="69" t="s">
        <v>2008</v>
      </c>
      <c r="S34" s="43" t="s">
        <v>147</v>
      </c>
      <c r="T34" s="139" t="s">
        <v>147</v>
      </c>
      <c r="U34" s="43" t="s">
        <v>147</v>
      </c>
      <c r="V34" s="404" t="s">
        <v>147</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147</v>
      </c>
      <c r="O35" s="124">
        <v>45659</v>
      </c>
      <c r="P35" s="87" t="s">
        <v>147</v>
      </c>
      <c r="Q35" s="43" t="s">
        <v>147</v>
      </c>
      <c r="R35" s="43" t="s">
        <v>2008</v>
      </c>
      <c r="S35" s="43" t="s">
        <v>147</v>
      </c>
      <c r="T35" s="139" t="s">
        <v>147</v>
      </c>
      <c r="U35" s="169" t="s">
        <v>147</v>
      </c>
      <c r="V35" s="69" t="s">
        <v>147</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147</v>
      </c>
      <c r="O36" s="124">
        <v>45659</v>
      </c>
      <c r="P36" s="87" t="s">
        <v>147</v>
      </c>
      <c r="Q36" s="43" t="s">
        <v>147</v>
      </c>
      <c r="R36" s="43" t="s">
        <v>2008</v>
      </c>
      <c r="S36" s="43" t="s">
        <v>147</v>
      </c>
      <c r="T36" s="139" t="s">
        <v>147</v>
      </c>
      <c r="U36" s="43" t="s">
        <v>147</v>
      </c>
      <c r="V36" s="69" t="s">
        <v>147</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147</v>
      </c>
      <c r="N37" s="30" t="s">
        <v>147</v>
      </c>
      <c r="O37" s="124">
        <v>45672</v>
      </c>
      <c r="P37" s="30" t="s">
        <v>147</v>
      </c>
      <c r="Q37" s="43" t="s">
        <v>147</v>
      </c>
      <c r="R37" s="43" t="s">
        <v>2008</v>
      </c>
      <c r="S37" s="43" t="s">
        <v>147</v>
      </c>
      <c r="T37" s="43" t="s">
        <v>147</v>
      </c>
      <c r="U37" s="169" t="s">
        <v>147</v>
      </c>
      <c r="V37" s="69" t="s">
        <v>147</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147</v>
      </c>
      <c r="O38" s="124">
        <v>45673</v>
      </c>
      <c r="P38" s="30" t="s">
        <v>147</v>
      </c>
      <c r="Q38" s="43" t="s">
        <v>147</v>
      </c>
      <c r="R38" s="43" t="s">
        <v>2008</v>
      </c>
      <c r="S38" s="43" t="s">
        <v>147</v>
      </c>
      <c r="T38" s="43" t="s">
        <v>147</v>
      </c>
      <c r="U38" s="169" t="s">
        <v>147</v>
      </c>
      <c r="V38" s="69" t="s">
        <v>147</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147</v>
      </c>
      <c r="N39" s="30" t="s">
        <v>147</v>
      </c>
      <c r="O39" s="124">
        <v>45672</v>
      </c>
      <c r="P39" s="30" t="s">
        <v>147</v>
      </c>
      <c r="Q39" s="43" t="s">
        <v>147</v>
      </c>
      <c r="R39" s="43" t="s">
        <v>2008</v>
      </c>
      <c r="S39" s="43" t="s">
        <v>147</v>
      </c>
      <c r="T39" s="43" t="s">
        <v>147</v>
      </c>
      <c r="U39" s="169" t="s">
        <v>147</v>
      </c>
      <c r="V39" s="69" t="s">
        <v>147</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147</v>
      </c>
      <c r="O57" s="124">
        <v>45783</v>
      </c>
      <c r="P57" s="328" t="s">
        <v>147</v>
      </c>
      <c r="Q57" s="43" t="s">
        <v>147</v>
      </c>
      <c r="R57" s="43" t="s">
        <v>2008</v>
      </c>
      <c r="S57" s="43" t="s">
        <v>147</v>
      </c>
      <c r="T57" s="43" t="s">
        <v>147</v>
      </c>
      <c r="U57" s="43" t="s">
        <v>147</v>
      </c>
      <c r="V57" s="69" t="s">
        <v>147</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147</v>
      </c>
      <c r="O58" s="54">
        <v>45776</v>
      </c>
      <c r="P58" s="328" t="s">
        <v>147</v>
      </c>
      <c r="Q58" s="43" t="s">
        <v>147</v>
      </c>
      <c r="R58" s="43" t="s">
        <v>2008</v>
      </c>
      <c r="S58" s="43" t="s">
        <v>147</v>
      </c>
      <c r="T58" s="43" t="s">
        <v>147</v>
      </c>
      <c r="U58" s="43" t="s">
        <v>147</v>
      </c>
      <c r="V58" s="334" t="s">
        <v>147</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147</v>
      </c>
      <c r="O59" s="30" t="s">
        <v>1990</v>
      </c>
      <c r="P59" s="328" t="s">
        <v>147</v>
      </c>
      <c r="Q59" s="43" t="s">
        <v>147</v>
      </c>
      <c r="R59" s="43" t="s">
        <v>2008</v>
      </c>
      <c r="S59" s="43" t="s">
        <v>147</v>
      </c>
      <c r="T59" s="43" t="s">
        <v>147</v>
      </c>
      <c r="U59" s="43" t="s">
        <v>147</v>
      </c>
      <c r="V59" s="334" t="s">
        <v>147</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147</v>
      </c>
      <c r="O60" s="54">
        <v>45812</v>
      </c>
      <c r="P60" s="328" t="s">
        <v>147</v>
      </c>
      <c r="Q60" s="43" t="s">
        <v>147</v>
      </c>
      <c r="R60" s="43" t="s">
        <v>2008</v>
      </c>
      <c r="S60" s="43" t="s">
        <v>147</v>
      </c>
      <c r="T60" s="43" t="s">
        <v>147</v>
      </c>
      <c r="U60" s="43" t="s">
        <v>147</v>
      </c>
      <c r="V60" s="334" t="s">
        <v>147</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147</v>
      </c>
      <c r="N81" s="87" t="s">
        <v>147</v>
      </c>
      <c r="O81" s="124">
        <v>45678</v>
      </c>
      <c r="P81" s="87" t="s">
        <v>147</v>
      </c>
      <c r="Q81" s="43" t="s">
        <v>147</v>
      </c>
      <c r="R81" s="43" t="s">
        <v>2008</v>
      </c>
      <c r="S81" s="43" t="s">
        <v>147</v>
      </c>
      <c r="T81" s="43" t="s">
        <v>147</v>
      </c>
      <c r="U81" s="115" t="s">
        <v>147</v>
      </c>
      <c r="V81" s="69" t="s">
        <v>147</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2008</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147</v>
      </c>
      <c r="O84" s="54">
        <v>45728</v>
      </c>
      <c r="P84" s="30" t="s">
        <v>147</v>
      </c>
      <c r="Q84" s="169" t="s">
        <v>147</v>
      </c>
      <c r="R84" s="169" t="s">
        <v>2008</v>
      </c>
      <c r="S84" s="169" t="s">
        <v>147</v>
      </c>
      <c r="T84" s="169" t="s">
        <v>147</v>
      </c>
      <c r="U84" s="91" t="s">
        <v>147</v>
      </c>
      <c r="V84" s="69" t="s">
        <v>147</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147</v>
      </c>
      <c r="O85" s="54">
        <v>45719</v>
      </c>
      <c r="P85" s="30" t="s">
        <v>147</v>
      </c>
      <c r="Q85" s="43" t="s">
        <v>147</v>
      </c>
      <c r="R85" s="169" t="s">
        <v>2008</v>
      </c>
      <c r="S85" s="169" t="s">
        <v>147</v>
      </c>
      <c r="T85" s="169" t="s">
        <v>147</v>
      </c>
      <c r="U85" s="91" t="s">
        <v>147</v>
      </c>
      <c r="V85" s="91" t="s">
        <v>147</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147</v>
      </c>
      <c r="O86" s="195">
        <v>45728</v>
      </c>
      <c r="P86" s="30" t="s">
        <v>147</v>
      </c>
      <c r="Q86" s="43" t="s">
        <v>147</v>
      </c>
      <c r="R86" s="43" t="s">
        <v>2008</v>
      </c>
      <c r="S86" s="43" t="s">
        <v>147</v>
      </c>
      <c r="T86" s="43" t="s">
        <v>147</v>
      </c>
      <c r="U86" s="69" t="s">
        <v>147</v>
      </c>
      <c r="V86" s="69" t="s">
        <v>147</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147</v>
      </c>
      <c r="O87" s="30" t="s">
        <v>147</v>
      </c>
      <c r="P87" s="30" t="s">
        <v>147</v>
      </c>
      <c r="Q87" s="43" t="s">
        <v>147</v>
      </c>
      <c r="R87" s="43" t="s">
        <v>2008</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147</v>
      </c>
      <c r="O88" s="54">
        <v>45728</v>
      </c>
      <c r="P88" s="30" t="s">
        <v>147</v>
      </c>
      <c r="Q88" s="43" t="s">
        <v>147</v>
      </c>
      <c r="R88" s="43" t="s">
        <v>2008</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147</v>
      </c>
      <c r="O89" s="54">
        <v>45722</v>
      </c>
      <c r="P89" s="30" t="s">
        <v>147</v>
      </c>
      <c r="Q89" s="69" t="s">
        <v>147</v>
      </c>
      <c r="R89" s="43" t="s">
        <v>2008</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147</v>
      </c>
      <c r="O90" s="54">
        <v>45727</v>
      </c>
      <c r="P90" s="30" t="s">
        <v>147</v>
      </c>
      <c r="Q90" s="69" t="s">
        <v>147</v>
      </c>
      <c r="R90" s="43" t="s">
        <v>2008</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147</v>
      </c>
      <c r="O91" s="54">
        <v>45723</v>
      </c>
      <c r="P91" s="30" t="s">
        <v>147</v>
      </c>
      <c r="Q91" s="69" t="s">
        <v>147</v>
      </c>
      <c r="R91" s="43" t="s">
        <v>2008</v>
      </c>
      <c r="S91" s="69" t="s">
        <v>147</v>
      </c>
      <c r="T91" s="69" t="s">
        <v>147</v>
      </c>
      <c r="U91" s="69" t="s">
        <v>147</v>
      </c>
      <c r="V91" s="69" t="s">
        <v>147</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147</v>
      </c>
      <c r="O92" s="54">
        <v>45726</v>
      </c>
      <c r="P92" s="30" t="s">
        <v>147</v>
      </c>
      <c r="Q92" s="148" t="s">
        <v>147</v>
      </c>
      <c r="R92" s="43" t="s">
        <v>2008</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147</v>
      </c>
      <c r="O93" s="54">
        <v>45727</v>
      </c>
      <c r="P93" s="79" t="s">
        <v>147</v>
      </c>
      <c r="Q93" s="43" t="s">
        <v>147</v>
      </c>
      <c r="R93" s="43" t="s">
        <v>2008</v>
      </c>
      <c r="S93" s="43" t="s">
        <v>147</v>
      </c>
      <c r="T93" s="43" t="s">
        <v>147</v>
      </c>
      <c r="U93" s="334" t="s">
        <v>147</v>
      </c>
      <c r="V93" s="69" t="s">
        <v>147</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147</v>
      </c>
      <c r="O94" s="54">
        <v>45693</v>
      </c>
      <c r="P94" s="79" t="s">
        <v>147</v>
      </c>
      <c r="Q94" s="69" t="s">
        <v>147</v>
      </c>
      <c r="R94" s="69" t="s">
        <v>2008</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147</v>
      </c>
      <c r="O95" s="195">
        <v>45694</v>
      </c>
      <c r="P95" s="79" t="s">
        <v>147</v>
      </c>
      <c r="Q95" s="69" t="s">
        <v>147</v>
      </c>
      <c r="R95" s="69" t="s">
        <v>2008</v>
      </c>
      <c r="S95" s="69" t="s">
        <v>147</v>
      </c>
      <c r="T95" s="43" t="s">
        <v>147</v>
      </c>
      <c r="U95" s="69" t="s">
        <v>147</v>
      </c>
      <c r="V95" s="69" t="s">
        <v>147</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147</v>
      </c>
      <c r="O96" s="54">
        <v>45694</v>
      </c>
      <c r="P96" s="30" t="s">
        <v>147</v>
      </c>
      <c r="Q96" s="69" t="s">
        <v>147</v>
      </c>
      <c r="R96" s="91" t="s">
        <v>2008</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147</v>
      </c>
      <c r="O97" s="54">
        <v>45688</v>
      </c>
      <c r="P97" s="30" t="s">
        <v>147</v>
      </c>
      <c r="Q97" s="69" t="s">
        <v>147</v>
      </c>
      <c r="R97" s="69" t="s">
        <v>2008</v>
      </c>
      <c r="S97" s="69" t="s">
        <v>147</v>
      </c>
      <c r="T97" s="69" t="s">
        <v>147</v>
      </c>
      <c r="U97" s="69" t="s">
        <v>147</v>
      </c>
      <c r="V97" s="43" t="s">
        <v>147</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147</v>
      </c>
      <c r="O98" s="54">
        <v>45692</v>
      </c>
      <c r="P98" s="30" t="s">
        <v>147</v>
      </c>
      <c r="Q98" s="43" t="s">
        <v>147</v>
      </c>
      <c r="R98" s="43" t="s">
        <v>2008</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147</v>
      </c>
      <c r="O99" s="54">
        <v>45692</v>
      </c>
      <c r="P99" s="30" t="s">
        <v>147</v>
      </c>
      <c r="Q99" s="43" t="s">
        <v>147</v>
      </c>
      <c r="R99" s="43" t="s">
        <v>2008</v>
      </c>
      <c r="S99" s="43" t="s">
        <v>147</v>
      </c>
      <c r="T99" s="115" t="s">
        <v>147</v>
      </c>
      <c r="U99" s="148" t="s">
        <v>147</v>
      </c>
      <c r="V99" s="69" t="s">
        <v>147</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2008</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147</v>
      </c>
      <c r="O101" s="54">
        <v>45695</v>
      </c>
      <c r="P101" s="30" t="s">
        <v>147</v>
      </c>
      <c r="Q101" s="43" t="s">
        <v>147</v>
      </c>
      <c r="R101" s="43" t="s">
        <v>2008</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147</v>
      </c>
      <c r="N102" s="30" t="s">
        <v>147</v>
      </c>
      <c r="O102" s="54">
        <v>45699</v>
      </c>
      <c r="P102" s="87" t="s">
        <v>147</v>
      </c>
      <c r="Q102" s="88" t="s">
        <v>147</v>
      </c>
      <c r="R102" s="43" t="s">
        <v>2008</v>
      </c>
      <c r="S102" s="43" t="s">
        <v>147</v>
      </c>
      <c r="T102" s="43" t="s">
        <v>147</v>
      </c>
      <c r="U102" s="43" t="s">
        <v>147</v>
      </c>
      <c r="V102" s="165" t="s">
        <v>147</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147</v>
      </c>
      <c r="O103" s="54">
        <v>45675</v>
      </c>
      <c r="P103" s="87" t="s">
        <v>147</v>
      </c>
      <c r="Q103" s="43" t="s">
        <v>147</v>
      </c>
      <c r="R103" s="43" t="s">
        <v>2008</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2008</v>
      </c>
      <c r="S104" s="43" t="s">
        <v>147</v>
      </c>
      <c r="T104" s="43" t="s">
        <v>147</v>
      </c>
      <c r="U104" s="43" t="s">
        <v>147</v>
      </c>
      <c r="V104" s="139" t="s">
        <v>147</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147</v>
      </c>
      <c r="O105" s="54">
        <v>45743</v>
      </c>
      <c r="P105" s="87" t="s">
        <v>147</v>
      </c>
      <c r="Q105" s="157" t="s">
        <v>147</v>
      </c>
      <c r="R105" s="69" t="s">
        <v>2008</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147</v>
      </c>
      <c r="O106" s="54">
        <v>45679</v>
      </c>
      <c r="P106" s="87" t="s">
        <v>147</v>
      </c>
      <c r="Q106" s="43" t="s">
        <v>147</v>
      </c>
      <c r="R106" s="43" t="s">
        <v>2008</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147</v>
      </c>
      <c r="O107" s="54">
        <v>45749</v>
      </c>
      <c r="P107" s="30" t="s">
        <v>147</v>
      </c>
      <c r="Q107" s="43" t="s">
        <v>147</v>
      </c>
      <c r="R107" s="43" t="s">
        <v>2008</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147</v>
      </c>
      <c r="O108" s="54">
        <v>45749</v>
      </c>
      <c r="P108" s="30" t="s">
        <v>147</v>
      </c>
      <c r="Q108" s="43" t="s">
        <v>147</v>
      </c>
      <c r="R108" s="334" t="s">
        <v>2008</v>
      </c>
      <c r="S108" s="43" t="s">
        <v>147</v>
      </c>
      <c r="T108" s="43" t="s">
        <v>147</v>
      </c>
      <c r="U108" s="88" t="s">
        <v>147</v>
      </c>
      <c r="V108" s="481" t="s">
        <v>147</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147</v>
      </c>
      <c r="O109" s="54">
        <v>45744</v>
      </c>
      <c r="P109" s="79" t="s">
        <v>147</v>
      </c>
      <c r="Q109" s="43" t="s">
        <v>147</v>
      </c>
      <c r="R109" s="334" t="s">
        <v>2008</v>
      </c>
      <c r="S109" s="43" t="s">
        <v>147</v>
      </c>
      <c r="T109" s="43" t="s">
        <v>147</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147</v>
      </c>
      <c r="O110" s="54">
        <v>45691</v>
      </c>
      <c r="P110" s="79" t="s">
        <v>147</v>
      </c>
      <c r="Q110" s="43" t="s">
        <v>147</v>
      </c>
      <c r="R110" s="334" t="s">
        <v>2008</v>
      </c>
      <c r="S110" s="43" t="s">
        <v>147</v>
      </c>
      <c r="T110" s="43" t="s">
        <v>147</v>
      </c>
      <c r="U110" s="88" t="s">
        <v>147</v>
      </c>
      <c r="V110" s="481" t="s">
        <v>147</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147</v>
      </c>
      <c r="O111" s="54">
        <v>45708</v>
      </c>
      <c r="P111" s="30" t="s">
        <v>147</v>
      </c>
      <c r="Q111" s="169" t="s">
        <v>147</v>
      </c>
      <c r="R111" s="69" t="s">
        <v>2008</v>
      </c>
      <c r="S111" s="43" t="s">
        <v>147</v>
      </c>
      <c r="T111" s="43" t="s">
        <v>147</v>
      </c>
      <c r="U111" s="43" t="s">
        <v>147</v>
      </c>
      <c r="V111" s="201" t="s">
        <v>147</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147</v>
      </c>
      <c r="O112" s="166">
        <v>45744</v>
      </c>
      <c r="P112" s="114" t="s">
        <v>147</v>
      </c>
      <c r="Q112" s="115" t="s">
        <v>147</v>
      </c>
      <c r="R112" s="148" t="s">
        <v>2008</v>
      </c>
      <c r="S112" s="43" t="s">
        <v>147</v>
      </c>
      <c r="T112" s="43" t="s">
        <v>147</v>
      </c>
      <c r="U112" s="43" t="s">
        <v>147</v>
      </c>
      <c r="V112" s="201" t="s">
        <v>147</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147</v>
      </c>
      <c r="O113" s="166">
        <v>45755</v>
      </c>
      <c r="P113" s="114" t="s">
        <v>147</v>
      </c>
      <c r="Q113" s="115" t="s">
        <v>147</v>
      </c>
      <c r="R113" s="148" t="s">
        <v>2008</v>
      </c>
      <c r="S113" s="115" t="s">
        <v>147</v>
      </c>
      <c r="T113" s="43" t="s">
        <v>147</v>
      </c>
      <c r="U113" s="43" t="s">
        <v>147</v>
      </c>
      <c r="V113" s="201" t="s">
        <v>147</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147</v>
      </c>
      <c r="O114" s="54">
        <v>45747</v>
      </c>
      <c r="P114" s="114" t="s">
        <v>147</v>
      </c>
      <c r="Q114" s="115" t="s">
        <v>147</v>
      </c>
      <c r="R114" s="148" t="s">
        <v>2008</v>
      </c>
      <c r="S114" s="115" t="s">
        <v>147</v>
      </c>
      <c r="T114" s="43" t="s">
        <v>147</v>
      </c>
      <c r="U114" s="157" t="s">
        <v>147</v>
      </c>
      <c r="V114" s="201" t="s">
        <v>147</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147</v>
      </c>
      <c r="O115" s="124">
        <v>45757</v>
      </c>
      <c r="P115" s="30" t="s">
        <v>147</v>
      </c>
      <c r="Q115" s="43" t="s">
        <v>147</v>
      </c>
      <c r="R115" s="69" t="s">
        <v>2008</v>
      </c>
      <c r="S115" s="43" t="s">
        <v>147</v>
      </c>
      <c r="T115" s="43" t="s">
        <v>147</v>
      </c>
      <c r="U115" s="43" t="s">
        <v>147</v>
      </c>
      <c r="V115" s="88" t="s">
        <v>147</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147</v>
      </c>
      <c r="O116" s="124">
        <v>45757</v>
      </c>
      <c r="P116" s="30" t="s">
        <v>147</v>
      </c>
      <c r="Q116" s="43" t="s">
        <v>147</v>
      </c>
      <c r="R116" s="69" t="s">
        <v>2008</v>
      </c>
      <c r="S116" s="43" t="s">
        <v>147</v>
      </c>
      <c r="T116" s="43" t="s">
        <v>147</v>
      </c>
      <c r="U116" s="43" t="s">
        <v>147</v>
      </c>
      <c r="V116" s="481" t="s">
        <v>147</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147</v>
      </c>
      <c r="O117" s="124">
        <v>45757</v>
      </c>
      <c r="P117" s="30" t="s">
        <v>147</v>
      </c>
      <c r="Q117" s="43" t="s">
        <v>147</v>
      </c>
      <c r="R117" s="69" t="s">
        <v>2008</v>
      </c>
      <c r="S117" s="43" t="s">
        <v>147</v>
      </c>
      <c r="T117" s="43" t="s">
        <v>147</v>
      </c>
      <c r="U117" s="43" t="s">
        <v>147</v>
      </c>
      <c r="V117" s="88" t="s">
        <v>147</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147</v>
      </c>
      <c r="O118" s="124">
        <v>45757</v>
      </c>
      <c r="P118" s="87" t="s">
        <v>147</v>
      </c>
      <c r="Q118" s="43" t="s">
        <v>147</v>
      </c>
      <c r="R118" s="43" t="s">
        <v>2008</v>
      </c>
      <c r="S118" s="43" t="s">
        <v>147</v>
      </c>
      <c r="T118" s="43" t="s">
        <v>147</v>
      </c>
      <c r="U118" s="157" t="s">
        <v>147</v>
      </c>
      <c r="V118" s="88" t="s">
        <v>147</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147</v>
      </c>
      <c r="O119" s="124">
        <v>45757</v>
      </c>
      <c r="P119" s="30" t="s">
        <v>147</v>
      </c>
      <c r="Q119" s="69" t="s">
        <v>147</v>
      </c>
      <c r="R119" s="69" t="s">
        <v>2008</v>
      </c>
      <c r="S119" s="43" t="s">
        <v>147</v>
      </c>
      <c r="T119" s="43" t="s">
        <v>147</v>
      </c>
      <c r="U119" s="157" t="s">
        <v>147</v>
      </c>
      <c r="V119" s="88" t="s">
        <v>147</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147</v>
      </c>
      <c r="O120" s="54">
        <v>45748</v>
      </c>
      <c r="P120" s="30" t="s">
        <v>147</v>
      </c>
      <c r="Q120" s="43" t="s">
        <v>147</v>
      </c>
      <c r="R120" s="69" t="s">
        <v>2008</v>
      </c>
      <c r="S120" s="43" t="s">
        <v>147</v>
      </c>
      <c r="T120" s="43" t="s">
        <v>147</v>
      </c>
      <c r="U120" s="43" t="s">
        <v>147</v>
      </c>
      <c r="V120" s="88" t="s">
        <v>147</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147</v>
      </c>
      <c r="O121" s="124">
        <v>45757</v>
      </c>
      <c r="P121" s="30" t="s">
        <v>147</v>
      </c>
      <c r="Q121" s="69" t="s">
        <v>147</v>
      </c>
      <c r="R121" s="69" t="s">
        <v>2008</v>
      </c>
      <c r="S121" s="43" t="s">
        <v>147</v>
      </c>
      <c r="T121" s="43" t="s">
        <v>147</v>
      </c>
      <c r="U121" s="43" t="s">
        <v>147</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147</v>
      </c>
      <c r="O122" s="54">
        <v>45747</v>
      </c>
      <c r="P122" s="30" t="s">
        <v>147</v>
      </c>
      <c r="Q122" s="69" t="s">
        <v>147</v>
      </c>
      <c r="R122" s="69" t="s">
        <v>2008</v>
      </c>
      <c r="S122" s="43" t="s">
        <v>147</v>
      </c>
      <c r="T122" s="43" t="s">
        <v>147</v>
      </c>
      <c r="U122" s="157" t="s">
        <v>147</v>
      </c>
      <c r="V122" s="157" t="s">
        <v>147</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147</v>
      </c>
      <c r="O123" s="54">
        <v>45744</v>
      </c>
      <c r="P123" s="30" t="s">
        <v>147</v>
      </c>
      <c r="Q123" s="43" t="s">
        <v>147</v>
      </c>
      <c r="R123" s="69" t="s">
        <v>2008</v>
      </c>
      <c r="S123" s="43" t="s">
        <v>147</v>
      </c>
      <c r="T123" s="43" t="s">
        <v>147</v>
      </c>
      <c r="U123" s="43" t="s">
        <v>147</v>
      </c>
      <c r="V123" s="69" t="s">
        <v>147</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147</v>
      </c>
      <c r="O124" s="54">
        <v>45744</v>
      </c>
      <c r="P124" s="30" t="s">
        <v>147</v>
      </c>
      <c r="Q124" s="43" t="s">
        <v>147</v>
      </c>
      <c r="R124" s="69" t="s">
        <v>2008</v>
      </c>
      <c r="S124" s="43" t="s">
        <v>147</v>
      </c>
      <c r="T124" s="43" t="s">
        <v>147</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147</v>
      </c>
      <c r="N125" s="30" t="s">
        <v>147</v>
      </c>
      <c r="O125" s="54">
        <v>45679</v>
      </c>
      <c r="P125" s="30" t="s">
        <v>147</v>
      </c>
      <c r="Q125" s="69" t="s">
        <v>147</v>
      </c>
      <c r="R125" s="43" t="s">
        <v>2008</v>
      </c>
      <c r="S125" s="43" t="s">
        <v>147</v>
      </c>
      <c r="T125" s="43" t="s">
        <v>147</v>
      </c>
      <c r="U125" s="43" t="s">
        <v>147</v>
      </c>
      <c r="V125" s="43" t="s">
        <v>147</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147</v>
      </c>
      <c r="N126" s="30" t="s">
        <v>147</v>
      </c>
      <c r="O126" s="54">
        <v>45720</v>
      </c>
      <c r="P126" s="30" t="s">
        <v>147</v>
      </c>
      <c r="Q126" s="69" t="s">
        <v>147</v>
      </c>
      <c r="R126" s="43" t="s">
        <v>2008</v>
      </c>
      <c r="S126" s="43" t="s">
        <v>147</v>
      </c>
      <c r="T126" s="43" t="s">
        <v>147</v>
      </c>
      <c r="U126" s="43" t="s">
        <v>147</v>
      </c>
      <c r="V126" s="88" t="s">
        <v>147</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147</v>
      </c>
      <c r="O127" s="54">
        <v>45679</v>
      </c>
      <c r="P127" s="30" t="s">
        <v>147</v>
      </c>
      <c r="Q127" s="43" t="s">
        <v>147</v>
      </c>
      <c r="R127" s="43" t="s">
        <v>2008</v>
      </c>
      <c r="S127" s="43" t="s">
        <v>147</v>
      </c>
      <c r="T127" s="43" t="s">
        <v>147</v>
      </c>
      <c r="U127" s="43" t="s">
        <v>147</v>
      </c>
      <c r="V127" s="88" t="s">
        <v>147</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147</v>
      </c>
      <c r="O128" s="347">
        <v>45694</v>
      </c>
      <c r="P128" s="87" t="s">
        <v>147</v>
      </c>
      <c r="Q128" s="43" t="s">
        <v>147</v>
      </c>
      <c r="R128" s="43" t="s">
        <v>2008</v>
      </c>
      <c r="S128" s="43" t="s">
        <v>147</v>
      </c>
      <c r="T128" s="43" t="s">
        <v>147</v>
      </c>
      <c r="U128" s="43" t="s">
        <v>147</v>
      </c>
      <c r="V128" s="88" t="s">
        <v>147</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2008</v>
      </c>
      <c r="S129" s="43" t="s">
        <v>147</v>
      </c>
      <c r="T129" s="115" t="s">
        <v>147</v>
      </c>
      <c r="U129" s="115" t="s">
        <v>147</v>
      </c>
      <c r="V129" s="88" t="s">
        <v>147</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147</v>
      </c>
      <c r="O130" s="54">
        <v>45698</v>
      </c>
      <c r="P130" s="30" t="s">
        <v>147</v>
      </c>
      <c r="Q130" s="69" t="s">
        <v>147</v>
      </c>
      <c r="R130" s="43" t="s">
        <v>2008</v>
      </c>
      <c r="S130" s="43" t="s">
        <v>147</v>
      </c>
      <c r="T130" s="43" t="s">
        <v>147</v>
      </c>
      <c r="U130" s="43" t="s">
        <v>147</v>
      </c>
      <c r="V130" s="88" t="s">
        <v>147</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147</v>
      </c>
      <c r="N131" s="49" t="s">
        <v>147</v>
      </c>
      <c r="O131" s="30" t="s">
        <v>147</v>
      </c>
      <c r="P131" s="30" t="s">
        <v>147</v>
      </c>
      <c r="Q131" s="43" t="s">
        <v>147</v>
      </c>
      <c r="R131" s="43" t="s">
        <v>2008</v>
      </c>
      <c r="S131" s="43" t="s">
        <v>147</v>
      </c>
      <c r="T131" s="157" t="s">
        <v>147</v>
      </c>
      <c r="U131" s="157" t="s">
        <v>147</v>
      </c>
      <c r="V131" s="88" t="s">
        <v>147</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147</v>
      </c>
      <c r="O132" s="54">
        <v>45691</v>
      </c>
      <c r="P132" s="87" t="s">
        <v>147</v>
      </c>
      <c r="Q132" s="43" t="s">
        <v>147</v>
      </c>
      <c r="R132" s="43" t="s">
        <v>2008</v>
      </c>
      <c r="S132" s="43" t="s">
        <v>147</v>
      </c>
      <c r="T132" s="43" t="s">
        <v>147</v>
      </c>
      <c r="U132" s="43" t="s">
        <v>147</v>
      </c>
      <c r="V132" s="43" t="s">
        <v>147</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147</v>
      </c>
      <c r="N133" s="49" t="s">
        <v>147</v>
      </c>
      <c r="O133" s="54">
        <v>45701</v>
      </c>
      <c r="P133" s="30" t="s">
        <v>147</v>
      </c>
      <c r="Q133" s="69" t="s">
        <v>147</v>
      </c>
      <c r="R133" s="43" t="s">
        <v>2008</v>
      </c>
      <c r="S133" s="43" t="s">
        <v>147</v>
      </c>
      <c r="T133" s="43" t="s">
        <v>147</v>
      </c>
      <c r="U133" s="43" t="s">
        <v>147</v>
      </c>
      <c r="V133" s="69" t="s">
        <v>147</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147</v>
      </c>
      <c r="O134" s="54">
        <v>45709</v>
      </c>
      <c r="P134" s="30" t="s">
        <v>147</v>
      </c>
      <c r="Q134" s="43" t="s">
        <v>147</v>
      </c>
      <c r="R134" s="43" t="s">
        <v>2008</v>
      </c>
      <c r="S134" s="43" t="s">
        <v>147</v>
      </c>
      <c r="T134" s="43" t="s">
        <v>147</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147</v>
      </c>
      <c r="N135" s="49" t="s">
        <v>147</v>
      </c>
      <c r="O135" s="195">
        <v>45720</v>
      </c>
      <c r="P135" s="49" t="s">
        <v>147</v>
      </c>
      <c r="Q135" s="69" t="s">
        <v>147</v>
      </c>
      <c r="R135" s="43" t="s">
        <v>2008</v>
      </c>
      <c r="S135" s="43" t="s">
        <v>147</v>
      </c>
      <c r="T135" s="43" t="s">
        <v>147</v>
      </c>
      <c r="U135" s="157" t="s">
        <v>147</v>
      </c>
      <c r="V135" s="43" t="s">
        <v>147</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147</v>
      </c>
      <c r="O136" s="54">
        <v>45691</v>
      </c>
      <c r="P136" s="30" t="s">
        <v>147</v>
      </c>
      <c r="Q136" s="43" t="s">
        <v>147</v>
      </c>
      <c r="R136" s="43" t="s">
        <v>2008</v>
      </c>
      <c r="S136" s="43" t="s">
        <v>147</v>
      </c>
      <c r="T136" s="43" t="s">
        <v>147</v>
      </c>
      <c r="U136" s="43" t="s">
        <v>147</v>
      </c>
      <c r="V136" s="43" t="s">
        <v>147</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147</v>
      </c>
      <c r="O137" s="30" t="s">
        <v>147</v>
      </c>
      <c r="P137" s="49" t="s">
        <v>147</v>
      </c>
      <c r="Q137" s="69" t="s">
        <v>147</v>
      </c>
      <c r="R137" s="43" t="s">
        <v>2008</v>
      </c>
      <c r="S137" s="43" t="s">
        <v>147</v>
      </c>
      <c r="T137" s="43" t="s">
        <v>147</v>
      </c>
      <c r="U137" s="157" t="s">
        <v>147</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147</v>
      </c>
      <c r="O138" s="124">
        <v>45707</v>
      </c>
      <c r="P138" s="30" t="s">
        <v>147</v>
      </c>
      <c r="Q138" s="43" t="s">
        <v>147</v>
      </c>
      <c r="R138" s="43" t="s">
        <v>2008</v>
      </c>
      <c r="S138" s="43" t="s">
        <v>147</v>
      </c>
      <c r="T138" s="43" t="s">
        <v>147</v>
      </c>
      <c r="U138" s="43" t="s">
        <v>147</v>
      </c>
      <c r="V138" s="43" t="s">
        <v>147</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147</v>
      </c>
      <c r="N139" s="30" t="s">
        <v>147</v>
      </c>
      <c r="O139" s="30" t="s">
        <v>147</v>
      </c>
      <c r="P139" s="30" t="s">
        <v>147</v>
      </c>
      <c r="Q139" s="43" t="s">
        <v>147</v>
      </c>
      <c r="R139" s="43" t="s">
        <v>2008</v>
      </c>
      <c r="S139" s="43" t="s">
        <v>147</v>
      </c>
      <c r="T139" s="43" t="s">
        <v>147</v>
      </c>
      <c r="U139" s="157" t="s">
        <v>147</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147</v>
      </c>
      <c r="O140" s="54">
        <v>45743</v>
      </c>
      <c r="P140" s="87" t="s">
        <v>147</v>
      </c>
      <c r="Q140" s="88" t="s">
        <v>147</v>
      </c>
      <c r="R140" s="43" t="s">
        <v>2008</v>
      </c>
      <c r="S140" s="43" t="s">
        <v>147</v>
      </c>
      <c r="T140" s="43" t="s">
        <v>147</v>
      </c>
      <c r="U140" s="88" t="s">
        <v>147</v>
      </c>
      <c r="V140" s="69" t="s">
        <v>147</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2008</v>
      </c>
      <c r="S141" s="43" t="s">
        <v>147</v>
      </c>
      <c r="T141" s="43" t="s">
        <v>147</v>
      </c>
      <c r="U141" s="88" t="s">
        <v>147</v>
      </c>
      <c r="V141" s="88" t="s">
        <v>147</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147</v>
      </c>
      <c r="N142" s="49" t="s">
        <v>147</v>
      </c>
      <c r="O142" s="195">
        <v>45691</v>
      </c>
      <c r="P142" s="30" t="s">
        <v>147</v>
      </c>
      <c r="Q142" s="69" t="s">
        <v>147</v>
      </c>
      <c r="R142" s="43" t="s">
        <v>2008</v>
      </c>
      <c r="S142" s="43" t="s">
        <v>147</v>
      </c>
      <c r="T142" s="43" t="s">
        <v>147</v>
      </c>
      <c r="U142" s="157" t="s">
        <v>147</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147</v>
      </c>
      <c r="N143" s="49" t="s">
        <v>147</v>
      </c>
      <c r="O143" s="195">
        <v>45675</v>
      </c>
      <c r="P143" s="30" t="s">
        <v>147</v>
      </c>
      <c r="Q143" s="69" t="s">
        <v>147</v>
      </c>
      <c r="R143" s="43" t="s">
        <v>2008</v>
      </c>
      <c r="S143" s="43" t="s">
        <v>147</v>
      </c>
      <c r="T143" s="43" t="s">
        <v>147</v>
      </c>
      <c r="U143" s="157" t="s">
        <v>147</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2020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2008</v>
      </c>
      <c r="S150" s="43" t="s">
        <v>147</v>
      </c>
      <c r="T150" s="43" t="s">
        <v>147</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2008</v>
      </c>
      <c r="S151" s="43" t="s">
        <v>147</v>
      </c>
      <c r="T151" s="43" t="s">
        <v>147</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2008</v>
      </c>
      <c r="S153" s="43" t="s">
        <v>147</v>
      </c>
      <c r="T153" s="157" t="s">
        <v>147</v>
      </c>
      <c r="U153" s="157" t="s">
        <v>147</v>
      </c>
      <c r="V153" s="43" t="s">
        <v>147</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147</v>
      </c>
      <c r="O154" s="347">
        <v>45696</v>
      </c>
      <c r="P154" s="30" t="s">
        <v>147</v>
      </c>
      <c r="Q154" s="69" t="s">
        <v>147</v>
      </c>
      <c r="R154" s="43" t="s">
        <v>2008</v>
      </c>
      <c r="S154" s="43" t="s">
        <v>147</v>
      </c>
      <c r="T154" s="157" t="s">
        <v>147</v>
      </c>
      <c r="U154" s="157" t="s">
        <v>147</v>
      </c>
      <c r="V154" s="43" t="s">
        <v>147</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147</v>
      </c>
      <c r="O155" s="54">
        <v>45699</v>
      </c>
      <c r="P155" s="49" t="s">
        <v>147</v>
      </c>
      <c r="Q155" s="69" t="s">
        <v>147</v>
      </c>
      <c r="R155" s="43" t="s">
        <v>2008</v>
      </c>
      <c r="S155" s="43" t="s">
        <v>147</v>
      </c>
      <c r="T155" s="43" t="s">
        <v>147</v>
      </c>
      <c r="U155" s="157" t="s">
        <v>147</v>
      </c>
      <c r="V155" s="43" t="s">
        <v>147</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147</v>
      </c>
      <c r="O156" s="54">
        <v>45699</v>
      </c>
      <c r="P156" s="49" t="s">
        <v>147</v>
      </c>
      <c r="Q156" s="69" t="s">
        <v>147</v>
      </c>
      <c r="R156" s="43" t="s">
        <v>2008</v>
      </c>
      <c r="S156" s="43" t="s">
        <v>147</v>
      </c>
      <c r="T156" s="43" t="s">
        <v>147</v>
      </c>
      <c r="U156" s="69" t="s">
        <v>147</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147</v>
      </c>
      <c r="O158" s="54">
        <v>45736</v>
      </c>
      <c r="P158" s="49" t="s">
        <v>147</v>
      </c>
      <c r="Q158" s="69" t="s">
        <v>147</v>
      </c>
      <c r="R158" s="43" t="s">
        <v>2008</v>
      </c>
      <c r="S158" s="43" t="s">
        <v>147</v>
      </c>
      <c r="T158" s="43" t="s">
        <v>147</v>
      </c>
      <c r="U158" s="157" t="s">
        <v>147</v>
      </c>
      <c r="V158" s="157" t="s">
        <v>147</v>
      </c>
      <c r="W158" s="356">
        <v>45817</v>
      </c>
      <c r="X158" s="69" t="s">
        <v>2011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2011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2021</v>
      </c>
      <c r="C1" s="1363"/>
      <c r="D1" s="558"/>
      <c r="E1" s="1363" t="s">
        <v>2022</v>
      </c>
      <c r="F1" s="1363"/>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v>103569</v>
      </c>
      <c r="E4" s="44" t="s">
        <v>2023</v>
      </c>
      <c r="F4" t="s">
        <v>1027</v>
      </c>
      <c r="W4" t="s">
        <v>2027</v>
      </c>
      <c r="X4">
        <v>22</v>
      </c>
    </row>
    <row r="5" spans="1:25">
      <c r="B5" t="s">
        <v>71</v>
      </c>
      <c r="C5">
        <v>28144</v>
      </c>
      <c r="E5" t="s">
        <v>1027</v>
      </c>
      <c r="F5">
        <v>159930</v>
      </c>
      <c r="K5" s="44" t="s">
        <v>2028</v>
      </c>
      <c r="P5" s="44" t="s">
        <v>2028</v>
      </c>
      <c r="W5" t="s">
        <v>2029</v>
      </c>
      <c r="X5">
        <v>13</v>
      </c>
    </row>
    <row r="6" spans="1:25">
      <c r="B6" t="s">
        <v>100</v>
      </c>
      <c r="C6">
        <v>20635</v>
      </c>
      <c r="K6" s="44" t="s">
        <v>27</v>
      </c>
      <c r="L6" s="44" t="s">
        <v>2030</v>
      </c>
      <c r="M6" t="s">
        <v>1027</v>
      </c>
      <c r="P6" s="44" t="s">
        <v>2031</v>
      </c>
      <c r="Q6" s="44" t="s">
        <v>2030</v>
      </c>
      <c r="R6" t="s">
        <v>1027</v>
      </c>
    </row>
    <row r="7" spans="1:25">
      <c r="B7" t="s">
        <v>1054</v>
      </c>
      <c r="C7">
        <v>224663</v>
      </c>
      <c r="K7" t="s">
        <v>2024</v>
      </c>
      <c r="L7" t="s">
        <v>639</v>
      </c>
      <c r="M7">
        <v>1</v>
      </c>
      <c r="P7" t="s">
        <v>2032</v>
      </c>
      <c r="R7">
        <v>1</v>
      </c>
      <c r="X7" t="s">
        <v>2033</v>
      </c>
      <c r="Y7" t="s">
        <v>2034</v>
      </c>
    </row>
    <row r="8" spans="1:25">
      <c r="B8" t="s">
        <v>51</v>
      </c>
      <c r="C8">
        <v>446</v>
      </c>
      <c r="L8" t="s">
        <v>641</v>
      </c>
      <c r="M8">
        <v>1</v>
      </c>
      <c r="P8" t="s">
        <v>2035</v>
      </c>
      <c r="R8">
        <v>1</v>
      </c>
      <c r="V8" t="s">
        <v>2036</v>
      </c>
      <c r="W8" s="257">
        <v>203521</v>
      </c>
      <c r="X8" s="313">
        <f>X5/X4</f>
        <v>0.59090909090909094</v>
      </c>
      <c r="Y8" s="313">
        <f>W9/W8</f>
        <v>0.31446386367991508</v>
      </c>
    </row>
    <row r="9" spans="1:25">
      <c r="B9" t="s">
        <v>22</v>
      </c>
      <c r="C9">
        <v>0</v>
      </c>
      <c r="L9" t="s">
        <v>2037</v>
      </c>
      <c r="M9">
        <v>1</v>
      </c>
      <c r="P9" t="s">
        <v>2038</v>
      </c>
      <c r="Q9" t="s">
        <v>2037</v>
      </c>
      <c r="R9">
        <v>1</v>
      </c>
      <c r="V9" t="s">
        <v>2039</v>
      </c>
      <c r="W9">
        <v>64000</v>
      </c>
    </row>
    <row r="10" spans="1:25">
      <c r="B10" t="s">
        <v>251</v>
      </c>
      <c r="C10">
        <v>7128</v>
      </c>
      <c r="L10" t="s">
        <v>797</v>
      </c>
      <c r="M10">
        <v>1</v>
      </c>
      <c r="Q10" t="s">
        <v>801</v>
      </c>
      <c r="R10">
        <v>1</v>
      </c>
    </row>
    <row r="11" spans="1:25">
      <c r="B11" t="s">
        <v>261</v>
      </c>
      <c r="C11">
        <v>23241</v>
      </c>
      <c r="L11" t="s">
        <v>801</v>
      </c>
      <c r="M11">
        <v>1</v>
      </c>
      <c r="Q11" t="s">
        <v>804</v>
      </c>
      <c r="R11">
        <v>1</v>
      </c>
    </row>
    <row r="12" spans="1:25">
      <c r="B12" t="s">
        <v>228</v>
      </c>
      <c r="C12">
        <v>103</v>
      </c>
      <c r="L12" t="s">
        <v>804</v>
      </c>
      <c r="M12">
        <v>1</v>
      </c>
      <c r="Q12" t="s">
        <v>2040</v>
      </c>
      <c r="R12">
        <v>1</v>
      </c>
    </row>
    <row r="13" spans="1:25">
      <c r="B13" t="s">
        <v>232</v>
      </c>
      <c r="C13">
        <v>10187</v>
      </c>
      <c r="L13" t="s">
        <v>2041</v>
      </c>
      <c r="M13">
        <v>1</v>
      </c>
      <c r="Q13" t="s">
        <v>976</v>
      </c>
      <c r="R13">
        <v>1</v>
      </c>
    </row>
    <row r="14" spans="1:25">
      <c r="B14" t="s">
        <v>141</v>
      </c>
      <c r="C14">
        <v>7582</v>
      </c>
      <c r="L14" t="s">
        <v>818</v>
      </c>
      <c r="M14">
        <v>1</v>
      </c>
      <c r="P14" t="s">
        <v>2042</v>
      </c>
      <c r="R14">
        <v>5</v>
      </c>
    </row>
    <row r="15" spans="1:25">
      <c r="B15" t="s">
        <v>200</v>
      </c>
      <c r="C15">
        <v>3</v>
      </c>
      <c r="L15" t="s">
        <v>2040</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110</v>
      </c>
      <c r="C20">
        <v>7995</v>
      </c>
      <c r="L20" t="s">
        <v>834</v>
      </c>
      <c r="M20">
        <v>1</v>
      </c>
    </row>
    <row r="21" spans="2:13">
      <c r="B21" t="s">
        <v>303</v>
      </c>
      <c r="C21">
        <v>8622</v>
      </c>
      <c r="L21" t="s">
        <v>2043</v>
      </c>
      <c r="M21">
        <v>1</v>
      </c>
    </row>
    <row r="22" spans="2:13">
      <c r="B22" t="s">
        <v>248</v>
      </c>
      <c r="C22">
        <v>0</v>
      </c>
      <c r="L22" t="s">
        <v>976</v>
      </c>
      <c r="M22">
        <v>1</v>
      </c>
    </row>
    <row r="23" spans="2:13">
      <c r="B23" t="s">
        <v>1024</v>
      </c>
      <c r="C23">
        <v>456961</v>
      </c>
      <c r="L23" t="s">
        <v>866</v>
      </c>
      <c r="M23">
        <v>1</v>
      </c>
    </row>
    <row r="24" spans="2:13">
      <c r="L24" t="s">
        <v>887</v>
      </c>
      <c r="M24">
        <v>1</v>
      </c>
    </row>
    <row r="25" spans="2:13">
      <c r="L25" t="s">
        <v>194</v>
      </c>
      <c r="M25">
        <v>1</v>
      </c>
    </row>
    <row r="26" spans="2:13">
      <c r="K26" t="s">
        <v>2044</v>
      </c>
      <c r="M26">
        <v>19</v>
      </c>
    </row>
    <row r="27" spans="2:13">
      <c r="K27" t="s">
        <v>2045</v>
      </c>
      <c r="L27" t="s">
        <v>812</v>
      </c>
      <c r="M27">
        <v>1</v>
      </c>
    </row>
    <row r="28" spans="2:13">
      <c r="L28" t="s">
        <v>814</v>
      </c>
      <c r="M28">
        <v>1</v>
      </c>
    </row>
    <row r="29" spans="2:13">
      <c r="L29" t="s">
        <v>816</v>
      </c>
      <c r="M29">
        <v>1</v>
      </c>
    </row>
    <row r="30" spans="2:13">
      <c r="L30" t="s">
        <v>832</v>
      </c>
      <c r="M30">
        <v>1</v>
      </c>
    </row>
    <row r="31" spans="2:13">
      <c r="L31" t="s">
        <v>836</v>
      </c>
      <c r="M31">
        <v>1</v>
      </c>
    </row>
    <row r="32" spans="2:13">
      <c r="L32" t="s">
        <v>2046</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2047</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2048</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77</v>
      </c>
      <c r="B4" s="102" t="s">
        <v>50</v>
      </c>
      <c r="C4" s="77">
        <v>45807</v>
      </c>
      <c r="D4" s="268"/>
      <c r="E4" s="269" t="s">
        <v>2061</v>
      </c>
      <c r="F4" s="268"/>
      <c r="G4" s="270" t="s">
        <v>2024</v>
      </c>
      <c r="H4" s="268"/>
      <c r="I4" s="268"/>
      <c r="J4" s="271"/>
      <c r="K4" s="205"/>
      <c r="L4" s="205"/>
      <c r="M4" s="205"/>
      <c r="N4" s="272"/>
      <c r="O4" s="273"/>
      <c r="P4" s="274" t="s">
        <v>2062</v>
      </c>
      <c r="Q4" s="275" t="s">
        <v>84</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84</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84</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84</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84</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84</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84</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84</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84</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84</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84</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84</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81</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194</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951326-E76D-4C7A-96A3-5565DB2DD3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2025-12-17T20:22:10Z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