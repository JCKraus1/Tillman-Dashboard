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07" documentId="8_{E14B221E-02E2-46A3-8CEC-C736815F2DD5}" xr6:coauthVersionLast="47" xr6:coauthVersionMax="47" xr10:uidLastSave="{E4D36D66-C67B-4202-828F-7F4C733F19A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8148" r:id="rId12"/>
    <pivotCache cacheId="8152" r:id="rId13"/>
    <pivotCache cacheId="8157" r:id="rId14"/>
    <pivotCache cacheId="8164" r:id="rId15"/>
    <pivotCache cacheId="8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<sst xmlns="http://schemas.openxmlformats.org/spreadsheetml/2006/main" count="14499" uniqueCount="1784">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</sst>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342595"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m/>
    <m/>
    <m/>
  </r>
  <r>
    <x v="261"/>
    <x v="36"/>
    <x v="199"/>
    <n v="907"/>
    <m/>
    <s v="1 HH"/>
  </r>
  <r>
    <x v="265"/>
    <x v="5"/>
    <x v="199"/>
    <n v="762"/>
    <m/>
    <m/>
  </r>
  <r>
    <x v="245"/>
    <x v="5"/>
    <x v="199"/>
    <m/>
    <m/>
    <m/>
  </r>
  <r>
    <x v="253"/>
    <x v="5"/>
    <x v="199"/>
    <n v="956"/>
    <m/>
    <s v="14 Toby Boxes / 9 Daps"/>
  </r>
  <r>
    <x v="174"/>
    <x v="1"/>
    <x v="199"/>
    <n v="176"/>
    <m/>
    <m/>
  </r>
  <r>
    <x v="174"/>
    <x v="1"/>
    <x v="199"/>
    <m/>
    <m/>
    <m/>
  </r>
  <r>
    <x v="174"/>
    <x v="27"/>
    <x v="199"/>
    <m/>
    <m/>
    <m/>
  </r>
  <r>
    <x v="238"/>
    <x v="57"/>
    <x v="199"/>
    <n v="420"/>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m/>
    <m/>
    <m/>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m/>
    <m/>
    <m/>
    <x v="10"/>
  </r>
  <r>
    <s v="FB-HLR201"/>
    <x v="27"/>
    <d v="2025-11-17T00:00:00"/>
    <m/>
    <m/>
    <m/>
    <x v="10"/>
  </r>
  <r>
    <s v="D-HLR204"/>
    <x v="57"/>
    <d v="2025-11-17T00:00:00"/>
    <n v="420"/>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7" zoomScale="80" zoomScaleNormal="80" workbookViewId="0">
      <pane xSplit="1" topLeftCell="B25"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9">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9">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65">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9">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v>176</v>
      </c>
      <c r="C968" s="1158">
        <v>176</v>
      </c>
    </row>
    <row r="969" spans="1:7">
      <c r="A969" t="s">
        <v>395</v>
      </c>
      <c r="B969" s="1158">
        <v>127</v>
      </c>
      <c r="C969" s="1158">
        <v>127</v>
      </c>
    </row>
    <row r="970" spans="1:7">
      <c r="A970" t="s">
        <v>238</v>
      </c>
      <c r="B970" s="1158">
        <v>420</v>
      </c>
      <c r="C970" s="1158">
        <v>420</v>
      </c>
    </row>
    <row r="971" spans="1:7">
      <c r="A971" t="s">
        <v>398</v>
      </c>
      <c r="B971" s="1158"/>
      <c r="C971" s="1158"/>
    </row>
    <row r="972" spans="1:7">
      <c r="A972" t="s">
        <v>242</v>
      </c>
      <c r="B972" s="1158"/>
      <c r="C972" s="1158"/>
    </row>
    <row r="973" spans="1:7">
      <c r="A973" t="s">
        <v>139</v>
      </c>
      <c r="B973" s="1158">
        <v>956</v>
      </c>
      <c r="C973" s="1158">
        <v>956</v>
      </c>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v>1505</v>
      </c>
      <c r="C979" s="1158">
        <v>1505</v>
      </c>
    </row>
    <row r="980" spans="1:3">
      <c r="A980" t="s">
        <v>157</v>
      </c>
      <c r="B980" s="1158"/>
      <c r="C980" s="1158"/>
    </row>
    <row r="981" spans="1:3">
      <c r="A981" t="s">
        <v>153</v>
      </c>
      <c r="B981" s="1158">
        <v>762</v>
      </c>
      <c r="C981" s="1158">
        <v>762</v>
      </c>
    </row>
    <row r="982" spans="1:3">
      <c r="A982" t="s">
        <v>875</v>
      </c>
      <c r="B982" s="1158">
        <v>4853</v>
      </c>
      <c r="C982" s="1158">
        <v>4853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tabSelected="1" workbookViewId="0">
      <pane ySplit="1" topLeftCell="A2036" activePane="bottomLeft" state="frozen"/>
      <selection pane="bottomLeft" activeCell="D2059" sqref="D205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142" t="s">
        <v>398</v>
      </c>
      <c r="B2048" s="308" t="s">
        <v>140</v>
      </c>
      <c r="C2048" s="56">
        <v>45978</v>
      </c>
      <c r="G2048" t="s">
        <v>1608</v>
      </c>
    </row>
    <row r="2049" spans="1:7">
      <c r="A2049" s="308" t="s">
        <v>139</v>
      </c>
      <c r="B2049" s="308" t="s">
        <v>140</v>
      </c>
      <c r="C2049" s="56">
        <v>45978</v>
      </c>
      <c r="D2049" s="43">
        <v>956</v>
      </c>
      <c r="F2049" s="43" t="s">
        <v>1647</v>
      </c>
      <c r="G2049" t="s">
        <v>1608</v>
      </c>
    </row>
    <row r="2050" spans="1:7">
      <c r="A2050" s="310" t="s">
        <v>274</v>
      </c>
      <c r="B2050" s="322" t="s">
        <v>884</v>
      </c>
      <c r="C2050" s="56">
        <v>45978</v>
      </c>
      <c r="D2050" s="43">
        <v>176</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D2053" s="43">
        <v>420</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1687</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1726</v>
      </c>
      <c r="C1" s="1154"/>
      <c r="D1" s="576"/>
      <c r="E1" s="1154" t="s">
        <v>1727</v>
      </c>
      <c r="F1" s="1154"/>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s="1158">
        <v>223696</v>
      </c>
      <c r="E4" s="44" t="s">
        <v>1728</v>
      </c>
      <c r="F4" t="s">
        <v>878</v>
      </c>
      <c r="W4" t="s">
        <v>1732</v>
      </c>
      <c r="X4">
        <v>22</v>
      </c>
    </row>
    <row r="5" spans="1:25">
      <c r="B5" t="s">
        <v>60</v>
      </c>
      <c r="C5" s="1158">
        <v>53770</v>
      </c>
      <c r="E5" t="s">
        <v>878</v>
      </c>
      <c r="F5" s="1158">
        <v>307508</v>
      </c>
      <c r="K5" s="44" t="s">
        <v>1733</v>
      </c>
      <c r="P5" s="44" t="s">
        <v>1733</v>
      </c>
      <c r="W5" t="s">
        <v>1734</v>
      </c>
      <c r="X5">
        <v>13</v>
      </c>
    </row>
    <row r="6" spans="1:25">
      <c r="B6" t="s">
        <v>101</v>
      </c>
      <c r="C6" s="1158">
        <v>22387</v>
      </c>
      <c r="K6" s="44" t="s">
        <v>27</v>
      </c>
      <c r="L6" s="44" t="s">
        <v>1735</v>
      </c>
      <c r="M6" t="s">
        <v>878</v>
      </c>
      <c r="P6" s="44" t="s">
        <v>1736</v>
      </c>
      <c r="Q6" s="44" t="s">
        <v>1735</v>
      </c>
      <c r="R6" t="s">
        <v>878</v>
      </c>
    </row>
    <row r="7" spans="1:25">
      <c r="B7" t="s">
        <v>904</v>
      </c>
      <c r="C7" s="1158">
        <v>232938</v>
      </c>
      <c r="K7" t="s">
        <v>1729</v>
      </c>
      <c r="L7" t="s">
        <v>509</v>
      </c>
      <c r="M7" s="1158">
        <v>1</v>
      </c>
      <c r="P7" t="s">
        <v>1737</v>
      </c>
      <c r="R7" s="1158">
        <v>1</v>
      </c>
      <c r="X7" t="s">
        <v>1738</v>
      </c>
      <c r="Y7" t="s">
        <v>1739</v>
      </c>
    </row>
    <row r="8" spans="1:25">
      <c r="B8" t="s">
        <v>51</v>
      </c>
      <c r="C8" s="1158">
        <v>0</v>
      </c>
      <c r="L8" t="s">
        <v>511</v>
      </c>
      <c r="M8" s="1158">
        <v>1</v>
      </c>
      <c r="P8" t="s">
        <v>1740</v>
      </c>
      <c r="R8" s="1158">
        <v>1</v>
      </c>
      <c r="V8" t="s">
        <v>1741</v>
      </c>
      <c r="W8" s="261">
        <v>203521</v>
      </c>
      <c r="X8" s="317">
        <f>X5/X4</f>
        <v>0.59090909090909094</v>
      </c>
      <c r="Y8" s="317">
        <f>W9/W8</f>
        <v>0.31446386367991508</v>
      </c>
    </row>
    <row r="9" spans="1:25">
      <c r="B9" t="s">
        <v>22</v>
      </c>
      <c r="C9" s="1158">
        <v>0</v>
      </c>
      <c r="L9" t="s">
        <v>1742</v>
      </c>
      <c r="M9" s="1158">
        <v>1</v>
      </c>
      <c r="P9" t="s">
        <v>1743</v>
      </c>
      <c r="Q9" t="s">
        <v>1742</v>
      </c>
      <c r="R9" s="1158">
        <v>1</v>
      </c>
      <c r="V9" t="s">
        <v>1744</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1745</v>
      </c>
      <c r="R12" s="1158">
        <v>1</v>
      </c>
    </row>
    <row r="13" spans="1:25">
      <c r="B13" t="s">
        <v>212</v>
      </c>
      <c r="C13" s="1158">
        <v>16290</v>
      </c>
      <c r="L13" t="s">
        <v>1746</v>
      </c>
      <c r="M13" s="1158">
        <v>1</v>
      </c>
      <c r="Q13" t="s">
        <v>828</v>
      </c>
      <c r="R13" s="1158">
        <v>1</v>
      </c>
    </row>
    <row r="14" spans="1:25">
      <c r="B14" t="s">
        <v>239</v>
      </c>
      <c r="C14" s="1158">
        <v>11123</v>
      </c>
      <c r="L14" t="s">
        <v>628</v>
      </c>
      <c r="M14" s="1158">
        <v>1</v>
      </c>
      <c r="P14" t="s">
        <v>1747</v>
      </c>
      <c r="R14" s="1158">
        <v>5</v>
      </c>
    </row>
    <row r="15" spans="1:25">
      <c r="B15" t="s">
        <v>215</v>
      </c>
      <c r="C15" s="1158">
        <v>5576</v>
      </c>
      <c r="L15" t="s">
        <v>1745</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622757</v>
      </c>
      <c r="L18" t="s">
        <v>636</v>
      </c>
      <c r="M18" s="1158">
        <v>1</v>
      </c>
    </row>
    <row r="19" spans="2:13">
      <c r="L19" t="s">
        <v>640</v>
      </c>
      <c r="M19" s="1158">
        <v>1</v>
      </c>
    </row>
    <row r="20" spans="2:13">
      <c r="L20" t="s">
        <v>701</v>
      </c>
      <c r="M20" s="1158">
        <v>1</v>
      </c>
    </row>
    <row r="21" spans="2:13">
      <c r="L21" t="s">
        <v>1748</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1749</v>
      </c>
      <c r="M26" s="1158">
        <v>19</v>
      </c>
    </row>
    <row r="27" spans="2:13">
      <c r="K27" t="s">
        <v>1750</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1751</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1752</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1753</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114</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114</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114</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114</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114</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114</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124</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114</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114</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114</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C00C284-AFB3-4A7E-95A2-E93DC5B2E98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2025-11-17T23:11:05Z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