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40" documentId="120_S{26355A1A-C9FF-5539-9B49-32C1F08D0326}" xr6:coauthVersionLast="47" xr6:coauthVersionMax="47" xr10:uidLastSave="{A0AFFF6C-1B8E-4129-BF77-B2867BF89A4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722" r:id="rId10"/>
    <pivotCache cacheId="723" r:id="rId11"/>
    <pivotCache cacheId="724" r:id="rId12"/>
    <pivotCache cacheId="725" r:id="rId13"/>
    <pivotCache cacheId="7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<sst xmlns="http://schemas.openxmlformats.org/spreadsheetml/2006/main" count="17965" uniqueCount="2254">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</sst>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D8" activePane="topRight" state="frozen"/>
      <selection pane="topRight" activeCell="F14" sqref="F14"/>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v>46069</v>
      </c>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4"/>
      <c r="L28" s="1009"/>
      <c r="M28" s="904" t="s">
        <v>56</v>
      </c>
      <c r="N28" s="1355">
        <v>223.8</v>
      </c>
      <c r="O28" s="904" t="s">
        <v>56</v>
      </c>
      <c r="P28" s="906" t="s">
        <v>76</v>
      </c>
      <c r="Q28" s="1356"/>
      <c r="R28" s="1356"/>
      <c r="S28" s="1356"/>
      <c r="T28" s="1356"/>
      <c r="U28" s="1356"/>
      <c r="V28" s="818">
        <v>0</v>
      </c>
      <c r="W28" s="1304"/>
      <c r="X28" s="1357">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4"/>
      <c r="L32" s="1009"/>
      <c r="M32" s="904" t="s">
        <v>56</v>
      </c>
      <c r="N32" s="1355">
        <v>12404.9</v>
      </c>
      <c r="O32" s="668" t="s">
        <v>56</v>
      </c>
      <c r="P32" s="928" t="s">
        <v>76</v>
      </c>
      <c r="Q32" s="1356"/>
      <c r="R32" s="1356"/>
      <c r="S32" s="1356"/>
      <c r="T32" s="1356"/>
      <c r="U32" s="1356"/>
      <c r="V32" s="1357">
        <v>1111</v>
      </c>
      <c r="W32" s="1357"/>
      <c r="X32" s="1357">
        <f>SUM(V32-W32)</f>
        <v>1111</v>
      </c>
      <c r="Y32" s="696">
        <f>IFERROR($W32/$V32, 0)</f>
        <v>0</v>
      </c>
      <c r="Z32" s="1358"/>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4" t="s">
        <v>74</v>
      </c>
      <c r="L33" s="1009"/>
      <c r="M33" s="980" t="s">
        <v>75</v>
      </c>
      <c r="N33" s="1163"/>
      <c r="O33" s="980" t="s">
        <v>75</v>
      </c>
      <c r="P33" s="970" t="s">
        <v>76</v>
      </c>
      <c r="Q33" s="1356"/>
      <c r="R33" s="1356"/>
      <c r="S33" s="1356"/>
      <c r="T33" s="1356"/>
      <c r="U33" s="1356"/>
      <c r="V33" s="1357">
        <v>311</v>
      </c>
      <c r="W33" s="1357"/>
      <c r="X33" s="1357">
        <f>SUM(V33-W33)</f>
        <v>311</v>
      </c>
      <c r="Y33" s="696">
        <f>IFERROR($W33/$V33, 0)</f>
        <v>0</v>
      </c>
      <c r="Z33" s="1358"/>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59">
        <v>0</v>
      </c>
      <c r="I48" s="668" t="s">
        <v>54</v>
      </c>
      <c r="J48" s="671" t="s">
        <v>55</v>
      </c>
      <c r="K48" s="1354"/>
      <c r="L48" s="1011"/>
      <c r="M48" s="668" t="s">
        <v>56</v>
      </c>
      <c r="N48" s="1360">
        <v>36998.550000000003</v>
      </c>
      <c r="O48" s="668" t="s">
        <v>56</v>
      </c>
      <c r="P48" s="928" t="s">
        <v>76</v>
      </c>
      <c r="Q48" s="1361"/>
      <c r="R48" s="1361"/>
      <c r="S48" s="1361"/>
      <c r="T48" s="1361"/>
      <c r="U48" s="1361"/>
      <c r="V48" s="1362">
        <v>2944</v>
      </c>
      <c r="W48" s="1357"/>
      <c r="X48" s="1357">
        <f>SUM(V48-W48)</f>
        <v>2944</v>
      </c>
      <c r="Y48" s="527">
        <f>IFERROR($W48/$V48, 0)</f>
        <v>0</v>
      </c>
      <c r="Z48" s="1363"/>
      <c r="AA48" s="910">
        <v>0</v>
      </c>
      <c r="AB48" s="910">
        <v>0</v>
      </c>
      <c r="AC48" s="512">
        <v>0</v>
      </c>
      <c r="AD48" s="911"/>
      <c r="AE48" s="958"/>
    </row>
    <row r="49" spans="1:31" ht="24.75" customHeight="1">
      <c r="A49" s="1008" t="s">
        <v>188</v>
      </c>
      <c r="B49" s="670" t="s">
        <v>146</v>
      </c>
      <c r="C49" s="1009">
        <v>46079</v>
      </c>
      <c r="D49" s="1011"/>
      <c r="E49" s="1011"/>
      <c r="F49" s="1010"/>
      <c r="G49" s="913"/>
      <c r="H49" s="1359">
        <v>0</v>
      </c>
      <c r="I49" s="668" t="s">
        <v>54</v>
      </c>
      <c r="J49" s="671" t="s">
        <v>55</v>
      </c>
      <c r="K49" s="1354"/>
      <c r="L49" s="1011"/>
      <c r="M49" s="668" t="s">
        <v>56</v>
      </c>
      <c r="N49" s="1360">
        <v>49932.800000000003</v>
      </c>
      <c r="O49" s="668" t="s">
        <v>56</v>
      </c>
      <c r="P49" s="928" t="s">
        <v>76</v>
      </c>
      <c r="Q49" s="1361"/>
      <c r="R49" s="1361"/>
      <c r="S49" s="1361"/>
      <c r="T49" s="1361"/>
      <c r="U49" s="1361"/>
      <c r="V49" s="1362">
        <v>4048</v>
      </c>
      <c r="W49" s="1357"/>
      <c r="X49" s="1357">
        <f>SUM(V49-W49)</f>
        <v>4048</v>
      </c>
      <c r="Y49" s="527">
        <f>IFERROR($W49/$V49, 0)</f>
        <v>0</v>
      </c>
      <c r="Z49" s="1363"/>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4"/>
      <c r="L55" s="1011"/>
      <c r="M55" s="915" t="s">
        <v>56</v>
      </c>
      <c r="N55" s="1360">
        <v>118710.8</v>
      </c>
      <c r="O55" s="915" t="s">
        <v>56</v>
      </c>
      <c r="P55" s="906" t="s">
        <v>57</v>
      </c>
      <c r="Q55" s="1361"/>
      <c r="R55" s="1361"/>
      <c r="S55" s="1361"/>
      <c r="T55" s="1361"/>
      <c r="U55" s="1361"/>
      <c r="V55" s="1362">
        <v>9628</v>
      </c>
      <c r="W55" s="1357">
        <v>2042</v>
      </c>
      <c r="X55" s="1357">
        <f>SUM(V55-W55)</f>
        <v>7586</v>
      </c>
      <c r="Y55" s="527">
        <f>IFERROR($W55/$V55, 0)</f>
        <v>0.21208973826339841</v>
      </c>
      <c r="Z55" s="1361">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59">
        <v>0</v>
      </c>
      <c r="I58" s="668" t="s">
        <v>54</v>
      </c>
      <c r="J58" s="915" t="s">
        <v>55</v>
      </c>
      <c r="K58" s="1354"/>
      <c r="L58" s="1011"/>
      <c r="M58" s="915" t="s">
        <v>56</v>
      </c>
      <c r="N58" s="1360">
        <v>15002.75</v>
      </c>
      <c r="O58" s="915" t="s">
        <v>56</v>
      </c>
      <c r="P58" s="928" t="s">
        <v>76</v>
      </c>
      <c r="Q58" s="1361"/>
      <c r="R58" s="1361"/>
      <c r="S58" s="1361"/>
      <c r="T58" s="1361"/>
      <c r="U58" s="1361"/>
      <c r="V58" s="1362">
        <v>1175</v>
      </c>
      <c r="W58" s="1357"/>
      <c r="X58" s="1357">
        <f>SUM(V58-W58)</f>
        <v>1175</v>
      </c>
      <c r="Y58" s="527">
        <f>IFERROR($W58/$V58, 0)</f>
        <v>0</v>
      </c>
      <c r="Z58" s="1363"/>
      <c r="AA58" s="910">
        <v>0</v>
      </c>
      <c r="AB58" s="910">
        <v>0</v>
      </c>
      <c r="AC58" s="919">
        <v>0</v>
      </c>
      <c r="AD58" s="911"/>
      <c r="AE58" s="958"/>
    </row>
    <row r="59" spans="1:31" ht="24.75" customHeight="1">
      <c r="A59" s="901" t="s">
        <v>212</v>
      </c>
      <c r="B59" s="670" t="s">
        <v>146</v>
      </c>
      <c r="C59" s="902">
        <v>46103</v>
      </c>
      <c r="D59" s="1010"/>
      <c r="E59" s="1011"/>
      <c r="F59" s="1010"/>
      <c r="G59" s="914"/>
      <c r="H59" s="1359">
        <v>0</v>
      </c>
      <c r="I59" s="668" t="s">
        <v>54</v>
      </c>
      <c r="J59" s="915" t="s">
        <v>55</v>
      </c>
      <c r="K59" s="1354"/>
      <c r="L59" s="1011"/>
      <c r="M59" s="915" t="s">
        <v>56</v>
      </c>
      <c r="N59" s="1360">
        <v>12977.65</v>
      </c>
      <c r="O59" s="915" t="s">
        <v>56</v>
      </c>
      <c r="P59" s="928" t="s">
        <v>76</v>
      </c>
      <c r="Q59" s="1361"/>
      <c r="R59" s="1361"/>
      <c r="S59" s="1361"/>
      <c r="T59" s="1361"/>
      <c r="U59" s="1361"/>
      <c r="V59" s="1362">
        <v>1029</v>
      </c>
      <c r="W59" s="1357"/>
      <c r="X59" s="1357">
        <f>SUM(V59-W59)</f>
        <v>1029</v>
      </c>
      <c r="Y59" s="527">
        <f>IFERROR($W59/$V59, 0)</f>
        <v>0</v>
      </c>
      <c r="Z59" s="1363"/>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59">
        <v>107</v>
      </c>
      <c r="I62" s="668" t="s">
        <v>54</v>
      </c>
      <c r="J62" s="976" t="s">
        <v>69</v>
      </c>
      <c r="K62" s="1354" t="s">
        <v>74</v>
      </c>
      <c r="L62" s="1011"/>
      <c r="M62" s="980" t="s">
        <v>75</v>
      </c>
      <c r="N62" s="1163"/>
      <c r="O62" s="980" t="s">
        <v>75</v>
      </c>
      <c r="P62" s="970" t="s">
        <v>76</v>
      </c>
      <c r="Q62" s="1361"/>
      <c r="R62" s="1361"/>
      <c r="S62" s="1361"/>
      <c r="T62" s="1361"/>
      <c r="U62" s="1361"/>
      <c r="V62" s="1362">
        <v>9568</v>
      </c>
      <c r="W62" s="1357"/>
      <c r="X62" s="1357">
        <f>SUM(V62-W62)</f>
        <v>9568</v>
      </c>
      <c r="Y62" s="527">
        <f>IFERROR($W62/$V62, 0)</f>
        <v>0</v>
      </c>
      <c r="Z62" s="1363"/>
      <c r="AA62" s="910">
        <v>0</v>
      </c>
      <c r="AB62" s="910">
        <v>0</v>
      </c>
      <c r="AC62" s="919">
        <v>0</v>
      </c>
      <c r="AD62" s="911" t="s">
        <v>218</v>
      </c>
      <c r="AE62" s="958"/>
    </row>
    <row r="63" spans="1:31" ht="24.75" customHeight="1">
      <c r="A63" s="1008" t="s">
        <v>219</v>
      </c>
      <c r="B63" s="670" t="s">
        <v>146</v>
      </c>
      <c r="C63" s="1009">
        <v>46174</v>
      </c>
      <c r="D63" s="1010"/>
      <c r="E63" s="1011"/>
      <c r="F63" s="1010"/>
      <c r="G63" s="914"/>
      <c r="H63" s="1359">
        <v>115</v>
      </c>
      <c r="I63" s="668" t="s">
        <v>54</v>
      </c>
      <c r="J63" s="976" t="s">
        <v>69</v>
      </c>
      <c r="K63" s="1354" t="s">
        <v>74</v>
      </c>
      <c r="L63" s="1011"/>
      <c r="M63" s="915" t="s">
        <v>56</v>
      </c>
      <c r="N63" s="1163">
        <v>125188</v>
      </c>
      <c r="O63" s="915" t="s">
        <v>56</v>
      </c>
      <c r="P63" s="928" t="s">
        <v>76</v>
      </c>
      <c r="Q63" s="1361"/>
      <c r="R63" s="1361"/>
      <c r="S63" s="1361"/>
      <c r="T63" s="1361"/>
      <c r="U63" s="1361"/>
      <c r="V63" s="1362">
        <v>11028</v>
      </c>
      <c r="W63" s="1357"/>
      <c r="X63" s="1357">
        <f>SUM(V63-W63)</f>
        <v>11028</v>
      </c>
      <c r="Y63" s="527">
        <f>IFERROR($W63/$V63, 0)</f>
        <v>0</v>
      </c>
      <c r="Z63" s="1363"/>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48">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4">
        <v>0</v>
      </c>
      <c r="I67" s="525" t="s">
        <v>54</v>
      </c>
      <c r="J67" s="980" t="s">
        <v>104</v>
      </c>
      <c r="K67" s="1365" t="s">
        <v>74</v>
      </c>
      <c r="L67" s="1161"/>
      <c r="M67" s="980" t="s">
        <v>75</v>
      </c>
      <c r="N67" s="1163"/>
      <c r="O67" s="980" t="s">
        <v>75</v>
      </c>
      <c r="P67" s="970" t="s">
        <v>76</v>
      </c>
      <c r="Q67" s="1361"/>
      <c r="R67" s="1361"/>
      <c r="S67" s="1361"/>
      <c r="T67" s="1361"/>
      <c r="U67" s="1361"/>
      <c r="V67" s="1366">
        <v>6202</v>
      </c>
      <c r="W67" s="1367"/>
      <c r="X67" s="1367">
        <f>SUM(V67-W67)</f>
        <v>6202</v>
      </c>
      <c r="Y67" s="522">
        <f>IFERROR($W67/$V67, 0)</f>
        <v>0</v>
      </c>
      <c r="Z67" s="1368"/>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69"/>
      <c r="R75" s="1027"/>
      <c r="S75" s="1027"/>
      <c r="T75" s="1027"/>
      <c r="U75" s="1027"/>
      <c r="V75" s="991">
        <v>4564</v>
      </c>
      <c r="W75" s="952"/>
      <c r="X75" s="991">
        <v>4564</v>
      </c>
      <c r="Y75" s="881"/>
      <c r="Z75" s="1370"/>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69"/>
      <c r="R76" s="1027"/>
      <c r="S76" s="1027"/>
      <c r="T76" s="1027"/>
      <c r="U76" s="1027"/>
      <c r="V76" s="991">
        <v>5936</v>
      </c>
      <c r="W76" s="952"/>
      <c r="X76" s="991">
        <v>5936</v>
      </c>
      <c r="Y76" s="881"/>
      <c r="Z76" s="1370"/>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69"/>
      <c r="R77" s="1027"/>
      <c r="S77" s="1027"/>
      <c r="T77" s="1027"/>
      <c r="U77" s="1027"/>
      <c r="V77" s="991">
        <v>7117</v>
      </c>
      <c r="W77" s="952"/>
      <c r="X77" s="991">
        <v>7117</v>
      </c>
      <c r="Y77" s="881"/>
      <c r="Z77" s="1370"/>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69"/>
      <c r="R78" s="1027"/>
      <c r="S78" s="1027"/>
      <c r="T78" s="1027"/>
      <c r="U78" s="1027"/>
      <c r="V78" s="991">
        <v>9590</v>
      </c>
      <c r="W78" s="952"/>
      <c r="X78" s="991">
        <v>9590</v>
      </c>
      <c r="Y78" s="881"/>
      <c r="Z78" s="1370"/>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69"/>
      <c r="R79" s="1027"/>
      <c r="S79" s="1027"/>
      <c r="T79" s="1027"/>
      <c r="U79" s="1027"/>
      <c r="V79" s="991">
        <v>9329</v>
      </c>
      <c r="W79" s="952"/>
      <c r="X79" s="991">
        <v>9329</v>
      </c>
      <c r="Y79" s="881"/>
      <c r="Z79" s="1370"/>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69"/>
      <c r="R80" s="1027"/>
      <c r="S80" s="1027"/>
      <c r="T80" s="1027"/>
      <c r="U80" s="1027"/>
      <c r="V80" s="991">
        <v>9709</v>
      </c>
      <c r="W80" s="952"/>
      <c r="X80" s="991">
        <v>9709</v>
      </c>
      <c r="Y80" s="881"/>
      <c r="Z80" s="1370"/>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69"/>
      <c r="R81" s="1027"/>
      <c r="S81" s="1027"/>
      <c r="T81" s="1027"/>
      <c r="U81" s="1027"/>
      <c r="V81" s="991">
        <v>9263</v>
      </c>
      <c r="W81" s="952"/>
      <c r="X81" s="991">
        <v>9263</v>
      </c>
      <c r="Y81" s="881"/>
      <c r="Z81" s="1370"/>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69"/>
      <c r="R82" s="1027"/>
      <c r="S82" s="1027"/>
      <c r="T82" s="1027"/>
      <c r="U82" s="1027"/>
      <c r="V82" s="991">
        <v>10385</v>
      </c>
      <c r="W82" s="952"/>
      <c r="X82" s="991">
        <v>10385</v>
      </c>
      <c r="Y82" s="881"/>
      <c r="Z82" s="1370"/>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69"/>
      <c r="R83" s="1027"/>
      <c r="S83" s="1027"/>
      <c r="T83" s="1027"/>
      <c r="U83" s="1027"/>
      <c r="V83" s="991">
        <v>9398</v>
      </c>
      <c r="W83" s="952"/>
      <c r="X83" s="991">
        <v>9398</v>
      </c>
      <c r="Y83" s="881"/>
      <c r="Z83" s="1370"/>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69"/>
      <c r="R84" s="1027"/>
      <c r="S84" s="1027"/>
      <c r="T84" s="1027"/>
      <c r="U84" s="1027"/>
      <c r="V84" s="991">
        <v>7517</v>
      </c>
      <c r="W84" s="952"/>
      <c r="X84" s="991">
        <v>7517</v>
      </c>
      <c r="Y84" s="881"/>
      <c r="Z84" s="1370"/>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69"/>
      <c r="R85" s="1027"/>
      <c r="S85" s="1027"/>
      <c r="T85" s="1027"/>
      <c r="U85" s="1027"/>
      <c r="V85" s="991">
        <v>5920</v>
      </c>
      <c r="W85" s="952"/>
      <c r="X85" s="991">
        <v>5920</v>
      </c>
      <c r="Y85" s="881"/>
      <c r="Z85" s="1370"/>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69"/>
      <c r="R86" s="1027"/>
      <c r="S86" s="1027"/>
      <c r="T86" s="1027"/>
      <c r="U86" s="1027"/>
      <c r="V86" s="991">
        <v>5589</v>
      </c>
      <c r="W86" s="952"/>
      <c r="X86" s="991">
        <v>5589</v>
      </c>
      <c r="Y86" s="881"/>
      <c r="Z86" s="1370"/>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69"/>
      <c r="R87" s="1027"/>
      <c r="S87" s="1027"/>
      <c r="T87" s="1027"/>
      <c r="U87" s="1027"/>
      <c r="V87" s="991">
        <v>5515</v>
      </c>
      <c r="W87" s="952"/>
      <c r="X87" s="991">
        <v>5515</v>
      </c>
      <c r="Y87" s="881"/>
      <c r="Z87" s="1370"/>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69"/>
      <c r="R88" s="1027"/>
      <c r="S88" s="1027"/>
      <c r="T88" s="1027"/>
      <c r="U88" s="1027"/>
      <c r="V88" s="991">
        <v>5191</v>
      </c>
      <c r="W88" s="952"/>
      <c r="X88" s="991">
        <v>5191</v>
      </c>
      <c r="Y88" s="881"/>
      <c r="Z88" s="1370"/>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69"/>
      <c r="R89" s="1027"/>
      <c r="S89" s="1027"/>
      <c r="T89" s="1027"/>
      <c r="U89" s="1027"/>
      <c r="V89" s="991">
        <v>5620</v>
      </c>
      <c r="W89" s="952"/>
      <c r="X89" s="991">
        <v>5620</v>
      </c>
      <c r="Y89" s="881"/>
      <c r="Z89" s="1370"/>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69"/>
      <c r="R90" s="1027"/>
      <c r="S90" s="1027"/>
      <c r="T90" s="1027"/>
      <c r="U90" s="1027"/>
      <c r="V90" s="991">
        <v>6864</v>
      </c>
      <c r="W90" s="952"/>
      <c r="X90" s="991">
        <v>6864</v>
      </c>
      <c r="Y90" s="881"/>
      <c r="Z90" s="1370"/>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69"/>
      <c r="R91" s="1027"/>
      <c r="S91" s="1027"/>
      <c r="T91" s="1027"/>
      <c r="U91" s="1027"/>
      <c r="V91" s="991">
        <v>6461</v>
      </c>
      <c r="W91" s="952"/>
      <c r="X91" s="991">
        <v>6461</v>
      </c>
      <c r="Y91" s="881"/>
      <c r="Z91" s="1370"/>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69"/>
      <c r="R92" s="1027"/>
      <c r="S92" s="1027"/>
      <c r="T92" s="1027"/>
      <c r="U92" s="1027"/>
      <c r="V92" s="991">
        <v>2790</v>
      </c>
      <c r="W92" s="952"/>
      <c r="X92" s="991">
        <v>2790</v>
      </c>
      <c r="Y92" s="881"/>
      <c r="Z92" s="1370"/>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69"/>
      <c r="R93" s="1027"/>
      <c r="S93" s="1027"/>
      <c r="T93" s="1027"/>
      <c r="U93" s="1027"/>
      <c r="V93" s="991">
        <v>7368</v>
      </c>
      <c r="W93" s="952"/>
      <c r="X93" s="991">
        <v>7368</v>
      </c>
      <c r="Y93" s="881"/>
      <c r="Z93" s="1370"/>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69"/>
      <c r="R94" s="1027"/>
      <c r="S94" s="1027"/>
      <c r="T94" s="1027"/>
      <c r="U94" s="1027"/>
      <c r="V94" s="991">
        <v>7844</v>
      </c>
      <c r="W94" s="952"/>
      <c r="X94" s="991">
        <v>7844</v>
      </c>
      <c r="Y94" s="881"/>
      <c r="Z94" s="1370"/>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69"/>
      <c r="R95" s="1027"/>
      <c r="S95" s="1027"/>
      <c r="T95" s="1027"/>
      <c r="U95" s="1027"/>
      <c r="V95" s="991">
        <v>8148</v>
      </c>
      <c r="W95" s="952"/>
      <c r="X95" s="991">
        <v>8148</v>
      </c>
      <c r="Y95" s="881"/>
      <c r="Z95" s="1370"/>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69"/>
      <c r="R96" s="1027"/>
      <c r="S96" s="1027"/>
      <c r="T96" s="1027"/>
      <c r="U96" s="1027"/>
      <c r="V96" s="991">
        <v>6829</v>
      </c>
      <c r="W96" s="952"/>
      <c r="X96" s="991">
        <v>6829</v>
      </c>
      <c r="Y96" s="881"/>
      <c r="Z96" s="1370"/>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69"/>
      <c r="R97" s="1027"/>
      <c r="S97" s="1027"/>
      <c r="T97" s="1027"/>
      <c r="U97" s="1027"/>
      <c r="V97" s="991">
        <v>6157</v>
      </c>
      <c r="W97" s="952"/>
      <c r="X97" s="991">
        <v>6157</v>
      </c>
      <c r="Y97" s="881"/>
      <c r="Z97" s="1370"/>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69"/>
      <c r="R98" s="1027"/>
      <c r="S98" s="1027"/>
      <c r="T98" s="1027"/>
      <c r="U98" s="1027"/>
      <c r="V98" s="991">
        <v>9537</v>
      </c>
      <c r="W98" s="952"/>
      <c r="X98" s="991">
        <v>9537</v>
      </c>
      <c r="Y98" s="881"/>
      <c r="Z98" s="1370"/>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69"/>
      <c r="R99" s="1027"/>
      <c r="S99" s="1027"/>
      <c r="T99" s="1027"/>
      <c r="U99" s="1027"/>
      <c r="V99" s="991">
        <v>6796</v>
      </c>
      <c r="W99" s="952"/>
      <c r="X99" s="991">
        <v>6796</v>
      </c>
      <c r="Y99" s="881"/>
      <c r="Z99" s="1370"/>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69"/>
      <c r="R100" s="1027"/>
      <c r="S100" s="1027"/>
      <c r="T100" s="1027"/>
      <c r="U100" s="1027"/>
      <c r="V100" s="991">
        <v>6149</v>
      </c>
      <c r="W100" s="952"/>
      <c r="X100" s="991">
        <v>6149</v>
      </c>
      <c r="Y100" s="881"/>
      <c r="Z100" s="1370"/>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69"/>
      <c r="R101" s="1027"/>
      <c r="S101" s="1027"/>
      <c r="T101" s="1027"/>
      <c r="U101" s="1027"/>
      <c r="V101" s="991">
        <v>6284</v>
      </c>
      <c r="W101" s="952"/>
      <c r="X101" s="991">
        <v>6284</v>
      </c>
      <c r="Y101" s="881"/>
      <c r="Z101" s="1370"/>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69"/>
      <c r="R102" s="1027"/>
      <c r="S102" s="1027"/>
      <c r="T102" s="1027"/>
      <c r="U102" s="1027"/>
      <c r="V102" s="991">
        <v>7743</v>
      </c>
      <c r="W102" s="952"/>
      <c r="X102" s="991">
        <v>7743</v>
      </c>
      <c r="Y102" s="881"/>
      <c r="Z102" s="1370"/>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69"/>
      <c r="R103" s="1027"/>
      <c r="S103" s="1027"/>
      <c r="T103" s="1027"/>
      <c r="U103" s="1027"/>
      <c r="V103" s="991">
        <v>6932</v>
      </c>
      <c r="W103" s="952"/>
      <c r="X103" s="991">
        <v>6932</v>
      </c>
      <c r="Y103" s="881"/>
      <c r="Z103" s="1370"/>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69"/>
      <c r="R104" s="1027"/>
      <c r="S104" s="1027"/>
      <c r="T104" s="1027"/>
      <c r="U104" s="1027"/>
      <c r="V104" s="991">
        <v>6213</v>
      </c>
      <c r="W104" s="952"/>
      <c r="X104" s="991">
        <v>6213</v>
      </c>
      <c r="Y104" s="881"/>
      <c r="Z104" s="1370"/>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69"/>
      <c r="R105" s="1027"/>
      <c r="S105" s="1027"/>
      <c r="T105" s="1027"/>
      <c r="U105" s="1027"/>
      <c r="V105" s="991">
        <v>4339</v>
      </c>
      <c r="W105" s="952"/>
      <c r="X105" s="991">
        <v>4339</v>
      </c>
      <c r="Y105" s="881"/>
      <c r="Z105" s="1370"/>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69"/>
      <c r="R106" s="1027"/>
      <c r="S106" s="1027"/>
      <c r="T106" s="1027"/>
      <c r="U106" s="1027"/>
      <c r="V106" s="991">
        <v>3940</v>
      </c>
      <c r="W106" s="952"/>
      <c r="X106" s="991">
        <v>3940</v>
      </c>
      <c r="Y106" s="881"/>
      <c r="Z106" s="1370"/>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69"/>
      <c r="R107" s="1027"/>
      <c r="S107" s="1027"/>
      <c r="T107" s="1027"/>
      <c r="U107" s="1027"/>
      <c r="V107" s="991">
        <v>6855</v>
      </c>
      <c r="W107" s="952"/>
      <c r="X107" s="991">
        <v>6855</v>
      </c>
      <c r="Y107" s="881"/>
      <c r="Z107" s="1370"/>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69"/>
      <c r="R108" s="1027"/>
      <c r="S108" s="1027"/>
      <c r="T108" s="1027"/>
      <c r="U108" s="1027"/>
      <c r="V108" s="991">
        <v>7147</v>
      </c>
      <c r="W108" s="952"/>
      <c r="X108" s="991">
        <v>7147</v>
      </c>
      <c r="Y108" s="881"/>
      <c r="Z108" s="1370"/>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69"/>
      <c r="R109" s="1027"/>
      <c r="S109" s="1027"/>
      <c r="T109" s="1027"/>
      <c r="U109" s="1027"/>
      <c r="V109" s="991">
        <v>6376</v>
      </c>
      <c r="W109" s="952"/>
      <c r="X109" s="991">
        <v>6376</v>
      </c>
      <c r="Y109" s="881"/>
      <c r="Z109" s="1370"/>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69"/>
      <c r="R110" s="1027"/>
      <c r="S110" s="1027"/>
      <c r="T110" s="1027"/>
      <c r="U110" s="1027"/>
      <c r="V110" s="991">
        <v>4784</v>
      </c>
      <c r="W110" s="952"/>
      <c r="X110" s="991">
        <v>4784</v>
      </c>
      <c r="Y110" s="881"/>
      <c r="Z110" s="1370"/>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69"/>
      <c r="R111" s="1027"/>
      <c r="S111" s="1027"/>
      <c r="T111" s="1027"/>
      <c r="U111" s="1027"/>
      <c r="V111" s="991">
        <v>6387</v>
      </c>
      <c r="W111" s="952"/>
      <c r="X111" s="991">
        <v>6387</v>
      </c>
      <c r="Y111" s="881"/>
      <c r="Z111" s="1370"/>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69"/>
      <c r="R112" s="1027"/>
      <c r="S112" s="1027"/>
      <c r="T112" s="1027"/>
      <c r="U112" s="1027"/>
      <c r="V112" s="991">
        <v>6372</v>
      </c>
      <c r="W112" s="952"/>
      <c r="X112" s="991">
        <v>6372</v>
      </c>
      <c r="Y112" s="881"/>
      <c r="Z112" s="1370"/>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69"/>
      <c r="R113" s="1027"/>
      <c r="S113" s="1027"/>
      <c r="T113" s="1027"/>
      <c r="U113" s="1027"/>
      <c r="V113" s="991">
        <v>5363</v>
      </c>
      <c r="W113" s="952"/>
      <c r="X113" s="991">
        <v>5363</v>
      </c>
      <c r="Y113" s="881"/>
      <c r="Z113" s="1370"/>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69"/>
      <c r="R114" s="1027"/>
      <c r="S114" s="1027"/>
      <c r="T114" s="1027"/>
      <c r="U114" s="1027"/>
      <c r="V114" s="991">
        <v>5199</v>
      </c>
      <c r="W114" s="952"/>
      <c r="X114" s="991">
        <v>5199</v>
      </c>
      <c r="Y114" s="881"/>
      <c r="Z114" s="1370"/>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69"/>
      <c r="R115" s="1027"/>
      <c r="S115" s="1027"/>
      <c r="T115" s="1027"/>
      <c r="U115" s="1027"/>
      <c r="V115" s="991">
        <v>9771</v>
      </c>
      <c r="W115" s="952"/>
      <c r="X115" s="991">
        <v>9771</v>
      </c>
      <c r="Y115" s="881"/>
      <c r="Z115" s="1370"/>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69"/>
      <c r="R116" s="1027"/>
      <c r="S116" s="1027"/>
      <c r="T116" s="1027"/>
      <c r="U116" s="1027"/>
      <c r="V116" s="991">
        <v>9562</v>
      </c>
      <c r="W116" s="952"/>
      <c r="X116" s="991">
        <v>9562</v>
      </c>
      <c r="Y116" s="881"/>
      <c r="Z116" s="1370"/>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69"/>
      <c r="R117" s="1027"/>
      <c r="S117" s="1027"/>
      <c r="T117" s="1027"/>
      <c r="U117" s="1027"/>
      <c r="V117" s="991">
        <v>6309</v>
      </c>
      <c r="W117" s="952"/>
      <c r="X117" s="991">
        <v>6309</v>
      </c>
      <c r="Y117" s="881"/>
      <c r="Z117" s="1370"/>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69"/>
      <c r="R118" s="1027"/>
      <c r="S118" s="1027"/>
      <c r="T118" s="1027"/>
      <c r="U118" s="1027"/>
      <c r="V118" s="991">
        <v>10260</v>
      </c>
      <c r="W118" s="952"/>
      <c r="X118" s="991">
        <v>10260</v>
      </c>
      <c r="Y118" s="881"/>
      <c r="Z118" s="1370"/>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69"/>
      <c r="R119" s="1027"/>
      <c r="S119" s="1027"/>
      <c r="T119" s="1027"/>
      <c r="U119" s="1027"/>
      <c r="V119" s="991">
        <v>10080</v>
      </c>
      <c r="W119" s="952"/>
      <c r="X119" s="991">
        <v>10080</v>
      </c>
      <c r="Y119" s="881"/>
      <c r="Z119" s="1370"/>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69"/>
      <c r="R120" s="1027"/>
      <c r="S120" s="1027"/>
      <c r="T120" s="1027"/>
      <c r="U120" s="1027"/>
      <c r="V120" s="991">
        <v>6859</v>
      </c>
      <c r="W120" s="952"/>
      <c r="X120" s="991">
        <v>6859</v>
      </c>
      <c r="Y120" s="881"/>
      <c r="Z120" s="1370"/>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69"/>
      <c r="R121" s="1027"/>
      <c r="S121" s="1027"/>
      <c r="T121" s="1027"/>
      <c r="U121" s="1027"/>
      <c r="V121" s="991">
        <v>5873</v>
      </c>
      <c r="W121" s="952"/>
      <c r="X121" s="991">
        <v>5873</v>
      </c>
      <c r="Y121" s="881"/>
      <c r="Z121" s="1370"/>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69"/>
      <c r="R122" s="1027"/>
      <c r="S122" s="1027"/>
      <c r="T122" s="1027"/>
      <c r="U122" s="1027"/>
      <c r="V122" s="991">
        <v>4945</v>
      </c>
      <c r="W122" s="952"/>
      <c r="X122" s="991">
        <v>4945</v>
      </c>
      <c r="Y122" s="881"/>
      <c r="Z122" s="1370"/>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69"/>
      <c r="R123" s="1027"/>
      <c r="S123" s="1027"/>
      <c r="T123" s="1027"/>
      <c r="U123" s="1027"/>
      <c r="V123" s="991">
        <v>4275</v>
      </c>
      <c r="W123" s="952"/>
      <c r="X123" s="991">
        <v>4275</v>
      </c>
      <c r="Y123" s="881"/>
      <c r="Z123" s="1370"/>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69"/>
      <c r="R124" s="1027"/>
      <c r="S124" s="1027"/>
      <c r="T124" s="1027"/>
      <c r="U124" s="1027"/>
      <c r="V124" s="991">
        <v>6378</v>
      </c>
      <c r="W124" s="952"/>
      <c r="X124" s="991">
        <v>6378</v>
      </c>
      <c r="Y124" s="881"/>
      <c r="Z124" s="1370"/>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69"/>
      <c r="R125" s="1027"/>
      <c r="S125" s="1027"/>
      <c r="T125" s="1027"/>
      <c r="U125" s="1027"/>
      <c r="V125" s="991">
        <v>7373</v>
      </c>
      <c r="W125" s="952"/>
      <c r="X125" s="991">
        <v>7373</v>
      </c>
      <c r="Y125" s="881"/>
      <c r="Z125" s="1370"/>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69"/>
      <c r="R126" s="1027"/>
      <c r="S126" s="1027"/>
      <c r="T126" s="1027"/>
      <c r="U126" s="1027"/>
      <c r="V126" s="991">
        <v>5781</v>
      </c>
      <c r="W126" s="952"/>
      <c r="X126" s="991">
        <v>5781</v>
      </c>
      <c r="Y126" s="881"/>
      <c r="Z126" s="1370"/>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69"/>
      <c r="R127" s="1027"/>
      <c r="S127" s="1027"/>
      <c r="T127" s="1027"/>
      <c r="U127" s="1027"/>
      <c r="V127" s="991">
        <v>9051</v>
      </c>
      <c r="W127" s="952"/>
      <c r="X127" s="991">
        <v>9051</v>
      </c>
      <c r="Y127" s="881"/>
      <c r="Z127" s="1370"/>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69"/>
      <c r="R128" s="1027"/>
      <c r="S128" s="1027"/>
      <c r="T128" s="1027"/>
      <c r="U128" s="1027"/>
      <c r="V128" s="991">
        <v>7261</v>
      </c>
      <c r="W128" s="952"/>
      <c r="X128" s="991">
        <v>7261</v>
      </c>
      <c r="Y128" s="881"/>
      <c r="Z128" s="1370"/>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69"/>
      <c r="R129" s="1027"/>
      <c r="S129" s="1027"/>
      <c r="T129" s="1027"/>
      <c r="U129" s="1027"/>
      <c r="V129" s="991">
        <v>9638</v>
      </c>
      <c r="W129" s="952"/>
      <c r="X129" s="991">
        <v>9638</v>
      </c>
      <c r="Y129" s="881"/>
      <c r="Z129" s="1370"/>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69"/>
      <c r="R130" s="1027"/>
      <c r="S130" s="1027"/>
      <c r="T130" s="1027"/>
      <c r="U130" s="1027"/>
      <c r="V130" s="991">
        <v>8746</v>
      </c>
      <c r="W130" s="952"/>
      <c r="X130" s="991">
        <v>8746</v>
      </c>
      <c r="Y130" s="881"/>
      <c r="Z130" s="1370"/>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69"/>
      <c r="R131" s="1027"/>
      <c r="S131" s="1027"/>
      <c r="T131" s="1027"/>
      <c r="U131" s="1027"/>
      <c r="V131" s="1155"/>
      <c r="W131" s="952"/>
      <c r="X131" s="1155"/>
      <c r="Y131" s="881"/>
      <c r="Z131" s="1370"/>
      <c r="AA131" s="1371"/>
      <c r="AB131" s="1371"/>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69"/>
      <c r="R132" s="1027"/>
      <c r="S132" s="1027"/>
      <c r="T132" s="1027"/>
      <c r="U132" s="1027"/>
      <c r="V132" s="1155"/>
      <c r="W132" s="952"/>
      <c r="X132" s="1155"/>
      <c r="Y132" s="881"/>
      <c r="Z132" s="1370"/>
      <c r="AA132" s="1371"/>
      <c r="AB132" s="1371"/>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69"/>
      <c r="R143" s="1027"/>
      <c r="S143" s="1027"/>
      <c r="T143" s="1027"/>
      <c r="U143" s="1027"/>
      <c r="V143" s="952">
        <v>8641</v>
      </c>
      <c r="W143" s="1367"/>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2"/>
      <c r="R144" s="1029"/>
      <c r="S144" s="1029"/>
      <c r="T144" s="1029"/>
      <c r="U144" s="1029"/>
      <c r="V144" s="1031">
        <v>7502</v>
      </c>
      <c r="W144" s="1373"/>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3"/>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4" t="s">
        <v>55</v>
      </c>
      <c r="K16" s="1354"/>
      <c r="L16" s="371" t="s">
        <v>333</v>
      </c>
      <c r="M16" s="373" t="s">
        <v>56</v>
      </c>
      <c r="N16" s="1360">
        <v>1035</v>
      </c>
      <c r="O16" s="915" t="s">
        <v>56</v>
      </c>
      <c r="P16" s="962" t="s">
        <v>320</v>
      </c>
      <c r="Q16" s="1361">
        <v>46030</v>
      </c>
      <c r="R16" s="1007"/>
      <c r="S16" s="1007"/>
      <c r="T16" s="1007"/>
      <c r="U16" s="1007"/>
      <c r="V16" s="1362">
        <v>0</v>
      </c>
      <c r="W16" s="1374">
        <v>0</v>
      </c>
      <c r="X16" s="1357">
        <f>SUM(V16-W16)</f>
        <v>0</v>
      </c>
      <c r="Y16" s="527">
        <v>1</v>
      </c>
      <c r="Z16" s="1361">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4"/>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59">
        <v>109</v>
      </c>
      <c r="I18" s="668" t="s">
        <v>319</v>
      </c>
      <c r="J18" s="671" t="s">
        <v>55</v>
      </c>
      <c r="K18" s="1354"/>
      <c r="L18" s="1011">
        <v>45663</v>
      </c>
      <c r="M18" s="915" t="s">
        <v>56</v>
      </c>
      <c r="N18" s="1360">
        <v>123587.5</v>
      </c>
      <c r="O18" s="1359" t="s">
        <v>56</v>
      </c>
      <c r="P18" s="1375" t="s">
        <v>320</v>
      </c>
      <c r="Q18" s="1361">
        <v>46008</v>
      </c>
      <c r="R18" s="1361"/>
      <c r="S18" s="1361"/>
      <c r="T18" s="1361"/>
      <c r="U18" s="1361"/>
      <c r="V18" s="1362">
        <v>6825</v>
      </c>
      <c r="W18" s="1374">
        <v>6575</v>
      </c>
      <c r="X18" s="1357">
        <f>SUM(V18-W18)</f>
        <v>250</v>
      </c>
      <c r="Y18" s="527">
        <f>IFERROR($W18/$V18, 0)</f>
        <v>0.96336996336996339</v>
      </c>
      <c r="Z18" s="1361">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6">
        <v>4810</v>
      </c>
      <c r="X31" s="1060">
        <f t="shared" ref="X31:X34" si="11">SUM(V31-W31)</f>
        <v>26</v>
      </c>
      <c r="Y31" s="1049">
        <f t="shared" si="10"/>
        <v>0.9946236559139785</v>
      </c>
      <c r="Z31" s="1372">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7">
        <v>7151</v>
      </c>
      <c r="X32" s="952">
        <f t="shared" si="11"/>
        <v>190</v>
      </c>
      <c r="Y32" s="708">
        <f t="shared" si="10"/>
        <v>0.97411796757934888</v>
      </c>
      <c r="Z32" s="1369">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7">
        <v>1277</v>
      </c>
      <c r="X34" s="952">
        <f t="shared" si="11"/>
        <v>7</v>
      </c>
      <c r="Y34" s="708">
        <f t="shared" si="10"/>
        <v>0.99454828660436134</v>
      </c>
      <c r="Z34" s="1369">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2"/>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43"/>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47">
        <v>66674.3</v>
      </c>
      <c r="N135" s="1344"/>
      <c r="O135" s="668" t="s">
        <v>56</v>
      </c>
      <c r="P135" s="608" t="s">
        <v>320</v>
      </c>
      <c r="Q135" s="374">
        <v>45922</v>
      </c>
      <c r="R135" s="782">
        <v>5285</v>
      </c>
      <c r="S135" s="1173">
        <v>5305</v>
      </c>
      <c r="T135" s="6">
        <v>0</v>
      </c>
      <c r="U135" s="522">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45" t="s">
        <v>56</v>
      </c>
      <c r="M136" s="1346">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1"/>
      <c r="O137" s="373" t="s">
        <v>56</v>
      </c>
      <c r="P137" s="608" t="s">
        <v>320</v>
      </c>
      <c r="Q137" s="374">
        <v>45863</v>
      </c>
      <c r="R137" s="368">
        <v>3649</v>
      </c>
      <c r="S137" s="767">
        <v>3557</v>
      </c>
      <c r="T137" s="6">
        <v>0</v>
      </c>
      <c r="U137" s="522">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4">
        <v>0</v>
      </c>
      <c r="I201" s="526" t="s">
        <v>319</v>
      </c>
      <c r="J201" s="1354" t="s">
        <v>55</v>
      </c>
      <c r="K201" s="1009" t="s">
        <v>113</v>
      </c>
      <c r="L201" s="1354" t="s">
        <v>56</v>
      </c>
      <c r="M201" s="1378">
        <v>15670.45</v>
      </c>
      <c r="N201" s="43"/>
      <c r="O201" s="1354" t="s">
        <v>56</v>
      </c>
      <c r="P201" s="1379" t="s">
        <v>320</v>
      </c>
      <c r="Q201" s="1356">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0">
        <v>5883</v>
      </c>
      <c r="T241" s="1079">
        <v>0</v>
      </c>
      <c r="U241" s="81">
        <f>IFERROR(Table5[[#This Row],[Actual Redline Completed Footage UG]]/Table5[[#This Row],[Footage UG]], 0)</f>
        <v>1.0039249146757678</v>
      </c>
      <c r="V241" s="1369">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2190</v>
      </c>
      <c r="C1" s="1349"/>
      <c r="D1" s="434"/>
      <c r="E1" s="1349" t="s">
        <v>2191</v>
      </c>
      <c r="F1" s="1349"/>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2217</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008020C-2597-4572-9E1D-2708A914CD2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2026-02-16T11:54:20Z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