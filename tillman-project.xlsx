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3" documentId="8_{E14B221E-02E2-46A3-8CEC-C736815F2DD5}" xr6:coauthVersionLast="47" xr6:coauthVersionMax="47" xr10:uidLastSave="{22D976CF-6E8C-42A6-8C6B-5C089C6A4AC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790" r:id="rId12"/>
    <pivotCache cacheId="2794" r:id="rId13"/>
    <pivotCache cacheId="2799" r:id="rId14"/>
    <pivotCache cacheId="2806" r:id="rId15"/>
    <pivotCache cacheId="28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<sst xmlns="http://schemas.openxmlformats.org/spreadsheetml/2006/main" count="16043" uniqueCount="2079">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</sst>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18" borderId="20"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02778"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490742"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8833472221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315"/>
    <x v="35"/>
    <x v="221"/>
    <m/>
    <m/>
    <m/>
  </r>
  <r>
    <x v="311"/>
    <x v="27"/>
    <x v="221"/>
    <m/>
    <m/>
    <m/>
  </r>
  <r>
    <x v="314"/>
    <x v="45"/>
    <x v="221"/>
    <m/>
    <m/>
    <m/>
  </r>
  <r>
    <x v="294"/>
    <x v="5"/>
    <x v="221"/>
    <m/>
    <m/>
    <m/>
  </r>
  <r>
    <x v="316"/>
    <x v="5"/>
    <x v="221"/>
    <n v="1083"/>
    <m/>
    <m/>
  </r>
  <r>
    <x v="260"/>
    <x v="5"/>
    <x v="221"/>
    <m/>
    <m/>
    <s v="11 Toby Boxes"/>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7"/>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O1" activePane="topRight" state="frozen"/>
      <selection pane="topRight" activeCell="P4" sqref="P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7">
        <v>9126</v>
      </c>
      <c r="X62" s="1212">
        <f>SUM(V62-W62)</f>
        <v>1061</v>
      </c>
      <c r="Y62" s="863">
        <f t="shared" si="4"/>
        <v>0.89584764896436631</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71</v>
      </c>
      <c r="E66" s="1206">
        <v>45966</v>
      </c>
      <c r="F66" s="1206" t="s">
        <v>236</v>
      </c>
      <c r="G66" s="1207" t="s">
        <v>237</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71</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71</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71</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84</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K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71</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71</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71</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71</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72</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77</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77</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77</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488</v>
      </c>
      <c r="B1111" s="1366"/>
      <c r="C1111" s="1366"/>
      <c r="D1111" s="1366"/>
      <c r="E1111" s="1366"/>
    </row>
    <row r="1112" spans="1:5">
      <c r="A1112" t="s">
        <v>579</v>
      </c>
      <c r="B1112" s="1366"/>
      <c r="C1112" s="1366"/>
      <c r="D1112" s="1366"/>
      <c r="E1112" s="1366"/>
    </row>
    <row r="1113" spans="1:5">
      <c r="A1113" t="s">
        <v>494</v>
      </c>
      <c r="B1113" s="1366">
        <v>87</v>
      </c>
      <c r="C1113" s="1366"/>
      <c r="D1113" s="1366"/>
      <c r="E1113" s="1366">
        <v>87</v>
      </c>
    </row>
    <row r="1114" spans="1:5">
      <c r="A1114" t="s">
        <v>1098</v>
      </c>
      <c r="B1114" s="1366">
        <v>671</v>
      </c>
      <c r="C1114" s="1366">
        <v>1204</v>
      </c>
      <c r="D1114" s="1366"/>
      <c r="E1114" s="1366">
        <v>1875</v>
      </c>
    </row>
    <row r="1115" spans="1:5">
      <c r="A1115" t="s">
        <v>364</v>
      </c>
      <c r="B1115" s="1366"/>
      <c r="C1115" s="1366"/>
      <c r="D1115" s="1366"/>
      <c r="E1115" s="1366"/>
    </row>
    <row r="1116" spans="1:5">
      <c r="A1116" t="s">
        <v>1099</v>
      </c>
      <c r="B1116" s="1366">
        <v>752</v>
      </c>
      <c r="C1116" s="1366">
        <v>1249</v>
      </c>
      <c r="D1116" s="1366">
        <v>235</v>
      </c>
      <c r="E1116" s="1366">
        <v>2236</v>
      </c>
    </row>
    <row r="1117" spans="1:5">
      <c r="A1117" t="s">
        <v>500</v>
      </c>
      <c r="B1117" s="1366">
        <v>29</v>
      </c>
      <c r="C1117" s="1366"/>
      <c r="D1117" s="1366"/>
      <c r="E1117" s="1366">
        <v>29</v>
      </c>
    </row>
    <row r="1118" spans="1:5">
      <c r="A1118" t="s">
        <v>140</v>
      </c>
      <c r="B1118" s="1366">
        <v>689</v>
      </c>
      <c r="C1118" s="1366">
        <v>586</v>
      </c>
      <c r="D1118" s="1366"/>
      <c r="E1118" s="1366">
        <v>1275</v>
      </c>
    </row>
    <row r="1119" spans="1:5">
      <c r="A1119" t="s">
        <v>322</v>
      </c>
      <c r="B1119" s="1366"/>
      <c r="C1119" s="1366">
        <v>1164</v>
      </c>
      <c r="D1119" s="1366"/>
      <c r="E1119" s="1366">
        <v>1164</v>
      </c>
    </row>
    <row r="1120" spans="1:5">
      <c r="A1120" t="s">
        <v>136</v>
      </c>
      <c r="B1120" s="1366">
        <v>1095</v>
      </c>
      <c r="C1120" s="1366">
        <v>1676</v>
      </c>
      <c r="D1120" s="1366"/>
      <c r="E1120" s="1366">
        <v>2771</v>
      </c>
    </row>
    <row r="1121" spans="1:5">
      <c r="A1121" t="s">
        <v>147</v>
      </c>
      <c r="B1121" s="1366">
        <v>1344</v>
      </c>
      <c r="C1121" s="1366">
        <v>1583</v>
      </c>
      <c r="D1121" s="1366"/>
      <c r="E1121" s="1366">
        <v>2927</v>
      </c>
    </row>
    <row r="1122" spans="1:5">
      <c r="A1122" t="s">
        <v>248</v>
      </c>
      <c r="B1122" s="1366"/>
      <c r="C1122" s="1366">
        <v>890</v>
      </c>
      <c r="D1122" s="1366"/>
      <c r="E1122" s="1366">
        <v>890</v>
      </c>
    </row>
    <row r="1123" spans="1:5">
      <c r="A1123" t="s">
        <v>331</v>
      </c>
      <c r="B1123" s="1366">
        <v>1511</v>
      </c>
      <c r="C1123" s="1366">
        <v>1887</v>
      </c>
      <c r="D1123" s="1366"/>
      <c r="E1123" s="1366">
        <v>3398</v>
      </c>
    </row>
    <row r="1124" spans="1:5">
      <c r="A1124" t="s">
        <v>344</v>
      </c>
      <c r="B1124" s="1366"/>
      <c r="C1124" s="1366">
        <v>1617</v>
      </c>
      <c r="D1124" s="1366">
        <v>1083</v>
      </c>
      <c r="E1124" s="1366">
        <v>2700</v>
      </c>
    </row>
    <row r="1125" spans="1:5">
      <c r="A1125" t="s">
        <v>1024</v>
      </c>
      <c r="B1125" s="1366">
        <v>7278</v>
      </c>
      <c r="C1125" s="1366">
        <v>12066</v>
      </c>
      <c r="D1125" s="1366">
        <v>1318</v>
      </c>
      <c r="E1125" s="1366">
        <v>20662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17" activePane="bottomLeft" state="frozen"/>
      <selection pane="bottomLeft" activeCell="A2343" sqref="A234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D2339" s="155">
        <v>1083</v>
      </c>
      <c r="G2339" t="s">
        <v>1851</v>
      </c>
    </row>
    <row r="2340" spans="1:7">
      <c r="A2340" s="148" t="s">
        <v>488</v>
      </c>
      <c r="B2340" s="148" t="s">
        <v>137</v>
      </c>
      <c r="C2340" s="56">
        <v>46008</v>
      </c>
      <c r="F2340" s="1368"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0"/>
      <c r="B1" s="1360"/>
      <c r="C1" s="1360"/>
      <c r="D1" s="1360"/>
      <c r="E1" s="1360"/>
      <c r="F1" s="1360"/>
      <c r="G1" s="1360"/>
      <c r="H1" s="1360"/>
      <c r="I1" s="1360"/>
      <c r="J1" s="1"/>
      <c r="K1" s="1"/>
      <c r="L1" s="1"/>
      <c r="M1" s="1"/>
      <c r="N1" s="1"/>
      <c r="O1" s="1"/>
      <c r="P1" s="1361" t="s">
        <v>34</v>
      </c>
      <c r="Q1" s="1361"/>
      <c r="R1" s="1361"/>
      <c r="S1" s="1361"/>
      <c r="T1" s="1361"/>
      <c r="U1" s="1361"/>
      <c r="V1" s="1361"/>
      <c r="W1" s="1361"/>
      <c r="X1" s="1361"/>
      <c r="Y1" s="1361"/>
      <c r="Z1" s="1361"/>
      <c r="AA1" s="1361"/>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71</v>
      </c>
      <c r="E28" s="77">
        <v>45734</v>
      </c>
      <c r="F28" s="1111" t="s">
        <v>61</v>
      </c>
      <c r="G28" s="1122" t="s">
        <v>1982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71</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71</v>
      </c>
      <c r="E30" s="51">
        <v>45743</v>
      </c>
      <c r="F30" s="50" t="s">
        <v>61</v>
      </c>
      <c r="G30" s="379" t="s">
        <v>1987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71</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2" t="s">
        <v>2021</v>
      </c>
      <c r="C1" s="1362"/>
      <c r="D1" s="558"/>
      <c r="E1" s="1362" t="s">
        <v>2022</v>
      </c>
      <c r="F1" s="1362"/>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103569</v>
      </c>
      <c r="E4" s="44" t="s">
        <v>2023</v>
      </c>
      <c r="F4" t="s">
        <v>1027</v>
      </c>
      <c r="W4" t="s">
        <v>2027</v>
      </c>
      <c r="X4">
        <v>22</v>
      </c>
    </row>
    <row r="5" spans="1:25">
      <c r="B5" t="s">
        <v>71</v>
      </c>
      <c r="C5" s="1366">
        <v>28144</v>
      </c>
      <c r="E5" t="s">
        <v>1027</v>
      </c>
      <c r="F5" s="1366">
        <v>159930</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7582</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78</v>
      </c>
      <c r="C18" s="1366">
        <v>3834</v>
      </c>
      <c r="L18" t="s">
        <v>826</v>
      </c>
      <c r="M18" s="1366">
        <v>1</v>
      </c>
    </row>
    <row r="19" spans="2:13">
      <c r="B19" t="s">
        <v>82</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456961</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3"/>
      <c r="B1" s="1363"/>
      <c r="C1" s="1363"/>
      <c r="D1" s="1363"/>
      <c r="E1" s="1363"/>
      <c r="F1" s="1363"/>
      <c r="G1" s="1363"/>
      <c r="H1" s="1364" t="s">
        <v>2048</v>
      </c>
      <c r="I1" s="1364"/>
      <c r="J1" s="1364"/>
      <c r="K1" s="1364"/>
      <c r="L1" s="1364"/>
      <c r="M1" s="1364"/>
      <c r="N1" s="1364"/>
      <c r="O1" s="1364"/>
      <c r="P1" s="260"/>
      <c r="Q1" s="1365" t="s">
        <v>34</v>
      </c>
      <c r="R1" s="1365"/>
      <c r="S1" s="1361"/>
      <c r="T1" s="1365"/>
      <c r="U1" s="1365"/>
      <c r="V1" s="1365"/>
      <c r="W1" s="1365"/>
      <c r="X1" s="1365"/>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77</v>
      </c>
      <c r="B4" s="102" t="s">
        <v>50</v>
      </c>
      <c r="C4" s="77">
        <v>45807</v>
      </c>
      <c r="D4" s="268"/>
      <c r="E4" s="269" t="s">
        <v>2061</v>
      </c>
      <c r="F4" s="268"/>
      <c r="G4" s="270" t="s">
        <v>2024</v>
      </c>
      <c r="H4" s="268"/>
      <c r="I4" s="268"/>
      <c r="J4" s="271"/>
      <c r="K4" s="205"/>
      <c r="L4" s="205"/>
      <c r="M4" s="205"/>
      <c r="N4" s="272"/>
      <c r="O4" s="273"/>
      <c r="P4" s="274" t="s">
        <v>2062</v>
      </c>
      <c r="Q4" s="275" t="s">
        <v>84</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84</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84</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84</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84</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84</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84</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84</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84</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84</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84</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84</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81</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FFB111-7E98-4042-957C-701C25257E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2025-12-17T19:15:09Z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