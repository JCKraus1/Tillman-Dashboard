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6" documentId="8_{E14B221E-02E2-46A3-8CEC-C736815F2DD5}" xr6:coauthVersionLast="47" xr6:coauthVersionMax="47" xr10:uidLastSave="{6B69E10E-BCE1-4C24-AF81-1961357620D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8490" r:id="rId12"/>
    <pivotCache cacheId="8497" r:id="rId13"/>
    <pivotCache cacheId="8502" r:id="rId14"/>
    <pivotCache cacheId="8506" r:id="rId15"/>
    <pivotCache cacheId="8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<sst xmlns="http://schemas.openxmlformats.org/spreadsheetml/2006/main" count="14239" uniqueCount="1752">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</sst>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U70" activePane="topRight" state="frozen"/>
      <selection pane="topRight" activeCell="W86" sqref="W86:W9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t="s">
        <v>860</v>
      </c>
    </row>
    <row r="938" spans="1:7">
      <c r="A938" t="s">
        <v>344</v>
      </c>
      <c r="B938" s="1156"/>
      <c r="C938" s="1156"/>
      <c r="D938" s="1156"/>
    </row>
    <row r="939" spans="1:7">
      <c r="A939" t="s">
        <v>402</v>
      </c>
      <c r="B939" s="1156">
        <v>560</v>
      </c>
      <c r="C939" s="1156"/>
      <c r="D939" s="1156">
        <v>560</v>
      </c>
    </row>
    <row r="940" spans="1:7">
      <c r="A940" t="s">
        <v>152</v>
      </c>
      <c r="B940" s="1156">
        <v>138</v>
      </c>
      <c r="C940" s="1156"/>
      <c r="D940" s="1156">
        <v>138</v>
      </c>
    </row>
    <row r="941" spans="1:7">
      <c r="A941" t="s">
        <v>367</v>
      </c>
      <c r="B941" s="1156"/>
      <c r="C941" s="1156"/>
      <c r="D941" s="1156"/>
    </row>
    <row r="942" spans="1:7">
      <c r="A942" t="s">
        <v>239</v>
      </c>
      <c r="B942" s="1156">
        <v>96</v>
      </c>
      <c r="C942" s="1156"/>
      <c r="D942" s="1156">
        <v>96</v>
      </c>
    </row>
    <row r="943" spans="1:7">
      <c r="A943" t="s">
        <v>196</v>
      </c>
      <c r="B943" s="1156">
        <v>632</v>
      </c>
      <c r="C943" s="1156"/>
      <c r="D943" s="1156">
        <v>632</v>
      </c>
    </row>
    <row r="944" spans="1:7">
      <c r="A944" t="s">
        <v>207</v>
      </c>
      <c r="B944" s="1156">
        <v>558</v>
      </c>
      <c r="C944" s="1156"/>
      <c r="D944" s="1156">
        <v>558</v>
      </c>
    </row>
    <row r="945" spans="1:4">
      <c r="A945" t="s">
        <v>242</v>
      </c>
      <c r="B945" s="1156">
        <v>562</v>
      </c>
      <c r="C945" s="1156"/>
      <c r="D945" s="1156">
        <v>562</v>
      </c>
    </row>
    <row r="946" spans="1:4">
      <c r="A946" t="s">
        <v>210</v>
      </c>
      <c r="B946" s="1156">
        <v>1351</v>
      </c>
      <c r="C946" s="1156"/>
      <c r="D946" s="1156">
        <v>1351</v>
      </c>
    </row>
    <row r="947" spans="1:4">
      <c r="A947" t="s">
        <v>325</v>
      </c>
      <c r="B947" s="1156">
        <v>4084</v>
      </c>
      <c r="C947" s="1156"/>
      <c r="D947" s="1156">
        <v>4084</v>
      </c>
    </row>
    <row r="948" spans="1:4">
      <c r="A948" t="s">
        <v>925</v>
      </c>
      <c r="B948" s="1156">
        <v>748</v>
      </c>
      <c r="C948" s="1156">
        <v>872</v>
      </c>
      <c r="D948" s="1156">
        <v>1620</v>
      </c>
    </row>
    <row r="949" spans="1:4">
      <c r="A949" t="s">
        <v>246</v>
      </c>
      <c r="B949" s="1156">
        <v>435</v>
      </c>
      <c r="C949" s="1156"/>
      <c r="D949" s="1156">
        <v>435</v>
      </c>
    </row>
    <row r="950" spans="1:4">
      <c r="A950" t="s">
        <v>860</v>
      </c>
      <c r="B950" s="1156">
        <v>9164</v>
      </c>
      <c r="C950" s="1156">
        <v>872</v>
      </c>
      <c r="D950"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s="1156">
        <v>196563</v>
      </c>
      <c r="E4" s="44" t="s">
        <v>1696</v>
      </c>
      <c r="F4" t="s">
        <v>863</v>
      </c>
      <c r="W4" t="s">
        <v>1700</v>
      </c>
      <c r="X4">
        <v>22</v>
      </c>
    </row>
    <row r="5" spans="1:25">
      <c r="B5" t="s">
        <v>60</v>
      </c>
      <c r="C5" s="1156">
        <v>55547</v>
      </c>
      <c r="E5" t="s">
        <v>863</v>
      </c>
      <c r="F5" s="1156">
        <v>280073</v>
      </c>
      <c r="K5" s="44" t="s">
        <v>1701</v>
      </c>
      <c r="P5" s="44" t="s">
        <v>1701</v>
      </c>
      <c r="W5" t="s">
        <v>1702</v>
      </c>
      <c r="X5">
        <v>13</v>
      </c>
    </row>
    <row r="6" spans="1:25">
      <c r="B6" t="s">
        <v>100</v>
      </c>
      <c r="C6" s="1156">
        <v>22387</v>
      </c>
      <c r="K6" s="44" t="s">
        <v>27</v>
      </c>
      <c r="L6" s="44" t="s">
        <v>1703</v>
      </c>
      <c r="M6" t="s">
        <v>863</v>
      </c>
      <c r="P6" s="44" t="s">
        <v>1704</v>
      </c>
      <c r="Q6" s="44" t="s">
        <v>1703</v>
      </c>
      <c r="R6" t="s">
        <v>863</v>
      </c>
    </row>
    <row r="7" spans="1:25">
      <c r="B7" t="s">
        <v>889</v>
      </c>
      <c r="C7" s="1156">
        <v>280982</v>
      </c>
      <c r="K7" t="s">
        <v>1697</v>
      </c>
      <c r="L7" t="s">
        <v>494</v>
      </c>
      <c r="M7" s="1156">
        <v>1</v>
      </c>
      <c r="P7" t="s">
        <v>1705</v>
      </c>
      <c r="R7" s="1156">
        <v>1</v>
      </c>
      <c r="X7" t="s">
        <v>1706</v>
      </c>
      <c r="Y7" t="s">
        <v>1707</v>
      </c>
    </row>
    <row r="8" spans="1:25">
      <c r="B8" t="s">
        <v>218</v>
      </c>
      <c r="C8" s="1156">
        <v>5576</v>
      </c>
      <c r="L8" t="s">
        <v>496</v>
      </c>
      <c r="M8" s="1156">
        <v>1</v>
      </c>
      <c r="P8" t="s">
        <v>1708</v>
      </c>
      <c r="R8" s="1156">
        <v>1</v>
      </c>
      <c r="V8" t="s">
        <v>1709</v>
      </c>
      <c r="W8" s="261">
        <v>203521</v>
      </c>
      <c r="X8" s="317">
        <f>X5/X4</f>
        <v>0.59090909090909094</v>
      </c>
      <c r="Y8" s="317">
        <f>W9/W8</f>
        <v>0.31446386367991508</v>
      </c>
    </row>
    <row r="9" spans="1:25">
      <c r="B9" t="s">
        <v>51</v>
      </c>
      <c r="C9" s="1156">
        <v>0</v>
      </c>
      <c r="L9" t="s">
        <v>1710</v>
      </c>
      <c r="M9" s="1156">
        <v>1</v>
      </c>
      <c r="P9" t="s">
        <v>1711</v>
      </c>
      <c r="Q9" t="s">
        <v>1710</v>
      </c>
      <c r="R9" s="1156">
        <v>1</v>
      </c>
      <c r="V9" t="s">
        <v>1712</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1713</v>
      </c>
      <c r="R12" s="1156">
        <v>1</v>
      </c>
    </row>
    <row r="13" spans="1:25">
      <c r="B13" t="s">
        <v>153</v>
      </c>
      <c r="C13" s="1156">
        <v>13965</v>
      </c>
      <c r="L13" t="s">
        <v>1714</v>
      </c>
      <c r="M13" s="1156">
        <v>1</v>
      </c>
      <c r="Q13" t="s">
        <v>803</v>
      </c>
      <c r="R13" s="1156">
        <v>1</v>
      </c>
    </row>
    <row r="14" spans="1:25">
      <c r="B14" t="s">
        <v>215</v>
      </c>
      <c r="C14" s="1156">
        <v>16290</v>
      </c>
      <c r="L14" t="s">
        <v>607</v>
      </c>
      <c r="M14" s="1156">
        <v>1</v>
      </c>
      <c r="P14" t="s">
        <v>1715</v>
      </c>
      <c r="R14" s="1156">
        <v>5</v>
      </c>
    </row>
    <row r="15" spans="1:25">
      <c r="B15" t="s">
        <v>208</v>
      </c>
      <c r="C15" s="1156">
        <v>5613</v>
      </c>
      <c r="L15" t="s">
        <v>1713</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1716</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1717</v>
      </c>
      <c r="M26" s="1156">
        <v>19</v>
      </c>
    </row>
    <row r="27" spans="2:13">
      <c r="K27" t="s">
        <v>1718</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1719</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1720</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A4CD61A-BA99-4D06-A41D-AA41AD69F3D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2025-11-11T23:04:49Z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