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90" documentId="8_{E14B221E-02E2-46A3-8CEC-C736815F2DD5}" xr6:coauthVersionLast="47" xr6:coauthVersionMax="47" xr10:uidLastSave="{4CA01819-4C6D-482C-8923-5B9138EC8676}"/>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0" r:id="rId12"/>
    <pivotCache cacheId="1" r:id="rId13"/>
    <pivotCache cacheId="2" r:id="rId14"/>
    <pivotCache cacheId="3" r:id="rId15"/>
    <pivotCache cacheId="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<sst xmlns="http://schemas.openxmlformats.org/spreadsheetml/2006/main" count="15124" uniqueCount="1906">
  <si>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</si>
  <si>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</si>
  <si>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</si>
  <si>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</si>
  <si>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</si>
  <si>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</si>
  <si>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</si>
  <si>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</si>
  <si>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</si>
  <si>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</si>
  <si>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</si>
  <si>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</si>
  <si>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</si>
  <si>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</si>
  <si>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</si>
  <si>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</si>
  <si>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</si>
  <si>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</si>
  <si>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</si>
  <si>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</si>
  <si>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</si>
  <si>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</si>
  <si>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</si>
  <si>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</si>
  <si>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</si>
  <si>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</si>
  <si>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</si>
  <si>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</si>
  <si>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</si>
  <si>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</si>
  <si>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</si>
  <si>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</si>
  <si>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</si>
  <si>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</si>
  <si>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</si>
  <si>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</si>
  <si>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</si>
  <si>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</si>
  <si>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</si>
  <si>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</si>
  <si>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</si>
  <si>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</si>
  <si>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</si>
  <si>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</si>
  <si>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</si>
  <si>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</si>
  <si>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</si>
  <si>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</si>
  <si>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</si>
  <si>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</si>
  <si>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</si>
  <si>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</si>
  <si>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</si>
  <si>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</si>
  <si>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</si>
  <si>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</si>
  <si>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</si>
  <si>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</si>
  <si>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</si>
  <si>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</si>
  <si>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</si>
  <si>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</si>
  <si>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</si>
  <si>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</si>
  <si>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</si>
  <si>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</si>
  <si>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</si>
  <si>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</si>
  <si>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</si>
  <si>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</si>
  <si>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</si>
  <si>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</si>
  <si>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</si>
  <si>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</si>
  <si>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</si>
  <si>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</si>
  <si>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</si>
  <si>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</si>
  <si>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</si>
  <si>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</si>
  <si>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</si>
  <si>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</si>
  <si>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</si>
  <si>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</si>
  <si>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</si>
  <si>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</si>
  <si>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</si>
  <si>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</si>
  <si>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</si>
  <si>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</si>
  <si>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</si>
  <si>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</si>
  <si>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</si>
  <si>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</si>
  <si>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</si>
  <si>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</si>
  <si>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</si>
  <si>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</si>
  <si>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</si>
  <si>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</si>
  <si>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</si>
  <si>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</si>
  <si>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</si>
  <si>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</si>
  <si>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</si>
  <si>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</si>
  <si>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</si>
  <si>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</si>
  <si>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</si>
  <si>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</si>
  <si>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</si>
  <si>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</si>
  <si>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</si>
  <si>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</si>
  <si>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</si>
  <si>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</si>
  <si>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</si>
  <si>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</si>
  <si>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</si>
  <si>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</si>
  <si>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</si>
  <si>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</si>
  <si>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</si>
  <si>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</si>
  <si>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</si>
  <si>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</si>
  <si>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</si>
  <si>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</si>
  <si>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</si>
  <si>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</si>
  <si>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</si>
  <si>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</si>
  <si>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</si>
  <si>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</si>
  <si>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</si>
  <si>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</si>
  <si>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</si>
  <si>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</si>
  <si>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</si>
  <si>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</si>
  <si>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</si>
  <si>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</si>
  <si>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</si>
  <si>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</si>
  <si>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</si>
  <si>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</si>
  <si>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</si>
  <si>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</si>
  <si>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</si>
  <si>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</si>
  <si>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</si>
  <si>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</si>
  <si>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</si>
  <si>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</si>
  <si>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</si>
  <si>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</si>
  <si>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</si>
  <si>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</si>
  <si>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</si>
  <si>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</si>
  <si>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</si>
  <si>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</si>
  <si>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</si>
  <si>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</si>
  <si>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</si>
  <si>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</si>
  <si>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</si>
  <si>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</si>
  <si>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</si>
  <si>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</si>
  <si>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</si>
  <si>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</si>
  <si>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</si>
  <si>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</si>
  <si>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</si>
  <si>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</si>
  <si>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</si>
  <si>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</si>
  <si>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</si>
  <si>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</si>
  <si>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</si>
  <si>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</si>
  <si>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</si>
  <si>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</si>
  <si>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</si>
  <si>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</si>
  <si>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</si>
  <si>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</si>
  <si>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</si>
  <si>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</si>
  <si>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</si>
  <si>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</si>
  <si>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</si>
  <si>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</si>
  <si>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</si>
  <si>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</si>
  <si>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</si>
  <si>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</si>
  <si>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</si>
  <si>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</si>
  <si>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</si>
  <si>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</si>
  <si>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</si>
  <si>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</si>
  <si>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</si>
  <si>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</si>
  <si>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</si>
  <si>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</si>
  <si>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</si>
  <si>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</si>
  <si>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</si>
  <si>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</si>
  <si>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</si>
  <si>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</si>
  <si>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</si>
  <si>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</si>
  <si>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</si>
  <si>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</si>
  <si>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</si>
  <si>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</si>
  <si>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</si>
  <si>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</si>
  <si>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</si>
  <si>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</si>
  <si>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</si>
  <si>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</si>
  <si>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</si>
  <si>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</si>
  <si>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</si>
  <si>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</si>
  <si>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</si>
  <si>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</si>
  <si>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</si>
  <si>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</si>
  <si>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</si>
  <si>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</si>
  <si>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</si>
  <si>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</si>
  <si>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</si>
  <si>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</si>
  <si>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</si>
  <si>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</si>
  <si>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</si>
  <si>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</si>
  <si>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</si>
  <si>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</si>
  <si>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</si>
  <si>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</si>
  <si>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</si>
  <si>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</si>
  <si>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</si>
  <si>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</si>
  <si>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</si>
  <si>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</si>
  <si>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</si>
  <si>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</si>
  <si>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</si>
  <si>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</si>
  <si>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</si>
  <si>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</si>
  <si>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</si>
  <si>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</si>
  <si>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</si>
  <si>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</si>
  <si>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</si>
  <si>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</si>
  <si>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</si>
  <si>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</si>
  <si>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</si>
  <si>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</si>
  <si>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</si>
  <si>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</si>
  <si>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</si>
  <si>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</si>
  <si>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</si>
  <si>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</si>
  <si>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</si>
  <si>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</si>
  <si>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</si>
  <si>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</si>
  <si>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</si>
  <si>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</si>
  <si>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</si>
  <si>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</si>
  <si>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</si>
  <si>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</si>
  <si>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</si>
  <si>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</si>
  <si>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</si>
  <si>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</si>
  <si>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</si>
  <si>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</si>
  <si>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</si>
  <si>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</si>
  <si>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</si>
  <si>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</si>
  <si>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</si>
  <si>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</si>
  <si>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</si>
  <si>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</si>
  <si>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</si>
  <si>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</si>
  <si>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</si>
  <si>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</si>
  <si>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</si>
  <si>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</si>
  <si>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</si>
  <si>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</si>
  <si>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</si>
  <si>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</si>
  <si>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</si>
  <si>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</si>
  <si>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</si>
  <si>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</si>
  <si>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</si>
  <si>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</si>
  <si>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</si>
  <si>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</si>
  <si>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</si>
  <si>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</si>
  <si>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</si>
  <si>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</si>
  <si>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</si>
  <si>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</si>
  <si>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</si>
  <si>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</si>
  <si>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</si>
  <si>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</si>
  <si>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</si>
  <si>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</si>
  <si>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</si>
  <si>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</si>
  <si>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</si>
  <si>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</si>
  <si>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</si>
  <si>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</si>
  <si>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</si>
  <si>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</si>
  <si>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</si>
  <si>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</si>
  <si>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</si>
  <si>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</si>
  <si>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</si>
  <si>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</si>
  <si>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</si>
  <si>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</si>
  <si>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</si>
  <si>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</si>
  <si>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</si>
  <si>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</si>
  <si>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</si>
  <si>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</si>
  <si>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</si>
  <si>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</si>
  <si>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</si>
  <si>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</si>
  <si>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</si>
  <si>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</si>
  <si>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</si>
  <si>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</si>
  <si>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</si>
  <si>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</si>
  <si>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</si>
  <si>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</si>
  <si>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</si>
  <si>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</si>
  <si>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</si>
  <si>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</si>
  <si>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</si>
  <si>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</si>
  <si>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</si>
  <si>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</si>
  <si>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</si>
  <si>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</si>
  <si>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</si>
  <si>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</si>
  <si>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</si>
  <si>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</si>
  <si>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</si>
  <si>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</si>
  <si>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</si>
  <si>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</si>
  <si>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</si>
  <si>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</si>
  <si>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</si>
  <si>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</si>
  <si>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</si>
  <si>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</si>
  <si>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</si>
  <si>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</si>
  <si>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</si>
  <si>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</si>
  <si>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</si>
  <si>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</si>
  <si>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</si>
  <si>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</si>
  <si>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</si>
  <si>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</si>
  <si>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</si>
  <si>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</si>
  <si>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</si>
  <si>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</si>
  <si>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</si>
  <si>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</si>
  <si>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</si>
  <si>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</si>
  <si>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</si>
  <si>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</si>
  <si>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</si>
  <si>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</si>
  <si>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</si>
  <si>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</si>
  <si>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</si>
  <si>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</si>
  <si>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</si>
  <si>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</si>
  <si>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</si>
  <si>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</si>
  <si>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</si>
  <si>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</si>
  <si>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</si>
  <si>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</si>
  <si>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</si>
  <si>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</si>
  <si>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</si>
  <si>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</si>
  <si>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</si>
  <si>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</si>
  <si>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</si>
  <si>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</si>
  <si>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</si>
  <si>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</si>
  <si>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</si>
  <si>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</si>
  <si>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</si>
  <si>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</si>
  <si>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</si>
  <si>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</si>
  <si>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</si>
  <si>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</si>
  <si>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</si>
  <si>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</si>
  <si>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</si>
  <si>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</si>
  <si>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</si>
  <si>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</si>
  <si>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</si>
  <si>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</si>
  <si>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</si>
  <si>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</si>
  <si>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</si>
  <si>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</si>
  <si>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</si>
  <si>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</si>
  <si>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</si>
  <si>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</si>
  <si>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</si>
  <si>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</si>
  <si>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</si>
  <si>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</si>
  <si>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</si>
  <si>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</si>
  <si>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</si>
  <si>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</si>
  <si>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</si>
  <si>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</si>
  <si>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</si>
  <si>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</si>
  <si>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</si>
  <si>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</si>
  <si>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</si>
  <si>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</si>
  <si>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</si>
  <si>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</si>
  <si>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</si>
  <si>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</si>
  <si>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</si>
  <si>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</si>
  <si>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</si>
  <si>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</si>
  <si>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</si>
  <si>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</si>
  <si>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</si>
  <si>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</si>
  <si>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</si>
  <si>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</si>
  <si>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</si>
  <si>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</si>
  <si>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</si>
  <si>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</si>
  <si>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</si>
  <si>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</si>
  <si>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</si>
  <si>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</si>
  <si>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</si>
  <si>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</si>
  <si>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</si>
  <si>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</si>
  <si>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</si>
  <si>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</si>
  <si>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</si>
  <si>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</si>
  <si>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</si>
  <si>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</si>
  <si>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</si>
  <si>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</si>
  <si>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</si>
  <si>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</si>
  <si>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</si>
  <si>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</si>
  <si>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</si>
  <si>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</si>
  <si>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</si>
  <si>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</si>
  <si>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</si>
  <si>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</si>
  <si>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</si>
  <si>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</si>
  <si>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</si>
  <si>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</si>
  <si>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</si>
  <si>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</si>
  <si>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</si>
  <si>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</si>
  <si>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</si>
  <si>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</si>
  <si>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</si>
  <si>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</si>
  <si>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</si>
  <si>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</si>
  <si>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</si>
  <si>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</si>
  <si>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</si>
  <si>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</si>
  <si>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</si>
  <si>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</si>
  <si>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</si>
  <si>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</si>
  <si>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</si>
  <si>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</si>
  <si>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</si>
  <si>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</si>
  <si>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</si>
  <si>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</si>
  <si>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</si>
  <si>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</si>
  <si>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</si>
  <si>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</si>
  <si>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</si>
  <si>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</si>
  <si>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</si>
  <si>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</si>
  <si>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</si>
  <si>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</si>
  <si>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</si>
  <si>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</si>
  <si>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</si>
  <si>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</si>
  <si>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</si>
  <si>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</si>
  <si>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</si>
  <si>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</si>
  <si>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</si>
  <si>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</si>
  <si>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</si>
  <si>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</si>
  <si>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</si>
  <si>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</si>
  <si>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</si>
  <si>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</si>
  <si>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</si>
  <si>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</si>
  <si>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</si>
  <si>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</si>
  <si>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</si>
  <si>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</si>
  <si>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</si>
  <si>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</si>
  <si>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</si>
  <si>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</si>
  <si>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</si>
  <si>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</si>
  <si>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</si>
  <si>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</si>
  <si>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</si>
  <si>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</si>
  <si>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</si>
  <si>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</si>
  <si>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</si>
  <si>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</si>
  <si>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</si>
  <si>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</si>
  <si>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</si>
  <si>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</si>
  <si>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</si>
  <si>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</si>
  <si>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</si>
  <si>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</si>
  <si>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</si>
  <si>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</si>
  <si>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</si>
  <si>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</si>
  <si>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</si>
  <si>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</si>
  <si>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</si>
  <si>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</si>
  <si>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</si>
  <si>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</si>
  <si>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</si>
  <si>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</si>
  <si>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</si>
  <si>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</si>
  <si>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</si>
  <si>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</si>
  <si>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</si>
  <si>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</si>
  <si>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</si>
  <si>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</si>
  <si>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</si>
  <si>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</si>
  <si>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</si>
  <si>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</si>
  <si>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</si>
  <si>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</si>
  <si>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</si>
  <si>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</si>
  <si>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</si>
  <si>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</si>
  <si>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</si>
  <si>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</si>
  <si>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</si>
  <si>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</si>
  <si>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</si>
  <si>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</si>
  <si>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</si>
  <si>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</si>
  <si>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</si>
  <si>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</si>
  <si>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</si>
  <si>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</si>
  <si>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</si>
  <si>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</si>
  <si>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</si>
  <si>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</si>
  <si>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</si>
  <si>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</si>
  <si>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</si>
  <si>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</si>
  <si>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</si>
  <si>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</si>
  <si>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</si>
  <si>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</si>
  <si>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</si>
  <si>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</si>
  <si>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</si>
  <si>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</si>
  <si>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</si>
  <si>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</si>
  <si>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</si>
  <si>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</si>
  <si>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</si>
  <si>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</si>
  <si>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</si>
  <si>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</si>
  <si>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</si>
  <si>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</si>
  <si>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</si>
  <si>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</si>
  <si>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</si>
  <si>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</si>
  <si>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</si>
  <si>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</si>
  <si>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</si>
  <si>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</si>
  <si>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</si>
  <si>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</si>
  <si>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</si>
  <si>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</si>
  <si>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</si>
  <si>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</si>
  <si>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</si>
  <si>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</si>
  <si>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</si>
  <si>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</si>
  <si>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</si>
  <si>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</si>
  <si>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</si>
  <si>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</si>
  <si>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</si>
  <si>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</si>
  <si>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</si>
  <si>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</si>
  <si>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</si>
  <si>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</si>
  <si>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</si>
  <si>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</si>
  <si>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</si>
  <si>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</si>
  <si>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</si>
  <si>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</si>
  <si>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</si>
  <si>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</si>
  <si>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</si>
  <si>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</si>
  <si>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</si>
  <si>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</si>
  <si>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</si>
  <si>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</si>
  <si>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</si>
  <si>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</si>
  <si>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</si>
  <si>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</si>
  <si>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</si>
  <si>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</si>
  <si>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</si>
  <si>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</si>
  <si>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</si>
  <si>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</si>
  <si>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</si>
  <si>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</si>
  <si>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</si>
  <si>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</si>
  <si>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</si>
  <si>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</si>
  <si>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</si>
  <si>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</si>
  <si>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</si>
  <si>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</si>
  <si>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</si>
  <si>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</si>
  <si>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</si>
  <si>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</si>
  <si>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</si>
  <si>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</si>
  <si>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</si>
  <si>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</si>
  <si>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</si>
  <si>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</si>
  <si>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</si>
  <si>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</si>
  <si>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</si>
  <si>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</si>
  <si>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</si>
  <si>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</si>
  <si>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</si>
  <si>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</si>
  <si>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</si>
  <si>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</si>
  <si>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</si>
  <si>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</si>
  <si>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</si>
  <si>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</si>
  <si>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</si>
  <si>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</si>
  <si>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</si>
  <si>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</si>
  <si>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</si>
  <si>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</si>
  <si>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</si>
  <si>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</si>
  <si>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</si>
  <si>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</si>
  <si>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</si>
  <si>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</si>
  <si>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</si>
  <si>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</si>
  <si>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</si>
  <si>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</si>
  <si>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</si>
  <si>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</si>
  <si>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</si>
  <si>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</si>
  <si>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</si>
  <si>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</si>
  <si>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</si>
  <si>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</si>
  <si>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</si>
  <si>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</si>
  <si>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</si>
  <si>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</si>
  <si>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</si>
  <si>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</si>
  <si>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</si>
  <si>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</si>
  <si>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</si>
  <si>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</si>
  <si>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</si>
  <si>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</si>
  <si>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</si>
  <si>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</si>
  <si>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</si>
  <si>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</si>
  <si>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</si>
  <si>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</si>
  <si>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</si>
  <si>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</si>
  <si>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</si>
  <si>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</si>
  <si>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</si>
  <si>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</si>
  <si>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</si>
  <si>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</si>
  <si>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</si>
  <si>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</si>
  <si>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</si>
  <si>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</si>
  <si>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</si>
  <si>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</si>
  <si>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</si>
  <si>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</si>
  <si>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</si>
  <si>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</si>
  <si>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</si>
  <si>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</si>
  <si>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</si>
  <si>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</si>
  <si>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</si>
  <si>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</si>
  <si>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</si>
  <si>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</si>
  <si>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</si>
  <si>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</si>
  <si>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</si>
  <si>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</si>
  <si>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</si>
  <si>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</si>
  <si>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</si>
  <si>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</si>
  <si>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</si>
  <si>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</si>
  <si>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</si>
  <si>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</si>
  <si>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</si>
  <si>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</si>
  <si>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</si>
  <si>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</si>
  <si>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</si>
  <si>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</si>
  <si>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</si>
  <si>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</si>
  <si>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</si>
  <si>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</si>
  <si>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</si>
  <si>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</si>
  <si>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</si>
  <si>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</si>
  <si>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</si>
  <si>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</si>
  <si>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</si>
  <si>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</si>
  <si>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</si>
  <si>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</si>
  <si>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</si>
  <si>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</si>
  <si>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</si>
  <si>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</si>
  <si>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</si>
  <si>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</si>
  <si>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</si>
  <si>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</si>
  <si>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</si>
  <si>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</si>
  <si>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</si>
  <si>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</si>
  <si>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</si>
  <si>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</si>
  <si>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</si>
  <si>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</si>
  <si>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</si>
  <si>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</si>
  <si>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</si>
  <si>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</si>
  <si>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</si>
  <si>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</si>
  <si>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</si>
  <si>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</si>
  <si>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</si>
  <si>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</si>
  <si>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</si>
  <si>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</si>
  <si>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</si>
  <si>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</si>
  <si>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</si>
  <si>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</si>
  <si>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</si>
  <si>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</si>
  <si>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</si>
  <si>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</si>
  <si>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</si>
  <si>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</si>
  <si>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</si>
  <si>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</si>
  <si>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</si>
  <si>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</si>
  <si>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</si>
  <si>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</si>
  <si>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</si>
  <si>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</si>
  <si>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</si>
  <si>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</si>
  <si>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</si>
  <si>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</si>
  <si>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</si>
  <si>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</si>
  <si>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</si>
  <si>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</si>
  <si>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</si>
  <si>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</si>
  <si>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</si>
  <si>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</si>
  <si>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</si>
  <si>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</si>
  <si>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</si>
  <si>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</si>
  <si>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</si>
  <si>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</si>
  <si>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</si>
  <si>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</si>
  <si>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</si>
  <si>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</si>
  <si>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</si>
  <si>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</si>
  <si>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</si>
  <si>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</si>
  <si>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</si>
  <si>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</si>
  <si>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</si>
  <si>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</si>
  <si>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</si>
  <si>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</si>
  <si>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</si>
  <si>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</si>
  <si>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</si>
  <si>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</si>
  <si>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</si>
  <si>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</si>
  <si>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</si>
  <si>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</si>
  <si>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</si>
  <si>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</si>
  <si>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</si>
  <si>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</si>
  <si>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</si>
  <si>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</si>
  <si>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</si>
  <si>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</si>
  <si>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</si>
  <si>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</si>
  <si>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</si>
  <si>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</si>
  <si>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</si>
  <si>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</si>
  <si>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</si>
  <si>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</si>
  <si>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</si>
  <si>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</si>
  <si>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</si>
  <si>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</si>
  <si>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</si>
  <si>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</si>
  <si>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</si>
  <si>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</si>
  <si>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</si>
  <si>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</si>
  <si>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</si>
  <si>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</si>
  <si>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</si>
  <si>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</si>
  <si>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</si>
  <si>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</si>
  <si>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</si>
  <si>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</si>
  <si>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</si>
  <si>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</si>
  <si>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</si>
  <si>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</si>
  <si>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</si>
  <si>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</si>
  <si>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</si>
  <si>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</si>
  <si>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</si>
  <si>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</si>
  <si>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</si>
  <si>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</si>
  <si>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</si>
  <si>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</si>
  <si>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</si>
  <si>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</si>
  <si>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</si>
  <si>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</si>
  <si>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</si>
  <si>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</si>
  <si>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</si>
  <si>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</si>
  <si>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</si>
  <si>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</si>
  <si>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</si>
  <si>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</si>
  <si>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</si>
  <si>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</si>
  <si>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</si>
  <si>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</si>
  <si>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</si>
  <si>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</si>
  <si>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</si>
  <si>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</si>
  <si>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</si>
  <si>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</si>
  <si>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</si>
  <si>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</si>
  <si>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</si>
  <si>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</si>
  <si>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</si>
  <si>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</si>
  <si>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</si>
  <si>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</si>
  <si>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</si>
  <si>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</si>
  <si>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</si>
  <si>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</si>
  <si>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</si>
  <si>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</si>
  <si>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</si>
  <si>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</si>
  <si>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</si>
  <si>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</si>
  <si>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</si>
  <si>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</si>
  <si>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</si>
  <si>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</si>
  <si>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</si>
  <si>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</si>
  <si>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</si>
  <si>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</si>
  <si>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</si>
  <si>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</si>
  <si>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</si>
  <si>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</si>
  <si>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</si>
  <si>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</si>
  <si>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</si>
  <si>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</si>
  <si>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</si>
  <si>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</si>
  <si>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</si>
  <si>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</si>
  <si>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</si>
  <si>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</si>
  <si>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</si>
  <si>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</si>
  <si>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</si>
  <si>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</si>
  <si>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</si>
  <si>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</si>
  <si>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</si>
  <si>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</si>
  <si>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</si>
  <si>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</si>
  <si>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</si>
  <si>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</si>
  <si>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</si>
  <si>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</si>
  <si>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</si>
  <si>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</si>
  <si>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</si>
  <si>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</si>
  <si>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</si>
  <si>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</si>
  <si>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</si>
  <si>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</si>
  <si>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</si>
  <si>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</si>
  <si>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</si>
  <si>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</si>
  <si>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</si>
  <si>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</si>
  <si>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</si>
  <si>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</si>
  <si>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</si>
  <si>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</si>
  <si>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</si>
  <si>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</si>
  <si>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</si>
  <si>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</si>
  <si>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</si>
  <si>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</si>
  <si>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</si>
  <si>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</si>
  <si>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</si>
  <si>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</si>
  <si>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</si>
  <si>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</si>
  <si>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</si>
  <si>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</si>
  <si>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</si>
  <si>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</si>
  <si>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</si>
  <si>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</si>
  <si>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</si>
  <si>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</si>
  <si>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</si>
  <si>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</si>
  <si>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</si>
  <si>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</si>
  <si>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</si>
  <si>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</si>
  <si>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</si>
  <si>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</si>
  <si>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</si>
  <si>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</si>
  <si>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</si>
  <si>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</si>
  <si>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</si>
  <si>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</si>
  <si>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</si>
  <si>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</si>
  <si>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</si>
  <si>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</si>
  <si>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</si>
  <si>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</si>
  <si>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</si>
  <si>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</si>
  <si>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</si>
  <si>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</si>
  <si>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</si>
  <si>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</si>
  <si>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</si>
  <si>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</si>
  <si>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</si>
  <si>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</si>
  <si>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</si>
  <si>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</si>
  <si>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</si>
  <si>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</si>
  <si>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</si>
  <si>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</si>
  <si>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</si>
  <si>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</si>
  <si>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</si>
  <si>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</si>
  <si>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</si>
  <si>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</si>
  <si>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</si>
  <si>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</si>
  <si>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</si>
  <si>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</si>
  <si>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</si>
  <si>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</si>
  <si>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</si>
  <si>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</si>
  <si>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</si>
  <si>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</si>
  <si>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</si>
  <si>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</si>
  <si>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</si>
  <si>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</si>
  <si>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</si>
  <si>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</si>
  <si>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</si>
  <si>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</si>
  <si>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</si>
  <si>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</si>
  <si>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</si>
  <si>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</si>
  <si>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</si>
  <si>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</si>
  <si>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</si>
  <si>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</si>
  <si>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</si>
  <si>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</si>
  <si>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</si>
  <si>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</si>
  <si>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</si>
  <si>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</si>
  <si>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</si>
  <si>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</si>
  <si>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</si>
  <si>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</si>
  <si>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</si>
  <si>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</si>
  <si>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</si>
  <si>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</si>
  <si>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</si>
  <si>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</si>
  <si>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</si>
  <si>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</si>
  <si>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</si>
  <si>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</si>
  <si>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</si>
  <si>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</si>
  <si>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</si>
  <si>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</si>
  <si>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</si>
  <si>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</si>
  <si>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</si>
  <si>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</si>
  <si>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</si>
  <si>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</si>
  <si>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</si>
  <si>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</si>
  <si>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</si>
  <si>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</si>
  <si>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</si>
  <si>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</si>
  <si>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</si>
  <si>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</si>
  <si>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</si>
  <si>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</si>
  <si>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</si>
  <si>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</si>
  <si>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</si>
  <si>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</si>
  <si>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</si>
  <si>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</si>
  <si>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</si>
  <si>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</si>
  <si>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</si>
  <si>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</si>
  <si>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</si>
  <si>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</si>
  <si>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</si>
  <si>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</si>
  <si>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</si>
  <si>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</si>
  <si>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</si>
  <si>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</si>
  <si>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</si>
  <si>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</si>
  <si>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</si>
  <si>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</si>
  <si>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</si>
  <si>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</si>
  <si>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</si>
  <si>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</si>
  <si>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</si>
  <si>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</si>
  <si>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</si>
  <si>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</si>
  <si>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</si>
  <si>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</si>
  <si>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</si>
  <si>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</si>
  <si>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</si>
  <si>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</si>
  <si>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</si>
  <si>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</si>
  <si>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</si>
  <si>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</si>
  <si>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</si>
  <si>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</si>
  <si>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</si>
  <si>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</si>
  <si>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</si>
  <si>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</si>
  <si>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</si>
  <si>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</si>
  <si>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</si>
  <si>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</si>
  <si>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</si>
  <si>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</si>
  <si>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</si>
  <si>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</si>
  <si>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</si>
  <si>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</si>
  <si>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</si>
  <si>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</si>
  <si>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</si>
  <si>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</si>
  <si>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</si>
  <si>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</si>
  <si>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</si>
  <si>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</si>
  <si>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</si>
  <si>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</si>
  <si>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</si>
  <si>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</si>
  <si>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</si>
  <si>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</si>
  <si>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</si>
  <si>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</si>
  <si>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</si>
  <si>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</si>
  <si>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</si>
  <si>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</si>
  <si>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</si>
  <si>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</si>
  <si>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</si>
  <si>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</si>
  <si>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</si>
  <si>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</si>
  <si>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</si>
  <si>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</si>
  <si>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</si>
  <si>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</si>
  <si>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</si>
  <si>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</si>
  <si>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</si>
  <si>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</si>
  <si>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</si>
  <si>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</si>
  <si>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</si>
  <si>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</si>
  <si>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</si>
  <si>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</si>
  <si>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</si>
  <si>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</si>
  <si>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</si>
  <si>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</si>
  <si>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</si>
  <si>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</si>
  <si>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</si>
  <si>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</si>
  <si>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</si>
  <si>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</si>
  <si>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</si>
  <si>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</si>
  <si>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</si>
  <si>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</si>
  <si>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</si>
  <si>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</si>
  <si>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</si>
  <si>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</si>
  <si>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</si>
  <si>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</si>
  <si>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</si>
  <si>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</si>
  <si>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</si>
  <si>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</si>
  <si>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</si>
  <si>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</si>
  <si>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</si>
  <si>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</si>
  <si>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</si>
  <si>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</si>
  <si>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</si>
  <si>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</si>
  <si>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</si>
  <si>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</si>
  <si>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</si>
  <si>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</si>
  <si>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</si>
  <si>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</si>
  <si>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</si>
  <si>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</si>
  <si>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</si>
  <si>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</si>
  <si>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</si>
  <si>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</si>
  <si>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</si>
  <si>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</si>
  <si>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</si>
  <si>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</si>
  <si>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</si>
  <si>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</si>
  <si>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</si>
  <si>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</si>
  <si>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</si>
  <si>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</si>
  <si>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</si>
  <si>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</si>
  <si>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</si>
  <si>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</si>
  <si>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</si>
  <si>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</si>
  <si>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</si>
  <si>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</si>
  <si>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</si>
  <si>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</si>
  <si>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</si>
  <si>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</si>
  <si>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</si>
  <si>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</si>
  <si>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</si>
  <si>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</si>
  <si>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</si>
  <si>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</si>
  <si>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</si>
  <si>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</si>
  <si>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</si>
  <si>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</si>
  <si>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</si>
  <si>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</si>
  <si>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</si>
  <si>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</si>
  <si>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</si>
  <si>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</si>
  <si>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</si>
  <si>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</si>
  <si>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</si>
  <si>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</si>
  <si>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</si>
  <si>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</si>
  <si>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</si>
  <si>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</si>
  <si>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</si>
  <si>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</si>
  <si>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</si>
  <si>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</si>
  <si>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</si>
  <si>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</si>
  <si>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</si>
  <si>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</si>
  <si>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</si>
  <si>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</si>
  <si>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</si>
  <si>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</si>
  <si>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</si>
  <si>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</si>
  <si>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</si>
  <si>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</si>
  <si>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</si>
  <si>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</si>
  <si>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</si>
  <si>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</si>
  <si>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</si>
  <si>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</si>
  <si>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</si>
  <si>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</si>
  <si>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</si>
  <si>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</si>
  <si>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</si>
  <si>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</si>
  <si>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</si>
  <si>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</si>
  <si>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</si>
  <si>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</si>
  <si>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</si>
  <si>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</si>
  <si>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</si>
  <si>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</si>
  <si>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</si>
  <si>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</si>
  <si>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</si>
  <si>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</si>
  <si>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</si>
  <si>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</si>
  <si>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</si>
  <si>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</si>
  <si>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</si>
  <si>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</si>
  <si>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</si>
  <si>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</si>
  <si>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</si>
  <si>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</si>
  <si>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</si>
  <si>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</si>
  <si>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</si>
  <si>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</si>
  <si>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</si>
  <si>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</si>
  <si>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</si>
  <si>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</si>
  <si>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</si>
  <si>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</si>
  <si>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</si>
  <si>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</si>
  <si>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</si>
  <si>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</si>
  <si>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</si>
  <si>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</si>
  <si>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</si>
  <si>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</si>
  <si>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</si>
  <si>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</si>
  <si>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</si>
  <si>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</si>
  <si>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</si>
  <si>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</si>
  <si>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</si>
  <si>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</si>
  <si>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</si>
  <si>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</si>
  <si>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</si>
  <si>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</si>
  <si>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</si>
  <si>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</si>
  <si>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</si>
  <si>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</si>
  <si>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</si>
  <si>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</si>
  <si>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</si>
  <si>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</si>
  <si>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</si>
  <si>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</si>
  <si>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</si>
  <si>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</si>
  <si>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</si>
  <si>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</si>
  <si>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</si>
  <si>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</si>
  <si>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</si>
  <si>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</si>
  <si>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</si>
  <si>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</si>
  <si>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</si>
  <si>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</si>
  <si>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</si>
  <si>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</si>
  <si>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</si>
  <si>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</si>
  <si>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</si>
  <si>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</si>
  <si>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</si>
  <si>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</si>
  <si>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</si>
  <si>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</si>
  <si>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</si>
  <si>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</si>
  <si>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</si>
  <si>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</si>
  <si>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</si>
  <si>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</si>
  <si>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</si>
  <si>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</si>
  <si>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</si>
  <si>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</si>
  <si>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</si>
  <si>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</si>
  <si>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</si>
  <si>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</si>
  <si>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</si>
  <si>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</si>
  <si>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</si>
  <si>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</si>
  <si>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</si>
  <si>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</si>
  <si>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</si>
  <si>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</si>
  <si>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</si>
  <si>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</si>
  <si>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</si>
  <si>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</si>
  <si>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</si>
  <si>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</si>
  <si>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</si>
  <si>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</si>
  <si>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</si>
  <si>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</si>
  <si>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</si>
  <si>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</si>
  <si>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</si>
  <si>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</si>
  <si>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</si>
  <si>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</si>
  <si>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</si>
  <si>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</si>
  <si>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</si>
  <si>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</si>
  <si>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</si>
  <si>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</si>
  <si>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</si>
  <si>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</si>
  <si>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</si>
  <si>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</si>
  <si>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</si>
  <si>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</si>
  <si>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</si>
  <si>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</si>
  <si>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</si>
  <si>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</si>
  <si>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</si>
  <si>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</si>
  <si>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</si>
  <si>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</si>
  <si>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</si>
  <si>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</si>
  <si>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</si>
  <si>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</si>
  <si>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</si>
  <si>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</si>
  <si>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</si>
  <si>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</si>
  <si>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</si>
  <si>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</si>
  <si>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</si>
  <si>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</si>
  <si>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</si>
  <si>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</si>
  <si>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</si>
  <si>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</si>
  <si>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</si>
  <si>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</si>
  <si>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</si>
  <si>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</si>
  <si>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</si>
  <si>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</si>
  <si>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</si>
  <si>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</si>
  <si>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</si>
  <si>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</si>
  <si>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</si>
  <si>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</si>
  <si>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</si>
  <si>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</si>
  <si>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</si>
  <si>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</si>
  <si>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</si>
  <si>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</si>
  <si>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</si>
  <si>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</si>
  <si>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</si>
  <si>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</si>
  <si>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</si>
  <si>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</si>
  <si>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</si>
  <si>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</si>
  <si>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</si>
  <si>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</si>
  <si>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</si>
  <si>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</si>
  <si>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</si>
  <si>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</si>
  <si>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</si>
  <si>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</si>
  <si>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</si>
  <si>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</si>
  <si>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</si>
  <si>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</si>
  <si>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</si>
  <si>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</si>
  <si>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</si>
  <si>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</si>
  <si>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</si>
  <si>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</si>
  <si>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</si>
  <si>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</si>
  <si>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</si>
  <si>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</si>
  <si>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</si>
  <si>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</si>
  <si>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</si>
  <si>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</si>
  <si>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</si>
  <si>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</si>
  <si>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</si>
  <si>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</si>
  <si>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</si>
  <si>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</si>
  <si>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</si>
  <si>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</si>
  <si>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</si>
  <si>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</si>
  <si>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</si>
  <si>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</si>
  <si>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</si>
  <si>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</si>
  <si>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</si>
  <si>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</si>
  <si>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</si>
  <si>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</si>
  <si>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</si>
  <si>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</si>
  <si>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</si>
  <si>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</si>
  <si>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</si>
  <si>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</si>
  <si>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</si>
  <si>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</si>
  <si>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</si>
  <si>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</si>
  <si>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</si>
  <si>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</si>
  <si>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</si>
  <si>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</si>
  <si>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</si>
  <si>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</si>
  <si>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</si>
  <si>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</si>
  <si>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</si>
  <si>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</si>
  <si>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</si>
  <si>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</si>
  <si>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</si>
  <si>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</si>
  <si>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</si>
  <si>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</si>
  <si>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</si>
  <si>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</si>
  <si>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</si>
  <si>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</si>
  <si>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</si>
  <si>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</si>
  <si>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</si>
  <si>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</si>
  <si>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</si>
  <si>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</si>
  <si>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</si>
  <si>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</si>
  <si>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</si>
  <si>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</si>
  <si>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</si>
  <si>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</si>
  <si>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</si>
  <si>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</si>
  <si>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</si>
  <si>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</si>
  <si>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</si>
  <si>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</si>
  <si>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</si>
  <si>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</si>
  <si>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</si>
  <si>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</si>
  <si>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</si>
  <si>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</si>
  <si>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</si>
  <si>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</si>
  <si>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</si>
  <si>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</si>
  <si>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</si>
  <si>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</si>
  <si>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</si>
  <si>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</si>
  <si>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</si>
  <si>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</si>
  <si>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</si>
  <si>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</si>
  <si>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</si>
  <si>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</si>
  <si>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</si>
  <si>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</si>
  <si>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</si>
  <si>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</si>
  <si>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</si>
  <si>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</si>
  <si>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</si>
  <si>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</si>
  <si>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</si>
  <si>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</si>
  <si>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</si>
  <si>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</si>
  <si>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</si>
  <si>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</si>
  <si>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</si>
  <si>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</si>
  <si>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</si>
  <si>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</si>
  <si>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</si>
  <si>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</si>
  <si>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</si>
  <si>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</si>
  <si>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</si>
  <si>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</si>
  <si>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</si>
  <si>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</si>
  <si>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</si>
  <si>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</si>
  <si>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</si>
  <si>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</si>
  <si>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</si>
  <si>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</si>
  <si>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</si>
  <si>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</si>
  <si>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</si>
  <si>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</si>
  <si>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</si>
  <si>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</si>
  <si>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</si>
  <si>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</si>
  <si>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</si>
  <si>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</si>
  <si>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</si>
  <si>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</si>
  <si>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</si>
  <si>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</si>
  <si>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</si>
  <si>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</si>
  <si>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</si>
  <si>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</si>
  <si>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</si>
  <si>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</si>
  <si>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</si>
  <si>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</si>
  <si>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</si>
  <si>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</si>
  <si>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</si>
  <si>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</si>
  <si>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</si>
  <si>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</si>
  <si>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</si>
  <si>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</si>
  <si>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</si>
  <si>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</si>
  <si>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</si>
  <si>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</si>
  <si>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</si>
  <si>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</si>
  <si>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</si>
  <si>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</si>
  <si>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</si>
  <si>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</si>
  <si>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</si>
  <si>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</si>
  <si>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</si>
  <si>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</si>
  <si>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</si>
  <si>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</si>
  <si>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</si>
  <si>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</si>
  <si>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</si>
  <si>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</si>
  <si>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</si>
  <si>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</si>
  <si>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</si>
  <si>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</si>
  <si>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</si>
  <si>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</si>
  <si>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</si>
  <si>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</si>
  <si>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</si>
  <si>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</si>
  <si>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</si>
  <si>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</si>
  <si>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</si>
  <si>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</si>
  <si>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</si>
  <si>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</si>
  <si>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</si>
  <si>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</si>
  <si>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</si>
  <si>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</si>
  <si>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</si>
  <si>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</si>
  <si>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</si>
  <si>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</si>
  <si>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</si>
  <si>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</si>
  <si>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</si>
  <si>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</si>
  <si>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</si>
  <si>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</si>
  <si>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</si>
  <si>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</si>
  <si>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</si>
  <si>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</si>
  <si>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</si>
  <si>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</si>
  <si>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</si>
  <si>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</si>
  <si>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</si>
  <si>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</si>
  <si>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</si>
  <si>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</si>
  <si>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</si>
  <si>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</si>
  <si>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</si>
  <si>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</si>
  <si>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</si>
  <si>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</si>
  <si>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</si>
  <si>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</si>
  <si>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</si>
  <si>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</si>
  <si>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</si>
  <si>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</si>
  <si>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</si>
  <si>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</si>
  <si>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</si>
  <si>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</si>
  <si>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</si>
  <si>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</si>
  <si>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</si>
  <si>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</si>
  <si>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</si>
  <si>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</si>
  <si>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</si>
  <si>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</si>
  <si>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</si>
  <si>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</si>
  <si>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</si>
  <si>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</si>
  <si>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</si>
  <si>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</si>
  <si>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</si>
  <si>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</si>
  <si>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</si>
  <si>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</si>
  <si>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</si>
  <si>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</si>
  <si>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</si>
  <si>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</si>
  <si>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</si>
  <si>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</si>
  <si>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</si>
  <si>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</si>
  <si>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</si>
  <si>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</si>
  <si>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</si>
  <si>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</si>
  <si>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</si>
  <si>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</si>
  <si>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</si>
  <si>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</si>
  <si>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</si>
  <si>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</si>
  <si>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</si>
  <si>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</si>
  <si>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</si>
  <si>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</si>
  <si>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</si>
  <si>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</si>
  <si>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</si>
  <si>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</si>
  <si>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PLK105199</t>
  </si>
  <si>
    <t>PLK105200</t>
  </si>
  <si>
    <t>PLK105202</t>
  </si>
  <si>
    <t>PLK105203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</si>
</sst>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29" headerRowBorderDxfId="30">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B1" activePane="topRight" state="frozen"/>
      <selection activeCell="Y82" sqref="Y82"/>
      <selection pane="topRight" activeCell="G31" sqref="G31"/>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t="s">
        <v>1902</v>
      </c>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t="s">
        <v>1903</v>
      </c>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t="s">
        <v>1904</v>
      </c>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t="s">
        <v>1905</v>
      </c>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3"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1"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6">SUM(V16-W16)</f>
        <v>0</v>
      </c>
      <c r="Y16" s="682">
        <f t="shared" ref="Y16" si="7">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 t="shared" ref="X17:X25" si="8">SUM(V17-W17)</f>
        <v>46</v>
      </c>
      <c r="Y17" s="682">
        <f t="shared" ref="Y17:Y25" si="9">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 t="shared" si="8"/>
        <v>0</v>
      </c>
      <c r="Y24" s="682">
        <f t="shared" si="9"/>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 t="shared" si="8"/>
        <v>37</v>
      </c>
      <c r="Y25" s="682">
        <f t="shared" si="9"/>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10">SUM(V26-W26)</f>
        <v>0</v>
      </c>
      <c r="Y26" s="682">
        <f t="shared" ref="Y26:Y27" si="11">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10"/>
        <v>20</v>
      </c>
      <c r="Y27" s="682">
        <f t="shared" si="11"/>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 t="shared" ref="X28:X53" si="12">SUM(V28-W28)</f>
        <v>-25</v>
      </c>
      <c r="Y28" s="682">
        <f t="shared" ref="Y28:Y53" si="13">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 t="shared" si="12"/>
        <v>0</v>
      </c>
      <c r="Y29" s="22">
        <f t="shared" si="13"/>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 t="shared" si="12"/>
        <v>-161</v>
      </c>
      <c r="Y30" s="682">
        <f t="shared" si="13"/>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 t="shared" si="12"/>
        <v>-194</v>
      </c>
      <c r="Y31" s="682">
        <f t="shared" si="13"/>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 t="shared" si="12"/>
        <v>0</v>
      </c>
      <c r="Y32" s="682">
        <f t="shared" si="13"/>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 t="shared" si="12"/>
        <v>0</v>
      </c>
      <c r="Y33" s="682">
        <f t="shared" si="13"/>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 t="shared" si="12"/>
        <v>0</v>
      </c>
      <c r="Y34" s="71">
        <f t="shared" si="13"/>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 t="shared" si="12"/>
        <v>66</v>
      </c>
      <c r="Y35" s="71">
        <f t="shared" si="13"/>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 t="shared" si="12"/>
        <v>7</v>
      </c>
      <c r="Y36" s="71">
        <f t="shared" si="13"/>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 t="shared" si="12"/>
        <v>-4</v>
      </c>
      <c r="Y37" s="71">
        <f t="shared" si="13"/>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 t="shared" si="12"/>
        <v>39</v>
      </c>
      <c r="Y38" s="515">
        <f t="shared" si="13"/>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 t="shared" si="12"/>
        <v>0</v>
      </c>
      <c r="Y39" s="515">
        <f t="shared" si="13"/>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 t="shared" si="12"/>
        <v>0</v>
      </c>
      <c r="Y40" s="901">
        <f t="shared" si="13"/>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 t="shared" si="12"/>
        <v>0</v>
      </c>
      <c r="Y41" s="901">
        <f t="shared" si="13"/>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 t="shared" si="12"/>
        <v>0</v>
      </c>
      <c r="Y42" s="901">
        <f t="shared" si="13"/>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 t="shared" si="12"/>
        <v>23</v>
      </c>
      <c r="Y43" s="901">
        <f t="shared" si="13"/>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 t="shared" si="12"/>
        <v>0</v>
      </c>
      <c r="Y44" s="901">
        <f t="shared" si="13"/>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 t="shared" si="12"/>
        <v>-7</v>
      </c>
      <c r="Y45" s="1036">
        <f t="shared" si="13"/>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 t="shared" si="12"/>
        <v>0</v>
      </c>
      <c r="Y46" s="901">
        <f t="shared" si="13"/>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 t="shared" si="12"/>
        <v>0</v>
      </c>
      <c r="Y47" s="901">
        <f t="shared" si="13"/>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 t="shared" si="12"/>
        <v>181</v>
      </c>
      <c r="Y48" s="1166">
        <f t="shared" si="13"/>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 t="shared" si="12"/>
        <v>6</v>
      </c>
      <c r="Y49" s="1036">
        <f t="shared" si="13"/>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 t="shared" si="12"/>
        <v>-174</v>
      </c>
      <c r="Y50" s="1036">
        <f t="shared" si="13"/>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 t="shared" si="12"/>
        <v>-118</v>
      </c>
      <c r="Y51" s="891">
        <f t="shared" si="13"/>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 t="shared" si="12"/>
        <v>-368</v>
      </c>
      <c r="Y52" s="1036">
        <f t="shared" si="13"/>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 t="shared" si="12"/>
        <v>-634</v>
      </c>
      <c r="Y53" s="1036">
        <f t="shared" si="13"/>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4"/>
      <c r="B1" s="1184"/>
      <c r="C1" s="1184"/>
      <c r="D1" s="1184"/>
      <c r="E1" s="1184"/>
      <c r="F1" s="1184"/>
      <c r="G1" s="1184"/>
      <c r="H1" s="1184"/>
      <c r="I1" s="1184"/>
      <c r="J1" s="1"/>
      <c r="K1" s="1"/>
      <c r="L1" s="1"/>
      <c r="M1" s="1"/>
      <c r="N1" s="1"/>
      <c r="O1" s="1"/>
      <c r="P1" s="1185" t="s">
        <v>34</v>
      </c>
      <c r="Q1" s="1185"/>
      <c r="R1" s="1185"/>
      <c r="S1" s="1185"/>
      <c r="T1" s="1185"/>
      <c r="U1" s="1185"/>
      <c r="V1" s="1185"/>
      <c r="W1" s="1185"/>
      <c r="X1" s="1185"/>
      <c r="Y1" s="1185"/>
      <c r="Z1" s="1185"/>
      <c r="AA1" s="1185"/>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6" t="s">
        <v>1844</v>
      </c>
      <c r="C1" s="1186"/>
      <c r="D1" s="575"/>
      <c r="E1" s="1186" t="s">
        <v>1845</v>
      </c>
      <c r="F1" s="1186"/>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7"/>
      <c r="B1" s="1187"/>
      <c r="C1" s="1187"/>
      <c r="D1" s="1187"/>
      <c r="E1" s="1187"/>
      <c r="F1" s="1187"/>
      <c r="G1" s="1187"/>
      <c r="H1" s="1188" t="s">
        <v>1871</v>
      </c>
      <c r="I1" s="1188"/>
      <c r="J1" s="1188"/>
      <c r="K1" s="1188"/>
      <c r="L1" s="1188"/>
      <c r="M1" s="1188"/>
      <c r="N1" s="1188"/>
      <c r="O1" s="1188"/>
      <c r="P1" s="264"/>
      <c r="Q1" s="1189" t="s">
        <v>34</v>
      </c>
      <c r="R1" s="1189"/>
      <c r="S1" s="1185"/>
      <c r="T1" s="1189"/>
      <c r="U1" s="1189"/>
      <c r="V1" s="1189"/>
      <c r="W1" s="1189"/>
      <c r="X1" s="1189"/>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ds:schemaRefs>
    <ds:schemaRef ds:uri="http://schemas.microsoft.com/office/2006/documentManagement/types"/>
    <ds:schemaRef ds:uri="http://purl.org/dc/terms/"/>
    <ds:schemaRef ds:uri="http://purl.org/dc/dcmitype/"/>
    <ds:schemaRef ds:uri="http://schemas.microsoft.com/office/2006/metadata/properties"/>
    <ds:schemaRef ds:uri="http://schemas.microsoft.com/office/infopath/2007/PartnerControls"/>
    <ds:schemaRef ds:uri="http://www.w3.org/XML/1998/namespace"/>
    <ds:schemaRef ds:uri="http://purl.org/dc/elements/1.1/"/>
    <ds:schemaRef ds:uri="http://schemas.openxmlformats.org/package/2006/metadata/core-properties"/>
    <ds:schemaRef ds:uri="95191114-83a2-4429-8039-c88d28ff804e"/>
    <ds:schemaRef ds:uri="http://schemas.microsoft.com/sharepoint/v3"/>
  </ds:schemaRefs>
</ds:datastoreItem>
</file>

<file path=customXml/itemProps2.xml><?xml version="1.0" encoding="utf-8"?>
<ds:datastoreItem xmlns:ds="http://schemas.openxmlformats.org/officeDocument/2006/customXml" ds:itemID="{EC457EB7-6B26-4AAC-B316-429F05422BB3}">
  <ds:schemaRefs>
    <ds:schemaRef ds:uri="http://schemas.microsoft.com/sharepoint/v3/contenttype/forms"/>
  </ds:schemaRefs>
</ds:datastoreItem>
</file>

<file path=customXml/itemProps3.xml><?xml version="1.0" encoding="utf-8"?>
<ds:datastoreItem xmlns:ds="http://schemas.openxmlformats.org/officeDocument/2006/customXml" ds:itemID="{43018181-3A25-47F2-B3C3-B8B4E7DD8BFD}"/>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Tillman UG Footage</vt:lpstr>
      <vt:lpstr>Completed Projects Pending PW</vt:lpstr>
      <vt:lpstr>Projects Pending Tillman QC </vt:lpstr>
      <vt:lpstr>Comp Projects Invoiced-Paid Out</vt:lpstr>
      <vt:lpstr>Production Summary</vt:lpstr>
      <vt:lpstr>Daily Production_RAW DATA</vt:lpstr>
      <vt:lpstr>UG Condensed</vt:lpstr>
      <vt:lpstr>Projects No Longer With LS</vt:lpstr>
      <vt:lpstr>Completed Jobs Summary</vt:lpstr>
      <vt:lpstr>Project Summary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2025-11-28T00:15:33Z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