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70" documentId="8_{E14B221E-02E2-46A3-8CEC-C736815F2DD5}" xr6:coauthVersionLast="47" xr6:coauthVersionMax="47" xr10:uidLastSave="{65B68C7E-9EC8-4041-B4A0-162FE22409B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395" r:id="rId12"/>
    <pivotCache cacheId="1398" r:id="rId13"/>
    <pivotCache cacheId="1401" r:id="rId14"/>
    <pivotCache cacheId="1404" r:id="rId15"/>
    <pivotCache cacheId="1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<sst xmlns="http://schemas.openxmlformats.org/spreadsheetml/2006/main" count="15030" uniqueCount="1893">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</sst>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B1" activePane="topRight" state="frozen"/>
      <selection pane="topRight" activeCell="A101" sqref="A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81">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81">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81">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81">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81">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81">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c r="C1004">
        <v>68</v>
      </c>
      <c r="D1004">
        <v>68</v>
      </c>
    </row>
    <row r="1005" spans="1:7">
      <c r="A1005" t="s">
        <v>997</v>
      </c>
    </row>
    <row r="1006" spans="1:7">
      <c r="A1006" t="s">
        <v>405</v>
      </c>
    </row>
    <row r="1007" spans="1:7">
      <c r="A1007" t="s">
        <v>388</v>
      </c>
    </row>
    <row r="1008" spans="1:7">
      <c r="A1008" t="s">
        <v>404</v>
      </c>
    </row>
    <row r="1009" spans="1:4">
      <c r="A1009" t="s">
        <v>330</v>
      </c>
      <c r="C1009">
        <v>1175</v>
      </c>
      <c r="D1009">
        <v>1175</v>
      </c>
    </row>
    <row r="1010" spans="1:4">
      <c r="A1010" t="s">
        <v>325</v>
      </c>
      <c r="C1010">
        <v>996</v>
      </c>
      <c r="D1010">
        <v>996</v>
      </c>
    </row>
    <row r="1011" spans="1:4">
      <c r="A1011" t="s">
        <v>385</v>
      </c>
      <c r="B1011">
        <v>900</v>
      </c>
      <c r="D1011">
        <v>900</v>
      </c>
    </row>
    <row r="1012" spans="1:4">
      <c r="A1012" t="s">
        <v>417</v>
      </c>
    </row>
    <row r="1013" spans="1:4">
      <c r="A1013" t="s">
        <v>415</v>
      </c>
    </row>
    <row r="1014" spans="1:4">
      <c r="A1014" t="s">
        <v>1013</v>
      </c>
      <c r="B1014">
        <v>2805</v>
      </c>
      <c r="C1014">
        <v>1397</v>
      </c>
      <c r="D1014">
        <v>4202</v>
      </c>
    </row>
    <row r="1015" spans="1:4">
      <c r="A1015" t="s">
        <v>159</v>
      </c>
      <c r="B1015">
        <v>665</v>
      </c>
      <c r="C1015">
        <v>1360</v>
      </c>
      <c r="D1015">
        <v>2025</v>
      </c>
    </row>
    <row r="1016" spans="1:4">
      <c r="A1016" t="s">
        <v>423</v>
      </c>
      <c r="B1016">
        <v>805</v>
      </c>
      <c r="D1016">
        <v>805</v>
      </c>
    </row>
    <row r="1017" spans="1:4">
      <c r="A1017" t="s">
        <v>426</v>
      </c>
      <c r="B1017">
        <v>572</v>
      </c>
      <c r="D1017">
        <v>572</v>
      </c>
    </row>
    <row r="1018" spans="1:4">
      <c r="A1018" t="s">
        <v>1015</v>
      </c>
      <c r="B1018">
        <v>1718</v>
      </c>
      <c r="C1018">
        <v>2468</v>
      </c>
      <c r="D1018">
        <v>4186</v>
      </c>
    </row>
    <row r="1019" spans="1:4">
      <c r="A1019" t="s">
        <v>342</v>
      </c>
      <c r="C1019">
        <v>3411</v>
      </c>
      <c r="D1019">
        <v>3411</v>
      </c>
    </row>
    <row r="1020" spans="1:4">
      <c r="A1020" t="s">
        <v>215</v>
      </c>
      <c r="B1020">
        <v>82</v>
      </c>
      <c r="D1020">
        <v>82</v>
      </c>
    </row>
    <row r="1021" spans="1:4">
      <c r="A1021" t="s">
        <v>345</v>
      </c>
      <c r="C1021">
        <v>3311</v>
      </c>
      <c r="D1021">
        <v>3311</v>
      </c>
    </row>
    <row r="1022" spans="1:4">
      <c r="A1022" t="s">
        <v>318</v>
      </c>
      <c r="C1022">
        <v>2568</v>
      </c>
      <c r="D1022">
        <v>2568</v>
      </c>
    </row>
    <row r="1023" spans="1:4">
      <c r="A1023" t="s">
        <v>184</v>
      </c>
      <c r="B1023">
        <v>286</v>
      </c>
      <c r="C1023">
        <v>357</v>
      </c>
      <c r="D1023">
        <v>643</v>
      </c>
    </row>
    <row r="1024" spans="1:4">
      <c r="A1024" t="s">
        <v>302</v>
      </c>
      <c r="B1024">
        <v>1655</v>
      </c>
      <c r="D1024">
        <v>1655</v>
      </c>
    </row>
    <row r="1025" spans="1:4">
      <c r="A1025" t="s">
        <v>333</v>
      </c>
      <c r="C1025">
        <v>2382</v>
      </c>
      <c r="D1025">
        <v>2382</v>
      </c>
    </row>
    <row r="1026" spans="1:4">
      <c r="A1026" t="s">
        <v>163</v>
      </c>
      <c r="C1026">
        <v>1100</v>
      </c>
      <c r="D1026">
        <v>1100</v>
      </c>
    </row>
    <row r="1027" spans="1:4">
      <c r="A1027" t="s">
        <v>1016</v>
      </c>
      <c r="C1027">
        <v>486</v>
      </c>
      <c r="D1027">
        <v>486</v>
      </c>
    </row>
    <row r="1028" spans="1:4">
      <c r="A1028" t="s">
        <v>348</v>
      </c>
      <c r="C1028">
        <v>3634</v>
      </c>
      <c r="D1028">
        <v>3634</v>
      </c>
    </row>
    <row r="1029" spans="1:4">
      <c r="A1029" t="s">
        <v>945</v>
      </c>
      <c r="B1029">
        <v>9488</v>
      </c>
      <c r="C1029">
        <v>24713</v>
      </c>
      <c r="D1029">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11" activePane="bottomLeft" state="frozen"/>
      <selection pane="bottomLeft" activeCell="F2122" sqref="F212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v>157086</v>
      </c>
      <c r="E4" s="44" t="s">
        <v>1837</v>
      </c>
      <c r="F4" t="s">
        <v>948</v>
      </c>
      <c r="W4" t="s">
        <v>1841</v>
      </c>
      <c r="X4">
        <v>22</v>
      </c>
    </row>
    <row r="5" spans="1:25">
      <c r="B5" t="s">
        <v>71</v>
      </c>
      <c r="C5">
        <v>42670</v>
      </c>
      <c r="E5" t="s">
        <v>948</v>
      </c>
      <c r="F5">
        <v>229798</v>
      </c>
      <c r="K5" s="44" t="s">
        <v>1842</v>
      </c>
      <c r="P5" s="44" t="s">
        <v>1842</v>
      </c>
      <c r="W5" t="s">
        <v>1843</v>
      </c>
      <c r="X5">
        <v>13</v>
      </c>
    </row>
    <row r="6" spans="1:25">
      <c r="B6" t="s">
        <v>104</v>
      </c>
      <c r="C6">
        <v>22387</v>
      </c>
      <c r="K6" s="44" t="s">
        <v>27</v>
      </c>
      <c r="L6" s="44" t="s">
        <v>1844</v>
      </c>
      <c r="M6" t="s">
        <v>948</v>
      </c>
      <c r="P6" s="44" t="s">
        <v>1845</v>
      </c>
      <c r="Q6" s="44" t="s">
        <v>1844</v>
      </c>
      <c r="R6" t="s">
        <v>948</v>
      </c>
    </row>
    <row r="7" spans="1:25">
      <c r="B7" t="s">
        <v>974</v>
      </c>
      <c r="C7">
        <v>238374</v>
      </c>
      <c r="K7" t="s">
        <v>1838</v>
      </c>
      <c r="L7" t="s">
        <v>578</v>
      </c>
      <c r="M7">
        <v>1</v>
      </c>
      <c r="P7" t="s">
        <v>1846</v>
      </c>
      <c r="R7">
        <v>1</v>
      </c>
      <c r="X7" t="s">
        <v>1847</v>
      </c>
      <c r="Y7" t="s">
        <v>1848</v>
      </c>
    </row>
    <row r="8" spans="1:25">
      <c r="B8" t="s">
        <v>51</v>
      </c>
      <c r="C8">
        <v>446</v>
      </c>
      <c r="L8" t="s">
        <v>580</v>
      </c>
      <c r="M8">
        <v>1</v>
      </c>
      <c r="P8" t="s">
        <v>1849</v>
      </c>
      <c r="R8">
        <v>1</v>
      </c>
      <c r="V8" t="s">
        <v>1850</v>
      </c>
      <c r="W8" s="261">
        <v>203521</v>
      </c>
      <c r="X8" s="317">
        <f>X5/X4</f>
        <v>0.59090909090909094</v>
      </c>
      <c r="Y8" s="317">
        <f>W9/W8</f>
        <v>0.31446386367991508</v>
      </c>
    </row>
    <row r="9" spans="1:25">
      <c r="B9" t="s">
        <v>22</v>
      </c>
      <c r="C9">
        <v>0</v>
      </c>
      <c r="L9" t="s">
        <v>1851</v>
      </c>
      <c r="M9">
        <v>1</v>
      </c>
      <c r="P9" t="s">
        <v>1852</v>
      </c>
      <c r="Q9" t="s">
        <v>1851</v>
      </c>
      <c r="R9">
        <v>1</v>
      </c>
      <c r="V9" t="s">
        <v>1853</v>
      </c>
      <c r="W9">
        <v>64000</v>
      </c>
    </row>
    <row r="10" spans="1:25">
      <c r="B10" t="s">
        <v>239</v>
      </c>
      <c r="C10">
        <v>7128</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1854</v>
      </c>
      <c r="R12">
        <v>1</v>
      </c>
    </row>
    <row r="13" spans="1:25">
      <c r="B13" t="s">
        <v>223</v>
      </c>
      <c r="C13">
        <v>16290</v>
      </c>
      <c r="L13" t="s">
        <v>1855</v>
      </c>
      <c r="M13">
        <v>1</v>
      </c>
      <c r="Q13" t="s">
        <v>898</v>
      </c>
      <c r="R13">
        <v>1</v>
      </c>
    </row>
    <row r="14" spans="1:25">
      <c r="B14" t="s">
        <v>133</v>
      </c>
      <c r="C14">
        <v>7655</v>
      </c>
      <c r="L14" t="s">
        <v>697</v>
      </c>
      <c r="M14">
        <v>1</v>
      </c>
      <c r="P14" t="s">
        <v>1856</v>
      </c>
      <c r="R14">
        <v>5</v>
      </c>
    </row>
    <row r="15" spans="1:25">
      <c r="B15" t="s">
        <v>191</v>
      </c>
      <c r="C15">
        <v>3</v>
      </c>
      <c r="L15" t="s">
        <v>1854</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1857</v>
      </c>
      <c r="M21">
        <v>1</v>
      </c>
    </row>
    <row r="22" spans="2:13">
      <c r="L22" t="s">
        <v>898</v>
      </c>
      <c r="M22">
        <v>1</v>
      </c>
    </row>
    <row r="23" spans="2:13">
      <c r="L23" t="s">
        <v>741</v>
      </c>
      <c r="M23">
        <v>1</v>
      </c>
    </row>
    <row r="24" spans="2:13">
      <c r="L24" t="s">
        <v>759</v>
      </c>
      <c r="M24">
        <v>1</v>
      </c>
    </row>
    <row r="25" spans="2:13">
      <c r="L25" t="s">
        <v>187</v>
      </c>
      <c r="M25">
        <v>1</v>
      </c>
    </row>
    <row r="26" spans="2:13">
      <c r="K26" t="s">
        <v>1858</v>
      </c>
      <c r="M26">
        <v>19</v>
      </c>
    </row>
    <row r="27" spans="2:13">
      <c r="K27" t="s">
        <v>1859</v>
      </c>
      <c r="L27" t="s">
        <v>691</v>
      </c>
      <c r="M27">
        <v>1</v>
      </c>
    </row>
    <row r="28" spans="2:13">
      <c r="L28" t="s">
        <v>693</v>
      </c>
      <c r="M28">
        <v>1</v>
      </c>
    </row>
    <row r="29" spans="2:13">
      <c r="L29" t="s">
        <v>695</v>
      </c>
      <c r="M29">
        <v>1</v>
      </c>
    </row>
    <row r="30" spans="2:13">
      <c r="L30" t="s">
        <v>711</v>
      </c>
      <c r="M30">
        <v>1</v>
      </c>
    </row>
    <row r="31" spans="2:13">
      <c r="L31" t="s">
        <v>713</v>
      </c>
      <c r="M31">
        <v>1</v>
      </c>
    </row>
    <row r="32" spans="2:13">
      <c r="L32" t="s">
        <v>1860</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1861</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401A99-CEE8-4BF5-BB97-2809BA2F70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2025-11-26T18:07:17Z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