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03" documentId="8_{E14B221E-02E2-46A3-8CEC-C736815F2DD5}" xr6:coauthVersionLast="47" xr6:coauthVersionMax="47" xr10:uidLastSave="{8CACB6BD-FD80-48DC-9AA1-70D5F044E71A}"/>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4666" r:id="rId12"/>
    <pivotCache cacheId="4667" r:id="rId13"/>
    <pivotCache cacheId="4668" r:id="rId14"/>
    <pivotCache cacheId="4669" r:id="rId15"/>
    <pivotCache cacheId="46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9" i="2"/>
  <c r="Y120" i="2"/>
  <c r="Y121" i="2"/>
  <c r="Y122" i="2"/>
  <c r="Y123" i="2"/>
  <c r="Y124" i="2"/>
  <c r="Y125" i="2"/>
  <c r="Y126" i="2"/>
  <c r="Y127" i="2"/>
  <c r="Y128" i="2"/>
  <c r="Y129" i="2"/>
  <c r="Y130"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<sst xmlns="http://schemas.openxmlformats.org/spreadsheetml/2006/main" count="16492" uniqueCount="2130">
  <si>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</si>
  <si>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</si>
  <si>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</si>
  <si>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</si>
  <si>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</si>
  <si>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</si>
  <si>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</si>
  <si>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</si>
  <si>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</si>
  <si>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</si>
  <si>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</si>
  <si>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</si>
  <si>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</si>
  <si>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</si>
  <si>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</si>
  <si>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</si>
  <si>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</si>
  <si>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</si>
  <si>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</si>
  <si>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</si>
  <si>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</si>
  <si>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</si>
  <si>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</si>
  <si>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</si>
  <si>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</si>
  <si>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</si>
  <si>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</si>
  <si>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</si>
  <si>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</si>
  <si>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</si>
  <si>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</si>
  <si>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</si>
  <si>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</si>
  <si>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</si>
  <si>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</si>
  <si>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</si>
  <si>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</si>
  <si>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</si>
  <si>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</si>
  <si>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</si>
  <si>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</si>
  <si>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</si>
  <si>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</si>
  <si>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</si>
  <si>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</si>
  <si>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</si>
  <si>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</si>
  <si>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</si>
  <si>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</si>
  <si>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</si>
  <si>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</si>
  <si>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</si>
  <si>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</si>
  <si>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</si>
  <si>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</si>
  <si>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</si>
  <si>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</si>
  <si>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</si>
  <si>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</si>
  <si>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</si>
  <si>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</si>
  <si>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</si>
  <si>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</si>
  <si>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</si>
  <si>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</si>
  <si>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</si>
  <si>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</si>
  <si>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</si>
  <si>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</si>
  <si>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</si>
  <si>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</si>
  <si>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</si>
  <si>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</si>
  <si>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</si>
  <si>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</si>
  <si>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</si>
  <si>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</si>
  <si>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</si>
  <si>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</si>
  <si>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</si>
  <si>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</si>
  <si>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</si>
  <si>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</si>
  <si>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</si>
  <si>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</si>
  <si>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</si>
  <si>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</si>
  <si>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</si>
  <si>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</si>
  <si>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</si>
  <si>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</si>
  <si>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</si>
  <si>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</si>
  <si>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</si>
  <si>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</si>
  <si>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</si>
  <si>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</si>
  <si>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</si>
  <si>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</si>
  <si>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</si>
  <si>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</si>
  <si>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</si>
  <si>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</si>
  <si>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</si>
  <si>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</si>
  <si>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</si>
  <si>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</si>
  <si>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</si>
  <si>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</si>
  <si>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</si>
  <si>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</si>
  <si>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</si>
  <si>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</si>
  <si>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</si>
  <si>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</si>
  <si>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</si>
  <si>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</si>
  <si>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</si>
  <si>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</si>
  <si>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</si>
  <si>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</si>
  <si>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</si>
  <si>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</si>
  <si>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</si>
  <si>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</si>
  <si>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</si>
  <si>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</si>
  <si>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</si>
  <si>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</si>
  <si>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</si>
  <si>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</si>
  <si>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</si>
  <si>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</si>
  <si>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</si>
  <si>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</si>
  <si>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</si>
  <si>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</si>
  <si>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</si>
  <si>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</si>
  <si>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</si>
  <si>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</si>
  <si>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</si>
  <si>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</si>
  <si>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</si>
  <si>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</si>
  <si>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</si>
  <si>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</si>
  <si>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</si>
  <si>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</si>
  <si>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</si>
  <si>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</si>
  <si>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</si>
  <si>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</si>
  <si>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</si>
  <si>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</si>
  <si>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t>
  </si>
  <si>
    <t>8/20 Pending Permit.LC 11-4/Refreshed Locates 12-18-2025/Cx Starts 12-29-2029/Cx Completed 12-29-2025/ Placing Stingray 12-30/Splicing Scheduled/</t>
  </si>
  <si>
    <t>D-HWP1317</t>
  </si>
  <si>
    <t>PLK105460</t>
  </si>
  <si>
    <t>Completed on Track</t>
  </si>
  <si>
    <t>8/20 Pending Permit.LC 11-4/Refreshed Locates 12-18-2025/Cx Starts 12-29-2029/  12/30 CX Construction Started--Progress At 58% Complete./Cx Completed 12-29-2025/ Placing Stingray 12-30/Splicing Scheduled /</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</si>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</sst>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46" fillId="0" borderId="15" xfId="0" applyNumberFormat="1" applyFont="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0" fontId="45" fillId="4" borderId="27" xfId="0" applyFont="1" applyFill="1" applyBorder="1"/>
    <xf numFmtId="14" fontId="45" fillId="0" borderId="27" xfId="0" applyNumberFormat="1" applyFont="1" applyBorder="1" applyAlignment="1">
      <alignment horizontal="center"/>
    </xf>
    <xf numFmtId="0" fontId="46" fillId="0" borderId="27" xfId="0" applyFont="1" applyBorder="1" applyAlignment="1">
      <alignment horizontal="center"/>
    </xf>
    <xf numFmtId="0" fontId="45" fillId="0" borderId="25"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45" fillId="0" borderId="27" xfId="0" applyFont="1" applyBorder="1" applyAlignment="1">
      <alignment horizontal="center"/>
    </xf>
    <xf numFmtId="2" fontId="46" fillId="4" borderId="27"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opLeftCell="A118" zoomScale="90" zoomScaleNormal="90" workbookViewId="0">
      <pane xSplit="1" topLeftCell="B114" activePane="topRight" state="frozen"/>
      <selection pane="topRight" activeCell="L114" sqref="L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t="s">
        <v>131</v>
      </c>
      <c r="E30" s="1206">
        <v>46021</v>
      </c>
      <c r="F30" s="1207" t="s">
        <v>112</v>
      </c>
      <c r="G30" s="1207" t="s">
        <v>137</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57" t="s">
        <v>139</v>
      </c>
      <c r="B31" s="1207" t="s">
        <v>111</v>
      </c>
      <c r="C31" s="1206">
        <v>46006</v>
      </c>
      <c r="D31" s="1206" t="s">
        <v>131</v>
      </c>
      <c r="E31" s="1206">
        <v>46021</v>
      </c>
      <c r="F31" s="1207" t="s">
        <v>112</v>
      </c>
      <c r="G31" s="1207" t="s">
        <v>140</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57" t="s">
        <v>142</v>
      </c>
      <c r="B32" s="1207" t="s">
        <v>111</v>
      </c>
      <c r="C32" s="1206">
        <v>46006</v>
      </c>
      <c r="D32" s="1206" t="s">
        <v>143</v>
      </c>
      <c r="E32" s="1206">
        <v>46021</v>
      </c>
      <c r="F32" s="1207" t="s">
        <v>144</v>
      </c>
      <c r="G32" s="1207" t="s">
        <v>145</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57" t="s">
        <v>147</v>
      </c>
      <c r="B33" s="1207" t="s">
        <v>111</v>
      </c>
      <c r="C33" s="1206">
        <v>46006</v>
      </c>
      <c r="D33" s="1206" t="s">
        <v>143</v>
      </c>
      <c r="E33" s="1206">
        <v>46021</v>
      </c>
      <c r="F33" s="1207" t="s">
        <v>144</v>
      </c>
      <c r="G33" s="1207" t="s">
        <v>148</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05" t="s">
        <v>153</v>
      </c>
      <c r="B36" s="1207" t="s">
        <v>111</v>
      </c>
      <c r="C36" s="1206">
        <v>46001</v>
      </c>
      <c r="D36" s="1206" t="s">
        <v>131</v>
      </c>
      <c r="E36" s="1206">
        <v>46009</v>
      </c>
      <c r="F36" s="1207" t="s">
        <v>112</v>
      </c>
      <c r="G36" s="1207" t="s">
        <v>154</v>
      </c>
      <c r="H36" s="1208">
        <v>48</v>
      </c>
      <c r="I36" s="661" t="s">
        <v>55</v>
      </c>
      <c r="J36" s="1208" t="s">
        <v>63</v>
      </c>
      <c r="K36" s="1208"/>
      <c r="L36" s="1206">
        <v>45965</v>
      </c>
      <c r="M36" s="1208" t="s">
        <v>57</v>
      </c>
      <c r="N36" s="1209">
        <v>18021.7</v>
      </c>
      <c r="O36" s="1208" t="s">
        <v>57</v>
      </c>
      <c r="P36" s="1210" t="s">
        <v>155</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156</v>
      </c>
      <c r="AE36" s="1242"/>
    </row>
    <row r="37" spans="1:32" ht="24.75" customHeight="1">
      <c r="A37" s="1279" t="s">
        <v>157</v>
      </c>
      <c r="B37" s="1207" t="s">
        <v>111</v>
      </c>
      <c r="C37" s="1206">
        <v>46001</v>
      </c>
      <c r="D37" s="1206" t="s">
        <v>131</v>
      </c>
      <c r="E37" s="1206">
        <v>46009</v>
      </c>
      <c r="F37" s="1207" t="s">
        <v>112</v>
      </c>
      <c r="G37" s="1207" t="s">
        <v>158</v>
      </c>
      <c r="H37" s="1208">
        <v>56</v>
      </c>
      <c r="I37" s="661" t="s">
        <v>159</v>
      </c>
      <c r="J37" s="1208" t="s">
        <v>63</v>
      </c>
      <c r="K37" s="1208"/>
      <c r="L37" s="1206">
        <v>45965</v>
      </c>
      <c r="M37" s="1208" t="s">
        <v>57</v>
      </c>
      <c r="N37" s="1209">
        <v>20705</v>
      </c>
      <c r="O37" s="1208" t="s">
        <v>57</v>
      </c>
      <c r="P37" s="1280" t="s">
        <v>155</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6"/>
      <c r="K60" s="1416"/>
      <c r="L60" s="1354"/>
      <c r="M60" s="1228" t="s">
        <v>57</v>
      </c>
      <c r="N60" s="1417">
        <v>1035</v>
      </c>
      <c r="O60" s="1228" t="s">
        <v>57</v>
      </c>
      <c r="P60" s="1241" t="s">
        <v>58</v>
      </c>
      <c r="Q60" s="1418"/>
      <c r="R60" s="1418"/>
      <c r="S60" s="1418"/>
      <c r="T60" s="1418"/>
      <c r="U60" s="1418"/>
      <c r="V60" s="1419">
        <v>0</v>
      </c>
      <c r="W60" s="1420"/>
      <c r="X60" s="1420">
        <f>SUM(V60-W60)</f>
        <v>0</v>
      </c>
      <c r="Y60" s="662">
        <f>IFERROR($W60/$V60, 0)</f>
        <v>0</v>
      </c>
      <c r="Z60" s="1421"/>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22"/>
      <c r="I74" s="829" t="s">
        <v>55</v>
      </c>
      <c r="J74" s="832" t="s">
        <v>63</v>
      </c>
      <c r="K74" s="1416"/>
      <c r="L74" s="1356"/>
      <c r="M74" s="829" t="s">
        <v>57</v>
      </c>
      <c r="N74" s="1417">
        <v>36998.550000000003</v>
      </c>
      <c r="O74" s="829" t="s">
        <v>57</v>
      </c>
      <c r="P74" s="1241" t="s">
        <v>58</v>
      </c>
      <c r="Q74" s="1418"/>
      <c r="R74" s="1418"/>
      <c r="S74" s="1418"/>
      <c r="T74" s="1418"/>
      <c r="U74" s="1418"/>
      <c r="V74" s="1419">
        <v>2944</v>
      </c>
      <c r="W74" s="1420"/>
      <c r="X74" s="1420">
        <f>SUM(V74-W74)</f>
        <v>2944</v>
      </c>
      <c r="Y74" s="662">
        <f>IFERROR($W74/$V74, 0)</f>
        <v>0</v>
      </c>
      <c r="Z74" s="1421"/>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6"/>
      <c r="L83" s="1356"/>
      <c r="M83" s="1228" t="s">
        <v>57</v>
      </c>
      <c r="N83" s="1417">
        <v>118710.8</v>
      </c>
      <c r="O83" s="1228" t="s">
        <v>57</v>
      </c>
      <c r="P83" s="1210" t="s">
        <v>58</v>
      </c>
      <c r="Q83" s="1418"/>
      <c r="R83" s="1418"/>
      <c r="S83" s="1418"/>
      <c r="T83" s="1418"/>
      <c r="U83" s="1418"/>
      <c r="V83" s="1419">
        <v>9628</v>
      </c>
      <c r="W83" s="1420"/>
      <c r="X83" s="1420">
        <f>SUM(V83-W83)</f>
        <v>9628</v>
      </c>
      <c r="Y83" s="662">
        <f>IFERROR($W83/$V83, 0)</f>
        <v>0</v>
      </c>
      <c r="Z83" s="1418"/>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169</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169</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95" t="s">
        <v>337</v>
      </c>
      <c r="B107" s="1300" t="s">
        <v>316</v>
      </c>
      <c r="C107" s="1301">
        <v>46021</v>
      </c>
      <c r="D107" s="1396" t="s">
        <v>131</v>
      </c>
      <c r="E107" s="1301">
        <v>45987</v>
      </c>
      <c r="F107" s="1397" t="s">
        <v>169</v>
      </c>
      <c r="G107" s="1397" t="s">
        <v>338</v>
      </c>
      <c r="H107" s="1398">
        <v>73</v>
      </c>
      <c r="I107" s="829" t="s">
        <v>55</v>
      </c>
      <c r="J107" s="1228" t="s">
        <v>63</v>
      </c>
      <c r="K107" s="1399"/>
      <c r="L107" s="1400">
        <v>45987</v>
      </c>
      <c r="M107" s="1228" t="s">
        <v>57</v>
      </c>
      <c r="N107" s="1209">
        <v>71371</v>
      </c>
      <c r="O107" s="1401"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A108" s="1402"/>
      <c r="B108" s="1152"/>
      <c r="C108" s="1302"/>
      <c r="D108" s="649"/>
      <c r="E108" s="1302"/>
      <c r="F108" s="1303"/>
      <c r="G108" s="1303"/>
      <c r="H108" s="1304"/>
      <c r="I108" s="660"/>
      <c r="J108" s="1308"/>
      <c r="K108" s="1305"/>
      <c r="L108" s="1306"/>
      <c r="M108" s="1308"/>
      <c r="N108" s="1403"/>
      <c r="O108" s="1308"/>
      <c r="P108" s="1276"/>
      <c r="Q108" s="1394"/>
      <c r="R108" s="1310"/>
      <c r="S108" s="1310"/>
      <c r="T108" s="1310"/>
      <c r="U108" s="1310"/>
      <c r="V108" s="1270"/>
      <c r="W108" s="1270"/>
      <c r="X108" s="1270"/>
      <c r="Y108" s="1153"/>
      <c r="Z108" s="1204"/>
      <c r="AA108" s="1214"/>
      <c r="AB108" s="1214"/>
      <c r="AC108" s="1232"/>
      <c r="AD108" s="1261"/>
      <c r="AE108" s="1271"/>
    </row>
    <row r="109" spans="1:31" ht="24.75" customHeight="1">
      <c r="A109" s="1402"/>
      <c r="B109" s="1152"/>
      <c r="C109" s="1302"/>
      <c r="D109" s="649"/>
      <c r="E109" s="1302"/>
      <c r="F109" s="1303"/>
      <c r="G109" s="1303"/>
      <c r="H109" s="1304"/>
      <c r="I109" s="660"/>
      <c r="J109" s="1308"/>
      <c r="K109" s="1305"/>
      <c r="L109" s="1306"/>
      <c r="M109" s="1308"/>
      <c r="N109" s="1403"/>
      <c r="O109" s="1308"/>
      <c r="P109" s="1276"/>
      <c r="Q109" s="1394"/>
      <c r="R109" s="1310"/>
      <c r="S109" s="1310"/>
      <c r="T109" s="1310"/>
      <c r="U109" s="1310"/>
      <c r="V109" s="1270"/>
      <c r="W109" s="1270"/>
      <c r="X109" s="1270"/>
      <c r="Y109" s="1153"/>
      <c r="Z109" s="1204"/>
      <c r="AA109" s="1214"/>
      <c r="AB109" s="1214"/>
      <c r="AC109" s="1232"/>
      <c r="AD109" s="1261"/>
      <c r="AE109" s="1271"/>
    </row>
    <row r="110" spans="1:31" ht="24.75" customHeight="1">
      <c r="A110" s="1402"/>
      <c r="B110" s="1152"/>
      <c r="C110" s="1302"/>
      <c r="D110" s="649"/>
      <c r="E110" s="1302"/>
      <c r="F110" s="1303"/>
      <c r="G110" s="1303"/>
      <c r="H110" s="1304"/>
      <c r="I110" s="660"/>
      <c r="J110" s="1308"/>
      <c r="K110" s="1305"/>
      <c r="L110" s="1306"/>
      <c r="M110" s="1308"/>
      <c r="N110" s="1403"/>
      <c r="O110" s="1308"/>
      <c r="P110" s="1276"/>
      <c r="Q110" s="1394"/>
      <c r="R110" s="1310"/>
      <c r="S110" s="1310"/>
      <c r="T110" s="1310"/>
      <c r="U110" s="1310"/>
      <c r="V110" s="1270"/>
      <c r="W110" s="1270"/>
      <c r="X110" s="1270"/>
      <c r="Y110" s="1153"/>
      <c r="Z110" s="1204"/>
      <c r="AA110" s="1214"/>
      <c r="AB110" s="1214"/>
      <c r="AC110" s="1232"/>
      <c r="AD110" s="1261"/>
      <c r="AE110" s="1271"/>
    </row>
    <row r="111" spans="1:31" ht="24.75" customHeight="1">
      <c r="A111" s="1402"/>
      <c r="B111" s="1152"/>
      <c r="C111" s="1302"/>
      <c r="D111" s="649"/>
      <c r="E111" s="1302"/>
      <c r="F111" s="1303"/>
      <c r="G111" s="1303"/>
      <c r="H111" s="1304"/>
      <c r="I111" s="660"/>
      <c r="J111" s="1308"/>
      <c r="K111" s="1305"/>
      <c r="L111" s="1306"/>
      <c r="M111" s="1308"/>
      <c r="N111" s="1403"/>
      <c r="O111" s="1308"/>
      <c r="P111" s="1276"/>
      <c r="Q111" s="1394"/>
      <c r="R111" s="1310"/>
      <c r="S111" s="1310"/>
      <c r="T111" s="1310"/>
      <c r="U111" s="1310"/>
      <c r="V111" s="1270"/>
      <c r="W111" s="1270"/>
      <c r="X111" s="1270"/>
      <c r="Y111" s="1153"/>
      <c r="Z111" s="1204"/>
      <c r="AA111" s="1214"/>
      <c r="AB111" s="1214"/>
      <c r="AC111" s="1232"/>
      <c r="AD111" s="1261"/>
      <c r="AE111" s="1271"/>
    </row>
    <row r="112" spans="1:31" ht="24.75" customHeight="1">
      <c r="A112" s="1402"/>
      <c r="B112" s="1152"/>
      <c r="C112" s="1302"/>
      <c r="D112" s="649"/>
      <c r="E112" s="1302"/>
      <c r="F112" s="1303"/>
      <c r="G112" s="1303"/>
      <c r="H112" s="1304"/>
      <c r="I112" s="660"/>
      <c r="J112" s="1308"/>
      <c r="K112" s="1305"/>
      <c r="L112" s="1306"/>
      <c r="M112" s="1308"/>
      <c r="N112" s="1403"/>
      <c r="O112" s="1308"/>
      <c r="P112" s="1276"/>
      <c r="Q112" s="1394"/>
      <c r="R112" s="1310"/>
      <c r="S112" s="1310"/>
      <c r="T112" s="1310"/>
      <c r="U112" s="1310"/>
      <c r="V112" s="1270"/>
      <c r="W112" s="1270"/>
      <c r="X112" s="1270"/>
      <c r="Y112" s="1153"/>
      <c r="Z112" s="1204"/>
      <c r="AA112" s="1214"/>
      <c r="AB112" s="1214"/>
      <c r="AC112" s="1232"/>
      <c r="AD112" s="1261"/>
      <c r="AE112" s="1271"/>
    </row>
    <row r="113" spans="1:31" ht="24.75" customHeight="1">
      <c r="A113" s="1402"/>
      <c r="B113" s="1152"/>
      <c r="C113" s="1302"/>
      <c r="D113" s="649"/>
      <c r="E113" s="1302"/>
      <c r="F113" s="1303"/>
      <c r="G113" s="1303"/>
      <c r="H113" s="1304"/>
      <c r="I113" s="660"/>
      <c r="J113" s="1308"/>
      <c r="K113" s="1305"/>
      <c r="L113" s="1306"/>
      <c r="M113" s="1308"/>
      <c r="N113" s="1403"/>
      <c r="O113" s="1308"/>
      <c r="P113" s="1276"/>
      <c r="Q113" s="1394"/>
      <c r="R113" s="1310"/>
      <c r="S113" s="1310"/>
      <c r="T113" s="1310"/>
      <c r="U113" s="1310"/>
      <c r="V113" s="1270"/>
      <c r="W113" s="1270"/>
      <c r="X113" s="1270"/>
      <c r="Y113" s="1153"/>
      <c r="Z113" s="1204"/>
      <c r="AA113" s="1214"/>
      <c r="AB113" s="1214"/>
      <c r="AC113" s="1232"/>
      <c r="AD113" s="1261"/>
      <c r="AE113" s="1271"/>
    </row>
    <row r="114" spans="1:31" ht="24.75" customHeight="1">
      <c r="A114" s="1402"/>
      <c r="B114" s="1152"/>
      <c r="C114" s="1302"/>
      <c r="D114" s="649"/>
      <c r="E114" s="1302"/>
      <c r="F114" s="1303"/>
      <c r="G114" s="1303"/>
      <c r="H114" s="1304"/>
      <c r="I114" s="660"/>
      <c r="J114" s="1308"/>
      <c r="K114" s="1305"/>
      <c r="L114" s="1306"/>
      <c r="M114" s="1308"/>
      <c r="N114" s="1403"/>
      <c r="O114" s="1308"/>
      <c r="P114" s="1276"/>
      <c r="Q114" s="1394"/>
      <c r="R114" s="1310"/>
      <c r="S114" s="1310"/>
      <c r="T114" s="1310"/>
      <c r="U114" s="1310"/>
      <c r="V114" s="1270"/>
      <c r="W114" s="1270"/>
      <c r="X114" s="1270"/>
      <c r="Y114" s="1153"/>
      <c r="Z114" s="1204"/>
      <c r="AA114" s="1214"/>
      <c r="AB114" s="1214"/>
      <c r="AC114" s="1232"/>
      <c r="AD114" s="1261"/>
      <c r="AE114" s="1271"/>
    </row>
    <row r="115" spans="1:31" ht="24.75" customHeight="1">
      <c r="A115" s="1414"/>
      <c r="B115" s="1300"/>
      <c r="C115" s="1301"/>
      <c r="D115" s="1020"/>
      <c r="E115" s="1301"/>
      <c r="F115" s="1397"/>
      <c r="G115" s="1397"/>
      <c r="H115" s="1398"/>
      <c r="I115" s="791"/>
      <c r="J115" s="1401"/>
      <c r="K115" s="1399"/>
      <c r="L115" s="1400"/>
      <c r="M115" s="1401"/>
      <c r="N115" s="1415"/>
      <c r="O115" s="1401"/>
      <c r="P115" s="1276"/>
      <c r="Q115" s="1394"/>
      <c r="R115" s="1310"/>
      <c r="S115" s="1310"/>
      <c r="T115" s="1310"/>
      <c r="U115" s="1310"/>
      <c r="V115" s="1270"/>
      <c r="W115" s="1270"/>
      <c r="X115" s="1270"/>
      <c r="Y115" s="1153"/>
      <c r="Z115" s="1204"/>
      <c r="AA115" s="1214"/>
      <c r="AB115" s="1214"/>
      <c r="AC115" s="1232"/>
      <c r="AD115" s="1261"/>
      <c r="AE115" s="1271"/>
    </row>
    <row r="116" spans="1:31" ht="24.75" customHeight="1">
      <c r="A116" s="1303"/>
      <c r="B116" s="1305"/>
      <c r="C116" s="1305"/>
      <c r="D116" s="1305"/>
      <c r="E116" s="1305"/>
      <c r="F116" s="1303"/>
      <c r="G116" s="1303"/>
      <c r="H116" s="1305"/>
      <c r="I116" s="1305"/>
      <c r="J116" s="1305"/>
      <c r="K116" s="1305"/>
      <c r="L116" s="1303"/>
      <c r="M116" s="1305"/>
      <c r="N116" s="1404"/>
      <c r="O116" s="1305"/>
      <c r="P116" s="1271"/>
      <c r="Q116" s="1273"/>
    </row>
    <row r="117" spans="1:31" ht="24.75" customHeight="1">
      <c r="A117" s="1303"/>
      <c r="B117" s="1305"/>
      <c r="C117" s="1305"/>
      <c r="D117" s="1305"/>
      <c r="E117" s="1305"/>
      <c r="F117" s="1303"/>
      <c r="G117" s="1303"/>
      <c r="H117" s="1305"/>
      <c r="I117" s="1305"/>
      <c r="J117" s="1305"/>
      <c r="K117" s="1305"/>
      <c r="L117" s="1303"/>
      <c r="M117" s="1305"/>
      <c r="N117" s="1404"/>
      <c r="O117" s="1305"/>
      <c r="P117" s="1411"/>
      <c r="Q117" s="1256"/>
      <c r="R117" s="1256"/>
      <c r="S117" s="1256"/>
      <c r="T117" s="1256"/>
      <c r="U117" s="1256"/>
      <c r="V117" s="1363"/>
      <c r="W117" s="1256"/>
      <c r="X117" s="1256"/>
      <c r="Y117" s="1256"/>
      <c r="Z117" s="1256"/>
      <c r="AA117" s="1256"/>
      <c r="AB117" s="1256"/>
      <c r="AC117" s="1256"/>
      <c r="AD117" s="1364"/>
    </row>
    <row r="118" spans="1:31" ht="24.75" customHeight="1">
      <c r="A118" s="1315" t="s">
        <v>339</v>
      </c>
      <c r="B118" s="1315" t="s">
        <v>20</v>
      </c>
      <c r="C118" s="1315" t="s">
        <v>21</v>
      </c>
      <c r="D118" s="1315" t="s">
        <v>22</v>
      </c>
      <c r="E118" s="1315" t="s">
        <v>23</v>
      </c>
      <c r="F118" s="1315" t="s">
        <v>24</v>
      </c>
      <c r="G118" s="1315" t="s">
        <v>25</v>
      </c>
      <c r="H118" s="1315" t="s">
        <v>26</v>
      </c>
      <c r="I118" s="1315" t="s">
        <v>27</v>
      </c>
      <c r="J118" s="1315" t="s">
        <v>28</v>
      </c>
      <c r="K118" s="1315" t="s">
        <v>29</v>
      </c>
      <c r="L118" s="1315" t="s">
        <v>30</v>
      </c>
      <c r="M118" s="1315" t="s">
        <v>31</v>
      </c>
      <c r="N118" s="1405" t="s">
        <v>32</v>
      </c>
      <c r="O118" s="1315" t="s">
        <v>33</v>
      </c>
      <c r="P118" s="1412" t="s">
        <v>34</v>
      </c>
      <c r="Q118" s="1321" t="s">
        <v>35</v>
      </c>
      <c r="R118" s="1321" t="s">
        <v>36</v>
      </c>
      <c r="S118" s="1321" t="s">
        <v>37</v>
      </c>
      <c r="T118" s="1321" t="s">
        <v>38</v>
      </c>
      <c r="U118" s="1321" t="s">
        <v>39</v>
      </c>
      <c r="V118" s="1321" t="s">
        <v>40</v>
      </c>
      <c r="W118" s="1321" t="s">
        <v>41</v>
      </c>
      <c r="X118" s="1321" t="s">
        <v>42</v>
      </c>
      <c r="Y118" s="1321" t="s">
        <v>43</v>
      </c>
      <c r="Z118" s="1321" t="s">
        <v>44</v>
      </c>
      <c r="AA118" s="1368" t="s">
        <v>45</v>
      </c>
      <c r="AB118" s="1321" t="s">
        <v>46</v>
      </c>
      <c r="AC118" s="1321" t="s">
        <v>47</v>
      </c>
      <c r="AD118" s="1369" t="s">
        <v>48</v>
      </c>
      <c r="AE118" s="1271"/>
    </row>
    <row r="119" spans="1:31" ht="24.75" customHeight="1">
      <c r="A119" s="1303" t="s">
        <v>340</v>
      </c>
      <c r="B119" s="1152" t="s">
        <v>341</v>
      </c>
      <c r="C119" s="1302">
        <v>46081</v>
      </c>
      <c r="D119" s="649"/>
      <c r="E119" s="1302"/>
      <c r="F119" s="1303"/>
      <c r="G119" s="1303"/>
      <c r="H119" s="1326">
        <v>53</v>
      </c>
      <c r="I119" s="660" t="s">
        <v>55</v>
      </c>
      <c r="J119" s="1308" t="s">
        <v>63</v>
      </c>
      <c r="K119" s="1327"/>
      <c r="L119" s="1302"/>
      <c r="M119" s="1308" t="s">
        <v>57</v>
      </c>
      <c r="N119" s="1406">
        <v>51528.05</v>
      </c>
      <c r="O119" s="1308" t="s">
        <v>57</v>
      </c>
      <c r="P119" s="1276" t="s">
        <v>58</v>
      </c>
      <c r="Q119" s="1259"/>
      <c r="R119" s="1310"/>
      <c r="S119" s="1310"/>
      <c r="T119" s="1310"/>
      <c r="U119" s="1310"/>
      <c r="V119" s="1330">
        <v>4005</v>
      </c>
      <c r="W119" s="1270"/>
      <c r="X119" s="1330">
        <v>4005</v>
      </c>
      <c r="Y119" s="1153">
        <f t="shared" ref="Y119:Y130" si="10">IFERROR($W119/$V119, 0)</f>
        <v>0</v>
      </c>
      <c r="Z119" s="1204"/>
      <c r="AA119" s="1293">
        <v>0</v>
      </c>
      <c r="AB119" s="1293">
        <v>0</v>
      </c>
      <c r="AC119" s="1290">
        <v>0</v>
      </c>
      <c r="AD119" s="1261" t="s">
        <v>342</v>
      </c>
      <c r="AE119" s="1271"/>
    </row>
    <row r="120" spans="1:31" ht="24.75" customHeight="1">
      <c r="A120" s="1303" t="s">
        <v>343</v>
      </c>
      <c r="B120" s="1152" t="s">
        <v>341</v>
      </c>
      <c r="C120" s="1302">
        <v>46081</v>
      </c>
      <c r="D120" s="649"/>
      <c r="E120" s="1302"/>
      <c r="F120" s="1303"/>
      <c r="G120" s="1303"/>
      <c r="H120" s="1326">
        <v>55</v>
      </c>
      <c r="I120" s="660" t="s">
        <v>55</v>
      </c>
      <c r="J120" s="1308" t="s">
        <v>63</v>
      </c>
      <c r="K120" s="1327"/>
      <c r="L120" s="1302"/>
      <c r="M120" s="1308" t="s">
        <v>57</v>
      </c>
      <c r="N120" s="1406">
        <v>55435.9</v>
      </c>
      <c r="O120" s="1308" t="s">
        <v>57</v>
      </c>
      <c r="P120" s="1276" t="s">
        <v>58</v>
      </c>
      <c r="Q120" s="1259"/>
      <c r="R120" s="1310"/>
      <c r="S120" s="1310"/>
      <c r="T120" s="1310"/>
      <c r="U120" s="1310"/>
      <c r="V120" s="1330">
        <v>4571</v>
      </c>
      <c r="W120" s="1370"/>
      <c r="X120" s="1330">
        <v>4571</v>
      </c>
      <c r="Y120" s="876">
        <f t="shared" si="10"/>
        <v>0</v>
      </c>
      <c r="Z120" s="1259"/>
      <c r="AA120" s="1293">
        <v>0</v>
      </c>
      <c r="AB120" s="1293">
        <v>0</v>
      </c>
      <c r="AC120" s="1290">
        <v>0</v>
      </c>
      <c r="AD120" s="1261" t="s">
        <v>342</v>
      </c>
      <c r="AE120" s="1271"/>
    </row>
    <row r="121" spans="1:31" ht="24.75" customHeight="1">
      <c r="A121" s="1303" t="s">
        <v>344</v>
      </c>
      <c r="B121" s="1152" t="s">
        <v>341</v>
      </c>
      <c r="C121" s="1302">
        <v>46081</v>
      </c>
      <c r="D121" s="649"/>
      <c r="E121" s="1302"/>
      <c r="F121" s="1303"/>
      <c r="G121" s="1303"/>
      <c r="H121" s="1304">
        <v>71</v>
      </c>
      <c r="I121" s="660" t="s">
        <v>55</v>
      </c>
      <c r="J121" s="1308" t="s">
        <v>63</v>
      </c>
      <c r="K121" s="1327"/>
      <c r="L121" s="1302"/>
      <c r="M121" s="1308" t="s">
        <v>57</v>
      </c>
      <c r="N121" s="1403">
        <v>74320.899999999994</v>
      </c>
      <c r="O121" s="1308" t="s">
        <v>57</v>
      </c>
      <c r="P121" s="1276" t="s">
        <v>58</v>
      </c>
      <c r="Q121" s="1334"/>
      <c r="R121" s="1310"/>
      <c r="S121" s="1310"/>
      <c r="T121" s="1310"/>
      <c r="U121" s="1310"/>
      <c r="V121" s="1270">
        <v>5990</v>
      </c>
      <c r="W121" s="1370"/>
      <c r="X121" s="1270">
        <v>5990</v>
      </c>
      <c r="Y121" s="876">
        <f t="shared" si="10"/>
        <v>0</v>
      </c>
      <c r="Z121" s="1259"/>
      <c r="AA121" s="1293">
        <v>0</v>
      </c>
      <c r="AB121" s="1293">
        <v>0</v>
      </c>
      <c r="AC121" s="1290">
        <v>0</v>
      </c>
      <c r="AD121" s="1261" t="s">
        <v>342</v>
      </c>
      <c r="AE121" s="1271"/>
    </row>
    <row r="122" spans="1:31" ht="24.75" customHeight="1">
      <c r="A122" s="1303" t="s">
        <v>345</v>
      </c>
      <c r="B122" s="1152" t="s">
        <v>341</v>
      </c>
      <c r="C122" s="1302">
        <v>46081</v>
      </c>
      <c r="D122" s="649"/>
      <c r="E122" s="1302"/>
      <c r="F122" s="1303"/>
      <c r="G122" s="1303"/>
      <c r="H122" s="1304">
        <v>88</v>
      </c>
      <c r="I122" s="660" t="s">
        <v>55</v>
      </c>
      <c r="J122" s="1308" t="s">
        <v>63</v>
      </c>
      <c r="K122" s="1327"/>
      <c r="L122" s="1302"/>
      <c r="M122" s="1308" t="s">
        <v>57</v>
      </c>
      <c r="N122" s="1403">
        <v>88069</v>
      </c>
      <c r="O122" s="1308" t="s">
        <v>57</v>
      </c>
      <c r="P122" s="1276" t="s">
        <v>58</v>
      </c>
      <c r="Q122" s="1334"/>
      <c r="R122" s="1310"/>
      <c r="S122" s="1310"/>
      <c r="T122" s="1310"/>
      <c r="U122" s="1310"/>
      <c r="V122" s="1270">
        <v>7242</v>
      </c>
      <c r="W122" s="1370"/>
      <c r="X122" s="1270">
        <v>7242</v>
      </c>
      <c r="Y122" s="876">
        <f t="shared" si="10"/>
        <v>0</v>
      </c>
      <c r="Z122" s="1259"/>
      <c r="AA122" s="1293">
        <v>0</v>
      </c>
      <c r="AB122" s="1293">
        <v>0</v>
      </c>
      <c r="AC122" s="1290">
        <v>0</v>
      </c>
      <c r="AD122" s="1261" t="s">
        <v>342</v>
      </c>
      <c r="AE122" s="1271"/>
    </row>
    <row r="123" spans="1:31" ht="24.75" customHeight="1">
      <c r="A123" s="1303" t="s">
        <v>346</v>
      </c>
      <c r="B123" s="1152" t="s">
        <v>341</v>
      </c>
      <c r="C123" s="1302">
        <v>46081</v>
      </c>
      <c r="D123" s="649"/>
      <c r="E123" s="1302"/>
      <c r="F123" s="1303"/>
      <c r="G123" s="1303"/>
      <c r="H123" s="1304">
        <v>73</v>
      </c>
      <c r="I123" s="660" t="s">
        <v>55</v>
      </c>
      <c r="J123" s="1308" t="s">
        <v>63</v>
      </c>
      <c r="K123" s="1305"/>
      <c r="L123" s="1306"/>
      <c r="M123" s="1308" t="s">
        <v>91</v>
      </c>
      <c r="N123" s="1403"/>
      <c r="O123" s="1308" t="s">
        <v>57</v>
      </c>
      <c r="P123" s="1276" t="s">
        <v>58</v>
      </c>
      <c r="Q123" s="1334"/>
      <c r="R123" s="1310"/>
      <c r="S123" s="1310"/>
      <c r="T123" s="1310"/>
      <c r="U123" s="1310"/>
      <c r="V123" s="1270">
        <v>7660</v>
      </c>
      <c r="W123" s="1370"/>
      <c r="X123" s="1270">
        <v>7660</v>
      </c>
      <c r="Y123" s="876">
        <f t="shared" si="10"/>
        <v>0</v>
      </c>
      <c r="Z123" s="1204"/>
      <c r="AA123" s="1293">
        <v>0</v>
      </c>
      <c r="AB123" s="1293">
        <v>0</v>
      </c>
      <c r="AC123" s="1290">
        <v>0</v>
      </c>
      <c r="AD123" s="1261" t="s">
        <v>342</v>
      </c>
      <c r="AE123" s="1271"/>
    </row>
    <row r="124" spans="1:31" ht="24.75" customHeight="1">
      <c r="A124" s="1303" t="s">
        <v>347</v>
      </c>
      <c r="B124" s="1152" t="s">
        <v>341</v>
      </c>
      <c r="C124" s="1302">
        <v>46081</v>
      </c>
      <c r="D124" s="649"/>
      <c r="E124" s="1302"/>
      <c r="F124" s="1303"/>
      <c r="G124" s="1303"/>
      <c r="H124" s="1304">
        <v>87</v>
      </c>
      <c r="I124" s="660" t="s">
        <v>55</v>
      </c>
      <c r="J124" s="1308" t="s">
        <v>63</v>
      </c>
      <c r="K124" s="1305"/>
      <c r="L124" s="1306"/>
      <c r="M124" s="1308" t="s">
        <v>57</v>
      </c>
      <c r="N124" s="1407">
        <v>105458.4</v>
      </c>
      <c r="O124" s="1308" t="s">
        <v>57</v>
      </c>
      <c r="P124" s="1276" t="s">
        <v>58</v>
      </c>
      <c r="Q124" s="1334"/>
      <c r="R124" s="1310"/>
      <c r="S124" s="1310"/>
      <c r="T124" s="1310"/>
      <c r="U124" s="1310"/>
      <c r="V124" s="1270">
        <v>8596</v>
      </c>
      <c r="W124" s="1370"/>
      <c r="X124" s="1270">
        <v>8596</v>
      </c>
      <c r="Y124" s="876">
        <f t="shared" si="10"/>
        <v>0</v>
      </c>
      <c r="Z124" s="1259"/>
      <c r="AA124" s="1293">
        <v>0</v>
      </c>
      <c r="AB124" s="1293">
        <v>0</v>
      </c>
      <c r="AC124" s="1290">
        <v>0</v>
      </c>
      <c r="AD124" s="1261" t="s">
        <v>348</v>
      </c>
      <c r="AE124" s="1271"/>
    </row>
    <row r="125" spans="1:31" ht="24.75" customHeight="1">
      <c r="A125" s="1303" t="s">
        <v>349</v>
      </c>
      <c r="B125" s="1152" t="s">
        <v>341</v>
      </c>
      <c r="C125" s="1302">
        <v>46081</v>
      </c>
      <c r="D125" s="649"/>
      <c r="E125" s="1302"/>
      <c r="F125" s="1303"/>
      <c r="G125" s="1303"/>
      <c r="H125" s="1304">
        <v>70</v>
      </c>
      <c r="I125" s="660" t="s">
        <v>55</v>
      </c>
      <c r="J125" s="1308" t="s">
        <v>63</v>
      </c>
      <c r="K125" s="1305"/>
      <c r="L125" s="1306"/>
      <c r="M125" s="1308" t="s">
        <v>57</v>
      </c>
      <c r="N125" s="1407">
        <v>70105.25</v>
      </c>
      <c r="O125" s="1308" t="s">
        <v>57</v>
      </c>
      <c r="P125" s="1276" t="s">
        <v>58</v>
      </c>
      <c r="Q125" s="1334"/>
      <c r="R125" s="1310"/>
      <c r="S125" s="1310"/>
      <c r="T125" s="1310"/>
      <c r="U125" s="1310"/>
      <c r="V125" s="1270">
        <v>5648</v>
      </c>
      <c r="W125" s="1370"/>
      <c r="X125" s="1270">
        <v>5648</v>
      </c>
      <c r="Y125" s="876">
        <f t="shared" si="10"/>
        <v>0</v>
      </c>
      <c r="Z125" s="1204"/>
      <c r="AA125" s="1293">
        <v>0</v>
      </c>
      <c r="AB125" s="1293">
        <v>0</v>
      </c>
      <c r="AC125" s="1290">
        <v>0</v>
      </c>
      <c r="AD125" s="1261" t="s">
        <v>350</v>
      </c>
      <c r="AE125" s="1271"/>
    </row>
    <row r="126" spans="1:31" ht="24.75" customHeight="1">
      <c r="A126" s="1303" t="s">
        <v>351</v>
      </c>
      <c r="B126" s="1152" t="s">
        <v>341</v>
      </c>
      <c r="C126" s="1302">
        <v>46081</v>
      </c>
      <c r="D126" s="649"/>
      <c r="E126" s="1302"/>
      <c r="F126" s="1303"/>
      <c r="G126" s="1303"/>
      <c r="H126" s="1304">
        <v>77</v>
      </c>
      <c r="I126" s="660" t="s">
        <v>55</v>
      </c>
      <c r="J126" s="1308" t="s">
        <v>63</v>
      </c>
      <c r="K126" s="1305"/>
      <c r="L126" s="1306"/>
      <c r="M126" s="1308" t="s">
        <v>57</v>
      </c>
      <c r="N126" s="1403">
        <v>78047.350000000006</v>
      </c>
      <c r="O126" s="1308" t="s">
        <v>57</v>
      </c>
      <c r="P126" s="1276" t="s">
        <v>58</v>
      </c>
      <c r="Q126" s="1334"/>
      <c r="R126" s="1310"/>
      <c r="S126" s="1310"/>
      <c r="T126" s="1310"/>
      <c r="U126" s="1310"/>
      <c r="V126" s="1270">
        <v>6238</v>
      </c>
      <c r="W126" s="1370"/>
      <c r="X126" s="1270">
        <v>6238</v>
      </c>
      <c r="Y126" s="876">
        <f t="shared" si="10"/>
        <v>0</v>
      </c>
      <c r="Z126" s="1204"/>
      <c r="AA126" s="1293">
        <v>0</v>
      </c>
      <c r="AB126" s="1293">
        <v>0</v>
      </c>
      <c r="AC126" s="1290">
        <v>0</v>
      </c>
      <c r="AD126" s="1261" t="s">
        <v>350</v>
      </c>
      <c r="AE126" s="1271"/>
    </row>
    <row r="127" spans="1:31" ht="24.75" customHeight="1">
      <c r="A127" s="1303" t="s">
        <v>352</v>
      </c>
      <c r="B127" s="1152" t="s">
        <v>341</v>
      </c>
      <c r="C127" s="1302">
        <v>46081</v>
      </c>
      <c r="D127" s="649"/>
      <c r="E127" s="1302"/>
      <c r="F127" s="1303"/>
      <c r="G127" s="1303"/>
      <c r="H127" s="1304">
        <v>52</v>
      </c>
      <c r="I127" s="660" t="s">
        <v>55</v>
      </c>
      <c r="J127" s="1308" t="s">
        <v>63</v>
      </c>
      <c r="K127" s="1305"/>
      <c r="L127" s="1306"/>
      <c r="M127" s="1308" t="s">
        <v>57</v>
      </c>
      <c r="N127" s="1403">
        <v>91411.65</v>
      </c>
      <c r="O127" s="1308" t="s">
        <v>57</v>
      </c>
      <c r="P127" s="1276" t="s">
        <v>58</v>
      </c>
      <c r="Q127" s="1334"/>
      <c r="R127" s="1310"/>
      <c r="S127" s="1310"/>
      <c r="T127" s="1310"/>
      <c r="U127" s="1310"/>
      <c r="V127" s="1270">
        <v>5926</v>
      </c>
      <c r="W127" s="1370"/>
      <c r="X127" s="1270">
        <v>5926</v>
      </c>
      <c r="Y127" s="876">
        <f t="shared" si="10"/>
        <v>0</v>
      </c>
      <c r="Z127" s="1259"/>
      <c r="AA127" s="1293">
        <v>0</v>
      </c>
      <c r="AB127" s="1293">
        <v>0</v>
      </c>
      <c r="AC127" s="1290">
        <v>0</v>
      </c>
      <c r="AD127" s="1261" t="s">
        <v>342</v>
      </c>
      <c r="AE127" s="1271"/>
    </row>
    <row r="128" spans="1:31" ht="24.75" customHeight="1">
      <c r="A128" s="1408" t="s">
        <v>353</v>
      </c>
      <c r="B128" s="1152" t="s">
        <v>341</v>
      </c>
      <c r="C128" s="1302">
        <v>46081</v>
      </c>
      <c r="D128" s="649"/>
      <c r="E128" s="1409"/>
      <c r="F128" s="1408"/>
      <c r="G128" s="1303"/>
      <c r="H128" s="1304">
        <v>81</v>
      </c>
      <c r="I128" s="660" t="s">
        <v>55</v>
      </c>
      <c r="J128" s="1308" t="s">
        <v>63</v>
      </c>
      <c r="K128" s="1410"/>
      <c r="L128" s="1409"/>
      <c r="M128" s="1308" t="s">
        <v>57</v>
      </c>
      <c r="N128" s="1403">
        <v>105892.05</v>
      </c>
      <c r="O128" s="1308" t="s">
        <v>57</v>
      </c>
      <c r="P128" s="1276" t="s">
        <v>58</v>
      </c>
      <c r="Q128" s="1423"/>
      <c r="R128" s="1377"/>
      <c r="S128" s="1377"/>
      <c r="T128" s="1377"/>
      <c r="U128" s="1377"/>
      <c r="V128" s="1270">
        <v>8641</v>
      </c>
      <c r="W128" s="1424"/>
      <c r="X128" s="1270">
        <v>8641</v>
      </c>
      <c r="Y128" s="876">
        <f t="shared" si="10"/>
        <v>0</v>
      </c>
      <c r="Z128" s="1378"/>
      <c r="AA128" s="1293">
        <v>0</v>
      </c>
      <c r="AB128" s="1293">
        <v>0</v>
      </c>
      <c r="AC128" s="1290">
        <v>0</v>
      </c>
      <c r="AD128" s="1261" t="s">
        <v>342</v>
      </c>
      <c r="AE128" s="1271"/>
    </row>
    <row r="129" spans="1:31" ht="24.75" customHeight="1">
      <c r="A129" s="1408" t="s">
        <v>354</v>
      </c>
      <c r="B129" s="1152" t="s">
        <v>341</v>
      </c>
      <c r="C129" s="1302">
        <v>46081</v>
      </c>
      <c r="D129" s="649"/>
      <c r="E129" s="1409"/>
      <c r="F129" s="1408"/>
      <c r="G129" s="1303"/>
      <c r="H129" s="1304">
        <v>79</v>
      </c>
      <c r="I129" s="660" t="s">
        <v>55</v>
      </c>
      <c r="J129" s="1308" t="s">
        <v>63</v>
      </c>
      <c r="K129" s="1410"/>
      <c r="L129" s="1409"/>
      <c r="M129" s="1308" t="s">
        <v>57</v>
      </c>
      <c r="N129" s="1403">
        <v>88420</v>
      </c>
      <c r="O129" s="1308" t="s">
        <v>57</v>
      </c>
      <c r="P129" s="1276" t="s">
        <v>58</v>
      </c>
      <c r="Q129" s="1425"/>
      <c r="R129" s="1379"/>
      <c r="S129" s="1379"/>
      <c r="T129" s="1379"/>
      <c r="U129" s="1379"/>
      <c r="V129" s="1381">
        <v>7502</v>
      </c>
      <c r="W129" s="1426"/>
      <c r="X129" s="1381">
        <v>7502</v>
      </c>
      <c r="Y129" s="884">
        <f t="shared" si="10"/>
        <v>0</v>
      </c>
      <c r="Z129" s="1380"/>
      <c r="AA129" s="1293">
        <v>0</v>
      </c>
      <c r="AB129" s="1293">
        <v>0</v>
      </c>
      <c r="AC129" s="1290">
        <v>0</v>
      </c>
      <c r="AD129" s="1261" t="s">
        <v>342</v>
      </c>
      <c r="AE129" s="1271"/>
    </row>
    <row r="130" spans="1:31" ht="24.75" customHeight="1">
      <c r="A130" s="1408" t="s">
        <v>355</v>
      </c>
      <c r="B130" s="1152" t="s">
        <v>341</v>
      </c>
      <c r="C130" s="1302">
        <v>46081</v>
      </c>
      <c r="D130" s="649"/>
      <c r="E130" s="1409"/>
      <c r="F130" s="1408"/>
      <c r="G130" s="1303"/>
      <c r="H130" s="1304">
        <v>0</v>
      </c>
      <c r="I130" s="660" t="s">
        <v>55</v>
      </c>
      <c r="J130" s="1308" t="s">
        <v>63</v>
      </c>
      <c r="K130" s="1410"/>
      <c r="L130" s="1409"/>
      <c r="M130" s="1308" t="s">
        <v>91</v>
      </c>
      <c r="N130" s="1403"/>
      <c r="O130" s="1308" t="s">
        <v>57</v>
      </c>
      <c r="P130" s="1276" t="s">
        <v>58</v>
      </c>
      <c r="Q130" s="1425"/>
      <c r="R130" s="1379"/>
      <c r="S130" s="1379"/>
      <c r="T130" s="1379"/>
      <c r="U130" s="1379"/>
      <c r="V130" s="1381">
        <v>3682</v>
      </c>
      <c r="W130" s="1426"/>
      <c r="X130" s="1381">
        <v>3682</v>
      </c>
      <c r="Y130" s="884">
        <f t="shared" si="10"/>
        <v>0</v>
      </c>
      <c r="Z130" s="1380"/>
      <c r="AA130" s="1293">
        <v>0</v>
      </c>
      <c r="AB130" s="1293">
        <v>0</v>
      </c>
      <c r="AC130" s="1290">
        <v>0</v>
      </c>
      <c r="AD130" s="1261" t="s">
        <v>356</v>
      </c>
      <c r="AE130" s="1271"/>
    </row>
    <row r="131" spans="1:31" ht="24.75" customHeight="1">
      <c r="A131" s="1303"/>
      <c r="B131" s="1305"/>
      <c r="C131" s="1305"/>
      <c r="D131" s="1305"/>
      <c r="E131" s="1305"/>
      <c r="F131" s="1303"/>
      <c r="G131" s="1303"/>
      <c r="H131" s="1305"/>
      <c r="I131" s="1305"/>
      <c r="J131" s="1305"/>
      <c r="K131" s="1305"/>
      <c r="L131" s="1303"/>
      <c r="M131" s="1305"/>
      <c r="N131" s="1404"/>
      <c r="O131" s="1305"/>
      <c r="P131" s="1271"/>
      <c r="AE131" s="1271"/>
    </row>
    <row r="132" spans="1:31" ht="24.75" customHeight="1">
      <c r="A132" s="1303"/>
      <c r="B132" s="1305"/>
      <c r="C132" s="1305"/>
      <c r="D132" s="1305"/>
      <c r="E132" s="1305"/>
      <c r="F132" s="1303"/>
      <c r="G132" s="1303"/>
      <c r="H132" s="1305"/>
      <c r="I132" s="1305"/>
      <c r="J132" s="1305"/>
      <c r="K132" s="1305"/>
      <c r="L132" s="1303"/>
      <c r="M132" s="1305"/>
      <c r="N132" s="1404"/>
      <c r="O132" s="1305"/>
      <c r="P132" s="1271"/>
      <c r="AE132" s="1271"/>
    </row>
    <row r="133" spans="1:31" ht="24.75" customHeight="1">
      <c r="A133" s="1303"/>
      <c r="B133" s="1305"/>
      <c r="C133" s="1305"/>
      <c r="D133" s="1305"/>
      <c r="E133" s="1305"/>
      <c r="F133" s="1303"/>
      <c r="G133" s="1303"/>
      <c r="H133" s="1305"/>
      <c r="I133" s="1305"/>
      <c r="J133" s="1305"/>
      <c r="K133" s="1305"/>
      <c r="L133" s="1303"/>
      <c r="M133" s="1305"/>
      <c r="N133" s="1404"/>
      <c r="O133" s="1305"/>
      <c r="P133" s="1271"/>
      <c r="AE133" s="1271"/>
    </row>
    <row r="134" spans="1:31" ht="24.75" customHeight="1">
      <c r="A134" s="1303"/>
      <c r="B134" s="1305"/>
      <c r="C134" s="1305"/>
      <c r="D134" s="1305"/>
      <c r="E134" s="1305"/>
      <c r="F134" s="1303"/>
      <c r="G134" s="1303"/>
      <c r="H134" s="1305"/>
      <c r="I134" s="1305"/>
      <c r="J134" s="1305"/>
      <c r="K134" s="1305"/>
      <c r="L134" s="1303"/>
      <c r="M134" s="1305"/>
      <c r="N134" s="1404"/>
      <c r="O134" s="1305"/>
      <c r="P134" s="1271"/>
      <c r="AE134" s="1271"/>
    </row>
    <row r="135" spans="1:31" ht="24.75" customHeight="1">
      <c r="A135" s="1303"/>
      <c r="B135" s="1305"/>
      <c r="C135" s="1305"/>
      <c r="D135" s="1305"/>
      <c r="E135" s="1305"/>
      <c r="F135" s="1303"/>
      <c r="G135" s="1303"/>
      <c r="H135" s="1305"/>
      <c r="I135" s="1305"/>
      <c r="J135" s="1305"/>
      <c r="K135" s="1305"/>
      <c r="L135" s="1303"/>
      <c r="M135" s="1305"/>
      <c r="N135" s="1404"/>
      <c r="O135" s="1305"/>
      <c r="P135" s="1271"/>
      <c r="AE135" s="1271"/>
    </row>
    <row r="136" spans="1:31" ht="24.75" customHeight="1">
      <c r="A136" s="1303"/>
      <c r="B136" s="1305"/>
      <c r="C136" s="1305"/>
      <c r="D136" s="1305"/>
      <c r="E136" s="1305"/>
      <c r="F136" s="1303"/>
      <c r="G136" s="1303"/>
      <c r="H136" s="1305"/>
      <c r="I136" s="1305"/>
      <c r="J136" s="1305"/>
      <c r="K136" s="1305"/>
      <c r="L136" s="1303"/>
      <c r="M136" s="1305"/>
      <c r="N136" s="1404"/>
      <c r="O136" s="1305"/>
      <c r="P136" s="1271"/>
      <c r="AE136" s="1271"/>
    </row>
    <row r="137" spans="1:31" ht="24.75" customHeight="1">
      <c r="A137" s="1303"/>
      <c r="B137" s="1305"/>
      <c r="C137" s="1305"/>
      <c r="D137" s="1305"/>
      <c r="E137" s="1305"/>
      <c r="F137" s="1303"/>
      <c r="G137" s="1303"/>
      <c r="H137" s="1305"/>
      <c r="I137" s="1305"/>
      <c r="J137" s="1305"/>
      <c r="K137" s="1305"/>
      <c r="L137" s="1303"/>
      <c r="M137" s="1305"/>
      <c r="N137" s="1404"/>
      <c r="O137" s="1305"/>
      <c r="P137" s="1413"/>
      <c r="Q137" s="1273"/>
      <c r="R137" s="1273"/>
      <c r="S137" s="1273"/>
      <c r="T137" s="1273"/>
      <c r="U137" s="1273"/>
      <c r="V137" s="1365"/>
      <c r="W137" s="1273"/>
      <c r="X137" s="1273"/>
      <c r="Y137" s="1273"/>
      <c r="Z137" s="1273"/>
      <c r="AA137" s="1273"/>
      <c r="AB137" s="1273"/>
      <c r="AC137" s="1273"/>
      <c r="AD137" s="1367"/>
    </row>
    <row r="138" spans="1:31" ht="24.75" customHeight="1">
      <c r="A138" s="1303"/>
      <c r="B138" s="1305"/>
      <c r="C138" s="1305"/>
      <c r="D138" s="1305"/>
      <c r="E138" s="1305"/>
      <c r="F138" s="1303"/>
      <c r="G138" s="1303"/>
      <c r="H138" s="1305"/>
      <c r="I138" s="1305"/>
      <c r="J138" s="1305"/>
      <c r="K138" s="1305"/>
      <c r="L138" s="1303"/>
      <c r="M138" s="1305"/>
      <c r="N138" s="1404"/>
      <c r="O138" s="1305"/>
      <c r="P138" s="1271"/>
    </row>
    <row r="139" spans="1:31" ht="24.75" customHeight="1">
      <c r="A139" s="1303"/>
      <c r="B139" s="1305"/>
      <c r="C139" s="1305"/>
      <c r="D139" s="1305"/>
      <c r="E139" s="1305"/>
      <c r="F139" s="1303"/>
      <c r="G139" s="1303"/>
      <c r="H139" s="1305"/>
      <c r="I139" s="1305"/>
      <c r="J139" s="1305"/>
      <c r="K139" s="1305"/>
      <c r="L139" s="1303"/>
      <c r="M139" s="1305"/>
      <c r="N139" s="1404"/>
      <c r="O139" s="1305"/>
      <c r="P139" s="1271"/>
    </row>
    <row r="140" spans="1:31" ht="24.75" customHeight="1">
      <c r="A140" s="1303"/>
      <c r="B140" s="1305"/>
      <c r="C140" s="1305"/>
      <c r="D140" s="1305"/>
      <c r="E140" s="1305"/>
      <c r="F140" s="1303"/>
      <c r="G140" s="1303"/>
      <c r="H140" s="1305"/>
      <c r="I140" s="1305"/>
      <c r="J140" s="1305"/>
      <c r="K140" s="1305"/>
      <c r="L140" s="1303"/>
      <c r="M140" s="1305"/>
      <c r="N140" s="1404"/>
      <c r="O140" s="1305"/>
      <c r="P140" s="1271"/>
    </row>
    <row r="141" spans="1:31" ht="24.75" customHeight="1">
      <c r="A141" s="1303"/>
      <c r="B141" s="1305"/>
      <c r="C141" s="1305"/>
      <c r="D141" s="1305"/>
      <c r="E141" s="1305"/>
      <c r="F141" s="1303"/>
      <c r="G141" s="1303"/>
      <c r="H141" s="1305"/>
      <c r="I141" s="1305"/>
      <c r="J141" s="1305"/>
      <c r="K141" s="1305"/>
      <c r="L141" s="1303"/>
      <c r="M141" s="1305"/>
      <c r="N141" s="1404"/>
      <c r="O141" s="1305"/>
      <c r="P141" s="1271"/>
    </row>
    <row r="142" spans="1:31" ht="24.75" customHeight="1">
      <c r="A142" s="1303"/>
      <c r="B142" s="1305"/>
      <c r="C142" s="1305"/>
      <c r="D142" s="1305"/>
      <c r="E142" s="1305"/>
      <c r="F142" s="1303"/>
      <c r="G142" s="1303"/>
      <c r="H142" s="1305"/>
      <c r="I142" s="1305"/>
      <c r="J142" s="1305"/>
      <c r="K142" s="1305"/>
      <c r="L142" s="1303"/>
      <c r="M142" s="1305"/>
      <c r="N142" s="1404"/>
      <c r="O142" s="1305"/>
      <c r="P142" s="1271"/>
    </row>
    <row r="143" spans="1:31" ht="24.75" customHeight="1">
      <c r="A143" s="1303"/>
      <c r="B143" s="1305"/>
      <c r="C143" s="1305"/>
      <c r="D143" s="1305"/>
      <c r="E143" s="1305"/>
      <c r="F143" s="1303"/>
      <c r="G143" s="1303"/>
      <c r="H143" s="1305"/>
      <c r="I143" s="1305"/>
      <c r="J143" s="1305"/>
      <c r="K143" s="1305"/>
      <c r="L143" s="1303"/>
      <c r="M143" s="1305"/>
      <c r="N143" s="1404"/>
      <c r="O143" s="1305"/>
      <c r="P143" s="1271"/>
    </row>
    <row r="144" spans="1:31" ht="24.75" customHeight="1">
      <c r="A144" s="1303"/>
      <c r="B144" s="1305"/>
      <c r="C144" s="1305"/>
      <c r="D144" s="1305"/>
      <c r="E144" s="1305"/>
      <c r="F144" s="1303"/>
      <c r="G144" s="1303"/>
      <c r="H144" s="1305"/>
      <c r="I144" s="1305"/>
      <c r="J144" s="1305"/>
      <c r="K144" s="1305"/>
      <c r="L144" s="1303"/>
      <c r="M144" s="1305"/>
      <c r="N144" s="1404"/>
      <c r="O144" s="1305"/>
      <c r="P144" s="1271"/>
    </row>
    <row r="145" spans="1:16" ht="24.75" customHeight="1">
      <c r="A145" s="1303"/>
      <c r="B145" s="1305"/>
      <c r="C145" s="1305"/>
      <c r="D145" s="1305"/>
      <c r="E145" s="1305"/>
      <c r="F145" s="1303"/>
      <c r="G145" s="1303"/>
      <c r="H145" s="1305"/>
      <c r="I145" s="1305"/>
      <c r="J145" s="1305"/>
      <c r="K145" s="1305"/>
      <c r="L145" s="1303"/>
      <c r="M145" s="1305"/>
      <c r="N145" s="1404"/>
      <c r="O145" s="1305"/>
      <c r="P145" s="1271"/>
    </row>
    <row r="146" spans="1:16" ht="24.75" customHeight="1">
      <c r="A146" s="1303"/>
      <c r="B146" s="1305"/>
      <c r="C146" s="1305"/>
      <c r="D146" s="1305"/>
      <c r="E146" s="1305"/>
      <c r="F146" s="1303"/>
      <c r="G146" s="1303"/>
      <c r="H146" s="1305"/>
      <c r="I146" s="1305"/>
      <c r="J146" s="1305"/>
      <c r="K146" s="1305"/>
      <c r="L146" s="1303"/>
      <c r="M146" s="1305"/>
      <c r="N146" s="1404"/>
      <c r="O146" s="1305"/>
      <c r="P146" s="1271"/>
    </row>
    <row r="147" spans="1:16" ht="24.75" customHeight="1">
      <c r="A147" s="1303"/>
      <c r="B147" s="1305"/>
      <c r="C147" s="1305"/>
      <c r="D147" s="1305"/>
      <c r="E147" s="1305"/>
      <c r="F147" s="1303"/>
      <c r="G147" s="1303"/>
      <c r="H147" s="1305"/>
      <c r="I147" s="1305"/>
      <c r="J147" s="1305"/>
      <c r="K147" s="1305"/>
      <c r="L147" s="1303"/>
      <c r="M147" s="1305"/>
      <c r="N147" s="1404"/>
      <c r="O147" s="1305"/>
      <c r="P147" s="1271"/>
    </row>
    <row r="148" spans="1:16" ht="24.75" customHeight="1">
      <c r="A148" s="1303"/>
      <c r="B148" s="1305"/>
      <c r="C148" s="1305"/>
      <c r="D148" s="1305"/>
      <c r="E148" s="1305"/>
      <c r="F148" s="1303"/>
      <c r="G148" s="1303"/>
      <c r="H148" s="1305"/>
      <c r="I148" s="1305"/>
      <c r="J148" s="1305"/>
      <c r="K148" s="1305"/>
      <c r="L148" s="1303"/>
      <c r="M148" s="1305"/>
      <c r="N148" s="1404"/>
      <c r="O148" s="1305"/>
      <c r="P148" s="1271"/>
    </row>
    <row r="149" spans="1:16" ht="24.75" customHeight="1">
      <c r="A149" s="1303"/>
      <c r="B149" s="1305"/>
      <c r="C149" s="1305"/>
      <c r="D149" s="1305"/>
      <c r="E149" s="1305"/>
      <c r="F149" s="1303"/>
      <c r="G149" s="1303"/>
      <c r="H149" s="1305"/>
      <c r="I149" s="1305"/>
      <c r="J149" s="1305"/>
      <c r="K149" s="1305"/>
      <c r="L149" s="1303"/>
      <c r="M149" s="1305"/>
      <c r="N149" s="1404"/>
      <c r="O149" s="1305"/>
      <c r="P149" s="1271"/>
    </row>
    <row r="150" spans="1:16" ht="24.75" customHeight="1">
      <c r="A150" s="1303"/>
      <c r="B150" s="1305"/>
      <c r="C150" s="1305"/>
      <c r="D150" s="1305"/>
      <c r="E150" s="1305"/>
      <c r="F150" s="1303"/>
      <c r="G150" s="1303"/>
      <c r="H150" s="1305"/>
      <c r="I150" s="1305"/>
      <c r="J150" s="1305"/>
      <c r="K150" s="1305"/>
      <c r="L150" s="1303"/>
      <c r="M150" s="1305"/>
      <c r="N150" s="1404"/>
      <c r="O150" s="1305"/>
      <c r="P150" s="1271"/>
    </row>
    <row r="151" spans="1:16" ht="24.75" customHeight="1">
      <c r="A151" s="1303"/>
      <c r="B151" s="1305"/>
      <c r="C151" s="1305"/>
      <c r="D151" s="1305"/>
      <c r="E151" s="1305"/>
      <c r="F151" s="1303"/>
      <c r="G151" s="1303"/>
      <c r="H151" s="1305"/>
      <c r="I151" s="1305"/>
      <c r="J151" s="1305"/>
      <c r="K151" s="1305"/>
      <c r="L151" s="1303"/>
      <c r="M151" s="1305"/>
      <c r="N151" s="1404"/>
      <c r="O151" s="1305"/>
      <c r="P151" s="1271"/>
    </row>
    <row r="152" spans="1:16" ht="24.75" customHeight="1">
      <c r="A152" s="1303"/>
      <c r="B152" s="1305"/>
      <c r="C152" s="1305"/>
      <c r="D152" s="1305"/>
      <c r="E152" s="1305"/>
      <c r="F152" s="1303"/>
      <c r="G152" s="1303"/>
      <c r="H152" s="1305"/>
      <c r="I152" s="1305"/>
      <c r="J152" s="1305"/>
      <c r="K152" s="1305"/>
      <c r="L152" s="1303"/>
      <c r="M152" s="1305"/>
      <c r="N152" s="1404"/>
      <c r="O152" s="1305"/>
      <c r="P152" s="1271"/>
    </row>
    <row r="153" spans="1:16" ht="24.75" customHeight="1">
      <c r="A153" s="1303"/>
      <c r="B153" s="1305"/>
      <c r="C153" s="1305"/>
      <c r="D153" s="1305"/>
      <c r="E153" s="1305"/>
      <c r="F153" s="1303"/>
      <c r="G153" s="1303"/>
      <c r="H153" s="1305"/>
      <c r="I153" s="1305"/>
      <c r="J153" s="1305"/>
      <c r="K153" s="1305"/>
      <c r="L153" s="1303"/>
      <c r="M153" s="1305"/>
      <c r="N153" s="1404"/>
      <c r="O153" s="1305"/>
      <c r="P153" s="1271"/>
    </row>
    <row r="154" spans="1:16" ht="24.75" customHeight="1">
      <c r="A154" s="1303"/>
      <c r="B154" s="1305"/>
      <c r="C154" s="1305"/>
      <c r="D154" s="1305"/>
      <c r="E154" s="1305"/>
      <c r="F154" s="1303"/>
      <c r="G154" s="1303"/>
      <c r="H154" s="1305"/>
      <c r="I154" s="1305"/>
      <c r="J154" s="1305"/>
      <c r="K154" s="1305"/>
      <c r="L154" s="1303"/>
      <c r="M154" s="1305"/>
      <c r="N154" s="1404"/>
      <c r="O154" s="1305"/>
      <c r="P154" s="1271"/>
    </row>
    <row r="155" spans="1:16" ht="24.75" customHeight="1">
      <c r="A155" s="1303"/>
      <c r="B155" s="1305"/>
      <c r="C155" s="1305"/>
      <c r="D155" s="1305"/>
      <c r="E155" s="1305"/>
      <c r="F155" s="1303"/>
      <c r="G155" s="1303"/>
      <c r="H155" s="1305"/>
      <c r="I155" s="1305"/>
      <c r="J155" s="1305"/>
      <c r="K155" s="1305"/>
      <c r="L155" s="1303"/>
      <c r="M155" s="1305"/>
      <c r="N155" s="1404"/>
      <c r="O155" s="1305"/>
      <c r="P155" s="1271"/>
    </row>
    <row r="156" spans="1:16" ht="24.75" customHeight="1">
      <c r="A156" s="1303"/>
      <c r="B156" s="1305"/>
      <c r="C156" s="1305"/>
      <c r="D156" s="1305"/>
      <c r="E156" s="1305"/>
      <c r="F156" s="1303"/>
      <c r="G156" s="1303"/>
      <c r="H156" s="1305"/>
      <c r="I156" s="1305"/>
      <c r="J156" s="1305"/>
      <c r="K156" s="1305"/>
      <c r="L156" s="1303"/>
      <c r="M156" s="1305"/>
      <c r="N156" s="1404"/>
      <c r="O156" s="1305"/>
      <c r="P156" s="1271"/>
    </row>
    <row r="157" spans="1:16" ht="24.75" customHeight="1">
      <c r="A157" s="1303"/>
      <c r="B157" s="1305"/>
      <c r="C157" s="1305"/>
      <c r="D157" s="1305"/>
      <c r="E157" s="1305"/>
      <c r="F157" s="1303"/>
      <c r="G157" s="1303"/>
      <c r="H157" s="1305"/>
      <c r="I157" s="1305"/>
      <c r="J157" s="1305"/>
      <c r="K157" s="1305"/>
      <c r="L157" s="1303"/>
      <c r="M157" s="1305"/>
      <c r="N157" s="1404"/>
      <c r="O157" s="1305"/>
      <c r="P157" s="1271"/>
    </row>
    <row r="158" spans="1:16" ht="24.75" customHeight="1">
      <c r="A158" s="1303"/>
      <c r="B158" s="1305"/>
      <c r="C158" s="1305"/>
      <c r="D158" s="1305"/>
      <c r="E158" s="1305"/>
      <c r="F158" s="1303"/>
      <c r="G158" s="1303"/>
      <c r="H158" s="1305"/>
      <c r="I158" s="1305"/>
      <c r="J158" s="1305"/>
      <c r="K158" s="1305"/>
      <c r="L158" s="1303"/>
      <c r="M158" s="1305"/>
      <c r="N158" s="1404"/>
      <c r="O158" s="1305"/>
      <c r="P158" s="1271"/>
    </row>
    <row r="159" spans="1:16" ht="24.75" customHeight="1">
      <c r="A159" s="1303"/>
      <c r="B159" s="1305"/>
      <c r="C159" s="1305"/>
      <c r="D159" s="1305"/>
      <c r="E159" s="1305"/>
      <c r="F159" s="1303"/>
      <c r="G159" s="1303"/>
      <c r="H159" s="1305"/>
      <c r="I159" s="1305"/>
      <c r="J159" s="1305"/>
      <c r="K159" s="1305"/>
      <c r="L159" s="1303"/>
      <c r="M159" s="1305"/>
      <c r="N159" s="1404"/>
      <c r="O159" s="1305"/>
      <c r="P159" s="1271"/>
    </row>
    <row r="160" spans="1:16" ht="24.75" customHeight="1">
      <c r="A160" s="1303"/>
      <c r="B160" s="1305"/>
      <c r="C160" s="1305"/>
      <c r="D160" s="1305"/>
      <c r="E160" s="1305"/>
      <c r="F160" s="1303"/>
      <c r="G160" s="1303"/>
      <c r="H160" s="1305"/>
      <c r="I160" s="1305"/>
      <c r="J160" s="1305"/>
      <c r="K160" s="1305"/>
      <c r="L160" s="1303"/>
      <c r="M160" s="1305"/>
      <c r="N160" s="1404"/>
      <c r="O160" s="1305"/>
      <c r="P160" s="1271"/>
    </row>
    <row r="161" spans="1:16" ht="24.75" customHeight="1">
      <c r="A161" s="1303"/>
      <c r="B161" s="1305"/>
      <c r="C161" s="1305"/>
      <c r="D161" s="1305"/>
      <c r="E161" s="1305"/>
      <c r="F161" s="1303"/>
      <c r="G161" s="1303"/>
      <c r="H161" s="1305"/>
      <c r="I161" s="1305"/>
      <c r="J161" s="1305"/>
      <c r="K161" s="1305"/>
      <c r="L161" s="1303"/>
      <c r="M161" s="1305"/>
      <c r="N161" s="1404"/>
      <c r="O161" s="1305"/>
      <c r="P161" s="1271"/>
    </row>
    <row r="162" spans="1:16" ht="24.75" customHeight="1">
      <c r="A162" s="1303"/>
      <c r="B162" s="1305"/>
      <c r="C162" s="1305"/>
      <c r="D162" s="1305"/>
      <c r="E162" s="1305"/>
      <c r="F162" s="1303"/>
      <c r="G162" s="1303"/>
      <c r="H162" s="1305"/>
      <c r="I162" s="1305"/>
      <c r="J162" s="1305"/>
      <c r="K162" s="1305"/>
      <c r="L162" s="1303"/>
      <c r="M162" s="1305"/>
      <c r="N162" s="1404"/>
      <c r="O162" s="1305"/>
      <c r="P162" s="1271"/>
    </row>
    <row r="163" spans="1:16" ht="24.75" customHeight="1">
      <c r="A163" s="1303"/>
      <c r="B163" s="1305"/>
      <c r="C163" s="1305"/>
      <c r="D163" s="1305"/>
      <c r="E163" s="1305"/>
      <c r="F163" s="1303"/>
      <c r="G163" s="1303"/>
      <c r="H163" s="1305"/>
      <c r="I163" s="1305"/>
      <c r="J163" s="1305"/>
      <c r="K163" s="1305"/>
      <c r="L163" s="1303"/>
      <c r="M163" s="1305"/>
      <c r="N163" s="1404"/>
      <c r="O163" s="1305"/>
      <c r="P163" s="1271"/>
    </row>
    <row r="164" spans="1:16" ht="24.75" customHeight="1">
      <c r="A164" s="1303"/>
      <c r="B164" s="1305"/>
      <c r="C164" s="1305"/>
      <c r="D164" s="1305"/>
      <c r="E164" s="1305"/>
      <c r="F164" s="1303"/>
      <c r="G164" s="1303"/>
      <c r="H164" s="1305"/>
      <c r="I164" s="1305"/>
      <c r="J164" s="1305"/>
      <c r="K164" s="1305"/>
      <c r="L164" s="1303"/>
      <c r="M164" s="1305"/>
      <c r="N164" s="1404"/>
      <c r="O164" s="1305"/>
      <c r="P164" s="1271"/>
    </row>
    <row r="165" spans="1:16" ht="24.75" customHeight="1">
      <c r="A165" s="1303"/>
      <c r="B165" s="1305"/>
      <c r="C165" s="1305"/>
      <c r="D165" s="1305"/>
      <c r="E165" s="1305"/>
      <c r="F165" s="1303"/>
      <c r="G165" s="1303"/>
      <c r="H165" s="1305"/>
      <c r="I165" s="1305"/>
      <c r="J165" s="1305"/>
      <c r="K165" s="1305"/>
      <c r="L165" s="1303"/>
      <c r="M165" s="1305"/>
      <c r="N165" s="1404"/>
      <c r="O165" s="1305"/>
      <c r="P165" s="1271"/>
    </row>
    <row r="166" spans="1:16" ht="15" customHeight="1">
      <c r="A166" s="1365"/>
      <c r="B166" s="1273"/>
      <c r="C166" s="1273"/>
      <c r="D166" s="1273"/>
      <c r="E166" s="1273"/>
      <c r="F166" s="1365"/>
      <c r="G166" s="1365"/>
      <c r="H166" s="1273"/>
      <c r="I166" s="1273"/>
      <c r="J166" s="1273"/>
      <c r="K166" s="1273"/>
      <c r="L166" s="1365"/>
      <c r="M166" s="1273"/>
      <c r="N166" s="1366"/>
      <c r="O166"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7 Q121:U1048576 D119:D130 Q22:U55 L22:L55 Q102:U117 L123:L1048576" xr:uid="{1D31F93E-3D68-4310-94BF-578ADAD65882}"/>
    <dataValidation type="list" allowBlank="1" showInputMessage="1" showErrorMessage="1" sqref="J72 J93 J57:J64 J95:J98 J78:J87 J2:J20 J100:J115 J22:J55 J119:J130" xr:uid="{5598570D-D2DE-4A6E-ABB1-14F4B3480632}">
      <formula1>"Received, Pending, Not Required"</formula1>
    </dataValidation>
    <dataValidation type="list" allowBlank="1" showInputMessage="1" showErrorMessage="1" sqref="I72 I93 I75 I78:I87 I4:I8 I95:I98 I57:I64 I10:I20 I100:I117 I40:I55 I119: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7 K22:K55 K123:K1048576" xr:uid="{E79CFDF7-5B00-4092-B572-9E33744A1925}">
      <formula1>"Pending Locates,Permits, SOW Pending, NTP Pending, Materials, Reassigned, Door Tags"</formula1>
    </dataValidation>
    <dataValidation type="list" allowBlank="1" showInputMessage="1" showErrorMessage="1" sqref="P57:P98 P2:P20 P100:P117 P22:P55 P119: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159</v>
      </c>
      <c r="J2" s="469" t="s">
        <v>63</v>
      </c>
      <c r="K2" s="469"/>
      <c r="L2" s="467">
        <v>45891</v>
      </c>
      <c r="M2" s="469" t="s">
        <v>57</v>
      </c>
      <c r="N2" s="542">
        <v>184994.5</v>
      </c>
      <c r="O2" s="469" t="s">
        <v>57</v>
      </c>
      <c r="P2" s="626" t="s">
        <v>155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159</v>
      </c>
      <c r="J3" s="469" t="s">
        <v>63</v>
      </c>
      <c r="K3" s="469"/>
      <c r="L3" s="467">
        <v>45905</v>
      </c>
      <c r="M3" s="469" t="s">
        <v>57</v>
      </c>
      <c r="N3" s="542">
        <v>98170.1</v>
      </c>
      <c r="O3" s="469" t="s">
        <v>57</v>
      </c>
      <c r="P3" s="626" t="s">
        <v>155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159</v>
      </c>
      <c r="J4" s="469" t="s">
        <v>63</v>
      </c>
      <c r="K4" s="478"/>
      <c r="L4" s="375">
        <v>45943</v>
      </c>
      <c r="M4" s="1106" t="s">
        <v>57</v>
      </c>
      <c r="N4" s="542">
        <v>2167.3000000000002</v>
      </c>
      <c r="O4" s="469" t="s">
        <v>57</v>
      </c>
      <c r="P4" s="626" t="s">
        <v>155</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159</v>
      </c>
      <c r="J5" s="469" t="s">
        <v>63</v>
      </c>
      <c r="K5" s="469"/>
      <c r="L5" s="51">
        <v>45960</v>
      </c>
      <c r="M5" s="998" t="s">
        <v>57</v>
      </c>
      <c r="N5" s="543">
        <v>4911.8999999999996</v>
      </c>
      <c r="O5" s="478" t="s">
        <v>57</v>
      </c>
      <c r="P5" s="626" t="s">
        <v>155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159</v>
      </c>
      <c r="J6" s="832" t="s">
        <v>63</v>
      </c>
      <c r="K6" s="487"/>
      <c r="L6" s="51">
        <v>45902</v>
      </c>
      <c r="M6" s="1107" t="s">
        <v>57</v>
      </c>
      <c r="N6" s="833">
        <v>87830</v>
      </c>
      <c r="O6" s="829" t="s">
        <v>57</v>
      </c>
      <c r="P6" s="626" t="s">
        <v>155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159</v>
      </c>
      <c r="J7" s="469" t="s">
        <v>63</v>
      </c>
      <c r="K7" s="469"/>
      <c r="L7" s="51">
        <v>45932</v>
      </c>
      <c r="M7" s="1107" t="s">
        <v>57</v>
      </c>
      <c r="N7" s="833">
        <v>47064</v>
      </c>
      <c r="O7" s="829" t="s">
        <v>57</v>
      </c>
      <c r="P7" s="626" t="s">
        <v>155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159</v>
      </c>
      <c r="J8" s="832" t="s">
        <v>63</v>
      </c>
      <c r="K8" s="829"/>
      <c r="L8" s="51">
        <v>45902</v>
      </c>
      <c r="M8" s="1107" t="s">
        <v>57</v>
      </c>
      <c r="N8" s="833">
        <v>90173</v>
      </c>
      <c r="O8" s="829" t="s">
        <v>57</v>
      </c>
      <c r="P8" s="626" t="s">
        <v>155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159</v>
      </c>
      <c r="J9" s="832" t="s">
        <v>63</v>
      </c>
      <c r="K9" s="829"/>
      <c r="L9" s="1108">
        <v>45905</v>
      </c>
      <c r="M9" s="829" t="s">
        <v>57</v>
      </c>
      <c r="N9" s="833">
        <v>66674.3</v>
      </c>
      <c r="O9" s="829" t="s">
        <v>57</v>
      </c>
      <c r="P9" s="626" t="s">
        <v>155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159</v>
      </c>
      <c r="J10" s="832" t="s">
        <v>63</v>
      </c>
      <c r="K10" s="469"/>
      <c r="L10" s="476">
        <v>45903</v>
      </c>
      <c r="M10" s="829" t="s">
        <v>57</v>
      </c>
      <c r="N10" s="833">
        <v>93666.75</v>
      </c>
      <c r="O10" s="829" t="s">
        <v>57</v>
      </c>
      <c r="P10" s="626" t="s">
        <v>155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159</v>
      </c>
      <c r="J11" s="478" t="s">
        <v>63</v>
      </c>
      <c r="K11" s="478"/>
      <c r="L11" s="476">
        <v>45716</v>
      </c>
      <c r="M11" s="478" t="s">
        <v>57</v>
      </c>
      <c r="N11" s="543">
        <v>57973.5</v>
      </c>
      <c r="O11" s="478" t="s">
        <v>57</v>
      </c>
      <c r="P11" s="626" t="s">
        <v>155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159</v>
      </c>
      <c r="J12" s="478" t="s">
        <v>63</v>
      </c>
      <c r="K12" s="487"/>
      <c r="L12" s="476">
        <v>45863</v>
      </c>
      <c r="M12" s="478" t="s">
        <v>57</v>
      </c>
      <c r="N12" s="543">
        <v>49223.7</v>
      </c>
      <c r="O12" s="478" t="s">
        <v>57</v>
      </c>
      <c r="P12" s="626" t="s">
        <v>155</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159</v>
      </c>
      <c r="J13" s="478" t="s">
        <v>63</v>
      </c>
      <c r="K13" s="487"/>
      <c r="L13" s="476">
        <v>45879</v>
      </c>
      <c r="M13" s="478" t="s">
        <v>57</v>
      </c>
      <c r="N13" s="543">
        <v>68151.75</v>
      </c>
      <c r="O13" s="478" t="s">
        <v>57</v>
      </c>
      <c r="P13" s="626" t="s">
        <v>155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159</v>
      </c>
      <c r="J14" s="478" t="s">
        <v>63</v>
      </c>
      <c r="K14" s="487"/>
      <c r="L14" s="476" t="s">
        <v>52</v>
      </c>
      <c r="M14" s="478" t="s">
        <v>57</v>
      </c>
      <c r="N14" s="543">
        <v>29960</v>
      </c>
      <c r="O14" s="478" t="s">
        <v>57</v>
      </c>
      <c r="P14" s="626" t="s">
        <v>155</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387</v>
      </c>
      <c r="B15" s="831" t="s">
        <v>211</v>
      </c>
      <c r="C15" s="467" t="s">
        <v>388</v>
      </c>
      <c r="D15" s="475" t="s">
        <v>71</v>
      </c>
      <c r="E15" s="476">
        <v>45964</v>
      </c>
      <c r="F15" s="475" t="s">
        <v>389</v>
      </c>
      <c r="G15" s="825"/>
      <c r="H15" s="478">
        <v>0</v>
      </c>
      <c r="I15" s="469" t="s">
        <v>159</v>
      </c>
      <c r="J15" s="478" t="s">
        <v>63</v>
      </c>
      <c r="K15" s="469"/>
      <c r="L15" s="476" t="s">
        <v>52</v>
      </c>
      <c r="M15" s="478" t="s">
        <v>57</v>
      </c>
      <c r="N15" s="543">
        <v>2670.65</v>
      </c>
      <c r="O15" s="478" t="s">
        <v>57</v>
      </c>
      <c r="P15" s="626" t="s">
        <v>155</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159</v>
      </c>
      <c r="J16" s="478" t="s">
        <v>63</v>
      </c>
      <c r="K16" s="469"/>
      <c r="L16" s="476" t="s">
        <v>52</v>
      </c>
      <c r="M16" s="478" t="s">
        <v>57</v>
      </c>
      <c r="N16" s="543">
        <v>35942</v>
      </c>
      <c r="O16" s="478" t="s">
        <v>57</v>
      </c>
      <c r="P16" s="626" t="s">
        <v>155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159</v>
      </c>
      <c r="J17" s="832" t="s">
        <v>63</v>
      </c>
      <c r="K17" s="1208"/>
      <c r="L17" s="476" t="s">
        <v>52</v>
      </c>
      <c r="M17" s="1228" t="s">
        <v>57</v>
      </c>
      <c r="N17" s="1239">
        <v>31387.05</v>
      </c>
      <c r="O17" s="1228" t="s">
        <v>57</v>
      </c>
      <c r="P17" s="1280" t="s">
        <v>155</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159</v>
      </c>
      <c r="J18" s="832" t="s">
        <v>63</v>
      </c>
      <c r="K18" s="469"/>
      <c r="L18" s="476" t="s">
        <v>52</v>
      </c>
      <c r="M18" s="478" t="s">
        <v>57</v>
      </c>
      <c r="N18" s="543">
        <v>111432</v>
      </c>
      <c r="O18" s="478" t="s">
        <v>57</v>
      </c>
      <c r="P18" s="626" t="s">
        <v>155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159</v>
      </c>
      <c r="J19" s="478" t="s">
        <v>63</v>
      </c>
      <c r="K19" s="469"/>
      <c r="L19" s="476" t="s">
        <v>52</v>
      </c>
      <c r="M19" s="478" t="s">
        <v>57</v>
      </c>
      <c r="N19" s="543">
        <v>101871</v>
      </c>
      <c r="O19" s="478" t="s">
        <v>57</v>
      </c>
      <c r="P19" s="626" t="s">
        <v>155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159</v>
      </c>
      <c r="J20" s="478" t="s">
        <v>63</v>
      </c>
      <c r="K20" s="469"/>
      <c r="L20" s="476">
        <v>45965</v>
      </c>
      <c r="M20" s="478" t="s">
        <v>57</v>
      </c>
      <c r="N20" s="543">
        <v>90786</v>
      </c>
      <c r="O20" s="478" t="s">
        <v>57</v>
      </c>
      <c r="P20" s="626" t="s">
        <v>155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159</v>
      </c>
      <c r="J21" s="478" t="s">
        <v>63</v>
      </c>
      <c r="K21" s="469"/>
      <c r="L21" s="476" t="s">
        <v>52</v>
      </c>
      <c r="M21" s="478" t="s">
        <v>57</v>
      </c>
      <c r="N21" s="543">
        <v>82330</v>
      </c>
      <c r="O21" s="478" t="s">
        <v>57</v>
      </c>
      <c r="P21" s="626" t="s">
        <v>155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143</v>
      </c>
      <c r="E22" s="1206">
        <v>45974</v>
      </c>
      <c r="F22" s="1207" t="s">
        <v>112</v>
      </c>
      <c r="G22" s="1207" t="s">
        <v>405</v>
      </c>
      <c r="H22" s="1208">
        <v>67</v>
      </c>
      <c r="I22" s="661" t="s">
        <v>159</v>
      </c>
      <c r="J22" s="1208" t="s">
        <v>63</v>
      </c>
      <c r="K22" s="1208"/>
      <c r="L22" s="1206">
        <v>45936</v>
      </c>
      <c r="M22" s="1208" t="s">
        <v>57</v>
      </c>
      <c r="N22" s="1209">
        <v>38192</v>
      </c>
      <c r="O22" s="1208" t="s">
        <v>57</v>
      </c>
      <c r="P22" s="1280" t="s">
        <v>155</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143</v>
      </c>
      <c r="E23" s="1206">
        <v>45974</v>
      </c>
      <c r="F23" s="1207" t="s">
        <v>112</v>
      </c>
      <c r="G23" s="1207" t="s">
        <v>408</v>
      </c>
      <c r="H23" s="1208">
        <v>68</v>
      </c>
      <c r="I23" s="661" t="s">
        <v>159</v>
      </c>
      <c r="J23" s="1208" t="s">
        <v>63</v>
      </c>
      <c r="K23" s="1208"/>
      <c r="L23" s="1206">
        <v>45936</v>
      </c>
      <c r="M23" s="1208" t="s">
        <v>57</v>
      </c>
      <c r="N23" s="1209">
        <v>37755.599999999999</v>
      </c>
      <c r="O23" s="1208" t="s">
        <v>57</v>
      </c>
      <c r="P23" s="1280" t="s">
        <v>155</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143</v>
      </c>
      <c r="E24" s="1206">
        <v>45974</v>
      </c>
      <c r="F24" s="1207" t="s">
        <v>112</v>
      </c>
      <c r="G24" s="1207" t="s">
        <v>411</v>
      </c>
      <c r="H24" s="1208">
        <v>28</v>
      </c>
      <c r="I24" s="661" t="s">
        <v>159</v>
      </c>
      <c r="J24" s="1208" t="s">
        <v>63</v>
      </c>
      <c r="K24" s="1208"/>
      <c r="L24" s="1206">
        <v>45972</v>
      </c>
      <c r="M24" s="1208" t="s">
        <v>57</v>
      </c>
      <c r="N24" s="1209">
        <v>27615.5</v>
      </c>
      <c r="O24" s="1208" t="s">
        <v>57</v>
      </c>
      <c r="P24" s="1280" t="s">
        <v>155</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159</v>
      </c>
      <c r="J25" s="1208" t="s">
        <v>63</v>
      </c>
      <c r="K25" s="1208"/>
      <c r="L25" s="1206">
        <v>45999</v>
      </c>
      <c r="M25" s="1208" t="s">
        <v>57</v>
      </c>
      <c r="N25" s="1209">
        <v>74384</v>
      </c>
      <c r="O25" s="1208" t="s">
        <v>57</v>
      </c>
      <c r="P25" s="1280" t="s">
        <v>155</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159</v>
      </c>
      <c r="J26" s="469" t="s">
        <v>63</v>
      </c>
      <c r="K26" s="469"/>
      <c r="L26" s="467">
        <v>45962</v>
      </c>
      <c r="M26" s="469" t="s">
        <v>57</v>
      </c>
      <c r="N26" s="542">
        <v>37418</v>
      </c>
      <c r="O26" s="469" t="s">
        <v>57</v>
      </c>
      <c r="P26" s="626" t="s">
        <v>155</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159</v>
      </c>
      <c r="J27" s="469" t="s">
        <v>63</v>
      </c>
      <c r="K27" s="469"/>
      <c r="L27" s="467">
        <v>45969</v>
      </c>
      <c r="M27" s="469" t="s">
        <v>57</v>
      </c>
      <c r="N27" s="542">
        <v>66402</v>
      </c>
      <c r="O27" s="469" t="s">
        <v>57</v>
      </c>
      <c r="P27" s="626" t="s">
        <v>155</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159</v>
      </c>
      <c r="J28" s="469" t="s">
        <v>63</v>
      </c>
      <c r="K28" s="469"/>
      <c r="L28" s="467">
        <v>45967</v>
      </c>
      <c r="M28" s="469" t="s">
        <v>57</v>
      </c>
      <c r="N28" s="542">
        <v>63997.35</v>
      </c>
      <c r="O28" s="469" t="s">
        <v>57</v>
      </c>
      <c r="P28" s="626" t="s">
        <v>155</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159</v>
      </c>
      <c r="J29" s="469" t="s">
        <v>63</v>
      </c>
      <c r="K29" s="469"/>
      <c r="L29" s="467">
        <v>45968</v>
      </c>
      <c r="M29" s="469" t="s">
        <v>57</v>
      </c>
      <c r="N29" s="542">
        <v>12840.7</v>
      </c>
      <c r="O29" s="469" t="s">
        <v>57</v>
      </c>
      <c r="P29" s="626" t="s">
        <v>155</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169</v>
      </c>
      <c r="G30" s="938" t="s">
        <v>430</v>
      </c>
      <c r="H30" s="469">
        <v>0</v>
      </c>
      <c r="I30" s="470" t="s">
        <v>159</v>
      </c>
      <c r="J30" s="469" t="s">
        <v>63</v>
      </c>
      <c r="K30" s="469"/>
      <c r="L30" s="467">
        <v>45790</v>
      </c>
      <c r="M30" s="469" t="s">
        <v>57</v>
      </c>
      <c r="N30" s="542">
        <v>63283</v>
      </c>
      <c r="O30" s="469" t="s">
        <v>57</v>
      </c>
      <c r="P30" s="626" t="s">
        <v>155</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144</v>
      </c>
      <c r="G31" s="1207" t="s">
        <v>433</v>
      </c>
      <c r="H31" s="1208">
        <v>0</v>
      </c>
      <c r="I31" s="1208" t="s">
        <v>159</v>
      </c>
      <c r="J31" s="1208" t="s">
        <v>63</v>
      </c>
      <c r="K31" s="1208"/>
      <c r="L31" s="1206" t="s">
        <v>166</v>
      </c>
      <c r="M31" s="1208" t="s">
        <v>57</v>
      </c>
      <c r="N31" s="1209">
        <v>23475.5</v>
      </c>
      <c r="O31" s="1208" t="s">
        <v>57</v>
      </c>
      <c r="P31" s="1280" t="s">
        <v>155</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144</v>
      </c>
      <c r="G32" s="1207"/>
      <c r="H32" s="1208">
        <v>0</v>
      </c>
      <c r="I32" s="1208" t="s">
        <v>159</v>
      </c>
      <c r="J32" s="1208" t="s">
        <v>63</v>
      </c>
      <c r="K32" s="1208"/>
      <c r="L32" s="1206" t="s">
        <v>166</v>
      </c>
      <c r="M32" s="1208" t="s">
        <v>57</v>
      </c>
      <c r="N32" s="1209">
        <v>11500.3</v>
      </c>
      <c r="O32" s="1208" t="s">
        <v>57</v>
      </c>
      <c r="P32" s="1280" t="s">
        <v>155</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144</v>
      </c>
      <c r="G33" s="468" t="s">
        <v>438</v>
      </c>
      <c r="H33" s="469">
        <v>0</v>
      </c>
      <c r="I33" s="469" t="s">
        <v>159</v>
      </c>
      <c r="J33" s="469" t="s">
        <v>63</v>
      </c>
      <c r="K33" s="469"/>
      <c r="L33" s="467" t="s">
        <v>166</v>
      </c>
      <c r="M33" s="469" t="s">
        <v>57</v>
      </c>
      <c r="N33" s="542">
        <v>1931.75</v>
      </c>
      <c r="O33" s="469" t="s">
        <v>57</v>
      </c>
      <c r="P33" s="1063" t="s">
        <v>155</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159</v>
      </c>
      <c r="J34" s="469" t="s">
        <v>63</v>
      </c>
      <c r="K34" s="469"/>
      <c r="L34" s="467" t="s">
        <v>166</v>
      </c>
      <c r="M34" s="469" t="s">
        <v>57</v>
      </c>
      <c r="N34" s="542">
        <v>74164.05</v>
      </c>
      <c r="O34" s="469" t="s">
        <v>57</v>
      </c>
      <c r="P34" s="1063" t="s">
        <v>155</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169</v>
      </c>
      <c r="G35" s="682"/>
      <c r="H35" s="469">
        <v>385</v>
      </c>
      <c r="I35" s="661" t="s">
        <v>159</v>
      </c>
      <c r="J35" s="469" t="s">
        <v>56</v>
      </c>
      <c r="K35" s="469"/>
      <c r="L35" s="467">
        <v>45937</v>
      </c>
      <c r="M35" s="469" t="s">
        <v>57</v>
      </c>
      <c r="N35" s="542">
        <v>210533.1</v>
      </c>
      <c r="O35" s="469" t="s">
        <v>57</v>
      </c>
      <c r="P35" s="626" t="s">
        <v>155</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144</v>
      </c>
      <c r="G36" s="1207" t="s">
        <v>448</v>
      </c>
      <c r="H36" s="1208">
        <v>197</v>
      </c>
      <c r="I36" s="661" t="s">
        <v>159</v>
      </c>
      <c r="J36" s="1208" t="s">
        <v>56</v>
      </c>
      <c r="K36" s="469"/>
      <c r="L36" s="1206">
        <v>45978</v>
      </c>
      <c r="M36" s="1208" t="s">
        <v>57</v>
      </c>
      <c r="N36" s="1209">
        <v>87807.5</v>
      </c>
      <c r="O36" s="1208" t="s">
        <v>57</v>
      </c>
      <c r="P36" s="1280" t="s">
        <v>155</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144</v>
      </c>
      <c r="G37" s="468" t="s">
        <v>451</v>
      </c>
      <c r="H37" s="469">
        <v>303</v>
      </c>
      <c r="I37" s="661" t="s">
        <v>159</v>
      </c>
      <c r="J37" s="469" t="s">
        <v>56</v>
      </c>
      <c r="K37" s="469"/>
      <c r="L37" s="467">
        <v>45953</v>
      </c>
      <c r="M37" s="469" t="s">
        <v>57</v>
      </c>
      <c r="N37" s="542">
        <v>168480.8</v>
      </c>
      <c r="O37" s="469" t="s">
        <v>57</v>
      </c>
      <c r="P37" s="626" t="s">
        <v>155</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159</v>
      </c>
      <c r="J38" s="469" t="s">
        <v>56</v>
      </c>
      <c r="K38" s="469"/>
      <c r="L38" s="467">
        <v>45943</v>
      </c>
      <c r="M38" s="469" t="s">
        <v>57</v>
      </c>
      <c r="N38" s="542">
        <v>64059.5</v>
      </c>
      <c r="O38" s="469" t="s">
        <v>57</v>
      </c>
      <c r="P38" s="626" t="s">
        <v>155</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159</v>
      </c>
      <c r="J39" s="978" t="s">
        <v>63</v>
      </c>
      <c r="K39" s="469"/>
      <c r="L39" s="375">
        <v>45964</v>
      </c>
      <c r="M39" s="978" t="s">
        <v>57</v>
      </c>
      <c r="N39" s="1068">
        <v>62937.05</v>
      </c>
      <c r="O39" s="52" t="s">
        <v>57</v>
      </c>
      <c r="P39" s="1070" t="s">
        <v>155</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159</v>
      </c>
      <c r="J40" s="478" t="s">
        <v>63</v>
      </c>
      <c r="K40" s="1076"/>
      <c r="L40" s="476" t="s">
        <v>52</v>
      </c>
      <c r="M40" s="478" t="s">
        <v>57</v>
      </c>
      <c r="N40" s="1077">
        <v>4046.5</v>
      </c>
      <c r="O40" s="478" t="s">
        <v>57</v>
      </c>
      <c r="P40" s="626" t="s">
        <v>155</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159</v>
      </c>
      <c r="J41" s="478" t="s">
        <v>63</v>
      </c>
      <c r="K41" s="1076"/>
      <c r="L41" s="476" t="s">
        <v>52</v>
      </c>
      <c r="M41" s="478" t="s">
        <v>57</v>
      </c>
      <c r="N41" s="1077">
        <v>29180.45</v>
      </c>
      <c r="O41" s="478" t="s">
        <v>57</v>
      </c>
      <c r="P41" s="626" t="s">
        <v>155</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159</v>
      </c>
      <c r="J42" s="478" t="s">
        <v>63</v>
      </c>
      <c r="K42" s="1076"/>
      <c r="L42" s="476" t="s">
        <v>52</v>
      </c>
      <c r="M42" s="478" t="s">
        <v>57</v>
      </c>
      <c r="N42" s="1077">
        <v>170</v>
      </c>
      <c r="O42" s="478" t="s">
        <v>57</v>
      </c>
      <c r="P42" s="712" t="s">
        <v>155</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159</v>
      </c>
      <c r="J43" s="478" t="s">
        <v>63</v>
      </c>
      <c r="K43" s="1076"/>
      <c r="L43" s="467">
        <v>45964</v>
      </c>
      <c r="M43" s="478" t="s">
        <v>57</v>
      </c>
      <c r="N43" s="1077">
        <v>170</v>
      </c>
      <c r="O43" s="478" t="s">
        <v>57</v>
      </c>
      <c r="P43" s="626" t="s">
        <v>155</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159</v>
      </c>
      <c r="J44" s="978" t="s">
        <v>63</v>
      </c>
      <c r="K44" s="1009"/>
      <c r="L44" s="476" t="s">
        <v>52</v>
      </c>
      <c r="M44" s="978" t="s">
        <v>57</v>
      </c>
      <c r="N44" s="1068">
        <v>25891</v>
      </c>
      <c r="O44" s="52" t="s">
        <v>57</v>
      </c>
      <c r="P44" s="1070" t="s">
        <v>155</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159</v>
      </c>
      <c r="J45" s="978" t="s">
        <v>63</v>
      </c>
      <c r="K45" s="1009"/>
      <c r="L45" s="476" t="s">
        <v>52</v>
      </c>
      <c r="M45" s="978" t="s">
        <v>57</v>
      </c>
      <c r="N45" s="1068">
        <v>170</v>
      </c>
      <c r="O45" s="52" t="s">
        <v>57</v>
      </c>
      <c r="P45" s="1070" t="s">
        <v>155</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159</v>
      </c>
      <c r="J46" s="978" t="s">
        <v>63</v>
      </c>
      <c r="K46" s="1009"/>
      <c r="L46" s="476" t="s">
        <v>52</v>
      </c>
      <c r="M46" s="978" t="s">
        <v>57</v>
      </c>
      <c r="N46" s="1068">
        <v>30788</v>
      </c>
      <c r="O46" s="52" t="s">
        <v>57</v>
      </c>
      <c r="P46" s="1070" t="s">
        <v>155</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159</v>
      </c>
      <c r="J47" s="978" t="s">
        <v>63</v>
      </c>
      <c r="K47" s="1009"/>
      <c r="L47" s="476" t="s">
        <v>52</v>
      </c>
      <c r="M47" s="978" t="s">
        <v>57</v>
      </c>
      <c r="N47" s="1068">
        <v>5668</v>
      </c>
      <c r="O47" s="52" t="s">
        <v>57</v>
      </c>
      <c r="P47" s="1070" t="s">
        <v>155</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159</v>
      </c>
      <c r="J48" s="978" t="s">
        <v>63</v>
      </c>
      <c r="K48" s="1009"/>
      <c r="L48" s="476" t="s">
        <v>52</v>
      </c>
      <c r="M48" s="978" t="s">
        <v>57</v>
      </c>
      <c r="N48" s="1068">
        <v>170</v>
      </c>
      <c r="O48" s="52" t="s">
        <v>57</v>
      </c>
      <c r="P48" s="1070" t="s">
        <v>155</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169</v>
      </c>
      <c r="G49" s="637"/>
      <c r="H49" s="376">
        <v>89</v>
      </c>
      <c r="I49" s="977" t="s">
        <v>159</v>
      </c>
      <c r="J49" s="978" t="s">
        <v>63</v>
      </c>
      <c r="K49" s="650"/>
      <c r="L49" s="51">
        <v>45964</v>
      </c>
      <c r="M49" s="52" t="s">
        <v>57</v>
      </c>
      <c r="N49" s="839">
        <v>84750.5</v>
      </c>
      <c r="O49" s="52" t="s">
        <v>57</v>
      </c>
      <c r="P49" s="1070" t="s">
        <v>155</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169</v>
      </c>
      <c r="G50" s="637" t="s">
        <v>477</v>
      </c>
      <c r="H50" s="376">
        <v>59</v>
      </c>
      <c r="I50" s="977" t="s">
        <v>159</v>
      </c>
      <c r="J50" s="978" t="s">
        <v>63</v>
      </c>
      <c r="K50" s="650"/>
      <c r="L50" s="51">
        <v>45964</v>
      </c>
      <c r="M50" s="978" t="s">
        <v>57</v>
      </c>
      <c r="N50" s="839">
        <v>65066.5</v>
      </c>
      <c r="O50" s="52" t="s">
        <v>57</v>
      </c>
      <c r="P50" s="1070" t="s">
        <v>155</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169</v>
      </c>
      <c r="G51" s="637" t="s">
        <v>480</v>
      </c>
      <c r="H51" s="376">
        <v>89</v>
      </c>
      <c r="I51" s="977" t="s">
        <v>159</v>
      </c>
      <c r="J51" s="978" t="s">
        <v>63</v>
      </c>
      <c r="K51" s="650"/>
      <c r="L51" s="51">
        <v>45964</v>
      </c>
      <c r="M51" s="978" t="s">
        <v>57</v>
      </c>
      <c r="N51" s="839">
        <v>81602</v>
      </c>
      <c r="O51" s="52" t="s">
        <v>57</v>
      </c>
      <c r="P51" s="1070" t="s">
        <v>155</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169</v>
      </c>
      <c r="G52" s="637"/>
      <c r="H52" s="376">
        <v>88</v>
      </c>
      <c r="I52" s="977" t="s">
        <v>159</v>
      </c>
      <c r="J52" s="978" t="s">
        <v>63</v>
      </c>
      <c r="K52" s="650"/>
      <c r="L52" s="51">
        <v>45961</v>
      </c>
      <c r="M52" s="52" t="s">
        <v>57</v>
      </c>
      <c r="N52" s="839">
        <v>88231.9</v>
      </c>
      <c r="O52" s="52" t="s">
        <v>57</v>
      </c>
      <c r="P52" s="1070" t="s">
        <v>155</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169</v>
      </c>
      <c r="G53" s="637" t="s">
        <v>485</v>
      </c>
      <c r="H53" s="376">
        <v>87</v>
      </c>
      <c r="I53" s="977" t="s">
        <v>159</v>
      </c>
      <c r="J53" s="978" t="s">
        <v>63</v>
      </c>
      <c r="K53" s="650"/>
      <c r="L53" s="51">
        <v>45964</v>
      </c>
      <c r="M53" s="978" t="s">
        <v>57</v>
      </c>
      <c r="N53" s="839">
        <v>93578</v>
      </c>
      <c r="O53" s="52" t="s">
        <v>57</v>
      </c>
      <c r="P53" s="1070" t="s">
        <v>155</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169</v>
      </c>
      <c r="G54" s="637"/>
      <c r="H54" s="376">
        <v>90</v>
      </c>
      <c r="I54" s="977" t="s">
        <v>159</v>
      </c>
      <c r="J54" s="978" t="s">
        <v>63</v>
      </c>
      <c r="K54" s="650"/>
      <c r="L54" s="51">
        <v>45964</v>
      </c>
      <c r="M54" s="52" t="s">
        <v>57</v>
      </c>
      <c r="N54" s="839">
        <v>84896</v>
      </c>
      <c r="O54" s="52" t="s">
        <v>57</v>
      </c>
      <c r="P54" s="1070" t="s">
        <v>155</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169</v>
      </c>
      <c r="G55" s="1303" t="s">
        <v>490</v>
      </c>
      <c r="H55" s="1304">
        <v>90</v>
      </c>
      <c r="I55" s="977" t="s">
        <v>159</v>
      </c>
      <c r="J55" s="1285" t="s">
        <v>63</v>
      </c>
      <c r="K55" s="650"/>
      <c r="L55" s="1306">
        <v>45961</v>
      </c>
      <c r="M55" s="1285" t="s">
        <v>57</v>
      </c>
      <c r="N55" s="1332">
        <v>91897</v>
      </c>
      <c r="O55" s="1308" t="s">
        <v>57</v>
      </c>
      <c r="P55" s="1333" t="s">
        <v>155</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169</v>
      </c>
      <c r="G56" s="637" t="s">
        <v>493</v>
      </c>
      <c r="H56" s="376">
        <v>90</v>
      </c>
      <c r="I56" s="977" t="s">
        <v>159</v>
      </c>
      <c r="J56" s="978" t="s">
        <v>63</v>
      </c>
      <c r="K56" s="650"/>
      <c r="L56" s="51">
        <v>45964</v>
      </c>
      <c r="M56" s="978" t="s">
        <v>57</v>
      </c>
      <c r="N56" s="839">
        <v>96685</v>
      </c>
      <c r="O56" s="52" t="s">
        <v>57</v>
      </c>
      <c r="P56" s="1070" t="s">
        <v>155</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169</v>
      </c>
      <c r="G57" s="1303" t="s">
        <v>496</v>
      </c>
      <c r="H57" s="1304">
        <v>90</v>
      </c>
      <c r="I57" s="977" t="s">
        <v>159</v>
      </c>
      <c r="J57" s="1285" t="s">
        <v>63</v>
      </c>
      <c r="K57" s="1305"/>
      <c r="L57" s="1306">
        <v>45964</v>
      </c>
      <c r="M57" s="1285" t="s">
        <v>57</v>
      </c>
      <c r="N57" s="1332">
        <v>85815</v>
      </c>
      <c r="O57" s="1308" t="s">
        <v>57</v>
      </c>
      <c r="P57" s="1333" t="s">
        <v>155</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169</v>
      </c>
      <c r="G58" s="637" t="s">
        <v>499</v>
      </c>
      <c r="H58" s="376">
        <v>89</v>
      </c>
      <c r="I58" s="977" t="s">
        <v>159</v>
      </c>
      <c r="J58" s="978" t="s">
        <v>63</v>
      </c>
      <c r="K58" s="650"/>
      <c r="L58" s="51">
        <v>45961</v>
      </c>
      <c r="M58" s="978" t="s">
        <v>57</v>
      </c>
      <c r="N58" s="839">
        <v>83615</v>
      </c>
      <c r="O58" s="52" t="s">
        <v>57</v>
      </c>
      <c r="P58" s="1070" t="s">
        <v>155</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169</v>
      </c>
      <c r="G59" s="1303" t="s">
        <v>502</v>
      </c>
      <c r="H59" s="1304">
        <v>88</v>
      </c>
      <c r="I59" s="977" t="s">
        <v>159</v>
      </c>
      <c r="J59" s="1285" t="s">
        <v>63</v>
      </c>
      <c r="K59" s="650"/>
      <c r="L59" s="1306">
        <v>45964</v>
      </c>
      <c r="M59" s="1285" t="s">
        <v>57</v>
      </c>
      <c r="N59" s="1332">
        <v>78736.5</v>
      </c>
      <c r="O59" s="1308" t="s">
        <v>57</v>
      </c>
      <c r="P59" s="1333" t="s">
        <v>155</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169</v>
      </c>
      <c r="G60" s="1303" t="s">
        <v>505</v>
      </c>
      <c r="H60" s="1304">
        <v>86</v>
      </c>
      <c r="I60" s="977" t="s">
        <v>159</v>
      </c>
      <c r="J60" s="1285" t="s">
        <v>63</v>
      </c>
      <c r="K60" s="650"/>
      <c r="L60" s="1306">
        <v>45964</v>
      </c>
      <c r="M60" s="1285" t="s">
        <v>57</v>
      </c>
      <c r="N60" s="1332">
        <v>80698</v>
      </c>
      <c r="O60" s="1308" t="s">
        <v>57</v>
      </c>
      <c r="P60" s="1333" t="s">
        <v>155</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169</v>
      </c>
      <c r="G61" s="1303" t="s">
        <v>508</v>
      </c>
      <c r="H61" s="1304">
        <v>85</v>
      </c>
      <c r="I61" s="977" t="s">
        <v>159</v>
      </c>
      <c r="J61" s="1285" t="s">
        <v>63</v>
      </c>
      <c r="K61" s="650"/>
      <c r="L61" s="1306">
        <v>45964</v>
      </c>
      <c r="M61" s="1285" t="s">
        <v>57</v>
      </c>
      <c r="N61" s="1332">
        <v>84770</v>
      </c>
      <c r="O61" s="1308" t="s">
        <v>57</v>
      </c>
      <c r="P61" s="1333" t="s">
        <v>155</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169</v>
      </c>
      <c r="G62" s="1303" t="s">
        <v>511</v>
      </c>
      <c r="H62" s="1304">
        <v>87</v>
      </c>
      <c r="I62" s="977" t="s">
        <v>159</v>
      </c>
      <c r="J62" s="1285" t="s">
        <v>63</v>
      </c>
      <c r="K62" s="1305"/>
      <c r="L62" s="1306">
        <v>45964</v>
      </c>
      <c r="M62" s="1285" t="s">
        <v>57</v>
      </c>
      <c r="N62" s="1332">
        <v>87875</v>
      </c>
      <c r="O62" s="1308" t="s">
        <v>57</v>
      </c>
      <c r="P62" s="1333" t="s">
        <v>155</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169</v>
      </c>
      <c r="G63" s="1303" t="s">
        <v>514</v>
      </c>
      <c r="H63" s="1304">
        <v>0</v>
      </c>
      <c r="I63" s="977" t="s">
        <v>159</v>
      </c>
      <c r="J63" s="1285" t="s">
        <v>63</v>
      </c>
      <c r="K63" s="1305"/>
      <c r="L63" s="1306">
        <v>45961</v>
      </c>
      <c r="M63" s="1285" t="s">
        <v>57</v>
      </c>
      <c r="N63" s="1332">
        <v>64985.65</v>
      </c>
      <c r="O63" s="1308" t="s">
        <v>57</v>
      </c>
      <c r="P63" s="1372" t="s">
        <v>155</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169</v>
      </c>
      <c r="G64" s="1303" t="s">
        <v>517</v>
      </c>
      <c r="H64" s="1304">
        <v>0</v>
      </c>
      <c r="I64" s="977" t="s">
        <v>159</v>
      </c>
      <c r="J64" s="1285" t="s">
        <v>63</v>
      </c>
      <c r="K64" s="1305"/>
      <c r="L64" s="1306">
        <v>45961</v>
      </c>
      <c r="M64" s="1285" t="s">
        <v>57</v>
      </c>
      <c r="N64" s="1332">
        <v>54043.5</v>
      </c>
      <c r="O64" s="1308" t="s">
        <v>57</v>
      </c>
      <c r="P64" s="1333" t="s">
        <v>155</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159</v>
      </c>
      <c r="J65" s="469" t="s">
        <v>63</v>
      </c>
      <c r="K65" s="904"/>
      <c r="L65" s="51">
        <v>45741</v>
      </c>
      <c r="M65" s="376" t="s">
        <v>57</v>
      </c>
      <c r="N65" s="839">
        <v>67734.5</v>
      </c>
      <c r="O65" s="376" t="s">
        <v>57</v>
      </c>
      <c r="P65" s="1070" t="s">
        <v>155</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159</v>
      </c>
      <c r="J66" s="478" t="s">
        <v>63</v>
      </c>
      <c r="K66" s="52"/>
      <c r="L66" s="375">
        <v>45716</v>
      </c>
      <c r="M66" s="52" t="s">
        <v>57</v>
      </c>
      <c r="N66" s="1078">
        <v>56262.5</v>
      </c>
      <c r="O66" s="52" t="s">
        <v>57</v>
      </c>
      <c r="P66" s="1070" t="s">
        <v>155</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159</v>
      </c>
      <c r="J67" s="469" t="s">
        <v>63</v>
      </c>
      <c r="K67" s="826"/>
      <c r="L67" s="476">
        <v>45741</v>
      </c>
      <c r="M67" s="469" t="s">
        <v>57</v>
      </c>
      <c r="N67" s="543">
        <v>17203.45</v>
      </c>
      <c r="O67" s="469" t="s">
        <v>57</v>
      </c>
      <c r="P67" s="975" t="s">
        <v>155</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159</v>
      </c>
      <c r="J68" s="469" t="s">
        <v>63</v>
      </c>
      <c r="K68" s="904"/>
      <c r="L68" s="51">
        <v>45742</v>
      </c>
      <c r="M68" s="910" t="s">
        <v>57</v>
      </c>
      <c r="N68" s="1078">
        <v>23800.25</v>
      </c>
      <c r="O68" s="376" t="s">
        <v>57</v>
      </c>
      <c r="P68" s="1070" t="s">
        <v>155</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159</v>
      </c>
      <c r="J69" s="469" t="s">
        <v>56</v>
      </c>
      <c r="K69" s="52"/>
      <c r="L69" s="51" t="s">
        <v>52</v>
      </c>
      <c r="M69" s="978" t="s">
        <v>57</v>
      </c>
      <c r="N69" s="1078">
        <v>42766.5</v>
      </c>
      <c r="O69" s="52" t="s">
        <v>57</v>
      </c>
      <c r="P69" s="1070" t="s">
        <v>155</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159</v>
      </c>
      <c r="J70" s="469" t="s">
        <v>56</v>
      </c>
      <c r="K70" s="96"/>
      <c r="L70" s="51" t="s">
        <v>52</v>
      </c>
      <c r="M70" s="978" t="s">
        <v>57</v>
      </c>
      <c r="N70" s="1078">
        <v>86136</v>
      </c>
      <c r="O70" s="52" t="s">
        <v>57</v>
      </c>
      <c r="P70" s="1070" t="s">
        <v>155</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155</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159</v>
      </c>
      <c r="J2" s="469" t="s">
        <v>63</v>
      </c>
      <c r="K2" s="469"/>
      <c r="L2" s="467">
        <v>45852</v>
      </c>
      <c r="M2" s="469" t="s">
        <v>57</v>
      </c>
      <c r="N2" s="542">
        <v>42837.2</v>
      </c>
      <c r="O2" s="469" t="s">
        <v>57</v>
      </c>
      <c r="P2" s="807" t="s">
        <v>155</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159</v>
      </c>
      <c r="J3" s="478" t="s">
        <v>63</v>
      </c>
      <c r="K3" s="487"/>
      <c r="L3" s="467">
        <v>45716</v>
      </c>
      <c r="M3" s="478" t="s">
        <v>57</v>
      </c>
      <c r="N3" s="543">
        <v>64932.55</v>
      </c>
      <c r="O3" s="478" t="s">
        <v>57</v>
      </c>
      <c r="P3" s="807" t="s">
        <v>155</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159</v>
      </c>
      <c r="J4" s="483" t="s">
        <v>63</v>
      </c>
      <c r="K4" s="483"/>
      <c r="L4" s="476">
        <v>45708</v>
      </c>
      <c r="M4" s="483" t="s">
        <v>57</v>
      </c>
      <c r="N4" s="544">
        <v>87944.4</v>
      </c>
      <c r="O4" s="483" t="s">
        <v>57</v>
      </c>
      <c r="P4" s="807" t="s">
        <v>155</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159</v>
      </c>
      <c r="J5" s="478" t="s">
        <v>63</v>
      </c>
      <c r="K5" s="844"/>
      <c r="L5" s="467">
        <v>45716</v>
      </c>
      <c r="M5" s="478" t="s">
        <v>57</v>
      </c>
      <c r="N5" s="542">
        <v>2812.95</v>
      </c>
      <c r="O5" s="478" t="s">
        <v>57</v>
      </c>
      <c r="P5" s="807" t="s">
        <v>155</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159</v>
      </c>
      <c r="J6" s="478" t="s">
        <v>63</v>
      </c>
      <c r="K6" s="487"/>
      <c r="L6" s="467">
        <v>45716</v>
      </c>
      <c r="M6" s="478" t="s">
        <v>57</v>
      </c>
      <c r="N6" s="543">
        <v>28777</v>
      </c>
      <c r="O6" s="478" t="s">
        <v>57</v>
      </c>
      <c r="P6" s="807" t="s">
        <v>155</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159</v>
      </c>
      <c r="J7" s="478" t="s">
        <v>63</v>
      </c>
      <c r="K7" s="487"/>
      <c r="L7" s="476">
        <v>45863</v>
      </c>
      <c r="M7" s="478" t="s">
        <v>57</v>
      </c>
      <c r="N7" s="543">
        <v>143407.25</v>
      </c>
      <c r="O7" s="478" t="s">
        <v>57</v>
      </c>
      <c r="P7" s="807" t="s">
        <v>155</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159</v>
      </c>
      <c r="J8" s="478" t="s">
        <v>63</v>
      </c>
      <c r="K8" s="487"/>
      <c r="L8" s="476">
        <v>45881</v>
      </c>
      <c r="M8" s="478" t="s">
        <v>57</v>
      </c>
      <c r="N8" s="543">
        <v>4815.6499999999996</v>
      </c>
      <c r="O8" s="478" t="s">
        <v>57</v>
      </c>
      <c r="P8" s="807" t="s">
        <v>155</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159</v>
      </c>
      <c r="J9" s="393" t="s">
        <v>63</v>
      </c>
      <c r="K9" s="393"/>
      <c r="L9" s="836" t="s">
        <v>52</v>
      </c>
      <c r="M9" s="393" t="s">
        <v>57</v>
      </c>
      <c r="N9" s="839">
        <v>4646.75</v>
      </c>
      <c r="O9" s="393" t="s">
        <v>91</v>
      </c>
      <c r="P9" s="914" t="s">
        <v>155</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159</v>
      </c>
      <c r="J10" s="469" t="s">
        <v>63</v>
      </c>
      <c r="K10" s="469"/>
      <c r="L10" s="476">
        <v>45918</v>
      </c>
      <c r="M10" s="478" t="s">
        <v>57</v>
      </c>
      <c r="N10" s="543">
        <v>9611.9500000000007</v>
      </c>
      <c r="O10" s="478" t="s">
        <v>57</v>
      </c>
      <c r="P10" s="807" t="s">
        <v>155</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383" t="s">
        <v>565</v>
      </c>
      <c r="B11" s="1207" t="s">
        <v>111</v>
      </c>
      <c r="C11" s="1206">
        <v>46021</v>
      </c>
      <c r="D11" s="1206" t="s">
        <v>131</v>
      </c>
      <c r="E11" s="1206">
        <v>46001</v>
      </c>
      <c r="F11" s="1207" t="s">
        <v>144</v>
      </c>
      <c r="G11" s="1207"/>
      <c r="H11" s="1208">
        <v>49</v>
      </c>
      <c r="I11" s="661" t="s">
        <v>159</v>
      </c>
      <c r="J11" s="1208" t="s">
        <v>63</v>
      </c>
      <c r="K11" s="1208"/>
      <c r="L11" s="1206">
        <v>45994</v>
      </c>
      <c r="M11" s="1228" t="s">
        <v>57</v>
      </c>
      <c r="N11" s="1209">
        <v>42150</v>
      </c>
      <c r="O11" s="1228" t="s">
        <v>57</v>
      </c>
      <c r="P11" s="1384" t="s">
        <v>155</v>
      </c>
      <c r="Q11" s="1211">
        <v>45994</v>
      </c>
      <c r="R11" s="1211"/>
      <c r="S11" s="1211"/>
      <c r="T11" s="1211"/>
      <c r="U11" s="486" t="s">
        <v>544</v>
      </c>
      <c r="V11" s="788">
        <v>3885</v>
      </c>
      <c r="W11" s="1382">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143</v>
      </c>
      <c r="E12" s="476">
        <v>45889</v>
      </c>
      <c r="F12" s="488" t="s">
        <v>169</v>
      </c>
      <c r="G12" s="477"/>
      <c r="H12" s="478">
        <v>76</v>
      </c>
      <c r="I12" s="483" t="s">
        <v>159</v>
      </c>
      <c r="J12" s="478" t="s">
        <v>63</v>
      </c>
      <c r="K12" s="487"/>
      <c r="L12" s="476">
        <v>45888</v>
      </c>
      <c r="M12" s="478" t="s">
        <v>57</v>
      </c>
      <c r="N12" s="543">
        <v>53902</v>
      </c>
      <c r="O12" s="478" t="s">
        <v>57</v>
      </c>
      <c r="P12" s="807" t="s">
        <v>155</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169</v>
      </c>
      <c r="G13" s="465" t="s">
        <v>570</v>
      </c>
      <c r="H13" s="469">
        <v>66</v>
      </c>
      <c r="I13" s="469" t="s">
        <v>159</v>
      </c>
      <c r="J13" s="469" t="s">
        <v>63</v>
      </c>
      <c r="K13" s="469"/>
      <c r="L13" s="467">
        <v>45897</v>
      </c>
      <c r="M13" s="469" t="s">
        <v>57</v>
      </c>
      <c r="N13" s="542">
        <v>44896.1</v>
      </c>
      <c r="O13" s="469" t="s">
        <v>57</v>
      </c>
      <c r="P13" s="807" t="s">
        <v>155</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159</v>
      </c>
      <c r="J14" s="469" t="s">
        <v>63</v>
      </c>
      <c r="K14" s="469"/>
      <c r="L14" s="467">
        <v>45903</v>
      </c>
      <c r="M14" s="469" t="s">
        <v>57</v>
      </c>
      <c r="N14" s="542">
        <v>59116.7</v>
      </c>
      <c r="O14" s="469" t="s">
        <v>57</v>
      </c>
      <c r="P14" s="807" t="s">
        <v>155</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169</v>
      </c>
      <c r="G15" s="682" t="s">
        <v>576</v>
      </c>
      <c r="H15" s="469">
        <v>67</v>
      </c>
      <c r="I15" s="661" t="s">
        <v>159</v>
      </c>
      <c r="J15" s="469" t="s">
        <v>63</v>
      </c>
      <c r="K15" s="469"/>
      <c r="L15" s="467">
        <v>45903</v>
      </c>
      <c r="M15" s="469" t="s">
        <v>57</v>
      </c>
      <c r="N15" s="542">
        <v>40406</v>
      </c>
      <c r="O15" s="469" t="s">
        <v>57</v>
      </c>
      <c r="P15" s="807" t="s">
        <v>155</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169</v>
      </c>
      <c r="G16" s="682" t="s">
        <v>579</v>
      </c>
      <c r="H16" s="469">
        <v>28</v>
      </c>
      <c r="I16" s="661" t="s">
        <v>159</v>
      </c>
      <c r="J16" s="469" t="s">
        <v>63</v>
      </c>
      <c r="K16" s="469"/>
      <c r="L16" s="467">
        <v>45979</v>
      </c>
      <c r="M16" s="469" t="s">
        <v>57</v>
      </c>
      <c r="N16" s="542">
        <v>29683</v>
      </c>
      <c r="O16" s="469" t="s">
        <v>57</v>
      </c>
      <c r="P16" s="807" t="s">
        <v>155</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144</v>
      </c>
      <c r="G17" s="682"/>
      <c r="H17" s="469">
        <v>35</v>
      </c>
      <c r="I17" s="661" t="s">
        <v>159</v>
      </c>
      <c r="J17" s="469" t="s">
        <v>63</v>
      </c>
      <c r="K17" s="469"/>
      <c r="L17" s="467">
        <v>45933</v>
      </c>
      <c r="M17" s="469" t="s">
        <v>57</v>
      </c>
      <c r="N17" s="542">
        <v>26026</v>
      </c>
      <c r="O17" s="469" t="s">
        <v>57</v>
      </c>
      <c r="P17" s="807" t="s">
        <v>155</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169</v>
      </c>
      <c r="G18" s="682"/>
      <c r="H18" s="469">
        <v>82</v>
      </c>
      <c r="I18" s="661" t="s">
        <v>159</v>
      </c>
      <c r="J18" s="469" t="s">
        <v>63</v>
      </c>
      <c r="K18" s="469"/>
      <c r="L18" s="467">
        <v>45912</v>
      </c>
      <c r="M18" s="469" t="s">
        <v>57</v>
      </c>
      <c r="N18" s="542">
        <v>82621.149999999994</v>
      </c>
      <c r="O18" s="469" t="s">
        <v>57</v>
      </c>
      <c r="P18" s="807" t="s">
        <v>155</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169</v>
      </c>
      <c r="G19" s="682"/>
      <c r="H19" s="469">
        <v>34</v>
      </c>
      <c r="I19" s="661" t="s">
        <v>159</v>
      </c>
      <c r="J19" s="469" t="s">
        <v>63</v>
      </c>
      <c r="K19" s="469"/>
      <c r="L19" s="467">
        <v>45933</v>
      </c>
      <c r="M19" s="469" t="s">
        <v>57</v>
      </c>
      <c r="N19" s="542">
        <v>29646</v>
      </c>
      <c r="O19" s="469" t="s">
        <v>57</v>
      </c>
      <c r="P19" s="807" t="s">
        <v>155</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159</v>
      </c>
      <c r="J20" s="469" t="s">
        <v>63</v>
      </c>
      <c r="K20" s="469"/>
      <c r="L20" s="467">
        <v>45933</v>
      </c>
      <c r="M20" s="469" t="s">
        <v>57</v>
      </c>
      <c r="N20" s="542">
        <v>45014</v>
      </c>
      <c r="O20" s="469" t="s">
        <v>57</v>
      </c>
      <c r="P20" s="807" t="s">
        <v>155</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159</v>
      </c>
      <c r="J21" s="469" t="s">
        <v>63</v>
      </c>
      <c r="K21" s="469"/>
      <c r="L21" s="467">
        <v>45936</v>
      </c>
      <c r="M21" s="469" t="s">
        <v>57</v>
      </c>
      <c r="N21" s="542">
        <v>38796</v>
      </c>
      <c r="O21" s="469" t="s">
        <v>57</v>
      </c>
      <c r="P21" s="807" t="s">
        <v>155</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144</v>
      </c>
      <c r="G22" s="682"/>
      <c r="H22" s="469">
        <v>61</v>
      </c>
      <c r="I22" s="661" t="s">
        <v>159</v>
      </c>
      <c r="J22" s="469" t="s">
        <v>63</v>
      </c>
      <c r="K22" s="469"/>
      <c r="L22" s="467">
        <v>45962</v>
      </c>
      <c r="M22" s="469" t="s">
        <v>57</v>
      </c>
      <c r="N22" s="542">
        <v>35050</v>
      </c>
      <c r="O22" s="469" t="s">
        <v>57</v>
      </c>
      <c r="P22" s="807" t="s">
        <v>155</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144</v>
      </c>
      <c r="G23" s="682"/>
      <c r="H23" s="469">
        <v>48</v>
      </c>
      <c r="I23" s="661" t="s">
        <v>159</v>
      </c>
      <c r="J23" s="469" t="s">
        <v>63</v>
      </c>
      <c r="K23" s="469"/>
      <c r="L23" s="467">
        <v>45954</v>
      </c>
      <c r="M23" s="469" t="s">
        <v>57</v>
      </c>
      <c r="N23" s="542">
        <v>54228.7</v>
      </c>
      <c r="O23" s="469" t="s">
        <v>57</v>
      </c>
      <c r="P23" s="807" t="s">
        <v>155</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144</v>
      </c>
      <c r="G24" s="682"/>
      <c r="H24" s="469">
        <v>83</v>
      </c>
      <c r="I24" s="661" t="s">
        <v>159</v>
      </c>
      <c r="J24" s="469" t="s">
        <v>63</v>
      </c>
      <c r="K24" s="469"/>
      <c r="L24" s="467">
        <v>45936</v>
      </c>
      <c r="M24" s="469" t="s">
        <v>57</v>
      </c>
      <c r="N24" s="542">
        <v>96748</v>
      </c>
      <c r="O24" s="469" t="s">
        <v>57</v>
      </c>
      <c r="P24" s="845" t="s">
        <v>155</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159</v>
      </c>
      <c r="J25" s="469" t="s">
        <v>63</v>
      </c>
      <c r="K25" s="469"/>
      <c r="L25" s="467">
        <v>45969</v>
      </c>
      <c r="M25" s="469" t="s">
        <v>57</v>
      </c>
      <c r="N25" s="542">
        <v>75672.100000000006</v>
      </c>
      <c r="O25" s="469" t="s">
        <v>57</v>
      </c>
      <c r="P25" s="1154" t="s">
        <v>155</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159</v>
      </c>
      <c r="J26" s="469" t="s">
        <v>63</v>
      </c>
      <c r="K26" s="469"/>
      <c r="L26" s="467">
        <v>45967</v>
      </c>
      <c r="M26" s="469" t="s">
        <v>57</v>
      </c>
      <c r="N26" s="542">
        <v>76565.850000000006</v>
      </c>
      <c r="O26" s="469" t="s">
        <v>57</v>
      </c>
      <c r="P26" s="1154" t="s">
        <v>155</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144</v>
      </c>
      <c r="G27" s="682" t="s">
        <v>604</v>
      </c>
      <c r="H27" s="469">
        <v>75</v>
      </c>
      <c r="I27" s="661" t="s">
        <v>159</v>
      </c>
      <c r="J27" s="469" t="s">
        <v>63</v>
      </c>
      <c r="K27" s="469"/>
      <c r="L27" s="467">
        <v>45967</v>
      </c>
      <c r="M27" s="469" t="s">
        <v>57</v>
      </c>
      <c r="N27" s="542">
        <v>60620</v>
      </c>
      <c r="O27" s="469" t="s">
        <v>57</v>
      </c>
      <c r="P27" s="1154" t="s">
        <v>155</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159</v>
      </c>
      <c r="J28" s="469" t="s">
        <v>63</v>
      </c>
      <c r="K28" s="469"/>
      <c r="L28" s="476">
        <v>45902</v>
      </c>
      <c r="M28" s="469" t="s">
        <v>57</v>
      </c>
      <c r="N28" s="542">
        <v>5604.6</v>
      </c>
      <c r="O28" s="469" t="s">
        <v>57</v>
      </c>
      <c r="P28" s="1351" t="s">
        <v>155</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144</v>
      </c>
      <c r="G29" s="682" t="s">
        <v>609</v>
      </c>
      <c r="H29" s="469">
        <v>0</v>
      </c>
      <c r="I29" s="469" t="s">
        <v>159</v>
      </c>
      <c r="J29" s="469" t="s">
        <v>63</v>
      </c>
      <c r="K29" s="469"/>
      <c r="L29" s="467" t="s">
        <v>166</v>
      </c>
      <c r="M29" s="469" t="s">
        <v>57</v>
      </c>
      <c r="N29" s="542">
        <v>51970</v>
      </c>
      <c r="O29" s="469" t="s">
        <v>57</v>
      </c>
      <c r="P29" s="1154" t="s">
        <v>155</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159</v>
      </c>
      <c r="J30" s="469" t="s">
        <v>63</v>
      </c>
      <c r="K30" s="469"/>
      <c r="L30" s="467" t="s">
        <v>166</v>
      </c>
      <c r="M30" s="469" t="s">
        <v>57</v>
      </c>
      <c r="N30" s="542">
        <v>39221.800000000003</v>
      </c>
      <c r="O30" s="469" t="s">
        <v>57</v>
      </c>
      <c r="P30" s="1154" t="s">
        <v>155</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159</v>
      </c>
      <c r="J31" s="469" t="s">
        <v>56</v>
      </c>
      <c r="K31" s="469"/>
      <c r="L31" s="467">
        <v>45905</v>
      </c>
      <c r="M31" s="469" t="s">
        <v>57</v>
      </c>
      <c r="N31" s="542">
        <v>145985.5</v>
      </c>
      <c r="O31" s="469" t="s">
        <v>57</v>
      </c>
      <c r="P31" s="1109" t="s">
        <v>155</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159</v>
      </c>
      <c r="J32" s="469" t="s">
        <v>56</v>
      </c>
      <c r="K32" s="469"/>
      <c r="L32" s="465" t="s">
        <v>155</v>
      </c>
      <c r="M32" s="469" t="s">
        <v>57</v>
      </c>
      <c r="N32" s="542">
        <v>30892</v>
      </c>
      <c r="O32" s="469" t="s">
        <v>57</v>
      </c>
      <c r="P32" s="807" t="s">
        <v>155</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159</v>
      </c>
      <c r="J33" s="478" t="s">
        <v>63</v>
      </c>
      <c r="K33" s="487"/>
      <c r="L33" s="476">
        <v>45728</v>
      </c>
      <c r="M33" s="478" t="s">
        <v>57</v>
      </c>
      <c r="N33" s="543">
        <v>60843.5</v>
      </c>
      <c r="O33" s="478" t="s">
        <v>57</v>
      </c>
      <c r="P33" s="807" t="s">
        <v>155</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159</v>
      </c>
      <c r="J34" s="504" t="s">
        <v>63</v>
      </c>
      <c r="K34" s="504"/>
      <c r="L34" s="511">
        <v>45714</v>
      </c>
      <c r="M34" s="504" t="s">
        <v>57</v>
      </c>
      <c r="N34" s="545">
        <v>94170.5</v>
      </c>
      <c r="O34" s="504" t="s">
        <v>57</v>
      </c>
      <c r="P34" s="929" t="s">
        <v>155</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159</v>
      </c>
      <c r="J35" s="504" t="s">
        <v>63</v>
      </c>
      <c r="K35" s="504"/>
      <c r="L35" s="511">
        <v>45695</v>
      </c>
      <c r="M35" s="504" t="s">
        <v>57</v>
      </c>
      <c r="N35" s="546">
        <v>89698.5</v>
      </c>
      <c r="O35" s="504" t="s">
        <v>57</v>
      </c>
      <c r="P35" s="929" t="s">
        <v>155</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159</v>
      </c>
      <c r="J36" s="829" t="s">
        <v>63</v>
      </c>
      <c r="K36" s="829"/>
      <c r="L36" s="827">
        <v>45686</v>
      </c>
      <c r="M36" s="829" t="s">
        <v>57</v>
      </c>
      <c r="N36" s="851">
        <v>61924</v>
      </c>
      <c r="O36" s="829" t="s">
        <v>57</v>
      </c>
      <c r="P36" s="807" t="s">
        <v>155</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159</v>
      </c>
      <c r="J37" s="829" t="s">
        <v>63</v>
      </c>
      <c r="K37" s="829"/>
      <c r="L37" s="827">
        <v>45698</v>
      </c>
      <c r="M37" s="829" t="s">
        <v>57</v>
      </c>
      <c r="N37" s="851">
        <v>63402.5</v>
      </c>
      <c r="O37" s="829" t="s">
        <v>57</v>
      </c>
      <c r="P37" s="807" t="s">
        <v>155</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155</v>
      </c>
      <c r="M38" s="380" t="s">
        <v>57</v>
      </c>
      <c r="N38" s="1078">
        <v>64790.5</v>
      </c>
      <c r="O38" s="380" t="s">
        <v>57</v>
      </c>
      <c r="P38" s="1101" t="s">
        <v>155</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159</v>
      </c>
      <c r="J39" s="469" t="s">
        <v>63</v>
      </c>
      <c r="K39" s="478"/>
      <c r="L39" s="467">
        <v>45917</v>
      </c>
      <c r="M39" s="469" t="s">
        <v>57</v>
      </c>
      <c r="N39" s="542">
        <v>45500</v>
      </c>
      <c r="O39" s="469" t="s">
        <v>57</v>
      </c>
      <c r="P39" s="807" t="s">
        <v>155</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159</v>
      </c>
      <c r="J40" s="469" t="s">
        <v>63</v>
      </c>
      <c r="K40" s="826"/>
      <c r="L40" s="476">
        <v>45741</v>
      </c>
      <c r="M40" s="469" t="s">
        <v>57</v>
      </c>
      <c r="N40" s="543">
        <v>67735.5</v>
      </c>
      <c r="O40" s="469" t="s">
        <v>57</v>
      </c>
      <c r="P40" s="807" t="s">
        <v>155</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155</v>
      </c>
      <c r="J41" s="829" t="s">
        <v>63</v>
      </c>
      <c r="K41" s="829"/>
      <c r="L41" s="827">
        <v>45705</v>
      </c>
      <c r="M41" s="829" t="s">
        <v>57</v>
      </c>
      <c r="N41" s="851">
        <v>1295</v>
      </c>
      <c r="O41" s="829" t="s">
        <v>57</v>
      </c>
      <c r="P41" s="807" t="s">
        <v>155</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159</v>
      </c>
      <c r="J2" s="52" t="s">
        <v>63</v>
      </c>
      <c r="K2" s="51">
        <v>45701</v>
      </c>
      <c r="L2" s="380" t="s">
        <v>57</v>
      </c>
      <c r="M2" s="426">
        <v>55089</v>
      </c>
      <c r="N2" s="554">
        <v>57509</v>
      </c>
      <c r="O2" s="770" t="s">
        <v>57</v>
      </c>
      <c r="P2" s="376" t="s">
        <v>155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159</v>
      </c>
      <c r="J3" s="52" t="s">
        <v>63</v>
      </c>
      <c r="K3" s="612">
        <v>45718</v>
      </c>
      <c r="L3" s="52" t="s">
        <v>57</v>
      </c>
      <c r="M3" s="426">
        <v>200394.1</v>
      </c>
      <c r="N3" s="426">
        <v>209003.94</v>
      </c>
      <c r="O3" s="52" t="s">
        <v>57</v>
      </c>
      <c r="P3" s="437" t="s">
        <v>155</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159</v>
      </c>
      <c r="J4" s="52" t="s">
        <v>63</v>
      </c>
      <c r="K4" s="51">
        <v>45708</v>
      </c>
      <c r="L4" s="52" t="s">
        <v>57</v>
      </c>
      <c r="M4" s="426">
        <v>62460.45</v>
      </c>
      <c r="N4" s="554">
        <v>61491.05</v>
      </c>
      <c r="O4" s="52" t="s">
        <v>57</v>
      </c>
      <c r="P4" s="52" t="s">
        <v>155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159</v>
      </c>
      <c r="J5" s="376" t="s">
        <v>63</v>
      </c>
      <c r="K5" s="375">
        <v>45735</v>
      </c>
      <c r="L5" s="376" t="s">
        <v>57</v>
      </c>
      <c r="M5" s="429">
        <v>15690.1</v>
      </c>
      <c r="N5" s="554">
        <v>16153.75</v>
      </c>
      <c r="O5" s="376" t="s">
        <v>57</v>
      </c>
      <c r="P5" s="376" t="s">
        <v>155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169</v>
      </c>
      <c r="G6" s="573" t="s">
        <v>666</v>
      </c>
      <c r="H6" s="376">
        <v>0</v>
      </c>
      <c r="I6" s="377" t="s">
        <v>159</v>
      </c>
      <c r="J6" s="376" t="s">
        <v>63</v>
      </c>
      <c r="K6" s="375">
        <v>45793</v>
      </c>
      <c r="L6" s="376" t="s">
        <v>57</v>
      </c>
      <c r="M6" s="429">
        <v>104070.8</v>
      </c>
      <c r="N6" s="426">
        <v>106593.55</v>
      </c>
      <c r="O6" s="376" t="s">
        <v>57</v>
      </c>
      <c r="P6" s="437" t="s">
        <v>155</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159</v>
      </c>
      <c r="J7" s="376" t="s">
        <v>63</v>
      </c>
      <c r="K7" s="375">
        <v>45782</v>
      </c>
      <c r="L7" s="376" t="s">
        <v>57</v>
      </c>
      <c r="M7" s="429">
        <v>119135.3</v>
      </c>
      <c r="N7" s="426">
        <v>121256.65</v>
      </c>
      <c r="O7" s="376" t="s">
        <v>57</v>
      </c>
      <c r="P7" s="376" t="s">
        <v>155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159</v>
      </c>
      <c r="J8" s="52" t="s">
        <v>63</v>
      </c>
      <c r="K8" s="50" t="s">
        <v>155</v>
      </c>
      <c r="L8" s="52" t="s">
        <v>57</v>
      </c>
      <c r="M8" s="426">
        <v>12601.45</v>
      </c>
      <c r="N8" s="554">
        <v>13008.1</v>
      </c>
      <c r="O8" s="52" t="s">
        <v>57</v>
      </c>
      <c r="P8" s="52" t="s">
        <v>155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169</v>
      </c>
      <c r="G9" s="379" t="s">
        <v>674</v>
      </c>
      <c r="H9" s="52">
        <v>0</v>
      </c>
      <c r="I9" s="380" t="s">
        <v>159</v>
      </c>
      <c r="J9" s="52" t="s">
        <v>63</v>
      </c>
      <c r="K9" s="375">
        <v>45826</v>
      </c>
      <c r="L9" s="376" t="s">
        <v>57</v>
      </c>
      <c r="M9" s="429">
        <v>144886</v>
      </c>
      <c r="N9" s="426">
        <v>138688</v>
      </c>
      <c r="O9" s="376" t="s">
        <v>57</v>
      </c>
      <c r="P9" s="437" t="s">
        <v>155</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169</v>
      </c>
      <c r="G10" s="672" t="s">
        <v>72</v>
      </c>
      <c r="H10" s="376">
        <v>54</v>
      </c>
      <c r="I10" s="667" t="s">
        <v>540</v>
      </c>
      <c r="J10" s="376" t="s">
        <v>63</v>
      </c>
      <c r="K10" s="374" t="s">
        <v>155</v>
      </c>
      <c r="L10" s="667" t="s">
        <v>57</v>
      </c>
      <c r="M10" s="429">
        <v>47461.5</v>
      </c>
      <c r="N10" s="569">
        <v>45340</v>
      </c>
      <c r="O10" s="667" t="s">
        <v>57</v>
      </c>
      <c r="P10" s="376" t="s">
        <v>155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169</v>
      </c>
      <c r="G12" s="670" t="s">
        <v>681</v>
      </c>
      <c r="H12" s="52">
        <v>56</v>
      </c>
      <c r="I12" s="660" t="s">
        <v>540</v>
      </c>
      <c r="J12" s="52" t="s">
        <v>63</v>
      </c>
      <c r="K12" s="665">
        <v>45707</v>
      </c>
      <c r="L12" s="52" t="s">
        <v>57</v>
      </c>
      <c r="M12" s="426">
        <v>62522.54</v>
      </c>
      <c r="N12" s="554">
        <v>56001</v>
      </c>
      <c r="O12" s="52" t="s">
        <v>57</v>
      </c>
      <c r="P12" s="52" t="s">
        <v>155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169</v>
      </c>
      <c r="G13" s="573" t="s">
        <v>683</v>
      </c>
      <c r="H13" s="52">
        <v>82</v>
      </c>
      <c r="I13" s="660" t="s">
        <v>159</v>
      </c>
      <c r="J13" s="52" t="s">
        <v>63</v>
      </c>
      <c r="K13" s="665">
        <v>45756</v>
      </c>
      <c r="L13" s="52" t="s">
        <v>57</v>
      </c>
      <c r="M13" s="426">
        <v>67171.5</v>
      </c>
      <c r="N13" s="554">
        <v>64739</v>
      </c>
      <c r="O13" s="52" t="s">
        <v>57</v>
      </c>
      <c r="P13" s="52" t="s">
        <v>155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169</v>
      </c>
      <c r="G14" s="670" t="s">
        <v>685</v>
      </c>
      <c r="H14" s="52">
        <v>79</v>
      </c>
      <c r="I14" s="660" t="s">
        <v>159</v>
      </c>
      <c r="J14" s="52" t="s">
        <v>63</v>
      </c>
      <c r="K14" s="51">
        <v>45749</v>
      </c>
      <c r="L14" s="52" t="s">
        <v>57</v>
      </c>
      <c r="M14" s="426">
        <v>72492</v>
      </c>
      <c r="N14" s="554">
        <v>73087.5</v>
      </c>
      <c r="O14" s="52" t="s">
        <v>57</v>
      </c>
      <c r="P14" s="52" t="s">
        <v>155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159</v>
      </c>
      <c r="J15" s="52" t="s">
        <v>63</v>
      </c>
      <c r="K15" s="51">
        <v>45750</v>
      </c>
      <c r="L15" s="52" t="s">
        <v>57</v>
      </c>
      <c r="M15" s="426">
        <v>51295</v>
      </c>
      <c r="N15" s="554">
        <v>51485.5</v>
      </c>
      <c r="O15" s="52" t="s">
        <v>57</v>
      </c>
      <c r="P15" s="52" t="s">
        <v>155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159</v>
      </c>
      <c r="J16" s="52" t="s">
        <v>63</v>
      </c>
      <c r="K16" s="50" t="s">
        <v>155</v>
      </c>
      <c r="L16" s="660" t="s">
        <v>57</v>
      </c>
      <c r="M16" s="426">
        <v>26617</v>
      </c>
      <c r="N16" s="570">
        <v>25405</v>
      </c>
      <c r="O16" s="660" t="s">
        <v>57</v>
      </c>
      <c r="P16" s="52" t="s">
        <v>155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155</v>
      </c>
      <c r="L17" s="660" t="s">
        <v>57</v>
      </c>
      <c r="M17" s="426">
        <v>72118</v>
      </c>
      <c r="N17" s="673">
        <v>70778</v>
      </c>
      <c r="O17" s="660" t="s">
        <v>57</v>
      </c>
      <c r="P17" s="52" t="s">
        <v>155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155</v>
      </c>
      <c r="L18" s="660" t="s">
        <v>57</v>
      </c>
      <c r="M18" s="426">
        <v>69288</v>
      </c>
      <c r="N18" s="570">
        <v>70664</v>
      </c>
      <c r="O18" s="660" t="s">
        <v>57</v>
      </c>
      <c r="P18" s="52" t="s">
        <v>155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169</v>
      </c>
      <c r="G19" s="666" t="s">
        <v>697</v>
      </c>
      <c r="H19" s="52">
        <v>65</v>
      </c>
      <c r="I19" s="660" t="s">
        <v>540</v>
      </c>
      <c r="J19" s="52" t="s">
        <v>63</v>
      </c>
      <c r="K19" s="51">
        <v>45673</v>
      </c>
      <c r="L19" s="660" t="s">
        <v>57</v>
      </c>
      <c r="M19" s="426">
        <v>69555</v>
      </c>
      <c r="N19" s="673">
        <v>70432</v>
      </c>
      <c r="O19" s="660" t="s">
        <v>57</v>
      </c>
      <c r="P19" s="52" t="s">
        <v>155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155</v>
      </c>
      <c r="L20" s="660" t="s">
        <v>57</v>
      </c>
      <c r="M20" s="426">
        <v>83754</v>
      </c>
      <c r="N20" s="570">
        <v>80572.5</v>
      </c>
      <c r="O20" s="660" t="s">
        <v>57</v>
      </c>
      <c r="P20" s="52" t="s">
        <v>155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169</v>
      </c>
      <c r="G21" s="670" t="s">
        <v>701</v>
      </c>
      <c r="H21" s="52">
        <v>50</v>
      </c>
      <c r="I21" s="52" t="s">
        <v>540</v>
      </c>
      <c r="J21" s="52" t="s">
        <v>63</v>
      </c>
      <c r="K21" s="51">
        <v>45705</v>
      </c>
      <c r="L21" s="52" t="s">
        <v>57</v>
      </c>
      <c r="M21" s="426">
        <v>43895.5</v>
      </c>
      <c r="N21" s="570">
        <v>44479.5</v>
      </c>
      <c r="O21" s="52" t="s">
        <v>57</v>
      </c>
      <c r="P21" s="52" t="s">
        <v>155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169</v>
      </c>
      <c r="G22" s="670" t="s">
        <v>703</v>
      </c>
      <c r="H22" s="52">
        <v>52</v>
      </c>
      <c r="I22" s="52" t="s">
        <v>159</v>
      </c>
      <c r="J22" s="52" t="s">
        <v>63</v>
      </c>
      <c r="K22" s="51">
        <v>45733</v>
      </c>
      <c r="L22" s="52" t="s">
        <v>57</v>
      </c>
      <c r="M22" s="426">
        <v>50824.5</v>
      </c>
      <c r="N22" s="570">
        <v>50928.5</v>
      </c>
      <c r="O22" s="52" t="s">
        <v>57</v>
      </c>
      <c r="P22" s="52" t="s">
        <v>155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159</v>
      </c>
      <c r="J23" s="52" t="s">
        <v>63</v>
      </c>
      <c r="K23" s="51">
        <v>45737</v>
      </c>
      <c r="L23" s="52" t="s">
        <v>57</v>
      </c>
      <c r="M23" s="426">
        <v>83462</v>
      </c>
      <c r="N23" s="570">
        <v>83033</v>
      </c>
      <c r="O23" s="52" t="s">
        <v>57</v>
      </c>
      <c r="P23" s="52" t="s">
        <v>155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169</v>
      </c>
      <c r="G24" s="670" t="s">
        <v>707</v>
      </c>
      <c r="H24" s="52">
        <v>51</v>
      </c>
      <c r="I24" s="660" t="s">
        <v>540</v>
      </c>
      <c r="J24" s="52" t="s">
        <v>63</v>
      </c>
      <c r="K24" s="50" t="s">
        <v>155</v>
      </c>
      <c r="L24" s="52" t="s">
        <v>57</v>
      </c>
      <c r="M24" s="426">
        <v>47414</v>
      </c>
      <c r="N24" s="570">
        <v>45744</v>
      </c>
      <c r="O24" s="52" t="s">
        <v>57</v>
      </c>
      <c r="P24" s="52" t="s">
        <v>155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169</v>
      </c>
      <c r="G25" s="670" t="s">
        <v>709</v>
      </c>
      <c r="H25" s="52">
        <v>59</v>
      </c>
      <c r="I25" s="660" t="s">
        <v>159</v>
      </c>
      <c r="J25" s="52" t="s">
        <v>63</v>
      </c>
      <c r="K25" s="51">
        <v>45736</v>
      </c>
      <c r="L25" s="52" t="s">
        <v>57</v>
      </c>
      <c r="M25" s="426">
        <v>59562.5</v>
      </c>
      <c r="N25" s="570">
        <v>52525.5</v>
      </c>
      <c r="O25" s="52" t="s">
        <v>57</v>
      </c>
      <c r="P25" s="52" t="s">
        <v>155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159</v>
      </c>
      <c r="J26" s="52" t="s">
        <v>63</v>
      </c>
      <c r="K26" s="51">
        <v>45735</v>
      </c>
      <c r="L26" s="52" t="s">
        <v>57</v>
      </c>
      <c r="M26" s="426">
        <v>41187</v>
      </c>
      <c r="N26" s="570">
        <v>39597.5</v>
      </c>
      <c r="O26" s="52" t="s">
        <v>57</v>
      </c>
      <c r="P26" s="52" t="s">
        <v>155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169</v>
      </c>
      <c r="G27" s="572" t="s">
        <v>713</v>
      </c>
      <c r="H27" s="52">
        <v>22</v>
      </c>
      <c r="I27" s="52" t="s">
        <v>159</v>
      </c>
      <c r="J27" s="52" t="s">
        <v>63</v>
      </c>
      <c r="K27" s="50" t="s">
        <v>155</v>
      </c>
      <c r="L27" s="52" t="s">
        <v>57</v>
      </c>
      <c r="M27" s="426">
        <v>14497.5</v>
      </c>
      <c r="N27" s="570">
        <v>14042</v>
      </c>
      <c r="O27" s="52" t="s">
        <v>57</v>
      </c>
      <c r="P27" s="52" t="s">
        <v>155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159</v>
      </c>
      <c r="J28" s="376" t="s">
        <v>63</v>
      </c>
      <c r="K28" s="375">
        <v>45847</v>
      </c>
      <c r="L28" s="376" t="s">
        <v>57</v>
      </c>
      <c r="M28" s="429">
        <v>71310.899999999994</v>
      </c>
      <c r="N28" s="426">
        <v>62984.35</v>
      </c>
      <c r="O28" s="376" t="s">
        <v>57</v>
      </c>
      <c r="P28" s="437" t="s">
        <v>155</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159</v>
      </c>
      <c r="J29" s="376" t="s">
        <v>63</v>
      </c>
      <c r="K29" s="375">
        <v>45840</v>
      </c>
      <c r="L29" s="376" t="s">
        <v>57</v>
      </c>
      <c r="M29" s="429">
        <v>53605.2</v>
      </c>
      <c r="N29" s="426">
        <v>52185.2</v>
      </c>
      <c r="O29" s="376" t="s">
        <v>57</v>
      </c>
      <c r="P29" s="437" t="s">
        <v>155</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169</v>
      </c>
      <c r="G30" s="374" t="s">
        <v>721</v>
      </c>
      <c r="H30" s="376">
        <v>66</v>
      </c>
      <c r="I30" s="376" t="s">
        <v>159</v>
      </c>
      <c r="J30" s="376" t="s">
        <v>63</v>
      </c>
      <c r="K30" s="375">
        <v>45833</v>
      </c>
      <c r="L30" s="376" t="s">
        <v>57</v>
      </c>
      <c r="M30" s="429">
        <v>32940.449999999997</v>
      </c>
      <c r="N30" s="426">
        <v>43258.2</v>
      </c>
      <c r="O30" s="376" t="s">
        <v>57</v>
      </c>
      <c r="P30" s="1044" t="s">
        <v>155</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159</v>
      </c>
      <c r="J31" s="376" t="s">
        <v>63</v>
      </c>
      <c r="K31" s="375">
        <v>45840</v>
      </c>
      <c r="L31" s="376" t="s">
        <v>57</v>
      </c>
      <c r="M31" s="429">
        <v>23404.75</v>
      </c>
      <c r="N31" s="426">
        <v>18702.400000000001</v>
      </c>
      <c r="O31" s="376" t="s">
        <v>57</v>
      </c>
      <c r="P31" s="1052" t="s">
        <v>155</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159</v>
      </c>
      <c r="J32" s="52" t="s">
        <v>63</v>
      </c>
      <c r="K32" s="51">
        <v>45762</v>
      </c>
      <c r="L32" s="52" t="s">
        <v>57</v>
      </c>
      <c r="M32" s="426">
        <v>62502</v>
      </c>
      <c r="N32" s="554">
        <v>59129.5</v>
      </c>
      <c r="O32" s="52" t="s">
        <v>57</v>
      </c>
      <c r="P32" s="52" t="s">
        <v>155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159</v>
      </c>
      <c r="J33" s="52" t="s">
        <v>63</v>
      </c>
      <c r="K33" s="51">
        <v>45762</v>
      </c>
      <c r="L33" s="52" t="s">
        <v>57</v>
      </c>
      <c r="M33" s="426">
        <v>70705.5</v>
      </c>
      <c r="N33" s="554">
        <v>67666</v>
      </c>
      <c r="O33" s="52" t="s">
        <v>57</v>
      </c>
      <c r="P33" s="52" t="s">
        <v>155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159</v>
      </c>
      <c r="J34" s="52" t="s">
        <v>63</v>
      </c>
      <c r="K34" s="51">
        <v>45762</v>
      </c>
      <c r="L34" s="52" t="s">
        <v>57</v>
      </c>
      <c r="M34" s="426">
        <v>66004.5</v>
      </c>
      <c r="N34" s="554">
        <v>64943.5</v>
      </c>
      <c r="O34" s="52" t="s">
        <v>57</v>
      </c>
      <c r="P34" s="52" t="s">
        <v>155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159</v>
      </c>
      <c r="J35" s="376" t="s">
        <v>63</v>
      </c>
      <c r="K35" s="375">
        <v>45790</v>
      </c>
      <c r="L35" s="376" t="s">
        <v>57</v>
      </c>
      <c r="M35" s="429">
        <v>57237</v>
      </c>
      <c r="N35" s="568">
        <v>55777</v>
      </c>
      <c r="O35" s="52" t="s">
        <v>57</v>
      </c>
      <c r="P35" s="376" t="s">
        <v>155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169</v>
      </c>
      <c r="G36" s="781" t="s">
        <v>738</v>
      </c>
      <c r="H36" s="116">
        <v>0</v>
      </c>
      <c r="I36" s="504" t="s">
        <v>155</v>
      </c>
      <c r="J36" s="116" t="s">
        <v>63</v>
      </c>
      <c r="K36" s="509">
        <v>45673</v>
      </c>
      <c r="L36" s="504" t="s">
        <v>57</v>
      </c>
      <c r="M36" s="777">
        <v>24886.5</v>
      </c>
      <c r="N36" s="808">
        <v>7262</v>
      </c>
      <c r="O36" s="504" t="s">
        <v>57</v>
      </c>
      <c r="P36" s="814" t="s">
        <v>155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159</v>
      </c>
      <c r="J37" s="910" t="s">
        <v>63</v>
      </c>
      <c r="K37" s="375">
        <v>45848</v>
      </c>
      <c r="L37" s="376" t="s">
        <v>57</v>
      </c>
      <c r="M37" s="1001">
        <v>23436.55</v>
      </c>
      <c r="N37" s="426">
        <v>15484.65</v>
      </c>
      <c r="O37" s="376" t="s">
        <v>57</v>
      </c>
      <c r="P37" s="1052" t="s">
        <v>155</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169</v>
      </c>
      <c r="G38" s="1163" t="s">
        <v>742</v>
      </c>
      <c r="H38" s="1164">
        <v>0</v>
      </c>
      <c r="I38" s="1165" t="s">
        <v>159</v>
      </c>
      <c r="J38" s="1164" t="s">
        <v>63</v>
      </c>
      <c r="K38" s="51" t="s">
        <v>52</v>
      </c>
      <c r="L38" s="376" t="s">
        <v>57</v>
      </c>
      <c r="M38" s="429">
        <v>1343</v>
      </c>
      <c r="N38" s="1167">
        <v>2310</v>
      </c>
      <c r="O38" s="376" t="s">
        <v>57</v>
      </c>
      <c r="P38" s="1052" t="s">
        <v>155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169</v>
      </c>
      <c r="G39" s="1032" t="s">
        <v>745</v>
      </c>
      <c r="H39" s="960">
        <v>0</v>
      </c>
      <c r="I39" s="960" t="s">
        <v>159</v>
      </c>
      <c r="J39" s="960" t="s">
        <v>63</v>
      </c>
      <c r="K39" s="943">
        <v>45870</v>
      </c>
      <c r="L39" s="960" t="s">
        <v>57</v>
      </c>
      <c r="M39" s="962">
        <v>49307.5</v>
      </c>
      <c r="N39" s="426">
        <v>47409</v>
      </c>
      <c r="O39" s="960" t="s">
        <v>57</v>
      </c>
      <c r="P39" s="1190" t="s">
        <v>155</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169</v>
      </c>
      <c r="G40" s="774" t="s">
        <v>748</v>
      </c>
      <c r="H40" s="376">
        <v>0</v>
      </c>
      <c r="I40" s="667" t="s">
        <v>159</v>
      </c>
      <c r="J40" s="376" t="s">
        <v>63</v>
      </c>
      <c r="K40" s="375">
        <v>45705</v>
      </c>
      <c r="L40" s="376" t="s">
        <v>57</v>
      </c>
      <c r="M40" s="429">
        <v>88491.8</v>
      </c>
      <c r="N40" s="426">
        <v>85791.25</v>
      </c>
      <c r="O40" s="376" t="s">
        <v>57</v>
      </c>
      <c r="P40" s="376" t="s">
        <v>155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169</v>
      </c>
      <c r="G41" s="1032" t="s">
        <v>751</v>
      </c>
      <c r="H41" s="960">
        <v>0</v>
      </c>
      <c r="I41" s="960" t="s">
        <v>159</v>
      </c>
      <c r="J41" s="960" t="s">
        <v>63</v>
      </c>
      <c r="K41" s="943">
        <v>45870</v>
      </c>
      <c r="L41" s="960" t="s">
        <v>57</v>
      </c>
      <c r="M41" s="962">
        <v>12886.4</v>
      </c>
      <c r="N41" s="1167">
        <v>18418.349999999999</v>
      </c>
      <c r="O41" s="960" t="s">
        <v>57</v>
      </c>
      <c r="P41" s="1191" t="s">
        <v>155</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159</v>
      </c>
      <c r="J42" s="1164" t="s">
        <v>63</v>
      </c>
      <c r="K42" s="943">
        <v>45868</v>
      </c>
      <c r="L42" s="960" t="s">
        <v>57</v>
      </c>
      <c r="M42" s="962">
        <v>14179.65</v>
      </c>
      <c r="N42" s="1167">
        <v>15936.8</v>
      </c>
      <c r="O42" s="960" t="s">
        <v>57</v>
      </c>
      <c r="P42" s="1190" t="s">
        <v>155</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159</v>
      </c>
      <c r="J43" s="1178" t="s">
        <v>63</v>
      </c>
      <c r="K43" s="908">
        <v>45902</v>
      </c>
      <c r="L43" s="910" t="s">
        <v>57</v>
      </c>
      <c r="M43" s="1174">
        <v>3067.9</v>
      </c>
      <c r="N43" s="1167">
        <v>8729.7000000000007</v>
      </c>
      <c r="O43" s="910" t="s">
        <v>57</v>
      </c>
      <c r="P43" s="1037" t="s">
        <v>155</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159</v>
      </c>
      <c r="J44" s="910" t="s">
        <v>63</v>
      </c>
      <c r="K44" s="375">
        <v>45848</v>
      </c>
      <c r="L44" s="376" t="s">
        <v>57</v>
      </c>
      <c r="M44" s="429">
        <v>1206</v>
      </c>
      <c r="N44" s="426">
        <v>1195</v>
      </c>
      <c r="O44" s="376" t="s">
        <v>57</v>
      </c>
      <c r="P44" s="1052" t="s">
        <v>155</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159</v>
      </c>
      <c r="J45" s="910" t="s">
        <v>63</v>
      </c>
      <c r="K45" s="908" t="s">
        <v>52</v>
      </c>
      <c r="L45" s="910" t="s">
        <v>57</v>
      </c>
      <c r="M45" s="1174">
        <v>18903.7</v>
      </c>
      <c r="N45" s="426">
        <v>7007.75</v>
      </c>
      <c r="O45" s="910" t="s">
        <v>57</v>
      </c>
      <c r="P45" s="1037" t="s">
        <v>155</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159</v>
      </c>
      <c r="J46" s="502" t="s">
        <v>63</v>
      </c>
      <c r="K46" s="503" t="s">
        <v>766</v>
      </c>
      <c r="L46" s="502" t="s">
        <v>57</v>
      </c>
      <c r="M46" s="896">
        <v>21888.65</v>
      </c>
      <c r="N46" s="426">
        <v>21950.85</v>
      </c>
      <c r="O46" s="502" t="s">
        <v>57</v>
      </c>
      <c r="P46" s="1099" t="s">
        <v>155</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155</v>
      </c>
      <c r="J47" s="52" t="s">
        <v>63</v>
      </c>
      <c r="K47" s="50" t="s">
        <v>155</v>
      </c>
      <c r="L47" s="52" t="s">
        <v>57</v>
      </c>
      <c r="M47" s="426">
        <v>3425.55</v>
      </c>
      <c r="N47" s="554">
        <v>7741.4</v>
      </c>
      <c r="O47" s="52" t="s">
        <v>57</v>
      </c>
      <c r="P47" s="52" t="s">
        <v>155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169</v>
      </c>
      <c r="G48" s="573" t="s">
        <v>771</v>
      </c>
      <c r="H48" s="376">
        <v>0</v>
      </c>
      <c r="I48" s="667" t="s">
        <v>159</v>
      </c>
      <c r="J48" s="376" t="s">
        <v>63</v>
      </c>
      <c r="K48" s="374" t="s">
        <v>155</v>
      </c>
      <c r="L48" s="376" t="s">
        <v>57</v>
      </c>
      <c r="M48" s="429">
        <v>3707.3</v>
      </c>
      <c r="N48" s="426">
        <v>8209.69</v>
      </c>
      <c r="O48" s="376" t="s">
        <v>57</v>
      </c>
      <c r="P48" s="376" t="s">
        <v>155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155</v>
      </c>
      <c r="L49" s="52" t="s">
        <v>57</v>
      </c>
      <c r="M49" s="426">
        <v>21648.75</v>
      </c>
      <c r="N49" s="554">
        <v>35235</v>
      </c>
      <c r="O49" s="52" t="s">
        <v>57</v>
      </c>
      <c r="P49" s="52" t="s">
        <v>155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143</v>
      </c>
      <c r="E50" s="888">
        <v>45818</v>
      </c>
      <c r="F50" s="894" t="s">
        <v>775</v>
      </c>
      <c r="G50" s="894" t="s">
        <v>776</v>
      </c>
      <c r="H50" s="792">
        <v>56</v>
      </c>
      <c r="I50" s="792" t="s">
        <v>159</v>
      </c>
      <c r="J50" s="792" t="s">
        <v>63</v>
      </c>
      <c r="K50" s="503">
        <v>45817</v>
      </c>
      <c r="L50" s="502" t="s">
        <v>57</v>
      </c>
      <c r="M50" s="896">
        <v>75953</v>
      </c>
      <c r="N50" s="969">
        <v>61562</v>
      </c>
      <c r="O50" s="502" t="s">
        <v>57</v>
      </c>
      <c r="P50" s="1347" t="s">
        <v>155</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159</v>
      </c>
      <c r="J51" s="52" t="s">
        <v>63</v>
      </c>
      <c r="K51" s="51">
        <v>45716</v>
      </c>
      <c r="L51" s="52" t="s">
        <v>57</v>
      </c>
      <c r="M51" s="426">
        <v>64727</v>
      </c>
      <c r="N51" s="554">
        <v>68203</v>
      </c>
      <c r="O51" s="52" t="s">
        <v>57</v>
      </c>
      <c r="P51" s="376" t="s">
        <v>155</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155</v>
      </c>
      <c r="J52" s="52" t="s">
        <v>63</v>
      </c>
      <c r="K52" s="51">
        <v>45728</v>
      </c>
      <c r="L52" s="52" t="s">
        <v>57</v>
      </c>
      <c r="M52" s="426">
        <v>88033.5</v>
      </c>
      <c r="N52" s="554">
        <v>88045.5</v>
      </c>
      <c r="O52" s="52" t="s">
        <v>57</v>
      </c>
      <c r="P52" s="52" t="s">
        <v>155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155</v>
      </c>
      <c r="J53" s="52" t="s">
        <v>63</v>
      </c>
      <c r="K53" s="51">
        <v>45728</v>
      </c>
      <c r="L53" s="52" t="s">
        <v>57</v>
      </c>
      <c r="M53" s="426">
        <v>82979.5</v>
      </c>
      <c r="N53" s="554">
        <v>78032</v>
      </c>
      <c r="O53" s="52" t="s">
        <v>57</v>
      </c>
      <c r="P53" s="376" t="s">
        <v>155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155</v>
      </c>
      <c r="J54" s="52" t="s">
        <v>63</v>
      </c>
      <c r="K54" s="51">
        <v>45716</v>
      </c>
      <c r="L54" s="52" t="s">
        <v>57</v>
      </c>
      <c r="M54" s="426">
        <v>74446</v>
      </c>
      <c r="N54" s="568">
        <v>73894</v>
      </c>
      <c r="O54" s="52" t="s">
        <v>57</v>
      </c>
      <c r="P54" s="376" t="s">
        <v>155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155</v>
      </c>
      <c r="J55" s="52" t="s">
        <v>63</v>
      </c>
      <c r="K55" s="612">
        <v>45716</v>
      </c>
      <c r="L55" s="52" t="s">
        <v>57</v>
      </c>
      <c r="M55" s="674">
        <v>84935.5</v>
      </c>
      <c r="N55" s="569">
        <v>81445</v>
      </c>
      <c r="O55" s="52" t="s">
        <v>57</v>
      </c>
      <c r="P55" s="376" t="s">
        <v>155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159</v>
      </c>
      <c r="J56" s="660" t="s">
        <v>63</v>
      </c>
      <c r="K56" s="658">
        <v>45692</v>
      </c>
      <c r="L56" s="660" t="s">
        <v>57</v>
      </c>
      <c r="M56" s="663">
        <v>90302</v>
      </c>
      <c r="N56" s="426">
        <v>98764.5</v>
      </c>
      <c r="O56" s="660" t="s">
        <v>57</v>
      </c>
      <c r="P56" s="376" t="s">
        <v>155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159</v>
      </c>
      <c r="J57" s="380" t="s">
        <v>63</v>
      </c>
      <c r="K57" s="381">
        <v>45698</v>
      </c>
      <c r="L57" s="380" t="s">
        <v>57</v>
      </c>
      <c r="M57" s="640">
        <v>71361</v>
      </c>
      <c r="N57" s="554">
        <v>72125</v>
      </c>
      <c r="O57" s="380" t="s">
        <v>57</v>
      </c>
      <c r="P57" s="52" t="s">
        <v>155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143</v>
      </c>
      <c r="E58" s="381">
        <v>45686</v>
      </c>
      <c r="F58" s="381" t="s">
        <v>775</v>
      </c>
      <c r="G58" s="572" t="s">
        <v>796</v>
      </c>
      <c r="H58" s="380">
        <v>81</v>
      </c>
      <c r="I58" s="377" t="s">
        <v>159</v>
      </c>
      <c r="J58" s="380" t="s">
        <v>63</v>
      </c>
      <c r="K58" s="381">
        <v>45700</v>
      </c>
      <c r="L58" s="380" t="s">
        <v>57</v>
      </c>
      <c r="M58" s="640">
        <v>76139.5</v>
      </c>
      <c r="N58" s="568">
        <v>79581.5</v>
      </c>
      <c r="O58" s="380" t="s">
        <v>57</v>
      </c>
      <c r="P58" s="376" t="s">
        <v>155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159</v>
      </c>
      <c r="J59" s="380" t="s">
        <v>63</v>
      </c>
      <c r="K59" s="381">
        <v>45699</v>
      </c>
      <c r="L59" s="380" t="s">
        <v>57</v>
      </c>
      <c r="M59" s="640">
        <v>73583.5</v>
      </c>
      <c r="N59" s="554">
        <v>84066</v>
      </c>
      <c r="O59" s="770" t="s">
        <v>57</v>
      </c>
      <c r="P59" s="376" t="s">
        <v>155</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155</v>
      </c>
      <c r="L60" s="380" t="s">
        <v>57</v>
      </c>
      <c r="M60" s="640">
        <v>51958</v>
      </c>
      <c r="N60" s="554">
        <v>20330.259999999998</v>
      </c>
      <c r="O60" s="380" t="s">
        <v>57</v>
      </c>
      <c r="P60" s="52" t="s">
        <v>155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155</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155</v>
      </c>
      <c r="L62" s="660" t="s">
        <v>57</v>
      </c>
      <c r="M62" s="426">
        <v>82480.5</v>
      </c>
      <c r="N62" s="426">
        <v>77870.5</v>
      </c>
      <c r="O62" s="660" t="s">
        <v>57</v>
      </c>
      <c r="P62" s="376" t="s">
        <v>155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155</v>
      </c>
      <c r="L63" s="911" t="s">
        <v>57</v>
      </c>
      <c r="M63" s="429">
        <v>43130</v>
      </c>
      <c r="N63" s="426">
        <v>43560</v>
      </c>
      <c r="O63" s="667" t="s">
        <v>57</v>
      </c>
      <c r="P63" s="1052" t="s">
        <v>155</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155</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159</v>
      </c>
      <c r="J65" s="376" t="s">
        <v>63</v>
      </c>
      <c r="K65" s="51">
        <v>45741</v>
      </c>
      <c r="L65" s="376" t="s">
        <v>57</v>
      </c>
      <c r="M65" s="426">
        <v>74508.5</v>
      </c>
      <c r="N65" s="554">
        <v>75008.5</v>
      </c>
      <c r="O65" s="376" t="s">
        <v>57</v>
      </c>
      <c r="P65" s="376" t="s">
        <v>155</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159</v>
      </c>
      <c r="J66" s="52" t="s">
        <v>63</v>
      </c>
      <c r="K66" s="51">
        <v>45741</v>
      </c>
      <c r="L66" s="52" t="s">
        <v>57</v>
      </c>
      <c r="M66" s="426">
        <v>73070.5</v>
      </c>
      <c r="N66" s="554">
        <v>72678</v>
      </c>
      <c r="O66" s="52" t="s">
        <v>57</v>
      </c>
      <c r="P66" s="52" t="s">
        <v>155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159</v>
      </c>
      <c r="J67" s="910" t="s">
        <v>63</v>
      </c>
      <c r="K67" s="987">
        <v>45741</v>
      </c>
      <c r="L67" s="910" t="s">
        <v>57</v>
      </c>
      <c r="M67" s="426">
        <v>49071</v>
      </c>
      <c r="N67" s="426">
        <v>51376.61</v>
      </c>
      <c r="O67" s="376" t="s">
        <v>57</v>
      </c>
      <c r="P67" s="1052" t="s">
        <v>155</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159</v>
      </c>
      <c r="J70" s="376" t="s">
        <v>63</v>
      </c>
      <c r="K70" s="51">
        <v>45741</v>
      </c>
      <c r="L70" s="376" t="s">
        <v>57</v>
      </c>
      <c r="M70" s="426">
        <v>62104</v>
      </c>
      <c r="N70" s="569">
        <v>64186</v>
      </c>
      <c r="O70" s="376" t="s">
        <v>57</v>
      </c>
      <c r="P70" s="376" t="s">
        <v>155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159</v>
      </c>
      <c r="J71" s="376" t="s">
        <v>63</v>
      </c>
      <c r="K71" s="51">
        <v>45741</v>
      </c>
      <c r="L71" s="376" t="s">
        <v>57</v>
      </c>
      <c r="M71" s="426">
        <v>63756.5</v>
      </c>
      <c r="N71" s="569">
        <v>64902.5</v>
      </c>
      <c r="O71" s="376" t="s">
        <v>57</v>
      </c>
      <c r="P71" s="376" t="s">
        <v>155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159</v>
      </c>
      <c r="J72" s="52" t="s">
        <v>63</v>
      </c>
      <c r="K72" s="51">
        <v>45741</v>
      </c>
      <c r="L72" s="52" t="s">
        <v>57</v>
      </c>
      <c r="M72" s="426">
        <v>67840.5</v>
      </c>
      <c r="N72" s="554">
        <v>66607.5</v>
      </c>
      <c r="O72" s="52" t="s">
        <v>57</v>
      </c>
      <c r="P72" s="52" t="s">
        <v>155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159</v>
      </c>
      <c r="J73" s="52" t="s">
        <v>63</v>
      </c>
      <c r="K73" s="51">
        <v>45757</v>
      </c>
      <c r="L73" s="52" t="s">
        <v>57</v>
      </c>
      <c r="M73" s="426">
        <v>53906.75</v>
      </c>
      <c r="N73" s="554">
        <v>54578.5</v>
      </c>
      <c r="O73" s="52" t="s">
        <v>57</v>
      </c>
      <c r="P73" s="52" t="s">
        <v>155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159</v>
      </c>
      <c r="J74" s="376" t="s">
        <v>63</v>
      </c>
      <c r="K74" s="375">
        <v>45757</v>
      </c>
      <c r="L74" s="376" t="s">
        <v>57</v>
      </c>
      <c r="M74" s="429">
        <v>47432.5</v>
      </c>
      <c r="N74" s="554">
        <v>54385.09</v>
      </c>
      <c r="O74" s="376" t="s">
        <v>57</v>
      </c>
      <c r="P74" s="376" t="s">
        <v>155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143</v>
      </c>
      <c r="E75" s="51">
        <v>45761</v>
      </c>
      <c r="F75" s="50" t="s">
        <v>775</v>
      </c>
      <c r="G75" s="50" t="s">
        <v>845</v>
      </c>
      <c r="H75" s="52">
        <v>76</v>
      </c>
      <c r="I75" s="52" t="s">
        <v>155</v>
      </c>
      <c r="J75" s="52" t="s">
        <v>63</v>
      </c>
      <c r="K75" s="51">
        <v>45757</v>
      </c>
      <c r="L75" s="52" t="s">
        <v>57</v>
      </c>
      <c r="M75" s="426">
        <v>62383</v>
      </c>
      <c r="N75" s="554">
        <v>61939</v>
      </c>
      <c r="O75" s="52" t="s">
        <v>57</v>
      </c>
      <c r="P75" s="52" t="s">
        <v>155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155</v>
      </c>
      <c r="J76" s="376" t="s">
        <v>63</v>
      </c>
      <c r="K76" s="375">
        <v>45757</v>
      </c>
      <c r="L76" s="376" t="s">
        <v>57</v>
      </c>
      <c r="M76" s="429">
        <v>80443.5</v>
      </c>
      <c r="N76" s="554">
        <v>81941</v>
      </c>
      <c r="O76" s="376" t="s">
        <v>57</v>
      </c>
      <c r="P76" s="376" t="s">
        <v>155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159</v>
      </c>
      <c r="J77" s="376" t="s">
        <v>63</v>
      </c>
      <c r="K77" s="375">
        <v>45757</v>
      </c>
      <c r="L77" s="376" t="s">
        <v>57</v>
      </c>
      <c r="M77" s="429">
        <v>68736.5</v>
      </c>
      <c r="N77" s="554">
        <v>68249</v>
      </c>
      <c r="O77" s="376" t="s">
        <v>57</v>
      </c>
      <c r="P77" s="376" t="s">
        <v>155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143</v>
      </c>
      <c r="E78" s="51">
        <v>45743</v>
      </c>
      <c r="F78" s="50" t="s">
        <v>775</v>
      </c>
      <c r="G78" s="379" t="s">
        <v>853</v>
      </c>
      <c r="H78" s="52">
        <v>84</v>
      </c>
      <c r="I78" s="660" t="s">
        <v>159</v>
      </c>
      <c r="J78" s="376" t="s">
        <v>63</v>
      </c>
      <c r="K78" s="51">
        <v>45741</v>
      </c>
      <c r="L78" s="376" t="s">
        <v>57</v>
      </c>
      <c r="M78" s="426">
        <v>73491.5</v>
      </c>
      <c r="N78" s="568">
        <v>202651</v>
      </c>
      <c r="O78" s="376" t="s">
        <v>57</v>
      </c>
      <c r="P78" s="376" t="s">
        <v>155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159</v>
      </c>
      <c r="J79" s="376" t="s">
        <v>63</v>
      </c>
      <c r="K79" s="375">
        <v>45757</v>
      </c>
      <c r="L79" s="393" t="s">
        <v>57</v>
      </c>
      <c r="M79" s="429">
        <v>78331</v>
      </c>
      <c r="N79" s="426">
        <v>82072.25</v>
      </c>
      <c r="O79" s="376" t="s">
        <v>57</v>
      </c>
      <c r="P79" s="437" t="s">
        <v>155</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159</v>
      </c>
      <c r="J80" s="376" t="s">
        <v>63</v>
      </c>
      <c r="K80" s="51">
        <v>45741</v>
      </c>
      <c r="L80" s="376" t="s">
        <v>57</v>
      </c>
      <c r="M80" s="426">
        <v>74961</v>
      </c>
      <c r="N80" s="426">
        <v>77123</v>
      </c>
      <c r="O80" s="376" t="s">
        <v>57</v>
      </c>
      <c r="P80" s="376" t="s">
        <v>155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143</v>
      </c>
      <c r="E81" s="51">
        <v>45743</v>
      </c>
      <c r="F81" s="50" t="s">
        <v>775</v>
      </c>
      <c r="G81" s="379" t="s">
        <v>859</v>
      </c>
      <c r="H81" s="52">
        <v>80</v>
      </c>
      <c r="I81" s="380" t="s">
        <v>159</v>
      </c>
      <c r="J81" s="376" t="s">
        <v>63</v>
      </c>
      <c r="K81" s="51">
        <v>45741</v>
      </c>
      <c r="L81" s="376" t="s">
        <v>57</v>
      </c>
      <c r="M81" s="426">
        <v>70235</v>
      </c>
      <c r="N81" s="568">
        <v>134171.5</v>
      </c>
      <c r="O81" s="376" t="s">
        <v>57</v>
      </c>
      <c r="P81" s="376" t="s">
        <v>155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155</v>
      </c>
      <c r="L82" s="660" t="s">
        <v>57</v>
      </c>
      <c r="M82" s="426">
        <v>60625.5</v>
      </c>
      <c r="N82" s="554">
        <v>59084</v>
      </c>
      <c r="O82" s="660" t="s">
        <v>57</v>
      </c>
      <c r="P82" s="52" t="s">
        <v>155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159</v>
      </c>
      <c r="J83" s="52" t="s">
        <v>63</v>
      </c>
      <c r="K83" s="51">
        <v>45721</v>
      </c>
      <c r="L83" s="52" t="s">
        <v>57</v>
      </c>
      <c r="M83" s="591">
        <v>79507</v>
      </c>
      <c r="N83" s="554">
        <v>86709.5</v>
      </c>
      <c r="O83" s="52" t="s">
        <v>57</v>
      </c>
      <c r="P83" s="52" t="s">
        <v>155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143</v>
      </c>
      <c r="E84" s="658">
        <v>45686</v>
      </c>
      <c r="F84" s="658" t="s">
        <v>775</v>
      </c>
      <c r="G84" s="659" t="s">
        <v>865</v>
      </c>
      <c r="H84" s="52">
        <v>90</v>
      </c>
      <c r="I84" s="667" t="s">
        <v>540</v>
      </c>
      <c r="J84" s="52" t="s">
        <v>63</v>
      </c>
      <c r="K84" s="51">
        <v>45700</v>
      </c>
      <c r="L84" s="660" t="s">
        <v>57</v>
      </c>
      <c r="M84" s="426">
        <v>77320</v>
      </c>
      <c r="N84" s="426">
        <v>75804</v>
      </c>
      <c r="O84" s="660" t="s">
        <v>57</v>
      </c>
      <c r="P84" s="376" t="s">
        <v>155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143</v>
      </c>
      <c r="E85" s="51">
        <v>45716</v>
      </c>
      <c r="F85" s="50" t="s">
        <v>775</v>
      </c>
      <c r="G85" s="379" t="s">
        <v>868</v>
      </c>
      <c r="H85" s="52">
        <v>82</v>
      </c>
      <c r="I85" s="380" t="s">
        <v>159</v>
      </c>
      <c r="J85" s="52" t="s">
        <v>63</v>
      </c>
      <c r="K85" s="51">
        <v>45716</v>
      </c>
      <c r="L85" s="52" t="s">
        <v>57</v>
      </c>
      <c r="M85" s="426">
        <v>64609</v>
      </c>
      <c r="N85" s="568">
        <v>76965</v>
      </c>
      <c r="O85" s="52" t="s">
        <v>57</v>
      </c>
      <c r="P85" s="376" t="s">
        <v>155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159</v>
      </c>
      <c r="J86" s="52" t="s">
        <v>63</v>
      </c>
      <c r="K86" s="51">
        <v>45701</v>
      </c>
      <c r="L86" s="380" t="s">
        <v>57</v>
      </c>
      <c r="M86" s="426">
        <v>48609</v>
      </c>
      <c r="N86" s="554">
        <v>48682.5</v>
      </c>
      <c r="O86" s="770" t="s">
        <v>57</v>
      </c>
      <c r="P86" s="376" t="s">
        <v>155</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159</v>
      </c>
      <c r="J87" s="52" t="s">
        <v>63</v>
      </c>
      <c r="K87" s="51">
        <v>45698</v>
      </c>
      <c r="L87" s="660" t="s">
        <v>57</v>
      </c>
      <c r="M87" s="426">
        <v>52222</v>
      </c>
      <c r="N87" s="554">
        <v>51838</v>
      </c>
      <c r="O87" s="660" t="s">
        <v>57</v>
      </c>
      <c r="P87" s="52" t="s">
        <v>155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159</v>
      </c>
      <c r="J88" s="52" t="s">
        <v>63</v>
      </c>
      <c r="K88" s="51">
        <v>45698</v>
      </c>
      <c r="L88" s="1196" t="s">
        <v>57</v>
      </c>
      <c r="M88" s="426">
        <v>67892.5</v>
      </c>
      <c r="N88" s="426">
        <v>65771.429999999993</v>
      </c>
      <c r="O88" s="660" t="s">
        <v>57</v>
      </c>
      <c r="P88" s="354" t="s">
        <v>155</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143</v>
      </c>
      <c r="E89" s="51">
        <v>45716</v>
      </c>
      <c r="F89" s="50" t="s">
        <v>775</v>
      </c>
      <c r="G89" s="670" t="s">
        <v>879</v>
      </c>
      <c r="H89" s="52">
        <v>88</v>
      </c>
      <c r="I89" s="660" t="s">
        <v>155</v>
      </c>
      <c r="J89" s="52" t="s">
        <v>63</v>
      </c>
      <c r="K89" s="51">
        <v>45716</v>
      </c>
      <c r="L89" s="52" t="s">
        <v>57</v>
      </c>
      <c r="M89" s="591">
        <v>67463</v>
      </c>
      <c r="N89" s="554">
        <v>69992</v>
      </c>
      <c r="O89" s="52" t="s">
        <v>57</v>
      </c>
      <c r="P89" s="52" t="s">
        <v>155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159</v>
      </c>
      <c r="J91" s="776" t="s">
        <v>63</v>
      </c>
      <c r="K91" s="57">
        <v>45707</v>
      </c>
      <c r="L91" s="776" t="s">
        <v>57</v>
      </c>
      <c r="M91" s="426" t="s">
        <v>885</v>
      </c>
      <c r="N91" s="569">
        <v>67080</v>
      </c>
      <c r="O91" s="52" t="s">
        <v>57</v>
      </c>
      <c r="P91" s="1052" t="s">
        <v>155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159</v>
      </c>
      <c r="J92" s="792" t="s">
        <v>63</v>
      </c>
      <c r="K92" s="57">
        <v>45741</v>
      </c>
      <c r="L92" s="792" t="s">
        <v>57</v>
      </c>
      <c r="M92" s="426">
        <v>79069.5</v>
      </c>
      <c r="N92" s="568">
        <v>73300</v>
      </c>
      <c r="O92" s="376" t="s">
        <v>57</v>
      </c>
      <c r="P92" s="437" t="s">
        <v>155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159</v>
      </c>
      <c r="J93" s="792" t="s">
        <v>63</v>
      </c>
      <c r="K93" s="57">
        <v>45741</v>
      </c>
      <c r="L93" s="792" t="s">
        <v>57</v>
      </c>
      <c r="M93" s="426">
        <v>16398</v>
      </c>
      <c r="N93" s="554">
        <v>15664</v>
      </c>
      <c r="O93" s="376" t="s">
        <v>57</v>
      </c>
      <c r="P93" s="1044" t="s">
        <v>155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159</v>
      </c>
      <c r="J94" s="478" t="s">
        <v>63</v>
      </c>
      <c r="K94" s="476">
        <v>45698</v>
      </c>
      <c r="L94" s="829" t="s">
        <v>57</v>
      </c>
      <c r="M94" s="778">
        <v>68216.5</v>
      </c>
      <c r="N94" s="639">
        <v>65624.5</v>
      </c>
      <c r="O94" s="829" t="s">
        <v>57</v>
      </c>
      <c r="P94" s="1037" t="s">
        <v>155</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155</v>
      </c>
      <c r="J95" s="776" t="s">
        <v>63</v>
      </c>
      <c r="K95" s="57">
        <v>45708</v>
      </c>
      <c r="L95" s="776" t="s">
        <v>57</v>
      </c>
      <c r="M95" s="639">
        <v>56854</v>
      </c>
      <c r="N95" s="808">
        <v>62254</v>
      </c>
      <c r="O95" s="776" t="s">
        <v>57</v>
      </c>
      <c r="P95" s="776" t="s">
        <v>155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155</v>
      </c>
      <c r="J96" s="76" t="s">
        <v>63</v>
      </c>
      <c r="K96" s="77">
        <v>45708</v>
      </c>
      <c r="L96" s="103" t="s">
        <v>57</v>
      </c>
      <c r="M96" s="812">
        <v>73639</v>
      </c>
      <c r="N96" s="1051">
        <v>73025</v>
      </c>
      <c r="O96" s="103" t="s">
        <v>57</v>
      </c>
      <c r="P96" s="105" t="s">
        <v>155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155</v>
      </c>
      <c r="J97" s="76" t="s">
        <v>63</v>
      </c>
      <c r="K97" s="77">
        <v>45698</v>
      </c>
      <c r="L97" s="103" t="s">
        <v>57</v>
      </c>
      <c r="M97" s="812">
        <v>54861</v>
      </c>
      <c r="N97" s="813">
        <v>55197</v>
      </c>
      <c r="O97" s="103" t="s">
        <v>57</v>
      </c>
      <c r="P97" s="76" t="s">
        <v>155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143</v>
      </c>
      <c r="E98" s="57">
        <v>45736</v>
      </c>
      <c r="F98" s="772" t="s">
        <v>775</v>
      </c>
      <c r="G98" s="790" t="s">
        <v>901</v>
      </c>
      <c r="H98" s="776">
        <v>50</v>
      </c>
      <c r="I98" s="794" t="s">
        <v>159</v>
      </c>
      <c r="J98" s="776" t="s">
        <v>63</v>
      </c>
      <c r="K98" s="57">
        <v>45735</v>
      </c>
      <c r="L98" s="776" t="s">
        <v>57</v>
      </c>
      <c r="M98" s="639">
        <v>41285</v>
      </c>
      <c r="N98" s="808">
        <v>40484</v>
      </c>
      <c r="O98" s="776" t="s">
        <v>57</v>
      </c>
      <c r="P98" s="792" t="s">
        <v>155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159</v>
      </c>
      <c r="J101" s="782" t="s">
        <v>63</v>
      </c>
      <c r="K101" s="894" t="s">
        <v>155</v>
      </c>
      <c r="L101" s="782" t="s">
        <v>57</v>
      </c>
      <c r="M101" s="892">
        <v>289634.75</v>
      </c>
      <c r="N101" s="808">
        <v>296306.83</v>
      </c>
      <c r="O101" s="893" t="s">
        <v>57</v>
      </c>
      <c r="P101" s="792" t="s">
        <v>155</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159</v>
      </c>
      <c r="J102" s="776" t="s">
        <v>63</v>
      </c>
      <c r="K102" s="476">
        <v>45741</v>
      </c>
      <c r="L102" s="469" t="s">
        <v>57</v>
      </c>
      <c r="M102" s="778">
        <v>47849</v>
      </c>
      <c r="N102" s="639">
        <v>51778</v>
      </c>
      <c r="O102" s="469" t="s">
        <v>57</v>
      </c>
      <c r="P102" s="786" t="s">
        <v>155</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159</v>
      </c>
      <c r="J103" s="52" t="s">
        <v>63</v>
      </c>
      <c r="K103" s="987" t="s">
        <v>52</v>
      </c>
      <c r="L103" s="977" t="s">
        <v>57</v>
      </c>
      <c r="M103" s="1185">
        <v>1594</v>
      </c>
      <c r="N103" s="426">
        <v>1187.5</v>
      </c>
      <c r="O103" s="977" t="s">
        <v>57</v>
      </c>
      <c r="P103" s="1037" t="s">
        <v>155</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159</v>
      </c>
      <c r="J110" s="52" t="s">
        <v>63</v>
      </c>
      <c r="K110" s="51">
        <v>45701</v>
      </c>
      <c r="L110" s="52" t="s">
        <v>57</v>
      </c>
      <c r="M110" s="426">
        <v>111163</v>
      </c>
      <c r="N110" s="736"/>
      <c r="O110" s="52" t="s">
        <v>57</v>
      </c>
      <c r="P110" s="586" t="s">
        <v>155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159</v>
      </c>
      <c r="J111" s="478" t="s">
        <v>63</v>
      </c>
      <c r="K111" s="476" t="s">
        <v>52</v>
      </c>
      <c r="L111" s="478" t="s">
        <v>57</v>
      </c>
      <c r="M111" s="543">
        <v>50539.6</v>
      </c>
      <c r="N111" s="736"/>
      <c r="O111" s="478" t="s">
        <v>57</v>
      </c>
      <c r="P111" s="750" t="s">
        <v>155</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169</v>
      </c>
      <c r="G112" s="637"/>
      <c r="H112" s="376">
        <v>50</v>
      </c>
      <c r="I112" s="377" t="s">
        <v>159</v>
      </c>
      <c r="J112" s="376" t="s">
        <v>56</v>
      </c>
      <c r="K112" s="375">
        <v>45874</v>
      </c>
      <c r="L112" s="376" t="s">
        <v>57</v>
      </c>
      <c r="M112" s="429">
        <v>11894.25</v>
      </c>
      <c r="N112" s="96"/>
      <c r="O112" s="376" t="s">
        <v>57</v>
      </c>
      <c r="P112" s="587" t="s">
        <v>155</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159</v>
      </c>
      <c r="J113" s="469" t="s">
        <v>63</v>
      </c>
      <c r="K113" s="467">
        <v>45786</v>
      </c>
      <c r="L113" s="469" t="s">
        <v>57</v>
      </c>
      <c r="M113" s="1001">
        <v>133172.15</v>
      </c>
      <c r="N113" s="736"/>
      <c r="O113" s="469" t="s">
        <v>57</v>
      </c>
      <c r="P113" s="750" t="s">
        <v>155</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159</v>
      </c>
      <c r="J114" s="52" t="s">
        <v>63</v>
      </c>
      <c r="K114" s="51">
        <v>45918</v>
      </c>
      <c r="L114" s="376" t="s">
        <v>57</v>
      </c>
      <c r="M114" s="429">
        <v>10840.25</v>
      </c>
      <c r="N114" s="736"/>
      <c r="O114" s="376" t="s">
        <v>57</v>
      </c>
      <c r="P114" s="740" t="s">
        <v>155</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159</v>
      </c>
      <c r="J115" s="52" t="s">
        <v>63</v>
      </c>
      <c r="K115" s="375">
        <v>45853</v>
      </c>
      <c r="L115" s="380" t="s">
        <v>57</v>
      </c>
      <c r="M115" s="429">
        <v>60849.9</v>
      </c>
      <c r="N115" s="96"/>
      <c r="O115" s="380" t="s">
        <v>57</v>
      </c>
      <c r="P115" s="740" t="s">
        <v>155</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159</v>
      </c>
      <c r="J116" s="469" t="s">
        <v>63</v>
      </c>
      <c r="K116" s="467">
        <v>45793</v>
      </c>
      <c r="L116" s="469" t="s">
        <v>57</v>
      </c>
      <c r="M116" s="1001">
        <v>53589.8</v>
      </c>
      <c r="N116" s="96"/>
      <c r="O116" s="469" t="s">
        <v>57</v>
      </c>
      <c r="P116" s="750" t="s">
        <v>155</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169</v>
      </c>
      <c r="G117" s="379"/>
      <c r="H117" s="52">
        <v>69</v>
      </c>
      <c r="I117" s="380" t="s">
        <v>159</v>
      </c>
      <c r="J117" s="52" t="s">
        <v>63</v>
      </c>
      <c r="K117" s="375">
        <v>45884</v>
      </c>
      <c r="L117" s="376" t="s">
        <v>57</v>
      </c>
      <c r="M117" s="429">
        <v>67441</v>
      </c>
      <c r="N117" s="96"/>
      <c r="O117" s="376" t="s">
        <v>57</v>
      </c>
      <c r="P117" s="740" t="s">
        <v>155</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169</v>
      </c>
      <c r="G118" s="374" t="s">
        <v>941</v>
      </c>
      <c r="H118" s="376">
        <v>58</v>
      </c>
      <c r="I118" s="376" t="s">
        <v>159</v>
      </c>
      <c r="J118" s="376" t="s">
        <v>63</v>
      </c>
      <c r="K118" s="375">
        <v>45797</v>
      </c>
      <c r="L118" s="376" t="s">
        <v>57</v>
      </c>
      <c r="M118" s="429">
        <v>43097.65</v>
      </c>
      <c r="N118" s="736"/>
      <c r="O118" s="376" t="s">
        <v>57</v>
      </c>
      <c r="P118" s="740" t="s">
        <v>155</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169</v>
      </c>
      <c r="G119" s="475" t="s">
        <v>944</v>
      </c>
      <c r="H119" s="478">
        <v>62</v>
      </c>
      <c r="I119" s="478" t="s">
        <v>159</v>
      </c>
      <c r="J119" s="478" t="s">
        <v>63</v>
      </c>
      <c r="K119" s="467">
        <v>45880</v>
      </c>
      <c r="L119" s="469" t="s">
        <v>57</v>
      </c>
      <c r="M119" s="1001">
        <v>56807.95</v>
      </c>
      <c r="N119" s="736"/>
      <c r="O119" s="469" t="s">
        <v>57</v>
      </c>
      <c r="P119" s="750" t="s">
        <v>155</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169</v>
      </c>
      <c r="G120" s="374" t="s">
        <v>947</v>
      </c>
      <c r="H120" s="376">
        <v>85</v>
      </c>
      <c r="I120" s="376" t="s">
        <v>159</v>
      </c>
      <c r="J120" s="376" t="s">
        <v>63</v>
      </c>
      <c r="K120" s="375">
        <v>45882</v>
      </c>
      <c r="L120" s="376" t="s">
        <v>57</v>
      </c>
      <c r="M120" s="429">
        <v>59869.5</v>
      </c>
      <c r="N120" s="736"/>
      <c r="O120" s="376" t="s">
        <v>57</v>
      </c>
      <c r="P120" s="587" t="s">
        <v>155</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169</v>
      </c>
      <c r="G121" s="374" t="s">
        <v>715</v>
      </c>
      <c r="H121" s="376">
        <v>72</v>
      </c>
      <c r="I121" s="376" t="s">
        <v>159</v>
      </c>
      <c r="J121" s="376" t="s">
        <v>63</v>
      </c>
      <c r="K121" s="375">
        <v>45897</v>
      </c>
      <c r="L121" s="376" t="s">
        <v>57</v>
      </c>
      <c r="M121" s="429">
        <v>50874.95</v>
      </c>
      <c r="N121" s="736"/>
      <c r="O121" s="376" t="s">
        <v>57</v>
      </c>
      <c r="P121" s="595" t="s">
        <v>155</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159</v>
      </c>
      <c r="J122" s="376" t="s">
        <v>63</v>
      </c>
      <c r="K122" s="375">
        <v>45840</v>
      </c>
      <c r="L122" s="376" t="s">
        <v>57</v>
      </c>
      <c r="M122" s="429">
        <v>10430.549999999999</v>
      </c>
      <c r="N122" s="736"/>
      <c r="O122" s="376" t="s">
        <v>57</v>
      </c>
      <c r="P122" s="741" t="s">
        <v>155</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953</v>
      </c>
      <c r="B123" s="374" t="s">
        <v>111</v>
      </c>
      <c r="C123" s="51">
        <v>45930</v>
      </c>
      <c r="D123" s="375" t="s">
        <v>131</v>
      </c>
      <c r="E123" s="649">
        <v>45910</v>
      </c>
      <c r="F123" s="649" t="s">
        <v>169</v>
      </c>
      <c r="G123" s="374" t="s">
        <v>954</v>
      </c>
      <c r="H123" s="376">
        <v>87</v>
      </c>
      <c r="I123" s="376" t="s">
        <v>159</v>
      </c>
      <c r="J123" s="376" t="s">
        <v>63</v>
      </c>
      <c r="K123" s="375">
        <v>45912</v>
      </c>
      <c r="L123" s="376" t="s">
        <v>57</v>
      </c>
      <c r="M123" s="429">
        <v>60115.95</v>
      </c>
      <c r="N123" s="736"/>
      <c r="O123" s="376" t="s">
        <v>57</v>
      </c>
      <c r="P123" s="740" t="s">
        <v>155</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159</v>
      </c>
      <c r="J124" s="376" t="s">
        <v>63</v>
      </c>
      <c r="K124" s="375">
        <v>45903</v>
      </c>
      <c r="L124" s="376" t="s">
        <v>57</v>
      </c>
      <c r="M124" s="429">
        <v>27186</v>
      </c>
      <c r="N124" s="736"/>
      <c r="O124" s="376" t="s">
        <v>57</v>
      </c>
      <c r="P124" s="740" t="s">
        <v>155</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169</v>
      </c>
      <c r="G125" s="637" t="s">
        <v>959</v>
      </c>
      <c r="H125" s="376">
        <v>73</v>
      </c>
      <c r="I125" s="377" t="s">
        <v>159</v>
      </c>
      <c r="J125" s="376" t="s">
        <v>63</v>
      </c>
      <c r="K125" s="375">
        <v>45887</v>
      </c>
      <c r="L125" s="376" t="s">
        <v>57</v>
      </c>
      <c r="M125" s="429">
        <v>37930</v>
      </c>
      <c r="N125" s="96"/>
      <c r="O125" s="376" t="s">
        <v>57</v>
      </c>
      <c r="P125" s="586" t="s">
        <v>155</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143</v>
      </c>
      <c r="E126" s="51">
        <v>45887</v>
      </c>
      <c r="F126" s="381" t="s">
        <v>169</v>
      </c>
      <c r="G126" s="379" t="s">
        <v>962</v>
      </c>
      <c r="H126" s="52">
        <v>70</v>
      </c>
      <c r="I126" s="380" t="s">
        <v>159</v>
      </c>
      <c r="J126" s="52" t="s">
        <v>63</v>
      </c>
      <c r="K126" s="375">
        <v>45887</v>
      </c>
      <c r="L126" s="376" t="s">
        <v>57</v>
      </c>
      <c r="M126" s="429">
        <v>69889</v>
      </c>
      <c r="N126" s="96"/>
      <c r="O126" s="376" t="s">
        <v>57</v>
      </c>
      <c r="P126" s="587" t="s">
        <v>155</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159</v>
      </c>
      <c r="J127" s="52" t="s">
        <v>63</v>
      </c>
      <c r="K127" s="375">
        <v>45887</v>
      </c>
      <c r="L127" s="376" t="s">
        <v>57</v>
      </c>
      <c r="M127" s="429">
        <v>52110</v>
      </c>
      <c r="N127" s="736"/>
      <c r="O127" s="376" t="s">
        <v>57</v>
      </c>
      <c r="P127" s="587" t="s">
        <v>155</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169</v>
      </c>
      <c r="G128" s="379"/>
      <c r="H128" s="52">
        <v>87</v>
      </c>
      <c r="I128" s="380" t="s">
        <v>159</v>
      </c>
      <c r="J128" s="52" t="s">
        <v>63</v>
      </c>
      <c r="K128" s="375">
        <v>45897</v>
      </c>
      <c r="L128" s="376" t="s">
        <v>57</v>
      </c>
      <c r="M128" s="429">
        <v>52204</v>
      </c>
      <c r="N128" s="736"/>
      <c r="O128" s="376" t="s">
        <v>57</v>
      </c>
      <c r="P128" s="740" t="s">
        <v>155</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169</v>
      </c>
      <c r="G129" s="670"/>
      <c r="H129" s="52">
        <v>53</v>
      </c>
      <c r="I129" s="660" t="s">
        <v>159</v>
      </c>
      <c r="J129" s="52" t="s">
        <v>63</v>
      </c>
      <c r="K129" s="375">
        <v>45912</v>
      </c>
      <c r="L129" s="376" t="s">
        <v>57</v>
      </c>
      <c r="M129" s="429">
        <v>47676</v>
      </c>
      <c r="N129" s="736"/>
      <c r="O129" s="376" t="s">
        <v>57</v>
      </c>
      <c r="P129" s="740" t="s">
        <v>155</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144</v>
      </c>
      <c r="G130" s="670"/>
      <c r="H130" s="52">
        <v>59</v>
      </c>
      <c r="I130" s="660" t="s">
        <v>159</v>
      </c>
      <c r="J130" s="52" t="s">
        <v>63</v>
      </c>
      <c r="K130" s="375">
        <v>45933</v>
      </c>
      <c r="L130" s="376" t="s">
        <v>57</v>
      </c>
      <c r="M130" s="429">
        <v>44697.599999999999</v>
      </c>
      <c r="N130" s="736"/>
      <c r="O130" s="376" t="s">
        <v>57</v>
      </c>
      <c r="P130" s="740" t="s">
        <v>155</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144</v>
      </c>
      <c r="G131" s="670"/>
      <c r="H131" s="52">
        <v>82</v>
      </c>
      <c r="I131" s="660" t="s">
        <v>159</v>
      </c>
      <c r="J131" s="52" t="s">
        <v>63</v>
      </c>
      <c r="K131" s="375">
        <v>45933</v>
      </c>
      <c r="L131" s="376" t="s">
        <v>57</v>
      </c>
      <c r="M131" s="429">
        <v>58864</v>
      </c>
      <c r="N131" s="736"/>
      <c r="O131" s="376" t="s">
        <v>57</v>
      </c>
      <c r="P131" s="740" t="s">
        <v>155</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159</v>
      </c>
      <c r="J132" s="52" t="s">
        <v>63</v>
      </c>
      <c r="K132" s="375">
        <v>45902</v>
      </c>
      <c r="L132" s="376" t="s">
        <v>57</v>
      </c>
      <c r="M132" s="429">
        <v>12695</v>
      </c>
      <c r="N132" s="736"/>
      <c r="O132" s="376" t="s">
        <v>57</v>
      </c>
      <c r="P132" s="740" t="s">
        <v>155</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159</v>
      </c>
      <c r="J133" s="960" t="s">
        <v>63</v>
      </c>
      <c r="K133" s="1183">
        <v>45821</v>
      </c>
      <c r="L133" s="1033" t="s">
        <v>57</v>
      </c>
      <c r="M133" s="962">
        <v>23436.55</v>
      </c>
      <c r="N133" s="736"/>
      <c r="O133" s="1033" t="s">
        <v>57</v>
      </c>
      <c r="P133" s="768" t="s">
        <v>155</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159</v>
      </c>
      <c r="J134" s="960" t="s">
        <v>63</v>
      </c>
      <c r="K134" s="943">
        <v>45876</v>
      </c>
      <c r="L134" s="960" t="s">
        <v>57</v>
      </c>
      <c r="M134" s="962">
        <v>1462.85</v>
      </c>
      <c r="N134" s="96"/>
      <c r="O134" s="960" t="s">
        <v>57</v>
      </c>
      <c r="P134" s="768" t="s">
        <v>155</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169</v>
      </c>
      <c r="G135" s="1027" t="s">
        <v>983</v>
      </c>
      <c r="H135" s="792">
        <v>0</v>
      </c>
      <c r="I135" s="804" t="s">
        <v>159</v>
      </c>
      <c r="J135" s="792" t="s">
        <v>63</v>
      </c>
      <c r="K135" s="375">
        <v>45882</v>
      </c>
      <c r="L135" s="376" t="s">
        <v>57</v>
      </c>
      <c r="M135" s="429">
        <v>13056.5</v>
      </c>
      <c r="N135" s="785"/>
      <c r="O135" s="376" t="s">
        <v>57</v>
      </c>
      <c r="P135" s="587" t="s">
        <v>155</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159</v>
      </c>
      <c r="J136" s="792" t="s">
        <v>63</v>
      </c>
      <c r="K136" s="467">
        <v>45853</v>
      </c>
      <c r="L136" s="469" t="s">
        <v>57</v>
      </c>
      <c r="M136" s="1001">
        <v>68216.5</v>
      </c>
      <c r="N136" s="779"/>
      <c r="O136" s="469" t="s">
        <v>57</v>
      </c>
      <c r="P136" s="750" t="s">
        <v>155</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159</v>
      </c>
      <c r="J137" s="478" t="s">
        <v>63</v>
      </c>
      <c r="K137" s="509">
        <v>45838</v>
      </c>
      <c r="L137" s="1028" t="s">
        <v>57</v>
      </c>
      <c r="M137" s="778">
        <v>72566</v>
      </c>
      <c r="N137" s="736"/>
      <c r="O137" s="478" t="s">
        <v>57</v>
      </c>
      <c r="P137" s="750" t="s">
        <v>155</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159</v>
      </c>
      <c r="J138" s="52" t="s">
        <v>63</v>
      </c>
      <c r="K138" s="375">
        <v>45936</v>
      </c>
      <c r="L138" s="376" t="s">
        <v>57</v>
      </c>
      <c r="M138" s="429">
        <v>4235.8</v>
      </c>
      <c r="N138" s="736"/>
      <c r="O138" s="376" t="s">
        <v>57</v>
      </c>
      <c r="P138" s="587" t="s">
        <v>155</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169</v>
      </c>
      <c r="G139" s="775"/>
      <c r="H139" s="776">
        <v>208</v>
      </c>
      <c r="I139" s="782" t="s">
        <v>159</v>
      </c>
      <c r="J139" s="776" t="s">
        <v>56</v>
      </c>
      <c r="K139" s="467">
        <v>45876</v>
      </c>
      <c r="L139" s="469" t="s">
        <v>57</v>
      </c>
      <c r="M139" s="1001">
        <v>124980</v>
      </c>
      <c r="N139" s="785"/>
      <c r="O139" s="469" t="s">
        <v>57</v>
      </c>
      <c r="P139" s="750" t="s">
        <v>155</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159</v>
      </c>
      <c r="J140" s="776" t="s">
        <v>63</v>
      </c>
      <c r="K140" s="503">
        <v>45716</v>
      </c>
      <c r="L140" s="116" t="s">
        <v>57</v>
      </c>
      <c r="M140" s="777">
        <v>45321.5</v>
      </c>
      <c r="N140" s="785"/>
      <c r="O140" s="116" t="s">
        <v>57</v>
      </c>
      <c r="P140" s="767" t="s">
        <v>155</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159</v>
      </c>
      <c r="J141" s="792" t="s">
        <v>63</v>
      </c>
      <c r="K141" s="1023">
        <v>45741</v>
      </c>
      <c r="L141" s="859" t="s">
        <v>57</v>
      </c>
      <c r="M141" s="1024">
        <v>41813</v>
      </c>
      <c r="N141" s="785"/>
      <c r="O141" s="859" t="s">
        <v>57</v>
      </c>
      <c r="P141" s="1016" t="s">
        <v>155</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143</v>
      </c>
      <c r="E142" s="57">
        <v>45708</v>
      </c>
      <c r="F142" s="773" t="s">
        <v>775</v>
      </c>
      <c r="G142" s="780" t="s">
        <v>1002</v>
      </c>
      <c r="H142" s="776">
        <v>82</v>
      </c>
      <c r="I142" s="782" t="s">
        <v>159</v>
      </c>
      <c r="J142" s="776" t="s">
        <v>63</v>
      </c>
      <c r="K142" s="496">
        <v>45698</v>
      </c>
      <c r="L142" s="504" t="s">
        <v>57</v>
      </c>
      <c r="M142" s="777">
        <v>71979</v>
      </c>
      <c r="N142" s="779"/>
      <c r="O142" s="504" t="s">
        <v>57</v>
      </c>
      <c r="P142" s="784" t="s">
        <v>155</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143</v>
      </c>
      <c r="E143" s="57">
        <v>45743</v>
      </c>
      <c r="F143" s="772" t="s">
        <v>775</v>
      </c>
      <c r="G143" s="775" t="s">
        <v>1004</v>
      </c>
      <c r="H143" s="776">
        <v>88</v>
      </c>
      <c r="I143" s="804" t="s">
        <v>159</v>
      </c>
      <c r="J143" s="792" t="s">
        <v>63</v>
      </c>
      <c r="K143" s="496">
        <v>45741</v>
      </c>
      <c r="L143" s="502" t="s">
        <v>57</v>
      </c>
      <c r="M143" s="777">
        <v>75396.5</v>
      </c>
      <c r="N143" s="779"/>
      <c r="O143" s="502" t="s">
        <v>57</v>
      </c>
      <c r="P143" s="784" t="s">
        <v>155</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155</v>
      </c>
      <c r="J144" s="478" t="s">
        <v>63</v>
      </c>
      <c r="K144" s="476">
        <v>45699</v>
      </c>
      <c r="L144" s="483" t="s">
        <v>57</v>
      </c>
      <c r="M144" s="778">
        <v>72566</v>
      </c>
      <c r="N144" s="96"/>
      <c r="O144" s="483" t="s">
        <v>57</v>
      </c>
      <c r="P144" s="750" t="s">
        <v>155</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143</v>
      </c>
      <c r="E145" s="476">
        <v>45708</v>
      </c>
      <c r="F145" s="428" t="s">
        <v>775</v>
      </c>
      <c r="G145" s="477" t="s">
        <v>1009</v>
      </c>
      <c r="H145" s="478">
        <v>0</v>
      </c>
      <c r="I145" s="469" t="s">
        <v>155</v>
      </c>
      <c r="J145" s="478" t="s">
        <v>63</v>
      </c>
      <c r="K145" s="476">
        <v>45712</v>
      </c>
      <c r="L145" s="478" t="s">
        <v>57</v>
      </c>
      <c r="M145" s="778">
        <v>14262</v>
      </c>
      <c r="N145" s="736"/>
      <c r="O145" s="478" t="s">
        <v>57</v>
      </c>
      <c r="P145" s="750" t="s">
        <v>155</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155</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159</v>
      </c>
      <c r="J147" s="776" t="s">
        <v>63</v>
      </c>
      <c r="K147" s="476">
        <v>45714</v>
      </c>
      <c r="L147" s="478" t="s">
        <v>57</v>
      </c>
      <c r="M147" s="778">
        <v>93462.85</v>
      </c>
      <c r="N147" s="779"/>
      <c r="O147" s="478" t="s">
        <v>57</v>
      </c>
      <c r="P147" s="750" t="s">
        <v>155</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159</v>
      </c>
      <c r="J148" s="776" t="s">
        <v>63</v>
      </c>
      <c r="K148" s="475" t="s">
        <v>52</v>
      </c>
      <c r="L148" s="469" t="s">
        <v>57</v>
      </c>
      <c r="M148" s="1001">
        <v>4397.6499999999996</v>
      </c>
      <c r="N148" s="779"/>
      <c r="O148" s="469" t="s">
        <v>57</v>
      </c>
      <c r="P148" s="750" t="s">
        <v>155</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159</v>
      </c>
      <c r="J149" s="52" t="s">
        <v>63</v>
      </c>
      <c r="K149" s="51" t="s">
        <v>52</v>
      </c>
      <c r="L149" s="478" t="s">
        <v>57</v>
      </c>
      <c r="M149" s="1077">
        <v>170</v>
      </c>
      <c r="N149" s="736"/>
      <c r="O149" s="478" t="s">
        <v>57</v>
      </c>
      <c r="P149" s="1344" t="s">
        <v>155</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159</v>
      </c>
      <c r="J150" s="776" t="s">
        <v>63</v>
      </c>
      <c r="K150" s="57" t="s">
        <v>52</v>
      </c>
      <c r="L150" s="478" t="s">
        <v>57</v>
      </c>
      <c r="M150" s="1077">
        <v>26696</v>
      </c>
      <c r="N150" s="779"/>
      <c r="O150" s="478" t="s">
        <v>57</v>
      </c>
      <c r="P150" s="750" t="s">
        <v>155</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159</v>
      </c>
      <c r="J155" s="478" t="s">
        <v>56</v>
      </c>
      <c r="K155" s="844"/>
      <c r="L155" s="467">
        <v>45716</v>
      </c>
      <c r="M155" s="478" t="s">
        <v>57</v>
      </c>
      <c r="N155" s="542">
        <v>2075.6999999999998</v>
      </c>
      <c r="O155" s="478" t="s">
        <v>57</v>
      </c>
      <c r="P155" s="920" t="s">
        <v>155</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159</v>
      </c>
      <c r="J156" s="478" t="s">
        <v>56</v>
      </c>
      <c r="K156" s="487"/>
      <c r="L156" s="467">
        <v>45716</v>
      </c>
      <c r="M156" s="478" t="s">
        <v>57</v>
      </c>
      <c r="N156" s="543">
        <v>2947.5</v>
      </c>
      <c r="O156" s="478" t="s">
        <v>57</v>
      </c>
      <c r="P156" s="921" t="s">
        <v>155</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159</v>
      </c>
      <c r="J157" s="478" t="s">
        <v>56</v>
      </c>
      <c r="K157" s="487"/>
      <c r="L157" s="467">
        <v>45716</v>
      </c>
      <c r="M157" s="478" t="s">
        <v>57</v>
      </c>
      <c r="N157" s="543">
        <v>2908.95</v>
      </c>
      <c r="O157" s="478" t="s">
        <v>57</v>
      </c>
      <c r="P157" s="921" t="s">
        <v>155</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155</v>
      </c>
      <c r="J158" s="478" t="s">
        <v>56</v>
      </c>
      <c r="K158" s="478"/>
      <c r="L158" s="830">
        <v>45716</v>
      </c>
      <c r="M158" s="478" t="s">
        <v>57</v>
      </c>
      <c r="N158" s="543">
        <v>1134</v>
      </c>
      <c r="O158" s="478" t="s">
        <v>57</v>
      </c>
      <c r="P158" s="922" t="s">
        <v>155</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155</v>
      </c>
      <c r="J159" s="478" t="s">
        <v>56</v>
      </c>
      <c r="K159" s="487"/>
      <c r="L159" s="467">
        <v>45716</v>
      </c>
      <c r="M159" s="478" t="s">
        <v>57</v>
      </c>
      <c r="N159" s="543">
        <v>870</v>
      </c>
      <c r="O159" s="478" t="s">
        <v>57</v>
      </c>
      <c r="P159" s="922" t="s">
        <v>155</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159</v>
      </c>
      <c r="J160" s="478" t="s">
        <v>63</v>
      </c>
      <c r="K160" s="478"/>
      <c r="L160" s="830">
        <v>45716</v>
      </c>
      <c r="M160" s="829" t="s">
        <v>57</v>
      </c>
      <c r="N160" s="543">
        <v>2025.6</v>
      </c>
      <c r="O160" s="829" t="s">
        <v>57</v>
      </c>
      <c r="P160" s="922" t="s">
        <v>155</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155</v>
      </c>
      <c r="J161" s="478" t="s">
        <v>56</v>
      </c>
      <c r="K161" s="478"/>
      <c r="L161" s="476">
        <v>45715</v>
      </c>
      <c r="M161" s="478" t="s">
        <v>57</v>
      </c>
      <c r="N161" s="543">
        <v>3801.75</v>
      </c>
      <c r="O161" s="478" t="s">
        <v>57</v>
      </c>
      <c r="P161" s="922" t="s">
        <v>155</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169</v>
      </c>
      <c r="G164" s="906"/>
      <c r="H164" s="910">
        <v>0</v>
      </c>
      <c r="I164" s="911" t="s">
        <v>155</v>
      </c>
      <c r="J164" s="910" t="s">
        <v>56</v>
      </c>
      <c r="K164" s="907"/>
      <c r="L164" s="912" t="s">
        <v>56</v>
      </c>
      <c r="M164" s="910" t="s">
        <v>91</v>
      </c>
      <c r="N164" s="913">
        <v>0</v>
      </c>
      <c r="O164" s="910" t="s">
        <v>91</v>
      </c>
      <c r="P164" s="914" t="s">
        <v>155</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169</v>
      </c>
      <c r="G165" s="858"/>
      <c r="H165" s="859">
        <v>0</v>
      </c>
      <c r="I165" s="865" t="s">
        <v>155</v>
      </c>
      <c r="J165" s="859" t="s">
        <v>56</v>
      </c>
      <c r="K165" s="864"/>
      <c r="L165" s="866" t="s">
        <v>56</v>
      </c>
      <c r="M165" s="859" t="s">
        <v>91</v>
      </c>
      <c r="N165" s="860">
        <v>0</v>
      </c>
      <c r="O165" s="859" t="s">
        <v>91</v>
      </c>
      <c r="P165" s="861" t="s">
        <v>155</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143</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143</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164</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164</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153</v>
      </c>
    </row>
    <row r="1171" spans="1:3">
      <c r="A1171" t="s">
        <v>157</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6"/>
  <sheetViews>
    <sheetView tabSelected="1" workbookViewId="0">
      <pane ySplit="1" topLeftCell="A2399" activePane="bottomLeft" state="frozen"/>
      <selection pane="bottomLeft" activeCell="A2414" sqref="A2414:XFD241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143</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143</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143</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143</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143</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143</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143</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143</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143</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143</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143</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143</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143</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143</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143</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143</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143</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143</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143</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143</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143</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143</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143</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143</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143</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143</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143</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143</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143</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143</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143</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143</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143</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143</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143</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143</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143</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143</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143</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143</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143</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143</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143</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143</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143</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143</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143</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143</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143</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143</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143</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143</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143</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143</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143</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143</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143</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143</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143</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143</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143</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143</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143</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143</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143</v>
      </c>
      <c r="C1216" s="56">
        <v>45812</v>
      </c>
      <c r="D1216" s="43">
        <v>83</v>
      </c>
      <c r="G1216" t="s">
        <v>1503</v>
      </c>
    </row>
    <row r="1217" spans="1:7">
      <c r="A1217" s="304" t="s">
        <v>522</v>
      </c>
      <c r="B1217" s="304" t="s">
        <v>143</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143</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143</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143</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143</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143</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143</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143</v>
      </c>
      <c r="C1289" s="56">
        <v>45834</v>
      </c>
      <c r="F1289" s="316" t="s">
        <v>1529</v>
      </c>
      <c r="G1289" t="s">
        <v>1503</v>
      </c>
    </row>
    <row r="1290" spans="1:7">
      <c r="A1290" s="349" t="s">
        <v>777</v>
      </c>
      <c r="B1290" s="307" t="s">
        <v>143</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143</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143</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143</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143</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143</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143</v>
      </c>
      <c r="C1391" s="56">
        <v>45866</v>
      </c>
      <c r="D1391" s="155">
        <v>1181</v>
      </c>
      <c r="G1391" t="s">
        <v>1536</v>
      </c>
    </row>
    <row r="1392" spans="1:7">
      <c r="A1392" s="123" t="s">
        <v>548</v>
      </c>
      <c r="B1392" s="157" t="s">
        <v>379</v>
      </c>
      <c r="C1392" s="56">
        <v>45866</v>
      </c>
      <c r="D1392" s="43">
        <v>345</v>
      </c>
      <c r="G1392" t="s">
        <v>1536</v>
      </c>
    </row>
    <row r="1393" spans="1:7">
      <c r="A1393" s="618" t="s">
        <v>673</v>
      </c>
      <c r="B1393" s="69" t="s">
        <v>143</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143</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143</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143</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143</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143</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143</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143</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143</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143</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143</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143</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143</v>
      </c>
      <c r="C1566" s="56">
        <v>45911</v>
      </c>
      <c r="D1566" s="43">
        <v>279</v>
      </c>
      <c r="F1566" s="43" t="s">
        <v>1636</v>
      </c>
      <c r="G1566" t="s">
        <v>1613</v>
      </c>
    </row>
    <row r="1567" spans="1:7">
      <c r="A1567" s="88" t="s">
        <v>1098</v>
      </c>
      <c r="B1567" s="398" t="s">
        <v>143</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143</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164</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164</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164</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164</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164</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143</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143</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143</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143</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143</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143</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143</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143</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143</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143</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143</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143</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143</v>
      </c>
      <c r="C2355" s="56">
        <v>46009</v>
      </c>
      <c r="F2355" s="304" t="s">
        <v>1786</v>
      </c>
      <c r="G2355" t="s">
        <v>1874</v>
      </c>
    </row>
    <row r="2356" spans="1:7">
      <c r="A2356" s="349" t="s">
        <v>410</v>
      </c>
      <c r="B2356" s="307" t="s">
        <v>143</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143</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143</v>
      </c>
      <c r="C2376" s="310">
        <v>46010</v>
      </c>
      <c r="E2376" s="139">
        <v>765</v>
      </c>
      <c r="G2376" t="s">
        <v>1874</v>
      </c>
    </row>
    <row r="2377" spans="1:7">
      <c r="A2377" s="141" t="s">
        <v>410</v>
      </c>
      <c r="B2377" s="141" t="s">
        <v>143</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71"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153</v>
      </c>
      <c r="B2411" s="1136" t="s">
        <v>131</v>
      </c>
      <c r="C2411" s="56">
        <v>46020</v>
      </c>
      <c r="G2411" t="s">
        <v>1874</v>
      </c>
    </row>
    <row r="2412" spans="1:7">
      <c r="A2412" s="1385" t="s">
        <v>157</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320</v>
      </c>
      <c r="B2414" s="760" t="s">
        <v>131</v>
      </c>
      <c r="C2414" s="56">
        <v>46020</v>
      </c>
      <c r="D2414" s="43">
        <v>738</v>
      </c>
      <c r="G2414" t="s">
        <v>1874</v>
      </c>
    </row>
    <row r="2415" spans="1:7">
      <c r="A2415" s="1131" t="s">
        <v>326</v>
      </c>
      <c r="B2415" s="1131" t="s">
        <v>131</v>
      </c>
      <c r="C2415" s="56">
        <v>46020</v>
      </c>
      <c r="D2415" s="155">
        <v>1297</v>
      </c>
      <c r="G2415" t="s">
        <v>1874</v>
      </c>
    </row>
    <row r="2416" spans="1:7">
      <c r="A2416" s="1131" t="s">
        <v>329</v>
      </c>
      <c r="B2416" s="1131" t="s">
        <v>131</v>
      </c>
      <c r="C2416" s="56">
        <v>46020</v>
      </c>
      <c r="G2416" t="s">
        <v>1874</v>
      </c>
    </row>
    <row r="2417" spans="1:7">
      <c r="A2417" s="1131" t="s">
        <v>479</v>
      </c>
      <c r="B2417" s="1131" t="s">
        <v>131</v>
      </c>
      <c r="C2417" s="56">
        <v>46020</v>
      </c>
      <c r="F2417" s="1131" t="s">
        <v>1786</v>
      </c>
      <c r="G2417" t="s">
        <v>1874</v>
      </c>
    </row>
    <row r="2418" spans="1:7">
      <c r="A2418" s="1131" t="s">
        <v>510</v>
      </c>
      <c r="B2418" s="1131" t="s">
        <v>131</v>
      </c>
      <c r="C2418" s="56">
        <v>46020</v>
      </c>
      <c r="F2418" s="1131" t="s">
        <v>1786</v>
      </c>
      <c r="G2418" t="s">
        <v>1874</v>
      </c>
    </row>
    <row r="2466" spans="3:3">
      <c r="C246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8"/>
      <c r="B1" s="1388"/>
      <c r="C1" s="1388"/>
      <c r="D1" s="1388"/>
      <c r="E1" s="1388"/>
      <c r="F1" s="1388"/>
      <c r="G1" s="1388"/>
      <c r="H1" s="1388"/>
      <c r="I1" s="1388"/>
      <c r="J1" s="1"/>
      <c r="K1" s="1"/>
      <c r="L1" s="1"/>
      <c r="M1" s="1"/>
      <c r="N1" s="1"/>
      <c r="O1" s="1"/>
      <c r="P1" s="1389" t="s">
        <v>34</v>
      </c>
      <c r="Q1" s="1389"/>
      <c r="R1" s="1389"/>
      <c r="S1" s="1389"/>
      <c r="T1" s="1389"/>
      <c r="U1" s="1389"/>
      <c r="V1" s="1389"/>
      <c r="W1" s="1389"/>
      <c r="X1" s="1389"/>
      <c r="Y1" s="1389"/>
      <c r="Z1" s="1389"/>
      <c r="AA1" s="1389"/>
      <c r="AB1" s="66"/>
    </row>
    <row r="2" spans="1:30" ht="15.75" thickBot="1">
      <c r="A2" s="2"/>
      <c r="B2" s="2"/>
      <c r="C2" s="2"/>
      <c r="D2" s="2"/>
      <c r="E2" s="2"/>
      <c r="F2" s="2"/>
      <c r="G2" s="2"/>
      <c r="H2" s="2"/>
      <c r="I2" s="2"/>
      <c r="J2" s="6"/>
      <c r="K2" s="6"/>
      <c r="L2" s="6"/>
      <c r="M2" s="6"/>
      <c r="N2" s="6"/>
      <c r="O2" s="6"/>
      <c r="P2" s="8"/>
      <c r="Q2" s="8"/>
      <c r="R2" s="3"/>
      <c r="S2" s="3"/>
      <c r="T2" s="3"/>
      <c r="U2" s="3"/>
      <c r="V2" s="3" t="s">
        <v>1985</v>
      </c>
      <c r="W2" s="3" t="s">
        <v>1986</v>
      </c>
      <c r="X2" s="3" t="s">
        <v>1986</v>
      </c>
      <c r="Y2" s="3" t="s">
        <v>1986</v>
      </c>
      <c r="Z2" s="3" t="s">
        <v>1986</v>
      </c>
      <c r="AA2" s="8" t="s">
        <v>1987</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1988</v>
      </c>
      <c r="T3" s="19" t="s">
        <v>1989</v>
      </c>
      <c r="U3" s="19" t="s">
        <v>1990</v>
      </c>
      <c r="V3" s="5" t="s">
        <v>1991</v>
      </c>
      <c r="W3" s="5" t="s">
        <v>44</v>
      </c>
      <c r="X3" s="5" t="s">
        <v>43</v>
      </c>
      <c r="Y3" s="5" t="s">
        <v>1992</v>
      </c>
      <c r="Z3" s="5" t="s">
        <v>46</v>
      </c>
      <c r="AA3" s="89" t="s">
        <v>650</v>
      </c>
      <c r="AB3" s="68" t="s">
        <v>48</v>
      </c>
    </row>
    <row r="4" spans="1:30" ht="24.75" customHeight="1" thickBot="1">
      <c r="A4" s="440" t="s">
        <v>1993</v>
      </c>
      <c r="B4" s="440" t="s">
        <v>1994</v>
      </c>
      <c r="C4" s="16">
        <v>45717</v>
      </c>
      <c r="D4" s="63" t="s">
        <v>1995</v>
      </c>
      <c r="E4" s="51">
        <v>45707</v>
      </c>
      <c r="F4" s="51" t="s">
        <v>212</v>
      </c>
      <c r="G4" s="382" t="s">
        <v>1996</v>
      </c>
      <c r="H4" s="97">
        <v>0</v>
      </c>
      <c r="I4" s="105"/>
      <c r="J4" s="76" t="s">
        <v>63</v>
      </c>
      <c r="K4" s="76" t="s">
        <v>1997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1998</v>
      </c>
    </row>
    <row r="5" spans="1:30" ht="24.75" customHeight="1" thickBot="1">
      <c r="A5" s="440" t="s">
        <v>1999</v>
      </c>
      <c r="B5" s="440" t="s">
        <v>1994</v>
      </c>
      <c r="C5" s="16">
        <v>45717</v>
      </c>
      <c r="D5" s="63" t="s">
        <v>1995</v>
      </c>
      <c r="E5" s="51">
        <v>45707</v>
      </c>
      <c r="F5" s="381" t="s">
        <v>212</v>
      </c>
      <c r="G5" s="382" t="s">
        <v>2000</v>
      </c>
      <c r="H5" s="97">
        <v>0</v>
      </c>
      <c r="I5" s="105"/>
      <c r="J5" s="76" t="s">
        <v>63</v>
      </c>
      <c r="K5" s="76" t="s">
        <v>1997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2001</v>
      </c>
      <c r="B6" s="440" t="s">
        <v>1994</v>
      </c>
      <c r="C6" s="16">
        <v>45717</v>
      </c>
      <c r="D6" s="63" t="s">
        <v>1995</v>
      </c>
      <c r="E6" s="51">
        <v>45707</v>
      </c>
      <c r="F6" s="381" t="s">
        <v>212</v>
      </c>
      <c r="G6" s="382" t="s">
        <v>2002</v>
      </c>
      <c r="H6" s="97">
        <v>0</v>
      </c>
      <c r="I6" s="105"/>
      <c r="J6" s="76" t="s">
        <v>63</v>
      </c>
      <c r="K6" s="76" t="s">
        <v>1997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169</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2003</v>
      </c>
      <c r="B8" s="440" t="s">
        <v>2004</v>
      </c>
      <c r="C8" s="16">
        <v>45748</v>
      </c>
      <c r="D8" s="16" t="s">
        <v>1995</v>
      </c>
      <c r="E8" s="94" t="s">
        <v>52</v>
      </c>
      <c r="F8" s="95" t="s">
        <v>52</v>
      </c>
      <c r="G8" s="620" t="s">
        <v>2005</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2006</v>
      </c>
      <c r="AC8" s="435"/>
      <c r="AD8" s="70"/>
    </row>
    <row r="9" spans="1:30" ht="24.75" customHeight="1">
      <c r="A9" s="449" t="s">
        <v>2007</v>
      </c>
      <c r="B9" s="449" t="s">
        <v>2008</v>
      </c>
      <c r="C9" s="23">
        <v>45741</v>
      </c>
      <c r="D9" s="16" t="s">
        <v>1995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2009</v>
      </c>
    </row>
    <row r="10" spans="1:30" ht="24.75" customHeight="1" thickBot="1">
      <c r="A10" s="26" t="s">
        <v>2010</v>
      </c>
      <c r="B10" s="26" t="s">
        <v>2008</v>
      </c>
      <c r="C10" s="27">
        <v>45741</v>
      </c>
      <c r="D10" s="16" t="s">
        <v>1995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2011</v>
      </c>
      <c r="B11" s="36" t="s">
        <v>2008</v>
      </c>
      <c r="C11" s="37">
        <v>45747</v>
      </c>
      <c r="D11" s="16" t="s">
        <v>1995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2012</v>
      </c>
      <c r="B12" s="26" t="s">
        <v>2008</v>
      </c>
      <c r="C12" s="27">
        <v>45741</v>
      </c>
      <c r="D12" s="16" t="s">
        <v>1995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2009</v>
      </c>
    </row>
    <row r="13" spans="1:30" ht="24.75" customHeight="1" thickBot="1">
      <c r="A13" s="26" t="s">
        <v>2013</v>
      </c>
      <c r="B13" s="26" t="s">
        <v>2008</v>
      </c>
      <c r="C13" s="27">
        <v>45741</v>
      </c>
      <c r="D13" s="27" t="s">
        <v>1995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2009</v>
      </c>
    </row>
    <row r="14" spans="1:30" ht="24.75" customHeight="1" thickBot="1">
      <c r="A14" s="26" t="s">
        <v>2014</v>
      </c>
      <c r="B14" s="26" t="s">
        <v>2008</v>
      </c>
      <c r="C14" s="27">
        <v>45747</v>
      </c>
      <c r="D14" s="27" t="s">
        <v>1995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2015</v>
      </c>
      <c r="B15" s="26" t="s">
        <v>2008</v>
      </c>
      <c r="C15" s="27">
        <v>45741</v>
      </c>
      <c r="D15" s="27" t="s">
        <v>1995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2009</v>
      </c>
    </row>
    <row r="16" spans="1:30" ht="24.75" customHeight="1" thickBot="1">
      <c r="A16" s="26" t="s">
        <v>2016</v>
      </c>
      <c r="B16" s="26" t="s">
        <v>2008</v>
      </c>
      <c r="C16" s="27">
        <v>45741</v>
      </c>
      <c r="D16" s="27" t="s">
        <v>1995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2009</v>
      </c>
    </row>
    <row r="17" spans="1:30" ht="24.75" customHeight="1" thickBot="1">
      <c r="A17" s="36" t="s">
        <v>2017</v>
      </c>
      <c r="B17" s="36" t="s">
        <v>2008</v>
      </c>
      <c r="C17" s="37">
        <v>45747</v>
      </c>
      <c r="D17" s="37" t="s">
        <v>1995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2018</v>
      </c>
      <c r="B18" s="374" t="s">
        <v>2008</v>
      </c>
      <c r="C18" s="51">
        <v>45717</v>
      </c>
      <c r="D18" s="27" t="s">
        <v>1995</v>
      </c>
      <c r="E18" s="85">
        <v>45700</v>
      </c>
      <c r="F18" s="51"/>
      <c r="G18" s="51" t="s">
        <v>2019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2009</v>
      </c>
    </row>
    <row r="19" spans="1:30" ht="24.75" customHeight="1" thickBot="1">
      <c r="A19" s="50" t="s">
        <v>2020</v>
      </c>
      <c r="B19" s="26" t="s">
        <v>2008</v>
      </c>
      <c r="C19" s="51">
        <v>45747</v>
      </c>
      <c r="D19" s="27" t="s">
        <v>1995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2021</v>
      </c>
    </row>
    <row r="20" spans="1:30" ht="24.75" customHeight="1" thickBot="1">
      <c r="A20" s="374" t="s">
        <v>2022</v>
      </c>
      <c r="B20" s="374" t="s">
        <v>2008</v>
      </c>
      <c r="C20" s="375">
        <v>45717</v>
      </c>
      <c r="D20" s="27" t="s">
        <v>1995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2009</v>
      </c>
    </row>
    <row r="21" spans="1:30" ht="24.75" customHeight="1" thickBot="1">
      <c r="A21" s="374" t="s">
        <v>2023</v>
      </c>
      <c r="B21" s="112" t="s">
        <v>50</v>
      </c>
      <c r="C21" s="51">
        <v>45717</v>
      </c>
      <c r="D21" s="27" t="s">
        <v>2024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2025</v>
      </c>
      <c r="B22" s="378" t="s">
        <v>50</v>
      </c>
      <c r="C22" s="51">
        <v>45717</v>
      </c>
      <c r="D22" s="51" t="s">
        <v>2024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2027</v>
      </c>
      <c r="B24" s="378" t="s">
        <v>50</v>
      </c>
      <c r="C24" s="381">
        <v>45688</v>
      </c>
      <c r="D24" s="390" t="s">
        <v>2026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2028</v>
      </c>
      <c r="B25" s="113" t="s">
        <v>50</v>
      </c>
      <c r="C25" s="51">
        <v>45747</v>
      </c>
      <c r="D25" s="51" t="s">
        <v>2024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2029</v>
      </c>
    </row>
    <row r="26" spans="1:30" ht="24.75" customHeight="1">
      <c r="A26" s="101" t="s">
        <v>2030</v>
      </c>
      <c r="B26" s="102" t="s">
        <v>50</v>
      </c>
      <c r="C26" s="77">
        <v>45716</v>
      </c>
      <c r="D26" s="26" t="s">
        <v>2026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2031</v>
      </c>
      <c r="B27" s="102" t="s">
        <v>50</v>
      </c>
      <c r="C27" s="77">
        <v>45716</v>
      </c>
      <c r="D27" s="50" t="s">
        <v>2026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2032</v>
      </c>
      <c r="B28" s="1120" t="s">
        <v>50</v>
      </c>
      <c r="C28" s="1113">
        <v>45991</v>
      </c>
      <c r="D28" s="375" t="s">
        <v>71</v>
      </c>
      <c r="E28" s="77">
        <v>45734</v>
      </c>
      <c r="F28" s="1111" t="s">
        <v>61</v>
      </c>
      <c r="G28" s="1122" t="s">
        <v>2033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2034</v>
      </c>
      <c r="B29" s="1120" t="s">
        <v>50</v>
      </c>
      <c r="C29" s="1113">
        <v>46021</v>
      </c>
      <c r="D29" s="375" t="s">
        <v>71</v>
      </c>
      <c r="E29" s="77">
        <v>45743</v>
      </c>
      <c r="F29" s="1111" t="s">
        <v>61</v>
      </c>
      <c r="G29" s="1121" t="s">
        <v>2035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2036</v>
      </c>
      <c r="AC29" s="1117"/>
      <c r="AD29" s="1119"/>
    </row>
    <row r="30" spans="1:30" ht="24.75" customHeight="1">
      <c r="A30" s="374" t="s">
        <v>2037</v>
      </c>
      <c r="B30" s="669" t="s">
        <v>50</v>
      </c>
      <c r="C30" s="375">
        <v>45991</v>
      </c>
      <c r="D30" s="50" t="s">
        <v>71</v>
      </c>
      <c r="E30" s="51">
        <v>45743</v>
      </c>
      <c r="F30" s="50" t="s">
        <v>61</v>
      </c>
      <c r="G30" s="379" t="s">
        <v>2038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2039</v>
      </c>
      <c r="AC30" s="333"/>
      <c r="AD30" s="115"/>
    </row>
    <row r="31" spans="1:30" ht="24.75" customHeight="1">
      <c r="A31" s="374" t="s">
        <v>1072</v>
      </c>
      <c r="B31" s="669" t="s">
        <v>50</v>
      </c>
      <c r="C31" s="375">
        <v>46021</v>
      </c>
      <c r="D31" s="375" t="s">
        <v>71</v>
      </c>
      <c r="E31" s="51">
        <v>45735</v>
      </c>
      <c r="F31" s="50" t="s">
        <v>61</v>
      </c>
      <c r="G31" s="670" t="s">
        <v>2040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2041</v>
      </c>
      <c r="W31" s="34">
        <v>0</v>
      </c>
      <c r="X31" s="34">
        <v>0</v>
      </c>
      <c r="Y31" s="31">
        <v>0</v>
      </c>
      <c r="Z31" s="34">
        <v>0</v>
      </c>
      <c r="AA31" s="31">
        <v>0</v>
      </c>
      <c r="AB31" s="353" t="s">
        <v>2036</v>
      </c>
    </row>
    <row r="32" spans="1:30" ht="24.75" customHeight="1">
      <c r="A32" s="906" t="s">
        <v>2042</v>
      </c>
      <c r="B32" s="1112" t="s">
        <v>50</v>
      </c>
      <c r="C32" s="987">
        <v>45717</v>
      </c>
      <c r="D32" s="987" t="s">
        <v>2024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2043</v>
      </c>
      <c r="B33" s="991" t="s">
        <v>50</v>
      </c>
      <c r="C33" s="908">
        <v>45989</v>
      </c>
      <c r="D33" s="908" t="s">
        <v>2044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2045</v>
      </c>
    </row>
    <row r="34" spans="1:30" ht="24.75" customHeight="1">
      <c r="A34" s="906" t="s">
        <v>2046</v>
      </c>
      <c r="B34" s="1112" t="s">
        <v>50</v>
      </c>
      <c r="C34" s="987">
        <v>45717</v>
      </c>
      <c r="D34" s="987" t="s">
        <v>2024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2047</v>
      </c>
      <c r="B35" s="1112" t="s">
        <v>50</v>
      </c>
      <c r="C35" s="987">
        <v>45717</v>
      </c>
      <c r="D35" s="987" t="s">
        <v>2024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2048</v>
      </c>
      <c r="B36" s="1112" t="s">
        <v>50</v>
      </c>
      <c r="C36" s="987">
        <v>45717</v>
      </c>
      <c r="D36" s="987" t="s">
        <v>2024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2049</v>
      </c>
      <c r="Q1" s="159" t="s">
        <v>2050</v>
      </c>
      <c r="R1" s="127" t="s">
        <v>2051</v>
      </c>
      <c r="S1" s="127" t="s">
        <v>2052</v>
      </c>
      <c r="T1" s="159" t="s">
        <v>2053</v>
      </c>
      <c r="U1" s="127" t="s">
        <v>1199</v>
      </c>
      <c r="V1" s="160" t="s">
        <v>2054</v>
      </c>
      <c r="W1" s="160" t="s">
        <v>2055</v>
      </c>
      <c r="X1" s="163" t="s">
        <v>2056</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155</v>
      </c>
      <c r="O3" s="54">
        <v>45721</v>
      </c>
      <c r="P3" s="87" t="s">
        <v>155</v>
      </c>
      <c r="Q3" s="69" t="s">
        <v>155</v>
      </c>
      <c r="R3" s="69" t="s">
        <v>155</v>
      </c>
      <c r="S3" s="69" t="s">
        <v>56</v>
      </c>
      <c r="T3" s="69" t="s">
        <v>155</v>
      </c>
      <c r="U3" s="69" t="s">
        <v>155</v>
      </c>
      <c r="V3" s="69" t="s">
        <v>90</v>
      </c>
      <c r="W3" s="79"/>
      <c r="X3" s="69" t="s">
        <v>90</v>
      </c>
      <c r="Y3" t="e">
        <f>VLOOKUP(A3,#REF!,2,FALSE)</f>
        <v>#REF!</v>
      </c>
    </row>
    <row r="4" spans="1:25">
      <c r="A4" s="365" t="s">
        <v>2057</v>
      </c>
      <c r="B4" s="407" t="s">
        <v>211</v>
      </c>
      <c r="C4" s="408">
        <v>45742</v>
      </c>
      <c r="D4" s="696" t="s">
        <v>2058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155</v>
      </c>
      <c r="O6" s="356">
        <v>45718</v>
      </c>
      <c r="P6" s="30" t="s">
        <v>155</v>
      </c>
      <c r="Q6" s="334" t="s">
        <v>155</v>
      </c>
      <c r="R6" s="43" t="s">
        <v>2059</v>
      </c>
      <c r="S6" s="43" t="s">
        <v>155</v>
      </c>
      <c r="T6" s="43" t="s">
        <v>155</v>
      </c>
      <c r="U6" s="157" t="s">
        <v>155</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155</v>
      </c>
      <c r="O7" s="79" t="s">
        <v>155</v>
      </c>
      <c r="P7" s="30" t="s">
        <v>155</v>
      </c>
      <c r="Q7" s="334" t="s">
        <v>155</v>
      </c>
      <c r="R7" s="43" t="s">
        <v>2059</v>
      </c>
      <c r="S7" s="43" t="s">
        <v>155</v>
      </c>
      <c r="T7" s="43" t="s">
        <v>155</v>
      </c>
      <c r="U7" s="43" t="s">
        <v>155</v>
      </c>
      <c r="V7" s="69" t="s">
        <v>90</v>
      </c>
      <c r="W7" s="30"/>
      <c r="X7" s="69" t="s">
        <v>90</v>
      </c>
      <c r="Y7" t="e">
        <f>VLOOKUP(A7,#REF!,2,FALSE)</f>
        <v>#REF!</v>
      </c>
    </row>
    <row r="8" spans="1:25">
      <c r="A8" s="175" t="s">
        <v>551</v>
      </c>
      <c r="B8" s="180" t="s">
        <v>211</v>
      </c>
      <c r="C8" s="176">
        <v>45742</v>
      </c>
      <c r="D8" s="185" t="s">
        <v>2060</v>
      </c>
      <c r="E8" s="120"/>
      <c r="F8" s="108"/>
      <c r="G8" s="108"/>
      <c r="H8" s="179">
        <v>84</v>
      </c>
      <c r="I8" s="181"/>
      <c r="J8" s="185" t="s">
        <v>57</v>
      </c>
      <c r="K8" s="185" t="s">
        <v>57</v>
      </c>
      <c r="L8" s="185" t="s">
        <v>63</v>
      </c>
      <c r="M8" s="193">
        <v>45716</v>
      </c>
      <c r="N8" s="30" t="s">
        <v>155</v>
      </c>
      <c r="O8" s="30" t="s">
        <v>155</v>
      </c>
      <c r="P8" s="711" t="s">
        <v>155</v>
      </c>
      <c r="Q8" s="69" t="s">
        <v>155</v>
      </c>
      <c r="R8" s="43" t="s">
        <v>2059</v>
      </c>
      <c r="S8" s="43" t="s">
        <v>155</v>
      </c>
      <c r="T8" s="43" t="s">
        <v>155</v>
      </c>
      <c r="U8" s="43" t="s">
        <v>155</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155</v>
      </c>
      <c r="O9" s="54">
        <v>45718</v>
      </c>
      <c r="P9" s="119" t="s">
        <v>155</v>
      </c>
      <c r="Q9" s="69" t="s">
        <v>155</v>
      </c>
      <c r="R9" s="43" t="s">
        <v>2059</v>
      </c>
      <c r="S9" s="43" t="s">
        <v>155</v>
      </c>
      <c r="T9" s="43" t="s">
        <v>155</v>
      </c>
      <c r="U9" s="43" t="s">
        <v>155</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155</v>
      </c>
      <c r="O10" s="30" t="s">
        <v>155</v>
      </c>
      <c r="P10" s="30" t="s">
        <v>155</v>
      </c>
      <c r="Q10" s="43" t="s">
        <v>155</v>
      </c>
      <c r="R10" s="43" t="s">
        <v>2059</v>
      </c>
      <c r="S10" s="43" t="s">
        <v>155</v>
      </c>
      <c r="T10" s="43" t="s">
        <v>155</v>
      </c>
      <c r="U10" s="161" t="s">
        <v>155</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155</v>
      </c>
      <c r="Q11" s="69" t="s">
        <v>155</v>
      </c>
      <c r="R11" s="43" t="s">
        <v>2059</v>
      </c>
      <c r="S11" s="43" t="s">
        <v>155</v>
      </c>
      <c r="T11" s="43" t="s">
        <v>155</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155</v>
      </c>
      <c r="Q12" s="69" t="s">
        <v>155</v>
      </c>
      <c r="R12" s="43" t="s">
        <v>2059</v>
      </c>
      <c r="S12" s="43" t="s">
        <v>155</v>
      </c>
      <c r="T12" s="43" t="s">
        <v>155</v>
      </c>
      <c r="U12" s="69" t="s">
        <v>90</v>
      </c>
      <c r="V12" s="69" t="s">
        <v>90</v>
      </c>
      <c r="W12" s="30"/>
      <c r="X12" s="69" t="s">
        <v>90</v>
      </c>
      <c r="Y12" t="e">
        <f>VLOOKUP(A12,#REF!,2,FALSE)</f>
        <v>#REF!</v>
      </c>
    </row>
    <row r="13" spans="1:25">
      <c r="A13" s="178" t="s">
        <v>277</v>
      </c>
      <c r="B13" s="180" t="s">
        <v>211</v>
      </c>
      <c r="C13" s="409">
        <v>45960</v>
      </c>
      <c r="D13" s="418" t="s">
        <v>2061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155</v>
      </c>
      <c r="O15" s="54">
        <v>45718</v>
      </c>
      <c r="P15" s="30" t="s">
        <v>155</v>
      </c>
      <c r="Q15" s="43" t="s">
        <v>155</v>
      </c>
      <c r="R15" s="43" t="s">
        <v>155</v>
      </c>
      <c r="S15" s="43" t="s">
        <v>56</v>
      </c>
      <c r="T15" s="43" t="s">
        <v>155</v>
      </c>
      <c r="U15" s="43" t="s">
        <v>155</v>
      </c>
      <c r="V15" s="43" t="s">
        <v>155</v>
      </c>
      <c r="W15" s="54">
        <v>45856</v>
      </c>
      <c r="X15" s="69" t="s">
        <v>2062</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2063</v>
      </c>
      <c r="N16" s="30" t="s">
        <v>155</v>
      </c>
      <c r="O16" s="54" t="s">
        <v>2063</v>
      </c>
      <c r="P16" s="30" t="s">
        <v>155</v>
      </c>
      <c r="Q16" s="69" t="s">
        <v>155</v>
      </c>
      <c r="R16" s="43" t="s">
        <v>155</v>
      </c>
      <c r="S16" s="43" t="s">
        <v>56</v>
      </c>
      <c r="T16" s="43" t="s">
        <v>155</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155</v>
      </c>
      <c r="O17" s="54">
        <v>45863</v>
      </c>
      <c r="P17" s="30" t="s">
        <v>155</v>
      </c>
      <c r="Q17" s="69" t="s">
        <v>155</v>
      </c>
      <c r="R17" s="43" t="s">
        <v>155</v>
      </c>
      <c r="S17" s="43" t="s">
        <v>56</v>
      </c>
      <c r="T17" s="43" t="s">
        <v>155</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155</v>
      </c>
      <c r="O18" s="195">
        <v>45881</v>
      </c>
      <c r="P18" s="30" t="s">
        <v>155</v>
      </c>
      <c r="Q18" s="69" t="s">
        <v>155</v>
      </c>
      <c r="R18" s="43" t="s">
        <v>155</v>
      </c>
      <c r="S18" s="43" t="s">
        <v>56</v>
      </c>
      <c r="T18" s="43" t="s">
        <v>155</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155</v>
      </c>
      <c r="O19" s="54">
        <v>45873</v>
      </c>
      <c r="P19" s="87" t="s">
        <v>155</v>
      </c>
      <c r="Q19" s="69" t="s">
        <v>155</v>
      </c>
      <c r="R19" s="69" t="s">
        <v>155</v>
      </c>
      <c r="S19" s="69" t="s">
        <v>56</v>
      </c>
      <c r="T19" s="69" t="s">
        <v>155</v>
      </c>
      <c r="U19" s="69" t="s">
        <v>155</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155</v>
      </c>
      <c r="O20" s="124">
        <v>45709</v>
      </c>
      <c r="P20" s="87" t="s">
        <v>155</v>
      </c>
      <c r="Q20" s="69" t="s">
        <v>155</v>
      </c>
      <c r="R20" s="69" t="s">
        <v>155</v>
      </c>
      <c r="S20" s="69" t="s">
        <v>56</v>
      </c>
      <c r="T20" s="69" t="s">
        <v>155</v>
      </c>
      <c r="U20" s="69" t="s">
        <v>155</v>
      </c>
      <c r="V20" s="69" t="s">
        <v>155</v>
      </c>
      <c r="W20" s="54">
        <v>45811</v>
      </c>
      <c r="X20" s="69" t="s">
        <v>2062</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155</v>
      </c>
      <c r="O21" s="54">
        <v>45737</v>
      </c>
      <c r="P21" s="87" t="s">
        <v>155</v>
      </c>
      <c r="Q21" s="69" t="s">
        <v>155</v>
      </c>
      <c r="R21" s="69" t="s">
        <v>155</v>
      </c>
      <c r="S21" s="69" t="s">
        <v>56</v>
      </c>
      <c r="T21" s="69" t="s">
        <v>155</v>
      </c>
      <c r="U21" s="69" t="s">
        <v>155</v>
      </c>
      <c r="V21" s="69" t="s">
        <v>155</v>
      </c>
      <c r="W21" s="54">
        <v>45779</v>
      </c>
      <c r="X21" s="69" t="s">
        <v>2062</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155</v>
      </c>
      <c r="O22" s="54">
        <v>45814</v>
      </c>
      <c r="P22" s="87" t="s">
        <v>155</v>
      </c>
      <c r="Q22" s="69" t="s">
        <v>155</v>
      </c>
      <c r="R22" s="69" t="s">
        <v>155</v>
      </c>
      <c r="S22" s="69" t="s">
        <v>56</v>
      </c>
      <c r="T22" s="69" t="s">
        <v>155</v>
      </c>
      <c r="U22" s="69" t="s">
        <v>155</v>
      </c>
      <c r="V22" s="69" t="s">
        <v>155</v>
      </c>
      <c r="W22" s="54">
        <v>45848</v>
      </c>
      <c r="X22" s="69" t="s">
        <v>2062</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155</v>
      </c>
      <c r="O23" s="54">
        <v>45789</v>
      </c>
      <c r="P23" s="87" t="s">
        <v>155</v>
      </c>
      <c r="Q23" s="69" t="s">
        <v>155</v>
      </c>
      <c r="R23" s="69" t="s">
        <v>155</v>
      </c>
      <c r="S23" s="69" t="s">
        <v>56</v>
      </c>
      <c r="T23" s="69" t="s">
        <v>155</v>
      </c>
      <c r="U23" s="69" t="s">
        <v>155</v>
      </c>
      <c r="V23" s="69" t="s">
        <v>155</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155</v>
      </c>
      <c r="O24" s="54">
        <v>45782</v>
      </c>
      <c r="P24" s="87" t="s">
        <v>155</v>
      </c>
      <c r="Q24" s="69" t="s">
        <v>155</v>
      </c>
      <c r="R24" s="69" t="s">
        <v>155</v>
      </c>
      <c r="S24" s="69" t="s">
        <v>56</v>
      </c>
      <c r="T24" s="69" t="s">
        <v>155</v>
      </c>
      <c r="U24" s="69" t="s">
        <v>155</v>
      </c>
      <c r="V24" s="69" t="s">
        <v>155</v>
      </c>
      <c r="W24" s="54">
        <v>45826</v>
      </c>
      <c r="X24" s="69" t="s">
        <v>2062</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155</v>
      </c>
      <c r="O25" s="124">
        <v>45716</v>
      </c>
      <c r="P25" s="87" t="s">
        <v>155</v>
      </c>
      <c r="Q25" s="69" t="s">
        <v>155</v>
      </c>
      <c r="R25" s="69" t="s">
        <v>155</v>
      </c>
      <c r="S25" s="69" t="s">
        <v>56</v>
      </c>
      <c r="T25" s="69" t="s">
        <v>155</v>
      </c>
      <c r="U25" s="69" t="s">
        <v>155</v>
      </c>
      <c r="V25" s="69" t="s">
        <v>155</v>
      </c>
      <c r="W25" s="54">
        <v>45793</v>
      </c>
      <c r="X25" s="69" t="s">
        <v>2062</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155</v>
      </c>
      <c r="O26" s="54">
        <v>45840</v>
      </c>
      <c r="P26" s="87" t="s">
        <v>155</v>
      </c>
      <c r="Q26" s="69" t="s">
        <v>155</v>
      </c>
      <c r="R26" s="69" t="s">
        <v>155</v>
      </c>
      <c r="S26" s="69" t="s">
        <v>56</v>
      </c>
      <c r="T26" s="69" t="s">
        <v>155</v>
      </c>
      <c r="U26" s="69" t="s">
        <v>155</v>
      </c>
      <c r="V26" s="69" t="s">
        <v>155</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155</v>
      </c>
      <c r="O27" s="54">
        <v>45853</v>
      </c>
      <c r="P27" s="87" t="s">
        <v>155</v>
      </c>
      <c r="Q27" s="69" t="s">
        <v>155</v>
      </c>
      <c r="R27" s="69" t="s">
        <v>155</v>
      </c>
      <c r="S27" s="69" t="s">
        <v>56</v>
      </c>
      <c r="T27" s="69" t="s">
        <v>155</v>
      </c>
      <c r="U27" s="69" t="s">
        <v>155</v>
      </c>
      <c r="V27" s="69" t="s">
        <v>155</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155</v>
      </c>
      <c r="O28" s="54">
        <v>45793</v>
      </c>
      <c r="P28" s="87" t="s">
        <v>155</v>
      </c>
      <c r="Q28" s="69" t="s">
        <v>155</v>
      </c>
      <c r="R28" s="69" t="s">
        <v>155</v>
      </c>
      <c r="S28" s="69" t="s">
        <v>56</v>
      </c>
      <c r="T28" s="69" t="s">
        <v>155</v>
      </c>
      <c r="U28" s="69" t="s">
        <v>155</v>
      </c>
      <c r="V28" s="69" t="s">
        <v>155</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155</v>
      </c>
      <c r="O29" s="124">
        <v>45692</v>
      </c>
      <c r="P29" s="30" t="s">
        <v>155</v>
      </c>
      <c r="Q29" s="43" t="s">
        <v>155</v>
      </c>
      <c r="R29" s="43" t="s">
        <v>155</v>
      </c>
      <c r="S29" s="43" t="s">
        <v>155</v>
      </c>
      <c r="T29" s="43" t="s">
        <v>155</v>
      </c>
      <c r="U29" s="43" t="s">
        <v>155</v>
      </c>
      <c r="V29" s="69" t="s">
        <v>155</v>
      </c>
      <c r="W29" s="54">
        <v>45789</v>
      </c>
      <c r="X29" s="69" t="s">
        <v>2062</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155</v>
      </c>
      <c r="O30" s="124">
        <v>45692</v>
      </c>
      <c r="P30" s="30" t="s">
        <v>155</v>
      </c>
      <c r="Q30" s="43" t="s">
        <v>155</v>
      </c>
      <c r="R30" s="43" t="s">
        <v>155</v>
      </c>
      <c r="S30" s="43" t="s">
        <v>155</v>
      </c>
      <c r="T30" s="43" t="s">
        <v>155</v>
      </c>
      <c r="U30" s="115" t="s">
        <v>155</v>
      </c>
      <c r="V30" s="69" t="s">
        <v>155</v>
      </c>
      <c r="W30" s="54">
        <v>45789</v>
      </c>
      <c r="X30" s="69" t="s">
        <v>2062</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155</v>
      </c>
      <c r="O31" s="54">
        <v>45707</v>
      </c>
      <c r="P31" s="87" t="s">
        <v>155</v>
      </c>
      <c r="Q31" s="43" t="s">
        <v>155</v>
      </c>
      <c r="R31" s="43" t="s">
        <v>2059</v>
      </c>
      <c r="S31" s="43" t="s">
        <v>155</v>
      </c>
      <c r="T31" s="139" t="s">
        <v>155</v>
      </c>
      <c r="U31" s="115" t="s">
        <v>155</v>
      </c>
      <c r="V31" s="69" t="s">
        <v>155</v>
      </c>
      <c r="W31" s="54">
        <v>45779</v>
      </c>
      <c r="X31" s="69" t="s">
        <v>2062</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155</v>
      </c>
      <c r="O32" s="54">
        <v>45756</v>
      </c>
      <c r="P32" s="30" t="s">
        <v>155</v>
      </c>
      <c r="Q32" s="69" t="s">
        <v>155</v>
      </c>
      <c r="R32" s="69" t="s">
        <v>2059</v>
      </c>
      <c r="S32" s="43" t="s">
        <v>155</v>
      </c>
      <c r="T32" s="139" t="s">
        <v>155</v>
      </c>
      <c r="U32" s="43" t="s">
        <v>155</v>
      </c>
      <c r="V32" s="69" t="s">
        <v>155</v>
      </c>
      <c r="W32" s="54">
        <v>45792</v>
      </c>
      <c r="X32" s="69" t="s">
        <v>2062</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155</v>
      </c>
      <c r="O33" s="124">
        <v>45749</v>
      </c>
      <c r="P33" s="30" t="s">
        <v>155</v>
      </c>
      <c r="Q33" s="69" t="s">
        <v>155</v>
      </c>
      <c r="R33" s="69" t="s">
        <v>2059</v>
      </c>
      <c r="S33" s="43" t="s">
        <v>155</v>
      </c>
      <c r="T33" s="139" t="s">
        <v>155</v>
      </c>
      <c r="U33" s="43" t="s">
        <v>155</v>
      </c>
      <c r="V33" s="334" t="s">
        <v>155</v>
      </c>
      <c r="W33" s="54">
        <v>45812</v>
      </c>
      <c r="X33" s="69" t="s">
        <v>2062</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155</v>
      </c>
      <c r="O34" s="124">
        <v>45750</v>
      </c>
      <c r="P34" s="30" t="s">
        <v>155</v>
      </c>
      <c r="Q34" s="69" t="s">
        <v>155</v>
      </c>
      <c r="R34" s="69" t="s">
        <v>2059</v>
      </c>
      <c r="S34" s="43" t="s">
        <v>155</v>
      </c>
      <c r="T34" s="139" t="s">
        <v>155</v>
      </c>
      <c r="U34" s="43" t="s">
        <v>155</v>
      </c>
      <c r="V34" s="404" t="s">
        <v>155</v>
      </c>
      <c r="W34" s="166">
        <v>45797</v>
      </c>
      <c r="X34" s="69" t="s">
        <v>2062</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155</v>
      </c>
      <c r="O35" s="124">
        <v>45659</v>
      </c>
      <c r="P35" s="87" t="s">
        <v>155</v>
      </c>
      <c r="Q35" s="43" t="s">
        <v>155</v>
      </c>
      <c r="R35" s="43" t="s">
        <v>2059</v>
      </c>
      <c r="S35" s="43" t="s">
        <v>155</v>
      </c>
      <c r="T35" s="139" t="s">
        <v>155</v>
      </c>
      <c r="U35" s="169" t="s">
        <v>155</v>
      </c>
      <c r="V35" s="69" t="s">
        <v>155</v>
      </c>
      <c r="W35" s="54">
        <v>45789</v>
      </c>
      <c r="X35" s="334" t="s">
        <v>2062</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155</v>
      </c>
      <c r="O36" s="124">
        <v>45659</v>
      </c>
      <c r="P36" s="87" t="s">
        <v>155</v>
      </c>
      <c r="Q36" s="43" t="s">
        <v>155</v>
      </c>
      <c r="R36" s="43" t="s">
        <v>2059</v>
      </c>
      <c r="S36" s="43" t="s">
        <v>155</v>
      </c>
      <c r="T36" s="139" t="s">
        <v>155</v>
      </c>
      <c r="U36" s="43" t="s">
        <v>155</v>
      </c>
      <c r="V36" s="69" t="s">
        <v>155</v>
      </c>
      <c r="W36" s="54">
        <v>45824</v>
      </c>
      <c r="X36" s="334" t="s">
        <v>2062</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155</v>
      </c>
      <c r="N37" s="30" t="s">
        <v>155</v>
      </c>
      <c r="O37" s="124">
        <v>45672</v>
      </c>
      <c r="P37" s="30" t="s">
        <v>155</v>
      </c>
      <c r="Q37" s="43" t="s">
        <v>155</v>
      </c>
      <c r="R37" s="43" t="s">
        <v>2059</v>
      </c>
      <c r="S37" s="43" t="s">
        <v>155</v>
      </c>
      <c r="T37" s="43" t="s">
        <v>155</v>
      </c>
      <c r="U37" s="169" t="s">
        <v>155</v>
      </c>
      <c r="V37" s="69" t="s">
        <v>155</v>
      </c>
      <c r="W37" s="156">
        <v>45789</v>
      </c>
      <c r="X37" s="69" t="s">
        <v>2062</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155</v>
      </c>
      <c r="O38" s="124">
        <v>45673</v>
      </c>
      <c r="P38" s="30" t="s">
        <v>155</v>
      </c>
      <c r="Q38" s="43" t="s">
        <v>155</v>
      </c>
      <c r="R38" s="43" t="s">
        <v>2059</v>
      </c>
      <c r="S38" s="43" t="s">
        <v>155</v>
      </c>
      <c r="T38" s="43" t="s">
        <v>155</v>
      </c>
      <c r="U38" s="169" t="s">
        <v>155</v>
      </c>
      <c r="V38" s="69" t="s">
        <v>155</v>
      </c>
      <c r="W38" s="54">
        <v>45789</v>
      </c>
      <c r="X38" s="69" t="s">
        <v>2062</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155</v>
      </c>
      <c r="N39" s="30" t="s">
        <v>155</v>
      </c>
      <c r="O39" s="124">
        <v>45672</v>
      </c>
      <c r="P39" s="30" t="s">
        <v>155</v>
      </c>
      <c r="Q39" s="43" t="s">
        <v>155</v>
      </c>
      <c r="R39" s="43" t="s">
        <v>2059</v>
      </c>
      <c r="S39" s="43" t="s">
        <v>155</v>
      </c>
      <c r="T39" s="43" t="s">
        <v>155</v>
      </c>
      <c r="U39" s="169" t="s">
        <v>155</v>
      </c>
      <c r="V39" s="69" t="s">
        <v>155</v>
      </c>
      <c r="W39" s="54">
        <v>45789</v>
      </c>
      <c r="X39" s="69" t="s">
        <v>2062</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155</v>
      </c>
      <c r="O40" s="124">
        <v>45715</v>
      </c>
      <c r="P40" s="30" t="s">
        <v>155</v>
      </c>
      <c r="Q40" s="43" t="s">
        <v>155</v>
      </c>
      <c r="R40" s="43" t="s">
        <v>155</v>
      </c>
      <c r="S40" s="43" t="s">
        <v>155</v>
      </c>
      <c r="T40" s="43" t="s">
        <v>155</v>
      </c>
      <c r="U40" s="43" t="s">
        <v>155</v>
      </c>
      <c r="V40" s="69" t="s">
        <v>155</v>
      </c>
      <c r="W40" s="54">
        <v>45789</v>
      </c>
      <c r="X40" s="69" t="s">
        <v>2062</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155</v>
      </c>
      <c r="O41" s="54">
        <v>45729</v>
      </c>
      <c r="P41" s="87" t="s">
        <v>155</v>
      </c>
      <c r="Q41" s="43" t="s">
        <v>155</v>
      </c>
      <c r="R41" s="43" t="s">
        <v>155</v>
      </c>
      <c r="S41" s="43" t="s">
        <v>155</v>
      </c>
      <c r="T41" s="43" t="s">
        <v>155</v>
      </c>
      <c r="U41" s="169" t="s">
        <v>155</v>
      </c>
      <c r="V41" s="69" t="s">
        <v>155</v>
      </c>
      <c r="W41" s="54">
        <v>45789</v>
      </c>
      <c r="X41" s="69" t="s">
        <v>2062</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155</v>
      </c>
      <c r="O42" s="54">
        <v>45737</v>
      </c>
      <c r="P42" s="87" t="s">
        <v>155</v>
      </c>
      <c r="Q42" s="43" t="s">
        <v>155</v>
      </c>
      <c r="R42" s="43" t="s">
        <v>155</v>
      </c>
      <c r="S42" s="43" t="s">
        <v>155</v>
      </c>
      <c r="T42" s="43" t="s">
        <v>155</v>
      </c>
      <c r="U42" s="43" t="s">
        <v>155</v>
      </c>
      <c r="V42" s="69" t="s">
        <v>155</v>
      </c>
      <c r="W42" s="54">
        <v>45789</v>
      </c>
      <c r="X42" s="69" t="s">
        <v>2062</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155</v>
      </c>
      <c r="N43" s="30" t="s">
        <v>155</v>
      </c>
      <c r="O43" s="124">
        <v>45726</v>
      </c>
      <c r="P43" s="30" t="s">
        <v>155</v>
      </c>
      <c r="Q43" s="43" t="s">
        <v>155</v>
      </c>
      <c r="R43" s="43" t="s">
        <v>155</v>
      </c>
      <c r="S43" s="43" t="s">
        <v>155</v>
      </c>
      <c r="T43" s="43" t="s">
        <v>155</v>
      </c>
      <c r="U43" s="43" t="s">
        <v>155</v>
      </c>
      <c r="V43" s="69" t="s">
        <v>155</v>
      </c>
      <c r="W43" s="54">
        <v>45786</v>
      </c>
      <c r="X43" s="69" t="s">
        <v>2062</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155</v>
      </c>
      <c r="O44" s="54">
        <v>45741</v>
      </c>
      <c r="P44" s="30" t="s">
        <v>155</v>
      </c>
      <c r="Q44" s="43" t="s">
        <v>155</v>
      </c>
      <c r="R44" s="43" t="s">
        <v>155</v>
      </c>
      <c r="S44" s="43" t="s">
        <v>155</v>
      </c>
      <c r="T44" s="43" t="s">
        <v>155</v>
      </c>
      <c r="U44" s="43" t="s">
        <v>155</v>
      </c>
      <c r="V44" s="69" t="s">
        <v>155</v>
      </c>
      <c r="W44" s="54">
        <v>45789</v>
      </c>
      <c r="X44" s="69" t="s">
        <v>2062</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155</v>
      </c>
      <c r="N45" s="30" t="s">
        <v>155</v>
      </c>
      <c r="O45" s="124">
        <v>45695</v>
      </c>
      <c r="P45" s="30" t="s">
        <v>155</v>
      </c>
      <c r="Q45" s="43" t="s">
        <v>155</v>
      </c>
      <c r="R45" s="43" t="s">
        <v>155</v>
      </c>
      <c r="S45" s="43" t="s">
        <v>155</v>
      </c>
      <c r="T45" s="43" t="s">
        <v>155</v>
      </c>
      <c r="U45" s="43" t="s">
        <v>155</v>
      </c>
      <c r="V45" s="69" t="s">
        <v>155</v>
      </c>
      <c r="W45" s="54">
        <v>45789</v>
      </c>
      <c r="X45" s="69" t="s">
        <v>2062</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155</v>
      </c>
      <c r="O46" s="124">
        <v>45810</v>
      </c>
      <c r="P46" s="30" t="s">
        <v>155</v>
      </c>
      <c r="Q46" s="43" t="s">
        <v>155</v>
      </c>
      <c r="R46" s="43" t="s">
        <v>155</v>
      </c>
      <c r="S46" s="43" t="s">
        <v>155</v>
      </c>
      <c r="T46" s="43" t="s">
        <v>155</v>
      </c>
      <c r="U46" s="43" t="s">
        <v>155</v>
      </c>
      <c r="V46" s="69" t="s">
        <v>155</v>
      </c>
      <c r="W46" s="54">
        <v>45847</v>
      </c>
      <c r="X46" s="69" t="s">
        <v>2062</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155</v>
      </c>
      <c r="O47" s="54">
        <v>45880</v>
      </c>
      <c r="P47" s="87" t="s">
        <v>155</v>
      </c>
      <c r="Q47" s="43" t="s">
        <v>155</v>
      </c>
      <c r="R47" s="43" t="s">
        <v>155</v>
      </c>
      <c r="S47" s="43" t="s">
        <v>56</v>
      </c>
      <c r="T47" s="43" t="s">
        <v>155</v>
      </c>
      <c r="U47" s="43" t="s">
        <v>155</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155</v>
      </c>
      <c r="O48" s="54">
        <v>45882</v>
      </c>
      <c r="P48" s="87" t="s">
        <v>155</v>
      </c>
      <c r="Q48" s="157" t="s">
        <v>155</v>
      </c>
      <c r="R48" s="157" t="s">
        <v>155</v>
      </c>
      <c r="S48" s="43" t="s">
        <v>155</v>
      </c>
      <c r="T48" s="43" t="s">
        <v>155</v>
      </c>
      <c r="U48" s="69" t="s">
        <v>155</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155</v>
      </c>
      <c r="O49" s="54">
        <v>45840</v>
      </c>
      <c r="P49" s="87" t="s">
        <v>155</v>
      </c>
      <c r="Q49" s="43" t="s">
        <v>155</v>
      </c>
      <c r="R49" s="43" t="s">
        <v>155</v>
      </c>
      <c r="S49" s="43" t="s">
        <v>56</v>
      </c>
      <c r="T49" s="43" t="s">
        <v>155</v>
      </c>
      <c r="U49" s="43" t="s">
        <v>155</v>
      </c>
      <c r="V49" s="69" t="s">
        <v>155</v>
      </c>
      <c r="W49" s="54">
        <v>45877</v>
      </c>
      <c r="X49" s="69" t="s">
        <v>2062</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155</v>
      </c>
      <c r="O50" s="54">
        <v>45847</v>
      </c>
      <c r="P50" s="87" t="s">
        <v>155</v>
      </c>
      <c r="Q50" s="43" t="s">
        <v>155</v>
      </c>
      <c r="R50" s="43" t="s">
        <v>155</v>
      </c>
      <c r="S50" s="43" t="s">
        <v>56</v>
      </c>
      <c r="T50" s="43" t="s">
        <v>155</v>
      </c>
      <c r="U50" s="43" t="s">
        <v>155</v>
      </c>
      <c r="V50" s="69" t="s">
        <v>155</v>
      </c>
      <c r="W50" s="54">
        <v>45895</v>
      </c>
      <c r="X50" s="69" t="s">
        <v>2062</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155</v>
      </c>
      <c r="O51" s="54">
        <v>45840</v>
      </c>
      <c r="P51" s="87" t="s">
        <v>155</v>
      </c>
      <c r="Q51" s="43" t="s">
        <v>155</v>
      </c>
      <c r="R51" s="43" t="s">
        <v>155</v>
      </c>
      <c r="S51" s="43" t="s">
        <v>56</v>
      </c>
      <c r="T51" s="43" t="s">
        <v>155</v>
      </c>
      <c r="U51" s="43" t="s">
        <v>155</v>
      </c>
      <c r="V51" s="69" t="s">
        <v>155</v>
      </c>
      <c r="W51" s="54">
        <v>45877</v>
      </c>
      <c r="X51" s="69" t="s">
        <v>2062</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155</v>
      </c>
      <c r="O52" s="54">
        <v>45833</v>
      </c>
      <c r="P52" s="30" t="s">
        <v>155</v>
      </c>
      <c r="Q52" s="43" t="s">
        <v>155</v>
      </c>
      <c r="R52" s="43" t="s">
        <v>155</v>
      </c>
      <c r="S52" s="43" t="s">
        <v>155</v>
      </c>
      <c r="T52" s="43" t="s">
        <v>155</v>
      </c>
      <c r="U52" s="43" t="s">
        <v>155</v>
      </c>
      <c r="V52" s="69" t="s">
        <v>155</v>
      </c>
      <c r="W52" s="54">
        <v>45848</v>
      </c>
      <c r="X52" s="69" t="s">
        <v>2062</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155</v>
      </c>
      <c r="O53" s="54">
        <v>45840</v>
      </c>
      <c r="P53" s="87" t="s">
        <v>155</v>
      </c>
      <c r="Q53" s="43" t="s">
        <v>56</v>
      </c>
      <c r="R53" s="43" t="s">
        <v>155</v>
      </c>
      <c r="S53" s="43" t="s">
        <v>155</v>
      </c>
      <c r="T53" s="43" t="s">
        <v>155</v>
      </c>
      <c r="U53" s="43" t="s">
        <v>155</v>
      </c>
      <c r="V53" s="69" t="s">
        <v>155</v>
      </c>
      <c r="W53" s="54">
        <v>45916</v>
      </c>
      <c r="X53" s="69" t="s">
        <v>2062</v>
      </c>
    </row>
    <row r="54" spans="1:56">
      <c r="A54" s="178" t="s">
        <v>958</v>
      </c>
      <c r="B54" s="529" t="s">
        <v>111</v>
      </c>
      <c r="C54" s="177">
        <v>45899</v>
      </c>
      <c r="D54" s="697"/>
      <c r="E54" s="191"/>
      <c r="F54" s="138"/>
      <c r="G54" s="138"/>
      <c r="H54" s="185">
        <v>73</v>
      </c>
      <c r="I54" s="181"/>
      <c r="J54" s="185" t="s">
        <v>57</v>
      </c>
      <c r="K54" s="185" t="s">
        <v>57</v>
      </c>
      <c r="L54" s="185" t="s">
        <v>63</v>
      </c>
      <c r="M54" s="195">
        <v>45887</v>
      </c>
      <c r="N54" s="87" t="s">
        <v>155</v>
      </c>
      <c r="O54" s="54">
        <v>45887</v>
      </c>
      <c r="P54" s="87" t="s">
        <v>155</v>
      </c>
      <c r="Q54" s="43" t="s">
        <v>155</v>
      </c>
      <c r="R54" s="43" t="s">
        <v>155</v>
      </c>
      <c r="S54" s="43" t="s">
        <v>155</v>
      </c>
      <c r="T54" s="43" t="s">
        <v>155</v>
      </c>
      <c r="U54" s="43" t="s">
        <v>155</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155</v>
      </c>
      <c r="O55" s="54">
        <v>45887</v>
      </c>
      <c r="P55" s="87" t="s">
        <v>155</v>
      </c>
      <c r="Q55" s="115" t="s">
        <v>155</v>
      </c>
      <c r="R55" s="115" t="s">
        <v>155</v>
      </c>
      <c r="S55" s="115" t="s">
        <v>155</v>
      </c>
      <c r="T55" s="115" t="s">
        <v>155</v>
      </c>
      <c r="U55" s="43" t="s">
        <v>155</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155</v>
      </c>
      <c r="O56" s="54">
        <v>45887</v>
      </c>
      <c r="P56" s="328" t="s">
        <v>155</v>
      </c>
      <c r="Q56" s="43" t="s">
        <v>155</v>
      </c>
      <c r="R56" s="43" t="s">
        <v>155</v>
      </c>
      <c r="S56" s="43" t="s">
        <v>155</v>
      </c>
      <c r="T56" s="43" t="s">
        <v>155</v>
      </c>
      <c r="U56" s="43" t="s">
        <v>155</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155</v>
      </c>
      <c r="O57" s="124">
        <v>45783</v>
      </c>
      <c r="P57" s="328" t="s">
        <v>155</v>
      </c>
      <c r="Q57" s="43" t="s">
        <v>155</v>
      </c>
      <c r="R57" s="43" t="s">
        <v>2059</v>
      </c>
      <c r="S57" s="43" t="s">
        <v>155</v>
      </c>
      <c r="T57" s="43" t="s">
        <v>155</v>
      </c>
      <c r="U57" s="43" t="s">
        <v>155</v>
      </c>
      <c r="V57" s="69" t="s">
        <v>155</v>
      </c>
      <c r="W57" s="54">
        <v>45813</v>
      </c>
      <c r="X57" s="69" t="s">
        <v>2062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155</v>
      </c>
      <c r="O58" s="54">
        <v>45776</v>
      </c>
      <c r="P58" s="328" t="s">
        <v>155</v>
      </c>
      <c r="Q58" s="43" t="s">
        <v>155</v>
      </c>
      <c r="R58" s="43" t="s">
        <v>2059</v>
      </c>
      <c r="S58" s="43" t="s">
        <v>155</v>
      </c>
      <c r="T58" s="43" t="s">
        <v>155</v>
      </c>
      <c r="U58" s="43" t="s">
        <v>155</v>
      </c>
      <c r="V58" s="334" t="s">
        <v>155</v>
      </c>
      <c r="W58" s="54">
        <v>45796</v>
      </c>
      <c r="X58" s="69" t="s">
        <v>2062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155</v>
      </c>
      <c r="O59" s="30" t="s">
        <v>2041</v>
      </c>
      <c r="P59" s="328" t="s">
        <v>155</v>
      </c>
      <c r="Q59" s="43" t="s">
        <v>155</v>
      </c>
      <c r="R59" s="43" t="s">
        <v>2059</v>
      </c>
      <c r="S59" s="43" t="s">
        <v>155</v>
      </c>
      <c r="T59" s="43" t="s">
        <v>155</v>
      </c>
      <c r="U59" s="43" t="s">
        <v>155</v>
      </c>
      <c r="V59" s="334" t="s">
        <v>155</v>
      </c>
      <c r="W59" s="54">
        <v>45796</v>
      </c>
      <c r="X59" s="69" t="s">
        <v>2062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155</v>
      </c>
      <c r="O60" s="54">
        <v>45812</v>
      </c>
      <c r="P60" s="328" t="s">
        <v>155</v>
      </c>
      <c r="Q60" s="43" t="s">
        <v>155</v>
      </c>
      <c r="R60" s="43" t="s">
        <v>2059</v>
      </c>
      <c r="S60" s="43" t="s">
        <v>155</v>
      </c>
      <c r="T60" s="43" t="s">
        <v>155</v>
      </c>
      <c r="U60" s="43" t="s">
        <v>155</v>
      </c>
      <c r="V60" s="334" t="s">
        <v>155</v>
      </c>
      <c r="W60" s="54">
        <v>45824</v>
      </c>
      <c r="X60" s="69" t="s">
        <v>2062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155</v>
      </c>
      <c r="N61" s="87" t="s">
        <v>155</v>
      </c>
      <c r="O61" s="124">
        <v>45673</v>
      </c>
      <c r="P61" s="328" t="s">
        <v>155</v>
      </c>
      <c r="Q61" s="43" t="s">
        <v>155</v>
      </c>
      <c r="R61" s="69" t="s">
        <v>64</v>
      </c>
      <c r="S61" s="43" t="s">
        <v>56</v>
      </c>
      <c r="T61" s="43" t="s">
        <v>155</v>
      </c>
      <c r="U61" s="161" t="s">
        <v>155</v>
      </c>
      <c r="V61" s="69" t="s">
        <v>155</v>
      </c>
      <c r="W61" s="54">
        <v>45758</v>
      </c>
      <c r="X61" s="69" t="s">
        <v>2062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155</v>
      </c>
      <c r="O62" s="54">
        <v>45848</v>
      </c>
      <c r="P62" s="328" t="s">
        <v>155</v>
      </c>
      <c r="Q62" s="43" t="s">
        <v>155</v>
      </c>
      <c r="R62" s="43" t="s">
        <v>155</v>
      </c>
      <c r="S62" s="43" t="s">
        <v>56</v>
      </c>
      <c r="T62" s="43" t="s">
        <v>155</v>
      </c>
      <c r="U62" s="43" t="s">
        <v>155</v>
      </c>
      <c r="V62" s="43" t="s">
        <v>155</v>
      </c>
      <c r="W62" s="54">
        <v>45876</v>
      </c>
      <c r="X62" s="69" t="s">
        <v>2062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155</v>
      </c>
      <c r="O63" s="54">
        <v>45882</v>
      </c>
      <c r="P63" s="328" t="s">
        <v>155</v>
      </c>
      <c r="Q63" s="43" t="s">
        <v>155</v>
      </c>
      <c r="R63" s="43" t="s">
        <v>155</v>
      </c>
      <c r="S63" s="43" t="s">
        <v>56</v>
      </c>
      <c r="T63" s="43" t="s">
        <v>155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155</v>
      </c>
      <c r="O64" s="54">
        <v>45884</v>
      </c>
      <c r="P64" s="328" t="s">
        <v>155</v>
      </c>
      <c r="Q64" s="43" t="s">
        <v>155</v>
      </c>
      <c r="R64" s="43" t="s">
        <v>155</v>
      </c>
      <c r="S64" s="43" t="s">
        <v>56</v>
      </c>
      <c r="T64" s="43" t="s">
        <v>155</v>
      </c>
      <c r="U64" s="43" t="s">
        <v>155</v>
      </c>
      <c r="V64" s="43" t="s">
        <v>155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155</v>
      </c>
      <c r="O65" s="54">
        <v>45824</v>
      </c>
      <c r="P65" s="328" t="s">
        <v>155</v>
      </c>
      <c r="Q65" s="43" t="s">
        <v>155</v>
      </c>
      <c r="R65" s="43" t="s">
        <v>155</v>
      </c>
      <c r="S65" s="43" t="s">
        <v>56</v>
      </c>
      <c r="T65" s="43" t="s">
        <v>155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155</v>
      </c>
      <c r="O66" s="124">
        <v>45817</v>
      </c>
      <c r="P66" s="328" t="s">
        <v>155</v>
      </c>
      <c r="Q66" s="157" t="s">
        <v>155</v>
      </c>
      <c r="R66" s="43" t="s">
        <v>155</v>
      </c>
      <c r="S66" s="43" t="s">
        <v>56</v>
      </c>
      <c r="T66" s="43" t="s">
        <v>155</v>
      </c>
      <c r="U66" s="43" t="s">
        <v>155</v>
      </c>
      <c r="V66" s="43" t="s">
        <v>155</v>
      </c>
      <c r="W66" s="54">
        <v>45876</v>
      </c>
      <c r="X66" s="69" t="s">
        <v>2062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155</v>
      </c>
      <c r="O67" s="54">
        <v>45876</v>
      </c>
      <c r="P67" s="328" t="s">
        <v>155</v>
      </c>
      <c r="Q67" s="157" t="s">
        <v>155</v>
      </c>
      <c r="R67" s="157" t="s">
        <v>155</v>
      </c>
      <c r="S67" s="43" t="s">
        <v>56</v>
      </c>
      <c r="T67" s="43" t="s">
        <v>155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155</v>
      </c>
      <c r="N68" s="87" t="s">
        <v>155</v>
      </c>
      <c r="O68" s="87" t="s">
        <v>155</v>
      </c>
      <c r="P68" s="328" t="s">
        <v>155</v>
      </c>
      <c r="Q68" s="43" t="s">
        <v>155</v>
      </c>
      <c r="R68" s="43" t="s">
        <v>155</v>
      </c>
      <c r="S68" s="43" t="s">
        <v>56</v>
      </c>
      <c r="T68" s="43" t="s">
        <v>155</v>
      </c>
      <c r="U68" s="43" t="s">
        <v>155</v>
      </c>
      <c r="V68" s="334" t="s">
        <v>155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155</v>
      </c>
      <c r="O69" s="54">
        <v>45870</v>
      </c>
      <c r="P69" s="328" t="s">
        <v>155</v>
      </c>
      <c r="Q69" s="43" t="s">
        <v>155</v>
      </c>
      <c r="R69" s="43" t="s">
        <v>155</v>
      </c>
      <c r="S69" s="43" t="s">
        <v>56</v>
      </c>
      <c r="T69" s="43" t="s">
        <v>155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155</v>
      </c>
      <c r="O70" s="124">
        <v>45705</v>
      </c>
      <c r="P70" s="79" t="s">
        <v>155</v>
      </c>
      <c r="Q70" s="43" t="s">
        <v>155</v>
      </c>
      <c r="R70" s="43" t="s">
        <v>155</v>
      </c>
      <c r="S70" s="43" t="s">
        <v>56</v>
      </c>
      <c r="T70" s="43" t="s">
        <v>155</v>
      </c>
      <c r="U70" s="43" t="s">
        <v>155</v>
      </c>
      <c r="V70" s="334" t="s">
        <v>155</v>
      </c>
      <c r="W70" s="540"/>
      <c r="X70" s="69" t="s">
        <v>2062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155</v>
      </c>
      <c r="O71" s="54">
        <v>45870</v>
      </c>
      <c r="P71" s="79" t="s">
        <v>155</v>
      </c>
      <c r="Q71" s="43" t="s">
        <v>155</v>
      </c>
      <c r="R71" s="43" t="s">
        <v>155</v>
      </c>
      <c r="S71" s="43" t="s">
        <v>56</v>
      </c>
      <c r="T71" s="43" t="s">
        <v>155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155</v>
      </c>
      <c r="O72" s="54">
        <v>45882</v>
      </c>
      <c r="P72" s="328" t="s">
        <v>155</v>
      </c>
      <c r="Q72" s="157" t="s">
        <v>155</v>
      </c>
      <c r="R72" s="43" t="s">
        <v>155</v>
      </c>
      <c r="S72" s="43" t="s">
        <v>56</v>
      </c>
      <c r="T72" s="43" t="s">
        <v>155</v>
      </c>
      <c r="U72" s="43" t="s">
        <v>155</v>
      </c>
      <c r="V72" s="43" t="s">
        <v>155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155</v>
      </c>
      <c r="O73" s="124">
        <v>45790</v>
      </c>
      <c r="P73" s="79" t="s">
        <v>155</v>
      </c>
      <c r="Q73" s="43" t="s">
        <v>155</v>
      </c>
      <c r="R73" s="43" t="s">
        <v>155</v>
      </c>
      <c r="S73" s="43" t="s">
        <v>56</v>
      </c>
      <c r="T73" s="43" t="s">
        <v>155</v>
      </c>
      <c r="U73" s="43" t="s">
        <v>155</v>
      </c>
      <c r="V73" s="334" t="s">
        <v>155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155</v>
      </c>
      <c r="O74" s="54">
        <v>45871</v>
      </c>
      <c r="P74" s="79" t="s">
        <v>155</v>
      </c>
      <c r="Q74" s="43" t="s">
        <v>155</v>
      </c>
      <c r="R74" s="43" t="s">
        <v>155</v>
      </c>
      <c r="S74" s="43" t="s">
        <v>56</v>
      </c>
      <c r="T74" s="43" t="s">
        <v>155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155</v>
      </c>
      <c r="O75" s="54">
        <v>45853</v>
      </c>
      <c r="P75" s="79" t="s">
        <v>155</v>
      </c>
      <c r="Q75" s="43" t="s">
        <v>155</v>
      </c>
      <c r="R75" s="43" t="s">
        <v>155</v>
      </c>
      <c r="S75" s="43" t="s">
        <v>56</v>
      </c>
      <c r="T75" s="43" t="s">
        <v>155</v>
      </c>
      <c r="U75" s="43" t="s">
        <v>155</v>
      </c>
      <c r="V75" s="43" t="s">
        <v>155</v>
      </c>
      <c r="W75" s="54">
        <v>45905</v>
      </c>
      <c r="X75" s="69" t="s">
        <v>2062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155</v>
      </c>
      <c r="O76" s="54">
        <v>45838</v>
      </c>
      <c r="P76" s="87" t="s">
        <v>155</v>
      </c>
      <c r="Q76" s="169" t="s">
        <v>155</v>
      </c>
      <c r="R76" s="169" t="s">
        <v>155</v>
      </c>
      <c r="S76" s="169" t="s">
        <v>56</v>
      </c>
      <c r="T76" s="169" t="s">
        <v>155</v>
      </c>
      <c r="U76" s="43" t="s">
        <v>155</v>
      </c>
      <c r="V76" s="43" t="s">
        <v>155</v>
      </c>
      <c r="W76" s="54">
        <v>45895</v>
      </c>
      <c r="X76" s="69" t="s">
        <v>2062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155</v>
      </c>
      <c r="O77" s="54">
        <v>45902</v>
      </c>
      <c r="P77" s="328" t="s">
        <v>155</v>
      </c>
      <c r="Q77" s="43" t="s">
        <v>155</v>
      </c>
      <c r="R77" s="43" t="s">
        <v>155</v>
      </c>
      <c r="S77" s="43" t="s">
        <v>56</v>
      </c>
      <c r="T77" s="43" t="s">
        <v>155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155</v>
      </c>
      <c r="O78" s="54">
        <v>45902</v>
      </c>
      <c r="P78" s="328" t="s">
        <v>155</v>
      </c>
      <c r="Q78" s="43" t="s">
        <v>155</v>
      </c>
      <c r="R78" s="43" t="s">
        <v>155</v>
      </c>
      <c r="S78" s="43" t="s">
        <v>56</v>
      </c>
      <c r="T78" s="43" t="s">
        <v>155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155</v>
      </c>
      <c r="N79" s="87" t="s">
        <v>155</v>
      </c>
      <c r="O79" s="87" t="s">
        <v>155</v>
      </c>
      <c r="P79" s="87" t="s">
        <v>155</v>
      </c>
      <c r="Q79" s="43" t="s">
        <v>56</v>
      </c>
      <c r="R79" s="43" t="s">
        <v>56</v>
      </c>
      <c r="S79" s="43" t="s">
        <v>56</v>
      </c>
      <c r="T79" s="43" t="s">
        <v>155</v>
      </c>
      <c r="U79" s="43" t="s">
        <v>155</v>
      </c>
      <c r="V79" s="334" t="s">
        <v>155</v>
      </c>
      <c r="W79" s="54">
        <v>45820</v>
      </c>
      <c r="X79" s="69" t="s">
        <v>2062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155</v>
      </c>
      <c r="O80" s="30" t="s">
        <v>52</v>
      </c>
      <c r="P80" s="87" t="s">
        <v>155</v>
      </c>
      <c r="Q80" s="43" t="s">
        <v>56</v>
      </c>
      <c r="R80" s="43" t="s">
        <v>56</v>
      </c>
      <c r="S80" s="43" t="s">
        <v>56</v>
      </c>
      <c r="T80" s="43" t="s">
        <v>155</v>
      </c>
      <c r="U80" s="43" t="s">
        <v>155</v>
      </c>
      <c r="V80" s="69" t="s">
        <v>155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2064</v>
      </c>
      <c r="B81" s="529" t="s">
        <v>111</v>
      </c>
      <c r="C81" s="176">
        <v>45688</v>
      </c>
      <c r="D81" s="619" t="s">
        <v>773</v>
      </c>
      <c r="E81" s="172"/>
      <c r="F81" s="129"/>
      <c r="G81" s="129"/>
      <c r="H81" s="179">
        <v>48</v>
      </c>
      <c r="I81" s="181"/>
      <c r="J81" s="179" t="s">
        <v>57</v>
      </c>
      <c r="K81" s="179" t="s">
        <v>57</v>
      </c>
      <c r="L81" s="179" t="s">
        <v>56</v>
      </c>
      <c r="M81" s="100" t="s">
        <v>155</v>
      </c>
      <c r="N81" s="87" t="s">
        <v>155</v>
      </c>
      <c r="O81" s="124">
        <v>45678</v>
      </c>
      <c r="P81" s="87" t="s">
        <v>155</v>
      </c>
      <c r="Q81" s="43" t="s">
        <v>155</v>
      </c>
      <c r="R81" s="43" t="s">
        <v>2059</v>
      </c>
      <c r="S81" s="43" t="s">
        <v>155</v>
      </c>
      <c r="T81" s="43" t="s">
        <v>155</v>
      </c>
      <c r="U81" s="115" t="s">
        <v>155</v>
      </c>
      <c r="V81" s="69" t="s">
        <v>155</v>
      </c>
      <c r="W81" s="54">
        <v>45789</v>
      </c>
      <c r="X81" s="69" t="s">
        <v>2062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155</v>
      </c>
      <c r="O82" s="54">
        <v>45874</v>
      </c>
      <c r="P82" s="87" t="s">
        <v>155</v>
      </c>
      <c r="Q82" s="43" t="s">
        <v>155</v>
      </c>
      <c r="R82" s="43" t="s">
        <v>2059</v>
      </c>
      <c r="S82" s="43" t="s">
        <v>155</v>
      </c>
      <c r="T82" s="43" t="s">
        <v>155</v>
      </c>
      <c r="U82" s="115" t="s">
        <v>155</v>
      </c>
      <c r="V82" s="69" t="s">
        <v>155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155</v>
      </c>
      <c r="O83" s="54">
        <v>45706</v>
      </c>
      <c r="P83" s="87" t="s">
        <v>155</v>
      </c>
      <c r="Q83" s="165" t="s">
        <v>155</v>
      </c>
      <c r="R83" s="69" t="s">
        <v>155</v>
      </c>
      <c r="S83" s="69" t="s">
        <v>56</v>
      </c>
      <c r="T83" s="69" t="s">
        <v>155</v>
      </c>
      <c r="U83" s="43" t="s">
        <v>155</v>
      </c>
      <c r="V83" s="43" t="s">
        <v>155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155</v>
      </c>
      <c r="O84" s="54">
        <v>45728</v>
      </c>
      <c r="P84" s="30" t="s">
        <v>155</v>
      </c>
      <c r="Q84" s="169" t="s">
        <v>155</v>
      </c>
      <c r="R84" s="169" t="s">
        <v>2059</v>
      </c>
      <c r="S84" s="169" t="s">
        <v>155</v>
      </c>
      <c r="T84" s="169" t="s">
        <v>155</v>
      </c>
      <c r="U84" s="91" t="s">
        <v>155</v>
      </c>
      <c r="V84" s="69" t="s">
        <v>155</v>
      </c>
      <c r="W84" s="195">
        <v>45875</v>
      </c>
      <c r="X84" s="69" t="s">
        <v>2062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155</v>
      </c>
      <c r="O85" s="54">
        <v>45719</v>
      </c>
      <c r="P85" s="30" t="s">
        <v>155</v>
      </c>
      <c r="Q85" s="43" t="s">
        <v>155</v>
      </c>
      <c r="R85" s="169" t="s">
        <v>2059</v>
      </c>
      <c r="S85" s="169" t="s">
        <v>155</v>
      </c>
      <c r="T85" s="169" t="s">
        <v>155</v>
      </c>
      <c r="U85" s="91" t="s">
        <v>155</v>
      </c>
      <c r="V85" s="91" t="s">
        <v>155</v>
      </c>
      <c r="W85" s="195">
        <v>45874</v>
      </c>
      <c r="X85" s="69" t="s">
        <v>2062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155</v>
      </c>
      <c r="O86" s="195">
        <v>45728</v>
      </c>
      <c r="P86" s="30" t="s">
        <v>155</v>
      </c>
      <c r="Q86" s="43" t="s">
        <v>155</v>
      </c>
      <c r="R86" s="43" t="s">
        <v>2059</v>
      </c>
      <c r="S86" s="43" t="s">
        <v>155</v>
      </c>
      <c r="T86" s="43" t="s">
        <v>155</v>
      </c>
      <c r="U86" s="69" t="s">
        <v>155</v>
      </c>
      <c r="V86" s="69" t="s">
        <v>155</v>
      </c>
      <c r="W86" s="54">
        <v>45824</v>
      </c>
      <c r="X86" s="69" t="s">
        <v>2062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155</v>
      </c>
      <c r="O87" s="30" t="s">
        <v>155</v>
      </c>
      <c r="P87" s="30" t="s">
        <v>155</v>
      </c>
      <c r="Q87" s="43" t="s">
        <v>155</v>
      </c>
      <c r="R87" s="43" t="s">
        <v>2059</v>
      </c>
      <c r="S87" s="43" t="s">
        <v>155</v>
      </c>
      <c r="T87" s="43" t="s">
        <v>155</v>
      </c>
      <c r="U87" s="157" t="s">
        <v>155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155</v>
      </c>
      <c r="O88" s="54">
        <v>45728</v>
      </c>
      <c r="P88" s="30" t="s">
        <v>155</v>
      </c>
      <c r="Q88" s="43" t="s">
        <v>155</v>
      </c>
      <c r="R88" s="43" t="s">
        <v>2059</v>
      </c>
      <c r="S88" s="43" t="s">
        <v>155</v>
      </c>
      <c r="T88" s="43" t="s">
        <v>155</v>
      </c>
      <c r="U88" s="157" t="s">
        <v>155</v>
      </c>
      <c r="V88" s="157" t="s">
        <v>155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155</v>
      </c>
      <c r="O89" s="54">
        <v>45722</v>
      </c>
      <c r="P89" s="30" t="s">
        <v>155</v>
      </c>
      <c r="Q89" s="69" t="s">
        <v>155</v>
      </c>
      <c r="R89" s="43" t="s">
        <v>2059</v>
      </c>
      <c r="S89" s="69" t="s">
        <v>155</v>
      </c>
      <c r="T89" s="69" t="s">
        <v>155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155</v>
      </c>
      <c r="O90" s="54">
        <v>45727</v>
      </c>
      <c r="P90" s="30" t="s">
        <v>155</v>
      </c>
      <c r="Q90" s="69" t="s">
        <v>155</v>
      </c>
      <c r="R90" s="43" t="s">
        <v>2059</v>
      </c>
      <c r="S90" s="69" t="s">
        <v>155</v>
      </c>
      <c r="T90" s="69" t="s">
        <v>155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155</v>
      </c>
      <c r="O91" s="54">
        <v>45723</v>
      </c>
      <c r="P91" s="30" t="s">
        <v>155</v>
      </c>
      <c r="Q91" s="69" t="s">
        <v>155</v>
      </c>
      <c r="R91" s="43" t="s">
        <v>2059</v>
      </c>
      <c r="S91" s="69" t="s">
        <v>155</v>
      </c>
      <c r="T91" s="69" t="s">
        <v>155</v>
      </c>
      <c r="U91" s="69" t="s">
        <v>155</v>
      </c>
      <c r="V91" s="69" t="s">
        <v>155</v>
      </c>
      <c r="W91" s="54">
        <v>45831</v>
      </c>
      <c r="X91" s="69" t="s">
        <v>2062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155</v>
      </c>
      <c r="O92" s="54">
        <v>45726</v>
      </c>
      <c r="P92" s="30" t="s">
        <v>155</v>
      </c>
      <c r="Q92" s="148" t="s">
        <v>155</v>
      </c>
      <c r="R92" s="43" t="s">
        <v>2059</v>
      </c>
      <c r="S92" s="69" t="s">
        <v>155</v>
      </c>
      <c r="T92" s="69" t="s">
        <v>155</v>
      </c>
      <c r="U92" s="334" t="s">
        <v>155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155</v>
      </c>
      <c r="O93" s="54">
        <v>45727</v>
      </c>
      <c r="P93" s="79" t="s">
        <v>155</v>
      </c>
      <c r="Q93" s="43" t="s">
        <v>155</v>
      </c>
      <c r="R93" s="43" t="s">
        <v>2059</v>
      </c>
      <c r="S93" s="43" t="s">
        <v>155</v>
      </c>
      <c r="T93" s="43" t="s">
        <v>155</v>
      </c>
      <c r="U93" s="334" t="s">
        <v>155</v>
      </c>
      <c r="V93" s="69" t="s">
        <v>155</v>
      </c>
      <c r="W93" s="54">
        <v>45789</v>
      </c>
      <c r="X93" s="69" t="s">
        <v>2062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155</v>
      </c>
      <c r="O94" s="54">
        <v>45693</v>
      </c>
      <c r="P94" s="79" t="s">
        <v>155</v>
      </c>
      <c r="Q94" s="69" t="s">
        <v>155</v>
      </c>
      <c r="R94" s="69" t="s">
        <v>2059</v>
      </c>
      <c r="S94" s="69" t="s">
        <v>155</v>
      </c>
      <c r="T94" s="69" t="s">
        <v>155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155</v>
      </c>
      <c r="O95" s="195">
        <v>45694</v>
      </c>
      <c r="P95" s="79" t="s">
        <v>155</v>
      </c>
      <c r="Q95" s="69" t="s">
        <v>155</v>
      </c>
      <c r="R95" s="69" t="s">
        <v>2059</v>
      </c>
      <c r="S95" s="69" t="s">
        <v>155</v>
      </c>
      <c r="T95" s="43" t="s">
        <v>155</v>
      </c>
      <c r="U95" s="69" t="s">
        <v>155</v>
      </c>
      <c r="V95" s="69" t="s">
        <v>155</v>
      </c>
      <c r="W95" s="54">
        <v>45814</v>
      </c>
      <c r="X95" s="69" t="s">
        <v>2062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155</v>
      </c>
      <c r="O96" s="54">
        <v>45694</v>
      </c>
      <c r="P96" s="30" t="s">
        <v>155</v>
      </c>
      <c r="Q96" s="69" t="s">
        <v>155</v>
      </c>
      <c r="R96" s="91" t="s">
        <v>2059</v>
      </c>
      <c r="S96" s="69" t="s">
        <v>155</v>
      </c>
      <c r="T96" s="69" t="s">
        <v>155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155</v>
      </c>
      <c r="O97" s="54">
        <v>45688</v>
      </c>
      <c r="P97" s="30" t="s">
        <v>155</v>
      </c>
      <c r="Q97" s="69" t="s">
        <v>155</v>
      </c>
      <c r="R97" s="69" t="s">
        <v>2059</v>
      </c>
      <c r="S97" s="69" t="s">
        <v>155</v>
      </c>
      <c r="T97" s="69" t="s">
        <v>155</v>
      </c>
      <c r="U97" s="69" t="s">
        <v>155</v>
      </c>
      <c r="V97" s="43" t="s">
        <v>155</v>
      </c>
      <c r="W97" s="54">
        <v>45824</v>
      </c>
      <c r="X97" s="69" t="s">
        <v>2062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155</v>
      </c>
      <c r="O98" s="54">
        <v>45692</v>
      </c>
      <c r="P98" s="30" t="s">
        <v>155</v>
      </c>
      <c r="Q98" s="43" t="s">
        <v>155</v>
      </c>
      <c r="R98" s="43" t="s">
        <v>2059</v>
      </c>
      <c r="S98" s="43" t="s">
        <v>155</v>
      </c>
      <c r="T98" s="43" t="s">
        <v>155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155</v>
      </c>
      <c r="O99" s="54">
        <v>45692</v>
      </c>
      <c r="P99" s="30" t="s">
        <v>155</v>
      </c>
      <c r="Q99" s="43" t="s">
        <v>155</v>
      </c>
      <c r="R99" s="43" t="s">
        <v>2059</v>
      </c>
      <c r="S99" s="43" t="s">
        <v>155</v>
      </c>
      <c r="T99" s="115" t="s">
        <v>155</v>
      </c>
      <c r="U99" s="148" t="s">
        <v>155</v>
      </c>
      <c r="V99" s="69" t="s">
        <v>155</v>
      </c>
      <c r="W99" s="54">
        <v>45814</v>
      </c>
      <c r="X99" s="69" t="s">
        <v>2062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155</v>
      </c>
      <c r="O100" s="166">
        <v>45691</v>
      </c>
      <c r="P100" s="30" t="s">
        <v>155</v>
      </c>
      <c r="Q100" s="43" t="s">
        <v>155</v>
      </c>
      <c r="R100" s="43" t="s">
        <v>2059</v>
      </c>
      <c r="S100" s="43" t="s">
        <v>155</v>
      </c>
      <c r="T100" s="43" t="s">
        <v>155</v>
      </c>
      <c r="U100" s="69" t="s">
        <v>155</v>
      </c>
      <c r="V100" s="157" t="s">
        <v>155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155</v>
      </c>
      <c r="O101" s="54">
        <v>45695</v>
      </c>
      <c r="P101" s="30" t="s">
        <v>155</v>
      </c>
      <c r="Q101" s="43" t="s">
        <v>155</v>
      </c>
      <c r="R101" s="43" t="s">
        <v>2059</v>
      </c>
      <c r="S101" s="43" t="s">
        <v>155</v>
      </c>
      <c r="T101" s="43" t="s">
        <v>155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155</v>
      </c>
      <c r="N102" s="30" t="s">
        <v>155</v>
      </c>
      <c r="O102" s="54">
        <v>45699</v>
      </c>
      <c r="P102" s="87" t="s">
        <v>155</v>
      </c>
      <c r="Q102" s="88" t="s">
        <v>155</v>
      </c>
      <c r="R102" s="43" t="s">
        <v>2059</v>
      </c>
      <c r="S102" s="43" t="s">
        <v>155</v>
      </c>
      <c r="T102" s="43" t="s">
        <v>155</v>
      </c>
      <c r="U102" s="43" t="s">
        <v>155</v>
      </c>
      <c r="V102" s="165" t="s">
        <v>155</v>
      </c>
      <c r="W102" s="54">
        <v>45835</v>
      </c>
      <c r="X102" s="69" t="s">
        <v>2062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155</v>
      </c>
      <c r="O103" s="54">
        <v>45675</v>
      </c>
      <c r="P103" s="87" t="s">
        <v>155</v>
      </c>
      <c r="Q103" s="43" t="s">
        <v>155</v>
      </c>
      <c r="R103" s="43" t="s">
        <v>2059</v>
      </c>
      <c r="S103" s="43" t="s">
        <v>155</v>
      </c>
      <c r="T103" s="43" t="s">
        <v>155</v>
      </c>
      <c r="U103" s="43" t="s">
        <v>155</v>
      </c>
      <c r="V103" s="139" t="s">
        <v>155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155</v>
      </c>
      <c r="N104" s="119" t="s">
        <v>155</v>
      </c>
      <c r="O104" s="54">
        <v>45675</v>
      </c>
      <c r="P104" s="213" t="s">
        <v>155</v>
      </c>
      <c r="Q104" s="43" t="s">
        <v>155</v>
      </c>
      <c r="R104" s="43" t="s">
        <v>2059</v>
      </c>
      <c r="S104" s="43" t="s">
        <v>155</v>
      </c>
      <c r="T104" s="43" t="s">
        <v>155</v>
      </c>
      <c r="U104" s="43" t="s">
        <v>155</v>
      </c>
      <c r="V104" s="139" t="s">
        <v>155</v>
      </c>
      <c r="W104" s="54">
        <v>45820</v>
      </c>
      <c r="X104" s="69" t="s">
        <v>2062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155</v>
      </c>
      <c r="O105" s="54">
        <v>45743</v>
      </c>
      <c r="P105" s="87" t="s">
        <v>155</v>
      </c>
      <c r="Q105" s="157" t="s">
        <v>155</v>
      </c>
      <c r="R105" s="69" t="s">
        <v>2059</v>
      </c>
      <c r="S105" s="43" t="s">
        <v>155</v>
      </c>
      <c r="T105" s="43" t="s">
        <v>155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155</v>
      </c>
      <c r="O106" s="54">
        <v>45679</v>
      </c>
      <c r="P106" s="87" t="s">
        <v>155</v>
      </c>
      <c r="Q106" s="43" t="s">
        <v>155</v>
      </c>
      <c r="R106" s="43" t="s">
        <v>2059</v>
      </c>
      <c r="S106" s="43" t="s">
        <v>155</v>
      </c>
      <c r="T106" s="43" t="s">
        <v>155</v>
      </c>
      <c r="U106" s="43" t="s">
        <v>155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155</v>
      </c>
      <c r="O107" s="54">
        <v>45749</v>
      </c>
      <c r="P107" s="30" t="s">
        <v>155</v>
      </c>
      <c r="Q107" s="43" t="s">
        <v>155</v>
      </c>
      <c r="R107" s="43" t="s">
        <v>2059</v>
      </c>
      <c r="S107" s="43" t="s">
        <v>155</v>
      </c>
      <c r="T107" s="43" t="s">
        <v>155</v>
      </c>
      <c r="U107" s="43" t="s">
        <v>155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155</v>
      </c>
      <c r="O108" s="54">
        <v>45749</v>
      </c>
      <c r="P108" s="30" t="s">
        <v>155</v>
      </c>
      <c r="Q108" s="43" t="s">
        <v>155</v>
      </c>
      <c r="R108" s="334" t="s">
        <v>2059</v>
      </c>
      <c r="S108" s="43" t="s">
        <v>155</v>
      </c>
      <c r="T108" s="43" t="s">
        <v>155</v>
      </c>
      <c r="U108" s="88" t="s">
        <v>155</v>
      </c>
      <c r="V108" s="481" t="s">
        <v>155</v>
      </c>
      <c r="W108" s="356">
        <v>45798</v>
      </c>
      <c r="X108" s="69" t="s">
        <v>2062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155</v>
      </c>
      <c r="O109" s="54">
        <v>45744</v>
      </c>
      <c r="P109" s="79" t="s">
        <v>155</v>
      </c>
      <c r="Q109" s="43" t="s">
        <v>155</v>
      </c>
      <c r="R109" s="334" t="s">
        <v>2059</v>
      </c>
      <c r="S109" s="43" t="s">
        <v>155</v>
      </c>
      <c r="T109" s="43" t="s">
        <v>155</v>
      </c>
      <c r="U109" s="43" t="s">
        <v>2065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155</v>
      </c>
      <c r="O110" s="54">
        <v>45691</v>
      </c>
      <c r="P110" s="79" t="s">
        <v>155</v>
      </c>
      <c r="Q110" s="43" t="s">
        <v>155</v>
      </c>
      <c r="R110" s="334" t="s">
        <v>2059</v>
      </c>
      <c r="S110" s="43" t="s">
        <v>155</v>
      </c>
      <c r="T110" s="43" t="s">
        <v>155</v>
      </c>
      <c r="U110" s="88" t="s">
        <v>155</v>
      </c>
      <c r="V110" s="481" t="s">
        <v>155</v>
      </c>
      <c r="W110" s="356">
        <v>45902</v>
      </c>
      <c r="X110" s="69" t="s">
        <v>2062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155</v>
      </c>
      <c r="O111" s="54">
        <v>45708</v>
      </c>
      <c r="P111" s="30" t="s">
        <v>155</v>
      </c>
      <c r="Q111" s="169" t="s">
        <v>155</v>
      </c>
      <c r="R111" s="69" t="s">
        <v>2059</v>
      </c>
      <c r="S111" s="43" t="s">
        <v>155</v>
      </c>
      <c r="T111" s="43" t="s">
        <v>155</v>
      </c>
      <c r="U111" s="43" t="s">
        <v>155</v>
      </c>
      <c r="V111" s="201" t="s">
        <v>155</v>
      </c>
      <c r="W111" s="166">
        <v>45790</v>
      </c>
      <c r="X111" s="69" t="s">
        <v>2062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155</v>
      </c>
      <c r="O112" s="166">
        <v>45744</v>
      </c>
      <c r="P112" s="114" t="s">
        <v>155</v>
      </c>
      <c r="Q112" s="115" t="s">
        <v>155</v>
      </c>
      <c r="R112" s="148" t="s">
        <v>2059</v>
      </c>
      <c r="S112" s="43" t="s">
        <v>155</v>
      </c>
      <c r="T112" s="43" t="s">
        <v>155</v>
      </c>
      <c r="U112" s="43" t="s">
        <v>155</v>
      </c>
      <c r="V112" s="201" t="s">
        <v>155</v>
      </c>
      <c r="W112" s="479">
        <v>45791</v>
      </c>
      <c r="X112" s="69" t="s">
        <v>2062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155</v>
      </c>
      <c r="O113" s="166">
        <v>45755</v>
      </c>
      <c r="P113" s="114" t="s">
        <v>155</v>
      </c>
      <c r="Q113" s="115" t="s">
        <v>155</v>
      </c>
      <c r="R113" s="148" t="s">
        <v>2059</v>
      </c>
      <c r="S113" s="115" t="s">
        <v>155</v>
      </c>
      <c r="T113" s="43" t="s">
        <v>155</v>
      </c>
      <c r="U113" s="43" t="s">
        <v>155</v>
      </c>
      <c r="V113" s="201" t="s">
        <v>155</v>
      </c>
      <c r="W113" s="479">
        <v>45791</v>
      </c>
      <c r="X113" s="148" t="s">
        <v>2062</v>
      </c>
    </row>
    <row r="114" spans="1:25">
      <c r="A114" s="178" t="s">
        <v>836</v>
      </c>
      <c r="B114" s="182" t="s">
        <v>50</v>
      </c>
      <c r="C114" s="314">
        <v>45772</v>
      </c>
      <c r="D114" s="410" t="s">
        <v>837</v>
      </c>
      <c r="H114" s="185">
        <v>75</v>
      </c>
      <c r="I114" s="181"/>
      <c r="J114" s="179" t="s">
        <v>57</v>
      </c>
      <c r="K114" s="420" t="s">
        <v>57</v>
      </c>
      <c r="L114" s="179" t="s">
        <v>63</v>
      </c>
      <c r="M114" s="193">
        <v>45741</v>
      </c>
      <c r="N114" s="114" t="s">
        <v>155</v>
      </c>
      <c r="O114" s="54">
        <v>45747</v>
      </c>
      <c r="P114" s="114" t="s">
        <v>155</v>
      </c>
      <c r="Q114" s="115" t="s">
        <v>155</v>
      </c>
      <c r="R114" s="148" t="s">
        <v>2059</v>
      </c>
      <c r="S114" s="115" t="s">
        <v>155</v>
      </c>
      <c r="T114" s="43" t="s">
        <v>155</v>
      </c>
      <c r="U114" s="157" t="s">
        <v>155</v>
      </c>
      <c r="V114" s="201" t="s">
        <v>155</v>
      </c>
      <c r="W114" s="54">
        <v>45798</v>
      </c>
      <c r="X114" s="69" t="s">
        <v>2062</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155</v>
      </c>
      <c r="O115" s="124">
        <v>45757</v>
      </c>
      <c r="P115" s="30" t="s">
        <v>155</v>
      </c>
      <c r="Q115" s="43" t="s">
        <v>155</v>
      </c>
      <c r="R115" s="69" t="s">
        <v>2059</v>
      </c>
      <c r="S115" s="43" t="s">
        <v>155</v>
      </c>
      <c r="T115" s="43" t="s">
        <v>155</v>
      </c>
      <c r="U115" s="43" t="s">
        <v>155</v>
      </c>
      <c r="V115" s="88" t="s">
        <v>155</v>
      </c>
      <c r="W115" s="54">
        <v>45814</v>
      </c>
      <c r="X115" s="69" t="s">
        <v>2062</v>
      </c>
    </row>
    <row r="116" spans="1:25">
      <c r="A116" s="178" t="s">
        <v>840</v>
      </c>
      <c r="B116" s="182" t="s">
        <v>50</v>
      </c>
      <c r="C116" s="314">
        <v>45772</v>
      </c>
      <c r="D116" s="716" t="s">
        <v>842</v>
      </c>
      <c r="H116" s="179">
        <v>50</v>
      </c>
      <c r="I116" s="181"/>
      <c r="J116" s="179" t="s">
        <v>57</v>
      </c>
      <c r="K116" s="420" t="s">
        <v>57</v>
      </c>
      <c r="L116" s="179" t="s">
        <v>63</v>
      </c>
      <c r="M116" s="193">
        <v>45757</v>
      </c>
      <c r="N116" s="30" t="s">
        <v>155</v>
      </c>
      <c r="O116" s="124">
        <v>45757</v>
      </c>
      <c r="P116" s="30" t="s">
        <v>155</v>
      </c>
      <c r="Q116" s="43" t="s">
        <v>155</v>
      </c>
      <c r="R116" s="69" t="s">
        <v>2059</v>
      </c>
      <c r="S116" s="43" t="s">
        <v>155</v>
      </c>
      <c r="T116" s="43" t="s">
        <v>155</v>
      </c>
      <c r="U116" s="43" t="s">
        <v>155</v>
      </c>
      <c r="V116" s="481" t="s">
        <v>155</v>
      </c>
      <c r="W116" s="54">
        <v>45807</v>
      </c>
      <c r="X116" s="69" t="s">
        <v>2062</v>
      </c>
    </row>
    <row r="117" spans="1:25">
      <c r="A117" s="178" t="s">
        <v>844</v>
      </c>
      <c r="B117" s="182" t="s">
        <v>50</v>
      </c>
      <c r="C117" s="314">
        <v>45772</v>
      </c>
      <c r="D117" s="518" t="s">
        <v>845</v>
      </c>
      <c r="H117" s="179">
        <v>76</v>
      </c>
      <c r="I117" s="181"/>
      <c r="J117" s="179" t="s">
        <v>57</v>
      </c>
      <c r="K117" s="420" t="s">
        <v>57</v>
      </c>
      <c r="L117" s="179" t="s">
        <v>63</v>
      </c>
      <c r="M117" s="193">
        <v>45757</v>
      </c>
      <c r="N117" s="87" t="s">
        <v>155</v>
      </c>
      <c r="O117" s="124">
        <v>45757</v>
      </c>
      <c r="P117" s="30" t="s">
        <v>155</v>
      </c>
      <c r="Q117" s="43" t="s">
        <v>155</v>
      </c>
      <c r="R117" s="69" t="s">
        <v>2059</v>
      </c>
      <c r="S117" s="43" t="s">
        <v>155</v>
      </c>
      <c r="T117" s="43" t="s">
        <v>155</v>
      </c>
      <c r="U117" s="43" t="s">
        <v>155</v>
      </c>
      <c r="V117" s="88" t="s">
        <v>155</v>
      </c>
      <c r="W117" s="54">
        <v>45811</v>
      </c>
      <c r="X117" s="69" t="s">
        <v>2062</v>
      </c>
    </row>
    <row r="118" spans="1:25">
      <c r="A118" s="178" t="s">
        <v>846</v>
      </c>
      <c r="B118" s="182" t="s">
        <v>50</v>
      </c>
      <c r="C118" s="314">
        <v>45772</v>
      </c>
      <c r="D118" s="179" t="s">
        <v>848</v>
      </c>
      <c r="H118" s="185">
        <v>88</v>
      </c>
      <c r="I118" s="181"/>
      <c r="J118" s="179" t="s">
        <v>57</v>
      </c>
      <c r="K118" s="420" t="s">
        <v>57</v>
      </c>
      <c r="L118" s="179" t="s">
        <v>63</v>
      </c>
      <c r="M118" s="193">
        <v>45757</v>
      </c>
      <c r="N118" s="87" t="s">
        <v>155</v>
      </c>
      <c r="O118" s="124">
        <v>45757</v>
      </c>
      <c r="P118" s="87" t="s">
        <v>155</v>
      </c>
      <c r="Q118" s="43" t="s">
        <v>155</v>
      </c>
      <c r="R118" s="43" t="s">
        <v>2059</v>
      </c>
      <c r="S118" s="43" t="s">
        <v>155</v>
      </c>
      <c r="T118" s="43" t="s">
        <v>155</v>
      </c>
      <c r="U118" s="157" t="s">
        <v>155</v>
      </c>
      <c r="V118" s="88" t="s">
        <v>155</v>
      </c>
      <c r="W118" s="54">
        <v>45810</v>
      </c>
      <c r="X118" s="69" t="s">
        <v>2062</v>
      </c>
    </row>
    <row r="119" spans="1:25">
      <c r="A119" s="178" t="s">
        <v>850</v>
      </c>
      <c r="B119" s="182" t="s">
        <v>50</v>
      </c>
      <c r="C119" s="314">
        <v>45772</v>
      </c>
      <c r="D119" s="179" t="s">
        <v>851</v>
      </c>
      <c r="H119" s="185">
        <v>86</v>
      </c>
      <c r="I119" s="181"/>
      <c r="J119" s="179" t="s">
        <v>57</v>
      </c>
      <c r="K119" s="420" t="s">
        <v>57</v>
      </c>
      <c r="L119" s="179" t="s">
        <v>63</v>
      </c>
      <c r="M119" s="195">
        <v>45756</v>
      </c>
      <c r="N119" s="30" t="s">
        <v>155</v>
      </c>
      <c r="O119" s="124">
        <v>45757</v>
      </c>
      <c r="P119" s="30" t="s">
        <v>155</v>
      </c>
      <c r="Q119" s="69" t="s">
        <v>155</v>
      </c>
      <c r="R119" s="69" t="s">
        <v>2059</v>
      </c>
      <c r="S119" s="43" t="s">
        <v>155</v>
      </c>
      <c r="T119" s="43" t="s">
        <v>155</v>
      </c>
      <c r="U119" s="157" t="s">
        <v>155</v>
      </c>
      <c r="V119" s="88" t="s">
        <v>155</v>
      </c>
      <c r="W119" s="54">
        <v>45813</v>
      </c>
      <c r="X119" s="69" t="s">
        <v>2062</v>
      </c>
    </row>
    <row r="120" spans="1:25">
      <c r="A120" s="178" t="s">
        <v>852</v>
      </c>
      <c r="B120" s="182" t="s">
        <v>50</v>
      </c>
      <c r="C120" s="314">
        <v>45772</v>
      </c>
      <c r="D120" s="519" t="s">
        <v>853</v>
      </c>
      <c r="H120" s="185">
        <v>84</v>
      </c>
      <c r="I120" s="181"/>
      <c r="J120" s="179" t="s">
        <v>57</v>
      </c>
      <c r="K120" s="420" t="s">
        <v>57</v>
      </c>
      <c r="L120" s="179" t="s">
        <v>63</v>
      </c>
      <c r="M120" s="195">
        <v>45741</v>
      </c>
      <c r="N120" s="30" t="s">
        <v>155</v>
      </c>
      <c r="O120" s="54">
        <v>45748</v>
      </c>
      <c r="P120" s="30" t="s">
        <v>155</v>
      </c>
      <c r="Q120" s="43" t="s">
        <v>155</v>
      </c>
      <c r="R120" s="69" t="s">
        <v>2059</v>
      </c>
      <c r="S120" s="43" t="s">
        <v>155</v>
      </c>
      <c r="T120" s="43" t="s">
        <v>155</v>
      </c>
      <c r="U120" s="43" t="s">
        <v>155</v>
      </c>
      <c r="V120" s="88" t="s">
        <v>155</v>
      </c>
      <c r="W120" s="54">
        <v>45811</v>
      </c>
      <c r="X120" s="69" t="s">
        <v>2062</v>
      </c>
    </row>
    <row r="121" spans="1:25">
      <c r="A121" s="366" t="s">
        <v>854</v>
      </c>
      <c r="B121" s="688" t="s">
        <v>50</v>
      </c>
      <c r="C121" s="689">
        <v>45772</v>
      </c>
      <c r="D121" s="363" t="s">
        <v>855</v>
      </c>
      <c r="H121" s="341">
        <v>87</v>
      </c>
      <c r="I121" s="339"/>
      <c r="J121" s="363" t="s">
        <v>57</v>
      </c>
      <c r="K121" s="709" t="s">
        <v>57</v>
      </c>
      <c r="L121" s="179" t="s">
        <v>63</v>
      </c>
      <c r="M121" s="193">
        <v>45757</v>
      </c>
      <c r="N121" s="30" t="s">
        <v>155</v>
      </c>
      <c r="O121" s="124">
        <v>45757</v>
      </c>
      <c r="P121" s="30" t="s">
        <v>155</v>
      </c>
      <c r="Q121" s="69" t="s">
        <v>155</v>
      </c>
      <c r="R121" s="69" t="s">
        <v>2059</v>
      </c>
      <c r="S121" s="43" t="s">
        <v>155</v>
      </c>
      <c r="T121" s="43" t="s">
        <v>155</v>
      </c>
      <c r="U121" s="43" t="s">
        <v>155</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155</v>
      </c>
      <c r="O122" s="54">
        <v>45747</v>
      </c>
      <c r="P122" s="30" t="s">
        <v>155</v>
      </c>
      <c r="Q122" s="69" t="s">
        <v>155</v>
      </c>
      <c r="R122" s="69" t="s">
        <v>2059</v>
      </c>
      <c r="S122" s="43" t="s">
        <v>155</v>
      </c>
      <c r="T122" s="43" t="s">
        <v>155</v>
      </c>
      <c r="U122" s="157" t="s">
        <v>155</v>
      </c>
      <c r="V122" s="157" t="s">
        <v>155</v>
      </c>
      <c r="W122" s="54">
        <v>45789</v>
      </c>
      <c r="X122" s="69" t="s">
        <v>2062</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155</v>
      </c>
      <c r="O123" s="54">
        <v>45744</v>
      </c>
      <c r="P123" s="30" t="s">
        <v>155</v>
      </c>
      <c r="Q123" s="43" t="s">
        <v>155</v>
      </c>
      <c r="R123" s="69" t="s">
        <v>2059</v>
      </c>
      <c r="S123" s="43" t="s">
        <v>155</v>
      </c>
      <c r="T123" s="43" t="s">
        <v>155</v>
      </c>
      <c r="U123" s="43" t="s">
        <v>155</v>
      </c>
      <c r="V123" s="69" t="s">
        <v>155</v>
      </c>
      <c r="W123" s="54">
        <v>45811</v>
      </c>
      <c r="X123" s="69" t="s">
        <v>2062</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155</v>
      </c>
      <c r="O124" s="54">
        <v>45744</v>
      </c>
      <c r="P124" s="30" t="s">
        <v>155</v>
      </c>
      <c r="Q124" s="43" t="s">
        <v>155</v>
      </c>
      <c r="R124" s="69" t="s">
        <v>2059</v>
      </c>
      <c r="S124" s="43" t="s">
        <v>155</v>
      </c>
      <c r="T124" s="43" t="s">
        <v>155</v>
      </c>
      <c r="U124" s="43" t="s">
        <v>2065</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155</v>
      </c>
      <c r="N125" s="30" t="s">
        <v>155</v>
      </c>
      <c r="O125" s="54">
        <v>45679</v>
      </c>
      <c r="P125" s="30" t="s">
        <v>155</v>
      </c>
      <c r="Q125" s="69" t="s">
        <v>155</v>
      </c>
      <c r="R125" s="43" t="s">
        <v>2059</v>
      </c>
      <c r="S125" s="43" t="s">
        <v>155</v>
      </c>
      <c r="T125" s="43" t="s">
        <v>155</v>
      </c>
      <c r="U125" s="43" t="s">
        <v>155</v>
      </c>
      <c r="V125" s="43" t="s">
        <v>155</v>
      </c>
      <c r="W125" s="54">
        <v>45814</v>
      </c>
      <c r="X125" s="69" t="s">
        <v>2062</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155</v>
      </c>
      <c r="N126" s="30" t="s">
        <v>155</v>
      </c>
      <c r="O126" s="54">
        <v>45720</v>
      </c>
      <c r="P126" s="30" t="s">
        <v>155</v>
      </c>
      <c r="Q126" s="69" t="s">
        <v>155</v>
      </c>
      <c r="R126" s="43" t="s">
        <v>2059</v>
      </c>
      <c r="S126" s="43" t="s">
        <v>155</v>
      </c>
      <c r="T126" s="43" t="s">
        <v>155</v>
      </c>
      <c r="U126" s="43" t="s">
        <v>155</v>
      </c>
      <c r="V126" s="88" t="s">
        <v>155</v>
      </c>
      <c r="W126" s="54">
        <v>45819</v>
      </c>
      <c r="X126" s="69" t="s">
        <v>2062</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155</v>
      </c>
      <c r="O127" s="54">
        <v>45679</v>
      </c>
      <c r="P127" s="30" t="s">
        <v>155</v>
      </c>
      <c r="Q127" s="43" t="s">
        <v>155</v>
      </c>
      <c r="R127" s="43" t="s">
        <v>2059</v>
      </c>
      <c r="S127" s="43" t="s">
        <v>155</v>
      </c>
      <c r="T127" s="43" t="s">
        <v>155</v>
      </c>
      <c r="U127" s="43" t="s">
        <v>155</v>
      </c>
      <c r="V127" s="88" t="s">
        <v>155</v>
      </c>
      <c r="W127" s="54">
        <v>45812</v>
      </c>
      <c r="X127" s="69" t="s">
        <v>2062</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155</v>
      </c>
      <c r="O128" s="347">
        <v>45694</v>
      </c>
      <c r="P128" s="87" t="s">
        <v>155</v>
      </c>
      <c r="Q128" s="43" t="s">
        <v>155</v>
      </c>
      <c r="R128" s="43" t="s">
        <v>2059</v>
      </c>
      <c r="S128" s="43" t="s">
        <v>155</v>
      </c>
      <c r="T128" s="43" t="s">
        <v>155</v>
      </c>
      <c r="U128" s="43" t="s">
        <v>155</v>
      </c>
      <c r="V128" s="88" t="s">
        <v>155</v>
      </c>
      <c r="W128" s="166">
        <v>45883</v>
      </c>
      <c r="X128" s="69" t="s">
        <v>2062</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155</v>
      </c>
      <c r="O129" s="166">
        <v>45720</v>
      </c>
      <c r="P129" s="114" t="s">
        <v>155</v>
      </c>
      <c r="Q129" s="148" t="s">
        <v>155</v>
      </c>
      <c r="R129" s="43" t="s">
        <v>2059</v>
      </c>
      <c r="S129" s="43" t="s">
        <v>155</v>
      </c>
      <c r="T129" s="115" t="s">
        <v>155</v>
      </c>
      <c r="U129" s="115" t="s">
        <v>155</v>
      </c>
      <c r="V129" s="88" t="s">
        <v>155</v>
      </c>
      <c r="W129" s="166">
        <v>45814</v>
      </c>
      <c r="X129" s="69" t="s">
        <v>2062</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155</v>
      </c>
      <c r="O130" s="54">
        <v>45698</v>
      </c>
      <c r="P130" s="30" t="s">
        <v>155</v>
      </c>
      <c r="Q130" s="69" t="s">
        <v>155</v>
      </c>
      <c r="R130" s="43" t="s">
        <v>2059</v>
      </c>
      <c r="S130" s="43" t="s">
        <v>155</v>
      </c>
      <c r="T130" s="43" t="s">
        <v>155</v>
      </c>
      <c r="U130" s="43" t="s">
        <v>155</v>
      </c>
      <c r="V130" s="88" t="s">
        <v>155</v>
      </c>
      <c r="W130" s="54">
        <v>45798</v>
      </c>
      <c r="X130" s="69" t="s">
        <v>2062</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155</v>
      </c>
      <c r="N131" s="49" t="s">
        <v>155</v>
      </c>
      <c r="O131" s="30" t="s">
        <v>155</v>
      </c>
      <c r="P131" s="30" t="s">
        <v>155</v>
      </c>
      <c r="Q131" s="43" t="s">
        <v>155</v>
      </c>
      <c r="R131" s="43" t="s">
        <v>2059</v>
      </c>
      <c r="S131" s="43" t="s">
        <v>155</v>
      </c>
      <c r="T131" s="157" t="s">
        <v>155</v>
      </c>
      <c r="U131" s="157" t="s">
        <v>155</v>
      </c>
      <c r="V131" s="88" t="s">
        <v>155</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155</v>
      </c>
      <c r="O132" s="54">
        <v>45691</v>
      </c>
      <c r="P132" s="87" t="s">
        <v>155</v>
      </c>
      <c r="Q132" s="43" t="s">
        <v>155</v>
      </c>
      <c r="R132" s="43" t="s">
        <v>2059</v>
      </c>
      <c r="S132" s="43" t="s">
        <v>155</v>
      </c>
      <c r="T132" s="43" t="s">
        <v>155</v>
      </c>
      <c r="U132" s="43" t="s">
        <v>155</v>
      </c>
      <c r="V132" s="43" t="s">
        <v>155</v>
      </c>
      <c r="W132" s="54">
        <v>45820</v>
      </c>
      <c r="X132" s="69" t="s">
        <v>2062</v>
      </c>
      <c r="Y132" t="e">
        <f>VLOOKUP(A132,#REF!,2,FALSE)</f>
        <v>#REF!</v>
      </c>
    </row>
    <row r="133" spans="1:25" ht="15" customHeight="1">
      <c r="A133" s="358" t="s">
        <v>873</v>
      </c>
      <c r="B133" s="406" t="s">
        <v>50</v>
      </c>
      <c r="C133" s="367">
        <v>45742</v>
      </c>
      <c r="D133" s="419" t="s">
        <v>2066</v>
      </c>
      <c r="E133" s="361"/>
      <c r="F133" s="361"/>
      <c r="G133" s="361"/>
      <c r="H133" s="361">
        <v>38</v>
      </c>
      <c r="I133" s="360"/>
      <c r="J133" s="361" t="s">
        <v>57</v>
      </c>
      <c r="K133" s="361" t="s">
        <v>57</v>
      </c>
      <c r="L133" s="361" t="s">
        <v>63</v>
      </c>
      <c r="M133" s="49" t="s">
        <v>155</v>
      </c>
      <c r="N133" s="49" t="s">
        <v>155</v>
      </c>
      <c r="O133" s="54">
        <v>45701</v>
      </c>
      <c r="P133" s="30" t="s">
        <v>155</v>
      </c>
      <c r="Q133" s="69" t="s">
        <v>155</v>
      </c>
      <c r="R133" s="43" t="s">
        <v>2059</v>
      </c>
      <c r="S133" s="43" t="s">
        <v>155</v>
      </c>
      <c r="T133" s="43" t="s">
        <v>155</v>
      </c>
      <c r="U133" s="43" t="s">
        <v>155</v>
      </c>
      <c r="V133" s="69" t="s">
        <v>155</v>
      </c>
      <c r="W133" s="54">
        <v>45821</v>
      </c>
      <c r="X133" s="69" t="s">
        <v>2062</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155</v>
      </c>
      <c r="O134" s="54">
        <v>45709</v>
      </c>
      <c r="P134" s="30" t="s">
        <v>155</v>
      </c>
      <c r="Q134" s="43" t="s">
        <v>155</v>
      </c>
      <c r="R134" s="43" t="s">
        <v>2059</v>
      </c>
      <c r="S134" s="43" t="s">
        <v>155</v>
      </c>
      <c r="T134" s="43" t="s">
        <v>155</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155</v>
      </c>
      <c r="N135" s="49" t="s">
        <v>155</v>
      </c>
      <c r="O135" s="195">
        <v>45720</v>
      </c>
      <c r="P135" s="49" t="s">
        <v>155</v>
      </c>
      <c r="Q135" s="69" t="s">
        <v>155</v>
      </c>
      <c r="R135" s="43" t="s">
        <v>2059</v>
      </c>
      <c r="S135" s="43" t="s">
        <v>155</v>
      </c>
      <c r="T135" s="43" t="s">
        <v>155</v>
      </c>
      <c r="U135" s="157" t="s">
        <v>155</v>
      </c>
      <c r="V135" s="43" t="s">
        <v>155</v>
      </c>
      <c r="W135" s="54">
        <v>45819</v>
      </c>
      <c r="X135" s="69" t="s">
        <v>2062</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155</v>
      </c>
      <c r="O136" s="54">
        <v>45691</v>
      </c>
      <c r="P136" s="30" t="s">
        <v>155</v>
      </c>
      <c r="Q136" s="43" t="s">
        <v>155</v>
      </c>
      <c r="R136" s="43" t="s">
        <v>2059</v>
      </c>
      <c r="S136" s="43" t="s">
        <v>155</v>
      </c>
      <c r="T136" s="43" t="s">
        <v>155</v>
      </c>
      <c r="U136" s="43" t="s">
        <v>155</v>
      </c>
      <c r="V136" s="43" t="s">
        <v>155</v>
      </c>
      <c r="W136" s="54">
        <v>45791</v>
      </c>
      <c r="X136" s="69" t="s">
        <v>2062</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155</v>
      </c>
      <c r="O137" s="30" t="s">
        <v>155</v>
      </c>
      <c r="P137" s="49" t="s">
        <v>155</v>
      </c>
      <c r="Q137" s="69" t="s">
        <v>155</v>
      </c>
      <c r="R137" s="43" t="s">
        <v>2059</v>
      </c>
      <c r="S137" s="43" t="s">
        <v>155</v>
      </c>
      <c r="T137" s="43" t="s">
        <v>155</v>
      </c>
      <c r="U137" s="157" t="s">
        <v>155</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155</v>
      </c>
      <c r="O138" s="124">
        <v>45707</v>
      </c>
      <c r="P138" s="30" t="s">
        <v>155</v>
      </c>
      <c r="Q138" s="43" t="s">
        <v>155</v>
      </c>
      <c r="R138" s="43" t="s">
        <v>2059</v>
      </c>
      <c r="S138" s="43" t="s">
        <v>155</v>
      </c>
      <c r="T138" s="43" t="s">
        <v>155</v>
      </c>
      <c r="U138" s="43" t="s">
        <v>155</v>
      </c>
      <c r="V138" s="43" t="s">
        <v>155</v>
      </c>
      <c r="W138" s="54">
        <v>45790</v>
      </c>
      <c r="X138" s="69" t="s">
        <v>2062</v>
      </c>
      <c r="Y138" t="e">
        <f>VLOOKUP(A138,#REF!,2,FALSE)</f>
        <v>#REF!</v>
      </c>
    </row>
    <row r="139" spans="1:25" ht="15" customHeight="1">
      <c r="A139" s="358" t="s">
        <v>2067</v>
      </c>
      <c r="B139" s="182" t="s">
        <v>50</v>
      </c>
      <c r="C139" s="408">
        <v>45742</v>
      </c>
      <c r="D139" s="361" t="s">
        <v>2068</v>
      </c>
      <c r="E139" s="521"/>
      <c r="F139" s="361"/>
      <c r="G139" s="361"/>
      <c r="H139" s="361">
        <v>87</v>
      </c>
      <c r="I139" s="360"/>
      <c r="J139" s="361" t="s">
        <v>57</v>
      </c>
      <c r="K139" s="361" t="s">
        <v>57</v>
      </c>
      <c r="L139" s="361" t="s">
        <v>63</v>
      </c>
      <c r="M139" s="49" t="s">
        <v>155</v>
      </c>
      <c r="N139" s="30" t="s">
        <v>155</v>
      </c>
      <c r="O139" s="30" t="s">
        <v>155</v>
      </c>
      <c r="P139" s="30" t="s">
        <v>155</v>
      </c>
      <c r="Q139" s="43" t="s">
        <v>155</v>
      </c>
      <c r="R139" s="43" t="s">
        <v>2059</v>
      </c>
      <c r="S139" s="43" t="s">
        <v>155</v>
      </c>
      <c r="T139" s="43" t="s">
        <v>155</v>
      </c>
      <c r="U139" s="157" t="s">
        <v>155</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155</v>
      </c>
      <c r="O140" s="54">
        <v>45743</v>
      </c>
      <c r="P140" s="87" t="s">
        <v>155</v>
      </c>
      <c r="Q140" s="88" t="s">
        <v>155</v>
      </c>
      <c r="R140" s="43" t="s">
        <v>2059</v>
      </c>
      <c r="S140" s="43" t="s">
        <v>155</v>
      </c>
      <c r="T140" s="43" t="s">
        <v>155</v>
      </c>
      <c r="U140" s="88" t="s">
        <v>155</v>
      </c>
      <c r="V140" s="69" t="s">
        <v>155</v>
      </c>
      <c r="W140" s="54">
        <v>45819</v>
      </c>
      <c r="X140" s="69" t="s">
        <v>2062</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155</v>
      </c>
      <c r="O141" s="195">
        <v>45743</v>
      </c>
      <c r="P141" s="87" t="s">
        <v>155</v>
      </c>
      <c r="Q141" s="88" t="s">
        <v>155</v>
      </c>
      <c r="R141" s="43" t="s">
        <v>2059</v>
      </c>
      <c r="S141" s="43" t="s">
        <v>155</v>
      </c>
      <c r="T141" s="43" t="s">
        <v>155</v>
      </c>
      <c r="U141" s="88" t="s">
        <v>155</v>
      </c>
      <c r="V141" s="88" t="s">
        <v>155</v>
      </c>
      <c r="W141" s="54">
        <v>45811</v>
      </c>
      <c r="X141" s="69" t="s">
        <v>2062</v>
      </c>
      <c r="Y141" t="e">
        <f>VLOOKUP(A141,#REF!,2,FALSE)</f>
        <v>#REF!</v>
      </c>
    </row>
    <row r="142" spans="1:25" ht="15" customHeight="1">
      <c r="A142" s="358" t="s">
        <v>2069</v>
      </c>
      <c r="B142" s="406" t="s">
        <v>50</v>
      </c>
      <c r="C142" s="408">
        <v>45742</v>
      </c>
      <c r="D142" s="361" t="s">
        <v>2070</v>
      </c>
      <c r="E142" s="521"/>
      <c r="F142" s="361"/>
      <c r="G142" s="361"/>
      <c r="H142" s="361">
        <v>87</v>
      </c>
      <c r="I142" s="360"/>
      <c r="J142" s="361" t="s">
        <v>57</v>
      </c>
      <c r="K142" s="361" t="s">
        <v>57</v>
      </c>
      <c r="L142" s="361" t="s">
        <v>63</v>
      </c>
      <c r="M142" s="49" t="s">
        <v>155</v>
      </c>
      <c r="N142" s="49" t="s">
        <v>155</v>
      </c>
      <c r="O142" s="195">
        <v>45691</v>
      </c>
      <c r="P142" s="30" t="s">
        <v>155</v>
      </c>
      <c r="Q142" s="69" t="s">
        <v>155</v>
      </c>
      <c r="R142" s="43" t="s">
        <v>2059</v>
      </c>
      <c r="S142" s="43" t="s">
        <v>155</v>
      </c>
      <c r="T142" s="43" t="s">
        <v>155</v>
      </c>
      <c r="U142" s="157" t="s">
        <v>155</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155</v>
      </c>
      <c r="N143" s="49" t="s">
        <v>155</v>
      </c>
      <c r="O143" s="195">
        <v>45675</v>
      </c>
      <c r="P143" s="30" t="s">
        <v>155</v>
      </c>
      <c r="Q143" s="69" t="s">
        <v>155</v>
      </c>
      <c r="R143" s="43" t="s">
        <v>2059</v>
      </c>
      <c r="S143" s="43" t="s">
        <v>155</v>
      </c>
      <c r="T143" s="43" t="s">
        <v>155</v>
      </c>
      <c r="U143" s="157" t="s">
        <v>155</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155</v>
      </c>
      <c r="O144" s="195">
        <v>45749</v>
      </c>
      <c r="P144" s="30" t="s">
        <v>155</v>
      </c>
      <c r="Q144" s="43" t="s">
        <v>155</v>
      </c>
      <c r="R144" s="43" t="s">
        <v>155</v>
      </c>
      <c r="S144" s="43" t="s">
        <v>56</v>
      </c>
      <c r="T144" s="43" t="s">
        <v>155</v>
      </c>
      <c r="U144" s="88" t="s">
        <v>155</v>
      </c>
      <c r="V144" s="88" t="s">
        <v>155</v>
      </c>
      <c r="W144" s="54">
        <v>45888</v>
      </c>
      <c r="X144" s="69" t="s">
        <v>2062</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2032</v>
      </c>
      <c r="B146" s="406" t="s">
        <v>50</v>
      </c>
      <c r="C146" s="359">
        <v>45991</v>
      </c>
      <c r="D146" s="418" t="s">
        <v>2033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155</v>
      </c>
      <c r="O148" s="195">
        <v>45744</v>
      </c>
      <c r="P148" s="49" t="s">
        <v>155</v>
      </c>
      <c r="Q148" s="43" t="s">
        <v>155</v>
      </c>
      <c r="R148" s="43" t="s">
        <v>155</v>
      </c>
      <c r="S148" s="43" t="s">
        <v>56</v>
      </c>
      <c r="T148" s="43" t="s">
        <v>155</v>
      </c>
      <c r="U148" s="69" t="s">
        <v>90</v>
      </c>
      <c r="V148" s="69" t="s">
        <v>90</v>
      </c>
      <c r="W148" s="30"/>
      <c r="X148" s="69" t="s">
        <v>90</v>
      </c>
      <c r="Y148" t="e">
        <f>VLOOKUP(A148,#REF!,2,FALSE)</f>
        <v>#REF!</v>
      </c>
    </row>
    <row r="149" spans="1:25" ht="15" customHeight="1">
      <c r="A149" s="365" t="s">
        <v>2071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2059</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155</v>
      </c>
      <c r="O150" s="195">
        <v>45744</v>
      </c>
      <c r="P150" s="100" t="s">
        <v>155</v>
      </c>
      <c r="Q150" s="69" t="s">
        <v>155</v>
      </c>
      <c r="R150" s="43" t="s">
        <v>2059</v>
      </c>
      <c r="S150" s="43" t="s">
        <v>155</v>
      </c>
      <c r="T150" s="43" t="s">
        <v>155</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155</v>
      </c>
      <c r="O151" s="195">
        <v>45698</v>
      </c>
      <c r="P151" s="100" t="s">
        <v>155</v>
      </c>
      <c r="Q151" s="69" t="s">
        <v>155</v>
      </c>
      <c r="R151" s="43" t="s">
        <v>2059</v>
      </c>
      <c r="S151" s="43" t="s">
        <v>155</v>
      </c>
      <c r="T151" s="43" t="s">
        <v>155</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155</v>
      </c>
      <c r="O153" s="195">
        <v>45696</v>
      </c>
      <c r="P153" s="30" t="s">
        <v>155</v>
      </c>
      <c r="Q153" s="69" t="s">
        <v>155</v>
      </c>
      <c r="R153" s="43" t="s">
        <v>2059</v>
      </c>
      <c r="S153" s="43" t="s">
        <v>155</v>
      </c>
      <c r="T153" s="157" t="s">
        <v>155</v>
      </c>
      <c r="U153" s="157" t="s">
        <v>155</v>
      </c>
      <c r="V153" s="43" t="s">
        <v>155</v>
      </c>
      <c r="W153" s="54">
        <v>45807</v>
      </c>
      <c r="X153" s="69" t="s">
        <v>2062</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155</v>
      </c>
      <c r="O154" s="347">
        <v>45696</v>
      </c>
      <c r="P154" s="30" t="s">
        <v>155</v>
      </c>
      <c r="Q154" s="69" t="s">
        <v>155</v>
      </c>
      <c r="R154" s="43" t="s">
        <v>2059</v>
      </c>
      <c r="S154" s="43" t="s">
        <v>155</v>
      </c>
      <c r="T154" s="157" t="s">
        <v>155</v>
      </c>
      <c r="U154" s="157" t="s">
        <v>155</v>
      </c>
      <c r="V154" s="43" t="s">
        <v>155</v>
      </c>
      <c r="W154" s="166">
        <v>45792</v>
      </c>
      <c r="X154" s="148" t="s">
        <v>2062</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155</v>
      </c>
      <c r="O155" s="54">
        <v>45699</v>
      </c>
      <c r="P155" s="49" t="s">
        <v>155</v>
      </c>
      <c r="Q155" s="69" t="s">
        <v>155</v>
      </c>
      <c r="R155" s="43" t="s">
        <v>2059</v>
      </c>
      <c r="S155" s="43" t="s">
        <v>155</v>
      </c>
      <c r="T155" s="43" t="s">
        <v>155</v>
      </c>
      <c r="U155" s="157" t="s">
        <v>155</v>
      </c>
      <c r="V155" s="43" t="s">
        <v>155</v>
      </c>
      <c r="W155" s="356">
        <v>45821</v>
      </c>
      <c r="X155" s="69" t="s">
        <v>2062</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155</v>
      </c>
      <c r="O156" s="54">
        <v>45699</v>
      </c>
      <c r="P156" s="49" t="s">
        <v>155</v>
      </c>
      <c r="Q156" s="69" t="s">
        <v>155</v>
      </c>
      <c r="R156" s="43" t="s">
        <v>2059</v>
      </c>
      <c r="S156" s="43" t="s">
        <v>155</v>
      </c>
      <c r="T156" s="43" t="s">
        <v>155</v>
      </c>
      <c r="U156" s="69" t="s">
        <v>155</v>
      </c>
      <c r="V156" s="69" t="s">
        <v>90</v>
      </c>
      <c r="W156" s="356">
        <v>45747</v>
      </c>
      <c r="X156" s="69" t="s">
        <v>90</v>
      </c>
      <c r="Y156" t="e">
        <f>VLOOKUP(A156,#REF!,2,FALSE)</f>
        <v>#REF!</v>
      </c>
    </row>
    <row r="157" spans="1:25" ht="15" customHeight="1">
      <c r="A157" s="365" t="s">
        <v>1072</v>
      </c>
      <c r="B157" s="406" t="s">
        <v>50</v>
      </c>
      <c r="C157" s="400">
        <v>45991</v>
      </c>
      <c r="D157" s="418" t="s">
        <v>2040</v>
      </c>
      <c r="E157" s="704"/>
      <c r="F157" s="419"/>
      <c r="G157" s="419"/>
      <c r="H157" s="419">
        <v>79</v>
      </c>
      <c r="I157" s="360"/>
      <c r="J157" s="361" t="s">
        <v>57</v>
      </c>
      <c r="K157" s="553" t="s">
        <v>57</v>
      </c>
      <c r="L157" s="361" t="s">
        <v>63</v>
      </c>
      <c r="M157" s="195">
        <v>45735</v>
      </c>
      <c r="N157" s="30" t="s">
        <v>64</v>
      </c>
      <c r="O157" s="54">
        <v>45737</v>
      </c>
      <c r="P157" s="49" t="s">
        <v>64</v>
      </c>
      <c r="Q157" s="69" t="s">
        <v>64</v>
      </c>
      <c r="R157" s="69" t="s">
        <v>2059</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155</v>
      </c>
      <c r="O158" s="54">
        <v>45736</v>
      </c>
      <c r="P158" s="49" t="s">
        <v>155</v>
      </c>
      <c r="Q158" s="69" t="s">
        <v>155</v>
      </c>
      <c r="R158" s="43" t="s">
        <v>2059</v>
      </c>
      <c r="S158" s="43" t="s">
        <v>155</v>
      </c>
      <c r="T158" s="43" t="s">
        <v>155</v>
      </c>
      <c r="U158" s="157" t="s">
        <v>155</v>
      </c>
      <c r="V158" s="157" t="s">
        <v>155</v>
      </c>
      <c r="W158" s="356">
        <v>45817</v>
      </c>
      <c r="X158" s="69" t="s">
        <v>2062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155</v>
      </c>
      <c r="O159" s="30" t="s">
        <v>155</v>
      </c>
      <c r="P159" s="49" t="s">
        <v>155</v>
      </c>
      <c r="Q159" s="43" t="s">
        <v>155</v>
      </c>
      <c r="R159" s="43" t="s">
        <v>155</v>
      </c>
      <c r="S159" s="43" t="s">
        <v>56</v>
      </c>
      <c r="T159" s="43" t="s">
        <v>155</v>
      </c>
      <c r="U159" s="43" t="s">
        <v>155</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155</v>
      </c>
      <c r="O160" s="54">
        <v>45723</v>
      </c>
      <c r="P160" s="49" t="s">
        <v>155</v>
      </c>
      <c r="Q160" s="43" t="s">
        <v>155</v>
      </c>
      <c r="R160" s="43" t="s">
        <v>155</v>
      </c>
      <c r="S160" s="43" t="s">
        <v>56</v>
      </c>
      <c r="T160" s="43" t="s">
        <v>155</v>
      </c>
      <c r="U160" s="43" t="s">
        <v>155</v>
      </c>
      <c r="V160" s="69" t="s">
        <v>155</v>
      </c>
      <c r="W160" s="356">
        <v>45897</v>
      </c>
      <c r="X160" s="69" t="s">
        <v>2062</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155</v>
      </c>
      <c r="O161" s="156">
        <v>45726</v>
      </c>
      <c r="P161" s="49" t="s">
        <v>155</v>
      </c>
      <c r="Q161" s="43" t="s">
        <v>155</v>
      </c>
      <c r="R161" s="43" t="s">
        <v>155</v>
      </c>
      <c r="S161" s="43" t="s">
        <v>56</v>
      </c>
      <c r="T161" s="43" t="s">
        <v>155</v>
      </c>
      <c r="U161" s="43" t="s">
        <v>155</v>
      </c>
      <c r="V161" s="88" t="s">
        <v>155</v>
      </c>
      <c r="W161" s="54">
        <v>45814</v>
      </c>
      <c r="X161" s="69" t="s">
        <v>2062</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155</v>
      </c>
      <c r="O162" s="582">
        <v>45693</v>
      </c>
      <c r="P162" s="30" t="s">
        <v>155</v>
      </c>
      <c r="Q162" s="43" t="s">
        <v>155</v>
      </c>
      <c r="R162" s="43" t="s">
        <v>155</v>
      </c>
      <c r="S162" s="43" t="s">
        <v>56</v>
      </c>
      <c r="T162" s="43" t="s">
        <v>155</v>
      </c>
      <c r="U162" s="43" t="s">
        <v>155</v>
      </c>
      <c r="V162" s="88" t="s">
        <v>155</v>
      </c>
      <c r="W162" s="356">
        <v>45838</v>
      </c>
      <c r="X162" s="69" t="s">
        <v>2062</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155</v>
      </c>
      <c r="O163" s="54">
        <v>45693</v>
      </c>
      <c r="P163" s="30" t="s">
        <v>155</v>
      </c>
      <c r="Q163" s="69" t="s">
        <v>155</v>
      </c>
      <c r="R163" s="69" t="s">
        <v>155</v>
      </c>
      <c r="S163" s="43" t="s">
        <v>56</v>
      </c>
      <c r="T163" s="43" t="s">
        <v>155</v>
      </c>
      <c r="U163" s="69" t="s">
        <v>155</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155</v>
      </c>
      <c r="N164" s="30" t="s">
        <v>155</v>
      </c>
      <c r="O164" s="40" t="s">
        <v>155</v>
      </c>
      <c r="P164" s="87" t="s">
        <v>155</v>
      </c>
      <c r="Q164" s="43" t="s">
        <v>155</v>
      </c>
      <c r="R164" s="43" t="s">
        <v>155</v>
      </c>
      <c r="S164" s="43" t="s">
        <v>56</v>
      </c>
      <c r="T164" s="43" t="s">
        <v>155</v>
      </c>
      <c r="U164" s="43" t="s">
        <v>155</v>
      </c>
      <c r="V164" s="43" t="s">
        <v>155</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155</v>
      </c>
      <c r="N165" s="30" t="s">
        <v>155</v>
      </c>
      <c r="O165" s="582">
        <v>45818</v>
      </c>
      <c r="P165" s="87" t="s">
        <v>155</v>
      </c>
      <c r="Q165" s="43" t="s">
        <v>155</v>
      </c>
      <c r="R165" s="43" t="s">
        <v>155</v>
      </c>
      <c r="S165" s="43" t="s">
        <v>56</v>
      </c>
      <c r="T165" s="43" t="s">
        <v>155</v>
      </c>
      <c r="U165" s="43" t="s">
        <v>155</v>
      </c>
      <c r="V165" s="43" t="s">
        <v>155</v>
      </c>
      <c r="W165" s="356">
        <v>45854</v>
      </c>
      <c r="X165" s="69" t="s">
        <v>2062</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155</v>
      </c>
      <c r="N166" s="30" t="s">
        <v>155</v>
      </c>
      <c r="O166" s="582">
        <v>45693</v>
      </c>
      <c r="P166" s="87" t="s">
        <v>155</v>
      </c>
      <c r="Q166" s="43" t="s">
        <v>155</v>
      </c>
      <c r="R166" s="43" t="s">
        <v>155</v>
      </c>
      <c r="S166" s="43" t="s">
        <v>56</v>
      </c>
      <c r="T166" s="43" t="s">
        <v>155</v>
      </c>
      <c r="U166" s="43" t="s">
        <v>155</v>
      </c>
      <c r="V166" s="43" t="s">
        <v>155</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155</v>
      </c>
      <c r="O167" s="582">
        <v>45720</v>
      </c>
      <c r="P167" s="87" t="s">
        <v>155</v>
      </c>
      <c r="Q167" s="43" t="s">
        <v>155</v>
      </c>
      <c r="R167" s="43" t="s">
        <v>155</v>
      </c>
      <c r="S167" s="43" t="s">
        <v>56</v>
      </c>
      <c r="T167" s="43" t="s">
        <v>155</v>
      </c>
      <c r="U167" s="43" t="s">
        <v>155</v>
      </c>
      <c r="V167" s="43" t="s">
        <v>155</v>
      </c>
      <c r="W167" s="356">
        <v>45902</v>
      </c>
      <c r="X167" s="69" t="s">
        <v>2062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155</v>
      </c>
      <c r="O172" s="40" t="s">
        <v>52</v>
      </c>
      <c r="P172" s="87" t="s">
        <v>155</v>
      </c>
      <c r="Q172" s="43" t="s">
        <v>56</v>
      </c>
      <c r="R172" s="43" t="s">
        <v>56</v>
      </c>
      <c r="S172" s="43" t="s">
        <v>56</v>
      </c>
      <c r="T172" s="43" t="s">
        <v>155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90" t="s">
        <v>2072</v>
      </c>
      <c r="C1" s="1390"/>
      <c r="D1" s="558"/>
      <c r="E1" s="1390" t="s">
        <v>2073</v>
      </c>
      <c r="F1" s="1390"/>
    </row>
    <row r="2" spans="1:25">
      <c r="B2" s="44" t="s">
        <v>2074</v>
      </c>
      <c r="E2" s="44" t="s">
        <v>22</v>
      </c>
      <c r="F2" t="s">
        <v>1043</v>
      </c>
      <c r="P2" s="44" t="s">
        <v>27</v>
      </c>
      <c r="Q2" t="s">
        <v>2075</v>
      </c>
    </row>
    <row r="3" spans="1:25">
      <c r="B3" s="44" t="s">
        <v>22</v>
      </c>
      <c r="C3" t="s">
        <v>1049</v>
      </c>
      <c r="K3" s="44" t="s">
        <v>2076</v>
      </c>
      <c r="L3" t="s">
        <v>2077</v>
      </c>
      <c r="P3" s="44" t="s">
        <v>2076</v>
      </c>
      <c r="Q3" t="s">
        <v>2077</v>
      </c>
    </row>
    <row r="4" spans="1:25">
      <c r="B4" t="s">
        <v>131</v>
      </c>
      <c r="C4">
        <v>63714</v>
      </c>
      <c r="E4" s="44" t="s">
        <v>2074</v>
      </c>
      <c r="F4" t="s">
        <v>1049</v>
      </c>
      <c r="W4" t="s">
        <v>2078</v>
      </c>
      <c r="X4">
        <v>22</v>
      </c>
    </row>
    <row r="5" spans="1:25">
      <c r="B5" t="s">
        <v>71</v>
      </c>
      <c r="C5">
        <v>28636</v>
      </c>
      <c r="E5" t="s">
        <v>1049</v>
      </c>
      <c r="F5">
        <v>95060</v>
      </c>
      <c r="K5" s="44" t="s">
        <v>2079</v>
      </c>
      <c r="P5" s="44" t="s">
        <v>2079</v>
      </c>
      <c r="W5" t="s">
        <v>2080</v>
      </c>
      <c r="X5">
        <v>13</v>
      </c>
    </row>
    <row r="6" spans="1:25">
      <c r="B6" t="s">
        <v>1076</v>
      </c>
      <c r="C6">
        <v>208622</v>
      </c>
      <c r="K6" s="44" t="s">
        <v>27</v>
      </c>
      <c r="L6" s="44" t="s">
        <v>2081</v>
      </c>
      <c r="M6" t="s">
        <v>1049</v>
      </c>
      <c r="P6" s="44" t="s">
        <v>2082</v>
      </c>
      <c r="Q6" s="44" t="s">
        <v>2081</v>
      </c>
      <c r="R6" t="s">
        <v>1049</v>
      </c>
    </row>
    <row r="7" spans="1:25">
      <c r="B7" t="s">
        <v>51</v>
      </c>
      <c r="C7">
        <v>446</v>
      </c>
      <c r="K7" t="s">
        <v>2075</v>
      </c>
      <c r="L7" t="s">
        <v>659</v>
      </c>
      <c r="M7">
        <v>1</v>
      </c>
      <c r="P7" t="s">
        <v>2083</v>
      </c>
      <c r="R7">
        <v>1</v>
      </c>
      <c r="X7" t="s">
        <v>2084</v>
      </c>
      <c r="Y7" t="s">
        <v>2085</v>
      </c>
    </row>
    <row r="8" spans="1:25">
      <c r="B8" t="s">
        <v>22</v>
      </c>
      <c r="C8">
        <v>0</v>
      </c>
      <c r="L8" t="s">
        <v>661</v>
      </c>
      <c r="M8">
        <v>1</v>
      </c>
      <c r="P8" t="s">
        <v>2086</v>
      </c>
      <c r="R8">
        <v>1</v>
      </c>
      <c r="V8" t="s">
        <v>2087</v>
      </c>
      <c r="W8" s="257">
        <v>203521</v>
      </c>
      <c r="X8" s="313">
        <f>X5/X4</f>
        <v>0.59090909090909094</v>
      </c>
      <c r="Y8" s="313">
        <f>W9/W8</f>
        <v>0.31446386367991508</v>
      </c>
    </row>
    <row r="9" spans="1:25">
      <c r="B9" t="s">
        <v>225</v>
      </c>
      <c r="C9">
        <v>7128</v>
      </c>
      <c r="L9" t="s">
        <v>2088</v>
      </c>
      <c r="M9">
        <v>1</v>
      </c>
      <c r="P9" t="s">
        <v>2089</v>
      </c>
      <c r="Q9" t="s">
        <v>2088</v>
      </c>
      <c r="R9">
        <v>1</v>
      </c>
      <c r="V9" t="s">
        <v>2090</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143</v>
      </c>
      <c r="C12">
        <v>2710</v>
      </c>
      <c r="L12" t="s">
        <v>824</v>
      </c>
      <c r="M12">
        <v>1</v>
      </c>
      <c r="Q12" t="s">
        <v>2091</v>
      </c>
      <c r="R12">
        <v>1</v>
      </c>
    </row>
    <row r="13" spans="1:25">
      <c r="B13" t="s">
        <v>182</v>
      </c>
      <c r="C13">
        <v>3</v>
      </c>
      <c r="L13" t="s">
        <v>2092</v>
      </c>
      <c r="M13">
        <v>1</v>
      </c>
      <c r="Q13" t="s">
        <v>998</v>
      </c>
      <c r="R13">
        <v>1</v>
      </c>
    </row>
    <row r="14" spans="1:25">
      <c r="B14" t="s">
        <v>67</v>
      </c>
      <c r="C14">
        <v>3796</v>
      </c>
      <c r="L14" t="s">
        <v>838</v>
      </c>
      <c r="M14">
        <v>1</v>
      </c>
      <c r="P14" t="s">
        <v>2093</v>
      </c>
      <c r="R14">
        <v>5</v>
      </c>
    </row>
    <row r="15" spans="1:25">
      <c r="B15" t="s">
        <v>60</v>
      </c>
      <c r="C15">
        <v>6182</v>
      </c>
      <c r="L15" t="s">
        <v>2091</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2094</v>
      </c>
      <c r="M21">
        <v>1</v>
      </c>
    </row>
    <row r="22" spans="2:13">
      <c r="L22" t="s">
        <v>998</v>
      </c>
      <c r="M22">
        <v>1</v>
      </c>
    </row>
    <row r="23" spans="2:13">
      <c r="L23" t="s">
        <v>886</v>
      </c>
      <c r="M23">
        <v>1</v>
      </c>
    </row>
    <row r="24" spans="2:13">
      <c r="L24" t="s">
        <v>907</v>
      </c>
      <c r="M24">
        <v>1</v>
      </c>
    </row>
    <row r="25" spans="2:13">
      <c r="L25" t="s">
        <v>179</v>
      </c>
      <c r="M25">
        <v>1</v>
      </c>
    </row>
    <row r="26" spans="2:13">
      <c r="K26" t="s">
        <v>2095</v>
      </c>
      <c r="M26">
        <v>19</v>
      </c>
    </row>
    <row r="27" spans="2:13">
      <c r="K27" t="s">
        <v>2096</v>
      </c>
      <c r="L27" t="s">
        <v>832</v>
      </c>
      <c r="M27">
        <v>1</v>
      </c>
    </row>
    <row r="28" spans="2:13">
      <c r="L28" t="s">
        <v>834</v>
      </c>
      <c r="M28">
        <v>1</v>
      </c>
    </row>
    <row r="29" spans="2:13">
      <c r="L29" t="s">
        <v>836</v>
      </c>
      <c r="M29">
        <v>1</v>
      </c>
    </row>
    <row r="30" spans="2:13">
      <c r="L30" t="s">
        <v>852</v>
      </c>
      <c r="M30">
        <v>1</v>
      </c>
    </row>
    <row r="31" spans="2:13">
      <c r="L31" t="s">
        <v>856</v>
      </c>
      <c r="M31">
        <v>1</v>
      </c>
    </row>
    <row r="32" spans="2:13">
      <c r="L32" t="s">
        <v>2097</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2098</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1"/>
      <c r="B1" s="1391"/>
      <c r="C1" s="1391"/>
      <c r="D1" s="1391"/>
      <c r="E1" s="1391"/>
      <c r="F1" s="1391"/>
      <c r="G1" s="1391"/>
      <c r="H1" s="1392" t="s">
        <v>2099</v>
      </c>
      <c r="I1" s="1392"/>
      <c r="J1" s="1392"/>
      <c r="K1" s="1392"/>
      <c r="L1" s="1392"/>
      <c r="M1" s="1392"/>
      <c r="N1" s="1392"/>
      <c r="O1" s="1392"/>
      <c r="P1" s="260"/>
      <c r="Q1" s="1393" t="s">
        <v>34</v>
      </c>
      <c r="R1" s="1393"/>
      <c r="S1" s="1389"/>
      <c r="T1" s="1393"/>
      <c r="U1" s="1393"/>
      <c r="V1" s="1393"/>
      <c r="W1" s="1393"/>
      <c r="X1" s="1393"/>
      <c r="Y1" s="264"/>
    </row>
    <row r="2" spans="1:26" ht="15.75" thickBot="1">
      <c r="A2" s="265"/>
      <c r="B2" s="266"/>
      <c r="C2" s="266"/>
      <c r="D2" s="266"/>
      <c r="E2" s="266"/>
      <c r="F2" s="266"/>
      <c r="G2" s="266"/>
      <c r="H2" s="267"/>
      <c r="I2" s="267"/>
      <c r="J2" s="267"/>
      <c r="K2" s="267"/>
      <c r="L2" s="267"/>
      <c r="M2" s="267"/>
      <c r="N2" s="267"/>
      <c r="O2" s="267"/>
      <c r="P2" s="260"/>
      <c r="Q2" s="264"/>
      <c r="R2" s="264" t="s">
        <v>2100</v>
      </c>
      <c r="S2" s="3" t="s">
        <v>1985</v>
      </c>
      <c r="T2" s="264" t="s">
        <v>1986</v>
      </c>
      <c r="U2" s="264" t="s">
        <v>1986</v>
      </c>
      <c r="V2" s="264" t="s">
        <v>1986</v>
      </c>
      <c r="W2" s="264" t="s">
        <v>1986</v>
      </c>
      <c r="X2" s="264" t="s">
        <v>1987</v>
      </c>
      <c r="Y2" s="264" t="s">
        <v>2101</v>
      </c>
    </row>
    <row r="3" spans="1:26" ht="15.75" thickBot="1">
      <c r="A3" s="263" t="s">
        <v>2081</v>
      </c>
      <c r="B3" s="259" t="s">
        <v>20</v>
      </c>
      <c r="C3" s="259" t="s">
        <v>2102</v>
      </c>
      <c r="D3" s="259" t="s">
        <v>26</v>
      </c>
      <c r="E3" s="259" t="s">
        <v>2076</v>
      </c>
      <c r="F3" s="259" t="s">
        <v>2103</v>
      </c>
      <c r="G3" s="259" t="s">
        <v>27</v>
      </c>
      <c r="H3" s="207" t="s">
        <v>28</v>
      </c>
      <c r="I3" s="207" t="s">
        <v>2104</v>
      </c>
      <c r="J3" s="207" t="s">
        <v>2105</v>
      </c>
      <c r="K3" s="207" t="s">
        <v>2106</v>
      </c>
      <c r="L3" s="207" t="s">
        <v>2062</v>
      </c>
      <c r="M3" s="207" t="s">
        <v>2107</v>
      </c>
      <c r="N3" s="207" t="s">
        <v>2108</v>
      </c>
      <c r="O3" s="206" t="s">
        <v>1990</v>
      </c>
      <c r="P3" s="260" t="s">
        <v>2082</v>
      </c>
      <c r="Q3" s="261" t="s">
        <v>34</v>
      </c>
      <c r="R3" s="261" t="s">
        <v>2104</v>
      </c>
      <c r="S3" s="5" t="s">
        <v>1991</v>
      </c>
      <c r="T3" s="261" t="s">
        <v>2109</v>
      </c>
      <c r="U3" s="261" t="s">
        <v>43</v>
      </c>
      <c r="V3" s="261" t="s">
        <v>1992</v>
      </c>
      <c r="W3" s="261" t="s">
        <v>46</v>
      </c>
      <c r="X3" s="261" t="s">
        <v>650</v>
      </c>
      <c r="Y3" s="261" t="s">
        <v>2110</v>
      </c>
      <c r="Z3" s="312" t="s">
        <v>2111</v>
      </c>
    </row>
    <row r="4" spans="1:26" ht="15.75" thickBot="1">
      <c r="A4" s="121" t="s">
        <v>77</v>
      </c>
      <c r="B4" s="102" t="s">
        <v>50</v>
      </c>
      <c r="C4" s="77">
        <v>45807</v>
      </c>
      <c r="D4" s="268"/>
      <c r="E4" s="269" t="s">
        <v>2112</v>
      </c>
      <c r="F4" s="268"/>
      <c r="G4" s="270" t="s">
        <v>2075</v>
      </c>
      <c r="H4" s="268"/>
      <c r="I4" s="268"/>
      <c r="J4" s="271"/>
      <c r="K4" s="205"/>
      <c r="L4" s="205"/>
      <c r="M4" s="205"/>
      <c r="N4" s="272"/>
      <c r="O4" s="273"/>
      <c r="P4" s="274" t="s">
        <v>2113</v>
      </c>
      <c r="Q4" s="275" t="s">
        <v>84</v>
      </c>
      <c r="R4" s="131" t="s">
        <v>2114</v>
      </c>
      <c r="S4" s="131"/>
      <c r="T4" s="276"/>
      <c r="U4" s="277"/>
      <c r="V4" s="277"/>
      <c r="W4" s="277"/>
      <c r="X4" s="277"/>
      <c r="Y4" s="277"/>
      <c r="Z4" t="e">
        <f>VLOOKUP(A4,#REF!,9,FALSE)</f>
        <v>#REF!</v>
      </c>
    </row>
    <row r="5" spans="1:26" ht="15.75" thickBot="1">
      <c r="A5" s="278" t="s">
        <v>2032</v>
      </c>
      <c r="B5" s="102" t="s">
        <v>50</v>
      </c>
      <c r="C5" s="215">
        <v>45807</v>
      </c>
      <c r="D5" s="268"/>
      <c r="E5" s="269" t="s">
        <v>2112</v>
      </c>
      <c r="F5" s="268"/>
      <c r="G5" s="270" t="s">
        <v>2075</v>
      </c>
      <c r="H5" s="268"/>
      <c r="I5" s="268"/>
      <c r="J5" s="279"/>
      <c r="K5" s="205"/>
      <c r="L5" s="205"/>
      <c r="M5" s="205"/>
      <c r="N5" s="272"/>
      <c r="O5" s="273"/>
      <c r="P5" s="274" t="s">
        <v>2113</v>
      </c>
      <c r="Q5" s="275" t="s">
        <v>84</v>
      </c>
      <c r="R5" s="131" t="s">
        <v>2114</v>
      </c>
      <c r="S5" s="131"/>
      <c r="T5" s="276"/>
      <c r="U5" s="277"/>
      <c r="V5" s="277"/>
      <c r="W5" s="277"/>
      <c r="X5" s="277"/>
      <c r="Y5" s="277"/>
      <c r="Z5" t="e">
        <f>VLOOKUP(A5,#REF!,9,FALSE)</f>
        <v>#REF!</v>
      </c>
    </row>
    <row r="6" spans="1:26" ht="15.75" thickBot="1">
      <c r="A6" s="121" t="s">
        <v>1073</v>
      </c>
      <c r="B6" s="102" t="s">
        <v>50</v>
      </c>
      <c r="C6" s="215">
        <v>45807</v>
      </c>
      <c r="D6" s="268"/>
      <c r="E6" s="269" t="s">
        <v>2112</v>
      </c>
      <c r="F6" s="268"/>
      <c r="G6" s="270" t="s">
        <v>2075</v>
      </c>
      <c r="H6" s="268"/>
      <c r="I6" s="268"/>
      <c r="J6" s="279"/>
      <c r="K6" s="205"/>
      <c r="L6" s="205"/>
      <c r="M6" s="205"/>
      <c r="N6" s="272"/>
      <c r="O6" s="273"/>
      <c r="P6" s="274" t="s">
        <v>2113</v>
      </c>
      <c r="Q6" s="275" t="s">
        <v>84</v>
      </c>
      <c r="R6" s="131" t="s">
        <v>2114</v>
      </c>
      <c r="S6" s="131"/>
      <c r="T6" s="276"/>
      <c r="U6" s="277"/>
      <c r="V6" s="277"/>
      <c r="W6" s="277"/>
      <c r="X6" s="277"/>
      <c r="Y6" s="277"/>
      <c r="Z6" t="e">
        <f>VLOOKUP(A6,#REF!,9,FALSE)</f>
        <v>#REF!</v>
      </c>
    </row>
    <row r="7" spans="1:26" ht="15.75" thickBot="1">
      <c r="A7" s="121" t="s">
        <v>1090</v>
      </c>
      <c r="B7" s="102" t="s">
        <v>50</v>
      </c>
      <c r="C7" s="215">
        <v>45807</v>
      </c>
      <c r="D7" s="268"/>
      <c r="E7" s="269" t="s">
        <v>2112</v>
      </c>
      <c r="F7" s="268"/>
      <c r="G7" s="270" t="s">
        <v>2075</v>
      </c>
      <c r="H7" s="268"/>
      <c r="I7" s="268"/>
      <c r="J7" s="279"/>
      <c r="K7" s="205"/>
      <c r="L7" s="205"/>
      <c r="M7" s="205"/>
      <c r="N7" s="272"/>
      <c r="O7" s="273"/>
      <c r="P7" s="274" t="s">
        <v>2113</v>
      </c>
      <c r="Q7" s="275" t="s">
        <v>84</v>
      </c>
      <c r="R7" s="131" t="s">
        <v>2114</v>
      </c>
      <c r="S7" s="131"/>
      <c r="T7" s="276"/>
      <c r="U7" s="277"/>
      <c r="V7" s="277"/>
      <c r="W7" s="277"/>
      <c r="X7" s="277"/>
      <c r="Y7" s="277"/>
      <c r="Z7" t="e">
        <f>VLOOKUP(A7,#REF!,9,FALSE)</f>
        <v>#REF!</v>
      </c>
    </row>
    <row r="8" spans="1:26" ht="15.75" thickBot="1">
      <c r="A8" s="278" t="s">
        <v>2115</v>
      </c>
      <c r="B8" s="102" t="s">
        <v>50</v>
      </c>
      <c r="C8" s="215">
        <v>45807</v>
      </c>
      <c r="D8" s="268"/>
      <c r="E8" s="269" t="s">
        <v>2112</v>
      </c>
      <c r="F8" s="268"/>
      <c r="G8" s="270" t="s">
        <v>2075</v>
      </c>
      <c r="H8" s="268"/>
      <c r="I8" s="268"/>
      <c r="J8" s="279"/>
      <c r="K8" s="205"/>
      <c r="L8" s="205"/>
      <c r="M8" s="205"/>
      <c r="N8" s="272"/>
      <c r="O8" s="273"/>
      <c r="P8" s="274" t="s">
        <v>2086</v>
      </c>
      <c r="Q8" s="275" t="s">
        <v>2116</v>
      </c>
      <c r="R8" s="131" t="s">
        <v>2117</v>
      </c>
      <c r="S8" s="131"/>
      <c r="T8" s="276"/>
      <c r="U8" s="277"/>
      <c r="V8" s="277"/>
      <c r="W8" s="277"/>
      <c r="X8" s="277"/>
      <c r="Y8" s="277"/>
      <c r="Z8" t="e">
        <f>VLOOKUP(A8,#REF!,9,FALSE)</f>
        <v>#REF!</v>
      </c>
    </row>
    <row r="9" spans="1:26" ht="15.75" thickBot="1">
      <c r="A9" s="121" t="s">
        <v>1098</v>
      </c>
      <c r="B9" s="102" t="s">
        <v>50</v>
      </c>
      <c r="C9" s="215">
        <v>45807</v>
      </c>
      <c r="D9" s="280"/>
      <c r="E9" s="269" t="s">
        <v>2112</v>
      </c>
      <c r="F9" s="280"/>
      <c r="G9" s="281" t="s">
        <v>2075</v>
      </c>
      <c r="H9" s="268"/>
      <c r="I9" s="268"/>
      <c r="J9" s="279"/>
      <c r="K9" s="205"/>
      <c r="L9" s="205"/>
      <c r="M9" s="205"/>
      <c r="N9" s="272"/>
      <c r="O9" s="273"/>
      <c r="P9" s="274" t="s">
        <v>2113</v>
      </c>
      <c r="Q9" s="275" t="s">
        <v>84</v>
      </c>
      <c r="R9" s="131" t="s">
        <v>2114</v>
      </c>
      <c r="S9" s="131"/>
      <c r="T9" s="276"/>
      <c r="U9" s="277"/>
      <c r="V9" s="277"/>
      <c r="W9" s="277"/>
      <c r="X9" s="277"/>
      <c r="Y9" s="277"/>
      <c r="Z9" t="e">
        <f>VLOOKUP(A9,#REF!,9,FALSE)</f>
        <v>#REF!</v>
      </c>
    </row>
    <row r="10" spans="1:26" ht="15.75" thickBot="1">
      <c r="A10" s="121" t="s">
        <v>1075</v>
      </c>
      <c r="B10" s="102" t="s">
        <v>50</v>
      </c>
      <c r="C10" s="215" t="e">
        <v>#N/A</v>
      </c>
      <c r="D10" s="282"/>
      <c r="E10" s="269" t="s">
        <v>2112</v>
      </c>
      <c r="F10" s="282"/>
      <c r="G10" s="283" t="s">
        <v>2075</v>
      </c>
      <c r="H10" s="230"/>
      <c r="I10" s="230"/>
      <c r="J10" s="45"/>
      <c r="K10" s="204"/>
      <c r="L10" s="204"/>
      <c r="M10" s="204"/>
      <c r="N10" s="284"/>
      <c r="O10" s="285"/>
      <c r="P10" s="274" t="s">
        <v>2113</v>
      </c>
      <c r="Q10" s="275" t="s">
        <v>58</v>
      </c>
      <c r="R10" s="131" t="s">
        <v>2114</v>
      </c>
      <c r="S10" s="131"/>
      <c r="T10" s="276"/>
      <c r="U10" s="277"/>
      <c r="V10" s="277"/>
      <c r="W10" s="277"/>
      <c r="X10" s="277"/>
      <c r="Y10" s="277"/>
      <c r="Z10" t="e">
        <f>VLOOKUP(A10,#REF!,9,FALSE)</f>
        <v>#REF!</v>
      </c>
    </row>
    <row r="11" spans="1:26" ht="15.75" thickBot="1">
      <c r="A11" s="121" t="s">
        <v>526</v>
      </c>
      <c r="B11" s="102" t="s">
        <v>50</v>
      </c>
      <c r="C11" s="215">
        <v>45807</v>
      </c>
      <c r="D11" s="282"/>
      <c r="E11" s="269" t="s">
        <v>2112</v>
      </c>
      <c r="F11" s="282"/>
      <c r="G11" s="283" t="s">
        <v>2075</v>
      </c>
      <c r="H11" s="230"/>
      <c r="I11" s="230"/>
      <c r="J11" s="45"/>
      <c r="K11" s="204"/>
      <c r="L11" s="204"/>
      <c r="M11" s="204"/>
      <c r="N11" s="284"/>
      <c r="O11" s="285"/>
      <c r="P11" s="274" t="s">
        <v>2113</v>
      </c>
      <c r="Q11" s="275" t="s">
        <v>84</v>
      </c>
      <c r="R11" s="131" t="s">
        <v>2114</v>
      </c>
      <c r="S11" s="131"/>
      <c r="T11" s="276"/>
      <c r="U11" s="277"/>
      <c r="V11" s="277"/>
      <c r="W11" s="277"/>
      <c r="X11" s="277"/>
      <c r="Y11" s="277"/>
      <c r="Z11" t="e">
        <f>VLOOKUP(A11,#REF!,9,FALSE)</f>
        <v>#REF!</v>
      </c>
    </row>
    <row r="12" spans="1:26" ht="15.75" thickBot="1">
      <c r="A12" s="121" t="s">
        <v>1070</v>
      </c>
      <c r="B12" s="102" t="s">
        <v>50</v>
      </c>
      <c r="C12" s="215" t="e">
        <v>#N/A</v>
      </c>
      <c r="D12" s="282"/>
      <c r="E12" s="269" t="s">
        <v>2112</v>
      </c>
      <c r="F12" s="282"/>
      <c r="G12" s="283" t="s">
        <v>2075</v>
      </c>
      <c r="H12" s="230"/>
      <c r="I12" s="230"/>
      <c r="J12" s="45"/>
      <c r="K12" s="204"/>
      <c r="L12" s="204"/>
      <c r="M12" s="204"/>
      <c r="N12" s="284"/>
      <c r="O12" s="285"/>
      <c r="P12" s="274" t="s">
        <v>2113</v>
      </c>
      <c r="Q12" s="275" t="s">
        <v>84</v>
      </c>
      <c r="R12" s="131" t="s">
        <v>2114</v>
      </c>
      <c r="S12" s="131"/>
      <c r="T12" s="276"/>
      <c r="U12" s="277"/>
      <c r="V12" s="277"/>
      <c r="W12" s="277"/>
      <c r="X12" s="277"/>
      <c r="Y12" s="277"/>
      <c r="Z12" t="e">
        <f>VLOOKUP(A12,#REF!,9,FALSE)</f>
        <v>#REF!</v>
      </c>
    </row>
    <row r="13" spans="1:26" ht="15.75" thickBot="1">
      <c r="A13" s="121" t="s">
        <v>1096</v>
      </c>
      <c r="B13" s="102" t="s">
        <v>50</v>
      </c>
      <c r="C13" s="215" t="e">
        <v>#N/A</v>
      </c>
      <c r="D13" s="282"/>
      <c r="E13" s="269" t="s">
        <v>2112</v>
      </c>
      <c r="F13" s="282"/>
      <c r="G13" s="283" t="s">
        <v>2075</v>
      </c>
      <c r="H13" s="230"/>
      <c r="I13" s="230"/>
      <c r="J13" s="45"/>
      <c r="K13" s="204"/>
      <c r="L13" s="204"/>
      <c r="M13" s="204"/>
      <c r="N13" s="284"/>
      <c r="O13" s="285"/>
      <c r="P13" s="274" t="s">
        <v>2113</v>
      </c>
      <c r="Q13" s="275" t="s">
        <v>84</v>
      </c>
      <c r="R13" s="131" t="s">
        <v>2114</v>
      </c>
      <c r="S13" s="131"/>
      <c r="T13" s="276"/>
      <c r="U13" s="277"/>
      <c r="V13" s="277"/>
      <c r="W13" s="277"/>
      <c r="X13" s="277"/>
      <c r="Y13" s="277"/>
      <c r="Z13" t="e">
        <f>VLOOKUP(A13,#REF!,9,FALSE)</f>
        <v>#REF!</v>
      </c>
    </row>
    <row r="14" spans="1:26" ht="15.75" thickBot="1">
      <c r="A14" s="278" t="s">
        <v>522</v>
      </c>
      <c r="B14" s="102" t="s">
        <v>50</v>
      </c>
      <c r="C14" s="215">
        <v>45807</v>
      </c>
      <c r="D14" s="282"/>
      <c r="E14" s="269" t="s">
        <v>2112</v>
      </c>
      <c r="F14" s="282"/>
      <c r="G14" s="283" t="s">
        <v>2075</v>
      </c>
      <c r="H14" s="230"/>
      <c r="I14" s="230"/>
      <c r="J14" s="45"/>
      <c r="K14" s="204"/>
      <c r="L14" s="204"/>
      <c r="M14" s="204"/>
      <c r="N14" s="284"/>
      <c r="O14" s="285"/>
      <c r="P14" s="274" t="s">
        <v>2113</v>
      </c>
      <c r="Q14" s="275" t="s">
        <v>84</v>
      </c>
      <c r="R14" s="131" t="s">
        <v>2114</v>
      </c>
      <c r="S14" s="131"/>
      <c r="T14" s="276"/>
      <c r="U14" s="277"/>
      <c r="V14" s="277"/>
      <c r="W14" s="277"/>
      <c r="X14" s="277"/>
      <c r="Y14" s="277"/>
      <c r="Z14" t="e">
        <f>VLOOKUP(A14,#REF!,9,FALSE)</f>
        <v>#REF!</v>
      </c>
    </row>
    <row r="15" spans="1:26" ht="15.75" thickBot="1">
      <c r="A15" s="121" t="s">
        <v>1074</v>
      </c>
      <c r="B15" s="102" t="s">
        <v>50</v>
      </c>
      <c r="C15" s="215" t="e">
        <v>#N/A</v>
      </c>
      <c r="D15" s="282"/>
      <c r="E15" s="269" t="s">
        <v>2112</v>
      </c>
      <c r="F15" s="282"/>
      <c r="G15" s="283" t="s">
        <v>2075</v>
      </c>
      <c r="H15" s="230"/>
      <c r="I15" s="230"/>
      <c r="J15" s="45"/>
      <c r="K15" s="204"/>
      <c r="L15" s="204"/>
      <c r="M15" s="204"/>
      <c r="N15" s="284"/>
      <c r="O15" s="285"/>
      <c r="P15" s="274" t="s">
        <v>2113</v>
      </c>
      <c r="Q15" s="275" t="s">
        <v>84</v>
      </c>
      <c r="R15" s="131" t="s">
        <v>2114</v>
      </c>
      <c r="S15" s="131"/>
      <c r="T15" s="276"/>
      <c r="U15" s="277"/>
      <c r="V15" s="277"/>
      <c r="W15" s="277"/>
      <c r="X15" s="277"/>
      <c r="Y15" s="277"/>
      <c r="Z15" t="e">
        <f>VLOOKUP(A15,#REF!,9,FALSE)</f>
        <v>#REF!</v>
      </c>
    </row>
    <row r="16" spans="1:26" ht="15.75" thickBot="1">
      <c r="A16" s="286" t="s">
        <v>2118</v>
      </c>
      <c r="B16" s="102" t="s">
        <v>50</v>
      </c>
      <c r="C16" s="215" t="e">
        <v>#N/A</v>
      </c>
      <c r="D16" s="282"/>
      <c r="E16" s="269" t="s">
        <v>2112</v>
      </c>
      <c r="F16" s="282"/>
      <c r="G16" s="283" t="s">
        <v>2075</v>
      </c>
      <c r="H16" s="230"/>
      <c r="I16" s="230"/>
      <c r="J16" s="45"/>
      <c r="K16" s="204"/>
      <c r="L16" s="204"/>
      <c r="M16" s="204"/>
      <c r="N16" s="284"/>
      <c r="O16" s="285"/>
      <c r="P16" s="274" t="s">
        <v>2113</v>
      </c>
      <c r="Q16" s="275" t="s">
        <v>84</v>
      </c>
      <c r="R16" s="131" t="s">
        <v>2114</v>
      </c>
      <c r="S16" s="131"/>
      <c r="T16" s="276"/>
      <c r="U16" s="277"/>
      <c r="V16" s="277"/>
      <c r="W16" s="277"/>
      <c r="X16" s="277"/>
      <c r="Y16" s="277"/>
      <c r="Z16" t="e">
        <f>VLOOKUP(A16,#REF!,9,FALSE)</f>
        <v>#REF!</v>
      </c>
    </row>
    <row r="17" spans="1:26" ht="15.75" thickBot="1">
      <c r="A17" s="275" t="s">
        <v>907</v>
      </c>
      <c r="B17" s="102" t="s">
        <v>50</v>
      </c>
      <c r="C17" s="215" t="e">
        <v>#N/A</v>
      </c>
      <c r="D17" s="282"/>
      <c r="E17" s="269" t="s">
        <v>2077</v>
      </c>
      <c r="F17" s="282"/>
      <c r="G17" s="283" t="s">
        <v>2075</v>
      </c>
      <c r="H17" s="230"/>
      <c r="I17" s="230"/>
      <c r="J17" s="45"/>
      <c r="K17" s="204"/>
      <c r="L17" s="204"/>
      <c r="M17" s="204"/>
      <c r="N17" s="284"/>
      <c r="O17" s="285"/>
      <c r="P17" s="274"/>
      <c r="Q17" s="275" t="s">
        <v>84</v>
      </c>
      <c r="R17" s="131" t="s">
        <v>2114</v>
      </c>
      <c r="S17" s="131"/>
      <c r="T17" s="276"/>
      <c r="U17" s="277"/>
      <c r="V17" s="277"/>
      <c r="W17" s="277"/>
      <c r="X17" s="277"/>
      <c r="Y17" s="277"/>
      <c r="Z17" t="e">
        <f>VLOOKUP(A17,#REF!,9,FALSE)</f>
        <v>#REF!</v>
      </c>
    </row>
    <row r="18" spans="1:26" ht="15.75" thickBot="1">
      <c r="A18" s="275" t="s">
        <v>886</v>
      </c>
      <c r="B18" s="102" t="s">
        <v>50</v>
      </c>
      <c r="C18" s="215">
        <v>45807</v>
      </c>
      <c r="D18" s="282"/>
      <c r="E18" s="269" t="s">
        <v>2077</v>
      </c>
      <c r="F18" s="282"/>
      <c r="G18" s="283" t="s">
        <v>2075</v>
      </c>
      <c r="H18" s="230"/>
      <c r="I18" s="230"/>
      <c r="J18" s="45"/>
      <c r="K18" s="204"/>
      <c r="L18" s="204"/>
      <c r="M18" s="204"/>
      <c r="N18" s="284"/>
      <c r="O18" s="285"/>
      <c r="P18" s="274" t="s">
        <v>2083</v>
      </c>
      <c r="Q18" s="275"/>
      <c r="R18" s="131" t="s">
        <v>2114</v>
      </c>
      <c r="S18" s="131"/>
      <c r="T18" s="276"/>
      <c r="U18" s="277"/>
      <c r="V18" s="277"/>
      <c r="W18" s="277"/>
      <c r="X18" s="277"/>
      <c r="Y18" s="277"/>
      <c r="Z18" t="e">
        <f>VLOOKUP(A18,#REF!,9,FALSE)</f>
        <v>#REF!</v>
      </c>
    </row>
    <row r="19" spans="1:26" ht="15.75" thickBot="1">
      <c r="A19" s="275" t="s">
        <v>889</v>
      </c>
      <c r="B19" s="102" t="s">
        <v>50</v>
      </c>
      <c r="C19" s="215" t="e">
        <v>#N/A</v>
      </c>
      <c r="D19" s="282"/>
      <c r="E19" s="269" t="s">
        <v>2077</v>
      </c>
      <c r="F19" s="282"/>
      <c r="G19" s="283" t="s">
        <v>2096</v>
      </c>
      <c r="H19" s="230"/>
      <c r="I19" s="230"/>
      <c r="J19" s="45"/>
      <c r="K19" s="204"/>
      <c r="L19" s="204"/>
      <c r="M19" s="204"/>
      <c r="N19" s="284"/>
      <c r="O19" s="285"/>
      <c r="P19" s="274"/>
      <c r="Q19" s="275" t="s">
        <v>2096</v>
      </c>
      <c r="R19" s="131" t="s">
        <v>2114</v>
      </c>
      <c r="S19" s="131"/>
      <c r="T19" s="276"/>
      <c r="U19" s="277"/>
      <c r="V19" s="277"/>
      <c r="W19" s="277"/>
      <c r="X19" s="277"/>
      <c r="Y19" s="277"/>
      <c r="Z19" t="e">
        <f>VLOOKUP(A19,#REF!,9,FALSE)</f>
        <v>#REF!</v>
      </c>
    </row>
    <row r="20" spans="1:26" ht="15.75" thickBot="1">
      <c r="A20" s="275" t="s">
        <v>832</v>
      </c>
      <c r="B20" s="102" t="s">
        <v>50</v>
      </c>
      <c r="C20" s="215" t="e">
        <v>#N/A</v>
      </c>
      <c r="D20" s="282"/>
      <c r="E20" s="269" t="s">
        <v>2077</v>
      </c>
      <c r="F20" s="282"/>
      <c r="G20" s="283" t="s">
        <v>2096</v>
      </c>
      <c r="H20" s="230"/>
      <c r="I20" s="230"/>
      <c r="J20" s="45"/>
      <c r="K20" s="204"/>
      <c r="L20" s="204"/>
      <c r="M20" s="204"/>
      <c r="N20" s="284"/>
      <c r="O20" s="285"/>
      <c r="P20" s="274"/>
      <c r="Q20" s="275" t="s">
        <v>2096</v>
      </c>
      <c r="R20" s="131" t="s">
        <v>2114</v>
      </c>
      <c r="S20" s="131"/>
      <c r="T20" s="276"/>
      <c r="U20" s="277"/>
      <c r="V20" s="277"/>
      <c r="W20" s="277"/>
      <c r="X20" s="277"/>
      <c r="Y20" s="277"/>
      <c r="Z20" t="e">
        <f>VLOOKUP(A20,#REF!,9,FALSE)</f>
        <v>#REF!</v>
      </c>
    </row>
    <row r="21" spans="1:26" s="214" customFormat="1" ht="15.75" thickBot="1">
      <c r="A21" s="262" t="s">
        <v>2092</v>
      </c>
      <c r="B21" s="102" t="e">
        <v>#N/A</v>
      </c>
      <c r="C21" s="231">
        <v>45807</v>
      </c>
      <c r="D21" s="282"/>
      <c r="E21" s="269" t="s">
        <v>2077</v>
      </c>
      <c r="F21" s="282"/>
      <c r="G21" s="283" t="s">
        <v>2075</v>
      </c>
      <c r="H21" s="230"/>
      <c r="I21" s="230"/>
      <c r="J21" s="230"/>
      <c r="K21" s="229"/>
      <c r="L21" s="229"/>
      <c r="M21" s="229"/>
      <c r="N21" s="284"/>
      <c r="O21" s="285"/>
      <c r="P21" s="274"/>
      <c r="Q21" s="225" t="s">
        <v>64</v>
      </c>
      <c r="R21" s="131" t="s">
        <v>2114</v>
      </c>
      <c r="S21" s="228"/>
      <c r="T21" s="227"/>
      <c r="U21" s="226"/>
      <c r="V21" s="226"/>
      <c r="W21" s="226"/>
      <c r="X21" s="226"/>
      <c r="Y21" s="226" t="s">
        <v>2119</v>
      </c>
      <c r="Z21" t="e">
        <f>VLOOKUP(A21,#REF!,9,FALSE)</f>
        <v>#REF!</v>
      </c>
    </row>
    <row r="22" spans="1:26" ht="15.75" thickBot="1">
      <c r="A22" s="275" t="s">
        <v>834</v>
      </c>
      <c r="B22" s="102" t="s">
        <v>50</v>
      </c>
      <c r="C22" s="215" t="e">
        <v>#N/A</v>
      </c>
      <c r="D22" s="282"/>
      <c r="E22" s="269" t="s">
        <v>2077</v>
      </c>
      <c r="F22" s="282"/>
      <c r="G22" s="283" t="s">
        <v>2096</v>
      </c>
      <c r="H22" s="230"/>
      <c r="I22" s="230"/>
      <c r="J22" s="45"/>
      <c r="K22" s="204"/>
      <c r="L22" s="204"/>
      <c r="M22" s="204"/>
      <c r="N22" s="284"/>
      <c r="O22" s="285"/>
      <c r="P22" s="274"/>
      <c r="Q22" s="275" t="s">
        <v>2096</v>
      </c>
      <c r="R22" s="131" t="s">
        <v>2114</v>
      </c>
      <c r="S22" s="131"/>
      <c r="T22" s="276"/>
      <c r="U22" s="277"/>
      <c r="V22" s="277"/>
      <c r="W22" s="277"/>
      <c r="X22" s="277"/>
      <c r="Y22" s="277"/>
      <c r="Z22" t="e">
        <f>VLOOKUP(A22,#REF!,9,FALSE)</f>
        <v>#REF!</v>
      </c>
    </row>
    <row r="23" spans="1:26" ht="15.75" thickBot="1">
      <c r="A23" s="275" t="s">
        <v>817</v>
      </c>
      <c r="B23" s="102" t="s">
        <v>50</v>
      </c>
      <c r="C23" s="215" t="e">
        <v>#N/A</v>
      </c>
      <c r="D23" s="282"/>
      <c r="E23" s="269" t="s">
        <v>2077</v>
      </c>
      <c r="F23" s="282"/>
      <c r="G23" s="283" t="s">
        <v>2075</v>
      </c>
      <c r="H23" s="230"/>
      <c r="I23" s="230"/>
      <c r="J23" s="45"/>
      <c r="K23" s="204"/>
      <c r="L23" s="204"/>
      <c r="M23" s="204"/>
      <c r="N23" s="284"/>
      <c r="O23" s="285"/>
      <c r="P23" s="274"/>
      <c r="Q23" s="275" t="s">
        <v>64</v>
      </c>
      <c r="R23" s="131" t="s">
        <v>2114</v>
      </c>
      <c r="S23" s="131"/>
      <c r="T23" s="276"/>
      <c r="U23" s="277"/>
      <c r="V23" s="277"/>
      <c r="W23" s="277"/>
      <c r="X23" s="277"/>
      <c r="Y23" s="277" t="s">
        <v>2120</v>
      </c>
      <c r="Z23" t="e">
        <f>VLOOKUP(A23,#REF!,9,FALSE)</f>
        <v>#REF!</v>
      </c>
    </row>
    <row r="24" spans="1:26" s="214" customFormat="1" ht="69.599999999999994" customHeight="1" thickBot="1">
      <c r="A24" s="225" t="s">
        <v>2088</v>
      </c>
      <c r="B24" s="232" t="e">
        <v>#N/A</v>
      </c>
      <c r="C24" s="231">
        <v>45716</v>
      </c>
      <c r="D24" s="282"/>
      <c r="E24" s="269" t="s">
        <v>2077</v>
      </c>
      <c r="F24" s="282"/>
      <c r="G24" s="283" t="s">
        <v>2075</v>
      </c>
      <c r="H24" s="230"/>
      <c r="I24" s="230"/>
      <c r="J24" s="230"/>
      <c r="K24" s="229"/>
      <c r="L24" s="229"/>
      <c r="M24" s="229"/>
      <c r="N24" s="284"/>
      <c r="O24" s="285"/>
      <c r="P24" s="274" t="s">
        <v>2089</v>
      </c>
      <c r="Q24" s="225" t="s">
        <v>64</v>
      </c>
      <c r="R24" s="131" t="s">
        <v>2114</v>
      </c>
      <c r="S24" s="228"/>
      <c r="T24" s="227"/>
      <c r="U24" s="226"/>
      <c r="V24" s="226"/>
      <c r="W24" s="226"/>
      <c r="X24" s="226"/>
      <c r="Y24" s="226" t="s">
        <v>2120</v>
      </c>
      <c r="Z24" t="e">
        <f>VLOOKUP(A24,#REF!,9,FALSE)</f>
        <v>#REF!</v>
      </c>
    </row>
    <row r="25" spans="1:26" ht="15.75" thickBot="1">
      <c r="A25" s="275" t="s">
        <v>821</v>
      </c>
      <c r="B25" s="102" t="s">
        <v>50</v>
      </c>
      <c r="C25" s="215">
        <v>45772</v>
      </c>
      <c r="D25" s="282"/>
      <c r="E25" s="269" t="s">
        <v>2077</v>
      </c>
      <c r="F25" s="282"/>
      <c r="G25" s="283" t="s">
        <v>2075</v>
      </c>
      <c r="H25" s="230"/>
      <c r="I25" s="230"/>
      <c r="J25" s="45"/>
      <c r="K25" s="204"/>
      <c r="L25" s="204"/>
      <c r="M25" s="204"/>
      <c r="N25" s="284"/>
      <c r="O25" s="285"/>
      <c r="P25" s="274" t="s">
        <v>2089</v>
      </c>
      <c r="Q25" s="275" t="s">
        <v>64</v>
      </c>
      <c r="R25" s="131" t="s">
        <v>2114</v>
      </c>
      <c r="S25" s="131"/>
      <c r="T25" s="276"/>
      <c r="U25" s="277"/>
      <c r="V25" s="277"/>
      <c r="W25" s="277"/>
      <c r="X25" s="277"/>
      <c r="Y25" s="277"/>
      <c r="Z25" t="e">
        <f>VLOOKUP(A25,#REF!,9,FALSE)</f>
        <v>#REF!</v>
      </c>
    </row>
    <row r="26" spans="1:26" ht="15.75" thickBot="1">
      <c r="A26" s="275" t="s">
        <v>824</v>
      </c>
      <c r="B26" s="102" t="s">
        <v>50</v>
      </c>
      <c r="C26" s="215">
        <v>45772</v>
      </c>
      <c r="D26" s="282"/>
      <c r="E26" s="269" t="s">
        <v>2077</v>
      </c>
      <c r="F26" s="282"/>
      <c r="G26" s="283" t="s">
        <v>2075</v>
      </c>
      <c r="H26" s="230"/>
      <c r="I26" s="230"/>
      <c r="J26" s="45"/>
      <c r="K26" s="204"/>
      <c r="L26" s="204"/>
      <c r="M26" s="204"/>
      <c r="N26" s="284"/>
      <c r="O26" s="285"/>
      <c r="P26" s="274" t="s">
        <v>2089</v>
      </c>
      <c r="Q26" s="275" t="s">
        <v>64</v>
      </c>
      <c r="R26" s="131" t="s">
        <v>2114</v>
      </c>
      <c r="S26" s="131"/>
      <c r="T26" s="276"/>
      <c r="U26" s="277"/>
      <c r="V26" s="277"/>
      <c r="W26" s="277"/>
      <c r="X26" s="277"/>
      <c r="Y26" s="277"/>
      <c r="Z26" t="e">
        <f>VLOOKUP(A26,#REF!,9,FALSE)</f>
        <v>#REF!</v>
      </c>
    </row>
    <row r="27" spans="1:26" ht="15.75" thickBot="1">
      <c r="A27" s="275" t="s">
        <v>998</v>
      </c>
      <c r="B27" s="102" t="s">
        <v>50</v>
      </c>
      <c r="C27" s="215">
        <v>45772</v>
      </c>
      <c r="D27" s="282"/>
      <c r="E27" s="269" t="s">
        <v>2077</v>
      </c>
      <c r="F27" s="282"/>
      <c r="G27" s="283" t="s">
        <v>2075</v>
      </c>
      <c r="H27" s="230"/>
      <c r="I27" s="230"/>
      <c r="J27" s="45"/>
      <c r="K27" s="204"/>
      <c r="L27" s="204"/>
      <c r="M27" s="204"/>
      <c r="N27" s="284"/>
      <c r="O27" s="285"/>
      <c r="P27" s="274" t="s">
        <v>2089</v>
      </c>
      <c r="Q27" s="275" t="s">
        <v>64</v>
      </c>
      <c r="R27" s="131" t="s">
        <v>2114</v>
      </c>
      <c r="S27" s="131"/>
      <c r="T27" s="276"/>
      <c r="U27" s="277"/>
      <c r="V27" s="277"/>
      <c r="W27" s="277"/>
      <c r="X27" s="277"/>
      <c r="Y27" s="277"/>
      <c r="Z27" t="e">
        <f>VLOOKUP(A27,#REF!,9,FALSE)</f>
        <v>#REF!</v>
      </c>
    </row>
    <row r="28" spans="1:26" ht="70.150000000000006" customHeight="1" thickBot="1">
      <c r="A28" s="225" t="s">
        <v>2091</v>
      </c>
      <c r="B28" s="232"/>
      <c r="C28" s="231"/>
      <c r="D28" s="282"/>
      <c r="E28" s="269" t="s">
        <v>2077</v>
      </c>
      <c r="F28" s="282"/>
      <c r="G28" s="283" t="s">
        <v>2075</v>
      </c>
      <c r="H28" s="230"/>
      <c r="I28" s="230"/>
      <c r="J28" s="230"/>
      <c r="K28" s="229"/>
      <c r="L28" s="229"/>
      <c r="M28" s="229"/>
      <c r="N28" s="284"/>
      <c r="O28" s="285"/>
      <c r="P28" s="274" t="s">
        <v>2089</v>
      </c>
      <c r="Q28" s="225" t="s">
        <v>64</v>
      </c>
      <c r="R28" s="131" t="s">
        <v>2114</v>
      </c>
      <c r="S28" s="228"/>
      <c r="T28" s="227"/>
      <c r="U28" s="226"/>
      <c r="V28" s="226"/>
      <c r="W28" s="226"/>
      <c r="X28" s="226"/>
      <c r="Y28" s="288" t="s">
        <v>2121</v>
      </c>
      <c r="Z28" t="e">
        <f>VLOOKUP(A28,#REF!,9,FALSE)</f>
        <v>#REF!</v>
      </c>
    </row>
    <row r="29" spans="1:26" s="214" customFormat="1" ht="69.599999999999994" customHeight="1" thickBot="1">
      <c r="A29" s="225" t="s">
        <v>2094</v>
      </c>
      <c r="B29" s="232" t="e">
        <v>#N/A</v>
      </c>
      <c r="C29" s="231" t="e">
        <v>#N/A</v>
      </c>
      <c r="D29" s="282"/>
      <c r="E29" s="269" t="s">
        <v>2077</v>
      </c>
      <c r="F29" s="282"/>
      <c r="G29" s="283" t="s">
        <v>2075</v>
      </c>
      <c r="H29" s="230"/>
      <c r="I29" s="230"/>
      <c r="J29" s="230"/>
      <c r="K29" s="229"/>
      <c r="L29" s="229"/>
      <c r="M29" s="229"/>
      <c r="N29" s="284"/>
      <c r="O29" s="285"/>
      <c r="P29" s="274"/>
      <c r="Q29" s="220" t="s">
        <v>64</v>
      </c>
      <c r="R29" s="131" t="s">
        <v>2114</v>
      </c>
      <c r="S29" s="228"/>
      <c r="T29" s="227"/>
      <c r="U29" s="226"/>
      <c r="V29" s="226"/>
      <c r="W29" s="226"/>
      <c r="X29" s="226"/>
      <c r="Y29" s="226" t="s">
        <v>2121</v>
      </c>
      <c r="Z29" t="e">
        <f>VLOOKUP(A29,#REF!,9,FALSE)</f>
        <v>#REF!</v>
      </c>
    </row>
    <row r="30" spans="1:26" ht="15.75" thickBot="1">
      <c r="A30" s="275" t="s">
        <v>852</v>
      </c>
      <c r="B30" s="102" t="s">
        <v>50</v>
      </c>
      <c r="C30" s="215">
        <v>45772</v>
      </c>
      <c r="D30" s="282"/>
      <c r="E30" s="269" t="s">
        <v>2077</v>
      </c>
      <c r="F30" s="282"/>
      <c r="G30" s="283" t="s">
        <v>2096</v>
      </c>
      <c r="H30" s="230"/>
      <c r="I30" s="230"/>
      <c r="J30" s="45"/>
      <c r="K30" s="204"/>
      <c r="L30" s="204"/>
      <c r="M30" s="204"/>
      <c r="N30" s="284"/>
      <c r="O30" s="285"/>
      <c r="P30" s="274"/>
      <c r="Q30" s="275" t="s">
        <v>2096</v>
      </c>
      <c r="R30" s="131" t="s">
        <v>2114</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2077</v>
      </c>
      <c r="F31" s="289"/>
      <c r="G31" s="290" t="s">
        <v>2096</v>
      </c>
      <c r="H31" s="222"/>
      <c r="I31" s="222"/>
      <c r="J31" s="236"/>
      <c r="K31" s="237"/>
      <c r="L31" s="237"/>
      <c r="M31" s="237"/>
      <c r="N31" s="222"/>
      <c r="O31" s="291"/>
      <c r="P31" s="274"/>
      <c r="Q31" s="233" t="s">
        <v>2096</v>
      </c>
      <c r="R31" s="131" t="s">
        <v>2114</v>
      </c>
      <c r="S31" s="238"/>
      <c r="T31" s="239"/>
      <c r="U31" s="240"/>
      <c r="V31" s="240"/>
      <c r="W31" s="240"/>
      <c r="X31" s="240"/>
      <c r="Y31" s="240" t="s">
        <v>2122</v>
      </c>
      <c r="Z31" t="e">
        <f>VLOOKUP(A31,#REF!,9,FALSE)</f>
        <v>#REF!</v>
      </c>
    </row>
    <row r="32" spans="1:26" ht="15.75" thickBot="1">
      <c r="A32" s="275" t="s">
        <v>856</v>
      </c>
      <c r="B32" s="102" t="s">
        <v>50</v>
      </c>
      <c r="C32" s="215">
        <v>45772</v>
      </c>
      <c r="D32" s="282"/>
      <c r="E32" s="269" t="s">
        <v>2077</v>
      </c>
      <c r="F32" s="282"/>
      <c r="G32" s="283" t="s">
        <v>2096</v>
      </c>
      <c r="H32" s="230"/>
      <c r="I32" s="230"/>
      <c r="J32" s="45"/>
      <c r="K32" s="204"/>
      <c r="L32" s="204"/>
      <c r="M32" s="204"/>
      <c r="N32" s="284"/>
      <c r="O32" s="285"/>
      <c r="P32" s="274"/>
      <c r="Q32" s="275" t="s">
        <v>2096</v>
      </c>
      <c r="R32" s="131" t="s">
        <v>2114</v>
      </c>
      <c r="S32" s="131"/>
      <c r="T32" s="276"/>
      <c r="U32" s="277"/>
      <c r="V32" s="277"/>
      <c r="W32" s="277"/>
      <c r="X32" s="277"/>
      <c r="Y32" s="277"/>
      <c r="Z32" t="e">
        <f>VLOOKUP(A32,#REF!,9,FALSE)</f>
        <v>#REF!</v>
      </c>
    </row>
    <row r="33" spans="1:26" ht="15.75" thickBot="1">
      <c r="A33" s="275" t="s">
        <v>844</v>
      </c>
      <c r="B33" s="102" t="s">
        <v>50</v>
      </c>
      <c r="C33" s="215">
        <v>45831</v>
      </c>
      <c r="D33" s="282"/>
      <c r="E33" s="269" t="s">
        <v>2077</v>
      </c>
      <c r="F33" s="282"/>
      <c r="G33" s="283" t="s">
        <v>2075</v>
      </c>
      <c r="H33" s="230"/>
      <c r="I33" s="230"/>
      <c r="J33" s="45"/>
      <c r="K33" s="204"/>
      <c r="L33" s="204"/>
      <c r="M33" s="204"/>
      <c r="N33" s="284"/>
      <c r="O33" s="285"/>
      <c r="P33" s="274"/>
      <c r="Q33" s="225" t="s">
        <v>64</v>
      </c>
      <c r="R33" s="131" t="s">
        <v>2114</v>
      </c>
      <c r="S33" s="131"/>
      <c r="T33" s="276"/>
      <c r="U33" s="277"/>
      <c r="V33" s="277"/>
      <c r="W33" s="277"/>
      <c r="X33" s="277"/>
      <c r="Y33" s="277"/>
      <c r="Z33" t="e">
        <f>VLOOKUP(A33,#REF!,9,FALSE)</f>
        <v>#REF!</v>
      </c>
    </row>
    <row r="34" spans="1:26" ht="15.75" thickBot="1">
      <c r="A34" s="275" t="s">
        <v>838</v>
      </c>
      <c r="B34" s="102" t="s">
        <v>50</v>
      </c>
      <c r="C34" s="215">
        <v>45831</v>
      </c>
      <c r="D34" s="282"/>
      <c r="E34" s="269" t="s">
        <v>2077</v>
      </c>
      <c r="F34" s="282"/>
      <c r="G34" s="283" t="s">
        <v>2075</v>
      </c>
      <c r="H34" s="230"/>
      <c r="I34" s="230"/>
      <c r="J34" s="45"/>
      <c r="K34" s="204"/>
      <c r="L34" s="204"/>
      <c r="M34" s="204"/>
      <c r="N34" s="284"/>
      <c r="O34" s="285"/>
      <c r="P34" s="274"/>
      <c r="Q34" s="275" t="s">
        <v>64</v>
      </c>
      <c r="R34" s="131" t="s">
        <v>2114</v>
      </c>
      <c r="S34" s="131"/>
      <c r="T34" s="276"/>
      <c r="U34" s="277"/>
      <c r="V34" s="277"/>
      <c r="W34" s="277"/>
      <c r="X34" s="277"/>
      <c r="Y34" s="277"/>
      <c r="Z34" t="e">
        <f>VLOOKUP(A34,#REF!,9,FALSE)</f>
        <v>#REF!</v>
      </c>
    </row>
    <row r="35" spans="1:26" ht="15.75" thickBot="1">
      <c r="A35" s="275" t="s">
        <v>840</v>
      </c>
      <c r="B35" s="102" t="s">
        <v>50</v>
      </c>
      <c r="C35" s="215">
        <v>45831</v>
      </c>
      <c r="D35" s="282"/>
      <c r="E35" s="269" t="s">
        <v>2077</v>
      </c>
      <c r="F35" s="282"/>
      <c r="G35" s="283" t="s">
        <v>2075</v>
      </c>
      <c r="H35" s="230"/>
      <c r="I35" s="230"/>
      <c r="J35" s="45"/>
      <c r="K35" s="204"/>
      <c r="L35" s="204"/>
      <c r="M35" s="204"/>
      <c r="N35" s="284"/>
      <c r="O35" s="285"/>
      <c r="P35" s="274"/>
      <c r="Q35" s="275" t="s">
        <v>64</v>
      </c>
      <c r="R35" s="131" t="s">
        <v>2114</v>
      </c>
      <c r="S35" s="131"/>
      <c r="T35" s="276"/>
      <c r="U35" s="277"/>
      <c r="V35" s="277"/>
      <c r="W35" s="277"/>
      <c r="X35" s="277"/>
      <c r="Y35" s="277"/>
      <c r="Z35" t="e">
        <f>VLOOKUP(A35,#REF!,9,FALSE)</f>
        <v>#REF!</v>
      </c>
    </row>
    <row r="36" spans="1:26" ht="15.75" thickBot="1">
      <c r="A36" s="275" t="s">
        <v>836</v>
      </c>
      <c r="B36" s="102" t="s">
        <v>50</v>
      </c>
      <c r="C36" s="215">
        <v>45772</v>
      </c>
      <c r="D36" s="282"/>
      <c r="E36" s="269" t="s">
        <v>2077</v>
      </c>
      <c r="F36" s="282"/>
      <c r="G36" s="283" t="s">
        <v>2096</v>
      </c>
      <c r="H36" s="230"/>
      <c r="I36" s="230"/>
      <c r="J36" s="45"/>
      <c r="K36" s="204"/>
      <c r="L36" s="204"/>
      <c r="M36" s="204"/>
      <c r="N36" s="284"/>
      <c r="O36" s="285"/>
      <c r="P36" s="274"/>
      <c r="Q36" s="275" t="s">
        <v>2096</v>
      </c>
      <c r="R36" s="131" t="s">
        <v>2114</v>
      </c>
      <c r="S36" s="131"/>
      <c r="T36" s="276"/>
      <c r="U36" s="277"/>
      <c r="V36" s="277"/>
      <c r="W36" s="277"/>
      <c r="X36" s="277"/>
      <c r="Y36" s="277"/>
      <c r="Z36" t="e">
        <f>VLOOKUP(A36,#REF!,9,FALSE)</f>
        <v>#REF!</v>
      </c>
    </row>
    <row r="37" spans="1:26" ht="15.75" thickBot="1">
      <c r="A37" s="275" t="s">
        <v>846</v>
      </c>
      <c r="B37" s="102" t="s">
        <v>50</v>
      </c>
      <c r="C37" s="215">
        <v>45831</v>
      </c>
      <c r="D37" s="282"/>
      <c r="E37" s="269" t="s">
        <v>2077</v>
      </c>
      <c r="F37" s="282"/>
      <c r="G37" s="283" t="s">
        <v>2075</v>
      </c>
      <c r="H37" s="230"/>
      <c r="I37" s="230"/>
      <c r="J37" s="45"/>
      <c r="K37" s="204"/>
      <c r="L37" s="204"/>
      <c r="M37" s="204"/>
      <c r="N37" s="284"/>
      <c r="O37" s="285"/>
      <c r="P37" s="274"/>
      <c r="Q37" s="275" t="s">
        <v>64</v>
      </c>
      <c r="R37" s="131" t="s">
        <v>2114</v>
      </c>
      <c r="S37" s="131"/>
      <c r="T37" s="276"/>
      <c r="U37" s="277"/>
      <c r="V37" s="277"/>
      <c r="W37" s="277"/>
      <c r="X37" s="277"/>
      <c r="Y37" s="277"/>
      <c r="Z37" t="e">
        <f>VLOOKUP(A37,#REF!,9,FALSE)</f>
        <v>#REF!</v>
      </c>
    </row>
    <row r="38" spans="1:26" ht="15.75" thickBot="1">
      <c r="A38" s="275" t="s">
        <v>850</v>
      </c>
      <c r="B38" s="102" t="s">
        <v>50</v>
      </c>
      <c r="C38" s="215">
        <v>45831</v>
      </c>
      <c r="D38" s="282"/>
      <c r="E38" s="269" t="s">
        <v>2077</v>
      </c>
      <c r="F38" s="282"/>
      <c r="G38" s="283" t="s">
        <v>2075</v>
      </c>
      <c r="H38" s="230"/>
      <c r="I38" s="230"/>
      <c r="J38" s="45"/>
      <c r="K38" s="204"/>
      <c r="L38" s="204"/>
      <c r="M38" s="204"/>
      <c r="N38" s="284"/>
      <c r="O38" s="285"/>
      <c r="P38" s="274"/>
      <c r="Q38" s="275" t="s">
        <v>64</v>
      </c>
      <c r="R38" s="131" t="s">
        <v>2114</v>
      </c>
      <c r="S38" s="131"/>
      <c r="T38" s="276"/>
      <c r="U38" s="277"/>
      <c r="V38" s="277"/>
      <c r="W38" s="277"/>
      <c r="X38" s="277"/>
      <c r="Y38" s="277"/>
      <c r="Z38" t="e">
        <f>VLOOKUP(A38,#REF!,9,FALSE)</f>
        <v>#REF!</v>
      </c>
    </row>
    <row r="39" spans="1:26" s="216" customFormat="1" ht="70.150000000000006" customHeight="1" thickBot="1">
      <c r="A39" s="220" t="s">
        <v>2097</v>
      </c>
      <c r="B39" s="224" t="e">
        <v>#N/A</v>
      </c>
      <c r="C39" s="223" t="e">
        <v>#N/A</v>
      </c>
      <c r="D39" s="289"/>
      <c r="E39" s="269" t="s">
        <v>2077</v>
      </c>
      <c r="F39" s="289"/>
      <c r="G39" s="290" t="s">
        <v>2096</v>
      </c>
      <c r="H39" s="222"/>
      <c r="I39" s="222"/>
      <c r="J39" s="222"/>
      <c r="K39" s="221"/>
      <c r="L39" s="221"/>
      <c r="M39" s="221"/>
      <c r="N39" s="222"/>
      <c r="O39" s="291"/>
      <c r="P39" s="274"/>
      <c r="Q39" s="220" t="s">
        <v>2096</v>
      </c>
      <c r="R39" s="131" t="s">
        <v>2114</v>
      </c>
      <c r="S39" s="219"/>
      <c r="T39" s="218"/>
      <c r="U39" s="217"/>
      <c r="V39" s="217"/>
      <c r="W39" s="217"/>
      <c r="X39" s="217"/>
      <c r="Y39" s="217" t="s">
        <v>2121</v>
      </c>
      <c r="Z39" t="e">
        <f>VLOOKUP(A39,#REF!,9,FALSE)</f>
        <v>#REF!</v>
      </c>
    </row>
    <row r="40" spans="1:26" ht="15.75" thickBot="1">
      <c r="A40" s="275" t="s">
        <v>854</v>
      </c>
      <c r="B40" s="102" t="s">
        <v>50</v>
      </c>
      <c r="C40" s="215">
        <v>45831</v>
      </c>
      <c r="D40" s="282"/>
      <c r="E40" s="269" t="s">
        <v>2077</v>
      </c>
      <c r="F40" s="282"/>
      <c r="G40" s="283" t="s">
        <v>2075</v>
      </c>
      <c r="H40" s="230"/>
      <c r="I40" s="230"/>
      <c r="J40" s="45"/>
      <c r="K40" s="204"/>
      <c r="L40" s="204"/>
      <c r="M40" s="204"/>
      <c r="N40" s="284"/>
      <c r="O40" s="285"/>
      <c r="P40" s="274"/>
      <c r="Q40" s="275" t="s">
        <v>64</v>
      </c>
      <c r="R40" s="131" t="s">
        <v>2114</v>
      </c>
      <c r="S40" s="131"/>
      <c r="T40" s="276"/>
      <c r="U40" s="277"/>
      <c r="V40" s="277"/>
      <c r="W40" s="277"/>
      <c r="X40" s="277"/>
      <c r="Y40" s="277"/>
      <c r="Z40" t="e">
        <f>VLOOKUP(A40,#REF!,9,FALSE)</f>
        <v>#REF!</v>
      </c>
    </row>
    <row r="41" spans="1:26" ht="15.75" thickBot="1">
      <c r="A41" s="275" t="s">
        <v>87</v>
      </c>
      <c r="B41" s="102" t="s">
        <v>50</v>
      </c>
      <c r="C41" s="215">
        <v>45807</v>
      </c>
      <c r="D41" s="282"/>
      <c r="E41" s="269" t="s">
        <v>2112</v>
      </c>
      <c r="F41" s="282"/>
      <c r="G41" s="283" t="s">
        <v>2075</v>
      </c>
      <c r="H41" s="230"/>
      <c r="I41" s="230"/>
      <c r="J41" s="45"/>
      <c r="K41" s="204"/>
      <c r="L41" s="204"/>
      <c r="M41" s="204"/>
      <c r="N41" s="284"/>
      <c r="O41" s="285"/>
      <c r="P41" s="274" t="s">
        <v>2113</v>
      </c>
      <c r="Q41" s="275" t="s">
        <v>58</v>
      </c>
      <c r="R41" s="131" t="s">
        <v>2114</v>
      </c>
      <c r="S41" s="131"/>
      <c r="T41" s="276"/>
      <c r="U41" s="277"/>
      <c r="V41" s="277"/>
      <c r="W41" s="277"/>
      <c r="X41" s="277"/>
      <c r="Y41" s="277"/>
      <c r="Z41" t="e">
        <f>VLOOKUP(A41,#REF!,9,FALSE)</f>
        <v>#REF!</v>
      </c>
    </row>
    <row r="42" spans="1:26" ht="15.75" thickBot="1">
      <c r="A42" s="275" t="s">
        <v>85</v>
      </c>
      <c r="B42" s="102" t="s">
        <v>50</v>
      </c>
      <c r="C42" s="215">
        <v>45807</v>
      </c>
      <c r="D42" s="282"/>
      <c r="E42" s="269" t="s">
        <v>2112</v>
      </c>
      <c r="F42" s="282"/>
      <c r="G42" s="283" t="s">
        <v>2075</v>
      </c>
      <c r="H42" s="230"/>
      <c r="I42" s="230"/>
      <c r="J42" s="45"/>
      <c r="K42" s="204"/>
      <c r="L42" s="204"/>
      <c r="M42" s="204"/>
      <c r="N42" s="284"/>
      <c r="O42" s="285"/>
      <c r="P42" s="274" t="s">
        <v>2113</v>
      </c>
      <c r="Q42" s="275" t="s">
        <v>64</v>
      </c>
      <c r="R42" s="131" t="s">
        <v>2114</v>
      </c>
      <c r="S42" s="131"/>
      <c r="T42" s="276"/>
      <c r="U42" s="277"/>
      <c r="V42" s="277"/>
      <c r="W42" s="277"/>
      <c r="X42" s="277"/>
      <c r="Y42" s="277"/>
      <c r="Z42" t="e">
        <f>VLOOKUP(A42,#REF!,9,FALSE)</f>
        <v>#REF!</v>
      </c>
    </row>
    <row r="43" spans="1:26" ht="15.75" thickBot="1">
      <c r="A43" s="275" t="s">
        <v>529</v>
      </c>
      <c r="B43" s="102" t="s">
        <v>50</v>
      </c>
      <c r="C43" s="215">
        <v>45807</v>
      </c>
      <c r="D43" s="282"/>
      <c r="E43" s="269" t="s">
        <v>2112</v>
      </c>
      <c r="F43" s="282"/>
      <c r="G43" s="283" t="s">
        <v>2075</v>
      </c>
      <c r="H43" s="230"/>
      <c r="I43" s="230"/>
      <c r="J43" s="45"/>
      <c r="K43" s="204"/>
      <c r="L43" s="204"/>
      <c r="M43" s="204"/>
      <c r="N43" s="284"/>
      <c r="O43" s="285"/>
      <c r="P43" s="274" t="s">
        <v>2113</v>
      </c>
      <c r="Q43" s="275" t="s">
        <v>58</v>
      </c>
      <c r="R43" s="131" t="s">
        <v>2114</v>
      </c>
      <c r="S43" s="131"/>
      <c r="T43" s="276"/>
      <c r="U43" s="277"/>
      <c r="V43" s="277"/>
      <c r="W43" s="277"/>
      <c r="X43" s="277"/>
      <c r="Y43" s="277"/>
      <c r="Z43" t="e">
        <f>VLOOKUP(A43,#REF!,9,FALSE)</f>
        <v>#REF!</v>
      </c>
    </row>
    <row r="44" spans="1:26" ht="15.75" thickBot="1">
      <c r="A44" s="275" t="s">
        <v>81</v>
      </c>
      <c r="B44" s="102" t="s">
        <v>50</v>
      </c>
      <c r="C44" s="215">
        <v>45807</v>
      </c>
      <c r="D44" s="282"/>
      <c r="E44" s="269" t="s">
        <v>2112</v>
      </c>
      <c r="F44" s="282"/>
      <c r="G44" s="283" t="s">
        <v>2075</v>
      </c>
      <c r="H44" s="230"/>
      <c r="I44" s="230"/>
      <c r="J44" s="45"/>
      <c r="K44" s="204"/>
      <c r="L44" s="204"/>
      <c r="M44" s="204"/>
      <c r="N44" s="284"/>
      <c r="O44" s="285"/>
      <c r="P44" s="274" t="s">
        <v>2083</v>
      </c>
      <c r="Q44" s="275" t="s">
        <v>64</v>
      </c>
      <c r="R44" s="131" t="s">
        <v>2114</v>
      </c>
      <c r="S44" s="131"/>
      <c r="T44" s="276"/>
      <c r="U44" s="277"/>
      <c r="V44" s="277"/>
      <c r="W44" s="277"/>
      <c r="X44" s="277"/>
      <c r="Y44" s="277"/>
      <c r="Z44" t="e">
        <f>VLOOKUP(A44,#REF!,9,FALSE)</f>
        <v>#REF!</v>
      </c>
    </row>
    <row r="45" spans="1:26" ht="15.75" thickBot="1">
      <c r="A45" s="335" t="s">
        <v>659</v>
      </c>
      <c r="B45" s="102" t="s">
        <v>50</v>
      </c>
      <c r="C45" s="215">
        <v>45807</v>
      </c>
      <c r="D45" s="282"/>
      <c r="E45" s="269" t="s">
        <v>2077</v>
      </c>
      <c r="F45" s="282"/>
      <c r="G45" s="283" t="s">
        <v>2075</v>
      </c>
      <c r="H45" s="230"/>
      <c r="I45" s="230"/>
      <c r="J45" s="45"/>
      <c r="K45" s="204"/>
      <c r="L45" s="204"/>
      <c r="M45" s="204"/>
      <c r="N45" s="284"/>
      <c r="O45" s="285"/>
      <c r="P45" s="274"/>
      <c r="Q45" s="275" t="s">
        <v>58</v>
      </c>
      <c r="R45" s="131" t="s">
        <v>2114</v>
      </c>
      <c r="S45" s="131"/>
      <c r="T45" s="276"/>
      <c r="U45" s="277"/>
      <c r="V45" s="277"/>
      <c r="W45" s="277"/>
      <c r="X45" s="277"/>
      <c r="Y45" s="277"/>
      <c r="Z45" t="e">
        <f>VLOOKUP(A45,#REF!,9,FALSE)</f>
        <v>#REF!</v>
      </c>
    </row>
    <row r="46" spans="1:26" ht="15.75" thickBot="1">
      <c r="A46" s="292" t="s">
        <v>661</v>
      </c>
      <c r="B46" s="102" t="s">
        <v>50</v>
      </c>
      <c r="C46" s="215">
        <v>45807</v>
      </c>
      <c r="D46" s="282"/>
      <c r="E46" s="269" t="s">
        <v>2077</v>
      </c>
      <c r="F46" s="282"/>
      <c r="G46" s="290" t="s">
        <v>2075</v>
      </c>
      <c r="H46" s="230"/>
      <c r="I46" s="230"/>
      <c r="J46" s="45"/>
      <c r="K46" s="204"/>
      <c r="L46" s="204"/>
      <c r="M46" s="204"/>
      <c r="N46" s="284"/>
      <c r="O46" s="285"/>
      <c r="P46" s="274"/>
      <c r="Q46" s="275" t="s">
        <v>58</v>
      </c>
      <c r="R46" s="131" t="s">
        <v>2114</v>
      </c>
      <c r="S46" s="131"/>
      <c r="T46" s="276"/>
      <c r="U46" s="277"/>
      <c r="V46" s="277"/>
      <c r="W46" s="277"/>
      <c r="X46" s="277"/>
      <c r="Y46" s="277"/>
      <c r="Z46" t="e">
        <f>VLOOKUP(A46,#REF!,9,FALSE)</f>
        <v>#REF!</v>
      </c>
    </row>
    <row r="47" spans="1:26" ht="15.75" thickBot="1">
      <c r="A47" s="293" t="s">
        <v>179</v>
      </c>
      <c r="B47" s="102" t="s">
        <v>50</v>
      </c>
      <c r="C47" s="215">
        <v>45807</v>
      </c>
      <c r="D47" s="282"/>
      <c r="E47" s="269" t="s">
        <v>2077</v>
      </c>
      <c r="F47" s="282"/>
      <c r="G47" s="283" t="s">
        <v>2075</v>
      </c>
      <c r="H47" s="230"/>
      <c r="I47" s="230"/>
      <c r="J47" s="45"/>
      <c r="K47" s="204"/>
      <c r="L47" s="204"/>
      <c r="M47" s="204"/>
      <c r="N47" s="284"/>
      <c r="O47" s="285"/>
      <c r="P47" s="274" t="s">
        <v>2086</v>
      </c>
      <c r="Q47" s="275" t="s">
        <v>58</v>
      </c>
      <c r="R47" s="131" t="s">
        <v>2117</v>
      </c>
      <c r="S47" s="131"/>
      <c r="T47" s="276"/>
      <c r="U47" s="277"/>
      <c r="V47" s="277"/>
      <c r="W47" s="277"/>
      <c r="X47" s="277"/>
      <c r="Y47" s="277"/>
      <c r="Z47" t="e">
        <f>VLOOKUP(A47,#REF!,9,FALSE)</f>
        <v>#REF!</v>
      </c>
    </row>
    <row r="48" spans="1:26" ht="15.75" thickBot="1">
      <c r="A48" s="292" t="s">
        <v>710</v>
      </c>
      <c r="B48" s="102" t="s">
        <v>50</v>
      </c>
      <c r="C48" s="215">
        <v>45807</v>
      </c>
      <c r="D48" s="282"/>
      <c r="E48" s="269" t="s">
        <v>2077</v>
      </c>
      <c r="F48" s="282"/>
      <c r="G48" s="290" t="s">
        <v>2096</v>
      </c>
      <c r="H48" s="230"/>
      <c r="I48" s="230"/>
      <c r="J48" s="45"/>
      <c r="K48" s="204"/>
      <c r="L48" s="204"/>
      <c r="M48" s="204"/>
      <c r="N48" s="284"/>
      <c r="O48" s="285"/>
      <c r="P48" s="274" t="s">
        <v>2123</v>
      </c>
      <c r="Q48" s="275" t="s">
        <v>2096</v>
      </c>
      <c r="R48" s="131" t="s">
        <v>2114</v>
      </c>
      <c r="S48" s="131"/>
      <c r="T48" s="276"/>
      <c r="U48" s="277"/>
      <c r="V48" s="277"/>
      <c r="W48" s="277"/>
      <c r="X48" s="277"/>
      <c r="Y48" s="277"/>
      <c r="Z48" t="e">
        <f>VLOOKUP(A48,#REF!,9,FALSE)</f>
        <v>#REF!</v>
      </c>
    </row>
    <row r="49" spans="1:26" ht="15.75" thickBot="1">
      <c r="A49" s="292" t="s">
        <v>704</v>
      </c>
      <c r="B49" s="102" t="s">
        <v>111</v>
      </c>
      <c r="C49" s="215">
        <v>45772</v>
      </c>
      <c r="D49" s="282"/>
      <c r="E49" s="269" t="s">
        <v>2077</v>
      </c>
      <c r="F49" s="282"/>
      <c r="G49" s="290" t="s">
        <v>2096</v>
      </c>
      <c r="H49" s="230"/>
      <c r="I49" s="230"/>
      <c r="J49" s="45"/>
      <c r="K49" s="204"/>
      <c r="L49" s="204"/>
      <c r="M49" s="204"/>
      <c r="N49" s="284"/>
      <c r="O49" s="285"/>
      <c r="P49" s="274" t="s">
        <v>2123</v>
      </c>
      <c r="Q49" s="275" t="s">
        <v>2096</v>
      </c>
      <c r="R49" s="131" t="s">
        <v>2114</v>
      </c>
      <c r="S49" s="131"/>
      <c r="T49" s="276"/>
      <c r="U49" s="277"/>
      <c r="V49" s="277"/>
      <c r="W49" s="277"/>
      <c r="X49" s="277"/>
      <c r="Y49" s="277"/>
      <c r="Z49" t="e">
        <f>VLOOKUP(A49,#REF!,9,FALSE)</f>
        <v>#REF!</v>
      </c>
    </row>
    <row r="50" spans="1:26" ht="15.75" thickBot="1">
      <c r="A50" s="292" t="s">
        <v>702</v>
      </c>
      <c r="B50" s="102" t="s">
        <v>111</v>
      </c>
      <c r="C50" s="215">
        <v>45772</v>
      </c>
      <c r="D50" s="282"/>
      <c r="E50" s="269" t="s">
        <v>2077</v>
      </c>
      <c r="F50" s="282"/>
      <c r="G50" s="290" t="s">
        <v>2096</v>
      </c>
      <c r="H50" s="230"/>
      <c r="I50" s="230"/>
      <c r="J50" s="45"/>
      <c r="K50" s="204"/>
      <c r="L50" s="204"/>
      <c r="M50" s="204"/>
      <c r="N50" s="284"/>
      <c r="O50" s="285"/>
      <c r="P50" s="274" t="s">
        <v>2123</v>
      </c>
      <c r="Q50" s="275" t="s">
        <v>2096</v>
      </c>
      <c r="R50" s="131" t="s">
        <v>2114</v>
      </c>
      <c r="S50" s="131"/>
      <c r="T50" s="276"/>
      <c r="U50" s="277"/>
      <c r="V50" s="277"/>
      <c r="W50" s="277"/>
      <c r="X50" s="277"/>
      <c r="Y50" s="277"/>
      <c r="Z50" t="e">
        <f>VLOOKUP(A50,#REF!,9,FALSE)</f>
        <v>#REF!</v>
      </c>
    </row>
    <row r="51" spans="1:26" ht="15.75" thickBot="1">
      <c r="A51" s="292" t="s">
        <v>708</v>
      </c>
      <c r="B51" s="102" t="e">
        <v>#N/A</v>
      </c>
      <c r="C51" s="215" t="e">
        <v>#N/A</v>
      </c>
      <c r="D51" s="282"/>
      <c r="E51" s="269" t="s">
        <v>2077</v>
      </c>
      <c r="F51" s="282"/>
      <c r="G51" s="290" t="s">
        <v>2096</v>
      </c>
      <c r="H51" s="230"/>
      <c r="I51" s="230"/>
      <c r="J51" s="45"/>
      <c r="K51" s="204"/>
      <c r="L51" s="204"/>
      <c r="M51" s="204"/>
      <c r="N51" s="284"/>
      <c r="O51" s="285"/>
      <c r="P51" s="274" t="s">
        <v>2123</v>
      </c>
      <c r="Q51" s="275" t="s">
        <v>2096</v>
      </c>
      <c r="R51" s="131" t="s">
        <v>2114</v>
      </c>
      <c r="S51" s="131"/>
      <c r="T51" s="276"/>
      <c r="U51" s="277"/>
      <c r="V51" s="277"/>
      <c r="W51" s="277"/>
      <c r="X51" s="277"/>
      <c r="Y51" s="277"/>
      <c r="Z51" t="e">
        <f>VLOOKUP(A51,#REF!,9,FALSE)</f>
        <v>#REF!</v>
      </c>
    </row>
    <row r="52" spans="1:26" ht="13.9" customHeight="1" thickBot="1">
      <c r="A52" s="292" t="s">
        <v>684</v>
      </c>
      <c r="B52" s="102" t="s">
        <v>111</v>
      </c>
      <c r="C52" s="215">
        <v>45925</v>
      </c>
      <c r="D52" s="282"/>
      <c r="E52" s="269" t="s">
        <v>2112</v>
      </c>
      <c r="F52" s="282"/>
      <c r="G52" s="283" t="s">
        <v>2075</v>
      </c>
      <c r="H52" s="230"/>
      <c r="I52" s="230"/>
      <c r="J52" s="45"/>
      <c r="K52" s="204"/>
      <c r="L52" s="204"/>
      <c r="M52" s="204"/>
      <c r="N52" s="284"/>
      <c r="O52" s="285"/>
      <c r="P52" s="274" t="s">
        <v>2113</v>
      </c>
      <c r="Q52" s="275" t="s">
        <v>64</v>
      </c>
      <c r="R52" s="131" t="s">
        <v>2114</v>
      </c>
      <c r="S52" s="131"/>
      <c r="T52" s="276"/>
      <c r="U52" s="277"/>
      <c r="V52" s="277"/>
      <c r="W52" s="277"/>
      <c r="X52" s="277"/>
      <c r="Y52" s="277"/>
      <c r="Z52" t="e">
        <f>VLOOKUP(A52,#REF!,9,FALSE)</f>
        <v>#REF!</v>
      </c>
    </row>
    <row r="53" spans="1:26" ht="15.75" thickBot="1">
      <c r="A53" s="292" t="s">
        <v>686</v>
      </c>
      <c r="B53" s="102" t="s">
        <v>111</v>
      </c>
      <c r="C53" s="215">
        <v>45925</v>
      </c>
      <c r="D53" s="282"/>
      <c r="E53" s="269" t="s">
        <v>2112</v>
      </c>
      <c r="F53" s="282"/>
      <c r="G53" s="283" t="s">
        <v>2075</v>
      </c>
      <c r="H53" s="230"/>
      <c r="I53" s="230"/>
      <c r="J53" s="45"/>
      <c r="K53" s="204"/>
      <c r="L53" s="204"/>
      <c r="M53" s="204"/>
      <c r="N53" s="284"/>
      <c r="O53" s="285"/>
      <c r="P53" s="274" t="s">
        <v>2113</v>
      </c>
      <c r="Q53" s="275" t="s">
        <v>64</v>
      </c>
      <c r="R53" s="131" t="s">
        <v>2114</v>
      </c>
      <c r="S53" s="131"/>
      <c r="T53" s="276"/>
      <c r="U53" s="277"/>
      <c r="V53" s="277"/>
      <c r="W53" s="277"/>
      <c r="X53" s="277"/>
      <c r="Y53" s="277"/>
      <c r="Z53" t="e">
        <f>VLOOKUP(A53,#REF!,9,FALSE)</f>
        <v>#REF!</v>
      </c>
    </row>
    <row r="54" spans="1:26" ht="15.75" thickBot="1">
      <c r="A54" s="292" t="s">
        <v>682</v>
      </c>
      <c r="B54" s="102" t="s">
        <v>111</v>
      </c>
      <c r="C54" s="215">
        <v>45925</v>
      </c>
      <c r="D54" s="282"/>
      <c r="E54" s="269" t="s">
        <v>2112</v>
      </c>
      <c r="F54" s="282"/>
      <c r="G54" s="283" t="s">
        <v>2075</v>
      </c>
      <c r="H54" s="230"/>
      <c r="I54" s="230"/>
      <c r="J54" s="45"/>
      <c r="K54" s="204"/>
      <c r="L54" s="204"/>
      <c r="M54" s="204"/>
      <c r="N54" s="284"/>
      <c r="O54" s="285"/>
      <c r="P54" s="274" t="s">
        <v>2113</v>
      </c>
      <c r="Q54" s="275" t="s">
        <v>64</v>
      </c>
      <c r="R54" s="131" t="s">
        <v>2114</v>
      </c>
      <c r="S54" s="131"/>
      <c r="T54" s="276"/>
      <c r="U54" s="277"/>
      <c r="V54" s="277"/>
      <c r="W54" s="277"/>
      <c r="X54" s="277"/>
      <c r="Y54" s="277"/>
      <c r="Z54" t="e">
        <f>VLOOKUP(A54,#REF!,9,FALSE)</f>
        <v>#REF!</v>
      </c>
    </row>
    <row r="55" spans="1:26" ht="15.75" thickBot="1">
      <c r="A55" s="292" t="s">
        <v>732</v>
      </c>
      <c r="B55" s="102" t="s">
        <v>111</v>
      </c>
      <c r="C55" s="215">
        <v>45862</v>
      </c>
      <c r="D55" s="282"/>
      <c r="E55" s="269" t="s">
        <v>2112</v>
      </c>
      <c r="F55" s="282"/>
      <c r="G55" s="283" t="s">
        <v>2075</v>
      </c>
      <c r="H55" s="230"/>
      <c r="I55" s="230"/>
      <c r="J55" s="45"/>
      <c r="K55" s="204"/>
      <c r="L55" s="204"/>
      <c r="M55" s="204"/>
      <c r="N55" s="284"/>
      <c r="O55" s="285"/>
      <c r="P55" s="274" t="s">
        <v>2086</v>
      </c>
      <c r="Q55" s="275" t="s">
        <v>58</v>
      </c>
      <c r="R55" s="131" t="s">
        <v>2117</v>
      </c>
      <c r="S55" s="131"/>
      <c r="T55" s="276"/>
      <c r="U55" s="277"/>
      <c r="V55" s="277"/>
      <c r="W55" s="277"/>
      <c r="X55" s="277"/>
      <c r="Y55" s="277"/>
      <c r="Z55" t="e">
        <f>VLOOKUP(A55,#REF!,9,FALSE)</f>
        <v>#REF!</v>
      </c>
    </row>
    <row r="56" spans="1:26" ht="15.75" thickBot="1">
      <c r="A56" s="292" t="s">
        <v>128</v>
      </c>
      <c r="B56" s="102"/>
      <c r="C56" s="215" t="e">
        <v>#N/A</v>
      </c>
      <c r="D56" s="282"/>
      <c r="E56" s="269" t="s">
        <v>2112</v>
      </c>
      <c r="F56" s="282"/>
      <c r="G56" s="283" t="s">
        <v>2075</v>
      </c>
      <c r="H56" s="230"/>
      <c r="I56" s="230"/>
      <c r="J56" s="45"/>
      <c r="K56" s="204"/>
      <c r="L56" s="204"/>
      <c r="M56" s="204"/>
      <c r="N56" s="284"/>
      <c r="O56" s="285"/>
      <c r="P56" s="274" t="s">
        <v>2124</v>
      </c>
      <c r="Q56" s="275" t="s">
        <v>58</v>
      </c>
      <c r="R56" s="131" t="s">
        <v>2117</v>
      </c>
      <c r="S56" s="131"/>
      <c r="T56" s="276"/>
      <c r="U56" s="277"/>
      <c r="V56" s="277"/>
      <c r="W56" s="277"/>
      <c r="X56" s="277"/>
      <c r="Y56" s="277"/>
      <c r="Z56" t="e">
        <f>VLOOKUP(A56,#REF!,9,FALSE)</f>
        <v>#REF!</v>
      </c>
    </row>
    <row r="57" spans="1:26" ht="15.75" thickBot="1">
      <c r="A57" s="162" t="s">
        <v>2125</v>
      </c>
      <c r="B57" s="102" t="s">
        <v>111</v>
      </c>
      <c r="C57" s="294">
        <v>45787</v>
      </c>
      <c r="D57" s="282"/>
      <c r="E57" s="269" t="s">
        <v>2112</v>
      </c>
      <c r="F57" s="282"/>
      <c r="G57" s="283" t="s">
        <v>2075</v>
      </c>
      <c r="H57" s="230"/>
      <c r="I57" s="230"/>
      <c r="J57" s="45"/>
      <c r="K57" s="204"/>
      <c r="L57" s="204"/>
      <c r="M57" s="204"/>
      <c r="N57" s="284"/>
      <c r="O57" s="285"/>
      <c r="P57" s="274" t="s">
        <v>2086</v>
      </c>
      <c r="Q57" s="275" t="s">
        <v>2126</v>
      </c>
      <c r="R57" s="131" t="s">
        <v>2117</v>
      </c>
      <c r="S57" s="131"/>
      <c r="T57" s="276"/>
      <c r="U57" s="277"/>
      <c r="V57" s="277"/>
      <c r="W57" s="277"/>
      <c r="X57" s="277"/>
      <c r="Y57" s="277"/>
      <c r="Z57" t="e">
        <f>VLOOKUP(A57,#REF!,9,FALSE)</f>
        <v>#REF!</v>
      </c>
    </row>
    <row r="58" spans="1:26" ht="15.75" thickBot="1">
      <c r="A58" s="622" t="s">
        <v>682</v>
      </c>
      <c r="B58" s="102" t="s">
        <v>50</v>
      </c>
      <c r="C58" s="296">
        <v>45807</v>
      </c>
      <c r="D58" s="282"/>
      <c r="E58" s="269" t="s">
        <v>2077</v>
      </c>
      <c r="F58" s="282"/>
      <c r="G58" s="283" t="s">
        <v>2075</v>
      </c>
      <c r="H58" s="230"/>
      <c r="I58" s="230"/>
      <c r="J58" s="45"/>
      <c r="K58" s="204"/>
      <c r="L58" s="204"/>
      <c r="M58" s="204"/>
      <c r="N58" s="284"/>
      <c r="O58" s="285"/>
      <c r="P58" s="287"/>
      <c r="Q58" s="275" t="s">
        <v>64</v>
      </c>
      <c r="R58" s="131" t="s">
        <v>2114</v>
      </c>
      <c r="S58" s="131"/>
      <c r="T58" s="276"/>
      <c r="U58" s="277"/>
      <c r="V58" s="277"/>
      <c r="W58" s="277"/>
      <c r="X58" s="277"/>
      <c r="Y58" s="277"/>
    </row>
    <row r="59" spans="1:26" ht="15.75" thickBot="1">
      <c r="A59" s="622" t="s">
        <v>684</v>
      </c>
      <c r="B59" s="102" t="s">
        <v>111</v>
      </c>
      <c r="C59" s="296">
        <v>45772</v>
      </c>
      <c r="D59" s="282"/>
      <c r="E59" s="269" t="s">
        <v>2077</v>
      </c>
      <c r="F59" s="282"/>
      <c r="G59" s="283" t="s">
        <v>2075</v>
      </c>
      <c r="H59" s="230"/>
      <c r="I59" s="230"/>
      <c r="J59" s="45"/>
      <c r="K59" s="204"/>
      <c r="L59" s="204"/>
      <c r="M59" s="204"/>
      <c r="N59" s="284"/>
      <c r="O59" s="285"/>
      <c r="P59" s="287"/>
      <c r="Q59" s="275" t="s">
        <v>64</v>
      </c>
      <c r="R59" s="131" t="s">
        <v>2114</v>
      </c>
      <c r="S59" s="131"/>
      <c r="T59" s="276"/>
      <c r="U59" s="277"/>
      <c r="V59" s="277"/>
      <c r="W59" s="277"/>
      <c r="X59" s="277"/>
      <c r="Y59" s="277"/>
    </row>
    <row r="60" spans="1:26" ht="15.75" thickBot="1">
      <c r="A60" s="623" t="s">
        <v>686</v>
      </c>
      <c r="B60" s="102" t="s">
        <v>111</v>
      </c>
      <c r="C60" s="296">
        <v>45772</v>
      </c>
      <c r="D60" s="282"/>
      <c r="E60" s="269" t="s">
        <v>2077</v>
      </c>
      <c r="F60" s="282"/>
      <c r="G60" s="283" t="s">
        <v>2075</v>
      </c>
      <c r="H60" s="230"/>
      <c r="I60" s="230"/>
      <c r="J60" s="45"/>
      <c r="K60" s="204"/>
      <c r="L60" s="204"/>
      <c r="M60" s="204"/>
      <c r="N60" s="284"/>
      <c r="O60" s="285"/>
      <c r="P60" s="287"/>
      <c r="Q60" s="275" t="s">
        <v>64</v>
      </c>
      <c r="R60" s="131" t="s">
        <v>2114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2106</v>
      </c>
      <c r="B70" s="301">
        <f>SUM(K4:K9)</f>
        <v>0</v>
      </c>
      <c r="C70" s="302" t="e">
        <f>B70/B73</f>
        <v>#DIV/0!</v>
      </c>
    </row>
    <row r="71" spans="1:25">
      <c r="A71" s="300" t="s">
        <v>2062</v>
      </c>
      <c r="B71" s="301">
        <f>SUM(L4:L9)</f>
        <v>0</v>
      </c>
      <c r="C71" s="302" t="e">
        <f>B71/B73</f>
        <v>#DIV/0!</v>
      </c>
    </row>
    <row r="72" spans="1:25">
      <c r="A72" s="300" t="s">
        <v>2107</v>
      </c>
      <c r="B72" s="301">
        <f>SUM(M4:M9)</f>
        <v>0</v>
      </c>
      <c r="C72" s="302" t="e">
        <f>B72/B73</f>
        <v>#DIV/0!</v>
      </c>
    </row>
    <row r="73" spans="1:25">
      <c r="A73" s="300" t="s">
        <v>1049</v>
      </c>
      <c r="B73" s="301">
        <f>SUM(B70:B72)</f>
        <v>0</v>
      </c>
      <c r="C73" s="279"/>
    </row>
    <row r="80" spans="1:25">
      <c r="A80" t="s">
        <v>2127</v>
      </c>
    </row>
    <row r="81" spans="1:1">
      <c r="A81" t="s">
        <v>2128</v>
      </c>
    </row>
    <row r="82" spans="1:1">
      <c r="A82" t="s">
        <v>2113</v>
      </c>
    </row>
    <row r="83" spans="1:1">
      <c r="A83" t="s">
        <v>2129</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8402EA9-81B6-45E5-8B5E-C24AA0EE984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2025-12-30T12:26:29Z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