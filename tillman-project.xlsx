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8" documentId="120_S{26355A1A-C9FF-5539-9B49-32C1F08D0326}" xr6:coauthVersionLast="47" xr6:coauthVersionMax="47" xr10:uidLastSave="{041E267F-A304-4FA4-95FC-F7ED21D388B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746" r:id="rId11"/>
    <pivotCache cacheId="749" r:id="rId12"/>
    <pivotCache cacheId="752" r:id="rId13"/>
    <pivotCache cacheId="755" r:id="rId14"/>
    <pivotCache cacheId="75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 i="31" l="1"/>
  <c r="X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<sst xmlns="http://schemas.openxmlformats.org/spreadsheetml/2006/main" count="18512" uniqueCount="2337">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</sst>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24"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U64" activePane="topRight" state="frozen"/>
      <selection pane="topRight" activeCell="AD72" sqref="AD72"/>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1369"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1369"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81">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81">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c r="E58" s="986"/>
      <c r="F58" s="985"/>
      <c r="G58" s="897"/>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2">
        <v>0</v>
      </c>
      <c r="I62" s="519" t="s">
        <v>53</v>
      </c>
      <c r="J62" s="961" t="s">
        <v>82</v>
      </c>
      <c r="K62" s="1383" t="s">
        <v>67</v>
      </c>
      <c r="L62" s="1113"/>
      <c r="M62" s="961" t="s">
        <v>68</v>
      </c>
      <c r="N62" s="1115"/>
      <c r="O62" s="961" t="s">
        <v>68</v>
      </c>
      <c r="P62" s="951" t="s">
        <v>69</v>
      </c>
      <c r="Q62" s="1378"/>
      <c r="R62" s="1378"/>
      <c r="S62" s="1378"/>
      <c r="T62" s="1378"/>
      <c r="U62" s="1384">
        <v>6202</v>
      </c>
      <c r="V62" s="1385"/>
      <c r="W62" s="1385">
        <f>SUM(U62-V62)</f>
        <v>6202</v>
      </c>
      <c r="X62" s="687">
        <f>IFERROR($V62/$U62, 0)</f>
        <v>0</v>
      </c>
      <c r="Y62" s="1386"/>
      <c r="Z62" s="1097">
        <v>0</v>
      </c>
      <c r="AA62" s="1126">
        <v>0</v>
      </c>
      <c r="AB62" s="948">
        <v>0</v>
      </c>
      <c r="AC62" s="894" t="s">
        <v>227</v>
      </c>
      <c r="AD62" s="939"/>
    </row>
    <row r="63" spans="1:30" ht="24.75" customHeight="1">
      <c r="A63" s="1238" t="s">
        <v>228</v>
      </c>
      <c r="B63" s="1311" t="s">
        <v>214</v>
      </c>
      <c r="C63" s="984">
        <v>46172</v>
      </c>
      <c r="D63" s="985" t="s">
        <v>229</v>
      </c>
      <c r="E63" s="986"/>
      <c r="F63" s="985"/>
      <c r="G63" s="897"/>
      <c r="H63" s="1376">
        <v>402</v>
      </c>
      <c r="I63" s="519" t="s">
        <v>53</v>
      </c>
      <c r="J63" s="961" t="s">
        <v>82</v>
      </c>
      <c r="K63" s="1383"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2">
        <v>0</v>
      </c>
      <c r="I64" s="519" t="s">
        <v>53</v>
      </c>
      <c r="J64" s="961" t="s">
        <v>54</v>
      </c>
      <c r="K64" s="1383"/>
      <c r="L64" s="986"/>
      <c r="M64" s="961" t="s">
        <v>55</v>
      </c>
      <c r="N64" s="1115">
        <v>12316.35</v>
      </c>
      <c r="O64" s="961" t="s">
        <v>55</v>
      </c>
      <c r="P64" s="951" t="s">
        <v>64</v>
      </c>
      <c r="Q64" s="1378">
        <v>46086</v>
      </c>
      <c r="R64" s="1378"/>
      <c r="S64" s="1378"/>
      <c r="T64" s="1378"/>
      <c r="U64" s="1379">
        <v>47</v>
      </c>
      <c r="V64" s="1373"/>
      <c r="W64" s="1373">
        <f>SUM(U64-V64)</f>
        <v>47</v>
      </c>
      <c r="X64" s="521">
        <f>IFERROR($V64/$U64, 0)</f>
        <v>0</v>
      </c>
      <c r="Y64" s="1386"/>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2">
        <v>0</v>
      </c>
      <c r="I65" s="519" t="s">
        <v>53</v>
      </c>
      <c r="J65" s="961" t="s">
        <v>54</v>
      </c>
      <c r="K65" s="1383"/>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6"/>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2">
        <v>0</v>
      </c>
      <c r="I66" s="519" t="s">
        <v>53</v>
      </c>
      <c r="J66" s="961" t="s">
        <v>54</v>
      </c>
      <c r="K66" s="1383"/>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6"/>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2">
        <v>0</v>
      </c>
      <c r="I67" s="519" t="s">
        <v>53</v>
      </c>
      <c r="J67" s="961" t="s">
        <v>54</v>
      </c>
      <c r="K67" s="1383"/>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6"/>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2">
        <v>0</v>
      </c>
      <c r="I68" s="519" t="s">
        <v>53</v>
      </c>
      <c r="J68" s="961" t="s">
        <v>54</v>
      </c>
      <c r="K68" s="1383"/>
      <c r="L68" s="986"/>
      <c r="M68" s="961" t="s">
        <v>55</v>
      </c>
      <c r="N68" s="1115">
        <v>1698.25</v>
      </c>
      <c r="O68" s="961" t="s">
        <v>55</v>
      </c>
      <c r="P68" s="951" t="s">
        <v>64</v>
      </c>
      <c r="Q68" s="1378">
        <v>46087</v>
      </c>
      <c r="R68" s="1378"/>
      <c r="S68" s="1378"/>
      <c r="T68" s="1378"/>
      <c r="U68" s="1379">
        <v>105</v>
      </c>
      <c r="V68" s="1373"/>
      <c r="W68" s="1373">
        <f>SUM(U68-V68)</f>
        <v>105</v>
      </c>
      <c r="X68" s="521">
        <f>IFERROR($V68/$U68, 0)</f>
        <v>0</v>
      </c>
      <c r="Y68" s="1386"/>
      <c r="Z68" s="1097">
        <v>0</v>
      </c>
      <c r="AA68" s="1126">
        <v>0</v>
      </c>
      <c r="AB68" s="948">
        <v>0</v>
      </c>
      <c r="AC68" s="894" t="s">
        <v>233</v>
      </c>
      <c r="AD68" s="939"/>
    </row>
    <row r="69" spans="1:31" ht="24.75" customHeight="1">
      <c r="A69" s="983" t="s">
        <v>242</v>
      </c>
      <c r="B69" s="1312" t="s">
        <v>231</v>
      </c>
      <c r="C69" s="984">
        <v>46111</v>
      </c>
      <c r="D69" s="985"/>
      <c r="E69" s="986"/>
      <c r="F69" s="897" t="s">
        <v>141</v>
      </c>
      <c r="G69" s="897" t="s">
        <v>243</v>
      </c>
      <c r="H69" s="1382">
        <v>0</v>
      </c>
      <c r="I69" s="519" t="s">
        <v>53</v>
      </c>
      <c r="J69" s="961" t="s">
        <v>54</v>
      </c>
      <c r="K69" s="1383"/>
      <c r="L69" s="986"/>
      <c r="M69" s="961" t="s">
        <v>55</v>
      </c>
      <c r="N69" s="1115">
        <v>5779.1</v>
      </c>
      <c r="O69" s="961" t="s">
        <v>55</v>
      </c>
      <c r="P69" s="951" t="s">
        <v>69</v>
      </c>
      <c r="Q69" s="1378"/>
      <c r="R69" s="1378"/>
      <c r="S69" s="1378"/>
      <c r="T69" s="1378"/>
      <c r="U69" s="1379">
        <v>406</v>
      </c>
      <c r="V69" s="1373"/>
      <c r="W69" s="1373">
        <f>SUM(U69-V69)</f>
        <v>406</v>
      </c>
      <c r="X69" s="521">
        <f>IFERROR($V69/$U69, 0)</f>
        <v>0</v>
      </c>
      <c r="Y69" s="1386"/>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2">
        <v>0</v>
      </c>
      <c r="I70" s="519" t="s">
        <v>53</v>
      </c>
      <c r="J70" s="961" t="s">
        <v>54</v>
      </c>
      <c r="K70" s="1383"/>
      <c r="L70" s="986"/>
      <c r="M70" s="961" t="s">
        <v>55</v>
      </c>
      <c r="N70" s="1115">
        <v>6808.8</v>
      </c>
      <c r="O70" s="961" t="s">
        <v>55</v>
      </c>
      <c r="P70" s="951" t="s">
        <v>64</v>
      </c>
      <c r="Q70" s="1378">
        <v>46087</v>
      </c>
      <c r="R70" s="1378"/>
      <c r="S70" s="1378"/>
      <c r="T70" s="1378"/>
      <c r="U70" s="1379">
        <v>508</v>
      </c>
      <c r="V70" s="1373"/>
      <c r="W70" s="1373">
        <f>SUM(U70-V70)</f>
        <v>508</v>
      </c>
      <c r="X70" s="521">
        <f>IFERROR($V70/$U70, 0)</f>
        <v>0</v>
      </c>
      <c r="Y70" s="1386"/>
      <c r="Z70" s="1097">
        <v>0</v>
      </c>
      <c r="AA70" s="1126">
        <v>0</v>
      </c>
      <c r="AB70" s="948">
        <v>0</v>
      </c>
      <c r="AC70" s="894" t="s">
        <v>244</v>
      </c>
      <c r="AD70" s="939"/>
    </row>
    <row r="71" spans="1:31" ht="24.75" customHeight="1">
      <c r="A71" s="983" t="s">
        <v>247</v>
      </c>
      <c r="B71" s="1312" t="s">
        <v>231</v>
      </c>
      <c r="C71" s="984">
        <v>46111</v>
      </c>
      <c r="D71" s="985" t="s">
        <v>85</v>
      </c>
      <c r="E71" s="986">
        <v>46087</v>
      </c>
      <c r="F71" s="897" t="s">
        <v>141</v>
      </c>
      <c r="G71" s="897" t="s">
        <v>248</v>
      </c>
      <c r="H71" s="1382">
        <v>0</v>
      </c>
      <c r="I71" s="519" t="s">
        <v>53</v>
      </c>
      <c r="J71" s="961" t="s">
        <v>82</v>
      </c>
      <c r="K71" s="1383"/>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6"/>
      <c r="Z71" s="1097">
        <v>0</v>
      </c>
      <c r="AA71" s="1126">
        <v>0</v>
      </c>
      <c r="AB71" s="948">
        <v>0</v>
      </c>
      <c r="AC71" s="894" t="s">
        <v>233</v>
      </c>
      <c r="AD71" s="939"/>
    </row>
    <row r="72" spans="1:31" ht="24.75" customHeight="1">
      <c r="A72" s="1238" t="s">
        <v>249</v>
      </c>
      <c r="B72" s="1312" t="s">
        <v>231</v>
      </c>
      <c r="C72" s="984">
        <v>46111</v>
      </c>
      <c r="D72" s="985"/>
      <c r="E72" s="986"/>
      <c r="F72" s="897" t="s">
        <v>141</v>
      </c>
      <c r="G72" s="897" t="s">
        <v>250</v>
      </c>
      <c r="H72" s="1382">
        <v>0</v>
      </c>
      <c r="I72" s="519" t="s">
        <v>53</v>
      </c>
      <c r="J72" s="961" t="s">
        <v>82</v>
      </c>
      <c r="K72" s="1383"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6"/>
      <c r="Z72" s="1097">
        <v>0</v>
      </c>
      <c r="AA72" s="1126">
        <v>0</v>
      </c>
      <c r="AB72" s="948">
        <v>0</v>
      </c>
      <c r="AC72" s="894" t="s">
        <v>251</v>
      </c>
      <c r="AD72" s="939"/>
    </row>
    <row r="73" spans="1:31" ht="24.75" customHeight="1">
      <c r="A73" s="1238" t="s">
        <v>252</v>
      </c>
      <c r="B73" s="1312" t="s">
        <v>231</v>
      </c>
      <c r="C73" s="984">
        <v>46111</v>
      </c>
      <c r="D73" s="985"/>
      <c r="E73" s="986"/>
      <c r="F73" s="897" t="s">
        <v>141</v>
      </c>
      <c r="G73" s="897" t="s">
        <v>246</v>
      </c>
      <c r="H73" s="1382">
        <v>0</v>
      </c>
      <c r="I73" s="519" t="s">
        <v>53</v>
      </c>
      <c r="J73" s="961" t="s">
        <v>82</v>
      </c>
      <c r="K73" s="1383"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6"/>
      <c r="Z73" s="1097">
        <v>0</v>
      </c>
      <c r="AA73" s="1126">
        <v>0</v>
      </c>
      <c r="AB73" s="948">
        <v>0</v>
      </c>
      <c r="AC73" s="894" t="s">
        <v>251</v>
      </c>
      <c r="AD73" s="939"/>
    </row>
    <row r="74" spans="1:31" ht="24.75" customHeight="1">
      <c r="A74" s="983" t="s">
        <v>253</v>
      </c>
      <c r="B74" s="1312" t="s">
        <v>231</v>
      </c>
      <c r="C74" s="984">
        <v>46111</v>
      </c>
      <c r="D74" s="985"/>
      <c r="E74" s="986"/>
      <c r="F74" s="897"/>
      <c r="G74" s="897"/>
      <c r="H74" s="1382">
        <v>0</v>
      </c>
      <c r="I74" s="519" t="s">
        <v>53</v>
      </c>
      <c r="J74" s="961" t="s">
        <v>82</v>
      </c>
      <c r="K74" s="1383" t="s">
        <v>67</v>
      </c>
      <c r="L74" s="986"/>
      <c r="M74" s="961" t="s">
        <v>68</v>
      </c>
      <c r="N74" s="1115"/>
      <c r="O74" s="961" t="s">
        <v>68</v>
      </c>
      <c r="P74" s="951" t="s">
        <v>69</v>
      </c>
      <c r="Q74" s="1378"/>
      <c r="R74" s="1378"/>
      <c r="S74" s="1378"/>
      <c r="T74" s="1378"/>
      <c r="U74" s="1384"/>
      <c r="V74" s="1385"/>
      <c r="W74" s="1385">
        <f>SUM(U74-V74)</f>
        <v>0</v>
      </c>
      <c r="X74" s="687">
        <f>IFERROR($V74/$U74, 0)</f>
        <v>0</v>
      </c>
      <c r="Y74" s="1386"/>
      <c r="Z74" s="1097">
        <v>0</v>
      </c>
      <c r="AA74" s="1126">
        <v>0</v>
      </c>
      <c r="AB74" s="948">
        <v>0</v>
      </c>
      <c r="AC74" s="894" t="s">
        <v>254</v>
      </c>
      <c r="AD74" s="939"/>
    </row>
    <row r="75" spans="1:31" ht="24.75" customHeight="1">
      <c r="A75" s="983" t="s">
        <v>255</v>
      </c>
      <c r="B75" s="1312" t="s">
        <v>231</v>
      </c>
      <c r="C75" s="984">
        <v>46111</v>
      </c>
      <c r="D75" s="985"/>
      <c r="E75" s="986"/>
      <c r="F75" s="897"/>
      <c r="G75" s="897"/>
      <c r="H75" s="1382">
        <v>0</v>
      </c>
      <c r="I75" s="519" t="s">
        <v>53</v>
      </c>
      <c r="J75" s="961" t="s">
        <v>82</v>
      </c>
      <c r="K75" s="1383" t="s">
        <v>67</v>
      </c>
      <c r="L75" s="986"/>
      <c r="M75" s="961" t="s">
        <v>68</v>
      </c>
      <c r="N75" s="1115"/>
      <c r="O75" s="961" t="s">
        <v>68</v>
      </c>
      <c r="P75" s="951" t="s">
        <v>69</v>
      </c>
      <c r="Q75" s="1378"/>
      <c r="R75" s="1378"/>
      <c r="S75" s="1378"/>
      <c r="T75" s="1378"/>
      <c r="U75" s="1384"/>
      <c r="V75" s="1385"/>
      <c r="W75" s="1385">
        <f>SUM(U75-V75)</f>
        <v>0</v>
      </c>
      <c r="X75" s="516">
        <f>IFERROR($V75/$U75, 0)</f>
        <v>0</v>
      </c>
      <c r="Y75" s="1387"/>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8"/>
      <c r="R83" s="1001"/>
      <c r="S83" s="1001"/>
      <c r="T83" s="1001"/>
      <c r="U83" s="970">
        <v>4564</v>
      </c>
      <c r="V83" s="933"/>
      <c r="W83" s="970">
        <v>4564</v>
      </c>
      <c r="X83" s="864"/>
      <c r="Y83" s="1389"/>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8"/>
      <c r="R84" s="1001"/>
      <c r="S84" s="1001"/>
      <c r="T84" s="1001"/>
      <c r="U84" s="970">
        <v>5936</v>
      </c>
      <c r="V84" s="933"/>
      <c r="W84" s="970">
        <v>5936</v>
      </c>
      <c r="X84" s="864"/>
      <c r="Y84" s="1389"/>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8"/>
      <c r="R85" s="1001"/>
      <c r="S85" s="1001"/>
      <c r="T85" s="1001"/>
      <c r="U85" s="970">
        <v>7117</v>
      </c>
      <c r="V85" s="933"/>
      <c r="W85" s="970">
        <v>7117</v>
      </c>
      <c r="X85" s="864"/>
      <c r="Y85" s="1389"/>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8"/>
      <c r="R86" s="1001"/>
      <c r="S86" s="1001"/>
      <c r="T86" s="1001"/>
      <c r="U86" s="970">
        <v>9590</v>
      </c>
      <c r="V86" s="933"/>
      <c r="W86" s="970">
        <v>9590</v>
      </c>
      <c r="X86" s="864"/>
      <c r="Y86" s="1389"/>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8"/>
      <c r="R87" s="1001"/>
      <c r="S87" s="1001"/>
      <c r="T87" s="1001"/>
      <c r="U87" s="970">
        <v>9329</v>
      </c>
      <c r="V87" s="933"/>
      <c r="W87" s="970">
        <v>9329</v>
      </c>
      <c r="X87" s="864"/>
      <c r="Y87" s="1389"/>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8"/>
      <c r="R88" s="1001"/>
      <c r="S88" s="1001"/>
      <c r="T88" s="1001"/>
      <c r="U88" s="970">
        <v>9709</v>
      </c>
      <c r="V88" s="933"/>
      <c r="W88" s="970">
        <v>9709</v>
      </c>
      <c r="X88" s="864"/>
      <c r="Y88" s="1389"/>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8"/>
      <c r="R89" s="1001"/>
      <c r="S89" s="1001"/>
      <c r="T89" s="1001"/>
      <c r="U89" s="970">
        <v>9263</v>
      </c>
      <c r="V89" s="933"/>
      <c r="W89" s="970">
        <v>9263</v>
      </c>
      <c r="X89" s="864"/>
      <c r="Y89" s="1389"/>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8"/>
      <c r="R90" s="1001"/>
      <c r="S90" s="1001"/>
      <c r="T90" s="1001"/>
      <c r="U90" s="970">
        <v>10385</v>
      </c>
      <c r="V90" s="933"/>
      <c r="W90" s="970">
        <v>10385</v>
      </c>
      <c r="X90" s="864"/>
      <c r="Y90" s="1389"/>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8"/>
      <c r="R91" s="1001"/>
      <c r="S91" s="1001"/>
      <c r="T91" s="1001"/>
      <c r="U91" s="970">
        <v>9398</v>
      </c>
      <c r="V91" s="933"/>
      <c r="W91" s="970">
        <v>9398</v>
      </c>
      <c r="X91" s="864"/>
      <c r="Y91" s="1389"/>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8"/>
      <c r="R92" s="1001"/>
      <c r="S92" s="1001"/>
      <c r="T92" s="1001"/>
      <c r="U92" s="970">
        <v>7517</v>
      </c>
      <c r="V92" s="933"/>
      <c r="W92" s="970">
        <v>7517</v>
      </c>
      <c r="X92" s="864"/>
      <c r="Y92" s="1389"/>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8"/>
      <c r="R93" s="1001"/>
      <c r="S93" s="1001"/>
      <c r="T93" s="1001"/>
      <c r="U93" s="970">
        <v>5920</v>
      </c>
      <c r="V93" s="933"/>
      <c r="W93" s="970">
        <v>5920</v>
      </c>
      <c r="X93" s="864"/>
      <c r="Y93" s="1389"/>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8"/>
      <c r="R94" s="1001"/>
      <c r="S94" s="1001"/>
      <c r="T94" s="1001"/>
      <c r="U94" s="970">
        <v>5589</v>
      </c>
      <c r="V94" s="933"/>
      <c r="W94" s="970">
        <v>5589</v>
      </c>
      <c r="X94" s="864"/>
      <c r="Y94" s="1389"/>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8"/>
      <c r="R95" s="1001"/>
      <c r="S95" s="1001"/>
      <c r="T95" s="1001"/>
      <c r="U95" s="970">
        <v>5515</v>
      </c>
      <c r="V95" s="933"/>
      <c r="W95" s="970">
        <v>5515</v>
      </c>
      <c r="X95" s="864"/>
      <c r="Y95" s="1389"/>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8"/>
      <c r="R96" s="1001"/>
      <c r="S96" s="1001"/>
      <c r="T96" s="1001"/>
      <c r="U96" s="970">
        <v>5191</v>
      </c>
      <c r="V96" s="933"/>
      <c r="W96" s="970">
        <v>5191</v>
      </c>
      <c r="X96" s="864"/>
      <c r="Y96" s="1389"/>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8"/>
      <c r="R97" s="1001"/>
      <c r="S97" s="1001"/>
      <c r="T97" s="1001"/>
      <c r="U97" s="970">
        <v>5620</v>
      </c>
      <c r="V97" s="933"/>
      <c r="W97" s="970">
        <v>5620</v>
      </c>
      <c r="X97" s="864"/>
      <c r="Y97" s="1389"/>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8"/>
      <c r="R98" s="1001"/>
      <c r="S98" s="1001"/>
      <c r="T98" s="1001"/>
      <c r="U98" s="970">
        <v>6864</v>
      </c>
      <c r="V98" s="933"/>
      <c r="W98" s="970">
        <v>6864</v>
      </c>
      <c r="X98" s="864"/>
      <c r="Y98" s="1389"/>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8"/>
      <c r="R99" s="1001"/>
      <c r="S99" s="1001"/>
      <c r="T99" s="1001"/>
      <c r="U99" s="970">
        <v>6461</v>
      </c>
      <c r="V99" s="933"/>
      <c r="W99" s="970">
        <v>6461</v>
      </c>
      <c r="X99" s="864"/>
      <c r="Y99" s="1389"/>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8"/>
      <c r="R100" s="1001"/>
      <c r="S100" s="1001"/>
      <c r="T100" s="1001"/>
      <c r="U100" s="970">
        <v>2790</v>
      </c>
      <c r="V100" s="933"/>
      <c r="W100" s="970">
        <v>2790</v>
      </c>
      <c r="X100" s="864"/>
      <c r="Y100" s="1389"/>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8"/>
      <c r="R101" s="1001"/>
      <c r="S101" s="1001"/>
      <c r="T101" s="1001"/>
      <c r="U101" s="970">
        <v>7368</v>
      </c>
      <c r="V101" s="933"/>
      <c r="W101" s="970">
        <v>7368</v>
      </c>
      <c r="X101" s="864"/>
      <c r="Y101" s="1389"/>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8"/>
      <c r="R102" s="1001"/>
      <c r="S102" s="1001"/>
      <c r="T102" s="1001"/>
      <c r="U102" s="970">
        <v>7844</v>
      </c>
      <c r="V102" s="933"/>
      <c r="W102" s="970">
        <v>7844</v>
      </c>
      <c r="X102" s="864"/>
      <c r="Y102" s="1389"/>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8"/>
      <c r="R103" s="1001"/>
      <c r="S103" s="1001"/>
      <c r="T103" s="1001"/>
      <c r="U103" s="970">
        <v>8148</v>
      </c>
      <c r="V103" s="933"/>
      <c r="W103" s="970">
        <v>8148</v>
      </c>
      <c r="X103" s="864"/>
      <c r="Y103" s="1389"/>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8"/>
      <c r="R104" s="1001"/>
      <c r="S104" s="1001"/>
      <c r="T104" s="1001"/>
      <c r="U104" s="970">
        <v>6829</v>
      </c>
      <c r="V104" s="933"/>
      <c r="W104" s="970">
        <v>6829</v>
      </c>
      <c r="X104" s="864"/>
      <c r="Y104" s="1389"/>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8"/>
      <c r="R105" s="1001"/>
      <c r="S105" s="1001"/>
      <c r="T105" s="1001"/>
      <c r="U105" s="970">
        <v>6157</v>
      </c>
      <c r="V105" s="933"/>
      <c r="W105" s="970">
        <v>6157</v>
      </c>
      <c r="X105" s="864"/>
      <c r="Y105" s="1389"/>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8"/>
      <c r="R106" s="1001"/>
      <c r="S106" s="1001"/>
      <c r="T106" s="1001"/>
      <c r="U106" s="970">
        <v>9537</v>
      </c>
      <c r="V106" s="933"/>
      <c r="W106" s="970">
        <v>9537</v>
      </c>
      <c r="X106" s="864"/>
      <c r="Y106" s="1389"/>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8"/>
      <c r="R107" s="1001"/>
      <c r="S107" s="1001"/>
      <c r="T107" s="1001"/>
      <c r="U107" s="970">
        <v>6796</v>
      </c>
      <c r="V107" s="933"/>
      <c r="W107" s="970">
        <v>6796</v>
      </c>
      <c r="X107" s="864"/>
      <c r="Y107" s="1389"/>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8"/>
      <c r="R108" s="1001"/>
      <c r="S108" s="1001"/>
      <c r="T108" s="1001"/>
      <c r="U108" s="970">
        <v>6149</v>
      </c>
      <c r="V108" s="933"/>
      <c r="W108" s="970">
        <v>6149</v>
      </c>
      <c r="X108" s="864"/>
      <c r="Y108" s="1389"/>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8"/>
      <c r="R109" s="1001"/>
      <c r="S109" s="1001"/>
      <c r="T109" s="1001"/>
      <c r="U109" s="970">
        <v>6284</v>
      </c>
      <c r="V109" s="933"/>
      <c r="W109" s="970">
        <v>6284</v>
      </c>
      <c r="X109" s="864"/>
      <c r="Y109" s="1389"/>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8"/>
      <c r="R110" s="1001"/>
      <c r="S110" s="1001"/>
      <c r="T110" s="1001"/>
      <c r="U110" s="970">
        <v>7743</v>
      </c>
      <c r="V110" s="933"/>
      <c r="W110" s="970">
        <v>7743</v>
      </c>
      <c r="X110" s="864"/>
      <c r="Y110" s="1389"/>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8"/>
      <c r="R111" s="1001"/>
      <c r="S111" s="1001"/>
      <c r="T111" s="1001"/>
      <c r="U111" s="970">
        <v>6932</v>
      </c>
      <c r="V111" s="933"/>
      <c r="W111" s="970">
        <v>6932</v>
      </c>
      <c r="X111" s="864"/>
      <c r="Y111" s="1389"/>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8"/>
      <c r="R112" s="1001"/>
      <c r="S112" s="1001"/>
      <c r="T112" s="1001"/>
      <c r="U112" s="970">
        <v>6213</v>
      </c>
      <c r="V112" s="933"/>
      <c r="W112" s="970">
        <v>6213</v>
      </c>
      <c r="X112" s="864"/>
      <c r="Y112" s="1389"/>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8"/>
      <c r="R113" s="1001"/>
      <c r="S113" s="1001"/>
      <c r="T113" s="1001"/>
      <c r="U113" s="970">
        <v>4339</v>
      </c>
      <c r="V113" s="933"/>
      <c r="W113" s="970">
        <v>4339</v>
      </c>
      <c r="X113" s="864"/>
      <c r="Y113" s="1389"/>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8"/>
      <c r="R114" s="1001"/>
      <c r="S114" s="1001"/>
      <c r="T114" s="1001"/>
      <c r="U114" s="970">
        <v>3940</v>
      </c>
      <c r="V114" s="933"/>
      <c r="W114" s="970">
        <v>3940</v>
      </c>
      <c r="X114" s="864"/>
      <c r="Y114" s="1389"/>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8"/>
      <c r="R115" s="1001"/>
      <c r="S115" s="1001"/>
      <c r="T115" s="1001"/>
      <c r="U115" s="970">
        <v>6855</v>
      </c>
      <c r="V115" s="933"/>
      <c r="W115" s="970">
        <v>6855</v>
      </c>
      <c r="X115" s="864"/>
      <c r="Y115" s="1389"/>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8"/>
      <c r="R116" s="1001"/>
      <c r="S116" s="1001"/>
      <c r="T116" s="1001"/>
      <c r="U116" s="970">
        <v>7147</v>
      </c>
      <c r="V116" s="933"/>
      <c r="W116" s="970">
        <v>7147</v>
      </c>
      <c r="X116" s="864"/>
      <c r="Y116" s="1389"/>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8"/>
      <c r="R117" s="1001"/>
      <c r="S117" s="1001"/>
      <c r="T117" s="1001"/>
      <c r="U117" s="970">
        <v>6376</v>
      </c>
      <c r="V117" s="933"/>
      <c r="W117" s="970">
        <v>6376</v>
      </c>
      <c r="X117" s="864"/>
      <c r="Y117" s="1389"/>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8"/>
      <c r="R118" s="1001"/>
      <c r="S118" s="1001"/>
      <c r="T118" s="1001"/>
      <c r="U118" s="970">
        <v>4784</v>
      </c>
      <c r="V118" s="933"/>
      <c r="W118" s="970">
        <v>4784</v>
      </c>
      <c r="X118" s="864"/>
      <c r="Y118" s="1389"/>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8"/>
      <c r="R119" s="1001"/>
      <c r="S119" s="1001"/>
      <c r="T119" s="1001"/>
      <c r="U119" s="970">
        <v>6387</v>
      </c>
      <c r="V119" s="933"/>
      <c r="W119" s="970">
        <v>6387</v>
      </c>
      <c r="X119" s="864"/>
      <c r="Y119" s="1389"/>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8"/>
      <c r="R120" s="1001"/>
      <c r="S120" s="1001"/>
      <c r="T120" s="1001"/>
      <c r="U120" s="970">
        <v>6372</v>
      </c>
      <c r="V120" s="933"/>
      <c r="W120" s="970">
        <v>6372</v>
      </c>
      <c r="X120" s="864"/>
      <c r="Y120" s="1389"/>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8"/>
      <c r="R121" s="1001"/>
      <c r="S121" s="1001"/>
      <c r="T121" s="1001"/>
      <c r="U121" s="970">
        <v>5363</v>
      </c>
      <c r="V121" s="933"/>
      <c r="W121" s="970">
        <v>5363</v>
      </c>
      <c r="X121" s="864"/>
      <c r="Y121" s="1389"/>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8"/>
      <c r="R122" s="1001"/>
      <c r="S122" s="1001"/>
      <c r="T122" s="1001"/>
      <c r="U122" s="970">
        <v>5199</v>
      </c>
      <c r="V122" s="933"/>
      <c r="W122" s="970">
        <v>5199</v>
      </c>
      <c r="X122" s="864"/>
      <c r="Y122" s="1389"/>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8"/>
      <c r="R123" s="1001"/>
      <c r="S123" s="1001"/>
      <c r="T123" s="1001"/>
      <c r="U123" s="970">
        <v>9771</v>
      </c>
      <c r="V123" s="933"/>
      <c r="W123" s="970">
        <v>9771</v>
      </c>
      <c r="X123" s="864"/>
      <c r="Y123" s="1389"/>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8"/>
      <c r="R124" s="1001"/>
      <c r="S124" s="1001"/>
      <c r="T124" s="1001"/>
      <c r="U124" s="970">
        <v>9562</v>
      </c>
      <c r="V124" s="933"/>
      <c r="W124" s="970">
        <v>9562</v>
      </c>
      <c r="X124" s="864"/>
      <c r="Y124" s="1389"/>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8"/>
      <c r="R125" s="1001"/>
      <c r="S125" s="1001"/>
      <c r="T125" s="1001"/>
      <c r="U125" s="970">
        <v>6309</v>
      </c>
      <c r="V125" s="933"/>
      <c r="W125" s="970">
        <v>6309</v>
      </c>
      <c r="X125" s="864"/>
      <c r="Y125" s="1389"/>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8"/>
      <c r="R126" s="1001"/>
      <c r="S126" s="1001"/>
      <c r="T126" s="1001"/>
      <c r="U126" s="970">
        <v>10260</v>
      </c>
      <c r="V126" s="933"/>
      <c r="W126" s="970">
        <v>10260</v>
      </c>
      <c r="X126" s="864"/>
      <c r="Y126" s="1389"/>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8"/>
      <c r="R127" s="1001"/>
      <c r="S127" s="1001"/>
      <c r="T127" s="1001"/>
      <c r="U127" s="970">
        <v>10080</v>
      </c>
      <c r="V127" s="933"/>
      <c r="W127" s="970">
        <v>10080</v>
      </c>
      <c r="X127" s="864"/>
      <c r="Y127" s="1389"/>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8"/>
      <c r="R128" s="1001"/>
      <c r="S128" s="1001"/>
      <c r="T128" s="1001"/>
      <c r="U128" s="970">
        <v>6859</v>
      </c>
      <c r="V128" s="933"/>
      <c r="W128" s="970">
        <v>6859</v>
      </c>
      <c r="X128" s="864"/>
      <c r="Y128" s="1389"/>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8"/>
      <c r="R129" s="1001"/>
      <c r="S129" s="1001"/>
      <c r="T129" s="1001"/>
      <c r="U129" s="970">
        <v>5873</v>
      </c>
      <c r="V129" s="933"/>
      <c r="W129" s="970">
        <v>5873</v>
      </c>
      <c r="X129" s="864"/>
      <c r="Y129" s="1389"/>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8"/>
      <c r="R130" s="1001"/>
      <c r="S130" s="1001"/>
      <c r="T130" s="1001"/>
      <c r="U130" s="970">
        <v>4945</v>
      </c>
      <c r="V130" s="933"/>
      <c r="W130" s="970">
        <v>4945</v>
      </c>
      <c r="X130" s="864"/>
      <c r="Y130" s="1389"/>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8"/>
      <c r="R131" s="1001"/>
      <c r="S131" s="1001"/>
      <c r="T131" s="1001"/>
      <c r="U131" s="970">
        <v>4275</v>
      </c>
      <c r="V131" s="933"/>
      <c r="W131" s="970">
        <v>4275</v>
      </c>
      <c r="X131" s="864"/>
      <c r="Y131" s="1389"/>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8"/>
      <c r="R132" s="1001"/>
      <c r="S132" s="1001"/>
      <c r="T132" s="1001"/>
      <c r="U132" s="970">
        <v>6378</v>
      </c>
      <c r="V132" s="933"/>
      <c r="W132" s="970">
        <v>6378</v>
      </c>
      <c r="X132" s="864"/>
      <c r="Y132" s="1389"/>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8"/>
      <c r="R133" s="1001"/>
      <c r="S133" s="1001"/>
      <c r="T133" s="1001"/>
      <c r="U133" s="970">
        <v>7373</v>
      </c>
      <c r="V133" s="933"/>
      <c r="W133" s="970">
        <v>7373</v>
      </c>
      <c r="X133" s="864"/>
      <c r="Y133" s="1389"/>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8"/>
      <c r="R134" s="1001"/>
      <c r="S134" s="1001"/>
      <c r="T134" s="1001"/>
      <c r="U134" s="970">
        <v>5781</v>
      </c>
      <c r="V134" s="933"/>
      <c r="W134" s="970">
        <v>5781</v>
      </c>
      <c r="X134" s="864"/>
      <c r="Y134" s="1389"/>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8"/>
      <c r="R135" s="1001"/>
      <c r="S135" s="1001"/>
      <c r="T135" s="1001"/>
      <c r="U135" s="970">
        <v>9051</v>
      </c>
      <c r="V135" s="933"/>
      <c r="W135" s="970">
        <v>9051</v>
      </c>
      <c r="X135" s="864"/>
      <c r="Y135" s="1389"/>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8"/>
      <c r="R136" s="1001"/>
      <c r="S136" s="1001"/>
      <c r="T136" s="1001"/>
      <c r="U136" s="970">
        <v>7261</v>
      </c>
      <c r="V136" s="933"/>
      <c r="W136" s="970">
        <v>7261</v>
      </c>
      <c r="X136" s="864"/>
      <c r="Y136" s="1389"/>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8"/>
      <c r="R137" s="1001"/>
      <c r="S137" s="1001"/>
      <c r="T137" s="1001"/>
      <c r="U137" s="970">
        <v>9638</v>
      </c>
      <c r="V137" s="933"/>
      <c r="W137" s="970">
        <v>9638</v>
      </c>
      <c r="X137" s="864"/>
      <c r="Y137" s="1389"/>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8"/>
      <c r="R138" s="1001"/>
      <c r="S138" s="1001"/>
      <c r="T138" s="1001"/>
      <c r="U138" s="970">
        <v>8746</v>
      </c>
      <c r="V138" s="933"/>
      <c r="W138" s="970">
        <v>8746</v>
      </c>
      <c r="X138" s="864"/>
      <c r="Y138" s="1389"/>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107"/>
      <c r="V139" s="933"/>
      <c r="W139" s="1107"/>
      <c r="X139" s="864"/>
      <c r="Y139" s="1389"/>
      <c r="Z139" s="1390"/>
      <c r="AA139" s="1390"/>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8"/>
      <c r="R151" s="1001"/>
      <c r="S151" s="1001"/>
      <c r="T151" s="1001"/>
      <c r="U151" s="933">
        <v>8641</v>
      </c>
      <c r="V151" s="1385"/>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1"/>
      <c r="R152" s="1003"/>
      <c r="S152" s="1003"/>
      <c r="T152" s="1003"/>
      <c r="U152" s="1005">
        <v>7502</v>
      </c>
      <c r="V152" s="1392"/>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2"/>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SUM(U4-V4)</f>
        <v>69</v>
      </c>
      <c r="X4" s="521">
        <f>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SUM(U5-V5)</f>
        <v>69</v>
      </c>
      <c r="X5" s="521">
        <f>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SUM(U7-V7)</f>
        <v>331</v>
      </c>
      <c r="X7" s="368">
        <f>IFERROR($V7/$U7, 0)</f>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SUM(U8-V8)</f>
        <v>2</v>
      </c>
      <c r="X8" s="521">
        <f>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6">
        <v>109</v>
      </c>
      <c r="I9" s="662" t="s">
        <v>343</v>
      </c>
      <c r="J9" s="665" t="s">
        <v>54</v>
      </c>
      <c r="K9" s="1370"/>
      <c r="L9" s="986">
        <v>45663</v>
      </c>
      <c r="M9" s="898" t="s">
        <v>55</v>
      </c>
      <c r="N9" s="1377">
        <v>123587.5</v>
      </c>
      <c r="O9" s="1376" t="s">
        <v>55</v>
      </c>
      <c r="P9" s="1393" t="s">
        <v>344</v>
      </c>
      <c r="Q9" s="1378">
        <v>46008</v>
      </c>
      <c r="R9" s="1378"/>
      <c r="S9" s="1378"/>
      <c r="T9" s="1378"/>
      <c r="U9" s="1379">
        <v>6825</v>
      </c>
      <c r="V9" s="1394">
        <v>6575</v>
      </c>
      <c r="W9" s="1373">
        <f>SUM(U9-V9)</f>
        <v>250</v>
      </c>
      <c r="X9" s="521">
        <f>IFERROR($V9/$U9, 0)</f>
        <v>0.96336996336996339</v>
      </c>
      <c r="Y9" s="1378">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SUM(U10-V10)</f>
        <v>-57</v>
      </c>
      <c r="X10" s="521">
        <f>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SUM(U11-V11)</f>
        <v>42</v>
      </c>
      <c r="X11" s="521">
        <f>IFERROR($V11/$U11, 0)</f>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SUM(U12-V12)</f>
        <v>163</v>
      </c>
      <c r="X12" s="521">
        <f>IFERROR($V12/$U12, 0)</f>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SUM(U13-V13)</f>
        <v>-116</v>
      </c>
      <c r="X13" s="521">
        <f>IFERROR($V13/$U13, 0)</f>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SUM(U14-V14)</f>
        <v>128</v>
      </c>
      <c r="X14" s="521">
        <f>IFERROR($V14/$U14, 0)</f>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SUM(U15-V15)</f>
        <v>128</v>
      </c>
      <c r="X15" s="521">
        <f>IFERROR($V15/$U15, 0)</f>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SUM(U16-V16)</f>
        <v>193</v>
      </c>
      <c r="X16" s="516">
        <f>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SUM(U17-V17)</f>
        <v>127</v>
      </c>
      <c r="X17" s="521">
        <f>IFERROR($V17/$U17, 0)</f>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SUM(U19-V19)</f>
        <v>-94</v>
      </c>
      <c r="X19" s="521">
        <f>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IFERROR($V23/$U23, 0)</f>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SUM(U26-V26)</f>
        <v>-32</v>
      </c>
      <c r="X26" s="521">
        <f>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SUM(U27-V27)</f>
        <v>-118</v>
      </c>
      <c r="X27" s="687">
        <f>IFERROR($V27/$U27, 0)</f>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SUM(U28-V28)</f>
        <v>-37</v>
      </c>
      <c r="X28" s="521">
        <f>IFERROR($V28/$U28, 0)</f>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IFERROR($V29/$U29, 0)</f>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0">
        <v>0</v>
      </c>
      <c r="I71" s="520" t="s">
        <v>343</v>
      </c>
      <c r="J71" s="1370" t="s">
        <v>54</v>
      </c>
      <c r="K71" s="984" t="s">
        <v>91</v>
      </c>
      <c r="L71" s="1370" t="s">
        <v>55</v>
      </c>
      <c r="M71" s="1395">
        <v>15670.45</v>
      </c>
      <c r="N71" s="346">
        <v>12965</v>
      </c>
      <c r="O71" s="1370" t="s">
        <v>55</v>
      </c>
      <c r="P71" s="1396" t="s">
        <v>344</v>
      </c>
      <c r="Q71" s="1372">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399" t="s">
        <v>54</v>
      </c>
      <c r="K302" s="43"/>
      <c r="L302" s="691" t="s">
        <v>62</v>
      </c>
      <c r="M302" s="765" t="s">
        <v>55</v>
      </c>
      <c r="N302" s="1400">
        <v>1035</v>
      </c>
      <c r="O302" s="945" t="s">
        <v>55</v>
      </c>
      <c r="P302" s="1295" t="s">
        <v>344</v>
      </c>
      <c r="Q302" s="1401">
        <v>46030</v>
      </c>
      <c r="R302" s="258" t="s">
        <v>91</v>
      </c>
      <c r="S302" s="258" t="s">
        <v>91</v>
      </c>
      <c r="T302" s="258" t="s">
        <v>91</v>
      </c>
      <c r="U302" s="36"/>
      <c r="V302" s="1402">
        <v>0</v>
      </c>
      <c r="W302" s="1403">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85</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140</v>
      </c>
      <c r="C8">
        <v>21350</v>
      </c>
      <c r="L8" t="s">
        <v>459</v>
      </c>
      <c r="M8">
        <v>1</v>
      </c>
      <c r="P8" t="s">
        <v>1248</v>
      </c>
      <c r="R8">
        <v>1</v>
      </c>
      <c r="V8" t="s">
        <v>1249</v>
      </c>
      <c r="W8" s="189">
        <v>203521</v>
      </c>
      <c r="X8" s="245">
        <f>X5/X4</f>
        <v>0.59090909090909094</v>
      </c>
      <c r="Y8" s="245">
        <f>W9/W8</f>
        <v>0.31446386367991508</v>
      </c>
    </row>
    <row r="9" spans="1:25">
      <c r="B9" t="s">
        <v>122</v>
      </c>
      <c r="C9">
        <v>37709</v>
      </c>
      <c r="L9" t="s">
        <v>1250</v>
      </c>
      <c r="M9">
        <v>1</v>
      </c>
      <c r="P9" t="s">
        <v>1251</v>
      </c>
      <c r="Q9" t="s">
        <v>1250</v>
      </c>
      <c r="R9">
        <v>1</v>
      </c>
      <c r="V9" t="s">
        <v>1252</v>
      </c>
      <c r="W9">
        <v>64000</v>
      </c>
    </row>
    <row r="10" spans="1:25">
      <c r="B10" t="s">
        <v>101</v>
      </c>
      <c r="C10">
        <v>3</v>
      </c>
      <c r="L10" t="s">
        <v>734</v>
      </c>
      <c r="M10">
        <v>1</v>
      </c>
      <c r="Q10" t="s">
        <v>738</v>
      </c>
      <c r="R10">
        <v>1</v>
      </c>
    </row>
    <row r="11" spans="1:25">
      <c r="B11" t="s">
        <v>50</v>
      </c>
      <c r="C11">
        <v>8185</v>
      </c>
      <c r="L11" t="s">
        <v>738</v>
      </c>
      <c r="M11">
        <v>1</v>
      </c>
      <c r="Q11" t="s">
        <v>741</v>
      </c>
      <c r="R11">
        <v>1</v>
      </c>
    </row>
    <row r="12" spans="1:25">
      <c r="B12" t="s">
        <v>259</v>
      </c>
      <c r="C12">
        <v>10763</v>
      </c>
      <c r="L12" t="s">
        <v>741</v>
      </c>
      <c r="M12">
        <v>1</v>
      </c>
      <c r="Q12" t="s">
        <v>1253</v>
      </c>
      <c r="R12">
        <v>1</v>
      </c>
    </row>
    <row r="13" spans="1:25">
      <c r="B13" t="s">
        <v>229</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97</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360</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360</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356</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356</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356</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360</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356</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89</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356</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89</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342</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356</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347</v>
      </c>
      <c r="D899">
        <v>3179</v>
      </c>
      <c r="G899">
        <v>3179</v>
      </c>
    </row>
    <row r="900" spans="1:7">
      <c r="A900" t="s">
        <v>1005</v>
      </c>
      <c r="E900">
        <v>978</v>
      </c>
      <c r="G900">
        <v>978</v>
      </c>
    </row>
    <row r="901" spans="1:7">
      <c r="A901" t="s">
        <v>996</v>
      </c>
      <c r="E901">
        <v>502</v>
      </c>
      <c r="G901">
        <v>502</v>
      </c>
    </row>
    <row r="902" spans="1:7">
      <c r="A902" t="s">
        <v>147</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342</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347</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147</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363</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347</v>
      </c>
      <c r="B944">
        <v>96</v>
      </c>
      <c r="G944">
        <v>96</v>
      </c>
    </row>
    <row r="945" spans="1:7">
      <c r="A945" t="s">
        <v>1005</v>
      </c>
      <c r="B945">
        <v>632</v>
      </c>
      <c r="G945">
        <v>632</v>
      </c>
    </row>
    <row r="946" spans="1:7">
      <c r="A946" t="s">
        <v>996</v>
      </c>
      <c r="B946">
        <v>558</v>
      </c>
      <c r="G946">
        <v>558</v>
      </c>
    </row>
    <row r="947" spans="1:7">
      <c r="A947" t="s">
        <v>147</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349</v>
      </c>
      <c r="B951">
        <v>435</v>
      </c>
      <c r="E951">
        <v>1123</v>
      </c>
      <c r="G951">
        <v>1558</v>
      </c>
    </row>
    <row r="952" spans="1:7">
      <c r="A952" t="s">
        <v>983</v>
      </c>
      <c r="D952">
        <v>1580</v>
      </c>
      <c r="E952">
        <v>1258</v>
      </c>
      <c r="G952">
        <v>2838</v>
      </c>
    </row>
    <row r="953" spans="1:7">
      <c r="A953" t="s">
        <v>569</v>
      </c>
      <c r="D953">
        <v>877</v>
      </c>
      <c r="E953">
        <v>814</v>
      </c>
      <c r="G953">
        <v>1691</v>
      </c>
    </row>
    <row r="954" spans="1:7">
      <c r="A954" t="s">
        <v>136</v>
      </c>
      <c r="D954">
        <v>711</v>
      </c>
      <c r="E954">
        <v>325</v>
      </c>
      <c r="F954">
        <v>430</v>
      </c>
      <c r="G954">
        <v>1466</v>
      </c>
    </row>
    <row r="955" spans="1:7">
      <c r="A955" t="s">
        <v>381</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356</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147</v>
      </c>
      <c r="B973">
        <v>420</v>
      </c>
      <c r="G973">
        <v>420</v>
      </c>
    </row>
    <row r="974" spans="1:7">
      <c r="A974" t="s">
        <v>664</v>
      </c>
    </row>
    <row r="975" spans="1:7">
      <c r="A975" t="s">
        <v>349</v>
      </c>
      <c r="C975">
        <v>1917</v>
      </c>
      <c r="E975">
        <v>272</v>
      </c>
      <c r="G975">
        <v>2189</v>
      </c>
    </row>
    <row r="976" spans="1:7">
      <c r="A976" t="s">
        <v>569</v>
      </c>
      <c r="B976">
        <v>956</v>
      </c>
      <c r="G976">
        <v>956</v>
      </c>
    </row>
    <row r="977" spans="1:7">
      <c r="A977" t="s">
        <v>136</v>
      </c>
      <c r="E977">
        <v>195</v>
      </c>
      <c r="G977">
        <v>195</v>
      </c>
    </row>
    <row r="978" spans="1:7">
      <c r="A978" t="s">
        <v>381</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383</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347</v>
      </c>
    </row>
    <row r="1011" spans="1:7">
      <c r="A1011" t="s">
        <v>147</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349</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369</v>
      </c>
      <c r="D1100">
        <v>817</v>
      </c>
      <c r="E1100">
        <v>1820</v>
      </c>
      <c r="G1100">
        <v>2637</v>
      </c>
    </row>
    <row r="1101" spans="1:7">
      <c r="A1101" t="s">
        <v>950</v>
      </c>
      <c r="E1101">
        <v>1351</v>
      </c>
      <c r="G1101">
        <v>1351</v>
      </c>
    </row>
    <row r="1102" spans="1:7">
      <c r="A1102" t="s">
        <v>375</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375</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139</v>
      </c>
      <c r="C1129">
        <v>890</v>
      </c>
      <c r="D1129">
        <v>1810</v>
      </c>
      <c r="E1129">
        <v>967</v>
      </c>
      <c r="G1129">
        <v>3667</v>
      </c>
    </row>
    <row r="1130" spans="1:7">
      <c r="A1130" t="s">
        <v>385</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375</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375</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372</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356</v>
      </c>
      <c r="D1206">
        <v>1200</v>
      </c>
      <c r="E1206">
        <v>445</v>
      </c>
      <c r="F1206">
        <v>686</v>
      </c>
      <c r="G1206">
        <v>2331</v>
      </c>
    </row>
    <row r="1207" spans="1:7">
      <c r="A1207" t="s">
        <v>901</v>
      </c>
    </row>
    <row r="1208" spans="1:7">
      <c r="A1208" t="s">
        <v>870</v>
      </c>
    </row>
    <row r="1209" spans="1:7">
      <c r="A1209" t="s">
        <v>363</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372</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366</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356</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216</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223</v>
      </c>
      <c r="D1256">
        <v>2000</v>
      </c>
      <c r="E1256">
        <v>970</v>
      </c>
      <c r="G1256">
        <v>2970</v>
      </c>
    </row>
    <row r="1257" spans="1:7">
      <c r="A1257" t="s">
        <v>352</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352</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378</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v>859</v>
      </c>
      <c r="G1296">
        <v>859</v>
      </c>
    </row>
    <row r="1297" spans="1:7">
      <c r="A1297" t="s">
        <v>1288</v>
      </c>
      <c r="B1297">
        <v>251</v>
      </c>
      <c r="G1297">
        <v>251</v>
      </c>
    </row>
    <row r="1298" spans="1:7">
      <c r="A1298" t="s">
        <v>147</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216</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378</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388</v>
      </c>
      <c r="B1341">
        <v>1564</v>
      </c>
      <c r="C1341">
        <v>1532</v>
      </c>
      <c r="D1341">
        <v>1447</v>
      </c>
      <c r="E1341">
        <v>864</v>
      </c>
      <c r="G1341">
        <v>5407</v>
      </c>
    </row>
    <row r="1342" spans="1:7">
      <c r="A1342" t="s">
        <v>1371</v>
      </c>
      <c r="C1342">
        <v>199</v>
      </c>
      <c r="D1342">
        <v>361</v>
      </c>
      <c r="E1342">
        <v>652</v>
      </c>
      <c r="F1342">
        <v>379</v>
      </c>
      <c r="G1342">
        <v>1591</v>
      </c>
    </row>
    <row r="1343" spans="1:7">
      <c r="A1343" t="s">
        <v>392</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216</v>
      </c>
      <c r="D1353">
        <v>667</v>
      </c>
      <c r="G1353">
        <v>667</v>
      </c>
    </row>
    <row r="1354" spans="1:7">
      <c r="A1354" t="s">
        <v>931</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388</v>
      </c>
    </row>
    <row r="1358" spans="1:7">
      <c r="A1358" t="s">
        <v>1371</v>
      </c>
      <c r="B1358">
        <v>534</v>
      </c>
      <c r="D1358">
        <v>223</v>
      </c>
      <c r="G1358">
        <v>757</v>
      </c>
    </row>
    <row r="1359" spans="1:7">
      <c r="A1359" t="s">
        <v>392</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C1367">
        <v>179</v>
      </c>
      <c r="G1367">
        <v>179</v>
      </c>
    </row>
    <row r="1368" spans="1:7">
      <c r="A1368" t="s">
        <v>906</v>
      </c>
    </row>
    <row r="1369" spans="1:7">
      <c r="A1369" t="s">
        <v>931</v>
      </c>
    </row>
    <row r="1370" spans="1:7">
      <c r="A1370" t="s">
        <v>196</v>
      </c>
      <c r="B1370">
        <v>1391</v>
      </c>
      <c r="G1370">
        <v>1391</v>
      </c>
    </row>
    <row r="1371" spans="1:7">
      <c r="A1371" t="s">
        <v>392</v>
      </c>
      <c r="B1371">
        <v>1016</v>
      </c>
      <c r="G1371">
        <v>1016</v>
      </c>
    </row>
    <row r="1372" spans="1:7">
      <c r="A1372" t="s">
        <v>1374</v>
      </c>
      <c r="B1372">
        <v>1287</v>
      </c>
      <c r="C1372">
        <v>575</v>
      </c>
      <c r="D1372">
        <v>857</v>
      </c>
      <c r="E1372">
        <v>668</v>
      </c>
      <c r="F1372">
        <v>1392</v>
      </c>
      <c r="G1372">
        <v>4779</v>
      </c>
    </row>
    <row r="1373" spans="1:7">
      <c r="A1373" t="s">
        <v>395</v>
      </c>
      <c r="B1373">
        <v>611</v>
      </c>
      <c r="C1373">
        <v>1612</v>
      </c>
      <c r="G1373">
        <v>2223</v>
      </c>
    </row>
    <row r="1374" spans="1:7">
      <c r="A1374" t="s">
        <v>144</v>
      </c>
      <c r="D1374">
        <v>480</v>
      </c>
      <c r="E1374">
        <v>774</v>
      </c>
      <c r="G1374">
        <v>1254</v>
      </c>
    </row>
    <row r="1375" spans="1:7">
      <c r="A1375" t="s">
        <v>1255</v>
      </c>
      <c r="B1375">
        <v>4305</v>
      </c>
      <c r="C1375">
        <v>2366</v>
      </c>
      <c r="D1375">
        <v>1337</v>
      </c>
      <c r="E1375">
        <v>1442</v>
      </c>
      <c r="F1375">
        <v>1392</v>
      </c>
      <c r="G1375">
        <v>10842</v>
      </c>
    </row>
    <row r="1378" spans="1:4">
      <c r="A1378" s="13" t="s">
        <v>1303</v>
      </c>
      <c r="B1378" s="13" t="s">
        <v>1302</v>
      </c>
    </row>
    <row r="1379" spans="1:4">
      <c r="A1379" s="13" t="s">
        <v>1304</v>
      </c>
      <c r="B1379" s="50">
        <v>46090</v>
      </c>
      <c r="C1379" s="50">
        <v>46091</v>
      </c>
      <c r="D1379" t="s">
        <v>1255</v>
      </c>
    </row>
    <row r="1380" spans="1:4">
      <c r="A1380" t="s">
        <v>1374</v>
      </c>
      <c r="B1380">
        <v>167</v>
      </c>
      <c r="D1380">
        <v>167</v>
      </c>
    </row>
    <row r="1381" spans="1:4">
      <c r="A1381" t="s">
        <v>395</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1375</v>
      </c>
      <c r="B1385">
        <v>606</v>
      </c>
      <c r="D1385">
        <v>606</v>
      </c>
    </row>
    <row r="1386" spans="1:4">
      <c r="A1386" t="s">
        <v>74</v>
      </c>
    </row>
    <row r="1387" spans="1:4">
      <c r="A1387" t="s">
        <v>1255</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166C9C-7ABB-479D-882E-73FEC028A3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2026-03-10T17:23:53Z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