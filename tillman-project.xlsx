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69" documentId="120_S{26355A1A-C9FF-5539-9B49-32C1F08D0326}" xr6:coauthVersionLast="47" xr6:coauthVersionMax="47" xr10:uidLastSave="{27CD9A13-F738-4F4F-9324-CE61192EA75B}"/>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3806" r:id="rId12"/>
    <pivotCache cacheId="3807" r:id="rId13"/>
    <pivotCache cacheId="3808" r:id="rId14"/>
    <pivotCache cacheId="3809" r:id="rId15"/>
    <pivotCache cacheId="38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<sst xmlns="http://schemas.openxmlformats.org/spreadsheetml/2006/main" count="18063" uniqueCount="2282">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</sst>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1" dataDxfId="280" tableBorderDxfId="279">
  <autoFilter ref="A32:AD65"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SUM(V33-W33)</calculatedColumnFormula>
    </tableColumn>
    <tableColumn id="25" xr3:uid="{379DDEA3-89EB-4099-83E7-3171E0DEAC62}" name="UG Percentage Complete" dataDxfId="254">
      <calculatedColumnFormula>IFERROR($W33/$V33,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8" dataDxfId="247" tableBorderDxfId="246">
  <autoFilter ref="A11:AD29"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2" dataDxfId="181" tableBorderDxfId="180">
  <autoFilter ref="A68:AD69"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SUM(V69-W69)</calculatedColumnFormula>
    </tableColumn>
    <tableColumn id="25" xr3:uid="{46B32F0B-D8D7-45A5-8929-840D7A8ECF37}" name="UG Percentage Complete" dataDxfId="155">
      <calculatedColumnFormula>IFERROR($W69/$V69,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49" dataDxfId="148" tableBorderDxfId="147">
  <autoFilter ref="A129:AD141"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IFERROR($W130/$V130,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6" dataDxfId="115" tableBorderDxfId="114">
  <autoFilter ref="A72:AD128"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B1" activePane="topRight" state="frozen"/>
      <selection pane="topRight" activeCell="AD58" sqref="AD58"/>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4">
        <v>0</v>
      </c>
      <c r="I47" s="796" t="s">
        <v>54</v>
      </c>
      <c r="J47" s="799" t="s">
        <v>55</v>
      </c>
      <c r="K47" s="1545"/>
      <c r="L47" s="1243"/>
      <c r="M47" s="796" t="s">
        <v>56</v>
      </c>
      <c r="N47" s="1546">
        <v>36998.550000000003</v>
      </c>
      <c r="O47" s="796" t="s">
        <v>56</v>
      </c>
      <c r="P47" s="1157" t="s">
        <v>75</v>
      </c>
      <c r="Q47" s="1547"/>
      <c r="R47" s="1547"/>
      <c r="S47" s="1547"/>
      <c r="T47" s="1547"/>
      <c r="U47" s="1547"/>
      <c r="V47" s="1548">
        <v>2944</v>
      </c>
      <c r="W47" s="1549"/>
      <c r="X47" s="1549">
        <f>SUM(V47-W47)</f>
        <v>2944</v>
      </c>
      <c r="Y47" s="639">
        <f>IFERROR($W47/$V47, 0)</f>
        <v>0</v>
      </c>
      <c r="Z47" s="1550"/>
      <c r="AA47" s="1139">
        <v>0</v>
      </c>
      <c r="AB47" s="1139">
        <v>0</v>
      </c>
      <c r="AC47" s="624">
        <v>0</v>
      </c>
      <c r="AD47" s="1140"/>
      <c r="AE47" s="1187"/>
    </row>
    <row r="48" spans="1:56" ht="24.75" customHeight="1">
      <c r="A48" s="1240" t="s">
        <v>187</v>
      </c>
      <c r="B48" s="798" t="s">
        <v>149</v>
      </c>
      <c r="C48" s="1241">
        <v>46079</v>
      </c>
      <c r="D48" s="1243"/>
      <c r="E48" s="1243"/>
      <c r="F48" s="1242"/>
      <c r="G48" s="1142"/>
      <c r="H48" s="1544">
        <v>0</v>
      </c>
      <c r="I48" s="796" t="s">
        <v>54</v>
      </c>
      <c r="J48" s="799" t="s">
        <v>55</v>
      </c>
      <c r="K48" s="1545"/>
      <c r="L48" s="1243"/>
      <c r="M48" s="796" t="s">
        <v>56</v>
      </c>
      <c r="N48" s="1546">
        <v>49932.800000000003</v>
      </c>
      <c r="O48" s="796" t="s">
        <v>56</v>
      </c>
      <c r="P48" s="1157" t="s">
        <v>75</v>
      </c>
      <c r="Q48" s="1547"/>
      <c r="R48" s="1547"/>
      <c r="S48" s="1547"/>
      <c r="T48" s="1547"/>
      <c r="U48" s="1547"/>
      <c r="V48" s="1548">
        <v>4048</v>
      </c>
      <c r="W48" s="1549"/>
      <c r="X48" s="1549">
        <f>SUM(V48-W48)</f>
        <v>4048</v>
      </c>
      <c r="Y48" s="639">
        <f>IFERROR($W48/$V48, 0)</f>
        <v>0</v>
      </c>
      <c r="Z48" s="1550"/>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5"/>
      <c r="L55" s="1243"/>
      <c r="M55" s="1144" t="s">
        <v>56</v>
      </c>
      <c r="N55" s="1546">
        <v>118710.8</v>
      </c>
      <c r="O55" s="1144" t="s">
        <v>56</v>
      </c>
      <c r="P55" s="1135" t="s">
        <v>75</v>
      </c>
      <c r="Q55" s="1547"/>
      <c r="R55" s="1547"/>
      <c r="S55" s="1547"/>
      <c r="T55" s="1547"/>
      <c r="U55" s="1547"/>
      <c r="V55" s="1548">
        <v>9628</v>
      </c>
      <c r="W55" s="1549"/>
      <c r="X55" s="1549">
        <f>SUM(V55-W55)</f>
        <v>9628</v>
      </c>
      <c r="Y55" s="639">
        <f>IFERROR($W55/$V55, 0)</f>
        <v>0</v>
      </c>
      <c r="Z55" s="1547"/>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4">
        <v>0</v>
      </c>
      <c r="I58" s="796" t="s">
        <v>54</v>
      </c>
      <c r="J58" s="1144" t="s">
        <v>55</v>
      </c>
      <c r="K58" s="1545"/>
      <c r="L58" s="1243"/>
      <c r="M58" s="1144" t="s">
        <v>56</v>
      </c>
      <c r="N58" s="1546">
        <v>15002.75</v>
      </c>
      <c r="O58" s="1144" t="s">
        <v>56</v>
      </c>
      <c r="P58" s="1157" t="s">
        <v>75</v>
      </c>
      <c r="Q58" s="1547"/>
      <c r="R58" s="1547"/>
      <c r="S58" s="1547"/>
      <c r="T58" s="1547"/>
      <c r="U58" s="1547"/>
      <c r="V58" s="1548">
        <v>1175</v>
      </c>
      <c r="W58" s="1549"/>
      <c r="X58" s="1549">
        <f>SUM(V58-W58)</f>
        <v>1175</v>
      </c>
      <c r="Y58" s="639">
        <f>IFERROR($W58/$V58, 0)</f>
        <v>0</v>
      </c>
      <c r="Z58" s="1550"/>
      <c r="AA58" s="1139">
        <v>0</v>
      </c>
      <c r="AB58" s="1139">
        <v>0</v>
      </c>
      <c r="AC58" s="1148">
        <v>0</v>
      </c>
      <c r="AD58" s="1140"/>
      <c r="AE58" s="1187"/>
    </row>
    <row r="59" spans="1:31" ht="24.75" customHeight="1">
      <c r="A59" s="1130" t="s">
        <v>213</v>
      </c>
      <c r="B59" s="798" t="s">
        <v>149</v>
      </c>
      <c r="C59" s="1131">
        <v>46103</v>
      </c>
      <c r="D59" s="1242"/>
      <c r="E59" s="1243"/>
      <c r="F59" s="1242"/>
      <c r="G59" s="1143"/>
      <c r="H59" s="1544">
        <v>0</v>
      </c>
      <c r="I59" s="796" t="s">
        <v>54</v>
      </c>
      <c r="J59" s="1144" t="s">
        <v>55</v>
      </c>
      <c r="K59" s="1545"/>
      <c r="L59" s="1243"/>
      <c r="M59" s="1144" t="s">
        <v>56</v>
      </c>
      <c r="N59" s="1546">
        <v>12977.65</v>
      </c>
      <c r="O59" s="1144" t="s">
        <v>56</v>
      </c>
      <c r="P59" s="1157" t="s">
        <v>75</v>
      </c>
      <c r="Q59" s="1547"/>
      <c r="R59" s="1547"/>
      <c r="S59" s="1547"/>
      <c r="T59" s="1547"/>
      <c r="U59" s="1547"/>
      <c r="V59" s="1548">
        <v>1029</v>
      </c>
      <c r="W59" s="1549"/>
      <c r="X59" s="1549">
        <f>SUM(V59-W59)</f>
        <v>1029</v>
      </c>
      <c r="Y59" s="639">
        <f>IFERROR($W59/$V59, 0)</f>
        <v>0</v>
      </c>
      <c r="Z59" s="1550"/>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1">
        <v>0</v>
      </c>
      <c r="I65" s="637" t="s">
        <v>54</v>
      </c>
      <c r="J65" s="1209" t="s">
        <v>103</v>
      </c>
      <c r="K65" s="1552" t="s">
        <v>73</v>
      </c>
      <c r="L65" s="1420"/>
      <c r="M65" s="1209" t="s">
        <v>74</v>
      </c>
      <c r="N65" s="1422"/>
      <c r="O65" s="1209" t="s">
        <v>74</v>
      </c>
      <c r="P65" s="1199" t="s">
        <v>75</v>
      </c>
      <c r="Q65" s="1547"/>
      <c r="R65" s="1547"/>
      <c r="S65" s="1547"/>
      <c r="T65" s="1547"/>
      <c r="U65" s="1547"/>
      <c r="V65" s="1553">
        <v>6202</v>
      </c>
      <c r="W65" s="1554"/>
      <c r="X65" s="1554">
        <f>SUM(V65-W65)</f>
        <v>6202</v>
      </c>
      <c r="Y65" s="634">
        <f>IFERROR($W65/$V65, 0)</f>
        <v>0</v>
      </c>
      <c r="Z65" s="1555"/>
      <c r="AA65" s="1442">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3"/>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6"/>
      <c r="R73" s="1259"/>
      <c r="S73" s="1259"/>
      <c r="T73" s="1259"/>
      <c r="U73" s="1259"/>
      <c r="V73" s="1220">
        <v>7117</v>
      </c>
      <c r="W73" s="1181"/>
      <c r="X73" s="1220">
        <v>7117</v>
      </c>
      <c r="Y73" s="1086"/>
      <c r="Z73" s="1557"/>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6"/>
      <c r="R74" s="1259"/>
      <c r="S74" s="1259"/>
      <c r="T74" s="1259"/>
      <c r="U74" s="1259"/>
      <c r="V74" s="1220">
        <v>9590</v>
      </c>
      <c r="W74" s="1181"/>
      <c r="X74" s="1220">
        <v>9590</v>
      </c>
      <c r="Y74" s="1086"/>
      <c r="Z74" s="1557"/>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6"/>
      <c r="R75" s="1259"/>
      <c r="S75" s="1259"/>
      <c r="T75" s="1259"/>
      <c r="U75" s="1259"/>
      <c r="V75" s="1220">
        <v>9329</v>
      </c>
      <c r="W75" s="1181"/>
      <c r="X75" s="1220">
        <v>9329</v>
      </c>
      <c r="Y75" s="1086"/>
      <c r="Z75" s="1557"/>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6"/>
      <c r="R76" s="1259"/>
      <c r="S76" s="1259"/>
      <c r="T76" s="1259"/>
      <c r="U76" s="1259"/>
      <c r="V76" s="1220">
        <v>9709</v>
      </c>
      <c r="W76" s="1181"/>
      <c r="X76" s="1220">
        <v>9709</v>
      </c>
      <c r="Y76" s="1086"/>
      <c r="Z76" s="1557"/>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6"/>
      <c r="R77" s="1259"/>
      <c r="S77" s="1259"/>
      <c r="T77" s="1259"/>
      <c r="U77" s="1259"/>
      <c r="V77" s="1220">
        <v>9263</v>
      </c>
      <c r="W77" s="1181"/>
      <c r="X77" s="1220">
        <v>9263</v>
      </c>
      <c r="Y77" s="1086"/>
      <c r="Z77" s="1557"/>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6"/>
      <c r="R78" s="1259"/>
      <c r="S78" s="1259"/>
      <c r="T78" s="1259"/>
      <c r="U78" s="1259"/>
      <c r="V78" s="1220">
        <v>10385</v>
      </c>
      <c r="W78" s="1181"/>
      <c r="X78" s="1220">
        <v>10385</v>
      </c>
      <c r="Y78" s="1086"/>
      <c r="Z78" s="1557"/>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6"/>
      <c r="R79" s="1259"/>
      <c r="S79" s="1259"/>
      <c r="T79" s="1259"/>
      <c r="U79" s="1259"/>
      <c r="V79" s="1220">
        <v>9398</v>
      </c>
      <c r="W79" s="1181"/>
      <c r="X79" s="1220">
        <v>9398</v>
      </c>
      <c r="Y79" s="1086"/>
      <c r="Z79" s="1557"/>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6"/>
      <c r="R80" s="1259"/>
      <c r="S80" s="1259"/>
      <c r="T80" s="1259"/>
      <c r="U80" s="1259"/>
      <c r="V80" s="1220">
        <v>7517</v>
      </c>
      <c r="W80" s="1181"/>
      <c r="X80" s="1220">
        <v>7517</v>
      </c>
      <c r="Y80" s="1086"/>
      <c r="Z80" s="1557"/>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6"/>
      <c r="R81" s="1259"/>
      <c r="S81" s="1259"/>
      <c r="T81" s="1259"/>
      <c r="U81" s="1259"/>
      <c r="V81" s="1220">
        <v>5920</v>
      </c>
      <c r="W81" s="1181"/>
      <c r="X81" s="1220">
        <v>5920</v>
      </c>
      <c r="Y81" s="1086"/>
      <c r="Z81" s="1557"/>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6"/>
      <c r="R82" s="1259"/>
      <c r="S82" s="1259"/>
      <c r="T82" s="1259"/>
      <c r="U82" s="1259"/>
      <c r="V82" s="1220">
        <v>5589</v>
      </c>
      <c r="W82" s="1181"/>
      <c r="X82" s="1220">
        <v>5589</v>
      </c>
      <c r="Y82" s="1086"/>
      <c r="Z82" s="1557"/>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6"/>
      <c r="R83" s="1259"/>
      <c r="S83" s="1259"/>
      <c r="T83" s="1259"/>
      <c r="U83" s="1259"/>
      <c r="V83" s="1220">
        <v>5515</v>
      </c>
      <c r="W83" s="1181"/>
      <c r="X83" s="1220">
        <v>5515</v>
      </c>
      <c r="Y83" s="1086"/>
      <c r="Z83" s="1557"/>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6"/>
      <c r="R84" s="1259"/>
      <c r="S84" s="1259"/>
      <c r="T84" s="1259"/>
      <c r="U84" s="1259"/>
      <c r="V84" s="1220">
        <v>5191</v>
      </c>
      <c r="W84" s="1181"/>
      <c r="X84" s="1220">
        <v>5191</v>
      </c>
      <c r="Y84" s="1086"/>
      <c r="Z84" s="1557"/>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6"/>
      <c r="R85" s="1259"/>
      <c r="S85" s="1259"/>
      <c r="T85" s="1259"/>
      <c r="U85" s="1259"/>
      <c r="V85" s="1220">
        <v>5620</v>
      </c>
      <c r="W85" s="1181"/>
      <c r="X85" s="1220">
        <v>5620</v>
      </c>
      <c r="Y85" s="1086"/>
      <c r="Z85" s="1557"/>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6"/>
      <c r="R86" s="1259"/>
      <c r="S86" s="1259"/>
      <c r="T86" s="1259"/>
      <c r="U86" s="1259"/>
      <c r="V86" s="1220">
        <v>6864</v>
      </c>
      <c r="W86" s="1181"/>
      <c r="X86" s="1220">
        <v>6864</v>
      </c>
      <c r="Y86" s="1086"/>
      <c r="Z86" s="1557"/>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6"/>
      <c r="R87" s="1259"/>
      <c r="S87" s="1259"/>
      <c r="T87" s="1259"/>
      <c r="U87" s="1259"/>
      <c r="V87" s="1220">
        <v>6461</v>
      </c>
      <c r="W87" s="1181"/>
      <c r="X87" s="1220">
        <v>6461</v>
      </c>
      <c r="Y87" s="1086"/>
      <c r="Z87" s="1557"/>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6"/>
      <c r="R88" s="1259"/>
      <c r="S88" s="1259"/>
      <c r="T88" s="1259"/>
      <c r="U88" s="1259"/>
      <c r="V88" s="1220">
        <v>2790</v>
      </c>
      <c r="W88" s="1181"/>
      <c r="X88" s="1220">
        <v>2790</v>
      </c>
      <c r="Y88" s="1086"/>
      <c r="Z88" s="1557"/>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6"/>
      <c r="R89" s="1259"/>
      <c r="S89" s="1259"/>
      <c r="T89" s="1259"/>
      <c r="U89" s="1259"/>
      <c r="V89" s="1220">
        <v>7368</v>
      </c>
      <c r="W89" s="1181"/>
      <c r="X89" s="1220">
        <v>7368</v>
      </c>
      <c r="Y89" s="1086"/>
      <c r="Z89" s="1557"/>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6"/>
      <c r="R90" s="1259"/>
      <c r="S90" s="1259"/>
      <c r="T90" s="1259"/>
      <c r="U90" s="1259"/>
      <c r="V90" s="1220">
        <v>7844</v>
      </c>
      <c r="W90" s="1181"/>
      <c r="X90" s="1220">
        <v>7844</v>
      </c>
      <c r="Y90" s="1086"/>
      <c r="Z90" s="1557"/>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6"/>
      <c r="R91" s="1259"/>
      <c r="S91" s="1259"/>
      <c r="T91" s="1259"/>
      <c r="U91" s="1259"/>
      <c r="V91" s="1220">
        <v>8148</v>
      </c>
      <c r="W91" s="1181"/>
      <c r="X91" s="1220">
        <v>8148</v>
      </c>
      <c r="Y91" s="1086"/>
      <c r="Z91" s="1557"/>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6"/>
      <c r="R92" s="1259"/>
      <c r="S92" s="1259"/>
      <c r="T92" s="1259"/>
      <c r="U92" s="1259"/>
      <c r="V92" s="1220">
        <v>6829</v>
      </c>
      <c r="W92" s="1181"/>
      <c r="X92" s="1220">
        <v>6829</v>
      </c>
      <c r="Y92" s="1086"/>
      <c r="Z92" s="1557"/>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6"/>
      <c r="R93" s="1259"/>
      <c r="S93" s="1259"/>
      <c r="T93" s="1259"/>
      <c r="U93" s="1259"/>
      <c r="V93" s="1220">
        <v>6157</v>
      </c>
      <c r="W93" s="1181"/>
      <c r="X93" s="1220">
        <v>6157</v>
      </c>
      <c r="Y93" s="1086"/>
      <c r="Z93" s="1557"/>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6"/>
      <c r="R94" s="1259"/>
      <c r="S94" s="1259"/>
      <c r="T94" s="1259"/>
      <c r="U94" s="1259"/>
      <c r="V94" s="1220">
        <v>9537</v>
      </c>
      <c r="W94" s="1181"/>
      <c r="X94" s="1220">
        <v>9537</v>
      </c>
      <c r="Y94" s="1086"/>
      <c r="Z94" s="1557"/>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6"/>
      <c r="R95" s="1259"/>
      <c r="S95" s="1259"/>
      <c r="T95" s="1259"/>
      <c r="U95" s="1259"/>
      <c r="V95" s="1220">
        <v>6796</v>
      </c>
      <c r="W95" s="1181"/>
      <c r="X95" s="1220">
        <v>6796</v>
      </c>
      <c r="Y95" s="1086"/>
      <c r="Z95" s="1557"/>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6"/>
      <c r="R96" s="1259"/>
      <c r="S96" s="1259"/>
      <c r="T96" s="1259"/>
      <c r="U96" s="1259"/>
      <c r="V96" s="1220">
        <v>6149</v>
      </c>
      <c r="W96" s="1181"/>
      <c r="X96" s="1220">
        <v>6149</v>
      </c>
      <c r="Y96" s="1086"/>
      <c r="Z96" s="1557"/>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6"/>
      <c r="R97" s="1259"/>
      <c r="S97" s="1259"/>
      <c r="T97" s="1259"/>
      <c r="U97" s="1259"/>
      <c r="V97" s="1220">
        <v>6284</v>
      </c>
      <c r="W97" s="1181"/>
      <c r="X97" s="1220">
        <v>6284</v>
      </c>
      <c r="Y97" s="1086"/>
      <c r="Z97" s="1557"/>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6"/>
      <c r="R98" s="1259"/>
      <c r="S98" s="1259"/>
      <c r="T98" s="1259"/>
      <c r="U98" s="1259"/>
      <c r="V98" s="1220">
        <v>7743</v>
      </c>
      <c r="W98" s="1181"/>
      <c r="X98" s="1220">
        <v>7743</v>
      </c>
      <c r="Y98" s="1086"/>
      <c r="Z98" s="1557"/>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6"/>
      <c r="R99" s="1259"/>
      <c r="S99" s="1259"/>
      <c r="T99" s="1259"/>
      <c r="U99" s="1259"/>
      <c r="V99" s="1220">
        <v>6932</v>
      </c>
      <c r="W99" s="1181"/>
      <c r="X99" s="1220">
        <v>6932</v>
      </c>
      <c r="Y99" s="1086"/>
      <c r="Z99" s="1557"/>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6"/>
      <c r="R100" s="1259"/>
      <c r="S100" s="1259"/>
      <c r="T100" s="1259"/>
      <c r="U100" s="1259"/>
      <c r="V100" s="1220">
        <v>6213</v>
      </c>
      <c r="W100" s="1181"/>
      <c r="X100" s="1220">
        <v>6213</v>
      </c>
      <c r="Y100" s="1086"/>
      <c r="Z100" s="1557"/>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6"/>
      <c r="R101" s="1259"/>
      <c r="S101" s="1259"/>
      <c r="T101" s="1259"/>
      <c r="U101" s="1259"/>
      <c r="V101" s="1220">
        <v>4339</v>
      </c>
      <c r="W101" s="1181"/>
      <c r="X101" s="1220">
        <v>4339</v>
      </c>
      <c r="Y101" s="1086"/>
      <c r="Z101" s="1557"/>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6"/>
      <c r="R102" s="1259"/>
      <c r="S102" s="1259"/>
      <c r="T102" s="1259"/>
      <c r="U102" s="1259"/>
      <c r="V102" s="1220">
        <v>3940</v>
      </c>
      <c r="W102" s="1181"/>
      <c r="X102" s="1220">
        <v>3940</v>
      </c>
      <c r="Y102" s="1086"/>
      <c r="Z102" s="1557"/>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6"/>
      <c r="R103" s="1259"/>
      <c r="S103" s="1259"/>
      <c r="T103" s="1259"/>
      <c r="U103" s="1259"/>
      <c r="V103" s="1220">
        <v>6855</v>
      </c>
      <c r="W103" s="1181"/>
      <c r="X103" s="1220">
        <v>6855</v>
      </c>
      <c r="Y103" s="1086"/>
      <c r="Z103" s="1557"/>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6"/>
      <c r="R104" s="1259"/>
      <c r="S104" s="1259"/>
      <c r="T104" s="1259"/>
      <c r="U104" s="1259"/>
      <c r="V104" s="1220">
        <v>7147</v>
      </c>
      <c r="W104" s="1181"/>
      <c r="X104" s="1220">
        <v>7147</v>
      </c>
      <c r="Y104" s="1086"/>
      <c r="Z104" s="1557"/>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6"/>
      <c r="R105" s="1259"/>
      <c r="S105" s="1259"/>
      <c r="T105" s="1259"/>
      <c r="U105" s="1259"/>
      <c r="V105" s="1220">
        <v>6376</v>
      </c>
      <c r="W105" s="1181"/>
      <c r="X105" s="1220">
        <v>6376</v>
      </c>
      <c r="Y105" s="1086"/>
      <c r="Z105" s="1557"/>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6"/>
      <c r="R106" s="1259"/>
      <c r="S106" s="1259"/>
      <c r="T106" s="1259"/>
      <c r="U106" s="1259"/>
      <c r="V106" s="1220">
        <v>4784</v>
      </c>
      <c r="W106" s="1181"/>
      <c r="X106" s="1220">
        <v>4784</v>
      </c>
      <c r="Y106" s="1086"/>
      <c r="Z106" s="1557"/>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6"/>
      <c r="R107" s="1259"/>
      <c r="S107" s="1259"/>
      <c r="T107" s="1259"/>
      <c r="U107" s="1259"/>
      <c r="V107" s="1220">
        <v>6387</v>
      </c>
      <c r="W107" s="1181"/>
      <c r="X107" s="1220">
        <v>6387</v>
      </c>
      <c r="Y107" s="1086"/>
      <c r="Z107" s="1557"/>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6"/>
      <c r="R108" s="1259"/>
      <c r="S108" s="1259"/>
      <c r="T108" s="1259"/>
      <c r="U108" s="1259"/>
      <c r="V108" s="1220">
        <v>6372</v>
      </c>
      <c r="W108" s="1181"/>
      <c r="X108" s="1220">
        <v>6372</v>
      </c>
      <c r="Y108" s="1086"/>
      <c r="Z108" s="1557"/>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6"/>
      <c r="R109" s="1259"/>
      <c r="S109" s="1259"/>
      <c r="T109" s="1259"/>
      <c r="U109" s="1259"/>
      <c r="V109" s="1220">
        <v>5363</v>
      </c>
      <c r="W109" s="1181"/>
      <c r="X109" s="1220">
        <v>5363</v>
      </c>
      <c r="Y109" s="1086"/>
      <c r="Z109" s="1557"/>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6"/>
      <c r="R110" s="1259"/>
      <c r="S110" s="1259"/>
      <c r="T110" s="1259"/>
      <c r="U110" s="1259"/>
      <c r="V110" s="1220">
        <v>5199</v>
      </c>
      <c r="W110" s="1181"/>
      <c r="X110" s="1220">
        <v>5199</v>
      </c>
      <c r="Y110" s="1086"/>
      <c r="Z110" s="1557"/>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6"/>
      <c r="R111" s="1259"/>
      <c r="S111" s="1259"/>
      <c r="T111" s="1259"/>
      <c r="U111" s="1259"/>
      <c r="V111" s="1220">
        <v>9771</v>
      </c>
      <c r="W111" s="1181"/>
      <c r="X111" s="1220">
        <v>9771</v>
      </c>
      <c r="Y111" s="1086"/>
      <c r="Z111" s="1557"/>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6"/>
      <c r="R112" s="1259"/>
      <c r="S112" s="1259"/>
      <c r="T112" s="1259"/>
      <c r="U112" s="1259"/>
      <c r="V112" s="1220">
        <v>9562</v>
      </c>
      <c r="W112" s="1181"/>
      <c r="X112" s="1220">
        <v>9562</v>
      </c>
      <c r="Y112" s="1086"/>
      <c r="Z112" s="1557"/>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6"/>
      <c r="R113" s="1259"/>
      <c r="S113" s="1259"/>
      <c r="T113" s="1259"/>
      <c r="U113" s="1259"/>
      <c r="V113" s="1220">
        <v>6309</v>
      </c>
      <c r="W113" s="1181"/>
      <c r="X113" s="1220">
        <v>6309</v>
      </c>
      <c r="Y113" s="1086"/>
      <c r="Z113" s="1557"/>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6"/>
      <c r="R114" s="1259"/>
      <c r="S114" s="1259"/>
      <c r="T114" s="1259"/>
      <c r="U114" s="1259"/>
      <c r="V114" s="1220">
        <v>10260</v>
      </c>
      <c r="W114" s="1181"/>
      <c r="X114" s="1220">
        <v>10260</v>
      </c>
      <c r="Y114" s="1086"/>
      <c r="Z114" s="1557"/>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6"/>
      <c r="R115" s="1259"/>
      <c r="S115" s="1259"/>
      <c r="T115" s="1259"/>
      <c r="U115" s="1259"/>
      <c r="V115" s="1220">
        <v>10080</v>
      </c>
      <c r="W115" s="1181"/>
      <c r="X115" s="1220">
        <v>10080</v>
      </c>
      <c r="Y115" s="1086"/>
      <c r="Z115" s="1557"/>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6"/>
      <c r="R116" s="1259"/>
      <c r="S116" s="1259"/>
      <c r="T116" s="1259"/>
      <c r="U116" s="1259"/>
      <c r="V116" s="1220">
        <v>6859</v>
      </c>
      <c r="W116" s="1181"/>
      <c r="X116" s="1220">
        <v>6859</v>
      </c>
      <c r="Y116" s="1086"/>
      <c r="Z116" s="1557"/>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6"/>
      <c r="R117" s="1259"/>
      <c r="S117" s="1259"/>
      <c r="T117" s="1259"/>
      <c r="U117" s="1259"/>
      <c r="V117" s="1220">
        <v>5873</v>
      </c>
      <c r="W117" s="1181"/>
      <c r="X117" s="1220">
        <v>5873</v>
      </c>
      <c r="Y117" s="1086"/>
      <c r="Z117" s="1557"/>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6"/>
      <c r="R118" s="1259"/>
      <c r="S118" s="1259"/>
      <c r="T118" s="1259"/>
      <c r="U118" s="1259"/>
      <c r="V118" s="1220">
        <v>4945</v>
      </c>
      <c r="W118" s="1181"/>
      <c r="X118" s="1220">
        <v>4945</v>
      </c>
      <c r="Y118" s="1086"/>
      <c r="Z118" s="1557"/>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6"/>
      <c r="R119" s="1259"/>
      <c r="S119" s="1259"/>
      <c r="T119" s="1259"/>
      <c r="U119" s="1259"/>
      <c r="V119" s="1220">
        <v>4275</v>
      </c>
      <c r="W119" s="1181"/>
      <c r="X119" s="1220">
        <v>4275</v>
      </c>
      <c r="Y119" s="1086"/>
      <c r="Z119" s="1557"/>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6"/>
      <c r="R120" s="1259"/>
      <c r="S120" s="1259"/>
      <c r="T120" s="1259"/>
      <c r="U120" s="1259"/>
      <c r="V120" s="1220">
        <v>6378</v>
      </c>
      <c r="W120" s="1181"/>
      <c r="X120" s="1220">
        <v>6378</v>
      </c>
      <c r="Y120" s="1086"/>
      <c r="Z120" s="1557"/>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6"/>
      <c r="R121" s="1259"/>
      <c r="S121" s="1259"/>
      <c r="T121" s="1259"/>
      <c r="U121" s="1259"/>
      <c r="V121" s="1220">
        <v>7373</v>
      </c>
      <c r="W121" s="1181"/>
      <c r="X121" s="1220">
        <v>7373</v>
      </c>
      <c r="Y121" s="1086"/>
      <c r="Z121" s="1557"/>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6"/>
      <c r="R122" s="1259"/>
      <c r="S122" s="1259"/>
      <c r="T122" s="1259"/>
      <c r="U122" s="1259"/>
      <c r="V122" s="1220">
        <v>5781</v>
      </c>
      <c r="W122" s="1181"/>
      <c r="X122" s="1220">
        <v>5781</v>
      </c>
      <c r="Y122" s="1086"/>
      <c r="Z122" s="1557"/>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6"/>
      <c r="R123" s="1259"/>
      <c r="S123" s="1259"/>
      <c r="T123" s="1259"/>
      <c r="U123" s="1259"/>
      <c r="V123" s="1220">
        <v>9051</v>
      </c>
      <c r="W123" s="1181"/>
      <c r="X123" s="1220">
        <v>9051</v>
      </c>
      <c r="Y123" s="1086"/>
      <c r="Z123" s="1557"/>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6"/>
      <c r="R124" s="1259"/>
      <c r="S124" s="1259"/>
      <c r="T124" s="1259"/>
      <c r="U124" s="1259"/>
      <c r="V124" s="1220">
        <v>7261</v>
      </c>
      <c r="W124" s="1181"/>
      <c r="X124" s="1220">
        <v>7261</v>
      </c>
      <c r="Y124" s="1086"/>
      <c r="Z124" s="1557"/>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6"/>
      <c r="R125" s="1259"/>
      <c r="S125" s="1259"/>
      <c r="T125" s="1259"/>
      <c r="U125" s="1259"/>
      <c r="V125" s="1220">
        <v>9638</v>
      </c>
      <c r="W125" s="1181"/>
      <c r="X125" s="1220">
        <v>9638</v>
      </c>
      <c r="Y125" s="1086"/>
      <c r="Z125" s="1557"/>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6"/>
      <c r="R126" s="1259"/>
      <c r="S126" s="1259"/>
      <c r="T126" s="1259"/>
      <c r="U126" s="1259"/>
      <c r="V126" s="1220">
        <v>8746</v>
      </c>
      <c r="W126" s="1181"/>
      <c r="X126" s="1220">
        <v>8746</v>
      </c>
      <c r="Y126" s="1086"/>
      <c r="Z126" s="1557"/>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6"/>
      <c r="R127" s="1259"/>
      <c r="S127" s="1259"/>
      <c r="T127" s="1259"/>
      <c r="U127" s="1259"/>
      <c r="V127" s="1414"/>
      <c r="W127" s="1181"/>
      <c r="X127" s="1414"/>
      <c r="Y127" s="1086"/>
      <c r="Z127" s="1557"/>
      <c r="AA127" s="1558"/>
      <c r="AB127" s="1558"/>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6"/>
      <c r="R128" s="1259"/>
      <c r="S128" s="1259"/>
      <c r="T128" s="1259"/>
      <c r="U128" s="1259"/>
      <c r="V128" s="1414"/>
      <c r="W128" s="1181"/>
      <c r="X128" s="1414"/>
      <c r="Y128" s="1086"/>
      <c r="Z128" s="1557"/>
      <c r="AA128" s="1558"/>
      <c r="AB128" s="1558"/>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6"/>
      <c r="R139" s="1259"/>
      <c r="S139" s="1259"/>
      <c r="T139" s="1259"/>
      <c r="U139" s="1259"/>
      <c r="V139" s="1181">
        <v>8641</v>
      </c>
      <c r="W139" s="1554"/>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59"/>
      <c r="R140" s="1261"/>
      <c r="S140" s="1261"/>
      <c r="T140" s="1261"/>
      <c r="U140" s="1261"/>
      <c r="V140" s="1263">
        <v>7502</v>
      </c>
      <c r="W140" s="1560"/>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0"/>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B2" sqref="B2:B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429">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30" t="s">
        <v>56</v>
      </c>
      <c r="N9" s="1431">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5" t="s">
        <v>55</v>
      </c>
      <c r="K19" s="1545"/>
      <c r="L19" s="467" t="s">
        <v>329</v>
      </c>
      <c r="M19" s="469" t="s">
        <v>56</v>
      </c>
      <c r="N19" s="1546">
        <v>1035</v>
      </c>
      <c r="O19" s="1144" t="s">
        <v>56</v>
      </c>
      <c r="P19" s="1191" t="s">
        <v>313</v>
      </c>
      <c r="Q19" s="1547">
        <v>46030</v>
      </c>
      <c r="R19" s="1237"/>
      <c r="S19" s="1237"/>
      <c r="T19" s="1237"/>
      <c r="U19" s="1237"/>
      <c r="V19" s="1548">
        <v>0</v>
      </c>
      <c r="W19" s="1561">
        <v>0</v>
      </c>
      <c r="X19" s="1549">
        <f>SUM(V19-W19)</f>
        <v>0</v>
      </c>
      <c r="Y19" s="639">
        <v>1</v>
      </c>
      <c r="Z19" s="1547">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5"/>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4">
        <v>109</v>
      </c>
      <c r="I21" s="796" t="s">
        <v>312</v>
      </c>
      <c r="J21" s="799" t="s">
        <v>55</v>
      </c>
      <c r="K21" s="1545"/>
      <c r="L21" s="1243">
        <v>45663</v>
      </c>
      <c r="M21" s="1144" t="s">
        <v>56</v>
      </c>
      <c r="N21" s="1546">
        <v>123587.5</v>
      </c>
      <c r="O21" s="1544" t="s">
        <v>56</v>
      </c>
      <c r="P21" s="1562" t="s">
        <v>313</v>
      </c>
      <c r="Q21" s="1547">
        <v>46008</v>
      </c>
      <c r="R21" s="1547"/>
      <c r="S21" s="1547"/>
      <c r="T21" s="1547"/>
      <c r="U21" s="1547"/>
      <c r="V21" s="1548">
        <v>6825</v>
      </c>
      <c r="W21" s="1561">
        <v>6575</v>
      </c>
      <c r="X21" s="1549">
        <f>SUM(V21-W21)</f>
        <v>250</v>
      </c>
      <c r="Y21" s="639">
        <f>IFERROR($W21/$V21, 0)</f>
        <v>0.96336996336996339</v>
      </c>
      <c r="Z21" s="1547">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2">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5">
        <v>0</v>
      </c>
      <c r="I35" s="638" t="s">
        <v>312</v>
      </c>
      <c r="J35" s="1545" t="s">
        <v>55</v>
      </c>
      <c r="K35" s="1545"/>
      <c r="L35" s="1241" t="s">
        <v>118</v>
      </c>
      <c r="M35" s="1545" t="s">
        <v>56</v>
      </c>
      <c r="N35" s="1563">
        <v>15670.45</v>
      </c>
      <c r="O35" s="1545" t="s">
        <v>56</v>
      </c>
      <c r="P35" s="1562" t="s">
        <v>313</v>
      </c>
      <c r="Q35" s="1564">
        <v>46031</v>
      </c>
      <c r="R35" s="1564"/>
      <c r="S35" s="1564"/>
      <c r="T35" s="1564"/>
      <c r="U35" s="1564"/>
      <c r="V35" s="756">
        <v>1202</v>
      </c>
      <c r="W35" s="1192">
        <v>1208</v>
      </c>
      <c r="X35" s="1549">
        <f>SUM(V35-W35)</f>
        <v>-6</v>
      </c>
      <c r="Y35" s="639">
        <v>1</v>
      </c>
      <c r="Z35" s="1147">
        <v>46035</v>
      </c>
      <c r="AA35" s="350">
        <v>1</v>
      </c>
      <c r="AB35" s="1565">
        <v>0</v>
      </c>
      <c r="AC35" s="1549">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3">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6">
        <v>5829</v>
      </c>
      <c r="X41" s="1294">
        <f t="shared" ref="X41:X48" si="16">SUM(V41-W41)</f>
        <v>31</v>
      </c>
      <c r="Y41" s="1086">
        <f t="shared" si="13"/>
        <v>0.99470989761092155</v>
      </c>
      <c r="Z41" s="1556">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6">
        <v>6080</v>
      </c>
      <c r="X42" s="1294">
        <f t="shared" si="16"/>
        <v>-59</v>
      </c>
      <c r="Y42" s="1086">
        <f t="shared" si="13"/>
        <v>1.0097990367048664</v>
      </c>
      <c r="Z42" s="1556">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6">
        <v>4810</v>
      </c>
      <c r="X45" s="1295">
        <f t="shared" si="16"/>
        <v>26</v>
      </c>
      <c r="Y45" s="1284">
        <f t="shared" si="13"/>
        <v>0.9946236559139785</v>
      </c>
      <c r="Z45" s="1559">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7">
        <v>7151</v>
      </c>
      <c r="X46" s="1181">
        <f t="shared" si="16"/>
        <v>190</v>
      </c>
      <c r="Y46" s="841">
        <f t="shared" si="13"/>
        <v>0.97411796757934888</v>
      </c>
      <c r="Z46" s="1556">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7">
        <v>1277</v>
      </c>
      <c r="X48" s="1181">
        <f t="shared" si="16"/>
        <v>7</v>
      </c>
      <c r="Y48" s="841">
        <f t="shared" si="13"/>
        <v>0.99454828660436134</v>
      </c>
      <c r="Z48" s="1556">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4">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4">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13"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9" t="s">
        <v>668</v>
      </c>
      <c r="H2" s="469">
        <v>0</v>
      </c>
      <c r="I2" s="796" t="s">
        <v>312</v>
      </c>
      <c r="J2" s="469" t="s">
        <v>55</v>
      </c>
      <c r="K2" s="458">
        <v>45716</v>
      </c>
      <c r="L2" s="469" t="s">
        <v>56</v>
      </c>
      <c r="M2" s="746">
        <v>64932.55</v>
      </c>
      <c r="N2" s="1336">
        <v>69110.8</v>
      </c>
      <c r="O2" s="469" t="s">
        <v>56</v>
      </c>
      <c r="P2" s="87" t="s">
        <v>313</v>
      </c>
      <c r="Q2" s="54">
        <v>45721</v>
      </c>
      <c r="R2" s="31">
        <v>5151</v>
      </c>
      <c r="S2" s="106">
        <v>5207</v>
      </c>
      <c r="T2" s="1440">
        <v>0</v>
      </c>
      <c r="U2" s="634">
        <v>1.01</v>
      </c>
      <c r="V2" s="655">
        <v>45748</v>
      </c>
      <c r="W2" s="350">
        <v>1</v>
      </c>
      <c r="X2" s="350">
        <v>1</v>
      </c>
      <c r="Y2" s="488">
        <v>1</v>
      </c>
      <c r="Z2" s="351" t="s">
        <v>669</v>
      </c>
      <c r="AA2" s="88"/>
    </row>
    <row r="3" spans="1:27" ht="39.75" customHeight="1">
      <c r="A3" s="1441"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8"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6"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7">
        <v>1</v>
      </c>
      <c r="Z155" s="1041" t="s">
        <v>545</v>
      </c>
      <c r="AA155" s="1437"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5" t="s">
        <v>313</v>
      </c>
      <c r="Q163" s="951">
        <v>45906</v>
      </c>
      <c r="R163" s="756">
        <v>14150</v>
      </c>
      <c r="S163" s="1436">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5" t="s">
        <v>1100</v>
      </c>
      <c r="B175" s="1417" t="s">
        <v>419</v>
      </c>
      <c r="C175" s="1271">
        <v>46052</v>
      </c>
      <c r="D175" s="761" t="s">
        <v>116</v>
      </c>
      <c r="E175" s="1271">
        <v>46027</v>
      </c>
      <c r="F175" s="1444" t="s">
        <v>392</v>
      </c>
      <c r="G175" s="1444"/>
      <c r="H175" s="744">
        <v>68</v>
      </c>
      <c r="I175" s="759" t="s">
        <v>312</v>
      </c>
      <c r="J175" s="1272" t="s">
        <v>55</v>
      </c>
      <c r="K175" s="1202">
        <v>46027</v>
      </c>
      <c r="L175" s="1144" t="s">
        <v>56</v>
      </c>
      <c r="M175" s="1446">
        <v>68608</v>
      </c>
      <c r="N175" s="747"/>
      <c r="O175" s="1272" t="s">
        <v>56</v>
      </c>
      <c r="P175" s="1447" t="s">
        <v>313</v>
      </c>
      <c r="Q175" s="1171">
        <v>46027</v>
      </c>
      <c r="R175" s="31">
        <v>5699</v>
      </c>
      <c r="S175" s="1448">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tabSelected="1" workbookViewId="0">
      <pane ySplit="1" topLeftCell="A2648" activePane="bottomLeft" state="frozen"/>
      <selection pane="bottomLeft" activeCell="F2665" sqref="F266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0" t="s">
        <v>1125</v>
      </c>
      <c r="B1" s="1451" t="s">
        <v>1128</v>
      </c>
      <c r="C1" s="1453" t="s">
        <v>1122</v>
      </c>
      <c r="D1" s="247" t="s">
        <v>1206</v>
      </c>
      <c r="E1" s="248" t="s">
        <v>1207</v>
      </c>
      <c r="F1" s="247" t="s">
        <v>1208</v>
      </c>
      <c r="G1" s="299" t="s">
        <v>1127</v>
      </c>
    </row>
    <row r="2" spans="1:7" ht="15.75">
      <c r="A2" s="1487" t="s">
        <v>868</v>
      </c>
      <c r="B2" s="1488" t="s">
        <v>644</v>
      </c>
      <c r="C2" s="152">
        <v>45698</v>
      </c>
      <c r="D2" s="141">
        <v>2677</v>
      </c>
      <c r="E2" s="141"/>
      <c r="F2" s="141"/>
      <c r="G2" t="str">
        <f>TEXT(C2,"mmmm")</f>
        <v>February</v>
      </c>
    </row>
    <row r="3" spans="1:7" ht="15.75">
      <c r="A3" s="117" t="s">
        <v>874</v>
      </c>
      <c r="B3" s="242" t="s">
        <v>1134</v>
      </c>
      <c r="C3" s="1454">
        <v>45698</v>
      </c>
      <c r="D3" s="151"/>
      <c r="E3" s="151"/>
      <c r="F3" s="141" t="s">
        <v>1209</v>
      </c>
      <c r="G3" t="str">
        <f t="shared" ref="G3:G66" si="0">TEXT(C3,"mmmm")</f>
        <v>February</v>
      </c>
    </row>
    <row r="4" spans="1:7" ht="15.75">
      <c r="A4" s="1487" t="s">
        <v>864</v>
      </c>
      <c r="B4" s="301" t="s">
        <v>1210</v>
      </c>
      <c r="C4" s="152">
        <v>45699</v>
      </c>
      <c r="D4" s="141">
        <v>202</v>
      </c>
      <c r="E4" s="141"/>
      <c r="F4" s="141"/>
      <c r="G4" t="str">
        <f t="shared" si="0"/>
        <v>February</v>
      </c>
    </row>
    <row r="5" spans="1:7" ht="15.75">
      <c r="A5" s="117" t="s">
        <v>874</v>
      </c>
      <c r="B5" s="242" t="s">
        <v>1134</v>
      </c>
      <c r="C5" s="1454">
        <v>45699</v>
      </c>
      <c r="D5" s="141">
        <v>241</v>
      </c>
      <c r="E5" s="141"/>
      <c r="F5" s="141"/>
      <c r="G5" t="str">
        <f t="shared" si="0"/>
        <v>February</v>
      </c>
    </row>
    <row r="6" spans="1:7" ht="15.75">
      <c r="A6" s="1489" t="s">
        <v>975</v>
      </c>
      <c r="B6" s="1490" t="s">
        <v>662</v>
      </c>
      <c r="C6" s="152">
        <v>45699</v>
      </c>
      <c r="D6" s="141">
        <v>1990</v>
      </c>
      <c r="E6" s="141"/>
      <c r="F6" s="141"/>
      <c r="G6" t="str">
        <f t="shared" si="0"/>
        <v>February</v>
      </c>
    </row>
    <row r="7" spans="1:7" ht="15.75">
      <c r="A7" s="1459" t="s">
        <v>718</v>
      </c>
      <c r="B7" s="1460" t="s">
        <v>1211</v>
      </c>
      <c r="C7" s="152">
        <v>45699</v>
      </c>
      <c r="D7" s="141">
        <v>534</v>
      </c>
      <c r="E7" s="141"/>
      <c r="F7" s="141"/>
      <c r="G7" t="str">
        <f t="shared" si="0"/>
        <v>February</v>
      </c>
    </row>
    <row r="8" spans="1:7" ht="15.75">
      <c r="A8" s="117" t="s">
        <v>874</v>
      </c>
      <c r="B8" s="242" t="s">
        <v>1134</v>
      </c>
      <c r="C8" s="1454">
        <v>45700</v>
      </c>
      <c r="D8" s="141">
        <v>366</v>
      </c>
      <c r="E8" s="141"/>
      <c r="F8" s="141"/>
      <c r="G8" t="str">
        <f t="shared" si="0"/>
        <v>February</v>
      </c>
    </row>
    <row r="9" spans="1:7" ht="15.75">
      <c r="A9" s="1491" t="s">
        <v>975</v>
      </c>
      <c r="B9" s="1492"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1" t="s">
        <v>854</v>
      </c>
      <c r="B11" s="1458" t="s">
        <v>116</v>
      </c>
      <c r="C11" s="152">
        <v>45700</v>
      </c>
      <c r="D11" s="141">
        <v>1426</v>
      </c>
      <c r="E11" s="141"/>
      <c r="F11" s="141"/>
      <c r="G11" t="str">
        <f t="shared" si="0"/>
        <v>February</v>
      </c>
    </row>
    <row r="12" spans="1:7" ht="15.75">
      <c r="A12" s="117" t="s">
        <v>874</v>
      </c>
      <c r="B12" s="242" t="s">
        <v>1134</v>
      </c>
      <c r="C12" s="1454">
        <v>45701</v>
      </c>
      <c r="D12" s="134">
        <v>202</v>
      </c>
      <c r="E12" s="134"/>
      <c r="F12" s="141"/>
      <c r="G12" t="str">
        <f t="shared" si="0"/>
        <v>February</v>
      </c>
    </row>
    <row r="13" spans="1:7" ht="15.75">
      <c r="A13" s="117" t="s">
        <v>714</v>
      </c>
      <c r="B13" s="242" t="s">
        <v>1134</v>
      </c>
      <c r="C13" s="1454">
        <v>45701</v>
      </c>
      <c r="D13" s="134">
        <v>106</v>
      </c>
      <c r="E13" s="134"/>
      <c r="F13" s="141"/>
      <c r="G13" t="str">
        <f t="shared" si="0"/>
        <v>February</v>
      </c>
    </row>
    <row r="14" spans="1:7" ht="15.75">
      <c r="A14" s="1489" t="s">
        <v>718</v>
      </c>
      <c r="B14" s="1492" t="s">
        <v>1211</v>
      </c>
      <c r="C14" s="152">
        <v>45701</v>
      </c>
      <c r="D14" s="134">
        <v>886</v>
      </c>
      <c r="E14" s="134"/>
      <c r="F14" s="141"/>
      <c r="G14" t="str">
        <f t="shared" si="0"/>
        <v>February</v>
      </c>
    </row>
    <row r="15" spans="1:7" ht="15.75">
      <c r="A15" s="1457" t="s">
        <v>854</v>
      </c>
      <c r="B15" s="1458" t="s">
        <v>116</v>
      </c>
      <c r="C15" s="152">
        <v>45701</v>
      </c>
      <c r="D15" s="143">
        <v>1190</v>
      </c>
      <c r="E15" s="143"/>
      <c r="F15" s="142"/>
      <c r="G15" t="str">
        <f t="shared" si="0"/>
        <v>February</v>
      </c>
    </row>
    <row r="16" spans="1:7" ht="15.75">
      <c r="A16" s="117" t="s">
        <v>874</v>
      </c>
      <c r="B16" s="242" t="s">
        <v>1134</v>
      </c>
      <c r="C16" s="1454">
        <v>45702</v>
      </c>
      <c r="D16" s="143">
        <v>120</v>
      </c>
      <c r="E16" s="143"/>
      <c r="F16" s="142"/>
      <c r="G16" t="str">
        <f t="shared" si="0"/>
        <v>February</v>
      </c>
    </row>
    <row r="17" spans="1:7" ht="15.75">
      <c r="A17" s="1489" t="s">
        <v>718</v>
      </c>
      <c r="B17" s="1492" t="s">
        <v>1211</v>
      </c>
      <c r="C17" s="152">
        <v>45702</v>
      </c>
      <c r="D17" s="143">
        <v>202</v>
      </c>
      <c r="E17" s="143"/>
      <c r="F17" s="142"/>
      <c r="G17" t="str">
        <f t="shared" si="0"/>
        <v>February</v>
      </c>
    </row>
    <row r="18" spans="1:7" ht="15.75">
      <c r="A18" s="1457" t="s">
        <v>854</v>
      </c>
      <c r="B18" s="1458" t="s">
        <v>116</v>
      </c>
      <c r="C18" s="152">
        <v>45702</v>
      </c>
      <c r="D18" s="143">
        <v>23</v>
      </c>
      <c r="E18" s="143"/>
      <c r="F18" s="143"/>
      <c r="G18" t="str">
        <f t="shared" si="0"/>
        <v>February</v>
      </c>
    </row>
    <row r="19" spans="1:7" ht="15.75">
      <c r="A19" s="117" t="s">
        <v>851</v>
      </c>
      <c r="B19" s="243" t="s">
        <v>565</v>
      </c>
      <c r="C19" s="1454">
        <v>45702</v>
      </c>
      <c r="D19" s="117">
        <v>1049</v>
      </c>
      <c r="E19" s="117"/>
      <c r="F19" s="118"/>
      <c r="G19" t="str">
        <f t="shared" si="0"/>
        <v>February</v>
      </c>
    </row>
    <row r="20" spans="1:7" ht="15.75">
      <c r="A20" s="1489" t="s">
        <v>874</v>
      </c>
      <c r="B20" s="1490" t="s">
        <v>1134</v>
      </c>
      <c r="C20" s="1455">
        <v>45705</v>
      </c>
      <c r="D20" s="134">
        <v>283</v>
      </c>
      <c r="E20" s="134"/>
      <c r="F20" s="118"/>
      <c r="G20" t="str">
        <f t="shared" si="0"/>
        <v>February</v>
      </c>
    </row>
    <row r="21" spans="1:7">
      <c r="A21" s="1489" t="s">
        <v>718</v>
      </c>
      <c r="B21" s="1492"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7" t="s">
        <v>868</v>
      </c>
      <c r="B28" s="1462" t="s">
        <v>644</v>
      </c>
      <c r="C28" s="153">
        <v>45707</v>
      </c>
      <c r="D28" s="117">
        <v>1319</v>
      </c>
      <c r="E28" s="117"/>
      <c r="F28" s="118"/>
      <c r="G28" t="str">
        <f t="shared" si="0"/>
        <v>February</v>
      </c>
    </row>
    <row r="29" spans="1:7" ht="15.75">
      <c r="A29" s="117" t="s">
        <v>874</v>
      </c>
      <c r="B29" s="242" t="s">
        <v>1134</v>
      </c>
      <c r="C29" s="1455">
        <v>45707</v>
      </c>
      <c r="D29" s="117">
        <v>732</v>
      </c>
      <c r="E29" s="117"/>
      <c r="F29" s="118"/>
      <c r="G29" t="str">
        <f t="shared" si="0"/>
        <v>February</v>
      </c>
    </row>
    <row r="30" spans="1:7">
      <c r="A30" s="1489" t="s">
        <v>718</v>
      </c>
      <c r="B30" s="1492"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7" t="s">
        <v>864</v>
      </c>
      <c r="B34" s="302" t="s">
        <v>1210</v>
      </c>
      <c r="C34" s="153">
        <v>45708</v>
      </c>
      <c r="D34" s="117">
        <v>23</v>
      </c>
      <c r="E34" s="117"/>
      <c r="F34" s="118" t="s">
        <v>1216</v>
      </c>
      <c r="G34" t="str">
        <f t="shared" si="0"/>
        <v>February</v>
      </c>
    </row>
    <row r="35" spans="1:7" ht="15.75">
      <c r="A35" s="117" t="s">
        <v>874</v>
      </c>
      <c r="B35" s="242" t="s">
        <v>1134</v>
      </c>
      <c r="C35" s="1455">
        <v>45708</v>
      </c>
      <c r="D35" s="117">
        <v>309</v>
      </c>
      <c r="E35" s="117"/>
      <c r="F35" s="118" t="s">
        <v>1217</v>
      </c>
      <c r="G35" t="str">
        <f t="shared" si="0"/>
        <v>February</v>
      </c>
    </row>
    <row r="36" spans="1:7">
      <c r="A36" s="1487" t="s">
        <v>718</v>
      </c>
      <c r="B36" s="1496" t="s">
        <v>1211</v>
      </c>
      <c r="C36" s="153">
        <v>45708</v>
      </c>
      <c r="D36" s="117">
        <v>424</v>
      </c>
      <c r="E36" s="117"/>
      <c r="F36" s="118"/>
      <c r="G36" t="str">
        <f t="shared" si="0"/>
        <v>February</v>
      </c>
    </row>
    <row r="37" spans="1:7">
      <c r="A37" s="117" t="s">
        <v>851</v>
      </c>
      <c r="B37" s="243" t="s">
        <v>565</v>
      </c>
      <c r="C37" s="1455">
        <v>45708</v>
      </c>
      <c r="D37" s="117">
        <v>547</v>
      </c>
      <c r="E37" s="117"/>
      <c r="F37" s="118" t="s">
        <v>1218</v>
      </c>
      <c r="G37" t="str">
        <f t="shared" si="0"/>
        <v>February</v>
      </c>
    </row>
    <row r="38" spans="1:7">
      <c r="A38" s="1489"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7" t="s">
        <v>643</v>
      </c>
      <c r="B45" s="1462" t="s">
        <v>644</v>
      </c>
      <c r="C45" s="153">
        <v>45709</v>
      </c>
      <c r="D45" s="117"/>
      <c r="E45" s="117"/>
      <c r="F45" s="118" t="s">
        <v>1221</v>
      </c>
      <c r="G45" t="str">
        <f t="shared" si="0"/>
        <v>February</v>
      </c>
    </row>
    <row r="46" spans="1:7" ht="15.75">
      <c r="A46" s="117" t="s">
        <v>714</v>
      </c>
      <c r="B46" s="242" t="s">
        <v>1134</v>
      </c>
      <c r="C46" s="1455">
        <v>45709</v>
      </c>
      <c r="D46" s="117">
        <v>21</v>
      </c>
      <c r="E46" s="117"/>
      <c r="F46" s="118" t="s">
        <v>1218</v>
      </c>
      <c r="G46" t="str">
        <f t="shared" si="0"/>
        <v>February</v>
      </c>
    </row>
    <row r="47" spans="1:7">
      <c r="A47" s="1489" t="s">
        <v>718</v>
      </c>
      <c r="B47" s="1492" t="s">
        <v>1211</v>
      </c>
      <c r="C47" s="153">
        <v>45709</v>
      </c>
      <c r="D47" s="117">
        <v>19</v>
      </c>
      <c r="E47" s="117"/>
      <c r="F47" s="118" t="s">
        <v>1222</v>
      </c>
      <c r="G47" t="str">
        <f t="shared" si="0"/>
        <v>February</v>
      </c>
    </row>
    <row r="48" spans="1:7" ht="15.75">
      <c r="A48" s="1457" t="s">
        <v>854</v>
      </c>
      <c r="B48" s="1458" t="s">
        <v>116</v>
      </c>
      <c r="C48" s="153">
        <v>45709</v>
      </c>
      <c r="D48" s="117">
        <v>823</v>
      </c>
      <c r="E48" s="117"/>
      <c r="F48" s="118" t="s">
        <v>1218</v>
      </c>
      <c r="G48" t="str">
        <f t="shared" si="0"/>
        <v>February</v>
      </c>
    </row>
    <row r="49" spans="1:7">
      <c r="A49" s="117" t="s">
        <v>851</v>
      </c>
      <c r="B49" s="243" t="s">
        <v>565</v>
      </c>
      <c r="C49" s="1455">
        <v>45709</v>
      </c>
      <c r="D49" s="117">
        <v>792</v>
      </c>
      <c r="E49" s="117"/>
      <c r="F49" s="118" t="s">
        <v>1218</v>
      </c>
      <c r="G49" t="str">
        <f t="shared" si="0"/>
        <v>February</v>
      </c>
    </row>
    <row r="50" spans="1:7">
      <c r="A50" s="1489"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7" t="s">
        <v>844</v>
      </c>
      <c r="B55" s="1462" t="s">
        <v>838</v>
      </c>
      <c r="C55" s="153">
        <v>45709</v>
      </c>
      <c r="D55" s="117">
        <v>2989</v>
      </c>
      <c r="E55" s="117"/>
      <c r="F55" s="118"/>
      <c r="G55" t="str">
        <f t="shared" si="0"/>
        <v>February</v>
      </c>
    </row>
    <row r="56" spans="1:7" ht="15.75">
      <c r="A56" s="117" t="s">
        <v>874</v>
      </c>
      <c r="B56" s="242" t="s">
        <v>1134</v>
      </c>
      <c r="C56" s="1455">
        <v>45712</v>
      </c>
      <c r="D56" s="117">
        <v>73</v>
      </c>
      <c r="E56" s="117"/>
      <c r="F56" s="118"/>
      <c r="G56" t="str">
        <f t="shared" si="0"/>
        <v>February</v>
      </c>
    </row>
    <row r="57" spans="1:7">
      <c r="A57" s="1489" t="s">
        <v>699</v>
      </c>
      <c r="B57" s="1493"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7" t="s">
        <v>643</v>
      </c>
      <c r="B62" s="1460" t="s">
        <v>644</v>
      </c>
      <c r="C62" s="153">
        <v>45713</v>
      </c>
      <c r="D62" s="117"/>
      <c r="E62" s="117"/>
      <c r="F62" s="118"/>
      <c r="G62" t="str">
        <f t="shared" si="0"/>
        <v>February</v>
      </c>
    </row>
    <row r="63" spans="1:7" ht="15.75">
      <c r="A63" s="117" t="s">
        <v>975</v>
      </c>
      <c r="B63" s="242" t="s">
        <v>1134</v>
      </c>
      <c r="C63" s="1455">
        <v>45713</v>
      </c>
      <c r="D63" s="117">
        <v>74</v>
      </c>
      <c r="E63" s="117"/>
      <c r="F63" s="118"/>
      <c r="G63" t="str">
        <f t="shared" si="0"/>
        <v>February</v>
      </c>
    </row>
    <row r="64" spans="1:7">
      <c r="A64" s="1489" t="s">
        <v>814</v>
      </c>
      <c r="B64" s="1492" t="s">
        <v>712</v>
      </c>
      <c r="C64" s="153">
        <v>45713</v>
      </c>
      <c r="D64" s="117"/>
      <c r="E64" s="117"/>
      <c r="F64" s="118"/>
      <c r="G64" t="str">
        <f t="shared" si="0"/>
        <v>February</v>
      </c>
    </row>
    <row r="65" spans="1:7">
      <c r="A65" s="1457" t="s">
        <v>711</v>
      </c>
      <c r="B65" s="1460" t="s">
        <v>712</v>
      </c>
      <c r="C65" s="153">
        <v>45713</v>
      </c>
      <c r="D65" s="117"/>
      <c r="E65" s="117"/>
      <c r="F65" s="118"/>
      <c r="G65" t="str">
        <f t="shared" si="0"/>
        <v>February</v>
      </c>
    </row>
    <row r="66" spans="1:7" ht="15.75">
      <c r="A66" s="117" t="s">
        <v>714</v>
      </c>
      <c r="B66" s="242" t="s">
        <v>1134</v>
      </c>
      <c r="C66" s="1455">
        <v>45713</v>
      </c>
      <c r="D66" s="117"/>
      <c r="E66" s="117"/>
      <c r="F66" s="118"/>
      <c r="G66" t="str">
        <f t="shared" si="0"/>
        <v>February</v>
      </c>
    </row>
    <row r="67" spans="1:7" ht="15.75">
      <c r="A67" s="1489" t="s">
        <v>716</v>
      </c>
      <c r="B67" s="1490"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7" t="s">
        <v>854</v>
      </c>
      <c r="B71" s="1458" t="s">
        <v>116</v>
      </c>
      <c r="C71" s="153">
        <v>45713</v>
      </c>
      <c r="D71" s="117"/>
      <c r="E71" s="117"/>
      <c r="F71" s="118"/>
      <c r="G71" t="str">
        <f t="shared" si="1"/>
        <v>February</v>
      </c>
    </row>
    <row r="72" spans="1:7">
      <c r="A72" s="117" t="s">
        <v>851</v>
      </c>
      <c r="B72" s="243" t="s">
        <v>565</v>
      </c>
      <c r="C72" s="1455">
        <v>45713</v>
      </c>
      <c r="D72" s="117">
        <v>1277</v>
      </c>
      <c r="E72" s="117"/>
      <c r="F72" s="118" t="s">
        <v>1226</v>
      </c>
      <c r="G72" t="str">
        <f t="shared" si="1"/>
        <v>February</v>
      </c>
    </row>
    <row r="73" spans="1:7">
      <c r="A73" s="1489"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7" t="s">
        <v>868</v>
      </c>
      <c r="B84" s="1460" t="s">
        <v>644</v>
      </c>
      <c r="C84" s="153">
        <v>45714</v>
      </c>
      <c r="D84" s="117"/>
      <c r="E84" s="117"/>
      <c r="F84" s="118"/>
      <c r="G84" t="str">
        <f t="shared" si="1"/>
        <v>February</v>
      </c>
    </row>
    <row r="85" spans="1:7" ht="15.75">
      <c r="A85" s="117" t="s">
        <v>874</v>
      </c>
      <c r="B85" s="242" t="s">
        <v>1134</v>
      </c>
      <c r="C85" s="1455">
        <v>45714</v>
      </c>
      <c r="D85" s="117">
        <v>25</v>
      </c>
      <c r="E85" s="117"/>
      <c r="F85" s="118"/>
      <c r="G85" t="str">
        <f t="shared" si="1"/>
        <v>February</v>
      </c>
    </row>
    <row r="86" spans="1:7">
      <c r="A86" s="1489" t="s">
        <v>920</v>
      </c>
      <c r="B86" s="340" t="s">
        <v>829</v>
      </c>
      <c r="C86" s="153">
        <v>45714</v>
      </c>
      <c r="D86" s="117"/>
      <c r="E86" s="117"/>
      <c r="F86" s="118"/>
      <c r="G86" t="str">
        <f t="shared" si="1"/>
        <v>February</v>
      </c>
    </row>
    <row r="87" spans="1:7">
      <c r="A87" s="1457" t="s">
        <v>643</v>
      </c>
      <c r="B87" s="1460" t="s">
        <v>644</v>
      </c>
      <c r="C87" s="153">
        <v>45714</v>
      </c>
      <c r="D87" s="117"/>
      <c r="E87" s="117"/>
      <c r="F87" s="118"/>
      <c r="G87" t="str">
        <f t="shared" si="1"/>
        <v>February</v>
      </c>
    </row>
    <row r="88" spans="1:7" ht="15.75">
      <c r="A88" s="117" t="s">
        <v>975</v>
      </c>
      <c r="B88" s="242" t="s">
        <v>1134</v>
      </c>
      <c r="C88" s="1455">
        <v>45714</v>
      </c>
      <c r="D88" s="117">
        <v>671</v>
      </c>
      <c r="E88" s="117"/>
      <c r="F88" s="118"/>
      <c r="G88" t="str">
        <f t="shared" si="1"/>
        <v>February</v>
      </c>
    </row>
    <row r="89" spans="1:7">
      <c r="A89" s="1489" t="s">
        <v>814</v>
      </c>
      <c r="B89" s="1492" t="s">
        <v>712</v>
      </c>
      <c r="C89" s="153">
        <v>45714</v>
      </c>
      <c r="D89" s="117"/>
      <c r="E89" s="117"/>
      <c r="F89" s="118"/>
      <c r="G89" t="str">
        <f t="shared" si="1"/>
        <v>February</v>
      </c>
    </row>
    <row r="90" spans="1:7">
      <c r="A90" s="1457" t="s">
        <v>711</v>
      </c>
      <c r="B90" s="1460" t="s">
        <v>712</v>
      </c>
      <c r="C90" s="153">
        <v>45714</v>
      </c>
      <c r="D90" s="117"/>
      <c r="E90" s="117"/>
      <c r="F90" s="118"/>
      <c r="G90" t="str">
        <f t="shared" si="1"/>
        <v>February</v>
      </c>
    </row>
    <row r="91" spans="1:7" ht="15.75">
      <c r="A91" s="117" t="s">
        <v>714</v>
      </c>
      <c r="B91" s="242" t="s">
        <v>1134</v>
      </c>
      <c r="C91" s="1455">
        <v>45714</v>
      </c>
      <c r="D91" s="117"/>
      <c r="E91" s="117"/>
      <c r="F91" s="118"/>
      <c r="G91" t="str">
        <f t="shared" si="1"/>
        <v>February</v>
      </c>
    </row>
    <row r="92" spans="1:7" ht="15.75">
      <c r="A92" s="1489" t="s">
        <v>716</v>
      </c>
      <c r="B92" s="1490"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7" t="s">
        <v>854</v>
      </c>
      <c r="B96" s="1458" t="s">
        <v>116</v>
      </c>
      <c r="C96" s="153">
        <v>45714</v>
      </c>
      <c r="D96" s="117"/>
      <c r="E96" s="117"/>
      <c r="F96" s="118"/>
      <c r="G96" t="str">
        <f t="shared" si="1"/>
        <v>February</v>
      </c>
    </row>
    <row r="97" spans="1:7">
      <c r="A97" s="117" t="s">
        <v>851</v>
      </c>
      <c r="B97" s="243" t="s">
        <v>565</v>
      </c>
      <c r="C97" s="1455">
        <v>45714</v>
      </c>
      <c r="D97" s="117">
        <v>1721</v>
      </c>
      <c r="E97" s="117"/>
      <c r="F97" s="118" t="s">
        <v>1230</v>
      </c>
      <c r="G97" t="str">
        <f t="shared" si="1"/>
        <v>February</v>
      </c>
    </row>
    <row r="98" spans="1:7">
      <c r="A98" s="1489"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7" t="s">
        <v>868</v>
      </c>
      <c r="B115" s="1460" t="s">
        <v>644</v>
      </c>
      <c r="C115" s="122">
        <v>45715</v>
      </c>
      <c r="D115" s="118"/>
      <c r="E115" s="118"/>
      <c r="F115" s="118"/>
      <c r="G115" t="str">
        <f t="shared" si="1"/>
        <v>February</v>
      </c>
    </row>
    <row r="116" spans="1:7" ht="15.75">
      <c r="A116" s="117" t="s">
        <v>874</v>
      </c>
      <c r="B116" s="242" t="s">
        <v>1134</v>
      </c>
      <c r="C116" s="1456">
        <v>45715</v>
      </c>
      <c r="D116" s="118"/>
      <c r="E116" s="118"/>
      <c r="F116" s="134" t="s">
        <v>1233</v>
      </c>
      <c r="G116" t="str">
        <f t="shared" si="1"/>
        <v>February</v>
      </c>
    </row>
    <row r="117" spans="1:7">
      <c r="A117" s="1489" t="s">
        <v>920</v>
      </c>
      <c r="B117" s="340" t="s">
        <v>829</v>
      </c>
      <c r="C117" s="122">
        <v>45715</v>
      </c>
      <c r="D117" s="118">
        <v>437</v>
      </c>
      <c r="E117" s="118"/>
      <c r="F117" s="118" t="s">
        <v>1234</v>
      </c>
      <c r="G117" t="str">
        <f t="shared" si="1"/>
        <v>February</v>
      </c>
    </row>
    <row r="118" spans="1:7">
      <c r="A118" s="1457" t="s">
        <v>643</v>
      </c>
      <c r="B118" s="1460" t="s">
        <v>644</v>
      </c>
      <c r="C118" s="122">
        <v>45715</v>
      </c>
      <c r="D118" s="118"/>
      <c r="E118" s="118"/>
      <c r="F118" s="118"/>
      <c r="G118" t="str">
        <f t="shared" si="1"/>
        <v>February</v>
      </c>
    </row>
    <row r="119" spans="1:7" ht="15.75">
      <c r="A119" s="117" t="s">
        <v>975</v>
      </c>
      <c r="B119" s="242" t="s">
        <v>1134</v>
      </c>
      <c r="C119" s="1456">
        <v>45715</v>
      </c>
      <c r="D119" s="118"/>
      <c r="E119" s="118"/>
      <c r="F119" s="118"/>
      <c r="G119" t="str">
        <f t="shared" si="1"/>
        <v>February</v>
      </c>
    </row>
    <row r="120" spans="1:7">
      <c r="A120" s="1489" t="s">
        <v>814</v>
      </c>
      <c r="B120" s="1492" t="s">
        <v>712</v>
      </c>
      <c r="C120" s="122">
        <v>45715</v>
      </c>
      <c r="D120" s="118"/>
      <c r="E120" s="118"/>
      <c r="F120" s="118"/>
      <c r="G120" t="str">
        <f t="shared" si="1"/>
        <v>February</v>
      </c>
    </row>
    <row r="121" spans="1:7">
      <c r="A121" s="1457" t="s">
        <v>711</v>
      </c>
      <c r="B121" s="1460" t="s">
        <v>712</v>
      </c>
      <c r="C121" s="122">
        <v>45715</v>
      </c>
      <c r="D121" s="118"/>
      <c r="E121" s="118"/>
      <c r="F121" s="118"/>
      <c r="G121" t="str">
        <f t="shared" si="1"/>
        <v>February</v>
      </c>
    </row>
    <row r="122" spans="1:7" ht="15.75">
      <c r="A122" s="117" t="s">
        <v>714</v>
      </c>
      <c r="B122" s="242" t="s">
        <v>1134</v>
      </c>
      <c r="C122" s="1456">
        <v>45715</v>
      </c>
      <c r="D122" s="118"/>
      <c r="E122" s="118"/>
      <c r="F122" s="134" t="s">
        <v>1235</v>
      </c>
      <c r="G122" t="str">
        <f t="shared" si="1"/>
        <v>February</v>
      </c>
    </row>
    <row r="123" spans="1:7" ht="15.75">
      <c r="A123" s="1489" t="s">
        <v>716</v>
      </c>
      <c r="B123" s="1490"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7" t="s">
        <v>854</v>
      </c>
      <c r="B127" s="1458" t="s">
        <v>116</v>
      </c>
      <c r="C127" s="122">
        <v>45715</v>
      </c>
      <c r="D127" s="118">
        <v>1422</v>
      </c>
      <c r="E127" s="118"/>
      <c r="F127" s="134" t="s">
        <v>1225</v>
      </c>
      <c r="G127" t="str">
        <f t="shared" si="1"/>
        <v>February</v>
      </c>
    </row>
    <row r="128" spans="1:7">
      <c r="A128" s="117" t="s">
        <v>851</v>
      </c>
      <c r="B128" s="243" t="s">
        <v>565</v>
      </c>
      <c r="C128" s="1456">
        <v>45715</v>
      </c>
      <c r="D128" s="118">
        <v>670</v>
      </c>
      <c r="E128" s="118"/>
      <c r="F128" s="134" t="s">
        <v>1209</v>
      </c>
      <c r="G128" t="str">
        <f t="shared" si="1"/>
        <v>February</v>
      </c>
    </row>
    <row r="129" spans="1:7">
      <c r="A129" s="1489"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7" t="s">
        <v>868</v>
      </c>
      <c r="B146" s="1460" t="s">
        <v>644</v>
      </c>
      <c r="C146" s="122">
        <v>45716</v>
      </c>
      <c r="D146" s="123" t="s">
        <v>1236</v>
      </c>
      <c r="E146" s="123"/>
      <c r="F146" s="118"/>
      <c r="G146" t="str">
        <f t="shared" si="2"/>
        <v>February</v>
      </c>
    </row>
    <row r="147" spans="1:7" ht="15.75">
      <c r="A147" s="117" t="s">
        <v>874</v>
      </c>
      <c r="B147" s="242" t="s">
        <v>1134</v>
      </c>
      <c r="C147" s="1456">
        <v>45716</v>
      </c>
      <c r="D147" s="123"/>
      <c r="E147" s="123"/>
      <c r="F147" s="123" t="s">
        <v>1233</v>
      </c>
      <c r="G147" t="str">
        <f t="shared" si="2"/>
        <v>February</v>
      </c>
    </row>
    <row r="148" spans="1:7">
      <c r="A148" s="1489" t="s">
        <v>920</v>
      </c>
      <c r="B148" s="340" t="s">
        <v>829</v>
      </c>
      <c r="C148" s="122">
        <v>45716</v>
      </c>
      <c r="D148" s="123" t="s">
        <v>1236</v>
      </c>
      <c r="E148" s="123"/>
      <c r="F148" s="118"/>
      <c r="G148" t="str">
        <f t="shared" si="2"/>
        <v>February</v>
      </c>
    </row>
    <row r="149" spans="1:7">
      <c r="A149" s="1457" t="s">
        <v>643</v>
      </c>
      <c r="B149" s="1460" t="s">
        <v>644</v>
      </c>
      <c r="C149" s="122">
        <v>45716</v>
      </c>
      <c r="D149" s="123" t="s">
        <v>1236</v>
      </c>
      <c r="E149" s="123"/>
      <c r="F149" s="118"/>
      <c r="G149" t="str">
        <f t="shared" si="2"/>
        <v>February</v>
      </c>
    </row>
    <row r="150" spans="1:7" ht="15.75">
      <c r="A150" s="117" t="s">
        <v>975</v>
      </c>
      <c r="B150" s="242" t="s">
        <v>1134</v>
      </c>
      <c r="C150" s="1456">
        <v>45716</v>
      </c>
      <c r="D150" s="123" t="s">
        <v>1236</v>
      </c>
      <c r="E150" s="123"/>
      <c r="F150" s="118"/>
      <c r="G150" t="str">
        <f t="shared" si="2"/>
        <v>February</v>
      </c>
    </row>
    <row r="151" spans="1:7">
      <c r="A151" s="1489" t="s">
        <v>814</v>
      </c>
      <c r="B151" s="1492" t="s">
        <v>712</v>
      </c>
      <c r="C151" s="122">
        <v>45716</v>
      </c>
      <c r="D151" s="123" t="s">
        <v>1236</v>
      </c>
      <c r="E151" s="123"/>
      <c r="F151" s="118"/>
      <c r="G151" t="str">
        <f t="shared" si="2"/>
        <v>February</v>
      </c>
    </row>
    <row r="152" spans="1:7">
      <c r="A152" s="1457" t="s">
        <v>711</v>
      </c>
      <c r="B152" s="1460" t="s">
        <v>712</v>
      </c>
      <c r="C152" s="122">
        <v>45716</v>
      </c>
      <c r="D152" s="123" t="s">
        <v>1236</v>
      </c>
      <c r="E152" s="123"/>
      <c r="F152" s="118"/>
      <c r="G152" t="str">
        <f t="shared" si="2"/>
        <v>February</v>
      </c>
    </row>
    <row r="153" spans="1:7" ht="15.75">
      <c r="A153" s="117" t="s">
        <v>714</v>
      </c>
      <c r="B153" s="242" t="s">
        <v>1134</v>
      </c>
      <c r="C153" s="1456">
        <v>45716</v>
      </c>
      <c r="D153" s="123">
        <v>3</v>
      </c>
      <c r="E153" s="123"/>
      <c r="F153" s="109" t="s">
        <v>1238</v>
      </c>
      <c r="G153" t="str">
        <f t="shared" si="2"/>
        <v>February</v>
      </c>
    </row>
    <row r="154" spans="1:7" ht="15.75">
      <c r="A154" s="1489" t="s">
        <v>716</v>
      </c>
      <c r="B154" s="1490"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7" t="s">
        <v>854</v>
      </c>
      <c r="B158" s="1458" t="s">
        <v>116</v>
      </c>
      <c r="C158" s="122">
        <v>45716</v>
      </c>
      <c r="D158" s="123">
        <v>946</v>
      </c>
      <c r="E158" s="123"/>
      <c r="F158" s="109" t="s">
        <v>1218</v>
      </c>
      <c r="G158" t="str">
        <f t="shared" si="2"/>
        <v>February</v>
      </c>
    </row>
    <row r="159" spans="1:7">
      <c r="A159" s="117" t="s">
        <v>851</v>
      </c>
      <c r="B159" s="243" t="s">
        <v>565</v>
      </c>
      <c r="C159" s="1456">
        <v>45716</v>
      </c>
      <c r="D159" s="123" t="s">
        <v>1236</v>
      </c>
      <c r="E159" s="123"/>
      <c r="F159" s="118"/>
      <c r="G159" t="str">
        <f t="shared" si="2"/>
        <v>February</v>
      </c>
    </row>
    <row r="160" spans="1:7">
      <c r="A160" s="1489"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7" t="s">
        <v>868</v>
      </c>
      <c r="B177" s="1460" t="s">
        <v>644</v>
      </c>
      <c r="C177" s="122">
        <v>45719</v>
      </c>
      <c r="D177" s="123" t="s">
        <v>1236</v>
      </c>
      <c r="E177" s="123"/>
      <c r="F177" s="118"/>
      <c r="G177" t="str">
        <f t="shared" si="2"/>
        <v>March</v>
      </c>
    </row>
    <row r="178" spans="1:7" ht="15.75">
      <c r="A178" s="117" t="s">
        <v>874</v>
      </c>
      <c r="B178" s="242" t="s">
        <v>1134</v>
      </c>
      <c r="C178" s="1456">
        <v>45719</v>
      </c>
      <c r="D178" s="123" t="s">
        <v>1236</v>
      </c>
      <c r="E178" s="123"/>
      <c r="F178" s="118"/>
      <c r="G178" t="str">
        <f t="shared" si="2"/>
        <v>March</v>
      </c>
    </row>
    <row r="179" spans="1:7">
      <c r="A179" s="1489" t="s">
        <v>920</v>
      </c>
      <c r="B179" s="340" t="s">
        <v>829</v>
      </c>
      <c r="C179" s="122">
        <v>45719</v>
      </c>
      <c r="D179" s="123" t="s">
        <v>1236</v>
      </c>
      <c r="E179" s="123"/>
      <c r="F179" s="118"/>
      <c r="G179" t="str">
        <f t="shared" si="2"/>
        <v>March</v>
      </c>
    </row>
    <row r="180" spans="1:7">
      <c r="A180" s="1457" t="s">
        <v>643</v>
      </c>
      <c r="B180" s="1460" t="s">
        <v>644</v>
      </c>
      <c r="C180" s="122">
        <v>45719</v>
      </c>
      <c r="D180" s="123" t="s">
        <v>1236</v>
      </c>
      <c r="E180" s="123"/>
      <c r="F180" s="118"/>
      <c r="G180" t="str">
        <f t="shared" si="2"/>
        <v>March</v>
      </c>
    </row>
    <row r="181" spans="1:7" ht="15.75">
      <c r="A181" s="117" t="s">
        <v>975</v>
      </c>
      <c r="B181" s="242" t="s">
        <v>1134</v>
      </c>
      <c r="C181" s="1456">
        <v>45719</v>
      </c>
      <c r="D181" s="123">
        <v>363</v>
      </c>
      <c r="E181" s="123"/>
      <c r="F181" s="118"/>
      <c r="G181" t="str">
        <f t="shared" si="2"/>
        <v>March</v>
      </c>
    </row>
    <row r="182" spans="1:7">
      <c r="A182" s="1489" t="s">
        <v>814</v>
      </c>
      <c r="B182" s="1492" t="s">
        <v>712</v>
      </c>
      <c r="C182" s="122">
        <v>45719</v>
      </c>
      <c r="D182" s="123" t="s">
        <v>1236</v>
      </c>
      <c r="E182" s="123"/>
      <c r="F182" s="118"/>
      <c r="G182" t="str">
        <f t="shared" si="2"/>
        <v>March</v>
      </c>
    </row>
    <row r="183" spans="1:7">
      <c r="A183" s="1457" t="s">
        <v>711</v>
      </c>
      <c r="B183" s="1460" t="s">
        <v>712</v>
      </c>
      <c r="C183" s="122">
        <v>45719</v>
      </c>
      <c r="D183" s="123" t="s">
        <v>1236</v>
      </c>
      <c r="E183" s="123"/>
      <c r="F183" s="118"/>
      <c r="G183" t="str">
        <f t="shared" si="2"/>
        <v>March</v>
      </c>
    </row>
    <row r="184" spans="1:7" ht="15.75">
      <c r="A184" s="117" t="s">
        <v>714</v>
      </c>
      <c r="B184" s="242" t="s">
        <v>1134</v>
      </c>
      <c r="C184" s="1456">
        <v>45719</v>
      </c>
      <c r="D184" s="123" t="s">
        <v>1236</v>
      </c>
      <c r="E184" s="123"/>
      <c r="F184" s="118"/>
      <c r="G184" t="str">
        <f t="shared" si="2"/>
        <v>March</v>
      </c>
    </row>
    <row r="185" spans="1:7" ht="15.75">
      <c r="A185" s="1489" t="s">
        <v>716</v>
      </c>
      <c r="B185" s="1490"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7" t="s">
        <v>854</v>
      </c>
      <c r="B189" s="1458" t="s">
        <v>116</v>
      </c>
      <c r="C189" s="122">
        <v>45719</v>
      </c>
      <c r="D189" s="123" t="s">
        <v>1236</v>
      </c>
      <c r="E189" s="123"/>
      <c r="F189" s="118"/>
      <c r="G189" t="str">
        <f t="shared" si="2"/>
        <v>March</v>
      </c>
    </row>
    <row r="190" spans="1:7">
      <c r="A190" s="117" t="s">
        <v>851</v>
      </c>
      <c r="B190" s="243" t="s">
        <v>565</v>
      </c>
      <c r="C190" s="1456">
        <v>45719</v>
      </c>
      <c r="D190" s="123" t="s">
        <v>1236</v>
      </c>
      <c r="E190" s="123"/>
      <c r="F190" s="118"/>
      <c r="G190" t="str">
        <f t="shared" si="2"/>
        <v>March</v>
      </c>
    </row>
    <row r="191" spans="1:7">
      <c r="A191" s="1489"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7" t="s">
        <v>864</v>
      </c>
      <c r="B210" s="302" t="s">
        <v>1210</v>
      </c>
      <c r="C210" s="122">
        <v>45720</v>
      </c>
      <c r="D210" s="123" t="s">
        <v>1236</v>
      </c>
      <c r="E210" s="123"/>
      <c r="F210" s="118"/>
      <c r="G210" t="str">
        <f t="shared" si="3"/>
        <v>March</v>
      </c>
      <c r="H210" s="132"/>
    </row>
    <row r="211" spans="1:8" ht="15.75">
      <c r="A211" s="117" t="s">
        <v>874</v>
      </c>
      <c r="B211" s="242" t="s">
        <v>1134</v>
      </c>
      <c r="C211" s="1456">
        <v>45720</v>
      </c>
      <c r="D211" s="123">
        <v>414</v>
      </c>
      <c r="E211" s="123"/>
      <c r="F211" s="118"/>
      <c r="G211" t="str">
        <f t="shared" si="3"/>
        <v>March</v>
      </c>
    </row>
    <row r="212" spans="1:8" ht="15.75">
      <c r="A212" s="117" t="s">
        <v>975</v>
      </c>
      <c r="B212" s="242" t="s">
        <v>1134</v>
      </c>
      <c r="C212" s="1456">
        <v>45720</v>
      </c>
      <c r="D212" s="123">
        <v>171</v>
      </c>
      <c r="E212" s="123"/>
      <c r="F212" s="118"/>
      <c r="G212" t="str">
        <f t="shared" si="3"/>
        <v>March</v>
      </c>
    </row>
    <row r="213" spans="1:8">
      <c r="A213" s="1487" t="s">
        <v>718</v>
      </c>
      <c r="B213" s="1496" t="s">
        <v>1211</v>
      </c>
      <c r="C213" s="122">
        <v>45720</v>
      </c>
      <c r="D213" s="123"/>
      <c r="E213" s="123"/>
      <c r="F213" s="123" t="s">
        <v>1243</v>
      </c>
      <c r="G213" t="str">
        <f t="shared" si="3"/>
        <v>March</v>
      </c>
    </row>
    <row r="214" spans="1:8">
      <c r="A214" s="117" t="s">
        <v>851</v>
      </c>
      <c r="B214" s="243" t="s">
        <v>565</v>
      </c>
      <c r="C214" s="1456">
        <v>45720</v>
      </c>
      <c r="D214" s="123"/>
      <c r="E214" s="123"/>
      <c r="F214" s="134" t="s">
        <v>1244</v>
      </c>
      <c r="G214" t="str">
        <f t="shared" si="3"/>
        <v>March</v>
      </c>
    </row>
    <row r="215" spans="1:8">
      <c r="A215" s="1489"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7" t="s">
        <v>953</v>
      </c>
      <c r="B223" s="1463" t="s">
        <v>930</v>
      </c>
      <c r="C223" s="122">
        <v>45720</v>
      </c>
      <c r="D223" s="123" t="s">
        <v>1236</v>
      </c>
      <c r="E223" s="123"/>
      <c r="F223" s="118"/>
      <c r="G223" t="str">
        <f t="shared" si="3"/>
        <v>March</v>
      </c>
    </row>
    <row r="224" spans="1:8" ht="15.75">
      <c r="A224" s="117" t="s">
        <v>1139</v>
      </c>
      <c r="B224" s="242" t="s">
        <v>1134</v>
      </c>
      <c r="C224" s="1456">
        <v>45720</v>
      </c>
      <c r="D224" s="123">
        <v>285</v>
      </c>
      <c r="E224" s="123"/>
      <c r="F224" s="118"/>
      <c r="G224" t="str">
        <f t="shared" si="3"/>
        <v>March</v>
      </c>
    </row>
    <row r="225" spans="1:7">
      <c r="A225" s="1489" t="s">
        <v>864</v>
      </c>
      <c r="B225" s="300" t="s">
        <v>1210</v>
      </c>
      <c r="C225" s="122">
        <v>45721</v>
      </c>
      <c r="D225" s="123">
        <v>0</v>
      </c>
      <c r="E225" s="123"/>
      <c r="F225" s="118"/>
      <c r="G225" t="str">
        <f t="shared" si="3"/>
        <v>March</v>
      </c>
    </row>
    <row r="226" spans="1:7">
      <c r="A226" s="1457" t="s">
        <v>868</v>
      </c>
      <c r="B226" s="1460" t="s">
        <v>644</v>
      </c>
      <c r="C226" s="122">
        <v>45721</v>
      </c>
      <c r="D226" s="123">
        <v>0</v>
      </c>
      <c r="E226" s="123"/>
      <c r="F226" s="118"/>
      <c r="G226" t="str">
        <f t="shared" si="3"/>
        <v>March</v>
      </c>
    </row>
    <row r="227" spans="1:7" ht="15.75">
      <c r="A227" s="117" t="s">
        <v>874</v>
      </c>
      <c r="B227" s="242" t="s">
        <v>1134</v>
      </c>
      <c r="C227" s="1456">
        <v>45721</v>
      </c>
      <c r="D227" s="123">
        <v>367</v>
      </c>
      <c r="E227" s="123"/>
      <c r="F227" s="118"/>
      <c r="G227" t="str">
        <f t="shared" si="3"/>
        <v>March</v>
      </c>
    </row>
    <row r="228" spans="1:7">
      <c r="A228" s="1489" t="s">
        <v>920</v>
      </c>
      <c r="B228" s="340" t="s">
        <v>829</v>
      </c>
      <c r="C228" s="122">
        <v>45721</v>
      </c>
      <c r="D228" s="123">
        <v>0</v>
      </c>
      <c r="E228" s="123"/>
      <c r="F228" s="118"/>
      <c r="G228" t="str">
        <f t="shared" si="3"/>
        <v>March</v>
      </c>
    </row>
    <row r="229" spans="1:7">
      <c r="A229" s="1457" t="s">
        <v>643</v>
      </c>
      <c r="B229" s="1460" t="s">
        <v>644</v>
      </c>
      <c r="C229" s="122">
        <v>45721</v>
      </c>
      <c r="D229" s="123">
        <v>0</v>
      </c>
      <c r="E229" s="123"/>
      <c r="F229" s="118"/>
      <c r="G229" t="str">
        <f t="shared" si="3"/>
        <v>March</v>
      </c>
    </row>
    <row r="230" spans="1:7" ht="15.75">
      <c r="A230" s="117" t="s">
        <v>975</v>
      </c>
      <c r="B230" s="242" t="s">
        <v>1134</v>
      </c>
      <c r="C230" s="1456">
        <v>45721</v>
      </c>
      <c r="D230" s="123">
        <v>0</v>
      </c>
      <c r="E230" s="123"/>
      <c r="F230" s="118"/>
      <c r="G230" t="str">
        <f t="shared" si="3"/>
        <v>March</v>
      </c>
    </row>
    <row r="231" spans="1:7">
      <c r="A231" s="1489" t="s">
        <v>814</v>
      </c>
      <c r="B231" s="1492" t="s">
        <v>712</v>
      </c>
      <c r="C231" s="122">
        <v>45721</v>
      </c>
      <c r="D231" s="123">
        <v>0</v>
      </c>
      <c r="E231" s="123"/>
      <c r="F231" s="118"/>
      <c r="G231" t="str">
        <f t="shared" si="3"/>
        <v>March</v>
      </c>
    </row>
    <row r="232" spans="1:7">
      <c r="A232" s="1457" t="s">
        <v>711</v>
      </c>
      <c r="B232" s="1460" t="s">
        <v>712</v>
      </c>
      <c r="C232" s="122">
        <v>45721</v>
      </c>
      <c r="D232" s="123">
        <v>0</v>
      </c>
      <c r="E232" s="123"/>
      <c r="F232" s="118"/>
      <c r="G232" t="str">
        <f t="shared" si="3"/>
        <v>March</v>
      </c>
    </row>
    <row r="233" spans="1:7" ht="15.75">
      <c r="A233" s="117" t="s">
        <v>714</v>
      </c>
      <c r="B233" s="242" t="s">
        <v>1134</v>
      </c>
      <c r="C233" s="1456">
        <v>45721</v>
      </c>
      <c r="D233" s="123">
        <v>0</v>
      </c>
      <c r="E233" s="123"/>
      <c r="F233" s="123" t="s">
        <v>1247</v>
      </c>
      <c r="G233" t="str">
        <f t="shared" si="3"/>
        <v>March</v>
      </c>
    </row>
    <row r="234" spans="1:7" ht="15.75">
      <c r="A234" s="1489" t="s">
        <v>716</v>
      </c>
      <c r="B234" s="1490"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7" t="s">
        <v>854</v>
      </c>
      <c r="B238" s="1458" t="s">
        <v>116</v>
      </c>
      <c r="C238" s="122">
        <v>45721</v>
      </c>
      <c r="D238" s="123">
        <v>0</v>
      </c>
      <c r="E238" s="123"/>
      <c r="F238" s="118"/>
      <c r="G238" t="str">
        <f t="shared" si="3"/>
        <v>March</v>
      </c>
    </row>
    <row r="239" spans="1:7">
      <c r="A239" s="117" t="s">
        <v>851</v>
      </c>
      <c r="B239" s="243" t="s">
        <v>565</v>
      </c>
      <c r="C239" s="1456">
        <v>45721</v>
      </c>
      <c r="D239" s="123">
        <v>0</v>
      </c>
      <c r="E239" s="123"/>
      <c r="F239" s="118"/>
      <c r="G239" t="str">
        <f t="shared" si="3"/>
        <v>March</v>
      </c>
    </row>
    <row r="240" spans="1:7">
      <c r="A240" s="1489"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7" t="s">
        <v>953</v>
      </c>
      <c r="B258" s="1463" t="s">
        <v>930</v>
      </c>
      <c r="C258" s="122">
        <v>45721</v>
      </c>
      <c r="D258" s="123">
        <v>0</v>
      </c>
      <c r="E258" s="123"/>
      <c r="F258" s="118"/>
      <c r="G258" t="str">
        <f t="shared" si="3"/>
        <v>March</v>
      </c>
    </row>
    <row r="259" spans="1:7" ht="15.75">
      <c r="A259" s="118" t="s">
        <v>682</v>
      </c>
      <c r="B259" s="242" t="s">
        <v>1134</v>
      </c>
      <c r="C259" s="1456">
        <v>45721</v>
      </c>
      <c r="D259" s="123">
        <v>617</v>
      </c>
      <c r="E259" s="123"/>
      <c r="F259" s="118"/>
      <c r="G259" t="str">
        <f t="shared" ref="G259:G322" si="4">TEXT(C259,"mmmm")</f>
        <v>March</v>
      </c>
    </row>
    <row r="260" spans="1:7" ht="15.75">
      <c r="A260" s="1494" t="s">
        <v>962</v>
      </c>
      <c r="B260" s="1488" t="s">
        <v>116</v>
      </c>
      <c r="C260" s="122">
        <v>45721</v>
      </c>
      <c r="D260" s="123">
        <v>700</v>
      </c>
      <c r="E260" s="123"/>
      <c r="F260" s="109" t="s">
        <v>1218</v>
      </c>
      <c r="G260" t="str">
        <f t="shared" si="4"/>
        <v>March</v>
      </c>
    </row>
    <row r="261" spans="1:7" ht="15.75">
      <c r="A261" s="118" t="s">
        <v>780</v>
      </c>
      <c r="B261" s="242" t="s">
        <v>1134</v>
      </c>
      <c r="C261" s="1456">
        <v>45721</v>
      </c>
      <c r="D261" s="123">
        <v>200</v>
      </c>
      <c r="E261" s="123"/>
      <c r="F261" s="118"/>
      <c r="G261" t="str">
        <f t="shared" si="4"/>
        <v>March</v>
      </c>
    </row>
    <row r="262" spans="1:7">
      <c r="A262" s="1489" t="s">
        <v>864</v>
      </c>
      <c r="B262" s="300" t="s">
        <v>1210</v>
      </c>
      <c r="C262" s="122">
        <v>45722</v>
      </c>
      <c r="D262" s="134">
        <v>0</v>
      </c>
      <c r="E262" s="134"/>
      <c r="F262" s="118"/>
      <c r="G262" t="str">
        <f t="shared" si="4"/>
        <v>March</v>
      </c>
    </row>
    <row r="263" spans="1:7">
      <c r="A263" s="1457" t="s">
        <v>868</v>
      </c>
      <c r="B263" s="1460" t="s">
        <v>644</v>
      </c>
      <c r="C263" s="122">
        <v>45722</v>
      </c>
      <c r="D263" s="134">
        <v>0</v>
      </c>
      <c r="E263" s="134"/>
      <c r="F263" s="118"/>
      <c r="G263" t="str">
        <f t="shared" si="4"/>
        <v>March</v>
      </c>
    </row>
    <row r="264" spans="1:7" ht="15.75">
      <c r="A264" s="117" t="s">
        <v>874</v>
      </c>
      <c r="B264" s="242" t="s">
        <v>1134</v>
      </c>
      <c r="C264" s="1456">
        <v>45722</v>
      </c>
      <c r="D264" s="134">
        <v>245</v>
      </c>
      <c r="E264" s="134"/>
      <c r="F264" s="109" t="s">
        <v>1225</v>
      </c>
      <c r="G264" t="str">
        <f t="shared" si="4"/>
        <v>March</v>
      </c>
    </row>
    <row r="265" spans="1:7">
      <c r="A265" s="1489" t="s">
        <v>920</v>
      </c>
      <c r="B265" s="340" t="s">
        <v>829</v>
      </c>
      <c r="C265" s="122">
        <v>45722</v>
      </c>
      <c r="D265" s="134">
        <v>0</v>
      </c>
      <c r="E265" s="134"/>
      <c r="F265" s="118"/>
      <c r="G265" t="str">
        <f t="shared" si="4"/>
        <v>March</v>
      </c>
    </row>
    <row r="266" spans="1:7">
      <c r="A266" s="1457" t="s">
        <v>643</v>
      </c>
      <c r="B266" s="1460" t="s">
        <v>644</v>
      </c>
      <c r="C266" s="122">
        <v>45722</v>
      </c>
      <c r="D266" s="134">
        <v>0</v>
      </c>
      <c r="E266" s="134"/>
      <c r="F266" s="118"/>
      <c r="G266" t="str">
        <f t="shared" si="4"/>
        <v>March</v>
      </c>
    </row>
    <row r="267" spans="1:7" ht="15.75">
      <c r="A267" s="117" t="s">
        <v>975</v>
      </c>
      <c r="B267" s="242" t="s">
        <v>1134</v>
      </c>
      <c r="C267" s="1456">
        <v>45722</v>
      </c>
      <c r="D267" s="134">
        <v>397</v>
      </c>
      <c r="E267" s="134"/>
      <c r="F267" s="109" t="s">
        <v>1254</v>
      </c>
      <c r="G267" t="str">
        <f t="shared" si="4"/>
        <v>March</v>
      </c>
    </row>
    <row r="268" spans="1:7">
      <c r="A268" s="1489" t="s">
        <v>723</v>
      </c>
      <c r="B268" s="1492" t="s">
        <v>712</v>
      </c>
      <c r="C268" s="122">
        <v>45722</v>
      </c>
      <c r="D268" s="134">
        <v>0</v>
      </c>
      <c r="E268" s="134"/>
      <c r="F268" s="118"/>
      <c r="G268" t="str">
        <f t="shared" si="4"/>
        <v>March</v>
      </c>
    </row>
    <row r="269" spans="1:7">
      <c r="A269" s="1457" t="s">
        <v>711</v>
      </c>
      <c r="B269" s="1460" t="s">
        <v>712</v>
      </c>
      <c r="C269" s="122">
        <v>45722</v>
      </c>
      <c r="D269" s="134">
        <v>0</v>
      </c>
      <c r="E269" s="134"/>
      <c r="F269" s="118"/>
      <c r="G269" t="str">
        <f t="shared" si="4"/>
        <v>March</v>
      </c>
    </row>
    <row r="270" spans="1:7" ht="15.75">
      <c r="A270" s="117" t="s">
        <v>714</v>
      </c>
      <c r="B270" s="242" t="s">
        <v>1134</v>
      </c>
      <c r="C270" s="1456">
        <v>45722</v>
      </c>
      <c r="D270" s="134">
        <v>0</v>
      </c>
      <c r="E270" s="134"/>
      <c r="F270" s="118"/>
      <c r="G270" t="str">
        <f t="shared" si="4"/>
        <v>March</v>
      </c>
    </row>
    <row r="271" spans="1:7" ht="15.75">
      <c r="A271" s="1489" t="s">
        <v>716</v>
      </c>
      <c r="B271" s="1490"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7" t="s">
        <v>854</v>
      </c>
      <c r="B275" s="1458" t="s">
        <v>116</v>
      </c>
      <c r="C275" s="122">
        <v>45722</v>
      </c>
      <c r="D275" s="134">
        <v>0</v>
      </c>
      <c r="E275" s="134"/>
      <c r="F275" s="118"/>
      <c r="G275" t="str">
        <f t="shared" si="4"/>
        <v>March</v>
      </c>
    </row>
    <row r="276" spans="1:7">
      <c r="A276" s="117" t="s">
        <v>851</v>
      </c>
      <c r="B276" s="243" t="s">
        <v>565</v>
      </c>
      <c r="C276" s="1456">
        <v>45722</v>
      </c>
      <c r="D276" s="134">
        <v>0</v>
      </c>
      <c r="E276" s="134"/>
      <c r="F276" s="118"/>
      <c r="G276" t="str">
        <f t="shared" si="4"/>
        <v>March</v>
      </c>
    </row>
    <row r="277" spans="1:7">
      <c r="A277" s="1489"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7" t="s">
        <v>953</v>
      </c>
      <c r="B295" s="1463" t="s">
        <v>930</v>
      </c>
      <c r="C295" s="122">
        <v>45722</v>
      </c>
      <c r="D295" s="134">
        <v>0</v>
      </c>
      <c r="E295" s="134"/>
      <c r="F295" s="118"/>
      <c r="G295" t="str">
        <f t="shared" si="4"/>
        <v>March</v>
      </c>
    </row>
    <row r="296" spans="1:7" ht="15.75">
      <c r="A296" s="118" t="s">
        <v>682</v>
      </c>
      <c r="B296" s="242" t="s">
        <v>1134</v>
      </c>
      <c r="C296" s="1456">
        <v>45722</v>
      </c>
      <c r="D296" s="134">
        <v>286</v>
      </c>
      <c r="E296" s="134"/>
      <c r="F296" s="118"/>
      <c r="G296" t="str">
        <f t="shared" si="4"/>
        <v>March</v>
      </c>
    </row>
    <row r="297" spans="1:7" ht="15.75">
      <c r="A297" s="1494" t="s">
        <v>962</v>
      </c>
      <c r="B297" s="1488" t="s">
        <v>116</v>
      </c>
      <c r="C297" s="122">
        <v>45722</v>
      </c>
      <c r="D297" s="151">
        <v>1590</v>
      </c>
      <c r="E297" s="151"/>
      <c r="F297" s="134" t="s">
        <v>1215</v>
      </c>
      <c r="G297" t="str">
        <f t="shared" si="4"/>
        <v>March</v>
      </c>
    </row>
    <row r="298" spans="1:7" ht="15.75">
      <c r="A298" s="118" t="s">
        <v>780</v>
      </c>
      <c r="B298" s="242" t="s">
        <v>1134</v>
      </c>
      <c r="C298" s="1456">
        <v>45722</v>
      </c>
      <c r="D298" s="134">
        <v>489</v>
      </c>
      <c r="E298" s="134"/>
      <c r="F298" s="134" t="s">
        <v>1256</v>
      </c>
      <c r="G298" t="str">
        <f t="shared" si="4"/>
        <v>March</v>
      </c>
    </row>
    <row r="299" spans="1:7">
      <c r="A299" s="1495"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7" t="s">
        <v>868</v>
      </c>
      <c r="B303" s="1460"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9" t="s">
        <v>920</v>
      </c>
      <c r="B305" s="340" t="s">
        <v>829</v>
      </c>
      <c r="C305" s="56">
        <v>45723</v>
      </c>
      <c r="D305" s="134">
        <v>0</v>
      </c>
      <c r="E305" s="134"/>
      <c r="G305" t="str">
        <f t="shared" si="4"/>
        <v>March</v>
      </c>
    </row>
    <row r="306" spans="1:7">
      <c r="A306" s="1457" t="s">
        <v>643</v>
      </c>
      <c r="B306" s="1460"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9" t="s">
        <v>814</v>
      </c>
      <c r="B308" s="1492" t="s">
        <v>712</v>
      </c>
      <c r="C308" s="56">
        <v>45723</v>
      </c>
      <c r="D308" s="134">
        <v>0</v>
      </c>
      <c r="E308" s="134"/>
      <c r="G308" t="str">
        <f t="shared" si="4"/>
        <v>March</v>
      </c>
    </row>
    <row r="309" spans="1:7">
      <c r="A309" s="1457" t="s">
        <v>711</v>
      </c>
      <c r="B309" s="1460"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9" t="s">
        <v>716</v>
      </c>
      <c r="B311" s="1490"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7" t="s">
        <v>854</v>
      </c>
      <c r="B315" s="1458"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9"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7" t="s">
        <v>953</v>
      </c>
      <c r="B335" s="1463"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4" t="s">
        <v>962</v>
      </c>
      <c r="B337" s="1488"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5"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4" t="s">
        <v>890</v>
      </c>
      <c r="B341" s="1463"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9" t="s">
        <v>864</v>
      </c>
      <c r="B343" s="300" t="s">
        <v>1210</v>
      </c>
      <c r="C343" s="56">
        <v>45726</v>
      </c>
      <c r="D343" s="134">
        <v>0</v>
      </c>
      <c r="E343" s="134"/>
      <c r="G343" t="str">
        <f t="shared" si="5"/>
        <v>March</v>
      </c>
    </row>
    <row r="344" spans="1:7">
      <c r="A344" s="1457" t="s">
        <v>868</v>
      </c>
      <c r="B344" s="1460"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9" t="s">
        <v>920</v>
      </c>
      <c r="B346" s="340" t="s">
        <v>829</v>
      </c>
      <c r="C346" s="56">
        <v>45726</v>
      </c>
      <c r="D346" s="134">
        <v>0</v>
      </c>
      <c r="E346" s="134"/>
      <c r="G346" t="str">
        <f t="shared" si="5"/>
        <v>March</v>
      </c>
    </row>
    <row r="347" spans="1:7">
      <c r="A347" s="1457" t="s">
        <v>643</v>
      </c>
      <c r="B347" s="1460"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9" t="s">
        <v>814</v>
      </c>
      <c r="B349" s="1492" t="s">
        <v>712</v>
      </c>
      <c r="C349" s="56">
        <v>45726</v>
      </c>
      <c r="D349" s="134">
        <v>0</v>
      </c>
      <c r="E349" s="134"/>
      <c r="G349" t="str">
        <f t="shared" si="5"/>
        <v>March</v>
      </c>
    </row>
    <row r="350" spans="1:7">
      <c r="A350" s="1457" t="s">
        <v>711</v>
      </c>
      <c r="B350" s="1460"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9" t="s">
        <v>716</v>
      </c>
      <c r="B352" s="1490"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7" t="s">
        <v>854</v>
      </c>
      <c r="B356" s="1458"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9"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7" t="s">
        <v>953</v>
      </c>
      <c r="B376" s="1463"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4" t="s">
        <v>962</v>
      </c>
      <c r="B378" s="1488"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5"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4" t="s">
        <v>890</v>
      </c>
      <c r="B382" s="1463"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9" t="s">
        <v>864</v>
      </c>
      <c r="B384" s="300" t="s">
        <v>1210</v>
      </c>
      <c r="C384" s="56">
        <v>45727</v>
      </c>
      <c r="D384" s="123">
        <v>3</v>
      </c>
      <c r="E384" s="123"/>
      <c r="F384" s="109" t="s">
        <v>1229</v>
      </c>
      <c r="G384" t="str">
        <f t="shared" si="5"/>
        <v>March</v>
      </c>
    </row>
    <row r="385" spans="1:7">
      <c r="A385" s="1457" t="s">
        <v>868</v>
      </c>
      <c r="B385" s="1460"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9" t="s">
        <v>920</v>
      </c>
      <c r="B387" s="340" t="s">
        <v>829</v>
      </c>
      <c r="C387" s="56">
        <v>45727</v>
      </c>
      <c r="D387" s="123">
        <v>0</v>
      </c>
      <c r="E387" s="123"/>
      <c r="G387" t="str">
        <f t="shared" ref="G387:G450" si="6">TEXT(C387,"mmmm")</f>
        <v>March</v>
      </c>
    </row>
    <row r="388" spans="1:7">
      <c r="A388" s="1457" t="s">
        <v>643</v>
      </c>
      <c r="B388" s="1460"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9" t="s">
        <v>814</v>
      </c>
      <c r="B390" s="1492" t="s">
        <v>712</v>
      </c>
      <c r="C390" s="56">
        <v>45727</v>
      </c>
      <c r="D390" s="123">
        <v>0</v>
      </c>
      <c r="E390" s="123"/>
      <c r="G390" t="str">
        <f t="shared" si="6"/>
        <v>March</v>
      </c>
    </row>
    <row r="391" spans="1:7">
      <c r="A391" s="1457" t="s">
        <v>711</v>
      </c>
      <c r="B391" s="1460"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9" t="s">
        <v>716</v>
      </c>
      <c r="B393" s="1490"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7" t="s">
        <v>854</v>
      </c>
      <c r="B397" s="1458"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9"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7" t="s">
        <v>953</v>
      </c>
      <c r="B417" s="1463"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4" t="s">
        <v>962</v>
      </c>
      <c r="B419" s="1488"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5"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4" t="s">
        <v>890</v>
      </c>
      <c r="B423" s="1463"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5" t="s">
        <v>729</v>
      </c>
      <c r="B425" s="1490"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7" t="s">
        <v>868</v>
      </c>
      <c r="B431" s="1460"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9" t="s">
        <v>920</v>
      </c>
      <c r="B433" s="340" t="s">
        <v>829</v>
      </c>
      <c r="C433" s="56">
        <v>45728</v>
      </c>
      <c r="D433" s="123" t="s">
        <v>1236</v>
      </c>
      <c r="E433" s="123"/>
      <c r="G433" t="str">
        <f t="shared" si="6"/>
        <v>March</v>
      </c>
    </row>
    <row r="434" spans="1:7">
      <c r="A434" s="1457" t="s">
        <v>643</v>
      </c>
      <c r="B434" s="1460"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9" t="s">
        <v>814</v>
      </c>
      <c r="B436" s="1492" t="s">
        <v>712</v>
      </c>
      <c r="C436" s="56">
        <v>45728</v>
      </c>
      <c r="D436" s="123" t="s">
        <v>1270</v>
      </c>
      <c r="E436" s="123"/>
      <c r="G436" t="str">
        <f t="shared" si="6"/>
        <v>March</v>
      </c>
    </row>
    <row r="437" spans="1:7">
      <c r="A437" s="1457" t="s">
        <v>711</v>
      </c>
      <c r="B437" s="1460"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9" t="s">
        <v>716</v>
      </c>
      <c r="B439" s="1490"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7" t="s">
        <v>854</v>
      </c>
      <c r="B443" s="1458"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9"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7" t="s">
        <v>953</v>
      </c>
      <c r="B463" s="1463"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4" t="s">
        <v>962</v>
      </c>
      <c r="B465" s="1488"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5"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4" t="s">
        <v>890</v>
      </c>
      <c r="B469" s="1463"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5" t="s">
        <v>729</v>
      </c>
      <c r="B471" s="1490"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4"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5" t="s">
        <v>723</v>
      </c>
      <c r="B479" s="1490"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7" t="s">
        <v>868</v>
      </c>
      <c r="B481" s="1460"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9" t="s">
        <v>920</v>
      </c>
      <c r="B483" s="340" t="s">
        <v>829</v>
      </c>
      <c r="C483" s="56">
        <v>45729</v>
      </c>
      <c r="D483" s="123"/>
      <c r="E483" s="123"/>
      <c r="G483" t="str">
        <f t="shared" si="7"/>
        <v>March</v>
      </c>
    </row>
    <row r="484" spans="1:7">
      <c r="A484" s="1457" t="s">
        <v>643</v>
      </c>
      <c r="B484" s="1460"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9" t="s">
        <v>814</v>
      </c>
      <c r="B486" s="1492" t="s">
        <v>712</v>
      </c>
      <c r="C486" s="56">
        <v>45729</v>
      </c>
      <c r="D486" s="123"/>
      <c r="E486" s="123"/>
      <c r="G486" t="str">
        <f t="shared" si="7"/>
        <v>March</v>
      </c>
    </row>
    <row r="487" spans="1:7">
      <c r="A487" s="1457" t="s">
        <v>711</v>
      </c>
      <c r="B487" s="1460"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9" t="s">
        <v>716</v>
      </c>
      <c r="B489" s="1490"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7" t="s">
        <v>854</v>
      </c>
      <c r="B493" s="1458"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9"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7" t="s">
        <v>953</v>
      </c>
      <c r="B513" s="1463"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4" t="s">
        <v>962</v>
      </c>
      <c r="B515" s="1488"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5"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4" t="s">
        <v>890</v>
      </c>
      <c r="B519" s="1463"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5" t="s">
        <v>729</v>
      </c>
      <c r="B521" s="1490"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4"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5" t="s">
        <v>723</v>
      </c>
      <c r="B529" s="1490"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7" t="s">
        <v>868</v>
      </c>
      <c r="B532" s="1460"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9" t="s">
        <v>920</v>
      </c>
      <c r="B534" s="340" t="s">
        <v>829</v>
      </c>
      <c r="C534" s="56">
        <v>45730</v>
      </c>
      <c r="D534" s="123"/>
      <c r="E534" s="123"/>
      <c r="F534" s="123" t="s">
        <v>1236</v>
      </c>
      <c r="G534" t="str">
        <f t="shared" si="8"/>
        <v>March</v>
      </c>
    </row>
    <row r="535" spans="1:7">
      <c r="A535" s="1457" t="s">
        <v>643</v>
      </c>
      <c r="B535" s="1460"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9" t="s">
        <v>814</v>
      </c>
      <c r="B537" s="1492" t="s">
        <v>712</v>
      </c>
      <c r="C537" s="56">
        <v>45730</v>
      </c>
      <c r="D537" s="123"/>
      <c r="E537" s="123"/>
      <c r="F537" s="123" t="s">
        <v>1236</v>
      </c>
      <c r="G537" t="str">
        <f t="shared" si="8"/>
        <v>March</v>
      </c>
    </row>
    <row r="538" spans="1:7">
      <c r="A538" s="1457" t="s">
        <v>711</v>
      </c>
      <c r="B538" s="1460"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9" t="s">
        <v>716</v>
      </c>
      <c r="B540" s="1490"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7" t="s">
        <v>854</v>
      </c>
      <c r="B544" s="1458"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9"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7" t="s">
        <v>953</v>
      </c>
      <c r="B564" s="1463"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4" t="s">
        <v>962</v>
      </c>
      <c r="B566" s="1488"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5"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4" t="s">
        <v>890</v>
      </c>
      <c r="B570" s="1463"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5" t="s">
        <v>729</v>
      </c>
      <c r="B572" s="1490"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4"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5" t="s">
        <v>723</v>
      </c>
      <c r="B580" s="1490"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7"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7" t="s">
        <v>643</v>
      </c>
      <c r="B584" s="1496"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9" t="s">
        <v>767</v>
      </c>
      <c r="B586" s="1492"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7" t="s">
        <v>953</v>
      </c>
      <c r="B599" s="1463"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4" t="s">
        <v>962</v>
      </c>
      <c r="B601" s="1488"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5" t="s">
        <v>701</v>
      </c>
      <c r="B603" s="1490" t="s">
        <v>116</v>
      </c>
      <c r="C603" s="56">
        <v>45733</v>
      </c>
      <c r="E603" s="43"/>
      <c r="F603" s="123" t="s">
        <v>1236</v>
      </c>
      <c r="G603" t="str">
        <f t="shared" si="9"/>
        <v>March</v>
      </c>
    </row>
    <row r="604" spans="1:7">
      <c r="A604" s="1464" t="s">
        <v>890</v>
      </c>
      <c r="B604" s="1463"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5" t="s">
        <v>729</v>
      </c>
      <c r="B606" s="1490"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4"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5" t="s">
        <v>723</v>
      </c>
      <c r="B613" s="1490"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7"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9" t="s">
        <v>887</v>
      </c>
      <c r="B619" s="1492"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4" t="s">
        <v>962</v>
      </c>
      <c r="B622" s="1458"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4" t="s">
        <v>1088</v>
      </c>
      <c r="B624" s="1501"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9"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3"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7"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3"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7" t="s">
        <v>1142</v>
      </c>
      <c r="B640" s="1492"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3" t="s">
        <v>967</v>
      </c>
      <c r="B645" s="1463"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8" t="s">
        <v>960</v>
      </c>
      <c r="B647" s="1498"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8" t="s">
        <v>922</v>
      </c>
      <c r="B649" s="1498"/>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7" t="s">
        <v>958</v>
      </c>
      <c r="B651" s="1497"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3"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8" t="s">
        <v>960</v>
      </c>
      <c r="B658" s="1501"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8"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7"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3"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8" t="s">
        <v>960</v>
      </c>
      <c r="B667" s="1501"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8" t="s">
        <v>922</v>
      </c>
      <c r="B669" s="1501"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7" t="s">
        <v>890</v>
      </c>
      <c r="B671" s="1318" t="s">
        <v>882</v>
      </c>
      <c r="C671" s="56">
        <v>45737</v>
      </c>
      <c r="D671" s="123"/>
      <c r="E671" s="43"/>
      <c r="F671" s="123" t="s">
        <v>1312</v>
      </c>
      <c r="G671" t="str">
        <f t="shared" si="10"/>
        <v>March</v>
      </c>
    </row>
    <row r="672" spans="1:7">
      <c r="A672" s="1463"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8"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90"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3"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90"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90"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90"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90"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90"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90"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90"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90"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90"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8"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90"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90"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90"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90"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8"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8"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90"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8"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8"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90"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8"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90"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8"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8"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8"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8"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8"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8"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90"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90"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8"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90"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8"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90"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90"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8"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90"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8"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90"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8"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90"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9"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30"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30"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90"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8"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8"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8"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8"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5"/>
      <c r="B1318" s="1466"/>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500" t="s">
        <v>116</v>
      </c>
      <c r="C1324" s="56">
        <v>45846</v>
      </c>
      <c r="D1324" s="43">
        <v>827</v>
      </c>
      <c r="F1324" s="43" t="s">
        <v>1620</v>
      </c>
      <c r="G1324" t="s">
        <v>1613</v>
      </c>
    </row>
    <row r="1325" spans="1:7">
      <c r="A1325" s="1467" t="s">
        <v>696</v>
      </c>
      <c r="B1325" s="1468"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8" t="s">
        <v>676</v>
      </c>
      <c r="B1327" s="1501"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2" t="s">
        <v>670</v>
      </c>
      <c r="B1331" s="1501" t="s">
        <v>342</v>
      </c>
      <c r="C1331" s="56">
        <v>45849</v>
      </c>
      <c r="D1331" s="43">
        <v>198</v>
      </c>
      <c r="G1331" t="s">
        <v>1613</v>
      </c>
    </row>
    <row r="1332" spans="1:7" ht="15.75">
      <c r="A1332" s="245" t="s">
        <v>795</v>
      </c>
      <c r="B1332" s="242" t="s">
        <v>1134</v>
      </c>
      <c r="C1332" s="306">
        <v>45852</v>
      </c>
      <c r="F1332" s="43" t="s">
        <v>1280</v>
      </c>
      <c r="G1332" t="s">
        <v>1613</v>
      </c>
    </row>
    <row r="1333" spans="1:7">
      <c r="A1333" s="1502" t="s">
        <v>670</v>
      </c>
      <c r="B1333" s="1501"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8"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9"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3" t="s">
        <v>670</v>
      </c>
      <c r="B1386" s="1501"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8" t="s">
        <v>1134</v>
      </c>
      <c r="C1390" s="306">
        <v>45866</v>
      </c>
      <c r="F1390" s="304" t="s">
        <v>1411</v>
      </c>
      <c r="G1390" t="s">
        <v>1613</v>
      </c>
    </row>
    <row r="1391" spans="1:7">
      <c r="A1391" s="141" t="s">
        <v>696</v>
      </c>
      <c r="B1391" s="243" t="s">
        <v>565</v>
      </c>
      <c r="C1391" s="306">
        <v>45866</v>
      </c>
      <c r="D1391" s="155">
        <v>1181</v>
      </c>
      <c r="G1391" t="s">
        <v>1613</v>
      </c>
    </row>
    <row r="1392" spans="1:7">
      <c r="A1392" s="1503" t="s">
        <v>670</v>
      </c>
      <c r="B1392" s="1501"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70" t="s">
        <v>746</v>
      </c>
      <c r="B1395" s="1471" t="s">
        <v>116</v>
      </c>
      <c r="C1395" s="56">
        <v>45867</v>
      </c>
      <c r="D1395" s="155">
        <v>1004</v>
      </c>
      <c r="F1395" s="43" t="s">
        <v>1646</v>
      </c>
      <c r="G1395" t="s">
        <v>1613</v>
      </c>
    </row>
    <row r="1396" spans="1:7" ht="15.75">
      <c r="A1396" s="424" t="s">
        <v>1065</v>
      </c>
      <c r="B1396" s="1458"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8"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4"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5" t="s">
        <v>777</v>
      </c>
      <c r="B1432" s="1506"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8"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5" t="s">
        <v>1174</v>
      </c>
      <c r="B1445" s="1506"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5" t="s">
        <v>777</v>
      </c>
      <c r="B1456" s="1506"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8" t="s">
        <v>543</v>
      </c>
      <c r="B1468" s="713" t="s">
        <v>342</v>
      </c>
      <c r="C1468" s="56">
        <v>45888</v>
      </c>
      <c r="D1468" s="43">
        <v>430</v>
      </c>
      <c r="F1468" s="169"/>
      <c r="G1468" t="s">
        <v>1650</v>
      </c>
    </row>
    <row r="1469" spans="1:7" ht="15.75">
      <c r="A1469" s="1449" t="s">
        <v>1153</v>
      </c>
      <c r="B1469" s="1458" t="s">
        <v>1134</v>
      </c>
      <c r="C1469" s="306">
        <v>45889</v>
      </c>
      <c r="D1469" s="43">
        <v>181</v>
      </c>
      <c r="G1469" t="s">
        <v>1650</v>
      </c>
    </row>
    <row r="1470" spans="1:7">
      <c r="A1470" s="88" t="s">
        <v>523</v>
      </c>
      <c r="B1470" s="243" t="s">
        <v>565</v>
      </c>
      <c r="C1470" s="306">
        <v>45889</v>
      </c>
      <c r="F1470" s="316" t="s">
        <v>1626</v>
      </c>
      <c r="G1470" t="s">
        <v>1650</v>
      </c>
    </row>
    <row r="1471" spans="1:7">
      <c r="A1471" s="1505" t="s">
        <v>1176</v>
      </c>
      <c r="B1471" s="1506"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9" t="s">
        <v>1153</v>
      </c>
      <c r="B1476" s="1458" t="s">
        <v>1134</v>
      </c>
      <c r="C1476" s="306">
        <v>45890</v>
      </c>
      <c r="D1476" s="43">
        <v>82</v>
      </c>
      <c r="G1476" t="s">
        <v>1650</v>
      </c>
    </row>
    <row r="1477" spans="1:7">
      <c r="A1477" s="88" t="s">
        <v>523</v>
      </c>
      <c r="B1477" s="243" t="s">
        <v>565</v>
      </c>
      <c r="C1477" s="306">
        <v>45890</v>
      </c>
      <c r="F1477" s="43" t="s">
        <v>1413</v>
      </c>
      <c r="G1477" t="s">
        <v>1650</v>
      </c>
    </row>
    <row r="1478" spans="1:7">
      <c r="A1478" s="1505" t="s">
        <v>1176</v>
      </c>
      <c r="B1478" s="1506"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9" t="s">
        <v>1153</v>
      </c>
      <c r="B1484" s="1458" t="s">
        <v>1134</v>
      </c>
      <c r="C1484" s="306">
        <v>45891</v>
      </c>
      <c r="D1484" s="43">
        <v>96</v>
      </c>
      <c r="G1484" t="s">
        <v>1650</v>
      </c>
    </row>
    <row r="1485" spans="1:7">
      <c r="A1485" s="88" t="s">
        <v>1177</v>
      </c>
      <c r="B1485" s="243" t="s">
        <v>565</v>
      </c>
      <c r="C1485" s="306">
        <v>45891</v>
      </c>
      <c r="D1485" s="43">
        <v>878</v>
      </c>
      <c r="F1485" s="43" t="s">
        <v>1667</v>
      </c>
      <c r="G1485" t="s">
        <v>1650</v>
      </c>
    </row>
    <row r="1486" spans="1:7">
      <c r="A1486" s="1505" t="s">
        <v>1176</v>
      </c>
      <c r="B1486" s="1506"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9" t="s">
        <v>1153</v>
      </c>
      <c r="B1490" s="1458" t="s">
        <v>1134</v>
      </c>
      <c r="C1490" s="306">
        <v>45894</v>
      </c>
      <c r="D1490" s="43">
        <v>20</v>
      </c>
      <c r="F1490" s="307"/>
      <c r="G1490" t="s">
        <v>1650</v>
      </c>
    </row>
    <row r="1491" spans="1:7">
      <c r="A1491" s="88" t="s">
        <v>1177</v>
      </c>
      <c r="B1491" s="243" t="s">
        <v>565</v>
      </c>
      <c r="C1491" s="306">
        <v>45894</v>
      </c>
      <c r="D1491" s="43">
        <v>715</v>
      </c>
      <c r="G1491" t="s">
        <v>1650</v>
      </c>
    </row>
    <row r="1492" spans="1:7">
      <c r="A1492" s="1505" t="s">
        <v>1176</v>
      </c>
      <c r="B1492" s="1506"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9" t="s">
        <v>1153</v>
      </c>
      <c r="B1497" s="1458"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5" t="s">
        <v>1176</v>
      </c>
      <c r="B1499" s="1506"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90"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2"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4"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9" t="s">
        <v>670</v>
      </c>
      <c r="B1521" s="343" t="s">
        <v>342</v>
      </c>
      <c r="C1521" s="56">
        <v>45897</v>
      </c>
      <c r="F1521" s="307" t="s">
        <v>1413</v>
      </c>
      <c r="G1521" t="s">
        <v>1650</v>
      </c>
    </row>
    <row r="1522" spans="1:7" ht="15.75">
      <c r="A1522" s="891" t="s">
        <v>1153</v>
      </c>
      <c r="B1522" s="1458"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1"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8"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7"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2" t="s">
        <v>737</v>
      </c>
      <c r="B1538" s="1490"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2"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8" t="s">
        <v>1016</v>
      </c>
      <c r="B1550" s="1508" t="s">
        <v>116</v>
      </c>
      <c r="C1550" s="56">
        <v>45905</v>
      </c>
      <c r="D1550" s="43">
        <v>128</v>
      </c>
      <c r="E1550" s="139">
        <v>2000</v>
      </c>
      <c r="F1550" s="43" t="s">
        <v>1702</v>
      </c>
      <c r="G1550" t="s">
        <v>1686</v>
      </c>
    </row>
    <row r="1551" spans="1:7" ht="15.75">
      <c r="A1551" s="366" t="s">
        <v>1026</v>
      </c>
      <c r="B1551" s="1458" t="s">
        <v>1134</v>
      </c>
      <c r="C1551" s="306">
        <v>45905</v>
      </c>
      <c r="E1551" s="317">
        <v>2062</v>
      </c>
      <c r="G1551" t="s">
        <v>1686</v>
      </c>
    </row>
    <row r="1552" spans="1:7">
      <c r="A1552" s="422" t="s">
        <v>564</v>
      </c>
      <c r="B1552" s="243" t="s">
        <v>565</v>
      </c>
      <c r="C1552" s="306">
        <v>45908</v>
      </c>
      <c r="D1552" s="43">
        <v>254</v>
      </c>
      <c r="F1552" s="43" t="s">
        <v>1703</v>
      </c>
      <c r="G1552" t="s">
        <v>1686</v>
      </c>
    </row>
    <row r="1553" spans="1:7">
      <c r="A1553" s="1516" t="s">
        <v>1176</v>
      </c>
      <c r="B1553" s="1509" t="s">
        <v>116</v>
      </c>
      <c r="C1553" s="56">
        <v>45908</v>
      </c>
      <c r="D1553" s="155">
        <v>2498</v>
      </c>
      <c r="G1553" t="s">
        <v>1686</v>
      </c>
    </row>
    <row r="1554" spans="1:7">
      <c r="A1554" s="148" t="s">
        <v>1011</v>
      </c>
      <c r="B1554" s="1474"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6" t="s">
        <v>1176</v>
      </c>
      <c r="B1556" s="1509" t="s">
        <v>116</v>
      </c>
      <c r="C1556" s="56">
        <v>45909</v>
      </c>
      <c r="D1556" s="155">
        <v>1192</v>
      </c>
      <c r="F1556" s="43" t="s">
        <v>1706</v>
      </c>
      <c r="G1556" t="s">
        <v>1686</v>
      </c>
    </row>
    <row r="1557" spans="1:7">
      <c r="A1557" s="148" t="s">
        <v>798</v>
      </c>
      <c r="B1557" s="1474" t="s">
        <v>116</v>
      </c>
      <c r="C1557" s="56">
        <v>45909</v>
      </c>
      <c r="D1557" s="43">
        <v>329</v>
      </c>
      <c r="G1557" t="s">
        <v>1686</v>
      </c>
    </row>
    <row r="1558" spans="1:7" ht="15.75">
      <c r="A1558" s="1449" t="s">
        <v>1158</v>
      </c>
      <c r="B1558" s="1458" t="s">
        <v>1134</v>
      </c>
      <c r="C1558" s="306">
        <v>45910</v>
      </c>
      <c r="D1558" s="43">
        <v>299</v>
      </c>
      <c r="G1558" t="s">
        <v>1686</v>
      </c>
    </row>
    <row r="1559" spans="1:7">
      <c r="A1559" s="422" t="s">
        <v>564</v>
      </c>
      <c r="B1559" s="243" t="s">
        <v>565</v>
      </c>
      <c r="C1559" s="306">
        <v>45910</v>
      </c>
      <c r="D1559" s="43">
        <v>611</v>
      </c>
      <c r="F1559" s="43" t="s">
        <v>1707</v>
      </c>
      <c r="G1559" t="s">
        <v>1686</v>
      </c>
    </row>
    <row r="1560" spans="1:7">
      <c r="A1560" s="1516" t="s">
        <v>1176</v>
      </c>
      <c r="B1560" s="1533"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9"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9" t="s">
        <v>1158</v>
      </c>
      <c r="B1565" s="1458"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90"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8"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8"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10"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8"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10"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1"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1"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2"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5"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3" t="s">
        <v>1182</v>
      </c>
      <c r="B1628" s="1467"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2"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4"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3" t="s">
        <v>1182</v>
      </c>
      <c r="B1639" s="1467"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2"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5"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5"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3" t="s">
        <v>1182</v>
      </c>
      <c r="B1654" s="1467"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500"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500"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500"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500"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500"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500"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6" t="s">
        <v>115</v>
      </c>
      <c r="B1751" s="1516"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6"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8" t="s">
        <v>311</v>
      </c>
      <c r="C1755" s="56">
        <v>45939</v>
      </c>
      <c r="F1755" s="43" t="s">
        <v>1628</v>
      </c>
      <c r="G1755" t="s">
        <v>1749</v>
      </c>
    </row>
    <row r="1756" spans="1:7" ht="15.75">
      <c r="A1756" s="600" t="s">
        <v>1182</v>
      </c>
      <c r="B1756" s="242" t="s">
        <v>1134</v>
      </c>
      <c r="C1756" s="306">
        <v>45939</v>
      </c>
      <c r="D1756" s="43">
        <v>508</v>
      </c>
      <c r="G1756" t="s">
        <v>1749</v>
      </c>
    </row>
    <row r="1757" spans="1:7">
      <c r="A1757" s="1513"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7"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8"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7"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9"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8"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9"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4"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20"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80"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4"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9" t="s">
        <v>331</v>
      </c>
      <c r="B1858" s="1483"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4"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80"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4"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1"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9"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4"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8"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4"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4"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2"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4"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8"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3"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1"/>
      <c r="B2170" s="1522"/>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8" t="s">
        <v>1200</v>
      </c>
      <c r="B2239" s="1523" t="s">
        <v>412</v>
      </c>
      <c r="C2239" s="56">
        <v>45999</v>
      </c>
      <c r="D2239" s="43">
        <v>640</v>
      </c>
      <c r="F2239" s="43" t="s">
        <v>1967</v>
      </c>
      <c r="G2239" t="s">
        <v>1936</v>
      </c>
    </row>
    <row r="2240" spans="1:7" ht="15.75">
      <c r="A2240" s="1244" t="s">
        <v>610</v>
      </c>
      <c r="B2240" s="1458"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4" t="s">
        <v>397</v>
      </c>
      <c r="B2242" s="1524"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8" t="s">
        <v>1200</v>
      </c>
      <c r="B2252" s="1523"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8"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4" t="s">
        <v>1202</v>
      </c>
      <c r="B2256" s="1490"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90"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3"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4"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4"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7" t="s">
        <v>156</v>
      </c>
      <c r="B2336" s="1468"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90"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4"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5" t="s">
        <v>116</v>
      </c>
      <c r="C2404" s="56">
        <v>46014</v>
      </c>
      <c r="E2404" s="317">
        <v>14727</v>
      </c>
      <c r="F2404" s="422" t="s">
        <v>2042</v>
      </c>
      <c r="G2404" t="s">
        <v>1936</v>
      </c>
    </row>
    <row r="2405" spans="1:7">
      <c r="A2405" s="366" t="s">
        <v>501</v>
      </c>
      <c r="B2405" s="1485"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6"/>
      <c r="B2408" s="1527"/>
      <c r="C2408" s="56">
        <v>46016</v>
      </c>
      <c r="G2408" t="s">
        <v>1936</v>
      </c>
    </row>
    <row r="2409" spans="1:7">
      <c r="A2409" s="366"/>
      <c r="B2409" s="1485"/>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6"/>
      <c r="B2431" s="1527"/>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8" t="s">
        <v>402</v>
      </c>
      <c r="B2444" s="1501"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8" t="s">
        <v>374</v>
      </c>
      <c r="B2522" s="1501"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1"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1"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1"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1"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8"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8"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90"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6"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1"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5" t="s">
        <v>1205</v>
      </c>
      <c r="B2656" s="903" t="s">
        <v>1808</v>
      </c>
      <c r="C2656" s="56">
        <v>46059</v>
      </c>
      <c r="F2656" s="307" t="s">
        <v>2132</v>
      </c>
      <c r="G2656" t="s">
        <v>1130</v>
      </c>
    </row>
    <row r="2657" spans="1:7">
      <c r="A2657" s="1535" t="s">
        <v>218</v>
      </c>
      <c r="B2657" s="903" t="s">
        <v>189</v>
      </c>
      <c r="C2657" s="56">
        <v>46059</v>
      </c>
      <c r="D2657" s="43">
        <v>3</v>
      </c>
      <c r="F2657" s="43" t="s">
        <v>2133</v>
      </c>
      <c r="G2657" t="s">
        <v>1130</v>
      </c>
    </row>
    <row r="2658" spans="1:7">
      <c r="A2658" s="1535" t="s">
        <v>380</v>
      </c>
      <c r="B2658" s="903" t="s">
        <v>189</v>
      </c>
      <c r="C2658" s="56">
        <v>46059</v>
      </c>
      <c r="D2658" s="43">
        <v>6</v>
      </c>
      <c r="F2658" s="43" t="s">
        <v>2134</v>
      </c>
      <c r="G2658" t="s">
        <v>1130</v>
      </c>
    </row>
    <row r="2659" spans="1:7">
      <c r="A2659" s="307" t="s">
        <v>1177</v>
      </c>
      <c r="B2659" s="307" t="s">
        <v>1134</v>
      </c>
      <c r="C2659" s="56">
        <v>46062</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44DBED0-2258-4BB1-B5F5-C3E7032800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2026-02-09T19:35:48Z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