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20" documentId="8_{E14B221E-02E2-46A3-8CEC-C736815F2DD5}" xr6:coauthVersionLast="47" xr6:coauthVersionMax="47" xr10:uidLastSave="{73C70850-B71F-4144-A8A4-78C9CF03526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4" r:id="rId12"/>
    <pivotCache cacheId="45" r:id="rId13"/>
    <pivotCache cacheId="46" r:id="rId14"/>
    <pivotCache cacheId="47" r:id="rId15"/>
    <pivotCache cacheId="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<sst xmlns="http://schemas.openxmlformats.org/spreadsheetml/2006/main" count="17245" uniqueCount="2213">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</sst>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J16" activePane="topRight" state="frozen"/>
      <selection pane="topRight" activeCell="L29" sqref="L2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4">
        <v>4765</v>
      </c>
      <c r="X79" s="1494">
        <f>SUM(V79-W79)</f>
        <v>2060</v>
      </c>
      <c r="Y79" s="658">
        <f>IFERROR($W79/$V79, 0)</f>
        <v>0.69816849816849813</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7">
        <v>3893</v>
      </c>
      <c r="X93" s="1378">
        <f t="shared" ref="X93:X95" si="10">SUM(V93-W93)</f>
        <v>1806</v>
      </c>
      <c r="Y93" s="1130">
        <f t="shared" ref="Y93:Y95" si="11">IFERROR($W93/$V93, 0)</f>
        <v>0.68310229864888572</v>
      </c>
      <c r="Z93" s="1498">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7">
        <v>3433</v>
      </c>
      <c r="X94" s="1378">
        <f t="shared" si="10"/>
        <v>2999</v>
      </c>
      <c r="Y94" s="1130">
        <f t="shared" si="11"/>
        <v>0.53373756218905477</v>
      </c>
      <c r="Z94" s="1498">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499">
        <v>4339</v>
      </c>
      <c r="X95" s="1236">
        <f t="shared" si="10"/>
        <v>2806</v>
      </c>
      <c r="Y95" s="868">
        <f t="shared" si="11"/>
        <v>0.60727781665500347</v>
      </c>
      <c r="Z95" s="1498">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7">
        <v>3201</v>
      </c>
      <c r="X96" s="1437">
        <f t="shared" ref="X96" si="12">SUM(V96-W96)</f>
        <v>821</v>
      </c>
      <c r="Y96" s="1365">
        <f t="shared" ref="Y96" si="13">IFERROR($W96/$V96, 0)</f>
        <v>0.79587270014917955</v>
      </c>
      <c r="Z96" s="1500">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8"/>
      <c r="R109" s="1335"/>
      <c r="S109" s="1335"/>
      <c r="T109" s="1335"/>
      <c r="U109" s="1335"/>
      <c r="V109" s="1236">
        <v>8641</v>
      </c>
      <c r="W109" s="1497"/>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1"/>
      <c r="R110" s="1337"/>
      <c r="S110" s="1337"/>
      <c r="T110" s="1337"/>
      <c r="U110" s="1337"/>
      <c r="V110" s="1339">
        <v>7502</v>
      </c>
      <c r="W110" s="1502"/>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2"/>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0" t="s">
        <v>63</v>
      </c>
      <c r="K15" s="1490"/>
      <c r="L15" s="476" t="s">
        <v>52</v>
      </c>
      <c r="M15" s="478" t="s">
        <v>57</v>
      </c>
      <c r="N15" s="1491">
        <v>1035</v>
      </c>
      <c r="O15" s="1197" t="s">
        <v>57</v>
      </c>
      <c r="P15" s="1246" t="s">
        <v>334</v>
      </c>
      <c r="Q15" s="1492">
        <v>46030</v>
      </c>
      <c r="R15" s="1309"/>
      <c r="S15" s="1309"/>
      <c r="T15" s="1309"/>
      <c r="U15" s="1309"/>
      <c r="V15" s="1493">
        <v>0</v>
      </c>
      <c r="W15" s="1503">
        <v>0</v>
      </c>
      <c r="X15" s="1494">
        <f>SUM(V15-W15)</f>
        <v>0</v>
      </c>
      <c r="Y15" s="658">
        <v>1</v>
      </c>
      <c r="Z15" s="1492">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0">
        <v>0</v>
      </c>
      <c r="I28" s="657" t="s">
        <v>333</v>
      </c>
      <c r="J28" s="1490" t="s">
        <v>63</v>
      </c>
      <c r="K28" s="1490"/>
      <c r="L28" s="1313" t="s">
        <v>137</v>
      </c>
      <c r="M28" s="1490" t="s">
        <v>57</v>
      </c>
      <c r="N28" s="1504">
        <v>15670.45</v>
      </c>
      <c r="O28" s="1490" t="s">
        <v>57</v>
      </c>
      <c r="P28" s="1505" t="s">
        <v>334</v>
      </c>
      <c r="Q28" s="1506">
        <v>46031</v>
      </c>
      <c r="R28" s="1506"/>
      <c r="S28" s="1506"/>
      <c r="T28" s="1506"/>
      <c r="U28" s="1506"/>
      <c r="V28" s="782">
        <v>1202</v>
      </c>
      <c r="W28" s="1247">
        <v>1208</v>
      </c>
      <c r="X28" s="1494">
        <f>SUM(V28-W28)</f>
        <v>-6</v>
      </c>
      <c r="Y28" s="658">
        <v>1</v>
      </c>
      <c r="Z28" s="1200">
        <v>46035</v>
      </c>
      <c r="AA28" s="355">
        <v>1</v>
      </c>
      <c r="AB28" s="1507">
        <v>0</v>
      </c>
      <c r="AC28" s="1494">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8">
        <v>5829</v>
      </c>
      <c r="X34" s="1378">
        <f t="shared" ref="X34:X38" si="15">SUM(V34-W34)</f>
        <v>31</v>
      </c>
      <c r="Y34" s="1130">
        <f t="shared" si="13"/>
        <v>0.99470989761092155</v>
      </c>
      <c r="Z34" s="1498">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8">
        <v>6080</v>
      </c>
      <c r="X35" s="1378">
        <f t="shared" si="15"/>
        <v>-59</v>
      </c>
      <c r="Y35" s="1130">
        <f t="shared" si="13"/>
        <v>1.0097990367048664</v>
      </c>
      <c r="Z35" s="1498">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8">
        <v>4810</v>
      </c>
      <c r="X36" s="1379">
        <f t="shared" si="15"/>
        <v>26</v>
      </c>
      <c r="Y36" s="1365">
        <f t="shared" si="13"/>
        <v>0.9946236559139785</v>
      </c>
      <c r="Z36" s="1501">
        <v>46036</v>
      </c>
      <c r="AA36" s="1256">
        <v>0</v>
      </c>
      <c r="AB36" s="1256">
        <v>0</v>
      </c>
      <c r="AC36" s="1255">
        <v>0</v>
      </c>
      <c r="AD36" s="1228" t="s">
        <v>420</v>
      </c>
    </row>
    <row r="37" spans="1:30" ht="39.75" customHeight="1">
      <c r="A37" s="1478"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0"/>
      <c r="V37" s="31">
        <v>7341</v>
      </c>
      <c r="W37" s="1509">
        <v>7151</v>
      </c>
      <c r="X37" s="1236">
        <f t="shared" si="15"/>
        <v>190</v>
      </c>
      <c r="Y37" s="868">
        <f t="shared" si="13"/>
        <v>0.97411796757934888</v>
      </c>
      <c r="Z37" s="1498">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09">
        <v>1277</v>
      </c>
      <c r="X38" s="1236">
        <f t="shared" si="15"/>
        <v>7</v>
      </c>
      <c r="Y38" s="868">
        <f t="shared" si="13"/>
        <v>0.99454828660436134</v>
      </c>
      <c r="Z38" s="1498">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79"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G1250">
        <v>575</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F1259">
        <v>845</v>
      </c>
      <c r="G1259">
        <v>2876</v>
      </c>
    </row>
    <row r="1260" spans="1:7">
      <c r="A1260" t="s">
        <v>1082</v>
      </c>
      <c r="C1260">
        <v>8071</v>
      </c>
      <c r="D1260">
        <v>8880</v>
      </c>
      <c r="E1260">
        <v>7444</v>
      </c>
      <c r="F1260">
        <v>3827</v>
      </c>
      <c r="G1260">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2155</v>
      </c>
      <c r="C1" s="1485"/>
      <c r="D1" s="554"/>
      <c r="E1" s="1485" t="s">
        <v>2156</v>
      </c>
      <c r="F1" s="1485"/>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v>36706</v>
      </c>
      <c r="E4" s="44" t="s">
        <v>2157</v>
      </c>
      <c r="F4" t="s">
        <v>1085</v>
      </c>
      <c r="W4" t="s">
        <v>2161</v>
      </c>
      <c r="X4">
        <v>22</v>
      </c>
    </row>
    <row r="5" spans="1:25">
      <c r="B5" t="s">
        <v>182</v>
      </c>
      <c r="C5">
        <v>17860</v>
      </c>
      <c r="E5" t="s">
        <v>1085</v>
      </c>
      <c r="F5">
        <v>85305</v>
      </c>
      <c r="K5" s="44" t="s">
        <v>2162</v>
      </c>
      <c r="P5" s="44" t="s">
        <v>2162</v>
      </c>
      <c r="W5" t="s">
        <v>2163</v>
      </c>
      <c r="X5">
        <v>13</v>
      </c>
    </row>
    <row r="6" spans="1:25">
      <c r="B6" t="s">
        <v>1112</v>
      </c>
      <c r="C6">
        <v>175361</v>
      </c>
      <c r="K6" s="44" t="s">
        <v>27</v>
      </c>
      <c r="L6" s="44" t="s">
        <v>2164</v>
      </c>
      <c r="M6" t="s">
        <v>1085</v>
      </c>
      <c r="P6" s="44" t="s">
        <v>2165</v>
      </c>
      <c r="Q6" s="44" t="s">
        <v>2164</v>
      </c>
      <c r="R6" t="s">
        <v>1085</v>
      </c>
    </row>
    <row r="7" spans="1:25">
      <c r="B7" t="s">
        <v>51</v>
      </c>
      <c r="C7">
        <v>446</v>
      </c>
      <c r="K7" t="s">
        <v>2158</v>
      </c>
      <c r="L7" t="s">
        <v>659</v>
      </c>
      <c r="M7">
        <v>1</v>
      </c>
      <c r="P7" t="s">
        <v>2166</v>
      </c>
      <c r="R7">
        <v>1</v>
      </c>
      <c r="X7" t="s">
        <v>2167</v>
      </c>
      <c r="Y7" t="s">
        <v>2168</v>
      </c>
    </row>
    <row r="8" spans="1:25">
      <c r="B8" t="s">
        <v>22</v>
      </c>
      <c r="C8">
        <v>0</v>
      </c>
      <c r="L8" t="s">
        <v>661</v>
      </c>
      <c r="M8">
        <v>1</v>
      </c>
      <c r="P8" t="s">
        <v>2169</v>
      </c>
      <c r="R8">
        <v>1</v>
      </c>
      <c r="V8" t="s">
        <v>2170</v>
      </c>
      <c r="W8" s="257">
        <v>203521</v>
      </c>
      <c r="X8" s="313">
        <f>X5/X4</f>
        <v>0.59090909090909094</v>
      </c>
      <c r="Y8" s="313">
        <f>W9/W8</f>
        <v>0.31446386367991508</v>
      </c>
    </row>
    <row r="9" spans="1:25">
      <c r="B9" t="s">
        <v>193</v>
      </c>
      <c r="C9">
        <v>10811</v>
      </c>
      <c r="L9" t="s">
        <v>2171</v>
      </c>
      <c r="M9">
        <v>1</v>
      </c>
      <c r="P9" t="s">
        <v>2172</v>
      </c>
      <c r="Q9" t="s">
        <v>2171</v>
      </c>
      <c r="R9">
        <v>1</v>
      </c>
      <c r="V9" t="s">
        <v>2173</v>
      </c>
      <c r="W9">
        <v>64000</v>
      </c>
    </row>
    <row r="10" spans="1:25">
      <c r="B10" t="s">
        <v>204</v>
      </c>
      <c r="C10">
        <v>30887</v>
      </c>
      <c r="L10" t="s">
        <v>853</v>
      </c>
      <c r="M10">
        <v>1</v>
      </c>
      <c r="Q10" t="s">
        <v>857</v>
      </c>
      <c r="R10">
        <v>1</v>
      </c>
    </row>
    <row r="11" spans="1:25">
      <c r="B11" t="s">
        <v>118</v>
      </c>
      <c r="C11">
        <v>6428</v>
      </c>
      <c r="L11" t="s">
        <v>857</v>
      </c>
      <c r="M11">
        <v>1</v>
      </c>
      <c r="Q11" t="s">
        <v>860</v>
      </c>
      <c r="R11">
        <v>1</v>
      </c>
    </row>
    <row r="12" spans="1:25">
      <c r="B12" t="s">
        <v>123</v>
      </c>
      <c r="C12">
        <v>7441</v>
      </c>
      <c r="L12" t="s">
        <v>860</v>
      </c>
      <c r="M12">
        <v>1</v>
      </c>
      <c r="Q12" t="s">
        <v>2174</v>
      </c>
      <c r="R12">
        <v>1</v>
      </c>
    </row>
    <row r="13" spans="1:25">
      <c r="B13" t="s">
        <v>153</v>
      </c>
      <c r="C13">
        <v>3</v>
      </c>
      <c r="L13" t="s">
        <v>2175</v>
      </c>
      <c r="M13">
        <v>1</v>
      </c>
      <c r="Q13" t="s">
        <v>1039</v>
      </c>
      <c r="R13">
        <v>1</v>
      </c>
    </row>
    <row r="14" spans="1:25">
      <c r="B14" t="s">
        <v>237</v>
      </c>
      <c r="C14">
        <v>8622</v>
      </c>
      <c r="L14" t="s">
        <v>874</v>
      </c>
      <c r="M14">
        <v>1</v>
      </c>
      <c r="P14" t="s">
        <v>2176</v>
      </c>
      <c r="R14">
        <v>5</v>
      </c>
    </row>
    <row r="15" spans="1:25">
      <c r="B15" t="s">
        <v>264</v>
      </c>
      <c r="C15">
        <v>6160</v>
      </c>
      <c r="L15" t="s">
        <v>2174</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2177</v>
      </c>
      <c r="M21">
        <v>1</v>
      </c>
    </row>
    <row r="22" spans="2:13">
      <c r="L22" t="s">
        <v>1039</v>
      </c>
      <c r="M22">
        <v>1</v>
      </c>
    </row>
    <row r="23" spans="2:13">
      <c r="L23" t="s">
        <v>922</v>
      </c>
      <c r="M23">
        <v>1</v>
      </c>
    </row>
    <row r="24" spans="2:13">
      <c r="L24" t="s">
        <v>951</v>
      </c>
      <c r="M24">
        <v>1</v>
      </c>
    </row>
    <row r="25" spans="2:13">
      <c r="L25" t="s">
        <v>149</v>
      </c>
      <c r="M25">
        <v>1</v>
      </c>
    </row>
    <row r="26" spans="2:13">
      <c r="K26" t="s">
        <v>2178</v>
      </c>
      <c r="M26">
        <v>19</v>
      </c>
    </row>
    <row r="27" spans="2:13">
      <c r="K27" t="s">
        <v>2179</v>
      </c>
      <c r="L27" t="s">
        <v>868</v>
      </c>
      <c r="M27">
        <v>1</v>
      </c>
    </row>
    <row r="28" spans="2:13">
      <c r="L28" t="s">
        <v>870</v>
      </c>
      <c r="M28">
        <v>1</v>
      </c>
    </row>
    <row r="29" spans="2:13">
      <c r="L29" t="s">
        <v>872</v>
      </c>
      <c r="M29">
        <v>1</v>
      </c>
    </row>
    <row r="30" spans="2:13">
      <c r="L30" t="s">
        <v>888</v>
      </c>
      <c r="M30">
        <v>1</v>
      </c>
    </row>
    <row r="31" spans="2:13">
      <c r="L31" t="s">
        <v>892</v>
      </c>
      <c r="M31">
        <v>1</v>
      </c>
    </row>
    <row r="32" spans="2:13">
      <c r="L32" t="s">
        <v>2180</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2182</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CFFC930-7743-4DC6-AFAE-17CEA6B75E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2026-01-26T12:32:24Z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