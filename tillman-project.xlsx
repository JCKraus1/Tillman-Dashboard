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05" documentId="8_{E14B221E-02E2-46A3-8CEC-C736815F2DD5}" xr6:coauthVersionLast="47" xr6:coauthVersionMax="47" xr10:uidLastSave="{B5E99EAE-D16F-4696-89D8-8DC58F4EB5ED}"/>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095" r:id="rId12"/>
    <pivotCache cacheId="1098" r:id="rId13"/>
    <pivotCache cacheId="1101" r:id="rId14"/>
    <pivotCache cacheId="1104" r:id="rId15"/>
    <pivotCache cacheId="11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<sst xmlns="http://schemas.openxmlformats.org/spreadsheetml/2006/main" count="16067" uniqueCount="2088">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</sst>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8" fillId="0" borderId="2"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476851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777575"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2 Flower Pot / 8 Splices"/>
    <x v="11"/>
  </r>
  <r>
    <s v="Vantage Point"/>
    <x v="32"/>
    <d v="2025-12-17T00:00:00"/>
    <m/>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m/>
    <m/>
    <m/>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2 Flower Pot / 8 Splices"/>
  </r>
  <r>
    <x v="293"/>
    <x v="32"/>
    <x v="221"/>
    <m/>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m/>
    <m/>
    <m/>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S107" activePane="topRight" state="frozen"/>
      <selection pane="topRight" activeCell="A119" sqref="A1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68">
        <v>8227</v>
      </c>
      <c r="X19" s="1212">
        <f>SUM(V19-W19)</f>
        <v>-232</v>
      </c>
      <c r="Y19" s="863">
        <f t="shared" si="2"/>
        <v>1.0290181363352096</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05" t="s">
        <v>142</v>
      </c>
      <c r="B31" s="1207" t="s">
        <v>117</v>
      </c>
      <c r="C31" s="1206">
        <v>46010</v>
      </c>
      <c r="D31" s="1206" t="s">
        <v>143</v>
      </c>
      <c r="E31" s="1206">
        <v>45974</v>
      </c>
      <c r="F31" s="1207" t="s">
        <v>118</v>
      </c>
      <c r="G31" s="1207" t="s">
        <v>144</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68">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8">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0"/>
      <c r="K69" s="1370"/>
      <c r="L69" s="1356"/>
      <c r="M69" s="1228" t="s">
        <v>57</v>
      </c>
      <c r="N69" s="1371">
        <v>1035</v>
      </c>
      <c r="O69" s="1228" t="s">
        <v>57</v>
      </c>
      <c r="P69" s="1241" t="s">
        <v>58</v>
      </c>
      <c r="Q69" s="1372"/>
      <c r="R69" s="1372"/>
      <c r="S69" s="1372"/>
      <c r="T69" s="1372"/>
      <c r="U69" s="1372"/>
      <c r="V69" s="1373">
        <v>0</v>
      </c>
      <c r="W69" s="1374"/>
      <c r="X69" s="1374">
        <f>SUM(V69-W69)</f>
        <v>0</v>
      </c>
      <c r="Y69" s="662">
        <f>IFERROR($W69/$V69, 0)</f>
        <v>0</v>
      </c>
      <c r="Z69" s="1375"/>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8">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6"/>
      <c r="I83" s="829" t="s">
        <v>55</v>
      </c>
      <c r="J83" s="832" t="s">
        <v>63</v>
      </c>
      <c r="K83" s="1370"/>
      <c r="L83" s="1358"/>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0"/>
      <c r="L92" s="1358"/>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8">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8">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E1114">
        <v>1875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E1124">
        <v>890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5857</v>
      </c>
      <c r="E1128">
        <v>25201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4"/>
  <sheetViews>
    <sheetView workbookViewId="0">
      <pane ySplit="1" topLeftCell="A2318" activePane="bottomLeft" state="frozen"/>
      <selection pane="bottomLeft" activeCell="A2345" sqref="A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9"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9"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2030</v>
      </c>
      <c r="C1" s="1364"/>
      <c r="D1" s="558"/>
      <c r="E1" s="1364" t="s">
        <v>2031</v>
      </c>
      <c r="F1" s="1364"/>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2057</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1A6DC51-2C58-4D5E-B59D-94641FA3A98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2025-12-18T00:35:21Z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