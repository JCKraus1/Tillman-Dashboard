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20" documentId="8_{E14B221E-02E2-46A3-8CEC-C736815F2DD5}" xr6:coauthVersionLast="47" xr6:coauthVersionMax="47" xr10:uidLastSave="{3CBEB1D0-390A-43C1-9E48-BE10C04B6B8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964" r:id="rId12"/>
    <pivotCache cacheId="1965" r:id="rId13"/>
    <pivotCache cacheId="1966" r:id="rId14"/>
    <pivotCache cacheId="1967" r:id="rId15"/>
    <pivotCache cacheId="19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6" i="32" l="1"/>
  <c r="Y46" i="32"/>
  <c r="X16" i="32"/>
  <c r="Y16" i="32"/>
  <c r="X32" i="32"/>
  <c r="Y32" i="32"/>
  <c r="X31" i="32"/>
  <c r="Y31" i="32"/>
  <c r="Y22" i="31"/>
  <c r="X22" i="31"/>
  <c r="Y29" i="31"/>
  <c r="X29" i="31"/>
  <c r="Y28" i="31"/>
  <c r="X28" i="31"/>
  <c r="X98" i="2"/>
  <c r="Y98" i="2"/>
  <c r="X97" i="2"/>
  <c r="Y97" i="2"/>
  <c r="X95" i="2"/>
  <c r="Y95" i="2"/>
  <c r="Y96" i="2"/>
  <c r="X96" i="2"/>
  <c r="X88" i="2"/>
  <c r="Y88" i="2"/>
  <c r="Y17" i="32"/>
  <c r="X17"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2" i="31"/>
  <c r="X62" i="31"/>
  <c r="Y41" i="2"/>
  <c r="X41" i="2"/>
  <c r="Y59" i="31"/>
  <c r="X59" i="31"/>
  <c r="Y35" i="31"/>
  <c r="X35" i="31"/>
  <c r="Y63" i="31"/>
  <c r="X63" i="31"/>
  <c r="Y69" i="31"/>
  <c r="X69" i="31"/>
  <c r="Y61" i="31"/>
  <c r="X61" i="31"/>
  <c r="Y24" i="31"/>
  <c r="X24" i="31"/>
  <c r="Y23" i="31"/>
  <c r="X23" i="31"/>
  <c r="Y56" i="31"/>
  <c r="X56" i="31"/>
  <c r="X58" i="2"/>
  <c r="Y58" i="2"/>
  <c r="Y72" i="2"/>
  <c r="X72" i="2"/>
  <c r="Y81" i="2"/>
  <c r="X81" i="2"/>
  <c r="Y28" i="32"/>
  <c r="X28" i="32"/>
  <c r="Y17" i="31"/>
  <c r="X17" i="31"/>
  <c r="U118" i="30"/>
  <c r="Y27" i="32"/>
  <c r="X27" i="32"/>
  <c r="Y18" i="32"/>
  <c r="X18" i="32"/>
  <c r="X60" i="31"/>
  <c r="Y60" i="31"/>
  <c r="X58" i="31"/>
  <c r="Y58" i="31"/>
  <c r="X54" i="31"/>
  <c r="Y54" i="31"/>
  <c r="X102" i="2"/>
  <c r="X103" i="2"/>
  <c r="X104" i="2"/>
  <c r="X105" i="2"/>
  <c r="X106" i="2"/>
  <c r="X107" i="2"/>
  <c r="X108" i="2"/>
  <c r="X109" i="2"/>
  <c r="U39" i="30"/>
  <c r="U134" i="30"/>
  <c r="X29" i="32"/>
  <c r="Y29" i="32"/>
  <c r="X21" i="31"/>
  <c r="Y21" i="31"/>
  <c r="Y87" i="2"/>
  <c r="X87" i="2"/>
  <c r="X33" i="32"/>
  <c r="Y33" i="32"/>
  <c r="X38" i="31"/>
  <c r="Y38" i="31"/>
  <c r="X16" i="31"/>
  <c r="Y16" i="31"/>
  <c r="X27" i="31"/>
  <c r="Y27" i="31"/>
  <c r="Y36" i="31"/>
  <c r="X36" i="31"/>
  <c r="Y35" i="2"/>
  <c r="X35" i="2"/>
  <c r="Y55" i="31"/>
  <c r="X55" i="31"/>
  <c r="Y52" i="31"/>
  <c r="X52" i="31"/>
  <c r="Y18" i="31"/>
  <c r="X18" i="31"/>
  <c r="Y32" i="31"/>
  <c r="X32" i="31"/>
  <c r="X17" i="2"/>
  <c r="Y24" i="32"/>
  <c r="X24" i="32"/>
  <c r="Y50" i="31"/>
  <c r="X50" i="31"/>
  <c r="Y80" i="2"/>
  <c r="X80" i="2"/>
  <c r="T31" i="8"/>
  <c r="U31" i="8"/>
  <c r="T29" i="8"/>
  <c r="U29" i="8"/>
  <c r="Y34" i="32"/>
  <c r="X34" i="32"/>
  <c r="Y57" i="31"/>
  <c r="X57" i="31"/>
  <c r="Y49" i="31"/>
  <c r="X49" i="31"/>
  <c r="Y20" i="31"/>
  <c r="X20" i="31"/>
  <c r="Y2" i="32"/>
  <c r="X2" i="32"/>
  <c r="Y79" i="2"/>
  <c r="X79" i="2"/>
  <c r="Y6" i="32"/>
  <c r="X6" i="32"/>
  <c r="Y103" i="2"/>
  <c r="X75" i="2"/>
  <c r="Y75" i="2"/>
  <c r="Y26" i="32"/>
  <c r="X26" i="32"/>
  <c r="Y25" i="32"/>
  <c r="X25" i="32"/>
  <c r="Y42" i="32"/>
  <c r="X42" i="32"/>
  <c r="X30" i="31"/>
  <c r="Y30" i="31"/>
  <c r="X66" i="31"/>
  <c r="Y66" i="31"/>
  <c r="Y49" i="2"/>
  <c r="X49" i="2"/>
  <c r="Y7" i="31"/>
  <c r="X7" i="31"/>
  <c r="Y5" i="31"/>
  <c r="X5" i="31"/>
  <c r="Y26" i="31"/>
  <c r="X26" i="31"/>
  <c r="Y105" i="2"/>
  <c r="Y106" i="2"/>
  <c r="Y107" i="2"/>
  <c r="Y108" i="2"/>
  <c r="Y109" i="2"/>
  <c r="X86" i="2"/>
  <c r="Y86"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3" i="2"/>
  <c r="X43" i="2"/>
  <c r="X14" i="2"/>
  <c r="Y14" i="2"/>
  <c r="X18" i="2"/>
  <c r="Y18" i="2"/>
  <c r="Y6" i="31"/>
  <c r="X6" i="31"/>
  <c r="Y33" i="31"/>
  <c r="X33" i="31"/>
  <c r="X12" i="2"/>
  <c r="Y12" i="2"/>
  <c r="X13" i="2"/>
  <c r="Y13" i="2"/>
  <c r="Y24" i="2"/>
  <c r="X24" i="2"/>
  <c r="T148" i="30"/>
  <c r="X77" i="2"/>
  <c r="Y77" i="2"/>
  <c r="Y27" i="2"/>
  <c r="X27" i="2"/>
  <c r="Y22" i="32"/>
  <c r="X22" i="32"/>
  <c r="Y14" i="31"/>
  <c r="X14" i="31"/>
  <c r="Y23" i="32"/>
  <c r="X23" i="32"/>
  <c r="Y68" i="31"/>
  <c r="X68" i="31"/>
  <c r="Y25" i="2"/>
  <c r="X25" i="2"/>
  <c r="Y9" i="31"/>
  <c r="X9" i="31"/>
  <c r="Y15" i="31"/>
  <c r="X15" i="31"/>
  <c r="Y21" i="32"/>
  <c r="X21" i="32"/>
  <c r="Y29" i="2"/>
  <c r="X29" i="2"/>
  <c r="Y51" i="2"/>
  <c r="Y50" i="2"/>
  <c r="X50" i="2"/>
  <c r="Y19" i="32"/>
  <c r="X19" i="32"/>
  <c r="Y102" i="2"/>
  <c r="X74" i="2"/>
  <c r="Y74" i="2"/>
  <c r="X82" i="2"/>
  <c r="Y82" i="2"/>
  <c r="Y10" i="32"/>
  <c r="X10" i="32"/>
  <c r="Y13" i="32"/>
  <c r="X13" i="32"/>
  <c r="U122" i="30"/>
  <c r="Y7" i="32"/>
  <c r="X7" i="32"/>
  <c r="X36" i="32"/>
  <c r="Y36" i="32"/>
  <c r="X51" i="2"/>
  <c r="X57" i="2"/>
  <c r="Y57" i="2"/>
  <c r="U115" i="30"/>
  <c r="Y8" i="31"/>
  <c r="X8" i="31"/>
  <c r="Y34" i="31"/>
  <c r="X34"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<sst xmlns="http://schemas.openxmlformats.org/spreadsheetml/2006/main" count="16612" uniqueCount="2148">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</sst>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29" activePane="topRight" state="frozen"/>
      <selection pane="topRight" activeCell="AD51" sqref="AD5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v>46021</v>
      </c>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151</v>
      </c>
      <c r="AE34" s="1240"/>
    </row>
    <row r="35" spans="1:32" ht="24.75" customHeight="1">
      <c r="A35" s="1255" t="s">
        <v>152</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153</v>
      </c>
      <c r="AE35" s="1240"/>
    </row>
    <row r="36" spans="1:32" ht="24.75" customHeight="1">
      <c r="A36" s="1255" t="s">
        <v>154</v>
      </c>
      <c r="B36" s="1205" t="s">
        <v>111</v>
      </c>
      <c r="C36" s="1204">
        <v>46039</v>
      </c>
      <c r="D36" s="1204"/>
      <c r="E36" s="1204"/>
      <c r="F36" s="1205"/>
      <c r="G36" s="1205" t="s">
        <v>155</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156</v>
      </c>
      <c r="AE36" s="1240"/>
    </row>
    <row r="37" spans="1:32" ht="24.75" customHeight="1">
      <c r="A37" s="1203" t="s">
        <v>157</v>
      </c>
      <c r="B37" s="1205" t="s">
        <v>111</v>
      </c>
      <c r="C37" s="1204">
        <v>46006</v>
      </c>
      <c r="D37" s="1204" t="s">
        <v>131</v>
      </c>
      <c r="E37" s="1204">
        <v>45936</v>
      </c>
      <c r="F37" s="1205" t="s">
        <v>112</v>
      </c>
      <c r="G37" s="1205" t="s">
        <v>158</v>
      </c>
      <c r="H37" s="1206">
        <v>0</v>
      </c>
      <c r="I37" s="661" t="s">
        <v>55</v>
      </c>
      <c r="J37" s="1206" t="s">
        <v>63</v>
      </c>
      <c r="K37" s="1206"/>
      <c r="L37" s="1204" t="s">
        <v>159</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160</v>
      </c>
      <c r="AE37" s="1240"/>
    </row>
    <row r="38" spans="1:32" ht="24.75" customHeight="1">
      <c r="A38" s="1255" t="s">
        <v>161</v>
      </c>
      <c r="B38" s="1205" t="s">
        <v>111</v>
      </c>
      <c r="C38" s="1204">
        <v>46066</v>
      </c>
      <c r="D38" s="1204"/>
      <c r="E38" s="1204"/>
      <c r="F38" s="642" t="s">
        <v>162</v>
      </c>
      <c r="G38" s="1205" t="s">
        <v>163</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164</v>
      </c>
      <c r="B39" s="1205" t="s">
        <v>111</v>
      </c>
      <c r="C39" s="1204">
        <v>46047</v>
      </c>
      <c r="D39" s="1204"/>
      <c r="E39" s="1204"/>
      <c r="F39" s="642" t="s">
        <v>162</v>
      </c>
      <c r="G39" s="1205" t="s">
        <v>165</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166</v>
      </c>
    </row>
    <row r="40" spans="1:32" ht="24.75" customHeight="1">
      <c r="A40" s="1255" t="s">
        <v>167</v>
      </c>
      <c r="B40" s="1205" t="s">
        <v>111</v>
      </c>
      <c r="C40" s="1204"/>
      <c r="D40" s="1204"/>
      <c r="E40" s="1204"/>
      <c r="F40" s="642" t="s">
        <v>162</v>
      </c>
      <c r="G40" s="1205" t="s">
        <v>168</v>
      </c>
      <c r="H40" s="1206">
        <v>0</v>
      </c>
      <c r="I40" s="1206" t="s">
        <v>55</v>
      </c>
      <c r="J40" s="1206" t="s">
        <v>90</v>
      </c>
      <c r="K40" s="1206" t="s">
        <v>114</v>
      </c>
      <c r="L40" s="1205" t="s">
        <v>159</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169</v>
      </c>
    </row>
    <row r="41" spans="1:32" ht="24.75" customHeight="1">
      <c r="A41" s="1203" t="s">
        <v>170</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171</v>
      </c>
    </row>
    <row r="42" spans="1:32" ht="24.75" customHeight="1">
      <c r="A42" s="1255" t="s">
        <v>172</v>
      </c>
      <c r="B42" s="1205" t="s">
        <v>111</v>
      </c>
      <c r="C42" s="1204">
        <v>46053</v>
      </c>
      <c r="D42" s="1204"/>
      <c r="E42" s="1204"/>
      <c r="F42" s="1205" t="s">
        <v>144</v>
      </c>
      <c r="G42" s="1205" t="s">
        <v>173</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174</v>
      </c>
      <c r="B43" s="1205" t="s">
        <v>111</v>
      </c>
      <c r="C43" s="1204">
        <v>46031</v>
      </c>
      <c r="D43" s="1204" t="s">
        <v>175</v>
      </c>
      <c r="E43" s="1204"/>
      <c r="F43" s="1205" t="s">
        <v>53</v>
      </c>
      <c r="G43" s="1205" t="s">
        <v>176</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177</v>
      </c>
    </row>
    <row r="44" spans="1:32" ht="24.75" customHeight="1">
      <c r="A44" s="1255" t="s">
        <v>178</v>
      </c>
      <c r="B44" s="1205" t="s">
        <v>111</v>
      </c>
      <c r="C44" s="1204">
        <v>46020</v>
      </c>
      <c r="D44" s="1204"/>
      <c r="E44" s="1204"/>
      <c r="F44" s="1205" t="s">
        <v>112</v>
      </c>
      <c r="G44" s="1205" t="s">
        <v>179</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180</v>
      </c>
    </row>
    <row r="45" spans="1:32" ht="24.75" customHeight="1">
      <c r="A45" s="1255" t="s">
        <v>181</v>
      </c>
      <c r="B45" s="1205" t="s">
        <v>111</v>
      </c>
      <c r="C45" s="1204">
        <v>46031</v>
      </c>
      <c r="D45" s="1204"/>
      <c r="E45" s="1204">
        <v>45866</v>
      </c>
      <c r="F45" s="1205" t="s">
        <v>112</v>
      </c>
      <c r="G45" s="1205" t="s">
        <v>182</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183</v>
      </c>
    </row>
    <row r="46" spans="1:32" ht="24.75" customHeight="1">
      <c r="A46" s="1255" t="s">
        <v>184</v>
      </c>
      <c r="B46" s="1205" t="s">
        <v>111</v>
      </c>
      <c r="C46" s="1204"/>
      <c r="D46" s="1204"/>
      <c r="E46" s="1204"/>
      <c r="F46" s="1205" t="s">
        <v>112</v>
      </c>
      <c r="G46" s="1205" t="s">
        <v>185</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186</v>
      </c>
      <c r="AF46" s="1269"/>
    </row>
    <row r="47" spans="1:32" ht="24.75" customHeight="1">
      <c r="A47" s="1203" t="s">
        <v>187</v>
      </c>
      <c r="B47" s="1205" t="s">
        <v>111</v>
      </c>
      <c r="C47" s="1204">
        <v>46010</v>
      </c>
      <c r="D47" s="1204" t="s">
        <v>143</v>
      </c>
      <c r="E47" s="1204">
        <v>46007</v>
      </c>
      <c r="F47" s="1205" t="s">
        <v>112</v>
      </c>
      <c r="G47" s="1205" t="s">
        <v>188</v>
      </c>
      <c r="H47" s="1206">
        <v>0</v>
      </c>
      <c r="I47" s="661" t="s">
        <v>55</v>
      </c>
      <c r="J47" s="1206" t="s">
        <v>63</v>
      </c>
      <c r="K47" s="1206"/>
      <c r="L47" s="1204" t="s">
        <v>159</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189</v>
      </c>
      <c r="AF47" s="1269"/>
    </row>
    <row r="48" spans="1:32" ht="24.75" customHeight="1">
      <c r="A48" s="1203" t="s">
        <v>190</v>
      </c>
      <c r="B48" s="1205" t="s">
        <v>111</v>
      </c>
      <c r="C48" s="1204">
        <v>46203</v>
      </c>
      <c r="D48" s="1205" t="s">
        <v>51</v>
      </c>
      <c r="E48" s="1204"/>
      <c r="F48" s="1205" t="s">
        <v>53</v>
      </c>
      <c r="G48" s="1205" t="s">
        <v>191</v>
      </c>
      <c r="H48" s="1206">
        <v>0</v>
      </c>
      <c r="I48" s="661" t="s">
        <v>55</v>
      </c>
      <c r="J48" s="1206" t="s">
        <v>56</v>
      </c>
      <c r="K48" s="1206"/>
      <c r="L48" s="1204" t="s">
        <v>159</v>
      </c>
      <c r="M48" s="1206" t="s">
        <v>57</v>
      </c>
      <c r="N48" s="1207">
        <v>388</v>
      </c>
      <c r="O48" s="1206" t="s">
        <v>57</v>
      </c>
      <c r="P48" s="1208" t="s">
        <v>58</v>
      </c>
      <c r="Q48" s="1270" t="s">
        <v>159</v>
      </c>
      <c r="R48" s="1263"/>
      <c r="S48" s="1209"/>
      <c r="T48" s="1209"/>
      <c r="U48" s="1209"/>
      <c r="V48" s="787">
        <v>0</v>
      </c>
      <c r="W48" s="787"/>
      <c r="X48" s="1210">
        <f t="shared" si="3"/>
        <v>0</v>
      </c>
      <c r="Y48" s="662">
        <f t="shared" si="4"/>
        <v>0</v>
      </c>
      <c r="Z48" s="1248"/>
      <c r="AA48" s="1212">
        <v>0</v>
      </c>
      <c r="AB48" s="1212">
        <v>0</v>
      </c>
      <c r="AC48" s="1210">
        <v>0</v>
      </c>
      <c r="AD48" s="1244" t="s">
        <v>192</v>
      </c>
      <c r="AF48" s="1269"/>
    </row>
    <row r="49" spans="1:56" ht="24.75" customHeight="1">
      <c r="A49" s="1255" t="s">
        <v>193</v>
      </c>
      <c r="B49" s="1205" t="s">
        <v>111</v>
      </c>
      <c r="C49" s="1224">
        <v>46041</v>
      </c>
      <c r="D49" s="1204"/>
      <c r="E49" s="1204"/>
      <c r="F49" s="1205"/>
      <c r="G49" s="1205" t="s">
        <v>194</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195</v>
      </c>
      <c r="AE49" s="1271"/>
      <c r="AF49" s="1269"/>
    </row>
    <row r="50" spans="1:56" ht="24.75" customHeight="1">
      <c r="A50" s="1255" t="s">
        <v>196</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197</v>
      </c>
      <c r="AE50" s="1271"/>
      <c r="AF50" s="1269"/>
    </row>
    <row r="51" spans="1:56" ht="24.75" customHeight="1">
      <c r="A51" s="1203" t="s">
        <v>198</v>
      </c>
      <c r="B51" s="681" t="s">
        <v>111</v>
      </c>
      <c r="C51" s="1204">
        <v>46015</v>
      </c>
      <c r="D51" s="1204" t="s">
        <v>199</v>
      </c>
      <c r="E51" s="1204">
        <v>45965</v>
      </c>
      <c r="F51" s="1205" t="s">
        <v>112</v>
      </c>
      <c r="G51" s="1205" t="s">
        <v>200</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201</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202</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203</v>
      </c>
      <c r="B55" s="830" t="s">
        <v>204</v>
      </c>
      <c r="C55" s="1204">
        <v>46039</v>
      </c>
      <c r="D55" s="1204" t="s">
        <v>71</v>
      </c>
      <c r="E55" s="1204">
        <v>45966</v>
      </c>
      <c r="F55" s="1204" t="s">
        <v>205</v>
      </c>
      <c r="G55" s="1205" t="s">
        <v>206</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207</v>
      </c>
      <c r="AE55" s="1271"/>
      <c r="AF55" s="1269"/>
    </row>
    <row r="56" spans="1:56" ht="24.75" customHeight="1">
      <c r="A56" s="1203" t="s">
        <v>208</v>
      </c>
      <c r="B56" s="830" t="s">
        <v>204</v>
      </c>
      <c r="C56" s="1204">
        <v>46039</v>
      </c>
      <c r="D56" s="1204" t="s">
        <v>71</v>
      </c>
      <c r="E56" s="1204">
        <v>45966</v>
      </c>
      <c r="F56" s="1204" t="s">
        <v>205</v>
      </c>
      <c r="G56" s="1205" t="s">
        <v>209</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210</v>
      </c>
      <c r="AE56" s="1271"/>
      <c r="AF56" s="1269"/>
    </row>
    <row r="57" spans="1:56" ht="24.75" customHeight="1">
      <c r="A57" s="1203" t="s">
        <v>211</v>
      </c>
      <c r="B57" s="830" t="s">
        <v>204</v>
      </c>
      <c r="C57" s="1204">
        <v>45987</v>
      </c>
      <c r="D57" s="1225" t="s">
        <v>51</v>
      </c>
      <c r="E57" s="1224"/>
      <c r="F57" s="1225" t="s">
        <v>53</v>
      </c>
      <c r="G57" s="1225" t="s">
        <v>212</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213</v>
      </c>
      <c r="AE57" s="1271"/>
      <c r="AF57" s="1269"/>
    </row>
    <row r="58" spans="1:56" ht="24.75" customHeight="1">
      <c r="A58" s="1203" t="s">
        <v>214</v>
      </c>
      <c r="B58" s="830" t="s">
        <v>204</v>
      </c>
      <c r="C58" s="1346">
        <v>46053</v>
      </c>
      <c r="D58" s="1347" t="s">
        <v>215</v>
      </c>
      <c r="E58" s="1348"/>
      <c r="F58" s="1347"/>
      <c r="G58" s="1225"/>
      <c r="H58" s="1226">
        <v>0</v>
      </c>
      <c r="I58" s="661" t="s">
        <v>55</v>
      </c>
      <c r="J58" s="1447"/>
      <c r="K58" s="1447"/>
      <c r="L58" s="1346"/>
      <c r="M58" s="1226" t="s">
        <v>57</v>
      </c>
      <c r="N58" s="1448">
        <v>1035</v>
      </c>
      <c r="O58" s="1226" t="s">
        <v>57</v>
      </c>
      <c r="P58" s="1239" t="s">
        <v>58</v>
      </c>
      <c r="Q58" s="1449"/>
      <c r="R58" s="1449"/>
      <c r="S58" s="1449"/>
      <c r="T58" s="1449"/>
      <c r="U58" s="1449"/>
      <c r="V58" s="1450">
        <v>0</v>
      </c>
      <c r="W58" s="1451"/>
      <c r="X58" s="1451">
        <f>SUM(V58-W58)</f>
        <v>0</v>
      </c>
      <c r="Y58" s="662">
        <f>IFERROR($W58/$V58, 0)</f>
        <v>0</v>
      </c>
      <c r="Z58" s="1452"/>
      <c r="AA58" s="1212">
        <v>0</v>
      </c>
      <c r="AB58" s="1212">
        <v>0</v>
      </c>
      <c r="AC58" s="1230">
        <v>0</v>
      </c>
      <c r="AD58" s="1213" t="s">
        <v>216</v>
      </c>
      <c r="AE58" s="1271"/>
      <c r="AF58" s="1269"/>
    </row>
    <row r="59" spans="1:56" ht="24.75" customHeight="1">
      <c r="A59" s="1203" t="s">
        <v>217</v>
      </c>
      <c r="B59" s="830" t="s">
        <v>204</v>
      </c>
      <c r="C59" s="1204">
        <v>46045</v>
      </c>
      <c r="D59" s="1204" t="s">
        <v>218</v>
      </c>
      <c r="E59" s="1204">
        <v>45980</v>
      </c>
      <c r="F59" s="1204" t="s">
        <v>219</v>
      </c>
      <c r="G59" s="1205" t="s">
        <v>220</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221</v>
      </c>
      <c r="AE59" s="1271"/>
    </row>
    <row r="60" spans="1:56" ht="24.75" customHeight="1">
      <c r="A60" s="1203" t="s">
        <v>222</v>
      </c>
      <c r="B60" s="830" t="s">
        <v>204</v>
      </c>
      <c r="C60" s="1204">
        <v>46045</v>
      </c>
      <c r="D60" s="1204"/>
      <c r="E60" s="1204"/>
      <c r="F60" s="1204"/>
      <c r="G60" s="1205" t="s">
        <v>223</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224</v>
      </c>
      <c r="AE60" s="1271"/>
    </row>
    <row r="61" spans="1:56" ht="24.75" customHeight="1">
      <c r="A61" s="1203" t="s">
        <v>225</v>
      </c>
      <c r="B61" s="830" t="s">
        <v>204</v>
      </c>
      <c r="C61" s="1204">
        <v>45999</v>
      </c>
      <c r="D61" s="1224" t="s">
        <v>71</v>
      </c>
      <c r="E61" s="1224">
        <v>45959</v>
      </c>
      <c r="F61" s="1225" t="s">
        <v>205</v>
      </c>
      <c r="G61" s="1224" t="s">
        <v>226</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227</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228</v>
      </c>
      <c r="B62" s="830" t="s">
        <v>204</v>
      </c>
      <c r="C62" s="1204">
        <v>45999</v>
      </c>
      <c r="D62" s="1224" t="s">
        <v>229</v>
      </c>
      <c r="E62" s="1224">
        <v>45964</v>
      </c>
      <c r="F62" s="1225" t="s">
        <v>230</v>
      </c>
      <c r="G62" s="1224" t="s">
        <v>231</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232</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233</v>
      </c>
      <c r="B63" s="830" t="s">
        <v>204</v>
      </c>
      <c r="C63" s="1204">
        <v>45999</v>
      </c>
      <c r="D63" s="1224" t="s">
        <v>218</v>
      </c>
      <c r="E63" s="1224">
        <v>45975</v>
      </c>
      <c r="F63" s="1225" t="s">
        <v>219</v>
      </c>
      <c r="G63" s="1224" t="s">
        <v>234</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235</v>
      </c>
      <c r="AE63" s="1274"/>
    </row>
    <row r="64" spans="1:56" ht="24.75" customHeight="1">
      <c r="A64" s="1255" t="s">
        <v>236</v>
      </c>
      <c r="B64" s="830" t="s">
        <v>204</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237</v>
      </c>
      <c r="AE64" s="1274"/>
    </row>
    <row r="65" spans="1:31" ht="24.75" customHeight="1">
      <c r="A65" s="1255" t="s">
        <v>238</v>
      </c>
      <c r="B65" s="830" t="s">
        <v>204</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239</v>
      </c>
      <c r="AE65" s="1274"/>
    </row>
    <row r="66" spans="1:31" ht="24.75" customHeight="1">
      <c r="A66" s="1255" t="s">
        <v>240</v>
      </c>
      <c r="B66" s="830" t="s">
        <v>204</v>
      </c>
      <c r="C66" s="1224">
        <v>46171</v>
      </c>
      <c r="D66" s="1224"/>
      <c r="E66" s="1224"/>
      <c r="F66" s="1225"/>
      <c r="G66" s="1224" t="s">
        <v>241</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242</v>
      </c>
      <c r="AE66" s="1274"/>
    </row>
    <row r="67" spans="1:31" ht="24.75" customHeight="1">
      <c r="A67" s="1255" t="s">
        <v>243</v>
      </c>
      <c r="B67" s="830" t="s">
        <v>204</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244</v>
      </c>
      <c r="AE67" s="1274"/>
    </row>
    <row r="68" spans="1:31" ht="24.75" customHeight="1">
      <c r="A68" s="1255" t="s">
        <v>245</v>
      </c>
      <c r="B68" s="830" t="s">
        <v>204</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246</v>
      </c>
      <c r="AE68" s="1274"/>
    </row>
    <row r="69" spans="1:31" ht="24.75" customHeight="1">
      <c r="A69" s="1255" t="s">
        <v>247</v>
      </c>
      <c r="B69" s="830" t="s">
        <v>204</v>
      </c>
      <c r="C69" s="1224">
        <v>46171</v>
      </c>
      <c r="D69" s="1224"/>
      <c r="E69" s="1224"/>
      <c r="F69" s="1225"/>
      <c r="G69" s="1224" t="s">
        <v>248</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246</v>
      </c>
      <c r="AE69" s="1274"/>
    </row>
    <row r="70" spans="1:31" ht="24.75" customHeight="1">
      <c r="A70" s="1255" t="s">
        <v>249</v>
      </c>
      <c r="B70" s="830" t="s">
        <v>204</v>
      </c>
      <c r="C70" s="1224">
        <v>46171</v>
      </c>
      <c r="D70" s="1224"/>
      <c r="E70" s="1224"/>
      <c r="F70" s="1225"/>
      <c r="G70" s="1224" t="s">
        <v>250</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246</v>
      </c>
      <c r="AE70" s="1274"/>
    </row>
    <row r="71" spans="1:31" ht="24.75" customHeight="1">
      <c r="A71" s="1255" t="s">
        <v>251</v>
      </c>
      <c r="B71" s="830" t="s">
        <v>204</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239</v>
      </c>
      <c r="AE71" s="1274"/>
    </row>
    <row r="72" spans="1:31" ht="24.75" customHeight="1">
      <c r="A72" s="1345" t="s">
        <v>252</v>
      </c>
      <c r="B72" s="830" t="s">
        <v>204</v>
      </c>
      <c r="C72" s="1346">
        <v>46052</v>
      </c>
      <c r="D72" s="1348"/>
      <c r="E72" s="1348"/>
      <c r="F72" s="1347"/>
      <c r="G72" s="1224"/>
      <c r="H72" s="1453"/>
      <c r="I72" s="828" t="s">
        <v>55</v>
      </c>
      <c r="J72" s="831" t="s">
        <v>63</v>
      </c>
      <c r="K72" s="1447"/>
      <c r="L72" s="1348"/>
      <c r="M72" s="828" t="s">
        <v>57</v>
      </c>
      <c r="N72" s="1448">
        <v>36998.550000000003</v>
      </c>
      <c r="O72" s="828" t="s">
        <v>57</v>
      </c>
      <c r="P72" s="1239" t="s">
        <v>58</v>
      </c>
      <c r="Q72" s="1449"/>
      <c r="R72" s="1449"/>
      <c r="S72" s="1449"/>
      <c r="T72" s="1449"/>
      <c r="U72" s="1449"/>
      <c r="V72" s="1450">
        <v>2944</v>
      </c>
      <c r="W72" s="1451"/>
      <c r="X72" s="1451">
        <f>SUM(V72-W72)</f>
        <v>2944</v>
      </c>
      <c r="Y72" s="662">
        <f>IFERROR($W72/$V72, 0)</f>
        <v>0</v>
      </c>
      <c r="Z72" s="1452"/>
      <c r="AA72" s="1212">
        <v>0</v>
      </c>
      <c r="AB72" s="1212">
        <v>0</v>
      </c>
      <c r="AC72" s="645">
        <v>0</v>
      </c>
      <c r="AD72" s="1213"/>
      <c r="AE72" s="1274"/>
    </row>
    <row r="73" spans="1:31" ht="24.75" customHeight="1">
      <c r="A73" s="1255" t="s">
        <v>253</v>
      </c>
      <c r="B73" s="830" t="s">
        <v>204</v>
      </c>
      <c r="C73" s="1204">
        <v>46112</v>
      </c>
      <c r="D73" s="1224"/>
      <c r="E73" s="1224"/>
      <c r="F73" s="1225"/>
      <c r="G73" s="1224" t="s">
        <v>254</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255</v>
      </c>
      <c r="AE73" s="1274"/>
    </row>
    <row r="74" spans="1:31" ht="24.75" customHeight="1">
      <c r="A74" s="1203" t="s">
        <v>256</v>
      </c>
      <c r="B74" s="830" t="s">
        <v>204</v>
      </c>
      <c r="C74" s="1204">
        <v>46112</v>
      </c>
      <c r="D74" s="1224"/>
      <c r="E74" s="1224"/>
      <c r="F74" s="1225"/>
      <c r="G74" s="1224" t="s">
        <v>257</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258</v>
      </c>
      <c r="AE74" s="1274"/>
    </row>
    <row r="75" spans="1:31" ht="24.75" customHeight="1">
      <c r="A75" s="1203" t="s">
        <v>259</v>
      </c>
      <c r="B75" s="830" t="s">
        <v>204</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260</v>
      </c>
      <c r="AE75" s="1274"/>
    </row>
    <row r="76" spans="1:31" ht="24.75" customHeight="1">
      <c r="A76" s="1203" t="s">
        <v>261</v>
      </c>
      <c r="B76" s="830" t="s">
        <v>204</v>
      </c>
      <c r="C76" s="1204">
        <v>46112</v>
      </c>
      <c r="D76" s="1225"/>
      <c r="E76" s="1224"/>
      <c r="F76" s="1225"/>
      <c r="G76" s="1225" t="s">
        <v>262</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263</v>
      </c>
      <c r="AE76" s="1274"/>
    </row>
    <row r="77" spans="1:31" ht="24.75" customHeight="1">
      <c r="A77" s="1203" t="s">
        <v>264</v>
      </c>
      <c r="B77" s="830" t="s">
        <v>204</v>
      </c>
      <c r="C77" s="1204">
        <v>46040</v>
      </c>
      <c r="D77" s="1225"/>
      <c r="E77" s="1224"/>
      <c r="F77" s="1225"/>
      <c r="G77" s="1225" t="s">
        <v>265</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266</v>
      </c>
      <c r="AE77" s="1274"/>
    </row>
    <row r="78" spans="1:31" ht="24.75" customHeight="1">
      <c r="A78" s="1203" t="s">
        <v>267</v>
      </c>
      <c r="B78" s="830" t="s">
        <v>204</v>
      </c>
      <c r="C78" s="1204">
        <v>46040</v>
      </c>
      <c r="D78" s="1225"/>
      <c r="E78" s="1224"/>
      <c r="F78" s="1225"/>
      <c r="G78" s="1225" t="s">
        <v>268</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269</v>
      </c>
      <c r="AE78" s="1274"/>
    </row>
    <row r="79" spans="1:31" ht="24.75" customHeight="1">
      <c r="A79" s="1203" t="s">
        <v>270</v>
      </c>
      <c r="B79" s="830" t="s">
        <v>204</v>
      </c>
      <c r="C79" s="1204">
        <v>46040</v>
      </c>
      <c r="D79" s="1225" t="s">
        <v>271</v>
      </c>
      <c r="E79" s="1224">
        <v>45867</v>
      </c>
      <c r="F79" s="1225" t="s">
        <v>205</v>
      </c>
      <c r="G79" s="1225" t="s">
        <v>272</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273</v>
      </c>
      <c r="B80" s="830" t="s">
        <v>204</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274</v>
      </c>
      <c r="AE80" s="1274"/>
    </row>
    <row r="81" spans="1:31" ht="24.75" customHeight="1">
      <c r="A81" s="1203" t="s">
        <v>275</v>
      </c>
      <c r="B81" s="830" t="s">
        <v>204</v>
      </c>
      <c r="C81" s="1204">
        <v>46053</v>
      </c>
      <c r="D81" s="1347"/>
      <c r="E81" s="1348"/>
      <c r="F81" s="1347"/>
      <c r="G81" s="1225"/>
      <c r="H81" s="1226">
        <v>0</v>
      </c>
      <c r="I81" s="828" t="s">
        <v>55</v>
      </c>
      <c r="J81" s="1226" t="s">
        <v>63</v>
      </c>
      <c r="K81" s="1447"/>
      <c r="L81" s="1348"/>
      <c r="M81" s="1226" t="s">
        <v>57</v>
      </c>
      <c r="N81" s="1448">
        <v>118710.8</v>
      </c>
      <c r="O81" s="1226" t="s">
        <v>57</v>
      </c>
      <c r="P81" s="1208" t="s">
        <v>58</v>
      </c>
      <c r="Q81" s="1449"/>
      <c r="R81" s="1449"/>
      <c r="S81" s="1449"/>
      <c r="T81" s="1449"/>
      <c r="U81" s="1449"/>
      <c r="V81" s="1450">
        <v>9628</v>
      </c>
      <c r="W81" s="1451"/>
      <c r="X81" s="1451">
        <f>SUM(V81-W81)</f>
        <v>9628</v>
      </c>
      <c r="Y81" s="662">
        <f>IFERROR($W81/$V81, 0)</f>
        <v>0</v>
      </c>
      <c r="Z81" s="1449"/>
      <c r="AA81" s="1212">
        <v>0</v>
      </c>
      <c r="AB81" s="1212">
        <v>0</v>
      </c>
      <c r="AC81" s="1230">
        <v>0</v>
      </c>
      <c r="AD81" s="1213"/>
      <c r="AE81" s="1274"/>
    </row>
    <row r="82" spans="1:31" ht="24.75" customHeight="1">
      <c r="A82" s="1203" t="s">
        <v>276</v>
      </c>
      <c r="B82" s="830" t="s">
        <v>204</v>
      </c>
      <c r="C82" s="1204">
        <v>46045</v>
      </c>
      <c r="D82" s="1225"/>
      <c r="E82" s="1224"/>
      <c r="F82" s="1225"/>
      <c r="G82" s="1225" t="s">
        <v>277</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278</v>
      </c>
      <c r="AE82" s="1274"/>
    </row>
    <row r="83" spans="1:31" ht="24.75" customHeight="1">
      <c r="A83" s="1255" t="s">
        <v>279</v>
      </c>
      <c r="B83" s="830" t="s">
        <v>204</v>
      </c>
      <c r="C83" s="1224">
        <v>46011</v>
      </c>
      <c r="D83" s="1225" t="s">
        <v>229</v>
      </c>
      <c r="E83" s="1224">
        <v>45923</v>
      </c>
      <c r="F83" s="1225" t="s">
        <v>230</v>
      </c>
      <c r="G83" s="1225" t="s">
        <v>280</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281</v>
      </c>
      <c r="AE83" s="1274"/>
    </row>
    <row r="84" spans="1:31" ht="24.75" customHeight="1">
      <c r="A84" s="1255" t="s">
        <v>282</v>
      </c>
      <c r="B84" s="830" t="s">
        <v>204</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283</v>
      </c>
      <c r="B85" s="830" t="s">
        <v>204</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237</v>
      </c>
      <c r="AE85" s="1274"/>
    </row>
    <row r="86" spans="1:31" ht="24.75" customHeight="1">
      <c r="A86" s="1255" t="s">
        <v>284</v>
      </c>
      <c r="B86" s="830" t="s">
        <v>204</v>
      </c>
      <c r="C86" s="1224">
        <v>46030</v>
      </c>
      <c r="D86" s="1225"/>
      <c r="E86" s="1224"/>
      <c r="F86" s="1225"/>
      <c r="G86" s="1225" t="s">
        <v>285</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286</v>
      </c>
      <c r="AE86" s="1274"/>
    </row>
    <row r="87" spans="1:31" ht="24.75" customHeight="1">
      <c r="A87" s="1203" t="s">
        <v>287</v>
      </c>
      <c r="B87" s="830" t="s">
        <v>204</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5" t="s">
        <v>288</v>
      </c>
      <c r="B88" s="830" t="s">
        <v>204</v>
      </c>
      <c r="C88" s="1204">
        <v>46040</v>
      </c>
      <c r="D88" s="1347"/>
      <c r="E88" s="1348"/>
      <c r="F88" s="1347"/>
      <c r="G88" s="1225"/>
      <c r="H88" s="1453">
        <v>109</v>
      </c>
      <c r="I88" s="828" t="s">
        <v>55</v>
      </c>
      <c r="J88" s="831" t="s">
        <v>63</v>
      </c>
      <c r="K88" s="1447"/>
      <c r="L88" s="1348"/>
      <c r="M88" s="1453" t="s">
        <v>91</v>
      </c>
      <c r="N88" s="1448"/>
      <c r="O88" s="1453" t="s">
        <v>91</v>
      </c>
      <c r="P88" s="1454" t="s">
        <v>58</v>
      </c>
      <c r="Q88" s="1449"/>
      <c r="R88" s="1449"/>
      <c r="S88" s="1449"/>
      <c r="T88" s="1449"/>
      <c r="U88" s="1449"/>
      <c r="V88" s="1450">
        <v>6825</v>
      </c>
      <c r="W88" s="1451"/>
      <c r="X88" s="1451">
        <f>SUM(V88-W88)</f>
        <v>6825</v>
      </c>
      <c r="Y88" s="662">
        <f>IFERROR($W88/$V88, 0)</f>
        <v>0</v>
      </c>
      <c r="Z88" s="1452"/>
      <c r="AA88" s="1212">
        <v>0</v>
      </c>
      <c r="AB88" s="1212">
        <v>0</v>
      </c>
      <c r="AC88" s="1230">
        <v>0</v>
      </c>
      <c r="AD88" s="1213"/>
      <c r="AE88" s="1274"/>
    </row>
    <row r="89" spans="1:31" ht="24.75" customHeight="1">
      <c r="A89" s="1203" t="s">
        <v>289</v>
      </c>
      <c r="B89" s="830" t="s">
        <v>290</v>
      </c>
      <c r="C89" s="1204">
        <v>46040</v>
      </c>
      <c r="D89" s="1225" t="s">
        <v>229</v>
      </c>
      <c r="E89" s="1224"/>
      <c r="F89" s="1225"/>
      <c r="G89" s="1225" t="s">
        <v>291</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292</v>
      </c>
      <c r="AE89" s="1274"/>
    </row>
    <row r="90" spans="1:31" ht="24.75" customHeight="1">
      <c r="A90" s="1203" t="s">
        <v>293</v>
      </c>
      <c r="B90" s="830" t="s">
        <v>290</v>
      </c>
      <c r="C90" s="1204">
        <v>46040</v>
      </c>
      <c r="D90" s="1225" t="s">
        <v>71</v>
      </c>
      <c r="E90" s="1224">
        <v>46001</v>
      </c>
      <c r="F90" s="1225" t="s">
        <v>205</v>
      </c>
      <c r="G90" s="1225" t="s">
        <v>294</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295</v>
      </c>
      <c r="AE90" s="1274"/>
    </row>
    <row r="91" spans="1:31" ht="24.75" customHeight="1">
      <c r="A91" s="1203" t="s">
        <v>296</v>
      </c>
      <c r="B91" s="830" t="s">
        <v>290</v>
      </c>
      <c r="C91" s="1204">
        <v>46040</v>
      </c>
      <c r="D91" s="1225" t="s">
        <v>229</v>
      </c>
      <c r="E91" s="1224"/>
      <c r="F91" s="1225"/>
      <c r="G91" s="1225" t="s">
        <v>297</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298</v>
      </c>
      <c r="AE91" s="1274"/>
    </row>
    <row r="92" spans="1:31" ht="24.75" customHeight="1">
      <c r="A92" s="1203" t="s">
        <v>299</v>
      </c>
      <c r="B92" s="830" t="s">
        <v>290</v>
      </c>
      <c r="C92" s="1204">
        <v>46040</v>
      </c>
      <c r="D92" s="1225"/>
      <c r="E92" s="1224"/>
      <c r="F92" s="1225"/>
      <c r="G92" s="1225" t="s">
        <v>300</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301</v>
      </c>
      <c r="AE92" s="1274"/>
    </row>
    <row r="93" spans="1:31" ht="24.75" customHeight="1">
      <c r="A93" s="1422" t="s">
        <v>302</v>
      </c>
      <c r="B93" s="1016" t="s">
        <v>290</v>
      </c>
      <c r="C93" s="1425">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303</v>
      </c>
      <c r="B94" s="1016" t="s">
        <v>290</v>
      </c>
      <c r="C94" s="1425">
        <v>46171</v>
      </c>
      <c r="D94" s="1280" t="s">
        <v>71</v>
      </c>
      <c r="E94" s="1281"/>
      <c r="F94" s="1280"/>
      <c r="G94" s="1280" t="s">
        <v>304</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0"/>
      <c r="AA94" s="1288">
        <v>0</v>
      </c>
      <c r="AB94" s="1288">
        <v>0</v>
      </c>
      <c r="AC94" s="1287">
        <v>0</v>
      </c>
      <c r="AD94" s="1289" t="s">
        <v>301</v>
      </c>
      <c r="AE94" s="1274"/>
    </row>
    <row r="95" spans="1:31" ht="24.75" customHeight="1">
      <c r="A95" s="1424" t="s">
        <v>305</v>
      </c>
      <c r="B95" s="1016" t="s">
        <v>290</v>
      </c>
      <c r="C95" s="1426">
        <v>46051</v>
      </c>
      <c r="D95" s="1347"/>
      <c r="E95" s="1348"/>
      <c r="F95" s="1347"/>
      <c r="G95" s="1225"/>
      <c r="H95" s="1453">
        <v>0</v>
      </c>
      <c r="I95" s="828"/>
      <c r="J95" s="1453"/>
      <c r="K95" s="1447"/>
      <c r="L95" s="1348"/>
      <c r="M95" s="1453"/>
      <c r="N95" s="1448"/>
      <c r="O95" s="1453"/>
      <c r="P95" s="1454"/>
      <c r="Q95" s="1449"/>
      <c r="R95" s="1449"/>
      <c r="S95" s="1449"/>
      <c r="T95" s="1449"/>
      <c r="U95" s="1449"/>
      <c r="V95" s="1450">
        <v>6202</v>
      </c>
      <c r="W95" s="1451"/>
      <c r="X95" s="1451">
        <f>SUM(V95-W95)</f>
        <v>6202</v>
      </c>
      <c r="Y95" s="662">
        <f>IFERROR($W95/$V95, 0)</f>
        <v>0</v>
      </c>
      <c r="Z95" s="1452"/>
      <c r="AA95" s="1288">
        <v>0</v>
      </c>
      <c r="AB95" s="1288">
        <v>0</v>
      </c>
      <c r="AC95" s="1287">
        <v>0</v>
      </c>
      <c r="AD95" s="1213"/>
      <c r="AE95" s="1274"/>
    </row>
    <row r="96" spans="1:31" ht="24.75" customHeight="1">
      <c r="A96" s="1389" t="s">
        <v>306</v>
      </c>
      <c r="B96" s="1016" t="s">
        <v>290</v>
      </c>
      <c r="C96" s="1426">
        <v>46051</v>
      </c>
      <c r="D96" s="1347"/>
      <c r="E96" s="1348"/>
      <c r="F96" s="1347"/>
      <c r="G96" s="1225"/>
      <c r="H96" s="1453">
        <v>0</v>
      </c>
      <c r="I96" s="828"/>
      <c r="J96" s="1453"/>
      <c r="K96" s="1447"/>
      <c r="L96" s="1348"/>
      <c r="M96" s="1453"/>
      <c r="N96" s="1448"/>
      <c r="O96" s="1453"/>
      <c r="P96" s="1454"/>
      <c r="Q96" s="1449"/>
      <c r="R96" s="1449"/>
      <c r="S96" s="1449"/>
      <c r="T96" s="1449"/>
      <c r="U96" s="1449"/>
      <c r="V96" s="1455">
        <v>545</v>
      </c>
      <c r="W96" s="1456"/>
      <c r="X96" s="1456">
        <f>SUM(V96-W96)</f>
        <v>545</v>
      </c>
      <c r="Y96" s="657">
        <f>IFERROR($W96/$V96, 0)</f>
        <v>0</v>
      </c>
      <c r="Z96" s="1457"/>
      <c r="AA96" s="1288">
        <v>0</v>
      </c>
      <c r="AB96" s="1288">
        <v>0</v>
      </c>
      <c r="AC96" s="1287">
        <v>0</v>
      </c>
      <c r="AD96" s="1213"/>
      <c r="AE96" s="1274"/>
    </row>
    <row r="97" spans="1:31" ht="24.75" customHeight="1">
      <c r="A97" s="1389" t="s">
        <v>307</v>
      </c>
      <c r="B97" s="1016" t="s">
        <v>290</v>
      </c>
      <c r="C97" s="1426">
        <v>46051</v>
      </c>
      <c r="D97" s="1347"/>
      <c r="E97" s="1348"/>
      <c r="F97" s="1347"/>
      <c r="G97" s="1225"/>
      <c r="H97" s="1453">
        <v>0</v>
      </c>
      <c r="I97" s="828"/>
      <c r="J97" s="1453"/>
      <c r="K97" s="1447"/>
      <c r="L97" s="1348"/>
      <c r="M97" s="1453"/>
      <c r="N97" s="1448"/>
      <c r="O97" s="1453"/>
      <c r="P97" s="1454"/>
      <c r="Q97" s="1449"/>
      <c r="R97" s="1449"/>
      <c r="S97" s="1449"/>
      <c r="T97" s="1449"/>
      <c r="U97" s="1449"/>
      <c r="V97" s="1455">
        <v>1172</v>
      </c>
      <c r="W97" s="1456"/>
      <c r="X97" s="1456">
        <f>SUM(V97-W97)</f>
        <v>1172</v>
      </c>
      <c r="Y97" s="657">
        <f>IFERROR($W97/$V97, 0)</f>
        <v>0</v>
      </c>
      <c r="Z97" s="1457"/>
      <c r="AA97" s="1288">
        <v>0</v>
      </c>
      <c r="AB97" s="1288">
        <v>0</v>
      </c>
      <c r="AC97" s="1287">
        <v>0</v>
      </c>
      <c r="AD97" s="1213"/>
      <c r="AE97" s="1274"/>
    </row>
    <row r="98" spans="1:31" ht="24.75" customHeight="1">
      <c r="A98" s="1389" t="s">
        <v>308</v>
      </c>
      <c r="B98" s="1016" t="s">
        <v>290</v>
      </c>
      <c r="C98" s="1426">
        <v>46051</v>
      </c>
      <c r="D98" s="1347"/>
      <c r="E98" s="1348"/>
      <c r="F98" s="1347"/>
      <c r="G98" s="1225"/>
      <c r="H98" s="1453">
        <v>0</v>
      </c>
      <c r="I98" s="828"/>
      <c r="J98" s="1453"/>
      <c r="K98" s="1447"/>
      <c r="L98" s="1348"/>
      <c r="M98" s="1453"/>
      <c r="N98" s="1448"/>
      <c r="O98" s="1453"/>
      <c r="P98" s="1454"/>
      <c r="Q98" s="1449"/>
      <c r="R98" s="1449"/>
      <c r="S98" s="1449"/>
      <c r="T98" s="1449"/>
      <c r="U98" s="1449"/>
      <c r="V98" s="1455">
        <v>4184</v>
      </c>
      <c r="W98" s="1456"/>
      <c r="X98" s="1456">
        <f>SUM(V98-W98)</f>
        <v>4184</v>
      </c>
      <c r="Y98" s="657">
        <f>IFERROR($W98/$V98, 0)</f>
        <v>0</v>
      </c>
      <c r="Z98" s="1457"/>
      <c r="AA98" s="1288">
        <v>0</v>
      </c>
      <c r="AB98" s="1288">
        <v>0</v>
      </c>
      <c r="AC98" s="1287">
        <v>0</v>
      </c>
      <c r="AD98" s="1213"/>
      <c r="AE98" s="1274"/>
    </row>
    <row r="99" spans="1:31" ht="24.75" customHeight="1">
      <c r="A99" s="1377"/>
      <c r="B99" s="1427"/>
      <c r="C99" s="1204"/>
      <c r="D99" s="1225"/>
      <c r="E99" s="1224"/>
      <c r="F99" s="1225"/>
      <c r="G99" s="1225"/>
      <c r="H99" s="1226"/>
      <c r="I99" s="828"/>
      <c r="J99" s="1226"/>
      <c r="K99" s="1206"/>
      <c r="L99" s="1224"/>
      <c r="M99" s="1226"/>
      <c r="N99" s="1237"/>
      <c r="O99" s="1226"/>
      <c r="P99" s="1290"/>
      <c r="Q99" s="1229"/>
      <c r="R99" s="1229"/>
      <c r="S99" s="1229"/>
      <c r="T99" s="1229"/>
      <c r="U99" s="1229"/>
      <c r="V99" s="1428"/>
      <c r="W99" s="1367"/>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309</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310</v>
      </c>
      <c r="B102" s="1150" t="s">
        <v>311</v>
      </c>
      <c r="C102" s="1390">
        <v>46052</v>
      </c>
      <c r="D102" s="975" t="s">
        <v>131</v>
      </c>
      <c r="E102" s="1295">
        <v>45959</v>
      </c>
      <c r="F102" s="1296" t="s">
        <v>312</v>
      </c>
      <c r="G102" s="1296" t="s">
        <v>313</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314</v>
      </c>
      <c r="AE102" s="1269"/>
    </row>
    <row r="103" spans="1:31" ht="24.75" customHeight="1">
      <c r="A103" s="1318" t="s">
        <v>315</v>
      </c>
      <c r="B103" s="1150" t="s">
        <v>311</v>
      </c>
      <c r="C103" s="1390">
        <v>46052</v>
      </c>
      <c r="D103" s="975" t="s">
        <v>131</v>
      </c>
      <c r="E103" s="1295">
        <v>45993</v>
      </c>
      <c r="F103" s="1296" t="s">
        <v>162</v>
      </c>
      <c r="G103" s="1296" t="s">
        <v>316</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29">
        <v>2952</v>
      </c>
      <c r="X103" s="1323">
        <f>SUM(V103-W103)</f>
        <v>4876</v>
      </c>
      <c r="Y103" s="1151">
        <f>IFERROR($W103/$V103, 0)</f>
        <v>0.37710781808891158</v>
      </c>
      <c r="Z103" s="1257">
        <v>45994</v>
      </c>
      <c r="AA103" s="1288">
        <v>0</v>
      </c>
      <c r="AB103" s="1288">
        <v>0</v>
      </c>
      <c r="AC103" s="1287">
        <v>0</v>
      </c>
      <c r="AD103" s="1259" t="s">
        <v>317</v>
      </c>
      <c r="AE103" s="1269"/>
    </row>
    <row r="104" spans="1:31" ht="24.75" customHeight="1">
      <c r="A104" s="1330" t="s">
        <v>318</v>
      </c>
      <c r="B104" s="1150" t="s">
        <v>311</v>
      </c>
      <c r="C104" s="1390">
        <v>46052</v>
      </c>
      <c r="D104" s="975" t="s">
        <v>131</v>
      </c>
      <c r="E104" s="1295">
        <v>45959</v>
      </c>
      <c r="F104" s="1296" t="s">
        <v>162</v>
      </c>
      <c r="G104" s="1296" t="s">
        <v>319</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320</v>
      </c>
      <c r="AE104" s="1269"/>
    </row>
    <row r="105" spans="1:31" ht="24.75" customHeight="1">
      <c r="A105" s="1330" t="s">
        <v>321</v>
      </c>
      <c r="B105" s="1150" t="s">
        <v>311</v>
      </c>
      <c r="C105" s="1390">
        <v>46052</v>
      </c>
      <c r="D105" s="975" t="s">
        <v>131</v>
      </c>
      <c r="E105" s="1295">
        <v>45987</v>
      </c>
      <c r="F105" s="1296" t="s">
        <v>162</v>
      </c>
      <c r="G105" s="1296" t="s">
        <v>322</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323</v>
      </c>
      <c r="AE105" s="1269"/>
    </row>
    <row r="106" spans="1:31" ht="24.75" customHeight="1">
      <c r="A106" s="1330" t="s">
        <v>324</v>
      </c>
      <c r="B106" s="1150" t="s">
        <v>311</v>
      </c>
      <c r="C106" s="1390">
        <v>46052</v>
      </c>
      <c r="D106" s="975" t="s">
        <v>131</v>
      </c>
      <c r="E106" s="1295">
        <v>45987</v>
      </c>
      <c r="F106" s="1296" t="s">
        <v>162</v>
      </c>
      <c r="G106" s="1296" t="s">
        <v>325</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429">
        <v>5682</v>
      </c>
      <c r="X106" s="1268">
        <f>SUM(V106-W106)</f>
        <v>536</v>
      </c>
      <c r="Y106" s="1151">
        <f t="shared" si="9"/>
        <v>0.91379864908330655</v>
      </c>
      <c r="Z106" s="1202"/>
      <c r="AA106" s="1288">
        <v>0</v>
      </c>
      <c r="AB106" s="1288">
        <v>0</v>
      </c>
      <c r="AC106" s="1287">
        <v>0</v>
      </c>
      <c r="AD106" s="1259" t="s">
        <v>326</v>
      </c>
      <c r="AE106" s="1269"/>
    </row>
    <row r="107" spans="1:31" ht="24.75" customHeight="1">
      <c r="A107" s="1330" t="s">
        <v>327</v>
      </c>
      <c r="B107" s="1150" t="s">
        <v>311</v>
      </c>
      <c r="C107" s="1390">
        <v>46052</v>
      </c>
      <c r="D107" s="975" t="s">
        <v>131</v>
      </c>
      <c r="E107" s="1295">
        <v>45987</v>
      </c>
      <c r="F107" s="1296" t="s">
        <v>162</v>
      </c>
      <c r="G107" s="1380" t="s">
        <v>328</v>
      </c>
      <c r="H107" s="1381">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329</v>
      </c>
      <c r="AE107" s="1269"/>
    </row>
    <row r="108" spans="1:31" ht="24.75" customHeight="1">
      <c r="A108" s="1330" t="s">
        <v>330</v>
      </c>
      <c r="B108" s="1150" t="s">
        <v>311</v>
      </c>
      <c r="C108" s="1390">
        <v>46052</v>
      </c>
      <c r="D108" s="975" t="s">
        <v>131</v>
      </c>
      <c r="E108" s="1295">
        <v>45987</v>
      </c>
      <c r="F108" s="1402" t="s">
        <v>162</v>
      </c>
      <c r="G108" s="1296" t="s">
        <v>331</v>
      </c>
      <c r="H108" s="1297">
        <v>78</v>
      </c>
      <c r="I108" s="660" t="s">
        <v>55</v>
      </c>
      <c r="J108" s="1301" t="s">
        <v>63</v>
      </c>
      <c r="K108" s="1405"/>
      <c r="L108" s="1299">
        <v>45987</v>
      </c>
      <c r="M108" s="1282" t="s">
        <v>57</v>
      </c>
      <c r="N108" s="1325">
        <v>68606.5</v>
      </c>
      <c r="O108" s="1301" t="s">
        <v>57</v>
      </c>
      <c r="P108" s="1274" t="s">
        <v>84</v>
      </c>
      <c r="Q108" s="1327">
        <v>45987</v>
      </c>
      <c r="R108" s="1303"/>
      <c r="S108" s="1303"/>
      <c r="T108" s="1303"/>
      <c r="U108" s="1416"/>
      <c r="V108" s="1372">
        <v>5456</v>
      </c>
      <c r="W108" s="1372"/>
      <c r="X108" s="1268">
        <f>SUM(V108-W108)</f>
        <v>5456</v>
      </c>
      <c r="Y108" s="1151">
        <f t="shared" si="9"/>
        <v>0</v>
      </c>
      <c r="Z108" s="1202"/>
      <c r="AA108" s="1288">
        <v>0</v>
      </c>
      <c r="AB108" s="1288">
        <v>0</v>
      </c>
      <c r="AC108" s="1287">
        <v>0</v>
      </c>
      <c r="AD108" s="1259" t="s">
        <v>332</v>
      </c>
      <c r="AE108" s="1269"/>
    </row>
    <row r="109" spans="1:31" ht="24.75" customHeight="1">
      <c r="A109" s="1378" t="s">
        <v>333</v>
      </c>
      <c r="B109" s="1293" t="s">
        <v>311</v>
      </c>
      <c r="C109" s="1390">
        <v>46052</v>
      </c>
      <c r="D109" s="1379" t="s">
        <v>131</v>
      </c>
      <c r="E109" s="1294">
        <v>45987</v>
      </c>
      <c r="F109" s="1205" t="s">
        <v>162</v>
      </c>
      <c r="G109" s="1296" t="s">
        <v>334</v>
      </c>
      <c r="H109" s="1297">
        <v>73</v>
      </c>
      <c r="I109" s="660" t="s">
        <v>55</v>
      </c>
      <c r="J109" s="1301" t="s">
        <v>63</v>
      </c>
      <c r="K109" s="1406"/>
      <c r="L109" s="1382">
        <v>45987</v>
      </c>
      <c r="M109" s="1226" t="s">
        <v>57</v>
      </c>
      <c r="N109" s="1207">
        <v>71371</v>
      </c>
      <c r="O109" s="1383" t="s">
        <v>57</v>
      </c>
      <c r="P109" s="1274" t="s">
        <v>84</v>
      </c>
      <c r="Q109" s="1327">
        <v>45987</v>
      </c>
      <c r="R109" s="1303"/>
      <c r="S109" s="1303"/>
      <c r="T109" s="1411"/>
      <c r="U109" s="1303"/>
      <c r="V109" s="1268">
        <v>5810</v>
      </c>
      <c r="W109" s="1268"/>
      <c r="X109" s="1414">
        <f>SUM(V109-W109)</f>
        <v>5810</v>
      </c>
      <c r="Y109" s="1151">
        <f t="shared" si="9"/>
        <v>0</v>
      </c>
      <c r="Z109" s="1202"/>
      <c r="AA109" s="1288">
        <v>0</v>
      </c>
      <c r="AB109" s="1288">
        <v>0</v>
      </c>
      <c r="AC109" s="1287">
        <v>0</v>
      </c>
      <c r="AD109" s="1259" t="s">
        <v>332</v>
      </c>
      <c r="AE109" s="1269"/>
    </row>
    <row r="110" spans="1:31" ht="24.75" customHeight="1">
      <c r="A110" s="1395" t="s">
        <v>335</v>
      </c>
      <c r="B110" s="1293" t="s">
        <v>311</v>
      </c>
      <c r="C110" s="1390">
        <v>46052</v>
      </c>
      <c r="D110" s="975"/>
      <c r="E110" s="1390"/>
      <c r="F110" s="1403"/>
      <c r="G110" s="1296"/>
      <c r="H110" s="52">
        <v>68</v>
      </c>
      <c r="I110" s="660" t="s">
        <v>55</v>
      </c>
      <c r="J110" s="1301" t="s">
        <v>63</v>
      </c>
      <c r="K110" s="1407"/>
      <c r="L110" s="1396"/>
      <c r="M110" s="1226" t="s">
        <v>57</v>
      </c>
      <c r="N110" s="1325">
        <v>68608</v>
      </c>
      <c r="O110" s="1383" t="s">
        <v>57</v>
      </c>
      <c r="P110" s="1274" t="s">
        <v>58</v>
      </c>
      <c r="Q110" s="1458"/>
      <c r="R110" s="1368"/>
      <c r="S110" s="1368"/>
      <c r="T110" s="1412"/>
      <c r="U110" s="1368"/>
      <c r="V110" s="31">
        <v>5699</v>
      </c>
      <c r="W110" s="1456"/>
      <c r="X110" s="1414">
        <f t="shared" ref="X110:X116" si="10">SUM(V110-W110)</f>
        <v>5699</v>
      </c>
      <c r="Y110" s="1151">
        <f t="shared" ref="Y110:Y116" si="11">IFERROR($W110/$V110, 0)</f>
        <v>0</v>
      </c>
      <c r="Z110" s="1369"/>
      <c r="AA110" s="1288">
        <v>0</v>
      </c>
      <c r="AB110" s="1288">
        <v>0</v>
      </c>
      <c r="AC110" s="1287">
        <v>0</v>
      </c>
      <c r="AD110" s="1259" t="s">
        <v>336</v>
      </c>
      <c r="AE110" s="1269"/>
    </row>
    <row r="111" spans="1:31" ht="24.75" customHeight="1">
      <c r="A111" s="1395" t="s">
        <v>337</v>
      </c>
      <c r="B111" s="1293" t="s">
        <v>311</v>
      </c>
      <c r="C111" s="1390">
        <v>46052</v>
      </c>
      <c r="D111" s="975"/>
      <c r="E111" s="1390"/>
      <c r="F111" s="1403"/>
      <c r="G111" s="1296"/>
      <c r="H111" s="52">
        <v>85</v>
      </c>
      <c r="I111" s="660" t="s">
        <v>55</v>
      </c>
      <c r="J111" s="1301" t="s">
        <v>63</v>
      </c>
      <c r="K111" s="1407"/>
      <c r="L111" s="1396"/>
      <c r="M111" s="1226" t="s">
        <v>57</v>
      </c>
      <c r="N111" s="1325">
        <v>73334</v>
      </c>
      <c r="O111" s="1383" t="s">
        <v>57</v>
      </c>
      <c r="P111" s="1274" t="s">
        <v>58</v>
      </c>
      <c r="Q111" s="1458"/>
      <c r="R111" s="1368"/>
      <c r="S111" s="1368"/>
      <c r="T111" s="1412"/>
      <c r="U111" s="1368"/>
      <c r="V111" s="31">
        <v>5860</v>
      </c>
      <c r="W111" s="1456"/>
      <c r="X111" s="1414">
        <f t="shared" si="10"/>
        <v>5860</v>
      </c>
      <c r="Y111" s="1151">
        <f t="shared" si="11"/>
        <v>0</v>
      </c>
      <c r="Z111" s="1369"/>
      <c r="AA111" s="1288">
        <v>0</v>
      </c>
      <c r="AB111" s="1288">
        <v>0</v>
      </c>
      <c r="AC111" s="1287">
        <v>0</v>
      </c>
      <c r="AD111" s="1259" t="s">
        <v>336</v>
      </c>
      <c r="AE111" s="1269"/>
    </row>
    <row r="112" spans="1:31" ht="24.75" customHeight="1">
      <c r="A112" s="1395" t="s">
        <v>338</v>
      </c>
      <c r="B112" s="1293" t="s">
        <v>311</v>
      </c>
      <c r="C112" s="1390">
        <v>46052</v>
      </c>
      <c r="D112" s="975"/>
      <c r="E112" s="1390"/>
      <c r="F112" s="1403"/>
      <c r="G112" s="1296"/>
      <c r="H112" s="52">
        <v>81</v>
      </c>
      <c r="I112" s="660" t="s">
        <v>55</v>
      </c>
      <c r="J112" s="1301" t="s">
        <v>63</v>
      </c>
      <c r="K112" s="1407"/>
      <c r="L112" s="1396"/>
      <c r="M112" s="1226" t="s">
        <v>57</v>
      </c>
      <c r="N112" s="1325">
        <v>73885</v>
      </c>
      <c r="O112" s="1383" t="s">
        <v>57</v>
      </c>
      <c r="P112" s="1274" t="s">
        <v>58</v>
      </c>
      <c r="Q112" s="1458"/>
      <c r="R112" s="1368"/>
      <c r="S112" s="1368"/>
      <c r="T112" s="1412"/>
      <c r="U112" s="1368"/>
      <c r="V112" s="31">
        <v>6021</v>
      </c>
      <c r="W112" s="1456"/>
      <c r="X112" s="1414">
        <f t="shared" si="10"/>
        <v>6021</v>
      </c>
      <c r="Y112" s="1151">
        <f t="shared" si="11"/>
        <v>0</v>
      </c>
      <c r="Z112" s="1369"/>
      <c r="AA112" s="1288">
        <v>0</v>
      </c>
      <c r="AB112" s="1288">
        <v>0</v>
      </c>
      <c r="AC112" s="1287">
        <v>0</v>
      </c>
      <c r="AD112" s="1259" t="s">
        <v>336</v>
      </c>
      <c r="AE112" s="1269"/>
    </row>
    <row r="113" spans="1:31" ht="24.75" customHeight="1">
      <c r="A113" s="1395" t="s">
        <v>339</v>
      </c>
      <c r="B113" s="1293" t="s">
        <v>311</v>
      </c>
      <c r="C113" s="1390">
        <v>46052</v>
      </c>
      <c r="D113" s="975"/>
      <c r="E113" s="1390"/>
      <c r="F113" s="1403"/>
      <c r="G113" s="1296"/>
      <c r="H113" s="52">
        <v>87</v>
      </c>
      <c r="I113" s="660" t="s">
        <v>55</v>
      </c>
      <c r="J113" s="1301" t="s">
        <v>63</v>
      </c>
      <c r="K113" s="1407"/>
      <c r="L113" s="1396"/>
      <c r="M113" s="1226" t="s">
        <v>57</v>
      </c>
      <c r="N113" s="1325">
        <v>78025</v>
      </c>
      <c r="O113" s="1383" t="s">
        <v>57</v>
      </c>
      <c r="P113" s="1274" t="s">
        <v>58</v>
      </c>
      <c r="Q113" s="1458"/>
      <c r="R113" s="1368"/>
      <c r="S113" s="1368"/>
      <c r="T113" s="1412"/>
      <c r="U113" s="1368"/>
      <c r="V113" s="31">
        <v>6432</v>
      </c>
      <c r="W113" s="1456"/>
      <c r="X113" s="1414">
        <f t="shared" si="10"/>
        <v>6432</v>
      </c>
      <c r="Y113" s="1151">
        <f t="shared" si="11"/>
        <v>0</v>
      </c>
      <c r="Z113" s="1369"/>
      <c r="AA113" s="1288">
        <v>0</v>
      </c>
      <c r="AB113" s="1288">
        <v>0</v>
      </c>
      <c r="AC113" s="1287">
        <v>0</v>
      </c>
      <c r="AD113" s="1259" t="s">
        <v>336</v>
      </c>
      <c r="AE113" s="1269"/>
    </row>
    <row r="114" spans="1:31" ht="24.75" customHeight="1">
      <c r="A114" s="1395" t="s">
        <v>340</v>
      </c>
      <c r="B114" s="1293" t="s">
        <v>311</v>
      </c>
      <c r="C114" s="1390">
        <v>46052</v>
      </c>
      <c r="D114" s="975"/>
      <c r="E114" s="1390"/>
      <c r="F114" s="1403"/>
      <c r="G114" s="1296"/>
      <c r="H114" s="52">
        <v>68</v>
      </c>
      <c r="I114" s="660" t="s">
        <v>55</v>
      </c>
      <c r="J114" s="1301" t="s">
        <v>63</v>
      </c>
      <c r="K114" s="1407"/>
      <c r="L114" s="1396"/>
      <c r="M114" s="1226" t="s">
        <v>57</v>
      </c>
      <c r="N114" s="1325">
        <v>59114.5</v>
      </c>
      <c r="O114" s="1383" t="s">
        <v>57</v>
      </c>
      <c r="P114" s="1274" t="s">
        <v>58</v>
      </c>
      <c r="Q114" s="1458"/>
      <c r="R114" s="1368"/>
      <c r="S114" s="1368"/>
      <c r="T114" s="1412"/>
      <c r="U114" s="1368"/>
      <c r="V114" s="31">
        <v>4836</v>
      </c>
      <c r="W114" s="1456"/>
      <c r="X114" s="1414">
        <f t="shared" si="10"/>
        <v>4836</v>
      </c>
      <c r="Y114" s="1151">
        <f t="shared" si="11"/>
        <v>0</v>
      </c>
      <c r="Z114" s="1369"/>
      <c r="AA114" s="1288">
        <v>0</v>
      </c>
      <c r="AB114" s="1288">
        <v>0</v>
      </c>
      <c r="AC114" s="1287">
        <v>0</v>
      </c>
      <c r="AD114" s="1259" t="s">
        <v>336</v>
      </c>
      <c r="AE114" s="1269"/>
    </row>
    <row r="115" spans="1:31" ht="24.75" customHeight="1">
      <c r="A115" s="1395" t="s">
        <v>341</v>
      </c>
      <c r="B115" s="1293" t="s">
        <v>311</v>
      </c>
      <c r="C115" s="1390">
        <v>46052</v>
      </c>
      <c r="D115" s="975"/>
      <c r="E115" s="1390"/>
      <c r="F115" s="1403"/>
      <c r="G115" s="1296"/>
      <c r="H115" s="52">
        <v>90</v>
      </c>
      <c r="I115" s="660" t="s">
        <v>55</v>
      </c>
      <c r="J115" s="1301" t="s">
        <v>63</v>
      </c>
      <c r="K115" s="1407"/>
      <c r="L115" s="1396"/>
      <c r="M115" s="1226" t="s">
        <v>57</v>
      </c>
      <c r="N115" s="1325">
        <v>88362</v>
      </c>
      <c r="O115" s="1383" t="s">
        <v>57</v>
      </c>
      <c r="P115" s="1274" t="s">
        <v>58</v>
      </c>
      <c r="Q115" s="1458"/>
      <c r="R115" s="1368"/>
      <c r="S115" s="1368"/>
      <c r="T115" s="1412"/>
      <c r="U115" s="1368"/>
      <c r="V115" s="31">
        <v>7145</v>
      </c>
      <c r="W115" s="1456"/>
      <c r="X115" s="1414">
        <f t="shared" si="10"/>
        <v>7145</v>
      </c>
      <c r="Y115" s="1151">
        <f t="shared" si="11"/>
        <v>0</v>
      </c>
      <c r="Z115" s="1369"/>
      <c r="AA115" s="1288">
        <v>0</v>
      </c>
      <c r="AB115" s="1288">
        <v>0</v>
      </c>
      <c r="AC115" s="1287">
        <v>0</v>
      </c>
      <c r="AD115" s="1259" t="s">
        <v>336</v>
      </c>
      <c r="AE115" s="1269"/>
    </row>
    <row r="116" spans="1:31" ht="24.75" customHeight="1">
      <c r="A116" s="1397" t="s">
        <v>342</v>
      </c>
      <c r="B116" s="1293" t="s">
        <v>311</v>
      </c>
      <c r="C116" s="1390">
        <v>46052</v>
      </c>
      <c r="D116" s="1379"/>
      <c r="E116" s="1398"/>
      <c r="F116" s="1404"/>
      <c r="G116" s="1296"/>
      <c r="H116" s="52">
        <v>90</v>
      </c>
      <c r="I116" s="660" t="s">
        <v>55</v>
      </c>
      <c r="J116" s="1301" t="s">
        <v>63</v>
      </c>
      <c r="K116" s="1408"/>
      <c r="L116" s="1399"/>
      <c r="M116" s="1226" t="s">
        <v>57</v>
      </c>
      <c r="N116" s="1207">
        <v>86984</v>
      </c>
      <c r="O116" s="1383" t="s">
        <v>57</v>
      </c>
      <c r="P116" s="1274" t="s">
        <v>58</v>
      </c>
      <c r="Q116" s="1459"/>
      <c r="R116" s="1370"/>
      <c r="S116" s="1370"/>
      <c r="T116" s="1413"/>
      <c r="U116" s="1368"/>
      <c r="V116" s="31">
        <v>7341</v>
      </c>
      <c r="W116" s="1456"/>
      <c r="X116" s="1415">
        <f t="shared" si="10"/>
        <v>7341</v>
      </c>
      <c r="Y116" s="1400">
        <f t="shared" si="11"/>
        <v>0</v>
      </c>
      <c r="Z116" s="1371"/>
      <c r="AA116" s="1288">
        <v>0</v>
      </c>
      <c r="AB116" s="1288">
        <v>0</v>
      </c>
      <c r="AC116" s="1287">
        <v>0</v>
      </c>
      <c r="AD116" s="1259" t="s">
        <v>336</v>
      </c>
      <c r="AE116" s="1269"/>
    </row>
    <row r="117" spans="1:31" ht="24.75" customHeight="1">
      <c r="A117" s="1395" t="s">
        <v>343</v>
      </c>
      <c r="B117" s="1293" t="s">
        <v>311</v>
      </c>
      <c r="C117" s="1390">
        <v>46052</v>
      </c>
      <c r="D117" s="975"/>
      <c r="E117" s="1390"/>
      <c r="F117" s="1403"/>
      <c r="G117" s="1296"/>
      <c r="H117" s="1297">
        <v>0</v>
      </c>
      <c r="I117" s="660" t="s">
        <v>55</v>
      </c>
      <c r="J117" s="1301" t="s">
        <v>63</v>
      </c>
      <c r="K117" s="1407"/>
      <c r="L117" s="1396"/>
      <c r="M117" s="1226" t="s">
        <v>57</v>
      </c>
      <c r="N117" s="1325">
        <v>18078.28</v>
      </c>
      <c r="O117" s="1383" t="s">
        <v>57</v>
      </c>
      <c r="P117" s="1274" t="s">
        <v>58</v>
      </c>
      <c r="Q117" s="1458"/>
      <c r="R117" s="1368"/>
      <c r="S117" s="1368"/>
      <c r="T117" s="1412"/>
      <c r="U117" s="1368"/>
      <c r="V117" s="31">
        <v>1284</v>
      </c>
      <c r="W117" s="1456"/>
      <c r="X117" s="1414">
        <f t="shared" ref="X117:X118" si="12">SUM(V117-W117)</f>
        <v>1284</v>
      </c>
      <c r="Y117" s="1151">
        <f t="shared" ref="Y117:Y118" si="13">IFERROR($W117/$V117, 0)</f>
        <v>0</v>
      </c>
      <c r="Z117" s="1369"/>
      <c r="AA117" s="1288">
        <v>0</v>
      </c>
      <c r="AB117" s="1288">
        <v>0</v>
      </c>
      <c r="AC117" s="1287">
        <v>0</v>
      </c>
      <c r="AD117" s="1259" t="s">
        <v>336</v>
      </c>
      <c r="AE117" s="1269"/>
    </row>
    <row r="118" spans="1:31" ht="24.75" customHeight="1">
      <c r="A118" s="1397" t="s">
        <v>344</v>
      </c>
      <c r="B118" s="1293" t="s">
        <v>311</v>
      </c>
      <c r="C118" s="1390">
        <v>46052</v>
      </c>
      <c r="D118" s="1379"/>
      <c r="E118" s="1398"/>
      <c r="F118" s="1404"/>
      <c r="G118" s="1296"/>
      <c r="H118" s="1297">
        <v>0</v>
      </c>
      <c r="I118" s="660" t="s">
        <v>55</v>
      </c>
      <c r="J118" s="1301" t="s">
        <v>63</v>
      </c>
      <c r="K118" s="1408"/>
      <c r="L118" s="1398"/>
      <c r="M118" s="1226" t="s">
        <v>57</v>
      </c>
      <c r="N118" s="1207">
        <v>54261.05</v>
      </c>
      <c r="O118" s="1383" t="s">
        <v>57</v>
      </c>
      <c r="P118" s="1274" t="s">
        <v>58</v>
      </c>
      <c r="Q118" s="1460"/>
      <c r="R118" s="1370"/>
      <c r="S118" s="1370"/>
      <c r="T118" s="1413"/>
      <c r="U118" s="1368"/>
      <c r="V118" s="31">
        <v>4022</v>
      </c>
      <c r="W118" s="1456"/>
      <c r="X118" s="1415">
        <f t="shared" si="12"/>
        <v>4022</v>
      </c>
      <c r="Y118" s="883">
        <f t="shared" si="13"/>
        <v>0</v>
      </c>
      <c r="Z118" s="1371"/>
      <c r="AA118" s="1288">
        <v>0</v>
      </c>
      <c r="AB118" s="1288">
        <v>0</v>
      </c>
      <c r="AC118" s="1287">
        <v>0</v>
      </c>
      <c r="AD118" s="1259" t="s">
        <v>336</v>
      </c>
    </row>
    <row r="119" spans="1:31" ht="24.75" customHeight="1">
      <c r="A119" s="1296"/>
      <c r="B119" s="1298"/>
      <c r="C119" s="1298"/>
      <c r="D119" s="1298"/>
      <c r="E119" s="1298"/>
      <c r="F119" s="1296"/>
      <c r="G119" s="1409"/>
      <c r="H119" s="1410"/>
      <c r="I119" s="1410"/>
      <c r="J119" s="1410"/>
      <c r="K119" s="1298"/>
      <c r="L119" s="1296"/>
      <c r="M119" s="1298"/>
      <c r="N119" s="1385"/>
      <c r="O119" s="1298"/>
      <c r="P119" s="1392"/>
      <c r="Q119" s="1401"/>
      <c r="R119" s="1254"/>
      <c r="S119" s="1254"/>
      <c r="T119" s="1254"/>
      <c r="U119" s="1401"/>
      <c r="V119" s="1417"/>
      <c r="W119" s="1401"/>
      <c r="X119" s="1254"/>
      <c r="Y119" s="1254"/>
      <c r="Z119" s="1254"/>
      <c r="AA119" s="1254"/>
      <c r="AB119" s="1254"/>
      <c r="AC119" s="1254"/>
      <c r="AD119" s="1356"/>
    </row>
    <row r="120" spans="1:31" ht="24.75" customHeight="1">
      <c r="A120" s="1296"/>
      <c r="B120" s="1298"/>
      <c r="C120" s="1298"/>
      <c r="D120" s="1298"/>
      <c r="E120" s="1298"/>
      <c r="F120" s="1296"/>
      <c r="G120" s="1296"/>
      <c r="H120" s="1298"/>
      <c r="I120" s="1298"/>
      <c r="J120" s="1298"/>
      <c r="K120" s="1298"/>
      <c r="L120" s="1296"/>
      <c r="M120" s="1298"/>
      <c r="N120" s="1385"/>
      <c r="O120" s="1298"/>
      <c r="P120" s="1392"/>
      <c r="Q120" s="1254"/>
      <c r="R120" s="1254"/>
      <c r="S120" s="1254"/>
      <c r="T120" s="1254"/>
      <c r="U120" s="1254"/>
      <c r="V120" s="1355"/>
      <c r="W120" s="1254"/>
      <c r="X120" s="1254"/>
      <c r="Y120" s="1254"/>
      <c r="Z120" s="1254"/>
      <c r="AA120" s="1254"/>
      <c r="AB120" s="1254"/>
      <c r="AC120" s="1254"/>
      <c r="AD120" s="1356"/>
    </row>
    <row r="121" spans="1:31" ht="24.75" customHeight="1">
      <c r="A121" s="1308" t="s">
        <v>345</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6" t="s">
        <v>32</v>
      </c>
      <c r="O121" s="1308" t="s">
        <v>33</v>
      </c>
      <c r="P121" s="1393" t="s">
        <v>34</v>
      </c>
      <c r="Q121" s="1314" t="s">
        <v>35</v>
      </c>
      <c r="R121" s="1314" t="s">
        <v>36</v>
      </c>
      <c r="S121" s="1314" t="s">
        <v>37</v>
      </c>
      <c r="T121" s="1314" t="s">
        <v>38</v>
      </c>
      <c r="U121" s="1314" t="s">
        <v>39</v>
      </c>
      <c r="V121" s="1314" t="s">
        <v>40</v>
      </c>
      <c r="W121" s="1314" t="s">
        <v>41</v>
      </c>
      <c r="X121" s="1314" t="s">
        <v>42</v>
      </c>
      <c r="Y121" s="1314" t="s">
        <v>43</v>
      </c>
      <c r="Z121" s="1314" t="s">
        <v>44</v>
      </c>
      <c r="AA121" s="1360" t="s">
        <v>45</v>
      </c>
      <c r="AB121" s="1314" t="s">
        <v>46</v>
      </c>
      <c r="AC121" s="1314" t="s">
        <v>47</v>
      </c>
      <c r="AD121" s="1361" t="s">
        <v>48</v>
      </c>
      <c r="AE121" s="1269"/>
    </row>
    <row r="122" spans="1:31" ht="24.75" customHeight="1">
      <c r="A122" s="1296" t="s">
        <v>346</v>
      </c>
      <c r="B122" s="1150" t="s">
        <v>347</v>
      </c>
      <c r="C122" s="1295">
        <v>46081</v>
      </c>
      <c r="D122" s="649"/>
      <c r="E122" s="1295"/>
      <c r="F122" s="1296"/>
      <c r="G122" s="1296"/>
      <c r="H122" s="1319">
        <v>53</v>
      </c>
      <c r="I122" s="660" t="s">
        <v>55</v>
      </c>
      <c r="J122" s="1301" t="s">
        <v>63</v>
      </c>
      <c r="K122" s="1320"/>
      <c r="L122" s="1295"/>
      <c r="M122" s="1301" t="s">
        <v>57</v>
      </c>
      <c r="N122" s="1387">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348</v>
      </c>
      <c r="AE122" s="1269"/>
    </row>
    <row r="123" spans="1:31" ht="24.75" customHeight="1">
      <c r="A123" s="1296" t="s">
        <v>349</v>
      </c>
      <c r="B123" s="1150" t="s">
        <v>347</v>
      </c>
      <c r="C123" s="1295">
        <v>46081</v>
      </c>
      <c r="D123" s="649"/>
      <c r="E123" s="1295"/>
      <c r="F123" s="1296"/>
      <c r="G123" s="1296"/>
      <c r="H123" s="1319">
        <v>55</v>
      </c>
      <c r="I123" s="660" t="s">
        <v>55</v>
      </c>
      <c r="J123" s="1301" t="s">
        <v>63</v>
      </c>
      <c r="K123" s="1320"/>
      <c r="L123" s="1295"/>
      <c r="M123" s="1301" t="s">
        <v>57</v>
      </c>
      <c r="N123" s="1387">
        <v>55435.9</v>
      </c>
      <c r="O123" s="1301" t="s">
        <v>57</v>
      </c>
      <c r="P123" s="1274" t="s">
        <v>58</v>
      </c>
      <c r="Q123" s="1257"/>
      <c r="R123" s="1303"/>
      <c r="S123" s="1303"/>
      <c r="T123" s="1303"/>
      <c r="U123" s="1303"/>
      <c r="V123" s="1323">
        <v>4571</v>
      </c>
      <c r="W123" s="1362"/>
      <c r="X123" s="1323">
        <v>4571</v>
      </c>
      <c r="Y123" s="875">
        <f t="shared" si="14"/>
        <v>0</v>
      </c>
      <c r="Z123" s="1257"/>
      <c r="AA123" s="1288">
        <v>0</v>
      </c>
      <c r="AB123" s="1288">
        <v>0</v>
      </c>
      <c r="AC123" s="1287">
        <v>0</v>
      </c>
      <c r="AD123" s="1259" t="s">
        <v>348</v>
      </c>
      <c r="AE123" s="1269"/>
    </row>
    <row r="124" spans="1:31" ht="24.75" customHeight="1">
      <c r="A124" s="1296" t="s">
        <v>350</v>
      </c>
      <c r="B124" s="1150" t="s">
        <v>347</v>
      </c>
      <c r="C124" s="1295">
        <v>46081</v>
      </c>
      <c r="D124" s="649"/>
      <c r="E124" s="1295"/>
      <c r="F124" s="1296"/>
      <c r="G124" s="1296"/>
      <c r="H124" s="1297">
        <v>71</v>
      </c>
      <c r="I124" s="660" t="s">
        <v>55</v>
      </c>
      <c r="J124" s="1301" t="s">
        <v>63</v>
      </c>
      <c r="K124" s="1320"/>
      <c r="L124" s="1295"/>
      <c r="M124" s="1301" t="s">
        <v>57</v>
      </c>
      <c r="N124" s="1384">
        <v>74320.899999999994</v>
      </c>
      <c r="O124" s="1301" t="s">
        <v>57</v>
      </c>
      <c r="P124" s="1274" t="s">
        <v>58</v>
      </c>
      <c r="Q124" s="1327"/>
      <c r="R124" s="1303"/>
      <c r="S124" s="1303"/>
      <c r="T124" s="1303"/>
      <c r="U124" s="1303"/>
      <c r="V124" s="1268">
        <v>5990</v>
      </c>
      <c r="W124" s="1362"/>
      <c r="X124" s="1268">
        <v>5990</v>
      </c>
      <c r="Y124" s="875">
        <f t="shared" si="14"/>
        <v>0</v>
      </c>
      <c r="Z124" s="1257"/>
      <c r="AA124" s="1288">
        <v>0</v>
      </c>
      <c r="AB124" s="1288">
        <v>0</v>
      </c>
      <c r="AC124" s="1287">
        <v>0</v>
      </c>
      <c r="AD124" s="1259" t="s">
        <v>348</v>
      </c>
      <c r="AE124" s="1269"/>
    </row>
    <row r="125" spans="1:31" ht="24.75" customHeight="1">
      <c r="A125" s="1296" t="s">
        <v>351</v>
      </c>
      <c r="B125" s="1150" t="s">
        <v>347</v>
      </c>
      <c r="C125" s="1295">
        <v>46081</v>
      </c>
      <c r="D125" s="649"/>
      <c r="E125" s="1295"/>
      <c r="F125" s="1296"/>
      <c r="G125" s="1296"/>
      <c r="H125" s="1297">
        <v>88</v>
      </c>
      <c r="I125" s="660" t="s">
        <v>55</v>
      </c>
      <c r="J125" s="1301" t="s">
        <v>63</v>
      </c>
      <c r="K125" s="1320"/>
      <c r="L125" s="1295"/>
      <c r="M125" s="1301" t="s">
        <v>57</v>
      </c>
      <c r="N125" s="1384">
        <v>88069</v>
      </c>
      <c r="O125" s="1301" t="s">
        <v>57</v>
      </c>
      <c r="P125" s="1274" t="s">
        <v>58</v>
      </c>
      <c r="Q125" s="1327"/>
      <c r="R125" s="1303"/>
      <c r="S125" s="1303"/>
      <c r="T125" s="1303"/>
      <c r="U125" s="1303"/>
      <c r="V125" s="1268">
        <v>7242</v>
      </c>
      <c r="W125" s="1362"/>
      <c r="X125" s="1268">
        <v>7242</v>
      </c>
      <c r="Y125" s="875">
        <f t="shared" si="14"/>
        <v>0</v>
      </c>
      <c r="Z125" s="1257"/>
      <c r="AA125" s="1288">
        <v>0</v>
      </c>
      <c r="AB125" s="1288">
        <v>0</v>
      </c>
      <c r="AC125" s="1287">
        <v>0</v>
      </c>
      <c r="AD125" s="1259" t="s">
        <v>348</v>
      </c>
      <c r="AE125" s="1269"/>
    </row>
    <row r="126" spans="1:31" ht="24.75" customHeight="1">
      <c r="A126" s="1296" t="s">
        <v>352</v>
      </c>
      <c r="B126" s="1150" t="s">
        <v>347</v>
      </c>
      <c r="C126" s="1295">
        <v>46081</v>
      </c>
      <c r="D126" s="649"/>
      <c r="E126" s="1295"/>
      <c r="F126" s="1296"/>
      <c r="G126" s="1296"/>
      <c r="H126" s="1297">
        <v>73</v>
      </c>
      <c r="I126" s="660" t="s">
        <v>55</v>
      </c>
      <c r="J126" s="1301" t="s">
        <v>63</v>
      </c>
      <c r="K126" s="1298"/>
      <c r="L126" s="1299"/>
      <c r="M126" s="1301" t="s">
        <v>91</v>
      </c>
      <c r="N126" s="1384"/>
      <c r="O126" s="1301" t="s">
        <v>57</v>
      </c>
      <c r="P126" s="1274" t="s">
        <v>58</v>
      </c>
      <c r="Q126" s="1327"/>
      <c r="R126" s="1303"/>
      <c r="S126" s="1303"/>
      <c r="T126" s="1303"/>
      <c r="U126" s="1303"/>
      <c r="V126" s="1268">
        <v>7660</v>
      </c>
      <c r="W126" s="1362"/>
      <c r="X126" s="1268">
        <v>7660</v>
      </c>
      <c r="Y126" s="875">
        <f t="shared" si="14"/>
        <v>0</v>
      </c>
      <c r="Z126" s="1202"/>
      <c r="AA126" s="1288">
        <v>0</v>
      </c>
      <c r="AB126" s="1288">
        <v>0</v>
      </c>
      <c r="AC126" s="1287">
        <v>0</v>
      </c>
      <c r="AD126" s="1259" t="s">
        <v>348</v>
      </c>
      <c r="AE126" s="1269"/>
    </row>
    <row r="127" spans="1:31" ht="24.75" customHeight="1">
      <c r="A127" s="1296" t="s">
        <v>353</v>
      </c>
      <c r="B127" s="1150" t="s">
        <v>347</v>
      </c>
      <c r="C127" s="1295">
        <v>46081</v>
      </c>
      <c r="D127" s="649"/>
      <c r="E127" s="1295"/>
      <c r="F127" s="1296"/>
      <c r="G127" s="1296"/>
      <c r="H127" s="1297">
        <v>87</v>
      </c>
      <c r="I127" s="660" t="s">
        <v>55</v>
      </c>
      <c r="J127" s="1301" t="s">
        <v>63</v>
      </c>
      <c r="K127" s="1298"/>
      <c r="L127" s="1299"/>
      <c r="M127" s="1301" t="s">
        <v>57</v>
      </c>
      <c r="N127" s="1388">
        <v>105458.4</v>
      </c>
      <c r="O127" s="1301" t="s">
        <v>57</v>
      </c>
      <c r="P127" s="1274" t="s">
        <v>58</v>
      </c>
      <c r="Q127" s="1327"/>
      <c r="R127" s="1303"/>
      <c r="S127" s="1303"/>
      <c r="T127" s="1303"/>
      <c r="U127" s="1303"/>
      <c r="V127" s="1268">
        <v>8596</v>
      </c>
      <c r="W127" s="1362"/>
      <c r="X127" s="1268">
        <v>8596</v>
      </c>
      <c r="Y127" s="875">
        <f t="shared" si="14"/>
        <v>0</v>
      </c>
      <c r="Z127" s="1257"/>
      <c r="AA127" s="1288">
        <v>0</v>
      </c>
      <c r="AB127" s="1288">
        <v>0</v>
      </c>
      <c r="AC127" s="1287">
        <v>0</v>
      </c>
      <c r="AD127" s="1259" t="s">
        <v>354</v>
      </c>
      <c r="AE127" s="1269"/>
    </row>
    <row r="128" spans="1:31" ht="24.75" customHeight="1">
      <c r="A128" s="1296" t="s">
        <v>355</v>
      </c>
      <c r="B128" s="1150" t="s">
        <v>347</v>
      </c>
      <c r="C128" s="1295">
        <v>46081</v>
      </c>
      <c r="D128" s="649"/>
      <c r="E128" s="1295"/>
      <c r="F128" s="1296"/>
      <c r="G128" s="1296"/>
      <c r="H128" s="1297">
        <v>70</v>
      </c>
      <c r="I128" s="660" t="s">
        <v>55</v>
      </c>
      <c r="J128" s="1301" t="s">
        <v>63</v>
      </c>
      <c r="K128" s="1298"/>
      <c r="L128" s="1299"/>
      <c r="M128" s="1301" t="s">
        <v>57</v>
      </c>
      <c r="N128" s="1388">
        <v>70105.25</v>
      </c>
      <c r="O128" s="1301" t="s">
        <v>57</v>
      </c>
      <c r="P128" s="1274" t="s">
        <v>58</v>
      </c>
      <c r="Q128" s="1327"/>
      <c r="R128" s="1303"/>
      <c r="S128" s="1303"/>
      <c r="T128" s="1303"/>
      <c r="U128" s="1303"/>
      <c r="V128" s="1268">
        <v>5648</v>
      </c>
      <c r="W128" s="1362"/>
      <c r="X128" s="1268">
        <v>5648</v>
      </c>
      <c r="Y128" s="875">
        <f t="shared" si="14"/>
        <v>0</v>
      </c>
      <c r="Z128" s="1202"/>
      <c r="AA128" s="1288">
        <v>0</v>
      </c>
      <c r="AB128" s="1288">
        <v>0</v>
      </c>
      <c r="AC128" s="1287">
        <v>0</v>
      </c>
      <c r="AD128" s="1259" t="s">
        <v>356</v>
      </c>
      <c r="AE128" s="1269"/>
    </row>
    <row r="129" spans="1:31" ht="24.75" customHeight="1">
      <c r="A129" s="1296" t="s">
        <v>357</v>
      </c>
      <c r="B129" s="1150" t="s">
        <v>347</v>
      </c>
      <c r="C129" s="1295">
        <v>46081</v>
      </c>
      <c r="D129" s="649"/>
      <c r="E129" s="1295"/>
      <c r="F129" s="1296"/>
      <c r="G129" s="1296"/>
      <c r="H129" s="1297">
        <v>77</v>
      </c>
      <c r="I129" s="660" t="s">
        <v>55</v>
      </c>
      <c r="J129" s="1301" t="s">
        <v>63</v>
      </c>
      <c r="K129" s="1298"/>
      <c r="L129" s="1299"/>
      <c r="M129" s="1301" t="s">
        <v>57</v>
      </c>
      <c r="N129" s="1384">
        <v>78047.350000000006</v>
      </c>
      <c r="O129" s="1301" t="s">
        <v>57</v>
      </c>
      <c r="P129" s="1274" t="s">
        <v>58</v>
      </c>
      <c r="Q129" s="1327"/>
      <c r="R129" s="1303"/>
      <c r="S129" s="1303"/>
      <c r="T129" s="1303"/>
      <c r="U129" s="1303"/>
      <c r="V129" s="1268">
        <v>6238</v>
      </c>
      <c r="W129" s="1362"/>
      <c r="X129" s="1268">
        <v>6238</v>
      </c>
      <c r="Y129" s="875">
        <f t="shared" si="14"/>
        <v>0</v>
      </c>
      <c r="Z129" s="1202"/>
      <c r="AA129" s="1288">
        <v>0</v>
      </c>
      <c r="AB129" s="1288">
        <v>0</v>
      </c>
      <c r="AC129" s="1287">
        <v>0</v>
      </c>
      <c r="AD129" s="1259" t="s">
        <v>356</v>
      </c>
      <c r="AE129" s="1269"/>
    </row>
    <row r="130" spans="1:31" ht="24.75" customHeight="1">
      <c r="A130" s="1296" t="s">
        <v>358</v>
      </c>
      <c r="B130" s="1150" t="s">
        <v>347</v>
      </c>
      <c r="C130" s="1295">
        <v>46081</v>
      </c>
      <c r="D130" s="649"/>
      <c r="E130" s="1295"/>
      <c r="F130" s="1296"/>
      <c r="G130" s="1296"/>
      <c r="H130" s="1297">
        <v>52</v>
      </c>
      <c r="I130" s="660" t="s">
        <v>55</v>
      </c>
      <c r="J130" s="1301" t="s">
        <v>63</v>
      </c>
      <c r="K130" s="1298"/>
      <c r="L130" s="1299"/>
      <c r="M130" s="1301" t="s">
        <v>57</v>
      </c>
      <c r="N130" s="1384">
        <v>91411.65</v>
      </c>
      <c r="O130" s="1301" t="s">
        <v>57</v>
      </c>
      <c r="P130" s="1274" t="s">
        <v>58</v>
      </c>
      <c r="Q130" s="1327"/>
      <c r="R130" s="1303"/>
      <c r="S130" s="1303"/>
      <c r="T130" s="1303"/>
      <c r="U130" s="1303"/>
      <c r="V130" s="1268">
        <v>5926</v>
      </c>
      <c r="W130" s="1362"/>
      <c r="X130" s="1268">
        <v>5926</v>
      </c>
      <c r="Y130" s="875">
        <f t="shared" si="14"/>
        <v>0</v>
      </c>
      <c r="Z130" s="1257"/>
      <c r="AA130" s="1288">
        <v>0</v>
      </c>
      <c r="AB130" s="1288">
        <v>0</v>
      </c>
      <c r="AC130" s="1287">
        <v>0</v>
      </c>
      <c r="AD130" s="1259" t="s">
        <v>348</v>
      </c>
      <c r="AE130" s="1269"/>
    </row>
    <row r="131" spans="1:31" ht="24.75" customHeight="1">
      <c r="A131" s="1389" t="s">
        <v>359</v>
      </c>
      <c r="B131" s="1150" t="s">
        <v>347</v>
      </c>
      <c r="C131" s="1295">
        <v>46081</v>
      </c>
      <c r="D131" s="649"/>
      <c r="E131" s="1390"/>
      <c r="F131" s="1389"/>
      <c r="G131" s="1296"/>
      <c r="H131" s="1297">
        <v>81</v>
      </c>
      <c r="I131" s="660" t="s">
        <v>55</v>
      </c>
      <c r="J131" s="1301" t="s">
        <v>63</v>
      </c>
      <c r="K131" s="1391"/>
      <c r="L131" s="1390"/>
      <c r="M131" s="1301" t="s">
        <v>57</v>
      </c>
      <c r="N131" s="1384">
        <v>105892.05</v>
      </c>
      <c r="O131" s="1301" t="s">
        <v>57</v>
      </c>
      <c r="P131" s="1274" t="s">
        <v>58</v>
      </c>
      <c r="Q131" s="1461"/>
      <c r="R131" s="1368"/>
      <c r="S131" s="1368"/>
      <c r="T131" s="1368"/>
      <c r="U131" s="1368"/>
      <c r="V131" s="1268">
        <v>8641</v>
      </c>
      <c r="W131" s="1456"/>
      <c r="X131" s="1268">
        <v>8641</v>
      </c>
      <c r="Y131" s="875">
        <f t="shared" si="14"/>
        <v>0</v>
      </c>
      <c r="Z131" s="1369"/>
      <c r="AA131" s="1288">
        <v>0</v>
      </c>
      <c r="AB131" s="1288">
        <v>0</v>
      </c>
      <c r="AC131" s="1287">
        <v>0</v>
      </c>
      <c r="AD131" s="1259" t="s">
        <v>348</v>
      </c>
      <c r="AE131" s="1269"/>
    </row>
    <row r="132" spans="1:31" ht="24.75" customHeight="1">
      <c r="A132" s="1389" t="s">
        <v>360</v>
      </c>
      <c r="B132" s="1150" t="s">
        <v>347</v>
      </c>
      <c r="C132" s="1295">
        <v>46081</v>
      </c>
      <c r="D132" s="649"/>
      <c r="E132" s="1390"/>
      <c r="F132" s="1389"/>
      <c r="G132" s="1296"/>
      <c r="H132" s="1297">
        <v>79</v>
      </c>
      <c r="I132" s="660" t="s">
        <v>55</v>
      </c>
      <c r="J132" s="1301" t="s">
        <v>63</v>
      </c>
      <c r="K132" s="1391"/>
      <c r="L132" s="1390"/>
      <c r="M132" s="1301" t="s">
        <v>57</v>
      </c>
      <c r="N132" s="1384">
        <v>88420</v>
      </c>
      <c r="O132" s="1301" t="s">
        <v>57</v>
      </c>
      <c r="P132" s="1274" t="s">
        <v>58</v>
      </c>
      <c r="Q132" s="1460"/>
      <c r="R132" s="1370"/>
      <c r="S132" s="1370"/>
      <c r="T132" s="1370"/>
      <c r="U132" s="1370"/>
      <c r="V132" s="1372">
        <v>7502</v>
      </c>
      <c r="W132" s="1462"/>
      <c r="X132" s="1372">
        <v>7502</v>
      </c>
      <c r="Y132" s="883">
        <f t="shared" si="14"/>
        <v>0</v>
      </c>
      <c r="Z132" s="1371"/>
      <c r="AA132" s="1288">
        <v>0</v>
      </c>
      <c r="AB132" s="1288">
        <v>0</v>
      </c>
      <c r="AC132" s="1287">
        <v>0</v>
      </c>
      <c r="AD132" s="1259" t="s">
        <v>348</v>
      </c>
      <c r="AE132" s="1269"/>
    </row>
    <row r="133" spans="1:31" ht="24.75" customHeight="1">
      <c r="A133" s="1389" t="s">
        <v>361</v>
      </c>
      <c r="B133" s="1150" t="s">
        <v>347</v>
      </c>
      <c r="C133" s="1295">
        <v>46081</v>
      </c>
      <c r="D133" s="649"/>
      <c r="E133" s="1390"/>
      <c r="F133" s="1389"/>
      <c r="G133" s="1296"/>
      <c r="H133" s="1297">
        <v>0</v>
      </c>
      <c r="I133" s="660" t="s">
        <v>55</v>
      </c>
      <c r="J133" s="1301" t="s">
        <v>63</v>
      </c>
      <c r="K133" s="1391"/>
      <c r="L133" s="1390"/>
      <c r="M133" s="1301" t="s">
        <v>91</v>
      </c>
      <c r="N133" s="1384"/>
      <c r="O133" s="1301" t="s">
        <v>57</v>
      </c>
      <c r="P133" s="1274" t="s">
        <v>58</v>
      </c>
      <c r="Q133" s="1460"/>
      <c r="R133" s="1370"/>
      <c r="S133" s="1370"/>
      <c r="T133" s="1370"/>
      <c r="U133" s="1370"/>
      <c r="V133" s="1372">
        <v>3682</v>
      </c>
      <c r="W133" s="1462"/>
      <c r="X133" s="1372">
        <v>3682</v>
      </c>
      <c r="Y133" s="883">
        <f t="shared" si="14"/>
        <v>0</v>
      </c>
      <c r="Z133" s="1371"/>
      <c r="AA133" s="1288">
        <v>0</v>
      </c>
      <c r="AB133" s="1288">
        <v>0</v>
      </c>
      <c r="AC133" s="1287">
        <v>0</v>
      </c>
      <c r="AD133" s="1259" t="s">
        <v>362</v>
      </c>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5"/>
      <c r="O140" s="1298"/>
      <c r="P140" s="1394"/>
      <c r="Q140" s="1271"/>
      <c r="R140" s="1271"/>
      <c r="S140" s="1271"/>
      <c r="T140" s="1271"/>
      <c r="U140" s="1271"/>
      <c r="V140" s="1357"/>
      <c r="W140" s="1271"/>
      <c r="X140" s="1271"/>
      <c r="Y140" s="1271"/>
      <c r="Z140" s="1271"/>
      <c r="AA140" s="1271"/>
      <c r="AB140" s="1271"/>
      <c r="AC140" s="1271"/>
      <c r="AD140" s="135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24.75" customHeight="1">
      <c r="A168" s="1296"/>
      <c r="B168" s="1298"/>
      <c r="C168" s="1298"/>
      <c r="D168" s="1298"/>
      <c r="E168" s="1298"/>
      <c r="F168" s="1296"/>
      <c r="G168" s="1296"/>
      <c r="H168" s="1298"/>
      <c r="I168" s="1298"/>
      <c r="J168" s="1298"/>
      <c r="K168" s="1298"/>
      <c r="L168" s="1296"/>
      <c r="M168" s="1298"/>
      <c r="N168" s="1385"/>
      <c r="O168" s="1298"/>
      <c r="P168" s="1269"/>
    </row>
    <row r="169" spans="1:16" ht="15" customHeight="1">
      <c r="A169" s="1357"/>
      <c r="B169" s="1271"/>
      <c r="C169" s="1271"/>
      <c r="D169" s="1271"/>
      <c r="E169" s="1271"/>
      <c r="F169" s="1357"/>
      <c r="G169" s="1357"/>
      <c r="H169" s="1271"/>
      <c r="I169" s="1271"/>
      <c r="J169" s="1271"/>
      <c r="K169" s="1271"/>
      <c r="L169" s="1357"/>
      <c r="M169" s="1271"/>
      <c r="N169" s="1358"/>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43" activePane="topRight" state="frozen"/>
      <selection pane="topRight" activeCell="Z22" sqref="Z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204</v>
      </c>
      <c r="C2" s="467">
        <v>45960</v>
      </c>
      <c r="D2" s="467" t="s">
        <v>365</v>
      </c>
      <c r="E2" s="467">
        <v>45897</v>
      </c>
      <c r="F2" s="465" t="s">
        <v>230</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204</v>
      </c>
      <c r="C3" s="467">
        <v>45960</v>
      </c>
      <c r="D3" s="467" t="s">
        <v>370</v>
      </c>
      <c r="E3" s="467">
        <v>45909</v>
      </c>
      <c r="F3" s="467" t="s">
        <v>205</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204</v>
      </c>
      <c r="C4" s="467">
        <v>45960</v>
      </c>
      <c r="D4" s="467" t="s">
        <v>71</v>
      </c>
      <c r="E4" s="467">
        <v>45905</v>
      </c>
      <c r="F4" s="467" t="s">
        <v>205</v>
      </c>
      <c r="G4" s="682"/>
      <c r="H4" s="469">
        <v>0</v>
      </c>
      <c r="I4" s="661" t="s">
        <v>366</v>
      </c>
      <c r="J4" s="469" t="s">
        <v>63</v>
      </c>
      <c r="K4" s="478"/>
      <c r="L4" s="375">
        <v>45943</v>
      </c>
      <c r="M4" s="1104"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204</v>
      </c>
      <c r="C5" s="467">
        <v>45999</v>
      </c>
      <c r="D5" s="475" t="s">
        <v>71</v>
      </c>
      <c r="E5" s="476">
        <v>45975</v>
      </c>
      <c r="F5" s="475" t="s">
        <v>205</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204</v>
      </c>
      <c r="C6" s="467">
        <v>45991</v>
      </c>
      <c r="D6" s="476" t="s">
        <v>218</v>
      </c>
      <c r="E6" s="476">
        <v>45950</v>
      </c>
      <c r="F6" s="475" t="s">
        <v>219</v>
      </c>
      <c r="G6" s="827"/>
      <c r="H6" s="831">
        <v>82</v>
      </c>
      <c r="I6" s="828" t="s">
        <v>366</v>
      </c>
      <c r="J6" s="831" t="s">
        <v>63</v>
      </c>
      <c r="K6" s="487"/>
      <c r="L6" s="51">
        <v>45902</v>
      </c>
      <c r="M6" s="1105"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204</v>
      </c>
      <c r="C7" s="467">
        <v>45989</v>
      </c>
      <c r="D7" s="476" t="s">
        <v>218</v>
      </c>
      <c r="E7" s="476">
        <v>45964</v>
      </c>
      <c r="F7" s="475" t="s">
        <v>219</v>
      </c>
      <c r="G7" s="827" t="s">
        <v>381</v>
      </c>
      <c r="H7" s="831">
        <v>74</v>
      </c>
      <c r="I7" s="469" t="s">
        <v>366</v>
      </c>
      <c r="J7" s="469" t="s">
        <v>63</v>
      </c>
      <c r="K7" s="469"/>
      <c r="L7" s="51">
        <v>45932</v>
      </c>
      <c r="M7" s="1105"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232</v>
      </c>
    </row>
    <row r="8" spans="1:30" ht="39.75" customHeight="1">
      <c r="A8" s="841" t="s">
        <v>382</v>
      </c>
      <c r="B8" s="830" t="s">
        <v>204</v>
      </c>
      <c r="C8" s="467">
        <v>45960</v>
      </c>
      <c r="D8" s="476" t="s">
        <v>218</v>
      </c>
      <c r="E8" s="476">
        <v>45930</v>
      </c>
      <c r="F8" s="475" t="s">
        <v>219</v>
      </c>
      <c r="G8" s="827"/>
      <c r="H8" s="831">
        <v>80</v>
      </c>
      <c r="I8" s="828" t="s">
        <v>366</v>
      </c>
      <c r="J8" s="831" t="s">
        <v>63</v>
      </c>
      <c r="K8" s="828"/>
      <c r="L8" s="51">
        <v>45902</v>
      </c>
      <c r="M8" s="1105"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204</v>
      </c>
      <c r="C9" s="467">
        <v>45960</v>
      </c>
      <c r="D9" s="476" t="s">
        <v>229</v>
      </c>
      <c r="E9" s="476">
        <v>45950</v>
      </c>
      <c r="F9" s="475" t="s">
        <v>230</v>
      </c>
      <c r="G9" s="827"/>
      <c r="H9" s="831">
        <v>80</v>
      </c>
      <c r="I9" s="828" t="s">
        <v>366</v>
      </c>
      <c r="J9" s="831" t="s">
        <v>63</v>
      </c>
      <c r="K9" s="828"/>
      <c r="L9" s="1106">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204</v>
      </c>
      <c r="C10" s="467">
        <v>45960</v>
      </c>
      <c r="D10" s="476" t="s">
        <v>229</v>
      </c>
      <c r="E10" s="476">
        <v>45937</v>
      </c>
      <c r="F10" s="475" t="s">
        <v>230</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204</v>
      </c>
      <c r="C11" s="467">
        <v>45991</v>
      </c>
      <c r="D11" s="475" t="s">
        <v>387</v>
      </c>
      <c r="E11" s="476">
        <v>45716</v>
      </c>
      <c r="F11" s="475" t="s">
        <v>219</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204</v>
      </c>
      <c r="C12" s="467">
        <v>45991</v>
      </c>
      <c r="D12" s="475" t="s">
        <v>218</v>
      </c>
      <c r="E12" s="476">
        <v>45880</v>
      </c>
      <c r="F12" s="475" t="s">
        <v>219</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204</v>
      </c>
      <c r="C13" s="467">
        <v>45991</v>
      </c>
      <c r="D13" s="475" t="s">
        <v>218</v>
      </c>
      <c r="E13" s="476">
        <v>45880</v>
      </c>
      <c r="F13" s="475" t="s">
        <v>219</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204</v>
      </c>
      <c r="C14" s="467">
        <v>45960</v>
      </c>
      <c r="D14" s="475" t="s">
        <v>229</v>
      </c>
      <c r="E14" s="476">
        <v>45966</v>
      </c>
      <c r="F14" s="475" t="s">
        <v>230</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281</v>
      </c>
    </row>
    <row r="15" spans="1:30" ht="39.75" customHeight="1">
      <c r="A15" s="1365" t="s">
        <v>395</v>
      </c>
      <c r="B15" s="830" t="s">
        <v>204</v>
      </c>
      <c r="C15" s="467" t="s">
        <v>396</v>
      </c>
      <c r="D15" s="475" t="s">
        <v>71</v>
      </c>
      <c r="E15" s="476">
        <v>45964</v>
      </c>
      <c r="F15" s="475" t="s">
        <v>397</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207</v>
      </c>
    </row>
    <row r="16" spans="1:30" ht="39.75" customHeight="1">
      <c r="A16" s="926" t="s">
        <v>398</v>
      </c>
      <c r="B16" s="830" t="s">
        <v>290</v>
      </c>
      <c r="C16" s="467">
        <v>46006</v>
      </c>
      <c r="D16" s="475" t="s">
        <v>229</v>
      </c>
      <c r="E16" s="476">
        <v>45987</v>
      </c>
      <c r="F16" s="475" t="s">
        <v>219</v>
      </c>
      <c r="G16" s="824" t="s">
        <v>399</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290</v>
      </c>
      <c r="C17" s="1204">
        <v>46006</v>
      </c>
      <c r="D17" s="1225" t="s">
        <v>229</v>
      </c>
      <c r="E17" s="1224">
        <v>45987</v>
      </c>
      <c r="F17" s="1225" t="s">
        <v>219</v>
      </c>
      <c r="G17" s="1225" t="s">
        <v>402</v>
      </c>
      <c r="H17" s="1226">
        <v>30</v>
      </c>
      <c r="I17" s="828" t="s">
        <v>366</v>
      </c>
      <c r="J17" s="831" t="s">
        <v>63</v>
      </c>
      <c r="K17" s="1206"/>
      <c r="L17" s="476" t="s">
        <v>52</v>
      </c>
      <c r="M17" s="1226" t="s">
        <v>57</v>
      </c>
      <c r="N17" s="1237">
        <v>31387.05</v>
      </c>
      <c r="O17" s="1226" t="s">
        <v>57</v>
      </c>
      <c r="P17" s="1278" t="s">
        <v>367</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290</v>
      </c>
      <c r="C18" s="467">
        <v>46006</v>
      </c>
      <c r="D18" s="475" t="s">
        <v>229</v>
      </c>
      <c r="E18" s="476">
        <v>45975</v>
      </c>
      <c r="F18" s="475" t="s">
        <v>219</v>
      </c>
      <c r="G18" s="477" t="s">
        <v>405</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290</v>
      </c>
      <c r="C19" s="467">
        <v>46053</v>
      </c>
      <c r="D19" s="475" t="s">
        <v>229</v>
      </c>
      <c r="E19" s="476">
        <v>45964</v>
      </c>
      <c r="F19" s="475" t="s">
        <v>219</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408</v>
      </c>
      <c r="B20" s="491" t="s">
        <v>290</v>
      </c>
      <c r="C20" s="467">
        <v>46053</v>
      </c>
      <c r="D20" s="475" t="s">
        <v>229</v>
      </c>
      <c r="E20" s="476">
        <v>45974</v>
      </c>
      <c r="F20" s="475" t="s">
        <v>219</v>
      </c>
      <c r="G20" s="477" t="s">
        <v>409</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410</v>
      </c>
      <c r="B21" s="491" t="s">
        <v>290</v>
      </c>
      <c r="C21" s="467">
        <v>46006</v>
      </c>
      <c r="D21" s="475" t="s">
        <v>229</v>
      </c>
      <c r="E21" s="476">
        <v>45980</v>
      </c>
      <c r="F21" s="475" t="s">
        <v>219</v>
      </c>
      <c r="G21" s="824" t="s">
        <v>411</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3" t="s">
        <v>412</v>
      </c>
      <c r="B22" s="1016" t="s">
        <v>290</v>
      </c>
      <c r="C22" s="1204">
        <v>46040</v>
      </c>
      <c r="D22" s="1225" t="s">
        <v>229</v>
      </c>
      <c r="E22" s="1224">
        <v>45996</v>
      </c>
      <c r="F22" s="1225" t="s">
        <v>219</v>
      </c>
      <c r="G22" s="1225" t="s">
        <v>413</v>
      </c>
      <c r="H22" s="1226">
        <v>78</v>
      </c>
      <c r="I22" s="828" t="s">
        <v>366</v>
      </c>
      <c r="J22" s="1226" t="s">
        <v>63</v>
      </c>
      <c r="K22" s="1206"/>
      <c r="L22" s="476" t="s">
        <v>52</v>
      </c>
      <c r="M22" s="1226" t="s">
        <v>57</v>
      </c>
      <c r="N22" s="1237">
        <v>84477</v>
      </c>
      <c r="O22" s="1226" t="s">
        <v>57</v>
      </c>
      <c r="P22" s="1278" t="s">
        <v>367</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1277" t="s">
        <v>414</v>
      </c>
      <c r="B23" s="1205" t="s">
        <v>111</v>
      </c>
      <c r="C23" s="1204">
        <v>46010</v>
      </c>
      <c r="D23" s="1204" t="s">
        <v>143</v>
      </c>
      <c r="E23" s="1204">
        <v>45974</v>
      </c>
      <c r="F23" s="1205" t="s">
        <v>112</v>
      </c>
      <c r="G23" s="1205" t="s">
        <v>415</v>
      </c>
      <c r="H23" s="1206">
        <v>67</v>
      </c>
      <c r="I23" s="661" t="s">
        <v>366</v>
      </c>
      <c r="J23" s="1206" t="s">
        <v>63</v>
      </c>
      <c r="K23" s="1206"/>
      <c r="L23" s="1204">
        <v>45936</v>
      </c>
      <c r="M23" s="1206" t="s">
        <v>57</v>
      </c>
      <c r="N23" s="1207">
        <v>38192</v>
      </c>
      <c r="O23" s="1206" t="s">
        <v>57</v>
      </c>
      <c r="P23" s="1278" t="s">
        <v>367</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416</v>
      </c>
    </row>
    <row r="24" spans="1:30" ht="39.75" customHeight="1">
      <c r="A24" s="1277" t="s">
        <v>417</v>
      </c>
      <c r="B24" s="1205" t="s">
        <v>111</v>
      </c>
      <c r="C24" s="1204">
        <v>46010</v>
      </c>
      <c r="D24" s="1204" t="s">
        <v>143</v>
      </c>
      <c r="E24" s="1204">
        <v>45974</v>
      </c>
      <c r="F24" s="1205" t="s">
        <v>112</v>
      </c>
      <c r="G24" s="1205" t="s">
        <v>418</v>
      </c>
      <c r="H24" s="1206">
        <v>28</v>
      </c>
      <c r="I24" s="661" t="s">
        <v>366</v>
      </c>
      <c r="J24" s="1206" t="s">
        <v>63</v>
      </c>
      <c r="K24" s="1206"/>
      <c r="L24" s="1204">
        <v>45972</v>
      </c>
      <c r="M24" s="1206" t="s">
        <v>57</v>
      </c>
      <c r="N24" s="1207">
        <v>27615.5</v>
      </c>
      <c r="O24" s="1206" t="s">
        <v>57</v>
      </c>
      <c r="P24" s="1278" t="s">
        <v>367</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419</v>
      </c>
    </row>
    <row r="25" spans="1:30" ht="39.75" customHeight="1">
      <c r="A25" s="926" t="s">
        <v>420</v>
      </c>
      <c r="B25" s="465" t="s">
        <v>111</v>
      </c>
      <c r="C25" s="476">
        <v>45976</v>
      </c>
      <c r="D25" s="467" t="s">
        <v>131</v>
      </c>
      <c r="E25" s="467">
        <v>45959</v>
      </c>
      <c r="F25" s="465" t="s">
        <v>421</v>
      </c>
      <c r="G25" s="682"/>
      <c r="H25" s="469">
        <v>69</v>
      </c>
      <c r="I25" s="661" t="s">
        <v>366</v>
      </c>
      <c r="J25" s="469" t="s">
        <v>63</v>
      </c>
      <c r="K25" s="469"/>
      <c r="L25" s="467">
        <v>45962</v>
      </c>
      <c r="M25" s="469" t="s">
        <v>57</v>
      </c>
      <c r="N25" s="542">
        <v>37418</v>
      </c>
      <c r="O25" s="469" t="s">
        <v>57</v>
      </c>
      <c r="P25" s="626" t="s">
        <v>367</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422</v>
      </c>
    </row>
    <row r="26" spans="1:30" ht="39.75" customHeight="1">
      <c r="A26" s="926" t="s">
        <v>423</v>
      </c>
      <c r="B26" s="465" t="s">
        <v>111</v>
      </c>
      <c r="C26" s="467">
        <v>45991</v>
      </c>
      <c r="D26" s="467" t="s">
        <v>131</v>
      </c>
      <c r="E26" s="467">
        <v>45966</v>
      </c>
      <c r="F26" s="465" t="s">
        <v>112</v>
      </c>
      <c r="G26" s="682" t="s">
        <v>424</v>
      </c>
      <c r="H26" s="469">
        <v>83</v>
      </c>
      <c r="I26" s="661" t="s">
        <v>366</v>
      </c>
      <c r="J26" s="469" t="s">
        <v>63</v>
      </c>
      <c r="K26" s="469"/>
      <c r="L26" s="467">
        <v>45969</v>
      </c>
      <c r="M26" s="469" t="s">
        <v>57</v>
      </c>
      <c r="N26" s="542">
        <v>66402</v>
      </c>
      <c r="O26" s="469" t="s">
        <v>57</v>
      </c>
      <c r="P26" s="626" t="s">
        <v>367</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425</v>
      </c>
    </row>
    <row r="27" spans="1:30" ht="39.75" customHeight="1">
      <c r="A27" s="926" t="s">
        <v>426</v>
      </c>
      <c r="B27" s="465" t="s">
        <v>111</v>
      </c>
      <c r="C27" s="467">
        <v>46001</v>
      </c>
      <c r="D27" s="467" t="s">
        <v>131</v>
      </c>
      <c r="E27" s="467">
        <v>45966</v>
      </c>
      <c r="F27" s="465" t="s">
        <v>112</v>
      </c>
      <c r="G27" s="682" t="s">
        <v>427</v>
      </c>
      <c r="H27" s="469">
        <v>77</v>
      </c>
      <c r="I27" s="661" t="s">
        <v>366</v>
      </c>
      <c r="J27" s="469" t="s">
        <v>63</v>
      </c>
      <c r="K27" s="469"/>
      <c r="L27" s="467">
        <v>45967</v>
      </c>
      <c r="M27" s="469" t="s">
        <v>57</v>
      </c>
      <c r="N27" s="542">
        <v>63997.35</v>
      </c>
      <c r="O27" s="469" t="s">
        <v>57</v>
      </c>
      <c r="P27" s="626" t="s">
        <v>367</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428</v>
      </c>
    </row>
    <row r="28" spans="1:30" ht="39.75" customHeight="1">
      <c r="A28" s="1277" t="s">
        <v>429</v>
      </c>
      <c r="B28" s="1205" t="s">
        <v>111</v>
      </c>
      <c r="C28" s="1204">
        <v>46001</v>
      </c>
      <c r="D28" s="1204" t="s">
        <v>131</v>
      </c>
      <c r="E28" s="1204">
        <v>46009</v>
      </c>
      <c r="F28" s="1205" t="s">
        <v>112</v>
      </c>
      <c r="G28" s="1205" t="s">
        <v>430</v>
      </c>
      <c r="H28" s="1206">
        <v>48</v>
      </c>
      <c r="I28" s="661" t="s">
        <v>366</v>
      </c>
      <c r="J28" s="1206" t="s">
        <v>63</v>
      </c>
      <c r="K28" s="1206"/>
      <c r="L28" s="1204">
        <v>45965</v>
      </c>
      <c r="M28" s="1206" t="s">
        <v>57</v>
      </c>
      <c r="N28" s="1207">
        <v>18021.7</v>
      </c>
      <c r="O28" s="1206" t="s">
        <v>57</v>
      </c>
      <c r="P28" s="1278" t="s">
        <v>367</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431</v>
      </c>
    </row>
    <row r="29" spans="1:30" ht="39.75" customHeight="1">
      <c r="A29" s="1277" t="s">
        <v>432</v>
      </c>
      <c r="B29" s="1205" t="s">
        <v>111</v>
      </c>
      <c r="C29" s="1204">
        <v>46001</v>
      </c>
      <c r="D29" s="1204" t="s">
        <v>131</v>
      </c>
      <c r="E29" s="1204">
        <v>46009</v>
      </c>
      <c r="F29" s="1205" t="s">
        <v>112</v>
      </c>
      <c r="G29" s="1205" t="s">
        <v>433</v>
      </c>
      <c r="H29" s="1206">
        <v>56</v>
      </c>
      <c r="I29" s="661" t="s">
        <v>366</v>
      </c>
      <c r="J29" s="1206" t="s">
        <v>63</v>
      </c>
      <c r="K29" s="1206"/>
      <c r="L29" s="1204">
        <v>45965</v>
      </c>
      <c r="M29" s="1206" t="s">
        <v>57</v>
      </c>
      <c r="N29" s="1207">
        <v>20705</v>
      </c>
      <c r="O29" s="1206" t="s">
        <v>57</v>
      </c>
      <c r="P29" s="1278" t="s">
        <v>367</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434</v>
      </c>
    </row>
    <row r="30" spans="1:30" ht="39.75" customHeight="1">
      <c r="A30" s="926" t="s">
        <v>435</v>
      </c>
      <c r="B30" s="465" t="s">
        <v>111</v>
      </c>
      <c r="C30" s="467">
        <v>45975</v>
      </c>
      <c r="D30" s="467" t="s">
        <v>436</v>
      </c>
      <c r="E30" s="467">
        <v>45982</v>
      </c>
      <c r="F30" s="642" t="s">
        <v>112</v>
      </c>
      <c r="G30" s="682" t="s">
        <v>437</v>
      </c>
      <c r="H30" s="469">
        <v>0</v>
      </c>
      <c r="I30" s="469" t="s">
        <v>366</v>
      </c>
      <c r="J30" s="469" t="s">
        <v>63</v>
      </c>
      <c r="K30" s="469"/>
      <c r="L30" s="467">
        <v>45968</v>
      </c>
      <c r="M30" s="469" t="s">
        <v>57</v>
      </c>
      <c r="N30" s="542">
        <v>12840.7</v>
      </c>
      <c r="O30" s="469" t="s">
        <v>57</v>
      </c>
      <c r="P30" s="626" t="s">
        <v>367</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438</v>
      </c>
    </row>
    <row r="31" spans="1:30" ht="39.75" customHeight="1">
      <c r="A31" s="926" t="s">
        <v>439</v>
      </c>
      <c r="B31" s="465" t="s">
        <v>111</v>
      </c>
      <c r="C31" s="488">
        <v>45838</v>
      </c>
      <c r="D31" s="488" t="s">
        <v>131</v>
      </c>
      <c r="E31" s="476">
        <v>45786</v>
      </c>
      <c r="F31" s="488" t="s">
        <v>162</v>
      </c>
      <c r="G31" s="937" t="s">
        <v>440</v>
      </c>
      <c r="H31" s="469">
        <v>0</v>
      </c>
      <c r="I31" s="470" t="s">
        <v>366</v>
      </c>
      <c r="J31" s="469" t="s">
        <v>63</v>
      </c>
      <c r="K31" s="469"/>
      <c r="L31" s="467">
        <v>45790</v>
      </c>
      <c r="M31" s="469" t="s">
        <v>57</v>
      </c>
      <c r="N31" s="542">
        <v>63283</v>
      </c>
      <c r="O31" s="469" t="s">
        <v>57</v>
      </c>
      <c r="P31" s="626" t="s">
        <v>367</v>
      </c>
      <c r="Q31" s="471">
        <v>45790</v>
      </c>
      <c r="R31" s="471">
        <v>45813</v>
      </c>
      <c r="S31" s="471">
        <v>45814</v>
      </c>
      <c r="T31" s="124">
        <v>45828</v>
      </c>
      <c r="U31" s="124">
        <v>45846</v>
      </c>
      <c r="V31" s="106">
        <v>5776</v>
      </c>
      <c r="W31" s="1010">
        <v>5776</v>
      </c>
      <c r="X31" s="106">
        <f t="shared" ref="X31:X69" si="20">SUM(V31-W31)</f>
        <v>0</v>
      </c>
      <c r="Y31" s="84">
        <f t="shared" ref="Y31:Y69" si="21">IFERROR($W31/$V31, 0)</f>
        <v>1</v>
      </c>
      <c r="Z31" s="652">
        <v>45796</v>
      </c>
      <c r="AA31" s="355">
        <v>1</v>
      </c>
      <c r="AB31" s="355">
        <v>1</v>
      </c>
      <c r="AC31" s="645">
        <v>0</v>
      </c>
      <c r="AD31" s="323" t="s">
        <v>441</v>
      </c>
    </row>
    <row r="32" spans="1:30" ht="39.75" customHeight="1">
      <c r="A32" s="926" t="s">
        <v>442</v>
      </c>
      <c r="B32" s="465" t="s">
        <v>111</v>
      </c>
      <c r="C32" s="467">
        <v>46021</v>
      </c>
      <c r="D32" s="465" t="s">
        <v>51</v>
      </c>
      <c r="E32" s="467" t="s">
        <v>52</v>
      </c>
      <c r="F32" s="465" t="s">
        <v>144</v>
      </c>
      <c r="G32" s="468" t="s">
        <v>443</v>
      </c>
      <c r="H32" s="469">
        <v>0</v>
      </c>
      <c r="I32" s="469" t="s">
        <v>366</v>
      </c>
      <c r="J32" s="469" t="s">
        <v>63</v>
      </c>
      <c r="K32" s="469"/>
      <c r="L32" s="467" t="s">
        <v>159</v>
      </c>
      <c r="M32" s="469" t="s">
        <v>57</v>
      </c>
      <c r="N32" s="542">
        <v>1931.75</v>
      </c>
      <c r="O32" s="469" t="s">
        <v>57</v>
      </c>
      <c r="P32" s="1061" t="s">
        <v>367</v>
      </c>
      <c r="Q32" s="124"/>
      <c r="R32" s="652"/>
      <c r="S32" s="471"/>
      <c r="T32" s="471"/>
      <c r="U32" s="471"/>
      <c r="V32" s="416">
        <v>0</v>
      </c>
      <c r="W32" s="581">
        <v>0</v>
      </c>
      <c r="X32" s="472">
        <f>SUM(V32-W32)</f>
        <v>0</v>
      </c>
      <c r="Y32" s="662">
        <f t="shared" si="21"/>
        <v>0</v>
      </c>
      <c r="Z32" s="479">
        <v>45996</v>
      </c>
      <c r="AA32" s="355">
        <v>0</v>
      </c>
      <c r="AB32" s="355">
        <v>1</v>
      </c>
      <c r="AC32" s="472">
        <v>0</v>
      </c>
      <c r="AD32" s="170" t="s">
        <v>444</v>
      </c>
    </row>
    <row r="33" spans="1:30" ht="39.75" customHeight="1">
      <c r="A33" s="926" t="s">
        <v>445</v>
      </c>
      <c r="B33" s="681" t="s">
        <v>111</v>
      </c>
      <c r="C33" s="476">
        <v>45991</v>
      </c>
      <c r="D33" s="465" t="s">
        <v>446</v>
      </c>
      <c r="E33" s="467">
        <v>45936</v>
      </c>
      <c r="F33" s="465" t="s">
        <v>112</v>
      </c>
      <c r="G33" s="682"/>
      <c r="H33" s="469">
        <v>0</v>
      </c>
      <c r="I33" s="469" t="s">
        <v>366</v>
      </c>
      <c r="J33" s="469" t="s">
        <v>63</v>
      </c>
      <c r="K33" s="469"/>
      <c r="L33" s="467" t="s">
        <v>159</v>
      </c>
      <c r="M33" s="469" t="s">
        <v>57</v>
      </c>
      <c r="N33" s="542">
        <v>74164.05</v>
      </c>
      <c r="O33" s="469" t="s">
        <v>57</v>
      </c>
      <c r="P33" s="1061" t="s">
        <v>367</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447</v>
      </c>
    </row>
    <row r="34" spans="1:30" ht="39.75" customHeight="1">
      <c r="A34" s="926" t="s">
        <v>448</v>
      </c>
      <c r="B34" s="465" t="s">
        <v>111</v>
      </c>
      <c r="C34" s="476">
        <v>45960</v>
      </c>
      <c r="D34" s="467" t="s">
        <v>449</v>
      </c>
      <c r="E34" s="467">
        <v>45939</v>
      </c>
      <c r="F34" s="465" t="s">
        <v>162</v>
      </c>
      <c r="G34" s="682"/>
      <c r="H34" s="469">
        <v>385</v>
      </c>
      <c r="I34" s="661" t="s">
        <v>366</v>
      </c>
      <c r="J34" s="469" t="s">
        <v>56</v>
      </c>
      <c r="K34" s="469"/>
      <c r="L34" s="467">
        <v>45937</v>
      </c>
      <c r="M34" s="469" t="s">
        <v>57</v>
      </c>
      <c r="N34" s="542">
        <v>210533.1</v>
      </c>
      <c r="O34" s="469" t="s">
        <v>57</v>
      </c>
      <c r="P34" s="626" t="s">
        <v>367</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450</v>
      </c>
    </row>
    <row r="35" spans="1:30" ht="39.75" customHeight="1">
      <c r="A35" s="1277" t="s">
        <v>451</v>
      </c>
      <c r="B35" s="681" t="s">
        <v>111</v>
      </c>
      <c r="C35" s="1204">
        <v>46020</v>
      </c>
      <c r="D35" s="1204" t="s">
        <v>452</v>
      </c>
      <c r="E35" s="1204">
        <v>45978</v>
      </c>
      <c r="F35" s="1205" t="s">
        <v>144</v>
      </c>
      <c r="G35" s="1205" t="s">
        <v>453</v>
      </c>
      <c r="H35" s="1206">
        <v>197</v>
      </c>
      <c r="I35" s="661" t="s">
        <v>366</v>
      </c>
      <c r="J35" s="1206" t="s">
        <v>56</v>
      </c>
      <c r="K35" s="469"/>
      <c r="L35" s="1204">
        <v>45978</v>
      </c>
      <c r="M35" s="1206" t="s">
        <v>57</v>
      </c>
      <c r="N35" s="1207">
        <v>87807.5</v>
      </c>
      <c r="O35" s="1206" t="s">
        <v>57</v>
      </c>
      <c r="P35" s="1278" t="s">
        <v>367</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454</v>
      </c>
    </row>
    <row r="36" spans="1:30" ht="39.75" customHeight="1">
      <c r="A36" s="926" t="s">
        <v>455</v>
      </c>
      <c r="B36" s="465" t="s">
        <v>111</v>
      </c>
      <c r="C36" s="467">
        <v>45996</v>
      </c>
      <c r="D36" s="467" t="s">
        <v>449</v>
      </c>
      <c r="E36" s="467">
        <v>45958</v>
      </c>
      <c r="F36" s="465" t="s">
        <v>144</v>
      </c>
      <c r="G36" s="468" t="s">
        <v>456</v>
      </c>
      <c r="H36" s="469">
        <v>303</v>
      </c>
      <c r="I36" s="661" t="s">
        <v>366</v>
      </c>
      <c r="J36" s="469" t="s">
        <v>56</v>
      </c>
      <c r="K36" s="469"/>
      <c r="L36" s="467">
        <v>45953</v>
      </c>
      <c r="M36" s="469" t="s">
        <v>57</v>
      </c>
      <c r="N36" s="542">
        <v>168480.8</v>
      </c>
      <c r="O36" s="469" t="s">
        <v>57</v>
      </c>
      <c r="P36" s="626" t="s">
        <v>367</v>
      </c>
      <c r="Q36" s="471">
        <v>45953</v>
      </c>
      <c r="R36" s="471"/>
      <c r="S36" s="471"/>
      <c r="T36" s="471"/>
      <c r="U36" s="471"/>
      <c r="V36" s="472">
        <v>14659</v>
      </c>
      <c r="W36" s="627">
        <v>14659</v>
      </c>
      <c r="X36" s="472">
        <f t="shared" si="20"/>
        <v>0</v>
      </c>
      <c r="Y36" s="662">
        <f t="shared" si="21"/>
        <v>1</v>
      </c>
      <c r="Z36" s="479">
        <v>45978</v>
      </c>
      <c r="AA36" s="355">
        <v>1</v>
      </c>
      <c r="AB36" s="355">
        <v>0</v>
      </c>
      <c r="AC36" s="472">
        <v>0</v>
      </c>
      <c r="AD36" s="757" t="s">
        <v>457</v>
      </c>
    </row>
    <row r="37" spans="1:30" ht="39.75" customHeight="1">
      <c r="A37" s="926" t="s">
        <v>458</v>
      </c>
      <c r="B37" s="465" t="s">
        <v>111</v>
      </c>
      <c r="C37" s="467">
        <v>46017</v>
      </c>
      <c r="D37" s="467" t="s">
        <v>452</v>
      </c>
      <c r="E37" s="467">
        <v>45936</v>
      </c>
      <c r="F37" s="465" t="s">
        <v>112</v>
      </c>
      <c r="G37" s="468"/>
      <c r="H37" s="469">
        <v>157</v>
      </c>
      <c r="I37" s="661" t="s">
        <v>366</v>
      </c>
      <c r="J37" s="469" t="s">
        <v>56</v>
      </c>
      <c r="K37" s="469"/>
      <c r="L37" s="467">
        <v>45943</v>
      </c>
      <c r="M37" s="469" t="s">
        <v>57</v>
      </c>
      <c r="N37" s="542">
        <v>64059.5</v>
      </c>
      <c r="O37" s="469" t="s">
        <v>57</v>
      </c>
      <c r="P37" s="626" t="s">
        <v>367</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459</v>
      </c>
    </row>
    <row r="38" spans="1:30" ht="39.75" customHeight="1">
      <c r="A38" s="1149" t="s">
        <v>460</v>
      </c>
      <c r="B38" s="1150" t="s">
        <v>311</v>
      </c>
      <c r="C38" s="375">
        <v>46019</v>
      </c>
      <c r="D38" s="975" t="s">
        <v>131</v>
      </c>
      <c r="E38" s="375">
        <v>45959</v>
      </c>
      <c r="F38" s="374" t="s">
        <v>312</v>
      </c>
      <c r="G38" s="671" t="s">
        <v>461</v>
      </c>
      <c r="H38" s="1065">
        <v>89</v>
      </c>
      <c r="I38" s="976" t="s">
        <v>366</v>
      </c>
      <c r="J38" s="977" t="s">
        <v>63</v>
      </c>
      <c r="K38" s="469"/>
      <c r="L38" s="375">
        <v>45964</v>
      </c>
      <c r="M38" s="977" t="s">
        <v>57</v>
      </c>
      <c r="N38" s="1066">
        <v>62937.05</v>
      </c>
      <c r="O38" s="52" t="s">
        <v>57</v>
      </c>
      <c r="P38" s="1068" t="s">
        <v>367</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462</v>
      </c>
    </row>
    <row r="39" spans="1:30" ht="39.75" customHeight="1">
      <c r="A39" s="1084" t="s">
        <v>463</v>
      </c>
      <c r="B39" s="979" t="s">
        <v>311</v>
      </c>
      <c r="C39" s="467">
        <v>46045</v>
      </c>
      <c r="D39" s="642" t="s">
        <v>131</v>
      </c>
      <c r="E39" s="467"/>
      <c r="F39" s="465"/>
      <c r="G39" s="468"/>
      <c r="H39" s="1073">
        <v>77</v>
      </c>
      <c r="I39" s="828" t="s">
        <v>366</v>
      </c>
      <c r="J39" s="478" t="s">
        <v>63</v>
      </c>
      <c r="K39" s="1074"/>
      <c r="L39" s="476" t="s">
        <v>52</v>
      </c>
      <c r="M39" s="478" t="s">
        <v>57</v>
      </c>
      <c r="N39" s="1075">
        <v>4046.5</v>
      </c>
      <c r="O39" s="478" t="s">
        <v>57</v>
      </c>
      <c r="P39" s="626" t="s">
        <v>367</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464</v>
      </c>
    </row>
    <row r="40" spans="1:30" ht="39.75" customHeight="1">
      <c r="A40" s="1070" t="s">
        <v>465</v>
      </c>
      <c r="B40" s="979" t="s">
        <v>311</v>
      </c>
      <c r="C40" s="467">
        <v>46045</v>
      </c>
      <c r="D40" s="642" t="s">
        <v>131</v>
      </c>
      <c r="E40" s="467"/>
      <c r="F40" s="465"/>
      <c r="G40" s="468"/>
      <c r="H40" s="1073">
        <v>85</v>
      </c>
      <c r="I40" s="828" t="s">
        <v>366</v>
      </c>
      <c r="J40" s="478" t="s">
        <v>63</v>
      </c>
      <c r="K40" s="1074"/>
      <c r="L40" s="476" t="s">
        <v>52</v>
      </c>
      <c r="M40" s="478" t="s">
        <v>57</v>
      </c>
      <c r="N40" s="1075">
        <v>29180.45</v>
      </c>
      <c r="O40" s="478" t="s">
        <v>57</v>
      </c>
      <c r="P40" s="626" t="s">
        <v>367</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466</v>
      </c>
    </row>
    <row r="41" spans="1:30" ht="39.75" customHeight="1">
      <c r="A41" s="1085" t="s">
        <v>467</v>
      </c>
      <c r="B41" s="979" t="s">
        <v>311</v>
      </c>
      <c r="C41" s="467">
        <v>46045</v>
      </c>
      <c r="D41" s="642" t="s">
        <v>131</v>
      </c>
      <c r="E41" s="467"/>
      <c r="F41" s="465"/>
      <c r="G41" s="468"/>
      <c r="H41" s="1073">
        <v>62</v>
      </c>
      <c r="I41" s="828" t="s">
        <v>366</v>
      </c>
      <c r="J41" s="478" t="s">
        <v>63</v>
      </c>
      <c r="K41" s="1074"/>
      <c r="L41" s="476" t="s">
        <v>52</v>
      </c>
      <c r="M41" s="478" t="s">
        <v>57</v>
      </c>
      <c r="N41" s="1075">
        <v>170</v>
      </c>
      <c r="O41" s="478" t="s">
        <v>57</v>
      </c>
      <c r="P41" s="712" t="s">
        <v>367</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468</v>
      </c>
    </row>
    <row r="42" spans="1:30" ht="39.75" customHeight="1">
      <c r="A42" s="1070" t="s">
        <v>469</v>
      </c>
      <c r="B42" s="979" t="s">
        <v>311</v>
      </c>
      <c r="C42" s="467">
        <v>46045</v>
      </c>
      <c r="D42" s="642" t="s">
        <v>131</v>
      </c>
      <c r="E42" s="467">
        <v>45959</v>
      </c>
      <c r="F42" s="465" t="s">
        <v>312</v>
      </c>
      <c r="G42" s="468" t="s">
        <v>470</v>
      </c>
      <c r="H42" s="1073">
        <v>78</v>
      </c>
      <c r="I42" s="828" t="s">
        <v>366</v>
      </c>
      <c r="J42" s="478" t="s">
        <v>63</v>
      </c>
      <c r="K42" s="1074"/>
      <c r="L42" s="467">
        <v>45964</v>
      </c>
      <c r="M42" s="478" t="s">
        <v>57</v>
      </c>
      <c r="N42" s="1075">
        <v>170</v>
      </c>
      <c r="O42" s="478" t="s">
        <v>57</v>
      </c>
      <c r="P42" s="626" t="s">
        <v>367</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471</v>
      </c>
    </row>
    <row r="43" spans="1:30" ht="39.75" customHeight="1">
      <c r="A43" s="1069" t="s">
        <v>472</v>
      </c>
      <c r="B43" s="450" t="s">
        <v>311</v>
      </c>
      <c r="C43" s="375">
        <v>46045</v>
      </c>
      <c r="D43" s="975" t="s">
        <v>131</v>
      </c>
      <c r="E43" s="375"/>
      <c r="F43" s="374"/>
      <c r="G43" s="637"/>
      <c r="H43" s="1065">
        <v>80</v>
      </c>
      <c r="I43" s="976" t="s">
        <v>366</v>
      </c>
      <c r="J43" s="977" t="s">
        <v>63</v>
      </c>
      <c r="K43" s="1007"/>
      <c r="L43" s="476" t="s">
        <v>52</v>
      </c>
      <c r="M43" s="977" t="s">
        <v>57</v>
      </c>
      <c r="N43" s="1066">
        <v>25891</v>
      </c>
      <c r="O43" s="52" t="s">
        <v>57</v>
      </c>
      <c r="P43" s="1068" t="s">
        <v>367</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468</v>
      </c>
    </row>
    <row r="44" spans="1:30" ht="39.75" customHeight="1">
      <c r="A44" s="1069" t="s">
        <v>473</v>
      </c>
      <c r="B44" s="450" t="s">
        <v>311</v>
      </c>
      <c r="C44" s="375">
        <v>46045</v>
      </c>
      <c r="D44" s="975" t="s">
        <v>131</v>
      </c>
      <c r="E44" s="375"/>
      <c r="F44" s="374"/>
      <c r="G44" s="637"/>
      <c r="H44" s="1065">
        <v>83</v>
      </c>
      <c r="I44" s="976" t="s">
        <v>366</v>
      </c>
      <c r="J44" s="977" t="s">
        <v>63</v>
      </c>
      <c r="K44" s="1007"/>
      <c r="L44" s="476" t="s">
        <v>52</v>
      </c>
      <c r="M44" s="977" t="s">
        <v>57</v>
      </c>
      <c r="N44" s="1066">
        <v>170</v>
      </c>
      <c r="O44" s="52" t="s">
        <v>57</v>
      </c>
      <c r="P44" s="1068" t="s">
        <v>367</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474</v>
      </c>
    </row>
    <row r="45" spans="1:30" ht="39.75" customHeight="1">
      <c r="A45" s="1069" t="s">
        <v>475</v>
      </c>
      <c r="B45" s="450" t="s">
        <v>311</v>
      </c>
      <c r="C45" s="375">
        <v>46045</v>
      </c>
      <c r="D45" s="975" t="s">
        <v>131</v>
      </c>
      <c r="E45" s="375"/>
      <c r="F45" s="374"/>
      <c r="G45" s="637"/>
      <c r="H45" s="1065">
        <v>85</v>
      </c>
      <c r="I45" s="976" t="s">
        <v>366</v>
      </c>
      <c r="J45" s="977" t="s">
        <v>63</v>
      </c>
      <c r="K45" s="1007"/>
      <c r="L45" s="476" t="s">
        <v>52</v>
      </c>
      <c r="M45" s="977" t="s">
        <v>57</v>
      </c>
      <c r="N45" s="1066">
        <v>30788</v>
      </c>
      <c r="O45" s="52" t="s">
        <v>57</v>
      </c>
      <c r="P45" s="1068" t="s">
        <v>367</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476</v>
      </c>
    </row>
    <row r="46" spans="1:30" ht="39.75" customHeight="1">
      <c r="A46" s="1069" t="s">
        <v>477</v>
      </c>
      <c r="B46" s="450" t="s">
        <v>311</v>
      </c>
      <c r="C46" s="375">
        <v>46045</v>
      </c>
      <c r="D46" s="975" t="s">
        <v>131</v>
      </c>
      <c r="E46" s="375"/>
      <c r="F46" s="374"/>
      <c r="G46" s="637"/>
      <c r="H46" s="1065">
        <v>88</v>
      </c>
      <c r="I46" s="976" t="s">
        <v>366</v>
      </c>
      <c r="J46" s="977" t="s">
        <v>63</v>
      </c>
      <c r="K46" s="1007"/>
      <c r="L46" s="476" t="s">
        <v>52</v>
      </c>
      <c r="M46" s="977" t="s">
        <v>57</v>
      </c>
      <c r="N46" s="1066">
        <v>5668</v>
      </c>
      <c r="O46" s="52" t="s">
        <v>57</v>
      </c>
      <c r="P46" s="1068" t="s">
        <v>367</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468</v>
      </c>
    </row>
    <row r="47" spans="1:30" ht="39.75" customHeight="1">
      <c r="A47" s="1069" t="s">
        <v>478</v>
      </c>
      <c r="B47" s="450" t="s">
        <v>311</v>
      </c>
      <c r="C47" s="375">
        <v>46045</v>
      </c>
      <c r="D47" s="975" t="s">
        <v>131</v>
      </c>
      <c r="E47" s="375"/>
      <c r="F47" s="374"/>
      <c r="G47" s="637"/>
      <c r="H47" s="1065">
        <v>30</v>
      </c>
      <c r="I47" s="976" t="s">
        <v>366</v>
      </c>
      <c r="J47" s="977" t="s">
        <v>63</v>
      </c>
      <c r="K47" s="1007"/>
      <c r="L47" s="476" t="s">
        <v>52</v>
      </c>
      <c r="M47" s="977" t="s">
        <v>57</v>
      </c>
      <c r="N47" s="1066">
        <v>170</v>
      </c>
      <c r="O47" s="52" t="s">
        <v>57</v>
      </c>
      <c r="P47" s="1068" t="s">
        <v>367</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468</v>
      </c>
    </row>
    <row r="48" spans="1:30" ht="39.75" customHeight="1">
      <c r="A48" s="1069" t="s">
        <v>479</v>
      </c>
      <c r="B48" s="450" t="s">
        <v>311</v>
      </c>
      <c r="C48" s="375">
        <v>46045</v>
      </c>
      <c r="D48" s="975" t="s">
        <v>131</v>
      </c>
      <c r="E48" s="375">
        <v>45959</v>
      </c>
      <c r="F48" s="374" t="s">
        <v>162</v>
      </c>
      <c r="G48" s="637"/>
      <c r="H48" s="376">
        <v>89</v>
      </c>
      <c r="I48" s="976" t="s">
        <v>366</v>
      </c>
      <c r="J48" s="977" t="s">
        <v>63</v>
      </c>
      <c r="K48" s="650"/>
      <c r="L48" s="51">
        <v>45964</v>
      </c>
      <c r="M48" s="52" t="s">
        <v>57</v>
      </c>
      <c r="N48" s="838">
        <v>84750.5</v>
      </c>
      <c r="O48" s="52" t="s">
        <v>57</v>
      </c>
      <c r="P48" s="1068" t="s">
        <v>367</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480</v>
      </c>
    </row>
    <row r="49" spans="1:30" ht="39.75" customHeight="1">
      <c r="A49" s="1069" t="s">
        <v>481</v>
      </c>
      <c r="B49" s="450" t="s">
        <v>311</v>
      </c>
      <c r="C49" s="375">
        <v>45989</v>
      </c>
      <c r="D49" s="975" t="s">
        <v>131</v>
      </c>
      <c r="E49" s="375">
        <v>45959</v>
      </c>
      <c r="F49" s="374" t="s">
        <v>162</v>
      </c>
      <c r="G49" s="637" t="s">
        <v>482</v>
      </c>
      <c r="H49" s="376">
        <v>59</v>
      </c>
      <c r="I49" s="976" t="s">
        <v>366</v>
      </c>
      <c r="J49" s="977" t="s">
        <v>63</v>
      </c>
      <c r="K49" s="650"/>
      <c r="L49" s="51">
        <v>45964</v>
      </c>
      <c r="M49" s="977" t="s">
        <v>57</v>
      </c>
      <c r="N49" s="838">
        <v>65066.5</v>
      </c>
      <c r="O49" s="52" t="s">
        <v>57</v>
      </c>
      <c r="P49" s="1068" t="s">
        <v>367</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483</v>
      </c>
    </row>
    <row r="50" spans="1:30" ht="39.75" customHeight="1">
      <c r="A50" s="1069" t="s">
        <v>484</v>
      </c>
      <c r="B50" s="450" t="s">
        <v>311</v>
      </c>
      <c r="C50" s="375">
        <v>46010</v>
      </c>
      <c r="D50" s="975" t="s">
        <v>131</v>
      </c>
      <c r="E50" s="375">
        <v>45959</v>
      </c>
      <c r="F50" s="374" t="s">
        <v>162</v>
      </c>
      <c r="G50" s="637" t="s">
        <v>485</v>
      </c>
      <c r="H50" s="376">
        <v>89</v>
      </c>
      <c r="I50" s="976" t="s">
        <v>366</v>
      </c>
      <c r="J50" s="977" t="s">
        <v>63</v>
      </c>
      <c r="K50" s="650"/>
      <c r="L50" s="51">
        <v>45964</v>
      </c>
      <c r="M50" s="977" t="s">
        <v>57</v>
      </c>
      <c r="N50" s="838">
        <v>81602</v>
      </c>
      <c r="O50" s="52" t="s">
        <v>57</v>
      </c>
      <c r="P50" s="1068" t="s">
        <v>367</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486</v>
      </c>
    </row>
    <row r="51" spans="1:30" ht="39.75" customHeight="1">
      <c r="A51" s="1069" t="s">
        <v>487</v>
      </c>
      <c r="B51" s="450" t="s">
        <v>311</v>
      </c>
      <c r="C51" s="375">
        <v>46045</v>
      </c>
      <c r="D51" s="975" t="s">
        <v>131</v>
      </c>
      <c r="E51" s="375">
        <v>45959</v>
      </c>
      <c r="F51" s="374" t="s">
        <v>162</v>
      </c>
      <c r="G51" s="637"/>
      <c r="H51" s="376">
        <v>88</v>
      </c>
      <c r="I51" s="976" t="s">
        <v>366</v>
      </c>
      <c r="J51" s="977" t="s">
        <v>63</v>
      </c>
      <c r="K51" s="650"/>
      <c r="L51" s="51">
        <v>45961</v>
      </c>
      <c r="M51" s="52" t="s">
        <v>57</v>
      </c>
      <c r="N51" s="838">
        <v>88231.9</v>
      </c>
      <c r="O51" s="52" t="s">
        <v>57</v>
      </c>
      <c r="P51" s="1068" t="s">
        <v>367</v>
      </c>
      <c r="Q51" s="54">
        <v>45961</v>
      </c>
      <c r="R51" s="651"/>
      <c r="S51" s="651"/>
      <c r="T51" s="651"/>
      <c r="U51" s="651"/>
      <c r="V51" s="106">
        <v>7274</v>
      </c>
      <c r="W51" s="1010">
        <v>7274</v>
      </c>
      <c r="X51" s="106">
        <f t="shared" si="20"/>
        <v>0</v>
      </c>
      <c r="Y51" s="870">
        <f t="shared" si="21"/>
        <v>1</v>
      </c>
      <c r="Z51" s="124">
        <v>45968</v>
      </c>
      <c r="AA51" s="355">
        <v>1</v>
      </c>
      <c r="AB51" s="355">
        <v>0</v>
      </c>
      <c r="AC51" s="41">
        <v>0</v>
      </c>
      <c r="AD51" s="436" t="s">
        <v>488</v>
      </c>
    </row>
    <row r="52" spans="1:30" ht="39.75" customHeight="1">
      <c r="A52" s="1069" t="s">
        <v>489</v>
      </c>
      <c r="B52" s="450" t="s">
        <v>311</v>
      </c>
      <c r="C52" s="375">
        <v>45989</v>
      </c>
      <c r="D52" s="975" t="s">
        <v>131</v>
      </c>
      <c r="E52" s="375">
        <v>45959</v>
      </c>
      <c r="F52" s="374" t="s">
        <v>162</v>
      </c>
      <c r="G52" s="637" t="s">
        <v>490</v>
      </c>
      <c r="H52" s="376">
        <v>87</v>
      </c>
      <c r="I52" s="976" t="s">
        <v>366</v>
      </c>
      <c r="J52" s="977" t="s">
        <v>63</v>
      </c>
      <c r="K52" s="650"/>
      <c r="L52" s="51">
        <v>45964</v>
      </c>
      <c r="M52" s="977" t="s">
        <v>57</v>
      </c>
      <c r="N52" s="838">
        <v>93578</v>
      </c>
      <c r="O52" s="52" t="s">
        <v>57</v>
      </c>
      <c r="P52" s="1068" t="s">
        <v>367</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491</v>
      </c>
    </row>
    <row r="53" spans="1:30" ht="39.75" customHeight="1">
      <c r="A53" s="1069" t="s">
        <v>492</v>
      </c>
      <c r="B53" s="450" t="s">
        <v>311</v>
      </c>
      <c r="C53" s="375">
        <v>46045</v>
      </c>
      <c r="D53" s="975" t="s">
        <v>131</v>
      </c>
      <c r="E53" s="375">
        <v>45959</v>
      </c>
      <c r="F53" s="374" t="s">
        <v>162</v>
      </c>
      <c r="G53" s="637"/>
      <c r="H53" s="376">
        <v>90</v>
      </c>
      <c r="I53" s="976" t="s">
        <v>366</v>
      </c>
      <c r="J53" s="977" t="s">
        <v>63</v>
      </c>
      <c r="K53" s="650"/>
      <c r="L53" s="51">
        <v>45964</v>
      </c>
      <c r="M53" s="52" t="s">
        <v>57</v>
      </c>
      <c r="N53" s="838">
        <v>84896</v>
      </c>
      <c r="O53" s="52" t="s">
        <v>57</v>
      </c>
      <c r="P53" s="1068" t="s">
        <v>367</v>
      </c>
      <c r="Q53" s="54">
        <v>45964</v>
      </c>
      <c r="R53" s="651"/>
      <c r="S53" s="651"/>
      <c r="T53" s="651"/>
      <c r="U53" s="651"/>
      <c r="V53" s="106">
        <v>7060</v>
      </c>
      <c r="W53" s="1010">
        <v>7060</v>
      </c>
      <c r="X53" s="106">
        <f t="shared" si="20"/>
        <v>0</v>
      </c>
      <c r="Y53" s="870">
        <f t="shared" si="21"/>
        <v>1</v>
      </c>
      <c r="Z53" s="124">
        <v>45973</v>
      </c>
      <c r="AA53" s="355">
        <v>0</v>
      </c>
      <c r="AB53" s="355">
        <v>0</v>
      </c>
      <c r="AC53" s="41">
        <v>0</v>
      </c>
      <c r="AD53" s="436" t="s">
        <v>493</v>
      </c>
    </row>
    <row r="54" spans="1:30" ht="39.75" customHeight="1">
      <c r="A54" s="1324" t="s">
        <v>494</v>
      </c>
      <c r="B54" s="1150" t="s">
        <v>311</v>
      </c>
      <c r="C54" s="1295">
        <v>46019</v>
      </c>
      <c r="D54" s="975" t="s">
        <v>131</v>
      </c>
      <c r="E54" s="1295">
        <v>45959</v>
      </c>
      <c r="F54" s="1296" t="s">
        <v>162</v>
      </c>
      <c r="G54" s="1296" t="s">
        <v>495</v>
      </c>
      <c r="H54" s="1297">
        <v>90</v>
      </c>
      <c r="I54" s="976" t="s">
        <v>366</v>
      </c>
      <c r="J54" s="1282" t="s">
        <v>63</v>
      </c>
      <c r="K54" s="650"/>
      <c r="L54" s="1299">
        <v>45961</v>
      </c>
      <c r="M54" s="1282" t="s">
        <v>57</v>
      </c>
      <c r="N54" s="1325">
        <v>91897</v>
      </c>
      <c r="O54" s="1301" t="s">
        <v>57</v>
      </c>
      <c r="P54" s="1326" t="s">
        <v>367</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496</v>
      </c>
    </row>
    <row r="55" spans="1:30" ht="39.75" customHeight="1">
      <c r="A55" s="1069" t="s">
        <v>497</v>
      </c>
      <c r="B55" s="450" t="s">
        <v>311</v>
      </c>
      <c r="C55" s="375">
        <v>45989</v>
      </c>
      <c r="D55" s="975" t="s">
        <v>131</v>
      </c>
      <c r="E55" s="375">
        <v>45959</v>
      </c>
      <c r="F55" s="374" t="s">
        <v>162</v>
      </c>
      <c r="G55" s="637" t="s">
        <v>498</v>
      </c>
      <c r="H55" s="376">
        <v>90</v>
      </c>
      <c r="I55" s="976" t="s">
        <v>366</v>
      </c>
      <c r="J55" s="977" t="s">
        <v>63</v>
      </c>
      <c r="K55" s="650"/>
      <c r="L55" s="51">
        <v>45964</v>
      </c>
      <c r="M55" s="977" t="s">
        <v>57</v>
      </c>
      <c r="N55" s="838">
        <v>96685</v>
      </c>
      <c r="O55" s="52" t="s">
        <v>57</v>
      </c>
      <c r="P55" s="1068" t="s">
        <v>367</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499</v>
      </c>
    </row>
    <row r="56" spans="1:30" ht="39.75" customHeight="1">
      <c r="A56" s="1324" t="s">
        <v>500</v>
      </c>
      <c r="B56" s="1150" t="s">
        <v>311</v>
      </c>
      <c r="C56" s="1295">
        <v>46019</v>
      </c>
      <c r="D56" s="975" t="s">
        <v>131</v>
      </c>
      <c r="E56" s="1295">
        <v>45959</v>
      </c>
      <c r="F56" s="1296" t="s">
        <v>162</v>
      </c>
      <c r="G56" s="1296" t="s">
        <v>501</v>
      </c>
      <c r="H56" s="1297">
        <v>90</v>
      </c>
      <c r="I56" s="976" t="s">
        <v>366</v>
      </c>
      <c r="J56" s="1282" t="s">
        <v>63</v>
      </c>
      <c r="K56" s="1298"/>
      <c r="L56" s="1299">
        <v>45964</v>
      </c>
      <c r="M56" s="1282" t="s">
        <v>57</v>
      </c>
      <c r="N56" s="1325">
        <v>85815</v>
      </c>
      <c r="O56" s="1301" t="s">
        <v>57</v>
      </c>
      <c r="P56" s="1326" t="s">
        <v>367</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502</v>
      </c>
    </row>
    <row r="57" spans="1:30" ht="39.75" customHeight="1">
      <c r="A57" s="1069" t="s">
        <v>503</v>
      </c>
      <c r="B57" s="450" t="s">
        <v>311</v>
      </c>
      <c r="C57" s="375">
        <v>46021</v>
      </c>
      <c r="D57" s="975" t="s">
        <v>131</v>
      </c>
      <c r="E57" s="375">
        <v>45959</v>
      </c>
      <c r="F57" s="374" t="s">
        <v>162</v>
      </c>
      <c r="G57" s="637" t="s">
        <v>504</v>
      </c>
      <c r="H57" s="376">
        <v>89</v>
      </c>
      <c r="I57" s="976" t="s">
        <v>366</v>
      </c>
      <c r="J57" s="977" t="s">
        <v>63</v>
      </c>
      <c r="K57" s="650"/>
      <c r="L57" s="51">
        <v>45961</v>
      </c>
      <c r="M57" s="977" t="s">
        <v>57</v>
      </c>
      <c r="N57" s="838">
        <v>83615</v>
      </c>
      <c r="O57" s="52" t="s">
        <v>57</v>
      </c>
      <c r="P57" s="1068" t="s">
        <v>367</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505</v>
      </c>
    </row>
    <row r="58" spans="1:30" ht="39.75" customHeight="1">
      <c r="A58" s="1324" t="s">
        <v>506</v>
      </c>
      <c r="B58" s="1150" t="s">
        <v>311</v>
      </c>
      <c r="C58" s="1295">
        <v>46021</v>
      </c>
      <c r="D58" s="975" t="s">
        <v>131</v>
      </c>
      <c r="E58" s="1295">
        <v>45959</v>
      </c>
      <c r="F58" s="1296" t="s">
        <v>162</v>
      </c>
      <c r="G58" s="1296" t="s">
        <v>507</v>
      </c>
      <c r="H58" s="1297">
        <v>88</v>
      </c>
      <c r="I58" s="976" t="s">
        <v>366</v>
      </c>
      <c r="J58" s="1282" t="s">
        <v>63</v>
      </c>
      <c r="K58" s="650"/>
      <c r="L58" s="1299">
        <v>45964</v>
      </c>
      <c r="M58" s="1282" t="s">
        <v>57</v>
      </c>
      <c r="N58" s="1325">
        <v>78736.5</v>
      </c>
      <c r="O58" s="1301" t="s">
        <v>57</v>
      </c>
      <c r="P58" s="1326" t="s">
        <v>367</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508</v>
      </c>
    </row>
    <row r="59" spans="1:30" ht="39.75" customHeight="1">
      <c r="A59" s="1324" t="s">
        <v>509</v>
      </c>
      <c r="B59" s="1150" t="s">
        <v>311</v>
      </c>
      <c r="C59" s="1295">
        <v>46021</v>
      </c>
      <c r="D59" s="975" t="s">
        <v>131</v>
      </c>
      <c r="E59" s="1295">
        <v>45959</v>
      </c>
      <c r="F59" s="1296" t="s">
        <v>162</v>
      </c>
      <c r="G59" s="1296" t="s">
        <v>510</v>
      </c>
      <c r="H59" s="1297">
        <v>86</v>
      </c>
      <c r="I59" s="976" t="s">
        <v>366</v>
      </c>
      <c r="J59" s="1282" t="s">
        <v>63</v>
      </c>
      <c r="K59" s="650"/>
      <c r="L59" s="1299">
        <v>45964</v>
      </c>
      <c r="M59" s="1282" t="s">
        <v>57</v>
      </c>
      <c r="N59" s="1325">
        <v>80698</v>
      </c>
      <c r="O59" s="1301" t="s">
        <v>57</v>
      </c>
      <c r="P59" s="1326" t="s">
        <v>367</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511</v>
      </c>
    </row>
    <row r="60" spans="1:30" ht="39.75" customHeight="1">
      <c r="A60" s="1324" t="s">
        <v>512</v>
      </c>
      <c r="B60" s="1150" t="s">
        <v>311</v>
      </c>
      <c r="C60" s="1295">
        <v>46021</v>
      </c>
      <c r="D60" s="975" t="s">
        <v>131</v>
      </c>
      <c r="E60" s="1295">
        <v>45959</v>
      </c>
      <c r="F60" s="1296" t="s">
        <v>162</v>
      </c>
      <c r="G60" s="1296" t="s">
        <v>513</v>
      </c>
      <c r="H60" s="1297">
        <v>85</v>
      </c>
      <c r="I60" s="976" t="s">
        <v>366</v>
      </c>
      <c r="J60" s="1282" t="s">
        <v>63</v>
      </c>
      <c r="K60" s="650"/>
      <c r="L60" s="1299">
        <v>45964</v>
      </c>
      <c r="M60" s="1282" t="s">
        <v>57</v>
      </c>
      <c r="N60" s="1325">
        <v>84770</v>
      </c>
      <c r="O60" s="1301" t="s">
        <v>57</v>
      </c>
      <c r="P60" s="1326" t="s">
        <v>367</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514</v>
      </c>
    </row>
    <row r="61" spans="1:30" ht="39.75" customHeight="1">
      <c r="A61" s="1324" t="s">
        <v>515</v>
      </c>
      <c r="B61" s="1150" t="s">
        <v>311</v>
      </c>
      <c r="C61" s="1295">
        <v>46019</v>
      </c>
      <c r="D61" s="975" t="s">
        <v>131</v>
      </c>
      <c r="E61" s="1295">
        <v>45959</v>
      </c>
      <c r="F61" s="1296" t="s">
        <v>162</v>
      </c>
      <c r="G61" s="1296" t="s">
        <v>516</v>
      </c>
      <c r="H61" s="1297">
        <v>87</v>
      </c>
      <c r="I61" s="976" t="s">
        <v>366</v>
      </c>
      <c r="J61" s="1282" t="s">
        <v>63</v>
      </c>
      <c r="K61" s="1298"/>
      <c r="L61" s="1299">
        <v>45964</v>
      </c>
      <c r="M61" s="1282" t="s">
        <v>57</v>
      </c>
      <c r="N61" s="1325">
        <v>87875</v>
      </c>
      <c r="O61" s="1301" t="s">
        <v>57</v>
      </c>
      <c r="P61" s="1326" t="s">
        <v>367</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517</v>
      </c>
    </row>
    <row r="62" spans="1:30" ht="39.75" customHeight="1">
      <c r="A62" s="1324" t="s">
        <v>518</v>
      </c>
      <c r="B62" s="1150" t="s">
        <v>311</v>
      </c>
      <c r="C62" s="1295">
        <v>46019</v>
      </c>
      <c r="D62" s="975" t="s">
        <v>131</v>
      </c>
      <c r="E62" s="1295">
        <v>45959</v>
      </c>
      <c r="F62" s="1296" t="s">
        <v>162</v>
      </c>
      <c r="G62" s="1296" t="s">
        <v>519</v>
      </c>
      <c r="H62" s="1297">
        <v>0</v>
      </c>
      <c r="I62" s="976" t="s">
        <v>366</v>
      </c>
      <c r="J62" s="1282" t="s">
        <v>63</v>
      </c>
      <c r="K62" s="1298"/>
      <c r="L62" s="1299">
        <v>45961</v>
      </c>
      <c r="M62" s="1282" t="s">
        <v>57</v>
      </c>
      <c r="N62" s="1325">
        <v>64985.65</v>
      </c>
      <c r="O62" s="1301" t="s">
        <v>57</v>
      </c>
      <c r="P62" s="1364" t="s">
        <v>367</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520</v>
      </c>
    </row>
    <row r="63" spans="1:30" ht="39.75" customHeight="1">
      <c r="A63" s="1324" t="s">
        <v>521</v>
      </c>
      <c r="B63" s="1150" t="s">
        <v>311</v>
      </c>
      <c r="C63" s="1295">
        <v>46019</v>
      </c>
      <c r="D63" s="975" t="s">
        <v>131</v>
      </c>
      <c r="E63" s="1295">
        <v>45959</v>
      </c>
      <c r="F63" s="1296" t="s">
        <v>162</v>
      </c>
      <c r="G63" s="1296" t="s">
        <v>522</v>
      </c>
      <c r="H63" s="1297">
        <v>0</v>
      </c>
      <c r="I63" s="976" t="s">
        <v>366</v>
      </c>
      <c r="J63" s="1282" t="s">
        <v>63</v>
      </c>
      <c r="K63" s="1298"/>
      <c r="L63" s="1299">
        <v>45961</v>
      </c>
      <c r="M63" s="1282" t="s">
        <v>57</v>
      </c>
      <c r="N63" s="1325">
        <v>54043.5</v>
      </c>
      <c r="O63" s="1301" t="s">
        <v>57</v>
      </c>
      <c r="P63" s="1326" t="s">
        <v>367</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523</v>
      </c>
    </row>
    <row r="64" spans="1:30" ht="39.75" customHeight="1">
      <c r="A64" s="1071" t="s">
        <v>524</v>
      </c>
      <c r="B64" s="788" t="s">
        <v>50</v>
      </c>
      <c r="C64" s="887">
        <v>45991</v>
      </c>
      <c r="D64" s="1087" t="s">
        <v>71</v>
      </c>
      <c r="E64" s="57">
        <v>45743</v>
      </c>
      <c r="F64" s="771" t="s">
        <v>61</v>
      </c>
      <c r="G64" s="789" t="s">
        <v>525</v>
      </c>
      <c r="H64" s="775">
        <v>69</v>
      </c>
      <c r="I64" s="661" t="s">
        <v>366</v>
      </c>
      <c r="J64" s="469" t="s">
        <v>63</v>
      </c>
      <c r="K64" s="903"/>
      <c r="L64" s="51">
        <v>45741</v>
      </c>
      <c r="M64" s="376" t="s">
        <v>57</v>
      </c>
      <c r="N64" s="838">
        <v>67734.5</v>
      </c>
      <c r="O64" s="376" t="s">
        <v>57</v>
      </c>
      <c r="P64" s="1068" t="s">
        <v>367</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526</v>
      </c>
    </row>
    <row r="65" spans="1:30" ht="39.75" customHeight="1">
      <c r="A65" s="1071" t="s">
        <v>527</v>
      </c>
      <c r="B65" s="770" t="s">
        <v>50</v>
      </c>
      <c r="C65" s="887">
        <v>45991</v>
      </c>
      <c r="D65" s="1072" t="s">
        <v>528</v>
      </c>
      <c r="E65" s="772">
        <v>45735</v>
      </c>
      <c r="F65" s="771" t="s">
        <v>61</v>
      </c>
      <c r="G65" s="774" t="s">
        <v>529</v>
      </c>
      <c r="H65" s="775">
        <v>70</v>
      </c>
      <c r="I65" s="470" t="s">
        <v>366</v>
      </c>
      <c r="J65" s="478" t="s">
        <v>63</v>
      </c>
      <c r="K65" s="52"/>
      <c r="L65" s="375">
        <v>45716</v>
      </c>
      <c r="M65" s="52" t="s">
        <v>57</v>
      </c>
      <c r="N65" s="1076">
        <v>56262.5</v>
      </c>
      <c r="O65" s="52" t="s">
        <v>57</v>
      </c>
      <c r="P65" s="1068" t="s">
        <v>367</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530</v>
      </c>
    </row>
    <row r="66" spans="1:30" ht="39.75" customHeight="1">
      <c r="A66" s="926" t="s">
        <v>531</v>
      </c>
      <c r="B66" s="823" t="s">
        <v>50</v>
      </c>
      <c r="C66" s="467">
        <v>45991</v>
      </c>
      <c r="D66" s="467" t="s">
        <v>71</v>
      </c>
      <c r="E66" s="476">
        <v>45748</v>
      </c>
      <c r="F66" s="475" t="s">
        <v>61</v>
      </c>
      <c r="G66" s="824" t="s">
        <v>532</v>
      </c>
      <c r="H66" s="478">
        <v>0</v>
      </c>
      <c r="I66" s="478" t="s">
        <v>366</v>
      </c>
      <c r="J66" s="469" t="s">
        <v>63</v>
      </c>
      <c r="K66" s="825"/>
      <c r="L66" s="476">
        <v>45741</v>
      </c>
      <c r="M66" s="469" t="s">
        <v>57</v>
      </c>
      <c r="N66" s="543">
        <v>17203.45</v>
      </c>
      <c r="O66" s="469" t="s">
        <v>57</v>
      </c>
      <c r="P66" s="974" t="s">
        <v>367</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533</v>
      </c>
    </row>
    <row r="67" spans="1:30" ht="39.75" customHeight="1">
      <c r="A67" s="1071" t="s">
        <v>534</v>
      </c>
      <c r="B67" s="788" t="s">
        <v>50</v>
      </c>
      <c r="C67" s="887">
        <v>45991</v>
      </c>
      <c r="D67" s="1087" t="s">
        <v>71</v>
      </c>
      <c r="E67" s="57">
        <v>45779</v>
      </c>
      <c r="F67" s="771" t="s">
        <v>61</v>
      </c>
      <c r="G67" s="789" t="s">
        <v>535</v>
      </c>
      <c r="H67" s="775">
        <v>0</v>
      </c>
      <c r="I67" s="478" t="s">
        <v>366</v>
      </c>
      <c r="J67" s="469" t="s">
        <v>63</v>
      </c>
      <c r="K67" s="903"/>
      <c r="L67" s="51">
        <v>45742</v>
      </c>
      <c r="M67" s="909" t="s">
        <v>57</v>
      </c>
      <c r="N67" s="1076">
        <v>23800.25</v>
      </c>
      <c r="O67" s="376" t="s">
        <v>57</v>
      </c>
      <c r="P67" s="1068" t="s">
        <v>367</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536</v>
      </c>
    </row>
    <row r="68" spans="1:30" ht="39.75" customHeight="1">
      <c r="A68" s="1071" t="s">
        <v>537</v>
      </c>
      <c r="B68" s="788" t="s">
        <v>50</v>
      </c>
      <c r="C68" s="887">
        <v>46008</v>
      </c>
      <c r="D68" s="1087" t="s">
        <v>538</v>
      </c>
      <c r="E68" s="57">
        <v>45938</v>
      </c>
      <c r="F68" s="771" t="s">
        <v>539</v>
      </c>
      <c r="G68" s="789"/>
      <c r="H68" s="775">
        <v>193</v>
      </c>
      <c r="I68" s="661" t="s">
        <v>366</v>
      </c>
      <c r="J68" s="469" t="s">
        <v>56</v>
      </c>
      <c r="K68" s="96"/>
      <c r="L68" s="51" t="s">
        <v>52</v>
      </c>
      <c r="M68" s="977" t="s">
        <v>57</v>
      </c>
      <c r="N68" s="1076">
        <v>86136</v>
      </c>
      <c r="O68" s="52" t="s">
        <v>57</v>
      </c>
      <c r="P68" s="1068" t="s">
        <v>367</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540</v>
      </c>
      <c r="B69" s="823" t="s">
        <v>50</v>
      </c>
      <c r="C69" s="1204">
        <v>46008</v>
      </c>
      <c r="D69" s="1204" t="s">
        <v>541</v>
      </c>
      <c r="E69" s="1224">
        <v>45958</v>
      </c>
      <c r="F69" s="1225" t="s">
        <v>539</v>
      </c>
      <c r="G69" s="1225" t="s">
        <v>542</v>
      </c>
      <c r="H69" s="1226">
        <v>517</v>
      </c>
      <c r="I69" s="661" t="s">
        <v>543</v>
      </c>
      <c r="J69" s="1206" t="s">
        <v>56</v>
      </c>
      <c r="K69" s="1251"/>
      <c r="L69" s="1224">
        <v>45964</v>
      </c>
      <c r="M69" s="1226" t="s">
        <v>57</v>
      </c>
      <c r="N69" s="1237">
        <v>215088</v>
      </c>
      <c r="O69" s="1226" t="s">
        <v>57</v>
      </c>
      <c r="P69" s="1278" t="s">
        <v>367</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544</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69"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69 Q67: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8"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545</v>
      </c>
      <c r="B2" s="830" t="s">
        <v>204</v>
      </c>
      <c r="C2" s="467">
        <v>45960</v>
      </c>
      <c r="D2" s="467" t="s">
        <v>218</v>
      </c>
      <c r="E2" s="467">
        <v>45852</v>
      </c>
      <c r="F2" s="642" t="s">
        <v>219</v>
      </c>
      <c r="G2" s="682" t="s">
        <v>546</v>
      </c>
      <c r="H2" s="469">
        <v>0</v>
      </c>
      <c r="I2" s="469" t="s">
        <v>366</v>
      </c>
      <c r="J2" s="469" t="s">
        <v>63</v>
      </c>
      <c r="K2" s="469"/>
      <c r="L2" s="467">
        <v>45852</v>
      </c>
      <c r="M2" s="469" t="s">
        <v>57</v>
      </c>
      <c r="N2" s="542">
        <v>42837.2</v>
      </c>
      <c r="O2" s="469" t="s">
        <v>57</v>
      </c>
      <c r="P2" s="806" t="s">
        <v>367</v>
      </c>
      <c r="Q2" s="471">
        <v>45852</v>
      </c>
      <c r="R2" s="869"/>
      <c r="S2" s="869"/>
      <c r="T2" s="869"/>
      <c r="U2" s="87" t="s">
        <v>547</v>
      </c>
      <c r="V2" s="490">
        <v>3432</v>
      </c>
      <c r="W2" s="741">
        <v>3519</v>
      </c>
      <c r="X2" s="106">
        <f>SUM(V2-W2)</f>
        <v>-87</v>
      </c>
      <c r="Y2" s="657">
        <f>IFERROR($W2/$V2, 0)</f>
        <v>1.0253496503496504</v>
      </c>
      <c r="Z2" s="678">
        <v>45866</v>
      </c>
      <c r="AA2" s="355">
        <v>1</v>
      </c>
      <c r="AB2" s="355">
        <v>1</v>
      </c>
      <c r="AC2" s="1002">
        <v>0</v>
      </c>
      <c r="AD2" s="541"/>
    </row>
    <row r="3" spans="1:30" ht="39.75" customHeight="1">
      <c r="A3" s="842" t="s">
        <v>548</v>
      </c>
      <c r="B3" s="491" t="s">
        <v>204</v>
      </c>
      <c r="C3" s="467">
        <v>45868</v>
      </c>
      <c r="D3" s="475" t="s">
        <v>549</v>
      </c>
      <c r="E3" s="476">
        <v>45716</v>
      </c>
      <c r="F3" s="475" t="s">
        <v>219</v>
      </c>
      <c r="G3" s="597" t="s">
        <v>550</v>
      </c>
      <c r="H3" s="478">
        <v>0</v>
      </c>
      <c r="I3" s="483" t="s">
        <v>366</v>
      </c>
      <c r="J3" s="478" t="s">
        <v>63</v>
      </c>
      <c r="K3" s="487"/>
      <c r="L3" s="467">
        <v>45716</v>
      </c>
      <c r="M3" s="478" t="s">
        <v>57</v>
      </c>
      <c r="N3" s="543">
        <v>64932.55</v>
      </c>
      <c r="O3" s="478" t="s">
        <v>57</v>
      </c>
      <c r="P3" s="806" t="s">
        <v>367</v>
      </c>
      <c r="Q3" s="479">
        <v>45721</v>
      </c>
      <c r="R3" s="54"/>
      <c r="S3" s="54"/>
      <c r="T3" s="54"/>
      <c r="U3" s="87" t="s">
        <v>547</v>
      </c>
      <c r="V3" s="1101">
        <v>5151</v>
      </c>
      <c r="W3" s="742">
        <v>5207</v>
      </c>
      <c r="X3" s="106">
        <f>SUM(V3-W3)</f>
        <v>-56</v>
      </c>
      <c r="Y3" s="22">
        <f>IFERROR($W3/$V3, 0)</f>
        <v>1.0108716754028344</v>
      </c>
      <c r="Z3" s="678">
        <v>45748</v>
      </c>
      <c r="AA3" s="355">
        <v>1</v>
      </c>
      <c r="AB3" s="355">
        <v>1</v>
      </c>
      <c r="AC3" s="41">
        <v>0</v>
      </c>
      <c r="AD3" s="871"/>
    </row>
    <row r="4" spans="1:30" ht="39.75" customHeight="1">
      <c r="A4" s="878" t="s">
        <v>551</v>
      </c>
      <c r="B4" s="491" t="s">
        <v>204</v>
      </c>
      <c r="C4" s="467">
        <v>45991</v>
      </c>
      <c r="D4" s="476" t="s">
        <v>387</v>
      </c>
      <c r="E4" s="428">
        <v>45707</v>
      </c>
      <c r="F4" s="475" t="s">
        <v>219</v>
      </c>
      <c r="G4" s="492" t="s">
        <v>552</v>
      </c>
      <c r="H4" s="483">
        <v>0</v>
      </c>
      <c r="I4" s="483" t="s">
        <v>366</v>
      </c>
      <c r="J4" s="483" t="s">
        <v>63</v>
      </c>
      <c r="K4" s="483"/>
      <c r="L4" s="476">
        <v>45708</v>
      </c>
      <c r="M4" s="483" t="s">
        <v>57</v>
      </c>
      <c r="N4" s="544">
        <v>87944.4</v>
      </c>
      <c r="O4" s="483" t="s">
        <v>57</v>
      </c>
      <c r="P4" s="806" t="s">
        <v>367</v>
      </c>
      <c r="Q4" s="479">
        <v>45709</v>
      </c>
      <c r="R4" s="1102"/>
      <c r="S4" s="1102"/>
      <c r="T4" s="1102"/>
      <c r="U4" s="1103" t="s">
        <v>547</v>
      </c>
      <c r="V4" s="493">
        <v>7008</v>
      </c>
      <c r="W4" s="741">
        <v>7258</v>
      </c>
      <c r="X4" s="106">
        <f t="shared" ref="X4" si="0">SUM(V4-W4)</f>
        <v>-250</v>
      </c>
      <c r="Y4" s="22">
        <f t="shared" ref="Y4" si="1">IFERROR($W4/$V4, 0)</f>
        <v>1.0356735159817352</v>
      </c>
      <c r="Z4" s="678">
        <v>45747</v>
      </c>
      <c r="AA4" s="473">
        <v>1</v>
      </c>
      <c r="AB4" s="473">
        <v>1</v>
      </c>
      <c r="AC4" s="815">
        <v>0</v>
      </c>
      <c r="AD4" s="872" t="s">
        <v>553</v>
      </c>
    </row>
    <row r="5" spans="1:30" ht="39.75" customHeight="1">
      <c r="A5" s="842" t="s">
        <v>554</v>
      </c>
      <c r="B5" s="830" t="s">
        <v>204</v>
      </c>
      <c r="C5" s="476">
        <v>45807</v>
      </c>
      <c r="D5" s="465" t="s">
        <v>549</v>
      </c>
      <c r="E5" s="475" t="s">
        <v>52</v>
      </c>
      <c r="F5" s="465" t="s">
        <v>219</v>
      </c>
      <c r="G5" s="824" t="s">
        <v>555</v>
      </c>
      <c r="H5" s="469">
        <v>84</v>
      </c>
      <c r="I5" s="828" t="s">
        <v>366</v>
      </c>
      <c r="J5" s="478" t="s">
        <v>63</v>
      </c>
      <c r="K5" s="843"/>
      <c r="L5" s="467">
        <v>45716</v>
      </c>
      <c r="M5" s="478" t="s">
        <v>57</v>
      </c>
      <c r="N5" s="542">
        <v>2812.95</v>
      </c>
      <c r="O5" s="478" t="s">
        <v>57</v>
      </c>
      <c r="P5" s="806" t="s">
        <v>367</v>
      </c>
      <c r="Q5" s="479">
        <v>45792</v>
      </c>
      <c r="R5" s="479">
        <v>45947</v>
      </c>
      <c r="S5" s="352"/>
      <c r="T5" s="352"/>
      <c r="U5" s="486" t="s">
        <v>547</v>
      </c>
      <c r="V5" s="41">
        <v>285</v>
      </c>
      <c r="W5" s="844">
        <v>285</v>
      </c>
      <c r="X5" s="472">
        <f>SUM(V5-W5)</f>
        <v>0</v>
      </c>
      <c r="Y5" s="662">
        <f>IFERROR($W5/$V5, 0)</f>
        <v>1</v>
      </c>
      <c r="Z5" s="479">
        <v>45798</v>
      </c>
      <c r="AA5" s="662">
        <v>1</v>
      </c>
      <c r="AB5" s="662">
        <v>1</v>
      </c>
      <c r="AC5" s="472">
        <v>3451</v>
      </c>
      <c r="AD5" s="664"/>
    </row>
    <row r="6" spans="1:30" ht="39.75" customHeight="1">
      <c r="A6" s="929" t="s">
        <v>556</v>
      </c>
      <c r="B6" s="491" t="s">
        <v>204</v>
      </c>
      <c r="C6" s="467">
        <v>45991</v>
      </c>
      <c r="D6" s="475" t="s">
        <v>557</v>
      </c>
      <c r="E6" s="476">
        <v>45716</v>
      </c>
      <c r="F6" s="475" t="s">
        <v>205</v>
      </c>
      <c r="G6" s="477" t="s">
        <v>558</v>
      </c>
      <c r="H6" s="478">
        <v>31</v>
      </c>
      <c r="I6" s="483" t="s">
        <v>366</v>
      </c>
      <c r="J6" s="478" t="s">
        <v>63</v>
      </c>
      <c r="K6" s="487"/>
      <c r="L6" s="467">
        <v>45716</v>
      </c>
      <c r="M6" s="478" t="s">
        <v>57</v>
      </c>
      <c r="N6" s="543">
        <v>28777</v>
      </c>
      <c r="O6" s="478" t="s">
        <v>57</v>
      </c>
      <c r="P6" s="806" t="s">
        <v>367</v>
      </c>
      <c r="Q6" s="479">
        <v>45716</v>
      </c>
      <c r="R6" s="479">
        <v>45992</v>
      </c>
      <c r="S6" s="479"/>
      <c r="T6" s="479"/>
      <c r="U6" s="486" t="s">
        <v>547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559</v>
      </c>
      <c r="B7" s="491" t="s">
        <v>204</v>
      </c>
      <c r="C7" s="467">
        <v>45991</v>
      </c>
      <c r="D7" s="475" t="s">
        <v>387</v>
      </c>
      <c r="E7" s="476">
        <v>45866</v>
      </c>
      <c r="F7" s="475" t="s">
        <v>219</v>
      </c>
      <c r="G7" s="477" t="s">
        <v>560</v>
      </c>
      <c r="H7" s="478">
        <v>0</v>
      </c>
      <c r="I7" s="483" t="s">
        <v>366</v>
      </c>
      <c r="J7" s="478" t="s">
        <v>63</v>
      </c>
      <c r="K7" s="487"/>
      <c r="L7" s="476">
        <v>45863</v>
      </c>
      <c r="M7" s="478" t="s">
        <v>57</v>
      </c>
      <c r="N7" s="543">
        <v>143407.25</v>
      </c>
      <c r="O7" s="478" t="s">
        <v>57</v>
      </c>
      <c r="P7" s="806" t="s">
        <v>367</v>
      </c>
      <c r="Q7" s="479">
        <v>45863</v>
      </c>
      <c r="R7" s="479"/>
      <c r="S7" s="479"/>
      <c r="T7" s="479"/>
      <c r="U7" s="486" t="s">
        <v>547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561</v>
      </c>
      <c r="B8" s="491" t="s">
        <v>204</v>
      </c>
      <c r="C8" s="467">
        <v>45991</v>
      </c>
      <c r="D8" s="475" t="s">
        <v>71</v>
      </c>
      <c r="E8" s="476">
        <v>45880</v>
      </c>
      <c r="F8" s="475" t="s">
        <v>205</v>
      </c>
      <c r="G8" s="477" t="s">
        <v>562</v>
      </c>
      <c r="H8" s="478">
        <v>0</v>
      </c>
      <c r="I8" s="483" t="s">
        <v>366</v>
      </c>
      <c r="J8" s="478" t="s">
        <v>63</v>
      </c>
      <c r="K8" s="487"/>
      <c r="L8" s="476">
        <v>45881</v>
      </c>
      <c r="M8" s="478" t="s">
        <v>57</v>
      </c>
      <c r="N8" s="543">
        <v>4815.6499999999996</v>
      </c>
      <c r="O8" s="478" t="s">
        <v>57</v>
      </c>
      <c r="P8" s="806" t="s">
        <v>367</v>
      </c>
      <c r="Q8" s="479">
        <v>45881</v>
      </c>
      <c r="R8" s="479">
        <v>45947</v>
      </c>
      <c r="S8" s="479"/>
      <c r="T8" s="479"/>
      <c r="U8" s="486" t="s">
        <v>547</v>
      </c>
      <c r="V8" s="41">
        <v>321</v>
      </c>
      <c r="W8" s="742">
        <v>367</v>
      </c>
      <c r="X8" s="106">
        <f>SUM(V8-W8)</f>
        <v>-46</v>
      </c>
      <c r="Y8" s="22">
        <f>IFERROR($W8/$V8, 0)</f>
        <v>1.1433021806853583</v>
      </c>
      <c r="Z8" s="678">
        <v>45905</v>
      </c>
      <c r="AA8" s="355">
        <v>0</v>
      </c>
      <c r="AB8" s="355">
        <v>0</v>
      </c>
      <c r="AC8" s="41">
        <v>0</v>
      </c>
      <c r="AD8" s="515"/>
    </row>
    <row r="9" spans="1:30" ht="39.75" customHeight="1">
      <c r="A9" s="939" t="s">
        <v>563</v>
      </c>
      <c r="B9" s="833" t="s">
        <v>204</v>
      </c>
      <c r="C9" s="834">
        <v>45955</v>
      </c>
      <c r="D9" s="835" t="s">
        <v>131</v>
      </c>
      <c r="E9" s="835">
        <v>45919</v>
      </c>
      <c r="F9" s="835" t="s">
        <v>230</v>
      </c>
      <c r="G9" s="836" t="s">
        <v>564</v>
      </c>
      <c r="H9" s="393">
        <v>0</v>
      </c>
      <c r="I9" s="837" t="s">
        <v>366</v>
      </c>
      <c r="J9" s="393" t="s">
        <v>63</v>
      </c>
      <c r="K9" s="393"/>
      <c r="L9" s="835" t="s">
        <v>52</v>
      </c>
      <c r="M9" s="393" t="s">
        <v>57</v>
      </c>
      <c r="N9" s="838">
        <v>4646.75</v>
      </c>
      <c r="O9" s="393" t="s">
        <v>91</v>
      </c>
      <c r="P9" s="913" t="s">
        <v>367</v>
      </c>
      <c r="Q9" s="598"/>
      <c r="R9" s="598">
        <v>45947</v>
      </c>
      <c r="S9" s="598"/>
      <c r="T9" s="598"/>
      <c r="U9" s="486" t="s">
        <v>547</v>
      </c>
      <c r="V9" s="936">
        <v>117</v>
      </c>
      <c r="W9" s="940">
        <v>117</v>
      </c>
      <c r="X9" s="106">
        <f t="shared" ref="X9:X45" si="6">SUM(V9-W9)</f>
        <v>0</v>
      </c>
      <c r="Y9" s="657">
        <f t="shared" ref="Y9:Y45" si="7">IFERROR($W9/$V9, 0)</f>
        <v>1</v>
      </c>
      <c r="Z9" s="877">
        <v>45946</v>
      </c>
      <c r="AA9" s="601">
        <v>0</v>
      </c>
      <c r="AB9" s="601">
        <v>0</v>
      </c>
      <c r="AC9" s="839">
        <v>0</v>
      </c>
      <c r="AD9" s="840"/>
    </row>
    <row r="10" spans="1:30" ht="39.75" customHeight="1">
      <c r="A10" s="929" t="s">
        <v>565</v>
      </c>
      <c r="B10" s="465" t="s">
        <v>111</v>
      </c>
      <c r="C10" s="476">
        <v>45960</v>
      </c>
      <c r="D10" s="467" t="s">
        <v>71</v>
      </c>
      <c r="E10" s="476">
        <v>45918</v>
      </c>
      <c r="F10" s="465" t="s">
        <v>112</v>
      </c>
      <c r="G10" s="50" t="s">
        <v>566</v>
      </c>
      <c r="H10" s="996">
        <v>0</v>
      </c>
      <c r="I10" s="661" t="s">
        <v>366</v>
      </c>
      <c r="J10" s="469" t="s">
        <v>63</v>
      </c>
      <c r="K10" s="469"/>
      <c r="L10" s="476">
        <v>45918</v>
      </c>
      <c r="M10" s="478" t="s">
        <v>57</v>
      </c>
      <c r="N10" s="543">
        <v>9611.9500000000007</v>
      </c>
      <c r="O10" s="478" t="s">
        <v>57</v>
      </c>
      <c r="P10" s="806" t="s">
        <v>367</v>
      </c>
      <c r="Q10" s="479">
        <v>45918</v>
      </c>
      <c r="R10" s="479"/>
      <c r="S10" s="479"/>
      <c r="T10" s="479"/>
      <c r="U10" s="486" t="s">
        <v>547</v>
      </c>
      <c r="V10" s="41">
        <v>807</v>
      </c>
      <c r="W10" s="742">
        <v>896</v>
      </c>
      <c r="X10" s="106">
        <f t="shared" si="6"/>
        <v>-89</v>
      </c>
      <c r="Y10" s="657">
        <f t="shared" si="7"/>
        <v>1.110285006195787</v>
      </c>
      <c r="Z10" s="678">
        <v>45938</v>
      </c>
      <c r="AA10" s="662">
        <v>1</v>
      </c>
      <c r="AB10" s="662">
        <v>1</v>
      </c>
      <c r="AC10" s="645">
        <v>0</v>
      </c>
      <c r="AD10" s="474" t="s">
        <v>567</v>
      </c>
    </row>
    <row r="11" spans="1:30" ht="39.75" customHeight="1">
      <c r="A11" s="1374" t="s">
        <v>568</v>
      </c>
      <c r="B11" s="1205" t="s">
        <v>111</v>
      </c>
      <c r="C11" s="1204">
        <v>46021</v>
      </c>
      <c r="D11" s="1204" t="s">
        <v>131</v>
      </c>
      <c r="E11" s="1204">
        <v>46001</v>
      </c>
      <c r="F11" s="1205" t="s">
        <v>144</v>
      </c>
      <c r="G11" s="1205"/>
      <c r="H11" s="1206">
        <v>49</v>
      </c>
      <c r="I11" s="661" t="s">
        <v>366</v>
      </c>
      <c r="J11" s="1206" t="s">
        <v>63</v>
      </c>
      <c r="K11" s="1206"/>
      <c r="L11" s="1204">
        <v>45994</v>
      </c>
      <c r="M11" s="1226" t="s">
        <v>57</v>
      </c>
      <c r="N11" s="1207">
        <v>42150</v>
      </c>
      <c r="O11" s="1226" t="s">
        <v>57</v>
      </c>
      <c r="P11" s="1375" t="s">
        <v>367</v>
      </c>
      <c r="Q11" s="1209">
        <v>45994</v>
      </c>
      <c r="R11" s="1209"/>
      <c r="S11" s="1209"/>
      <c r="T11" s="1209"/>
      <c r="U11" s="486" t="s">
        <v>547</v>
      </c>
      <c r="V11" s="787">
        <v>3885</v>
      </c>
      <c r="W11" s="1373">
        <v>3910</v>
      </c>
      <c r="X11" s="1210">
        <f>SUM(V11-W11)</f>
        <v>-25</v>
      </c>
      <c r="Y11" s="662">
        <f t="shared" si="7"/>
        <v>1.0064350064350065</v>
      </c>
      <c r="Z11" s="1229">
        <v>46006</v>
      </c>
      <c r="AA11" s="1212">
        <v>1</v>
      </c>
      <c r="AB11" s="1212">
        <v>0</v>
      </c>
      <c r="AC11" s="645">
        <v>0</v>
      </c>
      <c r="AD11" s="1213" t="s">
        <v>569</v>
      </c>
    </row>
    <row r="12" spans="1:30" ht="39.75" customHeight="1">
      <c r="A12" s="845" t="s">
        <v>570</v>
      </c>
      <c r="B12" s="465" t="s">
        <v>111</v>
      </c>
      <c r="C12" s="476">
        <v>45899</v>
      </c>
      <c r="D12" s="511" t="s">
        <v>143</v>
      </c>
      <c r="E12" s="476">
        <v>45889</v>
      </c>
      <c r="F12" s="488" t="s">
        <v>162</v>
      </c>
      <c r="G12" s="477"/>
      <c r="H12" s="478">
        <v>76</v>
      </c>
      <c r="I12" s="483" t="s">
        <v>366</v>
      </c>
      <c r="J12" s="478" t="s">
        <v>63</v>
      </c>
      <c r="K12" s="487"/>
      <c r="L12" s="476">
        <v>45888</v>
      </c>
      <c r="M12" s="478" t="s">
        <v>57</v>
      </c>
      <c r="N12" s="543">
        <v>53902</v>
      </c>
      <c r="O12" s="478" t="s">
        <v>57</v>
      </c>
      <c r="P12" s="806" t="s">
        <v>367</v>
      </c>
      <c r="Q12" s="479">
        <v>45887</v>
      </c>
      <c r="R12" s="479"/>
      <c r="S12" s="479"/>
      <c r="T12" s="479"/>
      <c r="U12" s="486" t="s">
        <v>547</v>
      </c>
      <c r="V12" s="41">
        <v>3566</v>
      </c>
      <c r="W12" s="742">
        <v>3704</v>
      </c>
      <c r="X12" s="106">
        <f t="shared" si="6"/>
        <v>-138</v>
      </c>
      <c r="Y12" s="22">
        <f t="shared" si="7"/>
        <v>1.0386988222097588</v>
      </c>
      <c r="Z12" s="678">
        <v>45904</v>
      </c>
      <c r="AA12" s="355">
        <v>1</v>
      </c>
      <c r="AB12" s="355">
        <v>1</v>
      </c>
      <c r="AC12" s="645">
        <v>0</v>
      </c>
      <c r="AD12" s="515" t="s">
        <v>571</v>
      </c>
    </row>
    <row r="13" spans="1:30" ht="39.75" customHeight="1">
      <c r="A13" s="845" t="s">
        <v>572</v>
      </c>
      <c r="B13" s="465" t="s">
        <v>111</v>
      </c>
      <c r="C13" s="476">
        <v>45930</v>
      </c>
      <c r="D13" s="467" t="s">
        <v>131</v>
      </c>
      <c r="E13" s="467">
        <v>45896</v>
      </c>
      <c r="F13" s="465" t="s">
        <v>162</v>
      </c>
      <c r="G13" s="465" t="s">
        <v>573</v>
      </c>
      <c r="H13" s="469">
        <v>66</v>
      </c>
      <c r="I13" s="469" t="s">
        <v>366</v>
      </c>
      <c r="J13" s="469" t="s">
        <v>63</v>
      </c>
      <c r="K13" s="469"/>
      <c r="L13" s="467">
        <v>45897</v>
      </c>
      <c r="M13" s="469" t="s">
        <v>57</v>
      </c>
      <c r="N13" s="542">
        <v>44896.1</v>
      </c>
      <c r="O13" s="469" t="s">
        <v>57</v>
      </c>
      <c r="P13" s="806" t="s">
        <v>367</v>
      </c>
      <c r="Q13" s="471">
        <v>45897</v>
      </c>
      <c r="R13" s="482"/>
      <c r="S13" s="482"/>
      <c r="T13" s="482"/>
      <c r="U13" s="486" t="s">
        <v>547</v>
      </c>
      <c r="V13" s="472">
        <v>2385</v>
      </c>
      <c r="W13" s="742">
        <v>2385</v>
      </c>
      <c r="X13" s="106">
        <f t="shared" si="6"/>
        <v>0</v>
      </c>
      <c r="Y13" s="22">
        <f t="shared" si="7"/>
        <v>1</v>
      </c>
      <c r="Z13" s="678">
        <v>45918</v>
      </c>
      <c r="AA13" s="355">
        <v>1</v>
      </c>
      <c r="AB13" s="355">
        <v>1</v>
      </c>
      <c r="AC13" s="645">
        <v>0</v>
      </c>
      <c r="AD13" s="413" t="s">
        <v>574</v>
      </c>
    </row>
    <row r="14" spans="1:30" ht="39.75" customHeight="1">
      <c r="A14" s="845" t="s">
        <v>575</v>
      </c>
      <c r="B14" s="465" t="s">
        <v>111</v>
      </c>
      <c r="C14" s="476">
        <v>45930</v>
      </c>
      <c r="D14" s="467" t="s">
        <v>131</v>
      </c>
      <c r="E14" s="642">
        <v>45910</v>
      </c>
      <c r="F14" s="465" t="s">
        <v>112</v>
      </c>
      <c r="G14" s="465" t="s">
        <v>576</v>
      </c>
      <c r="H14" s="469">
        <v>80</v>
      </c>
      <c r="I14" s="469" t="s">
        <v>366</v>
      </c>
      <c r="J14" s="469" t="s">
        <v>63</v>
      </c>
      <c r="K14" s="469"/>
      <c r="L14" s="467">
        <v>45903</v>
      </c>
      <c r="M14" s="469" t="s">
        <v>57</v>
      </c>
      <c r="N14" s="542">
        <v>59116.7</v>
      </c>
      <c r="O14" s="469" t="s">
        <v>57</v>
      </c>
      <c r="P14" s="806" t="s">
        <v>367</v>
      </c>
      <c r="Q14" s="471">
        <v>45903</v>
      </c>
      <c r="R14" s="482"/>
      <c r="S14" s="482"/>
      <c r="T14" s="471"/>
      <c r="U14" s="486" t="s">
        <v>547</v>
      </c>
      <c r="V14" s="472">
        <v>4833</v>
      </c>
      <c r="W14" s="742">
        <v>4446</v>
      </c>
      <c r="X14" s="106">
        <f t="shared" si="6"/>
        <v>387</v>
      </c>
      <c r="Y14" s="22">
        <f t="shared" si="7"/>
        <v>0.91992551210428308</v>
      </c>
      <c r="Z14" s="678">
        <v>45923</v>
      </c>
      <c r="AA14" s="355">
        <v>1</v>
      </c>
      <c r="AB14" s="355">
        <v>1</v>
      </c>
      <c r="AC14" s="645">
        <v>0</v>
      </c>
      <c r="AD14" s="413" t="s">
        <v>577</v>
      </c>
    </row>
    <row r="15" spans="1:30" ht="39.75" customHeight="1">
      <c r="A15" s="842" t="s">
        <v>578</v>
      </c>
      <c r="B15" s="465" t="s">
        <v>111</v>
      </c>
      <c r="C15" s="476">
        <v>45930</v>
      </c>
      <c r="D15" s="467" t="s">
        <v>131</v>
      </c>
      <c r="E15" s="642">
        <v>45910</v>
      </c>
      <c r="F15" s="642" t="s">
        <v>162</v>
      </c>
      <c r="G15" s="682" t="s">
        <v>579</v>
      </c>
      <c r="H15" s="469">
        <v>67</v>
      </c>
      <c r="I15" s="661" t="s">
        <v>366</v>
      </c>
      <c r="J15" s="469" t="s">
        <v>63</v>
      </c>
      <c r="K15" s="469"/>
      <c r="L15" s="467">
        <v>45903</v>
      </c>
      <c r="M15" s="469" t="s">
        <v>57</v>
      </c>
      <c r="N15" s="542">
        <v>40406</v>
      </c>
      <c r="O15" s="469" t="s">
        <v>57</v>
      </c>
      <c r="P15" s="806" t="s">
        <v>367</v>
      </c>
      <c r="Q15" s="471">
        <v>45903</v>
      </c>
      <c r="R15" s="552"/>
      <c r="S15" s="552"/>
      <c r="T15" s="552"/>
      <c r="U15" s="486" t="s">
        <v>547</v>
      </c>
      <c r="V15" s="472">
        <v>3895</v>
      </c>
      <c r="W15" s="742">
        <v>3809</v>
      </c>
      <c r="X15" s="106">
        <f t="shared" si="6"/>
        <v>86</v>
      </c>
      <c r="Y15" s="657">
        <f t="shared" si="7"/>
        <v>0.97792041078305525</v>
      </c>
      <c r="Z15" s="678">
        <v>45924</v>
      </c>
      <c r="AA15" s="355">
        <v>1</v>
      </c>
      <c r="AB15" s="355">
        <v>1</v>
      </c>
      <c r="AC15" s="645">
        <v>0</v>
      </c>
      <c r="AD15" s="873" t="s">
        <v>580</v>
      </c>
    </row>
    <row r="16" spans="1:30" ht="39.75" customHeight="1">
      <c r="A16" s="1374" t="s">
        <v>581</v>
      </c>
      <c r="B16" s="1205" t="s">
        <v>111</v>
      </c>
      <c r="C16" s="1204">
        <v>46010</v>
      </c>
      <c r="D16" s="1204" t="s">
        <v>143</v>
      </c>
      <c r="E16" s="1204">
        <v>45974</v>
      </c>
      <c r="F16" s="1205" t="s">
        <v>112</v>
      </c>
      <c r="G16" s="1205" t="s">
        <v>582</v>
      </c>
      <c r="H16" s="1206">
        <v>68</v>
      </c>
      <c r="I16" s="661" t="s">
        <v>366</v>
      </c>
      <c r="J16" s="1206" t="s">
        <v>63</v>
      </c>
      <c r="K16" s="1206"/>
      <c r="L16" s="1204">
        <v>45936</v>
      </c>
      <c r="M16" s="1206" t="s">
        <v>57</v>
      </c>
      <c r="N16" s="1207">
        <v>37755.599999999999</v>
      </c>
      <c r="O16" s="1206" t="s">
        <v>57</v>
      </c>
      <c r="P16" s="1375" t="s">
        <v>367</v>
      </c>
      <c r="Q16" s="1209">
        <v>45936</v>
      </c>
      <c r="R16" s="1256"/>
      <c r="S16" s="1256"/>
      <c r="T16" s="1256"/>
      <c r="U16" s="486" t="s">
        <v>547</v>
      </c>
      <c r="V16" s="1210">
        <v>2584</v>
      </c>
      <c r="W16" s="1373">
        <v>2584</v>
      </c>
      <c r="X16" s="1210">
        <f>SUM(V16-W16)</f>
        <v>0</v>
      </c>
      <c r="Y16" s="662">
        <f>IFERROR($W16/$V16, 0)</f>
        <v>1</v>
      </c>
      <c r="Z16" s="1229">
        <v>46000</v>
      </c>
      <c r="AA16" s="1212">
        <v>1</v>
      </c>
      <c r="AB16" s="1212">
        <v>0</v>
      </c>
      <c r="AC16" s="645">
        <v>0</v>
      </c>
      <c r="AD16" s="1213" t="s">
        <v>583</v>
      </c>
    </row>
    <row r="17" spans="1:30" ht="39.75" customHeight="1">
      <c r="A17" s="1374" t="s">
        <v>584</v>
      </c>
      <c r="B17" s="1205" t="s">
        <v>111</v>
      </c>
      <c r="C17" s="1204">
        <v>46006</v>
      </c>
      <c r="D17" s="1204" t="s">
        <v>131</v>
      </c>
      <c r="E17" s="1204">
        <v>45999</v>
      </c>
      <c r="F17" s="1205" t="s">
        <v>112</v>
      </c>
      <c r="G17" s="1205" t="s">
        <v>585</v>
      </c>
      <c r="H17" s="1206">
        <v>87</v>
      </c>
      <c r="I17" s="661" t="s">
        <v>366</v>
      </c>
      <c r="J17" s="1206" t="s">
        <v>63</v>
      </c>
      <c r="K17" s="469"/>
      <c r="L17" s="1204">
        <v>45999</v>
      </c>
      <c r="M17" s="1206" t="s">
        <v>57</v>
      </c>
      <c r="N17" s="1207">
        <v>74384</v>
      </c>
      <c r="O17" s="1206" t="s">
        <v>57</v>
      </c>
      <c r="P17" s="1375" t="s">
        <v>367</v>
      </c>
      <c r="Q17" s="1257">
        <v>45999</v>
      </c>
      <c r="R17" s="552"/>
      <c r="S17" s="552"/>
      <c r="T17" s="552"/>
      <c r="U17" s="486" t="s">
        <v>547</v>
      </c>
      <c r="V17" s="1210">
        <v>6130</v>
      </c>
      <c r="W17" s="1373">
        <v>5915</v>
      </c>
      <c r="X17" s="1210">
        <f t="shared" si="6"/>
        <v>215</v>
      </c>
      <c r="Y17" s="662">
        <f t="shared" si="7"/>
        <v>0.96492659053833607</v>
      </c>
      <c r="Z17" s="1229">
        <v>46006</v>
      </c>
      <c r="AA17" s="1212">
        <v>1</v>
      </c>
      <c r="AB17" s="1212">
        <v>1</v>
      </c>
      <c r="AC17" s="645">
        <v>0</v>
      </c>
      <c r="AD17" s="1213" t="s">
        <v>586</v>
      </c>
    </row>
    <row r="18" spans="1:30" ht="39.75" customHeight="1">
      <c r="A18" s="929" t="s">
        <v>587</v>
      </c>
      <c r="B18" s="465" t="s">
        <v>111</v>
      </c>
      <c r="C18" s="467">
        <v>46006</v>
      </c>
      <c r="D18" s="467" t="s">
        <v>131</v>
      </c>
      <c r="E18" s="467">
        <v>45979</v>
      </c>
      <c r="F18" s="465" t="s">
        <v>162</v>
      </c>
      <c r="G18" s="682" t="s">
        <v>588</v>
      </c>
      <c r="H18" s="469">
        <v>28</v>
      </c>
      <c r="I18" s="661" t="s">
        <v>366</v>
      </c>
      <c r="J18" s="469" t="s">
        <v>63</v>
      </c>
      <c r="K18" s="469"/>
      <c r="L18" s="467">
        <v>45979</v>
      </c>
      <c r="M18" s="469" t="s">
        <v>57</v>
      </c>
      <c r="N18" s="542">
        <v>29683</v>
      </c>
      <c r="O18" s="469" t="s">
        <v>57</v>
      </c>
      <c r="P18" s="806" t="s">
        <v>367</v>
      </c>
      <c r="Q18" s="1001">
        <v>45979</v>
      </c>
      <c r="R18" s="552"/>
      <c r="S18" s="552"/>
      <c r="T18" s="552"/>
      <c r="U18" s="486" t="s">
        <v>547</v>
      </c>
      <c r="V18" s="472">
        <v>2416</v>
      </c>
      <c r="W18" s="742">
        <v>2533</v>
      </c>
      <c r="X18" s="472">
        <f t="shared" si="6"/>
        <v>-117</v>
      </c>
      <c r="Y18" s="862">
        <f t="shared" si="7"/>
        <v>1.0484271523178808</v>
      </c>
      <c r="Z18" s="471">
        <v>45994</v>
      </c>
      <c r="AA18" s="355">
        <v>1</v>
      </c>
      <c r="AB18" s="355">
        <v>0</v>
      </c>
      <c r="AC18" s="645">
        <v>0</v>
      </c>
      <c r="AD18" s="474" t="s">
        <v>589</v>
      </c>
    </row>
    <row r="19" spans="1:30" ht="39.75" customHeight="1">
      <c r="A19" s="929" t="s">
        <v>590</v>
      </c>
      <c r="B19" s="465" t="s">
        <v>111</v>
      </c>
      <c r="C19" s="476">
        <v>45960</v>
      </c>
      <c r="D19" s="467" t="s">
        <v>131</v>
      </c>
      <c r="E19" s="467">
        <v>45936</v>
      </c>
      <c r="F19" s="465" t="s">
        <v>144</v>
      </c>
      <c r="G19" s="682"/>
      <c r="H19" s="469">
        <v>35</v>
      </c>
      <c r="I19" s="661" t="s">
        <v>366</v>
      </c>
      <c r="J19" s="469" t="s">
        <v>63</v>
      </c>
      <c r="K19" s="469"/>
      <c r="L19" s="467">
        <v>45933</v>
      </c>
      <c r="M19" s="469" t="s">
        <v>57</v>
      </c>
      <c r="N19" s="542">
        <v>26026</v>
      </c>
      <c r="O19" s="469" t="s">
        <v>57</v>
      </c>
      <c r="P19" s="806" t="s">
        <v>367</v>
      </c>
      <c r="Q19" s="471">
        <v>45933</v>
      </c>
      <c r="R19" s="552"/>
      <c r="S19" s="552"/>
      <c r="T19" s="552"/>
      <c r="U19" s="486" t="s">
        <v>547</v>
      </c>
      <c r="V19" s="472">
        <v>2071</v>
      </c>
      <c r="W19" s="742">
        <v>2072</v>
      </c>
      <c r="X19" s="472">
        <f>SUM(V19-W19)</f>
        <v>-1</v>
      </c>
      <c r="Y19" s="662">
        <f t="shared" ref="Y19" si="8">IFERROR($W19/$V19, 0)</f>
        <v>1.000482858522453</v>
      </c>
      <c r="Z19" s="479">
        <v>45958</v>
      </c>
      <c r="AA19" s="355">
        <v>1</v>
      </c>
      <c r="AB19" s="355">
        <v>1</v>
      </c>
      <c r="AC19" s="787">
        <v>0</v>
      </c>
      <c r="AD19" s="474" t="s">
        <v>591</v>
      </c>
    </row>
    <row r="20" spans="1:30" ht="39.75" customHeight="1">
      <c r="A20" s="845" t="s">
        <v>592</v>
      </c>
      <c r="B20" s="465" t="s">
        <v>111</v>
      </c>
      <c r="C20" s="476">
        <v>45960</v>
      </c>
      <c r="D20" s="467" t="s">
        <v>131</v>
      </c>
      <c r="E20" s="467">
        <v>45915</v>
      </c>
      <c r="F20" s="642" t="s">
        <v>162</v>
      </c>
      <c r="G20" s="682"/>
      <c r="H20" s="469">
        <v>82</v>
      </c>
      <c r="I20" s="661" t="s">
        <v>366</v>
      </c>
      <c r="J20" s="469" t="s">
        <v>63</v>
      </c>
      <c r="K20" s="469"/>
      <c r="L20" s="467">
        <v>45912</v>
      </c>
      <c r="M20" s="469" t="s">
        <v>57</v>
      </c>
      <c r="N20" s="542">
        <v>82621.149999999994</v>
      </c>
      <c r="O20" s="469" t="s">
        <v>57</v>
      </c>
      <c r="P20" s="806" t="s">
        <v>367</v>
      </c>
      <c r="Q20" s="471">
        <v>45912</v>
      </c>
      <c r="R20" s="471"/>
      <c r="S20" s="471"/>
      <c r="T20" s="471"/>
      <c r="U20" s="486" t="s">
        <v>547</v>
      </c>
      <c r="V20" s="472">
        <v>5653</v>
      </c>
      <c r="W20" s="742">
        <v>5653</v>
      </c>
      <c r="X20" s="106">
        <f t="shared" si="6"/>
        <v>0</v>
      </c>
      <c r="Y20" s="657">
        <f t="shared" si="7"/>
        <v>1</v>
      </c>
      <c r="Z20" s="678">
        <v>45932</v>
      </c>
      <c r="AA20" s="355">
        <v>1</v>
      </c>
      <c r="AB20" s="355">
        <v>1</v>
      </c>
      <c r="AC20" s="787">
        <v>0</v>
      </c>
      <c r="AD20" s="873" t="s">
        <v>593</v>
      </c>
    </row>
    <row r="21" spans="1:30" ht="39.75" customHeight="1">
      <c r="A21" s="842" t="s">
        <v>594</v>
      </c>
      <c r="B21" s="465" t="s">
        <v>111</v>
      </c>
      <c r="C21" s="476">
        <v>45945</v>
      </c>
      <c r="D21" s="467" t="s">
        <v>131</v>
      </c>
      <c r="E21" s="467">
        <v>45932</v>
      </c>
      <c r="F21" s="465" t="s">
        <v>162</v>
      </c>
      <c r="G21" s="682"/>
      <c r="H21" s="469">
        <v>34</v>
      </c>
      <c r="I21" s="661" t="s">
        <v>366</v>
      </c>
      <c r="J21" s="469" t="s">
        <v>63</v>
      </c>
      <c r="K21" s="469"/>
      <c r="L21" s="467">
        <v>45933</v>
      </c>
      <c r="M21" s="469" t="s">
        <v>57</v>
      </c>
      <c r="N21" s="542">
        <v>29646</v>
      </c>
      <c r="O21" s="469" t="s">
        <v>57</v>
      </c>
      <c r="P21" s="806" t="s">
        <v>367</v>
      </c>
      <c r="Q21" s="471">
        <v>45933</v>
      </c>
      <c r="R21" s="552"/>
      <c r="S21" s="552"/>
      <c r="T21" s="552"/>
      <c r="U21" s="486" t="s">
        <v>547</v>
      </c>
      <c r="V21" s="472">
        <v>2188</v>
      </c>
      <c r="W21" s="742">
        <v>2278</v>
      </c>
      <c r="X21" s="106">
        <f>SUM(V21-W21)</f>
        <v>-90</v>
      </c>
      <c r="Y21" s="657">
        <f>IFERROR($W21/$V21, 0)</f>
        <v>1.0411334552102376</v>
      </c>
      <c r="Z21" s="678">
        <v>45931</v>
      </c>
      <c r="AA21" s="355">
        <v>1</v>
      </c>
      <c r="AB21" s="355">
        <v>1</v>
      </c>
      <c r="AC21" s="787">
        <v>0</v>
      </c>
      <c r="AD21" s="873" t="s">
        <v>595</v>
      </c>
    </row>
    <row r="22" spans="1:30" ht="39.75" customHeight="1">
      <c r="A22" s="929" t="s">
        <v>596</v>
      </c>
      <c r="B22" s="465" t="s">
        <v>111</v>
      </c>
      <c r="C22" s="476">
        <v>45960</v>
      </c>
      <c r="D22" s="467" t="s">
        <v>199</v>
      </c>
      <c r="E22" s="467">
        <v>45932</v>
      </c>
      <c r="F22" s="465" t="s">
        <v>112</v>
      </c>
      <c r="G22" s="682"/>
      <c r="H22" s="469">
        <v>79</v>
      </c>
      <c r="I22" s="661" t="s">
        <v>366</v>
      </c>
      <c r="J22" s="469" t="s">
        <v>63</v>
      </c>
      <c r="K22" s="469"/>
      <c r="L22" s="467">
        <v>45933</v>
      </c>
      <c r="M22" s="469" t="s">
        <v>57</v>
      </c>
      <c r="N22" s="542">
        <v>45014</v>
      </c>
      <c r="O22" s="469" t="s">
        <v>57</v>
      </c>
      <c r="P22" s="806" t="s">
        <v>367</v>
      </c>
      <c r="Q22" s="471">
        <v>45933</v>
      </c>
      <c r="R22" s="552"/>
      <c r="S22" s="552"/>
      <c r="T22" s="552"/>
      <c r="U22" s="486" t="s">
        <v>547</v>
      </c>
      <c r="V22" s="472">
        <v>3378</v>
      </c>
      <c r="W22" s="742">
        <v>3372</v>
      </c>
      <c r="X22" s="472">
        <f>SUM(V22-W22)</f>
        <v>6</v>
      </c>
      <c r="Y22" s="662">
        <f t="shared" ref="Y22" si="9">IFERROR($W22/$V22, 0)</f>
        <v>0.9982238010657194</v>
      </c>
      <c r="Z22" s="479">
        <v>45958</v>
      </c>
      <c r="AA22" s="355">
        <v>1</v>
      </c>
      <c r="AB22" s="355">
        <v>1</v>
      </c>
      <c r="AC22" s="787">
        <v>0</v>
      </c>
      <c r="AD22" s="952" t="s">
        <v>597</v>
      </c>
    </row>
    <row r="23" spans="1:30" ht="39.75" customHeight="1">
      <c r="A23" s="929" t="s">
        <v>598</v>
      </c>
      <c r="B23" s="465" t="s">
        <v>111</v>
      </c>
      <c r="C23" s="476">
        <v>45960</v>
      </c>
      <c r="D23" s="467" t="s">
        <v>131</v>
      </c>
      <c r="E23" s="467">
        <v>45936</v>
      </c>
      <c r="F23" s="465" t="s">
        <v>112</v>
      </c>
      <c r="G23" s="682"/>
      <c r="H23" s="469">
        <v>75</v>
      </c>
      <c r="I23" s="661" t="s">
        <v>366</v>
      </c>
      <c r="J23" s="469" t="s">
        <v>63</v>
      </c>
      <c r="K23" s="469"/>
      <c r="L23" s="467">
        <v>45936</v>
      </c>
      <c r="M23" s="469" t="s">
        <v>57</v>
      </c>
      <c r="N23" s="542">
        <v>38796</v>
      </c>
      <c r="O23" s="469" t="s">
        <v>57</v>
      </c>
      <c r="P23" s="806" t="s">
        <v>367</v>
      </c>
      <c r="Q23" s="471">
        <v>45936</v>
      </c>
      <c r="R23" s="552"/>
      <c r="S23" s="552"/>
      <c r="T23" s="552"/>
      <c r="U23" s="486" t="s">
        <v>547</v>
      </c>
      <c r="V23" s="416">
        <v>2874</v>
      </c>
      <c r="W23" s="951">
        <v>2875</v>
      </c>
      <c r="X23" s="106">
        <f t="shared" ref="X23:X28" si="10">SUM(V23-W23)</f>
        <v>-1</v>
      </c>
      <c r="Y23" s="657">
        <f t="shared" ref="Y23:Y28" si="11">IFERROR($W23/$V23, 0)</f>
        <v>1.0003479471120389</v>
      </c>
      <c r="Z23" s="678">
        <v>45944</v>
      </c>
      <c r="AA23" s="355">
        <v>1</v>
      </c>
      <c r="AB23" s="355">
        <v>1</v>
      </c>
      <c r="AC23" s="472">
        <v>0</v>
      </c>
      <c r="AD23" s="170" t="s">
        <v>599</v>
      </c>
    </row>
    <row r="24" spans="1:30" ht="39.75" customHeight="1">
      <c r="A24" s="929" t="s">
        <v>600</v>
      </c>
      <c r="B24" s="465" t="s">
        <v>111</v>
      </c>
      <c r="C24" s="476">
        <v>45976</v>
      </c>
      <c r="D24" s="467" t="s">
        <v>131</v>
      </c>
      <c r="E24" s="467">
        <v>45959</v>
      </c>
      <c r="F24" s="465" t="s">
        <v>144</v>
      </c>
      <c r="G24" s="682"/>
      <c r="H24" s="469">
        <v>61</v>
      </c>
      <c r="I24" s="661" t="s">
        <v>366</v>
      </c>
      <c r="J24" s="469" t="s">
        <v>63</v>
      </c>
      <c r="K24" s="469"/>
      <c r="L24" s="467">
        <v>45962</v>
      </c>
      <c r="M24" s="469" t="s">
        <v>57</v>
      </c>
      <c r="N24" s="542">
        <v>35050</v>
      </c>
      <c r="O24" s="469" t="s">
        <v>57</v>
      </c>
      <c r="P24" s="806" t="s">
        <v>367</v>
      </c>
      <c r="Q24" s="471">
        <v>45961</v>
      </c>
      <c r="R24" s="552"/>
      <c r="S24" s="552"/>
      <c r="T24" s="552"/>
      <c r="U24" s="486" t="s">
        <v>547</v>
      </c>
      <c r="V24" s="472">
        <v>2527</v>
      </c>
      <c r="W24" s="742">
        <v>2647</v>
      </c>
      <c r="X24" s="472">
        <f t="shared" si="10"/>
        <v>-120</v>
      </c>
      <c r="Y24" s="662">
        <f t="shared" si="11"/>
        <v>1.0474871388998812</v>
      </c>
      <c r="Z24" s="479">
        <v>45973</v>
      </c>
      <c r="AA24" s="355">
        <v>1</v>
      </c>
      <c r="AB24" s="355">
        <v>1</v>
      </c>
      <c r="AC24" s="787">
        <v>0</v>
      </c>
      <c r="AD24" s="436" t="s">
        <v>601</v>
      </c>
    </row>
    <row r="25" spans="1:30" ht="39.75" customHeight="1">
      <c r="A25" s="929" t="s">
        <v>602</v>
      </c>
      <c r="B25" s="465" t="s">
        <v>111</v>
      </c>
      <c r="C25" s="476">
        <v>45976</v>
      </c>
      <c r="D25" s="467" t="s">
        <v>131</v>
      </c>
      <c r="E25" s="467">
        <v>45958</v>
      </c>
      <c r="F25" s="465" t="s">
        <v>144</v>
      </c>
      <c r="G25" s="682"/>
      <c r="H25" s="469">
        <v>48</v>
      </c>
      <c r="I25" s="661" t="s">
        <v>366</v>
      </c>
      <c r="J25" s="469" t="s">
        <v>63</v>
      </c>
      <c r="K25" s="469"/>
      <c r="L25" s="467">
        <v>45954</v>
      </c>
      <c r="M25" s="469" t="s">
        <v>57</v>
      </c>
      <c r="N25" s="542">
        <v>54228.7</v>
      </c>
      <c r="O25" s="469" t="s">
        <v>57</v>
      </c>
      <c r="P25" s="806" t="s">
        <v>367</v>
      </c>
      <c r="Q25" s="471">
        <v>45953</v>
      </c>
      <c r="R25" s="552"/>
      <c r="S25" s="552"/>
      <c r="T25" s="552"/>
      <c r="U25" s="486" t="s">
        <v>547</v>
      </c>
      <c r="V25" s="472">
        <v>4141</v>
      </c>
      <c r="W25" s="742">
        <v>4316</v>
      </c>
      <c r="X25" s="472">
        <f t="shared" si="10"/>
        <v>-175</v>
      </c>
      <c r="Y25" s="662">
        <f t="shared" si="11"/>
        <v>1.042260323593335</v>
      </c>
      <c r="Z25" s="479">
        <v>45964</v>
      </c>
      <c r="AA25" s="355">
        <v>1</v>
      </c>
      <c r="AB25" s="355">
        <v>1</v>
      </c>
      <c r="AC25" s="787">
        <v>0</v>
      </c>
      <c r="AD25" s="436" t="s">
        <v>603</v>
      </c>
    </row>
    <row r="26" spans="1:30" ht="39.75" customHeight="1">
      <c r="A26" s="929" t="s">
        <v>604</v>
      </c>
      <c r="B26" s="465" t="s">
        <v>111</v>
      </c>
      <c r="C26" s="476">
        <v>45991</v>
      </c>
      <c r="D26" s="467" t="s">
        <v>199</v>
      </c>
      <c r="E26" s="467">
        <v>45936</v>
      </c>
      <c r="F26" s="465" t="s">
        <v>144</v>
      </c>
      <c r="G26" s="682"/>
      <c r="H26" s="469">
        <v>83</v>
      </c>
      <c r="I26" s="661" t="s">
        <v>366</v>
      </c>
      <c r="J26" s="469" t="s">
        <v>63</v>
      </c>
      <c r="K26" s="469"/>
      <c r="L26" s="467">
        <v>45936</v>
      </c>
      <c r="M26" s="469" t="s">
        <v>57</v>
      </c>
      <c r="N26" s="542">
        <v>96748</v>
      </c>
      <c r="O26" s="469" t="s">
        <v>57</v>
      </c>
      <c r="P26" s="844" t="s">
        <v>367</v>
      </c>
      <c r="Q26" s="347">
        <v>45936</v>
      </c>
      <c r="R26" s="1343"/>
      <c r="S26" s="1004"/>
      <c r="T26" s="552"/>
      <c r="U26" s="486" t="s">
        <v>547</v>
      </c>
      <c r="V26" s="472">
        <v>6240</v>
      </c>
      <c r="W26" s="742">
        <v>6203</v>
      </c>
      <c r="X26" s="472">
        <f t="shared" si="10"/>
        <v>37</v>
      </c>
      <c r="Y26" s="662">
        <f t="shared" si="11"/>
        <v>0.99407051282051284</v>
      </c>
      <c r="Z26" s="479">
        <v>45951</v>
      </c>
      <c r="AA26" s="355">
        <v>1</v>
      </c>
      <c r="AB26" s="355">
        <v>0</v>
      </c>
      <c r="AC26" s="645">
        <v>0</v>
      </c>
      <c r="AD26" s="1067" t="s">
        <v>605</v>
      </c>
    </row>
    <row r="27" spans="1:30" ht="39.75" customHeight="1">
      <c r="A27" s="929" t="s">
        <v>606</v>
      </c>
      <c r="B27" s="465" t="s">
        <v>111</v>
      </c>
      <c r="C27" s="467">
        <v>45991</v>
      </c>
      <c r="D27" s="467" t="s">
        <v>131</v>
      </c>
      <c r="E27" s="467">
        <v>45966</v>
      </c>
      <c r="F27" s="465" t="s">
        <v>112</v>
      </c>
      <c r="G27" s="468" t="s">
        <v>607</v>
      </c>
      <c r="H27" s="469">
        <v>69</v>
      </c>
      <c r="I27" s="661" t="s">
        <v>366</v>
      </c>
      <c r="J27" s="469" t="s">
        <v>63</v>
      </c>
      <c r="K27" s="469"/>
      <c r="L27" s="467">
        <v>45969</v>
      </c>
      <c r="M27" s="469" t="s">
        <v>57</v>
      </c>
      <c r="N27" s="542">
        <v>75672.100000000006</v>
      </c>
      <c r="O27" s="469" t="s">
        <v>57</v>
      </c>
      <c r="P27" s="1152" t="s">
        <v>367</v>
      </c>
      <c r="Q27" s="124">
        <v>45969</v>
      </c>
      <c r="R27" s="651"/>
      <c r="S27" s="1004"/>
      <c r="T27" s="552"/>
      <c r="U27" s="486" t="s">
        <v>547</v>
      </c>
      <c r="V27" s="472">
        <v>5654</v>
      </c>
      <c r="W27" s="742">
        <v>5646</v>
      </c>
      <c r="X27" s="472">
        <f t="shared" si="10"/>
        <v>8</v>
      </c>
      <c r="Y27" s="662">
        <f t="shared" si="11"/>
        <v>0.99858507251503359</v>
      </c>
      <c r="Z27" s="479">
        <v>45978</v>
      </c>
      <c r="AA27" s="355">
        <v>1</v>
      </c>
      <c r="AB27" s="355">
        <v>1</v>
      </c>
      <c r="AC27" s="787">
        <v>0</v>
      </c>
      <c r="AD27" s="474" t="s">
        <v>608</v>
      </c>
    </row>
    <row r="28" spans="1:30" ht="39.75" customHeight="1">
      <c r="A28" s="929" t="s">
        <v>609</v>
      </c>
      <c r="B28" s="465" t="s">
        <v>111</v>
      </c>
      <c r="C28" s="467">
        <v>46001</v>
      </c>
      <c r="D28" s="467" t="s">
        <v>131</v>
      </c>
      <c r="E28" s="467">
        <v>45966</v>
      </c>
      <c r="F28" s="465" t="s">
        <v>112</v>
      </c>
      <c r="G28" s="682" t="s">
        <v>610</v>
      </c>
      <c r="H28" s="469">
        <v>88</v>
      </c>
      <c r="I28" s="661" t="s">
        <v>366</v>
      </c>
      <c r="J28" s="469" t="s">
        <v>63</v>
      </c>
      <c r="K28" s="469"/>
      <c r="L28" s="467">
        <v>45967</v>
      </c>
      <c r="M28" s="469" t="s">
        <v>57</v>
      </c>
      <c r="N28" s="542">
        <v>76565.850000000006</v>
      </c>
      <c r="O28" s="469" t="s">
        <v>57</v>
      </c>
      <c r="P28" s="1152" t="s">
        <v>367</v>
      </c>
      <c r="Q28" s="124">
        <v>45967</v>
      </c>
      <c r="R28" s="651"/>
      <c r="S28" s="1004"/>
      <c r="T28" s="552"/>
      <c r="U28" s="486" t="s">
        <v>547</v>
      </c>
      <c r="V28" s="472">
        <v>6025</v>
      </c>
      <c r="W28" s="742">
        <v>6130</v>
      </c>
      <c r="X28" s="472">
        <f t="shared" si="10"/>
        <v>-105</v>
      </c>
      <c r="Y28" s="662">
        <f t="shared" si="11"/>
        <v>1.0174273858921161</v>
      </c>
      <c r="Z28" s="479">
        <v>45985</v>
      </c>
      <c r="AA28" s="355">
        <v>1</v>
      </c>
      <c r="AB28" s="355">
        <v>1</v>
      </c>
      <c r="AC28" s="787">
        <v>0</v>
      </c>
      <c r="AD28" s="474" t="s">
        <v>611</v>
      </c>
    </row>
    <row r="29" spans="1:30" ht="39.75" customHeight="1">
      <c r="A29" s="929" t="s">
        <v>612</v>
      </c>
      <c r="B29" s="465" t="s">
        <v>111</v>
      </c>
      <c r="C29" s="467">
        <v>45991</v>
      </c>
      <c r="D29" s="467" t="s">
        <v>131</v>
      </c>
      <c r="E29" s="467">
        <v>45966</v>
      </c>
      <c r="F29" s="465" t="s">
        <v>144</v>
      </c>
      <c r="G29" s="682" t="s">
        <v>613</v>
      </c>
      <c r="H29" s="469">
        <v>75</v>
      </c>
      <c r="I29" s="661" t="s">
        <v>366</v>
      </c>
      <c r="J29" s="469" t="s">
        <v>63</v>
      </c>
      <c r="K29" s="469"/>
      <c r="L29" s="467">
        <v>45967</v>
      </c>
      <c r="M29" s="469" t="s">
        <v>57</v>
      </c>
      <c r="N29" s="542">
        <v>60620</v>
      </c>
      <c r="O29" s="469" t="s">
        <v>57</v>
      </c>
      <c r="P29" s="1431" t="s">
        <v>367</v>
      </c>
      <c r="Q29" s="347">
        <v>45967</v>
      </c>
      <c r="R29" s="1343"/>
      <c r="S29" s="1004"/>
      <c r="T29" s="552"/>
      <c r="U29" s="486" t="s">
        <v>547</v>
      </c>
      <c r="V29" s="472">
        <v>4814</v>
      </c>
      <c r="W29" s="742">
        <v>4708</v>
      </c>
      <c r="X29" s="472">
        <f>SUM(V29-W29)</f>
        <v>106</v>
      </c>
      <c r="Y29" s="862">
        <f>IFERROR($W29/$V29, 0)</f>
        <v>0.97798088907353553</v>
      </c>
      <c r="Z29" s="479">
        <v>45986</v>
      </c>
      <c r="AA29" s="355">
        <v>1</v>
      </c>
      <c r="AB29" s="355">
        <v>1</v>
      </c>
      <c r="AC29" s="787">
        <v>0</v>
      </c>
      <c r="AD29" s="757" t="s">
        <v>614</v>
      </c>
    </row>
    <row r="30" spans="1:30" ht="39.75" customHeight="1">
      <c r="A30" s="842" t="s">
        <v>615</v>
      </c>
      <c r="B30" s="681" t="s">
        <v>111</v>
      </c>
      <c r="C30" s="476">
        <v>45930</v>
      </c>
      <c r="D30" s="642" t="s">
        <v>71</v>
      </c>
      <c r="E30" s="467">
        <v>45902</v>
      </c>
      <c r="F30" s="465" t="s">
        <v>112</v>
      </c>
      <c r="G30" s="758"/>
      <c r="H30" s="469">
        <v>0</v>
      </c>
      <c r="I30" s="661" t="s">
        <v>366</v>
      </c>
      <c r="J30" s="469" t="s">
        <v>63</v>
      </c>
      <c r="K30" s="469"/>
      <c r="L30" s="476">
        <v>45902</v>
      </c>
      <c r="M30" s="469" t="s">
        <v>57</v>
      </c>
      <c r="N30" s="542">
        <v>5604.6</v>
      </c>
      <c r="O30" s="469" t="s">
        <v>57</v>
      </c>
      <c r="P30" s="1431" t="s">
        <v>367</v>
      </c>
      <c r="Q30" s="166">
        <v>45902</v>
      </c>
      <c r="R30" s="347"/>
      <c r="S30" s="471"/>
      <c r="T30" s="124"/>
      <c r="U30" s="87" t="s">
        <v>547</v>
      </c>
      <c r="V30" s="646">
        <v>328</v>
      </c>
      <c r="W30" s="742">
        <v>335</v>
      </c>
      <c r="X30" s="472">
        <f t="shared" si="6"/>
        <v>-7</v>
      </c>
      <c r="Y30" s="473">
        <f t="shared" si="7"/>
        <v>1.0213414634146341</v>
      </c>
      <c r="Z30" s="479">
        <v>45922</v>
      </c>
      <c r="AA30" s="355">
        <v>1</v>
      </c>
      <c r="AB30" s="355">
        <v>1</v>
      </c>
      <c r="AC30" s="472">
        <v>0</v>
      </c>
      <c r="AD30" s="757" t="s">
        <v>616</v>
      </c>
    </row>
    <row r="31" spans="1:30" ht="39.75" customHeight="1">
      <c r="A31" s="1374" t="s">
        <v>617</v>
      </c>
      <c r="B31" s="1205" t="s">
        <v>111</v>
      </c>
      <c r="C31" s="1204">
        <v>46031</v>
      </c>
      <c r="D31" s="1204" t="s">
        <v>131</v>
      </c>
      <c r="E31" s="1204">
        <v>46002</v>
      </c>
      <c r="F31" s="1205" t="s">
        <v>144</v>
      </c>
      <c r="G31" s="1205" t="s">
        <v>618</v>
      </c>
      <c r="H31" s="1206">
        <v>0</v>
      </c>
      <c r="I31" s="1206" t="s">
        <v>366</v>
      </c>
      <c r="J31" s="1206" t="s">
        <v>63</v>
      </c>
      <c r="K31" s="469"/>
      <c r="L31" s="1204" t="s">
        <v>159</v>
      </c>
      <c r="M31" s="1206" t="s">
        <v>57</v>
      </c>
      <c r="N31" s="1207">
        <v>23475.5</v>
      </c>
      <c r="O31" s="1272" t="s">
        <v>57</v>
      </c>
      <c r="P31" s="1437" t="s">
        <v>367</v>
      </c>
      <c r="Q31" s="1257">
        <v>45999</v>
      </c>
      <c r="R31" s="124"/>
      <c r="S31" s="124"/>
      <c r="T31" s="193"/>
      <c r="U31" s="87" t="s">
        <v>547</v>
      </c>
      <c r="V31" s="1434">
        <v>1890</v>
      </c>
      <c r="W31" s="1430">
        <v>2048</v>
      </c>
      <c r="X31" s="1268">
        <f>SUM(V31-W31)</f>
        <v>-158</v>
      </c>
      <c r="Y31" s="1366">
        <f>IFERROR($W31/$V31, 0)</f>
        <v>1.0835978835978837</v>
      </c>
      <c r="Z31" s="1229">
        <v>46009</v>
      </c>
      <c r="AA31" s="1212">
        <v>1</v>
      </c>
      <c r="AB31" s="1212">
        <v>0</v>
      </c>
      <c r="AC31" s="645">
        <v>0</v>
      </c>
      <c r="AD31" s="1213" t="s">
        <v>619</v>
      </c>
    </row>
    <row r="32" spans="1:30" ht="39.75" customHeight="1">
      <c r="A32" s="1374" t="s">
        <v>620</v>
      </c>
      <c r="B32" s="1205" t="s">
        <v>111</v>
      </c>
      <c r="C32" s="1204">
        <v>46003</v>
      </c>
      <c r="D32" s="1204" t="s">
        <v>131</v>
      </c>
      <c r="E32" s="1204">
        <v>46002</v>
      </c>
      <c r="F32" s="1205" t="s">
        <v>144</v>
      </c>
      <c r="G32" s="1205"/>
      <c r="H32" s="1206">
        <v>0</v>
      </c>
      <c r="I32" s="1206" t="s">
        <v>366</v>
      </c>
      <c r="J32" s="1206" t="s">
        <v>63</v>
      </c>
      <c r="K32" s="1206"/>
      <c r="L32" s="1204" t="s">
        <v>159</v>
      </c>
      <c r="M32" s="1206" t="s">
        <v>57</v>
      </c>
      <c r="N32" s="1207">
        <v>11500.3</v>
      </c>
      <c r="O32" s="1272" t="s">
        <v>57</v>
      </c>
      <c r="P32" s="1437" t="s">
        <v>367</v>
      </c>
      <c r="Q32" s="1257">
        <v>45994</v>
      </c>
      <c r="R32" s="1257"/>
      <c r="S32" s="1257"/>
      <c r="T32" s="1439"/>
      <c r="U32" s="1103" t="s">
        <v>547</v>
      </c>
      <c r="V32" s="1133">
        <v>908</v>
      </c>
      <c r="W32" s="1435">
        <v>925</v>
      </c>
      <c r="X32" s="1367">
        <f>SUM(V32-W32)</f>
        <v>-17</v>
      </c>
      <c r="Y32" s="662">
        <f>IFERROR($W32/$V32, 0)</f>
        <v>1.0187224669603525</v>
      </c>
      <c r="Z32" s="1229">
        <v>46013</v>
      </c>
      <c r="AA32" s="1212">
        <v>1</v>
      </c>
      <c r="AB32" s="1212">
        <v>0</v>
      </c>
      <c r="AC32" s="645">
        <v>0</v>
      </c>
      <c r="AD32" s="1213" t="s">
        <v>621</v>
      </c>
    </row>
    <row r="33" spans="1:30" ht="39.75" customHeight="1">
      <c r="A33" s="929" t="s">
        <v>622</v>
      </c>
      <c r="B33" s="465" t="s">
        <v>111</v>
      </c>
      <c r="C33" s="476">
        <v>45991</v>
      </c>
      <c r="D33" s="467" t="s">
        <v>199</v>
      </c>
      <c r="E33" s="467">
        <v>45953</v>
      </c>
      <c r="F33" s="465" t="s">
        <v>144</v>
      </c>
      <c r="G33" s="682" t="s">
        <v>623</v>
      </c>
      <c r="H33" s="469">
        <v>0</v>
      </c>
      <c r="I33" s="469" t="s">
        <v>366</v>
      </c>
      <c r="J33" s="469" t="s">
        <v>63</v>
      </c>
      <c r="K33" s="469"/>
      <c r="L33" s="467" t="s">
        <v>159</v>
      </c>
      <c r="M33" s="469" t="s">
        <v>57</v>
      </c>
      <c r="N33" s="542">
        <v>51970</v>
      </c>
      <c r="O33" s="87" t="s">
        <v>57</v>
      </c>
      <c r="P33" s="1438" t="s">
        <v>367</v>
      </c>
      <c r="Q33" s="124">
        <v>45953</v>
      </c>
      <c r="R33" s="124"/>
      <c r="S33" s="124"/>
      <c r="T33" s="652"/>
      <c r="U33" s="486" t="s">
        <v>547</v>
      </c>
      <c r="V33" s="963">
        <v>4544</v>
      </c>
      <c r="W33" s="852">
        <v>4569</v>
      </c>
      <c r="X33" s="472">
        <f>SUM(V33-W33)</f>
        <v>-25</v>
      </c>
      <c r="Y33" s="662">
        <f>IFERROR($W33/$V33, 0)</f>
        <v>1.0055017605633803</v>
      </c>
      <c r="Z33" s="479">
        <v>45960</v>
      </c>
      <c r="AA33" s="355">
        <v>1</v>
      </c>
      <c r="AB33" s="355">
        <v>0</v>
      </c>
      <c r="AC33" s="472">
        <v>0</v>
      </c>
      <c r="AD33" s="1153" t="s">
        <v>624</v>
      </c>
    </row>
    <row r="34" spans="1:30" ht="39.75" customHeight="1">
      <c r="A34" s="929" t="s">
        <v>625</v>
      </c>
      <c r="B34" s="681" t="s">
        <v>111</v>
      </c>
      <c r="C34" s="476">
        <v>45991</v>
      </c>
      <c r="D34" s="467" t="s">
        <v>199</v>
      </c>
      <c r="E34" s="467">
        <v>45961</v>
      </c>
      <c r="F34" s="465" t="s">
        <v>112</v>
      </c>
      <c r="G34" s="682"/>
      <c r="H34" s="469">
        <v>0</v>
      </c>
      <c r="I34" s="469" t="s">
        <v>366</v>
      </c>
      <c r="J34" s="469" t="s">
        <v>63</v>
      </c>
      <c r="K34" s="469"/>
      <c r="L34" s="467" t="s">
        <v>159</v>
      </c>
      <c r="M34" s="469" t="s">
        <v>57</v>
      </c>
      <c r="N34" s="542">
        <v>39221.800000000003</v>
      </c>
      <c r="O34" s="1436" t="s">
        <v>57</v>
      </c>
      <c r="P34" s="1344" t="s">
        <v>367</v>
      </c>
      <c r="Q34" s="1432">
        <v>45950</v>
      </c>
      <c r="R34" s="1433"/>
      <c r="S34" s="1001"/>
      <c r="T34" s="471"/>
      <c r="U34" s="486" t="s">
        <v>547</v>
      </c>
      <c r="V34" s="416">
        <v>3078</v>
      </c>
      <c r="W34" s="951">
        <v>3272</v>
      </c>
      <c r="X34" s="472">
        <f t="shared" si="6"/>
        <v>-194</v>
      </c>
      <c r="Y34" s="662">
        <f t="shared" si="7"/>
        <v>1.0630279402209226</v>
      </c>
      <c r="Z34" s="479">
        <v>45966</v>
      </c>
      <c r="AA34" s="355">
        <v>1</v>
      </c>
      <c r="AB34" s="355">
        <v>1</v>
      </c>
      <c r="AC34" s="472">
        <v>0</v>
      </c>
      <c r="AD34" s="170" t="s">
        <v>626</v>
      </c>
    </row>
    <row r="35" spans="1:30" ht="39.75" customHeight="1">
      <c r="A35" s="842" t="s">
        <v>627</v>
      </c>
      <c r="B35" s="465" t="s">
        <v>111</v>
      </c>
      <c r="C35" s="476">
        <v>45960</v>
      </c>
      <c r="D35" s="467" t="s">
        <v>628</v>
      </c>
      <c r="E35" s="467">
        <v>45915</v>
      </c>
      <c r="F35" s="465" t="s">
        <v>629</v>
      </c>
      <c r="G35" s="682"/>
      <c r="H35" s="469">
        <v>384</v>
      </c>
      <c r="I35" s="661" t="s">
        <v>366</v>
      </c>
      <c r="J35" s="469" t="s">
        <v>56</v>
      </c>
      <c r="K35" s="469"/>
      <c r="L35" s="467">
        <v>45905</v>
      </c>
      <c r="M35" s="469" t="s">
        <v>57</v>
      </c>
      <c r="N35" s="542">
        <v>145985.5</v>
      </c>
      <c r="O35" s="469" t="s">
        <v>57</v>
      </c>
      <c r="P35" s="1107" t="s">
        <v>367</v>
      </c>
      <c r="Q35" s="1001">
        <v>45906</v>
      </c>
      <c r="R35" s="471"/>
      <c r="S35" s="471"/>
      <c r="T35" s="471"/>
      <c r="U35" s="486" t="s">
        <v>547</v>
      </c>
      <c r="V35" s="787">
        <v>14150</v>
      </c>
      <c r="W35" s="879">
        <v>15469</v>
      </c>
      <c r="X35" s="106">
        <f t="shared" si="6"/>
        <v>-1319</v>
      </c>
      <c r="Y35" s="657">
        <f t="shared" si="7"/>
        <v>1.0932155477031802</v>
      </c>
      <c r="Z35" s="678">
        <v>45926</v>
      </c>
      <c r="AA35" s="355">
        <v>1</v>
      </c>
      <c r="AB35" s="355">
        <v>1</v>
      </c>
      <c r="AC35" s="472">
        <v>0</v>
      </c>
      <c r="AD35" s="871" t="s">
        <v>630</v>
      </c>
    </row>
    <row r="36" spans="1:30" ht="39.75" customHeight="1">
      <c r="A36" s="929" t="s">
        <v>631</v>
      </c>
      <c r="B36" s="465" t="s">
        <v>111</v>
      </c>
      <c r="C36" s="476">
        <v>45930</v>
      </c>
      <c r="D36" s="467" t="s">
        <v>632</v>
      </c>
      <c r="E36" s="467">
        <v>45916</v>
      </c>
      <c r="F36" s="465" t="s">
        <v>112</v>
      </c>
      <c r="G36" s="682"/>
      <c r="H36" s="469">
        <v>84</v>
      </c>
      <c r="I36" s="661" t="s">
        <v>366</v>
      </c>
      <c r="J36" s="469" t="s">
        <v>56</v>
      </c>
      <c r="K36" s="469"/>
      <c r="L36" s="465" t="s">
        <v>367</v>
      </c>
      <c r="M36" s="469" t="s">
        <v>57</v>
      </c>
      <c r="N36" s="542">
        <v>30892</v>
      </c>
      <c r="O36" s="469" t="s">
        <v>57</v>
      </c>
      <c r="P36" s="806" t="s">
        <v>367</v>
      </c>
      <c r="Q36" s="471">
        <v>45911</v>
      </c>
      <c r="R36" s="471"/>
      <c r="S36" s="471"/>
      <c r="T36" s="471"/>
      <c r="U36" s="486" t="s">
        <v>547</v>
      </c>
      <c r="V36" s="787">
        <v>2811</v>
      </c>
      <c r="W36" s="879">
        <v>2732</v>
      </c>
      <c r="X36" s="106">
        <f>SUM(V36-W36)</f>
        <v>79</v>
      </c>
      <c r="Y36" s="22">
        <f>IFERROR($W36/$V36, 0)</f>
        <v>0.97189612237637857</v>
      </c>
      <c r="Z36" s="678">
        <v>45922</v>
      </c>
      <c r="AA36" s="355">
        <v>1</v>
      </c>
      <c r="AB36" s="355">
        <v>1</v>
      </c>
      <c r="AC36" s="472">
        <v>0</v>
      </c>
      <c r="AD36" s="664" t="s">
        <v>633</v>
      </c>
    </row>
    <row r="37" spans="1:30" ht="39.75" customHeight="1">
      <c r="A37" s="842" t="s">
        <v>634</v>
      </c>
      <c r="B37" s="823" t="s">
        <v>50</v>
      </c>
      <c r="C37" s="642">
        <v>45838</v>
      </c>
      <c r="D37" s="475" t="s">
        <v>635</v>
      </c>
      <c r="E37" s="476">
        <v>45727</v>
      </c>
      <c r="F37" s="475" t="s">
        <v>61</v>
      </c>
      <c r="G37" s="846" t="s">
        <v>636</v>
      </c>
      <c r="H37" s="478">
        <v>71</v>
      </c>
      <c r="I37" s="828" t="s">
        <v>366</v>
      </c>
      <c r="J37" s="478" t="s">
        <v>63</v>
      </c>
      <c r="K37" s="487"/>
      <c r="L37" s="476">
        <v>45728</v>
      </c>
      <c r="M37" s="478" t="s">
        <v>57</v>
      </c>
      <c r="N37" s="543">
        <v>60843.5</v>
      </c>
      <c r="O37" s="478" t="s">
        <v>57</v>
      </c>
      <c r="P37" s="806" t="s">
        <v>367</v>
      </c>
      <c r="Q37" s="479">
        <v>45722</v>
      </c>
      <c r="R37" s="479">
        <v>45917</v>
      </c>
      <c r="S37" s="479">
        <v>45939</v>
      </c>
      <c r="T37" s="479"/>
      <c r="U37" s="486" t="s">
        <v>547</v>
      </c>
      <c r="V37" s="847">
        <v>4979</v>
      </c>
      <c r="W37" s="742">
        <v>5020</v>
      </c>
      <c r="X37" s="472">
        <f t="shared" si="6"/>
        <v>-41</v>
      </c>
      <c r="Y37" s="662">
        <f t="shared" si="7"/>
        <v>1.0082345852580838</v>
      </c>
      <c r="Z37" s="479">
        <v>45741</v>
      </c>
      <c r="AA37" s="662">
        <v>1</v>
      </c>
      <c r="AB37" s="662">
        <v>1</v>
      </c>
      <c r="AC37" s="352">
        <v>0</v>
      </c>
      <c r="AD37" s="664" t="s">
        <v>637</v>
      </c>
    </row>
    <row r="38" spans="1:30" ht="39.75" customHeight="1">
      <c r="A38" s="927" t="s">
        <v>638</v>
      </c>
      <c r="B38" s="510" t="s">
        <v>50</v>
      </c>
      <c r="C38" s="496">
        <v>45772</v>
      </c>
      <c r="D38" s="511" t="s">
        <v>639</v>
      </c>
      <c r="E38" s="511">
        <v>45693</v>
      </c>
      <c r="F38" s="501" t="s">
        <v>61</v>
      </c>
      <c r="G38" s="512" t="s">
        <v>640</v>
      </c>
      <c r="H38" s="504">
        <v>86</v>
      </c>
      <c r="I38" s="506" t="s">
        <v>366</v>
      </c>
      <c r="J38" s="504" t="s">
        <v>63</v>
      </c>
      <c r="K38" s="504"/>
      <c r="L38" s="511">
        <v>45714</v>
      </c>
      <c r="M38" s="504" t="s">
        <v>57</v>
      </c>
      <c r="N38" s="545">
        <v>94170.5</v>
      </c>
      <c r="O38" s="504" t="s">
        <v>57</v>
      </c>
      <c r="P38" s="928" t="s">
        <v>367</v>
      </c>
      <c r="Q38" s="479">
        <v>45693</v>
      </c>
      <c r="R38" s="479">
        <v>45869</v>
      </c>
      <c r="S38" s="479">
        <v>45903</v>
      </c>
      <c r="T38" s="479"/>
      <c r="U38" s="486" t="s">
        <v>547</v>
      </c>
      <c r="V38" s="493">
        <v>7980</v>
      </c>
      <c r="W38" s="741">
        <v>7901</v>
      </c>
      <c r="X38" s="106">
        <f t="shared" si="6"/>
        <v>79</v>
      </c>
      <c r="Y38" s="22">
        <f t="shared" si="7"/>
        <v>0.99010025062656637</v>
      </c>
      <c r="Z38" s="678">
        <v>45713</v>
      </c>
      <c r="AA38" s="473">
        <v>1</v>
      </c>
      <c r="AB38" s="473">
        <v>1</v>
      </c>
      <c r="AC38" s="815">
        <v>0</v>
      </c>
      <c r="AD38" s="173" t="s">
        <v>641</v>
      </c>
    </row>
    <row r="39" spans="1:30" ht="39.75" customHeight="1">
      <c r="A39" s="927" t="s">
        <v>642</v>
      </c>
      <c r="B39" s="510" t="s">
        <v>50</v>
      </c>
      <c r="C39" s="496">
        <v>45772</v>
      </c>
      <c r="D39" s="511" t="s">
        <v>639</v>
      </c>
      <c r="E39" s="511">
        <v>45698</v>
      </c>
      <c r="F39" s="496" t="s">
        <v>61</v>
      </c>
      <c r="G39" s="512" t="s">
        <v>643</v>
      </c>
      <c r="H39" s="504">
        <v>89</v>
      </c>
      <c r="I39" s="504" t="s">
        <v>366</v>
      </c>
      <c r="J39" s="504" t="s">
        <v>63</v>
      </c>
      <c r="K39" s="504"/>
      <c r="L39" s="511">
        <v>45695</v>
      </c>
      <c r="M39" s="504" t="s">
        <v>57</v>
      </c>
      <c r="N39" s="546">
        <v>89698.5</v>
      </c>
      <c r="O39" s="504" t="s">
        <v>57</v>
      </c>
      <c r="P39" s="928" t="s">
        <v>367</v>
      </c>
      <c r="Q39" s="479">
        <v>45694</v>
      </c>
      <c r="R39" s="479">
        <v>45917</v>
      </c>
      <c r="S39" s="479">
        <v>45936</v>
      </c>
      <c r="T39" s="479"/>
      <c r="U39" s="486" t="s">
        <v>547</v>
      </c>
      <c r="V39" s="493">
        <v>7562</v>
      </c>
      <c r="W39" s="741">
        <v>7556</v>
      </c>
      <c r="X39" s="106">
        <f t="shared" si="6"/>
        <v>6</v>
      </c>
      <c r="Y39" s="22">
        <f t="shared" si="7"/>
        <v>0.99920655911134626</v>
      </c>
      <c r="Z39" s="678">
        <v>45709</v>
      </c>
      <c r="AA39" s="473">
        <v>1</v>
      </c>
      <c r="AB39" s="473">
        <v>1</v>
      </c>
      <c r="AC39" s="815">
        <v>0</v>
      </c>
      <c r="AD39" s="201" t="s">
        <v>644</v>
      </c>
    </row>
    <row r="40" spans="1:30" ht="39.75" customHeight="1">
      <c r="A40" s="848" t="s">
        <v>645</v>
      </c>
      <c r="B40" s="823" t="s">
        <v>50</v>
      </c>
      <c r="C40" s="476">
        <v>45772</v>
      </c>
      <c r="D40" s="476" t="s">
        <v>635</v>
      </c>
      <c r="E40" s="826">
        <v>45686</v>
      </c>
      <c r="F40" s="475" t="s">
        <v>61</v>
      </c>
      <c r="G40" s="849" t="s">
        <v>646</v>
      </c>
      <c r="H40" s="828">
        <v>77</v>
      </c>
      <c r="I40" s="661" t="s">
        <v>366</v>
      </c>
      <c r="J40" s="828" t="s">
        <v>63</v>
      </c>
      <c r="K40" s="828"/>
      <c r="L40" s="826">
        <v>45686</v>
      </c>
      <c r="M40" s="828" t="s">
        <v>57</v>
      </c>
      <c r="N40" s="850">
        <v>61924</v>
      </c>
      <c r="O40" s="828" t="s">
        <v>57</v>
      </c>
      <c r="P40" s="806" t="s">
        <v>367</v>
      </c>
      <c r="Q40" s="479">
        <v>45692</v>
      </c>
      <c r="R40" s="479">
        <v>45847</v>
      </c>
      <c r="S40" s="479">
        <v>45852</v>
      </c>
      <c r="T40" s="479"/>
      <c r="U40" s="486" t="s">
        <v>547</v>
      </c>
      <c r="V40" s="851">
        <v>5005</v>
      </c>
      <c r="W40" s="852">
        <v>4996</v>
      </c>
      <c r="X40" s="472">
        <f t="shared" si="6"/>
        <v>9</v>
      </c>
      <c r="Y40" s="662">
        <f t="shared" si="7"/>
        <v>0.99820179820179822</v>
      </c>
      <c r="Z40" s="479">
        <v>45708</v>
      </c>
      <c r="AA40" s="662">
        <v>1</v>
      </c>
      <c r="AB40" s="662">
        <v>1</v>
      </c>
      <c r="AC40" s="815">
        <v>0</v>
      </c>
      <c r="AD40" s="853" t="s">
        <v>647</v>
      </c>
    </row>
    <row r="41" spans="1:30" ht="39.75" customHeight="1">
      <c r="A41" s="848" t="s">
        <v>648</v>
      </c>
      <c r="B41" s="823" t="s">
        <v>50</v>
      </c>
      <c r="C41" s="476">
        <v>45772</v>
      </c>
      <c r="D41" s="826" t="s">
        <v>649</v>
      </c>
      <c r="E41" s="826">
        <v>45694</v>
      </c>
      <c r="F41" s="826" t="s">
        <v>61</v>
      </c>
      <c r="G41" s="849" t="s">
        <v>650</v>
      </c>
      <c r="H41" s="828">
        <v>84</v>
      </c>
      <c r="I41" s="661" t="s">
        <v>366</v>
      </c>
      <c r="J41" s="828" t="s">
        <v>63</v>
      </c>
      <c r="K41" s="828"/>
      <c r="L41" s="826">
        <v>45698</v>
      </c>
      <c r="M41" s="828" t="s">
        <v>57</v>
      </c>
      <c r="N41" s="850">
        <v>63402.5</v>
      </c>
      <c r="O41" s="828" t="s">
        <v>57</v>
      </c>
      <c r="P41" s="806" t="s">
        <v>367</v>
      </c>
      <c r="Q41" s="479">
        <v>45695</v>
      </c>
      <c r="R41" s="479">
        <v>45847</v>
      </c>
      <c r="S41" s="479">
        <v>45852</v>
      </c>
      <c r="T41" s="479"/>
      <c r="U41" s="486" t="s">
        <v>547</v>
      </c>
      <c r="V41" s="847">
        <v>4979</v>
      </c>
      <c r="W41" s="852">
        <v>4984</v>
      </c>
      <c r="X41" s="472">
        <f t="shared" si="6"/>
        <v>-5</v>
      </c>
      <c r="Y41" s="662">
        <f t="shared" si="7"/>
        <v>1.0010042177144005</v>
      </c>
      <c r="Z41" s="479">
        <v>45714</v>
      </c>
      <c r="AA41" s="662">
        <v>1</v>
      </c>
      <c r="AB41" s="662">
        <v>1</v>
      </c>
      <c r="AC41" s="815">
        <v>0</v>
      </c>
      <c r="AD41" s="148" t="s">
        <v>651</v>
      </c>
    </row>
    <row r="42" spans="1:30" ht="39.75" customHeight="1">
      <c r="A42" s="1098" t="s">
        <v>652</v>
      </c>
      <c r="B42" s="378" t="s">
        <v>50</v>
      </c>
      <c r="C42" s="51">
        <v>45742</v>
      </c>
      <c r="D42" s="1086" t="s">
        <v>653</v>
      </c>
      <c r="E42" s="381">
        <v>45680</v>
      </c>
      <c r="F42" s="50" t="s">
        <v>61</v>
      </c>
      <c r="G42" s="572" t="s">
        <v>654</v>
      </c>
      <c r="H42" s="52">
        <v>79</v>
      </c>
      <c r="I42" s="1088" t="s">
        <v>543</v>
      </c>
      <c r="J42" s="977" t="s">
        <v>63</v>
      </c>
      <c r="K42" s="52"/>
      <c r="L42" s="374" t="s">
        <v>367</v>
      </c>
      <c r="M42" s="380" t="s">
        <v>57</v>
      </c>
      <c r="N42" s="1076">
        <v>64790.5</v>
      </c>
      <c r="O42" s="380" t="s">
        <v>57</v>
      </c>
      <c r="P42" s="1099" t="s">
        <v>367</v>
      </c>
      <c r="Q42" s="54">
        <v>45675</v>
      </c>
      <c r="R42" s="54">
        <v>45917</v>
      </c>
      <c r="S42" s="54">
        <v>45931</v>
      </c>
      <c r="T42" s="54"/>
      <c r="U42" s="486" t="s">
        <v>547</v>
      </c>
      <c r="V42" s="31">
        <v>4975</v>
      </c>
      <c r="W42" s="1100">
        <v>4975</v>
      </c>
      <c r="X42" s="106">
        <f t="shared" si="6"/>
        <v>0</v>
      </c>
      <c r="Y42" s="22">
        <f t="shared" si="7"/>
        <v>1</v>
      </c>
      <c r="Z42" s="195">
        <v>45680</v>
      </c>
      <c r="AA42" s="355">
        <v>0</v>
      </c>
      <c r="AB42" s="355">
        <v>0</v>
      </c>
      <c r="AC42" s="815">
        <v>0</v>
      </c>
      <c r="AD42" s="69" t="s">
        <v>655</v>
      </c>
    </row>
    <row r="43" spans="1:30" ht="39.75" customHeight="1">
      <c r="A43" s="842" t="s">
        <v>656</v>
      </c>
      <c r="B43" s="823" t="s">
        <v>50</v>
      </c>
      <c r="C43" s="467">
        <v>45960</v>
      </c>
      <c r="D43" s="465" t="s">
        <v>229</v>
      </c>
      <c r="E43" s="467">
        <v>45927</v>
      </c>
      <c r="F43" s="465" t="s">
        <v>539</v>
      </c>
      <c r="G43" s="682" t="s">
        <v>657</v>
      </c>
      <c r="H43" s="469">
        <v>86</v>
      </c>
      <c r="I43" s="661" t="s">
        <v>366</v>
      </c>
      <c r="J43" s="469" t="s">
        <v>63</v>
      </c>
      <c r="K43" s="478"/>
      <c r="L43" s="467">
        <v>45917</v>
      </c>
      <c r="M43" s="469" t="s">
        <v>57</v>
      </c>
      <c r="N43" s="542">
        <v>45500</v>
      </c>
      <c r="O43" s="469" t="s">
        <v>57</v>
      </c>
      <c r="P43" s="806" t="s">
        <v>367</v>
      </c>
      <c r="Q43" s="471">
        <v>45917</v>
      </c>
      <c r="R43" s="471">
        <v>45944</v>
      </c>
      <c r="S43" s="471">
        <v>45951</v>
      </c>
      <c r="T43" s="471"/>
      <c r="U43" s="486" t="s">
        <v>547</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658</v>
      </c>
      <c r="B44" s="823" t="s">
        <v>50</v>
      </c>
      <c r="C44" s="467">
        <v>45991</v>
      </c>
      <c r="D44" s="467" t="s">
        <v>71</v>
      </c>
      <c r="E44" s="476">
        <v>45743</v>
      </c>
      <c r="F44" s="475" t="s">
        <v>61</v>
      </c>
      <c r="G44" s="824" t="s">
        <v>659</v>
      </c>
      <c r="H44" s="478">
        <v>70</v>
      </c>
      <c r="I44" s="661" t="s">
        <v>366</v>
      </c>
      <c r="J44" s="469" t="s">
        <v>63</v>
      </c>
      <c r="K44" s="825"/>
      <c r="L44" s="476">
        <v>45741</v>
      </c>
      <c r="M44" s="469" t="s">
        <v>57</v>
      </c>
      <c r="N44" s="543">
        <v>67735.5</v>
      </c>
      <c r="O44" s="469" t="s">
        <v>57</v>
      </c>
      <c r="P44" s="806" t="s">
        <v>367</v>
      </c>
      <c r="Q44" s="479">
        <v>45779</v>
      </c>
      <c r="R44" s="479"/>
      <c r="S44" s="479"/>
      <c r="T44" s="479"/>
      <c r="U44" s="486" t="s">
        <v>547</v>
      </c>
      <c r="V44" s="41">
        <v>6152</v>
      </c>
      <c r="W44" s="742">
        <v>5723</v>
      </c>
      <c r="X44" s="106">
        <f>SUM(V44-W44)</f>
        <v>429</v>
      </c>
      <c r="Y44" s="657">
        <f>IFERROR($W44/$V44, 0)</f>
        <v>0.9302665799739922</v>
      </c>
      <c r="Z44" s="678">
        <v>45792</v>
      </c>
      <c r="AA44" s="355">
        <v>0</v>
      </c>
      <c r="AB44" s="355">
        <v>0</v>
      </c>
      <c r="AC44" s="645">
        <v>0</v>
      </c>
      <c r="AD44" s="353" t="s">
        <v>660</v>
      </c>
    </row>
    <row r="45" spans="1:30" ht="39.75" customHeight="1">
      <c r="A45" s="878" t="s">
        <v>661</v>
      </c>
      <c r="B45" s="823" t="s">
        <v>50</v>
      </c>
      <c r="C45" s="826">
        <v>45716</v>
      </c>
      <c r="D45" s="826" t="s">
        <v>71</v>
      </c>
      <c r="E45" s="826">
        <v>45701</v>
      </c>
      <c r="F45" s="475" t="s">
        <v>61</v>
      </c>
      <c r="G45" s="849" t="s">
        <v>552</v>
      </c>
      <c r="H45" s="828">
        <v>0</v>
      </c>
      <c r="I45" s="828" t="s">
        <v>367</v>
      </c>
      <c r="J45" s="828" t="s">
        <v>63</v>
      </c>
      <c r="K45" s="828"/>
      <c r="L45" s="826">
        <v>45705</v>
      </c>
      <c r="M45" s="828" t="s">
        <v>57</v>
      </c>
      <c r="N45" s="850">
        <v>1295</v>
      </c>
      <c r="O45" s="828" t="s">
        <v>57</v>
      </c>
      <c r="P45" s="806" t="s">
        <v>367</v>
      </c>
      <c r="Q45" s="513">
        <v>45706</v>
      </c>
      <c r="R45" s="513">
        <v>45826</v>
      </c>
      <c r="S45" s="513"/>
      <c r="T45" s="513"/>
      <c r="U45" s="486" t="s">
        <v>547</v>
      </c>
      <c r="V45" s="851">
        <v>153</v>
      </c>
      <c r="W45" s="741">
        <v>153</v>
      </c>
      <c r="X45" s="106">
        <f t="shared" si="6"/>
        <v>0</v>
      </c>
      <c r="Y45" s="657">
        <f t="shared" si="7"/>
        <v>1</v>
      </c>
      <c r="Z45" s="678">
        <v>45754</v>
      </c>
      <c r="AA45" s="473">
        <v>1</v>
      </c>
      <c r="AB45" s="473">
        <v>1</v>
      </c>
      <c r="AC45" s="815">
        <v>0</v>
      </c>
      <c r="AD45" s="173" t="s">
        <v>662</v>
      </c>
    </row>
    <row r="46" spans="1:30" ht="39.75" customHeight="1">
      <c r="A46" s="842" t="s">
        <v>663</v>
      </c>
      <c r="B46" s="788" t="s">
        <v>50</v>
      </c>
      <c r="C46" s="887">
        <v>46008</v>
      </c>
      <c r="D46" s="1087" t="s">
        <v>664</v>
      </c>
      <c r="E46" s="57">
        <v>45952</v>
      </c>
      <c r="F46" s="771" t="s">
        <v>539</v>
      </c>
      <c r="G46" s="789"/>
      <c r="H46" s="775">
        <v>139</v>
      </c>
      <c r="I46" s="661" t="s">
        <v>366</v>
      </c>
      <c r="J46" s="469" t="s">
        <v>56</v>
      </c>
      <c r="K46" s="775"/>
      <c r="L46" s="57" t="s">
        <v>52</v>
      </c>
      <c r="M46" s="977" t="s">
        <v>57</v>
      </c>
      <c r="N46" s="1076">
        <v>42766.5</v>
      </c>
      <c r="O46" s="52" t="s">
        <v>57</v>
      </c>
      <c r="P46" s="1099" t="s">
        <v>367</v>
      </c>
      <c r="Q46" s="54">
        <v>45939</v>
      </c>
      <c r="R46" s="195"/>
      <c r="S46" s="54"/>
      <c r="T46" s="54"/>
      <c r="U46" s="486" t="s">
        <v>547</v>
      </c>
      <c r="V46" s="31">
        <v>6699</v>
      </c>
      <c r="W46" s="1440">
        <v>7175</v>
      </c>
      <c r="X46" s="472">
        <f>SUM(V46-W46)</f>
        <v>-476</v>
      </c>
      <c r="Y46" s="982">
        <f>IFERROR($W46/$V46, 0)</f>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40" activePane="topRight" state="frozen"/>
      <selection pane="topRight" activeCell="A100" sqref="A10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204</v>
      </c>
      <c r="C2" s="51">
        <v>45807</v>
      </c>
      <c r="D2" s="51" t="s">
        <v>669</v>
      </c>
      <c r="E2" s="51">
        <v>45706</v>
      </c>
      <c r="F2" s="50" t="s">
        <v>219</v>
      </c>
      <c r="G2" s="382" t="s">
        <v>670</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204</v>
      </c>
      <c r="C3" s="375">
        <v>45991</v>
      </c>
      <c r="D3" s="50" t="s">
        <v>673</v>
      </c>
      <c r="E3" s="51">
        <v>45735</v>
      </c>
      <c r="F3" s="50" t="s">
        <v>219</v>
      </c>
      <c r="G3" s="379" t="s">
        <v>674</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162</v>
      </c>
      <c r="G6" s="573" t="s">
        <v>682</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162</v>
      </c>
      <c r="G9" s="379" t="s">
        <v>690</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162</v>
      </c>
      <c r="G10" s="672" t="s">
        <v>72</v>
      </c>
      <c r="H10" s="376">
        <v>54</v>
      </c>
      <c r="I10" s="667" t="s">
        <v>543</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543</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162</v>
      </c>
      <c r="G12" s="670" t="s">
        <v>697</v>
      </c>
      <c r="H12" s="52">
        <v>56</v>
      </c>
      <c r="I12" s="660" t="s">
        <v>543</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162</v>
      </c>
      <c r="G13" s="573" t="s">
        <v>699</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162</v>
      </c>
      <c r="G14" s="670" t="s">
        <v>701</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543</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543</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162</v>
      </c>
      <c r="G19" s="666" t="s">
        <v>713</v>
      </c>
      <c r="H19" s="52">
        <v>65</v>
      </c>
      <c r="I19" s="660" t="s">
        <v>543</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543</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162</v>
      </c>
      <c r="G21" s="670" t="s">
        <v>717</v>
      </c>
      <c r="H21" s="52">
        <v>50</v>
      </c>
      <c r="I21" s="52" t="s">
        <v>543</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162</v>
      </c>
      <c r="G22" s="670" t="s">
        <v>719</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162</v>
      </c>
      <c r="G24" s="670" t="s">
        <v>723</v>
      </c>
      <c r="H24" s="52">
        <v>51</v>
      </c>
      <c r="I24" s="660" t="s">
        <v>543</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162</v>
      </c>
      <c r="G25" s="670" t="s">
        <v>725</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162</v>
      </c>
      <c r="G27" s="572" t="s">
        <v>729</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366</v>
      </c>
      <c r="J28" s="376" t="s">
        <v>63</v>
      </c>
      <c r="K28" s="375">
        <v>45840</v>
      </c>
      <c r="L28" s="376" t="s">
        <v>57</v>
      </c>
      <c r="M28" s="429">
        <v>10430.549999999999</v>
      </c>
      <c r="N28" s="426">
        <v>37639.800000000003</v>
      </c>
      <c r="O28" s="376" t="s">
        <v>57</v>
      </c>
      <c r="P28" s="1418" t="s">
        <v>367</v>
      </c>
      <c r="Q28" s="124">
        <v>45840</v>
      </c>
      <c r="R28" s="106">
        <v>2773</v>
      </c>
      <c r="S28" s="495">
        <v>2659</v>
      </c>
      <c r="T28" s="146">
        <v>0</v>
      </c>
      <c r="U28" s="875">
        <v>0.96</v>
      </c>
      <c r="V28" s="195">
        <v>45859</v>
      </c>
      <c r="W28" s="34">
        <v>1</v>
      </c>
      <c r="X28" s="34">
        <v>1</v>
      </c>
      <c r="Y28" s="34">
        <v>1</v>
      </c>
      <c r="Z28" s="124">
        <v>45875</v>
      </c>
      <c r="AA28" s="902" t="s">
        <v>169</v>
      </c>
    </row>
    <row r="29" spans="1:27" ht="39.75" customHeight="1">
      <c r="A29" s="373" t="s">
        <v>732</v>
      </c>
      <c r="B29" s="374" t="s">
        <v>111</v>
      </c>
      <c r="C29" s="51">
        <v>45868</v>
      </c>
      <c r="D29" s="589" t="s">
        <v>131</v>
      </c>
      <c r="E29" s="589">
        <v>45840</v>
      </c>
      <c r="F29" s="375" t="s">
        <v>112</v>
      </c>
      <c r="G29" s="374" t="s">
        <v>733</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162</v>
      </c>
      <c r="G31" s="374" t="s">
        <v>739</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162</v>
      </c>
      <c r="G37" s="780" t="s">
        <v>756</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366</v>
      </c>
      <c r="J38" s="909" t="s">
        <v>63</v>
      </c>
      <c r="K38" s="375">
        <v>45848</v>
      </c>
      <c r="L38" s="376" t="s">
        <v>57</v>
      </c>
      <c r="M38" s="999">
        <v>23436.55</v>
      </c>
      <c r="N38" s="426">
        <v>15484.65</v>
      </c>
      <c r="O38" s="376" t="s">
        <v>57</v>
      </c>
      <c r="P38" s="1050" t="s">
        <v>367</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162</v>
      </c>
      <c r="G39" s="1161" t="s">
        <v>760</v>
      </c>
      <c r="H39" s="1162">
        <v>0</v>
      </c>
      <c r="I39" s="1163" t="s">
        <v>366</v>
      </c>
      <c r="J39" s="1162" t="s">
        <v>63</v>
      </c>
      <c r="K39" s="51" t="s">
        <v>52</v>
      </c>
      <c r="L39" s="376" t="s">
        <v>57</v>
      </c>
      <c r="M39" s="429">
        <v>1343</v>
      </c>
      <c r="N39" s="1165">
        <v>2310</v>
      </c>
      <c r="O39" s="376" t="s">
        <v>57</v>
      </c>
      <c r="P39" s="1050" t="s">
        <v>367</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162</v>
      </c>
      <c r="G40" s="1030" t="s">
        <v>763</v>
      </c>
      <c r="H40" s="959">
        <v>0</v>
      </c>
      <c r="I40" s="959" t="s">
        <v>366</v>
      </c>
      <c r="J40" s="959" t="s">
        <v>63</v>
      </c>
      <c r="K40" s="942">
        <v>45870</v>
      </c>
      <c r="L40" s="959" t="s">
        <v>57</v>
      </c>
      <c r="M40" s="961">
        <v>49307.5</v>
      </c>
      <c r="N40" s="426">
        <v>47409</v>
      </c>
      <c r="O40" s="959" t="s">
        <v>57</v>
      </c>
      <c r="P40" s="1188" t="s">
        <v>367</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162</v>
      </c>
      <c r="G41" s="773" t="s">
        <v>766</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162</v>
      </c>
      <c r="G42" s="1030" t="s">
        <v>769</v>
      </c>
      <c r="H42" s="959">
        <v>0</v>
      </c>
      <c r="I42" s="959" t="s">
        <v>366</v>
      </c>
      <c r="J42" s="959" t="s">
        <v>63</v>
      </c>
      <c r="K42" s="942">
        <v>45870</v>
      </c>
      <c r="L42" s="959" t="s">
        <v>57</v>
      </c>
      <c r="M42" s="961">
        <v>12886.4</v>
      </c>
      <c r="N42" s="1165">
        <v>18418.349999999999</v>
      </c>
      <c r="O42" s="959" t="s">
        <v>57</v>
      </c>
      <c r="P42" s="1189" t="s">
        <v>367</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366</v>
      </c>
      <c r="J43" s="1162" t="s">
        <v>63</v>
      </c>
      <c r="K43" s="942">
        <v>45868</v>
      </c>
      <c r="L43" s="959" t="s">
        <v>57</v>
      </c>
      <c r="M43" s="961">
        <v>14179.65</v>
      </c>
      <c r="N43" s="1165">
        <v>15936.8</v>
      </c>
      <c r="O43" s="959" t="s">
        <v>57</v>
      </c>
      <c r="P43" s="1188" t="s">
        <v>367</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366</v>
      </c>
      <c r="J44" s="1176" t="s">
        <v>63</v>
      </c>
      <c r="K44" s="907">
        <v>45902</v>
      </c>
      <c r="L44" s="909" t="s">
        <v>57</v>
      </c>
      <c r="M44" s="1172">
        <v>3067.9</v>
      </c>
      <c r="N44" s="1165">
        <v>8729.7000000000007</v>
      </c>
      <c r="O44" s="909" t="s">
        <v>57</v>
      </c>
      <c r="P44" s="1035" t="s">
        <v>367</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366</v>
      </c>
      <c r="J45" s="909" t="s">
        <v>63</v>
      </c>
      <c r="K45" s="375">
        <v>45848</v>
      </c>
      <c r="L45" s="376" t="s">
        <v>57</v>
      </c>
      <c r="M45" s="429">
        <v>1206</v>
      </c>
      <c r="N45" s="426">
        <v>1195</v>
      </c>
      <c r="O45" s="376" t="s">
        <v>57</v>
      </c>
      <c r="P45" s="1050" t="s">
        <v>367</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366</v>
      </c>
      <c r="J46" s="909" t="s">
        <v>63</v>
      </c>
      <c r="K46" s="907" t="s">
        <v>52</v>
      </c>
      <c r="L46" s="909" t="s">
        <v>57</v>
      </c>
      <c r="M46" s="1172">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366</v>
      </c>
      <c r="J47" s="502" t="s">
        <v>63</v>
      </c>
      <c r="K47" s="503" t="s">
        <v>784</v>
      </c>
      <c r="L47" s="502" t="s">
        <v>57</v>
      </c>
      <c r="M47" s="895">
        <v>21888.65</v>
      </c>
      <c r="N47" s="426">
        <v>21950.85</v>
      </c>
      <c r="O47" s="502" t="s">
        <v>57</v>
      </c>
      <c r="P47" s="1097" t="s">
        <v>367</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162</v>
      </c>
      <c r="G49" s="573" t="s">
        <v>789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543</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366</v>
      </c>
      <c r="J51" s="791" t="s">
        <v>63</v>
      </c>
      <c r="K51" s="503">
        <v>45817</v>
      </c>
      <c r="L51" s="502" t="s">
        <v>57</v>
      </c>
      <c r="M51" s="895">
        <v>75953</v>
      </c>
      <c r="N51" s="968">
        <v>61562</v>
      </c>
      <c r="O51" s="502" t="s">
        <v>57</v>
      </c>
      <c r="P51" s="1340"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549</v>
      </c>
      <c r="E53" s="51">
        <v>45727</v>
      </c>
      <c r="F53" s="50" t="s">
        <v>799</v>
      </c>
      <c r="G53" s="588" t="s">
        <v>800</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635</v>
      </c>
      <c r="E55" s="51">
        <v>45716</v>
      </c>
      <c r="F55" s="50" t="s">
        <v>805</v>
      </c>
      <c r="G55" s="668" t="s">
        <v>806</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635</v>
      </c>
      <c r="E58" s="658">
        <v>45695</v>
      </c>
      <c r="F58" s="50" t="s">
        <v>805</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639</v>
      </c>
      <c r="E61" s="381">
        <v>45692</v>
      </c>
      <c r="F61" s="51" t="s">
        <v>799</v>
      </c>
      <c r="G61" s="572" t="s">
        <v>820</v>
      </c>
      <c r="H61" s="380">
        <v>90</v>
      </c>
      <c r="I61" s="380" t="s">
        <v>543</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543</v>
      </c>
      <c r="J62" s="775" t="s">
        <v>63</v>
      </c>
      <c r="K62" s="496">
        <v>45677</v>
      </c>
      <c r="L62" s="960" t="s">
        <v>57</v>
      </c>
      <c r="M62" s="776">
        <v>78075.5</v>
      </c>
      <c r="N62" s="639">
        <v>75360</v>
      </c>
      <c r="O62" s="960" t="s">
        <v>57</v>
      </c>
      <c r="P62" s="1097"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653</v>
      </c>
      <c r="E63" s="658">
        <v>45692</v>
      </c>
      <c r="F63" s="658" t="s">
        <v>205</v>
      </c>
      <c r="G63" s="659" t="s">
        <v>827</v>
      </c>
      <c r="H63" s="52">
        <v>86</v>
      </c>
      <c r="I63" s="660" t="s">
        <v>543</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639</v>
      </c>
      <c r="E64" s="908">
        <v>45695</v>
      </c>
      <c r="F64" s="907" t="s">
        <v>61</v>
      </c>
      <c r="G64" s="1171" t="s">
        <v>830</v>
      </c>
      <c r="H64" s="909">
        <v>88</v>
      </c>
      <c r="I64" s="910" t="s">
        <v>543</v>
      </c>
      <c r="J64" s="909" t="s">
        <v>63</v>
      </c>
      <c r="K64" s="905" t="s">
        <v>367</v>
      </c>
      <c r="L64" s="910" t="s">
        <v>57</v>
      </c>
      <c r="M64" s="429">
        <v>43130</v>
      </c>
      <c r="N64" s="426">
        <v>43560</v>
      </c>
      <c r="O64" s="667" t="s">
        <v>57</v>
      </c>
      <c r="P64" s="1050" t="s">
        <v>367</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543</v>
      </c>
      <c r="J65" s="977" t="s">
        <v>63</v>
      </c>
      <c r="K65" s="1193">
        <v>45706</v>
      </c>
      <c r="L65" s="976" t="s">
        <v>57</v>
      </c>
      <c r="M65" s="426">
        <v>69212.5</v>
      </c>
      <c r="N65" s="426">
        <v>70500</v>
      </c>
      <c r="O65" s="660" t="s">
        <v>57</v>
      </c>
      <c r="P65" s="1050" t="s">
        <v>367</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205</v>
      </c>
      <c r="G67" s="379" t="s">
        <v>841</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649</v>
      </c>
      <c r="E68" s="985">
        <v>45743</v>
      </c>
      <c r="F68" s="911" t="s">
        <v>61</v>
      </c>
      <c r="G68" s="986" t="s">
        <v>843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653</v>
      </c>
      <c r="E69" s="658">
        <v>45691</v>
      </c>
      <c r="F69" s="658" t="s">
        <v>205</v>
      </c>
      <c r="G69" s="659" t="s">
        <v>846</v>
      </c>
      <c r="H69" s="52">
        <v>73</v>
      </c>
      <c r="I69" s="667" t="s">
        <v>543</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205</v>
      </c>
      <c r="G70" s="572" t="s">
        <v>849</v>
      </c>
      <c r="H70" s="52">
        <v>65</v>
      </c>
      <c r="I70" s="380" t="s">
        <v>543</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635</v>
      </c>
      <c r="E71" s="51">
        <v>45743</v>
      </c>
      <c r="F71" s="50" t="s">
        <v>805</v>
      </c>
      <c r="G71" s="379" t="s">
        <v>851</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635</v>
      </c>
      <c r="E72" s="51">
        <v>45743</v>
      </c>
      <c r="F72" s="50" t="s">
        <v>805</v>
      </c>
      <c r="G72" s="670" t="s">
        <v>853</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205</v>
      </c>
      <c r="G74" s="379" t="s">
        <v>857</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635</v>
      </c>
      <c r="E80" s="51">
        <v>45807</v>
      </c>
      <c r="F80" s="374" t="s">
        <v>805</v>
      </c>
      <c r="G80" s="374" t="s">
        <v>873</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635</v>
      </c>
      <c r="E83" s="658">
        <v>45684</v>
      </c>
      <c r="F83" s="50" t="s">
        <v>805</v>
      </c>
      <c r="G83" s="659" t="s">
        <v>879</v>
      </c>
      <c r="H83" s="52">
        <v>90</v>
      </c>
      <c r="I83" s="660" t="s">
        <v>543</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639</v>
      </c>
      <c r="E84" s="51">
        <v>45716</v>
      </c>
      <c r="F84" s="50" t="s">
        <v>799</v>
      </c>
      <c r="G84" s="670" t="s">
        <v>881</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543</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205</v>
      </c>
      <c r="G87" s="382" t="s">
        <v>889</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639</v>
      </c>
      <c r="E88" s="658">
        <v>45692</v>
      </c>
      <c r="F88" s="658" t="s">
        <v>799</v>
      </c>
      <c r="G88" s="659" t="s">
        <v>892</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635</v>
      </c>
      <c r="E89" s="658">
        <v>45686</v>
      </c>
      <c r="F89" s="50" t="s">
        <v>805</v>
      </c>
      <c r="G89" s="659" t="s">
        <v>894</v>
      </c>
      <c r="H89" s="52">
        <v>85</v>
      </c>
      <c r="I89" s="667" t="s">
        <v>366</v>
      </c>
      <c r="J89" s="52" t="s">
        <v>63</v>
      </c>
      <c r="K89" s="51">
        <v>45698</v>
      </c>
      <c r="L89" s="1194" t="s">
        <v>57</v>
      </c>
      <c r="M89" s="426">
        <v>67892.5</v>
      </c>
      <c r="N89" s="426">
        <v>65771.429999999993</v>
      </c>
      <c r="O89" s="660" t="s">
        <v>57</v>
      </c>
      <c r="P89" s="354" t="s">
        <v>367</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543</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205</v>
      </c>
      <c r="G92" s="794" t="s">
        <v>902</v>
      </c>
      <c r="H92" s="775">
        <v>85</v>
      </c>
      <c r="I92" s="781" t="s">
        <v>366</v>
      </c>
      <c r="J92" s="775" t="s">
        <v>63</v>
      </c>
      <c r="K92" s="57">
        <v>45707</v>
      </c>
      <c r="L92" s="775" t="s">
        <v>57</v>
      </c>
      <c r="M92" s="426" t="s">
        <v>903</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366</v>
      </c>
      <c r="J95" s="791" t="s">
        <v>63</v>
      </c>
      <c r="K95" s="496">
        <v>45741</v>
      </c>
      <c r="L95" s="502" t="s">
        <v>57</v>
      </c>
      <c r="M95" s="776">
        <v>75396.5</v>
      </c>
      <c r="N95" s="639">
        <v>75756.5</v>
      </c>
      <c r="O95" s="502" t="s">
        <v>57</v>
      </c>
      <c r="P95" s="1340"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205</v>
      </c>
      <c r="G96" s="827" t="s">
        <v>912</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205</v>
      </c>
      <c r="G97" s="794" t="s">
        <v>915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205</v>
      </c>
      <c r="G98" s="1040" t="s">
        <v>917</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639</v>
      </c>
      <c r="E99" s="77">
        <v>45700</v>
      </c>
      <c r="F99" s="77" t="s">
        <v>799</v>
      </c>
      <c r="G99" s="1040" t="s">
        <v>919</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543</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635</v>
      </c>
      <c r="E102" s="57">
        <v>45695</v>
      </c>
      <c r="F102" s="771" t="s">
        <v>805</v>
      </c>
      <c r="G102" s="794" t="s">
        <v>926</v>
      </c>
      <c r="H102" s="775">
        <v>0</v>
      </c>
      <c r="I102" s="790" t="s">
        <v>543</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541</v>
      </c>
      <c r="E103" s="772" t="s">
        <v>52</v>
      </c>
      <c r="F103" s="772" t="s">
        <v>928</v>
      </c>
      <c r="G103" s="804" t="s">
        <v>929</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366</v>
      </c>
      <c r="J105" s="52" t="s">
        <v>63</v>
      </c>
      <c r="K105" s="985" t="s">
        <v>52</v>
      </c>
      <c r="L105" s="976" t="s">
        <v>57</v>
      </c>
      <c r="M105" s="1183">
        <v>1594</v>
      </c>
      <c r="N105" s="426">
        <v>1187.5</v>
      </c>
      <c r="O105" s="976" t="s">
        <v>57</v>
      </c>
      <c r="P105" s="1035" t="s">
        <v>367</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204</v>
      </c>
      <c r="C112" s="51">
        <v>45711</v>
      </c>
      <c r="D112" s="50" t="s">
        <v>131</v>
      </c>
      <c r="E112" s="51">
        <v>45707</v>
      </c>
      <c r="F112" s="50" t="s">
        <v>942</v>
      </c>
      <c r="G112" s="379" t="s">
        <v>943</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204</v>
      </c>
      <c r="C113" s="467">
        <v>45960</v>
      </c>
      <c r="D113" s="475" t="s">
        <v>229</v>
      </c>
      <c r="E113" s="476">
        <v>45944</v>
      </c>
      <c r="F113" s="475" t="s">
        <v>230</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162</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162</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162</v>
      </c>
      <c r="G120" s="374" t="s">
        <v>961</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162</v>
      </c>
      <c r="G121" s="475" t="s">
        <v>964</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162</v>
      </c>
      <c r="G122" s="374" t="s">
        <v>967</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162</v>
      </c>
      <c r="G123" s="374" t="s">
        <v>733</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162</v>
      </c>
      <c r="G124" s="374" t="s">
        <v>972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162</v>
      </c>
      <c r="G126" s="637" t="s">
        <v>977</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162</v>
      </c>
      <c r="G127" s="379" t="s">
        <v>980</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162</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162</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199</v>
      </c>
      <c r="E132" s="51">
        <v>45950</v>
      </c>
      <c r="F132" s="50" t="s">
        <v>144</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366</v>
      </c>
      <c r="J134" s="959" t="s">
        <v>63</v>
      </c>
      <c r="K134" s="1181">
        <v>45821</v>
      </c>
      <c r="L134" s="1031" t="s">
        <v>57</v>
      </c>
      <c r="M134" s="961">
        <v>23436.55</v>
      </c>
      <c r="N134" s="736"/>
      <c r="O134" s="1031" t="s">
        <v>57</v>
      </c>
      <c r="P134" s="767" t="s">
        <v>367</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162</v>
      </c>
      <c r="G136" s="1025" t="s">
        <v>1001</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162</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635</v>
      </c>
      <c r="E141" s="57">
        <v>45716</v>
      </c>
      <c r="F141" s="771" t="s">
        <v>805</v>
      </c>
      <c r="G141" s="888" t="s">
        <v>1015</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649</v>
      </c>
      <c r="E142" s="57">
        <v>45743</v>
      </c>
      <c r="F142" s="771" t="s">
        <v>805</v>
      </c>
      <c r="G142" s="774" t="s">
        <v>1017</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549</v>
      </c>
      <c r="E146" s="57">
        <v>45694</v>
      </c>
      <c r="F146" s="57" t="s">
        <v>799</v>
      </c>
      <c r="G146" s="794" t="s">
        <v>1027</v>
      </c>
      <c r="H146" s="775">
        <v>0</v>
      </c>
      <c r="I146" s="790" t="s">
        <v>543</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205</v>
      </c>
      <c r="G147" s="774" t="s">
        <v>1030</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311</v>
      </c>
      <c r="C149" s="51">
        <v>46045</v>
      </c>
      <c r="D149" s="658" t="s">
        <v>131</v>
      </c>
      <c r="E149" s="51"/>
      <c r="F149" s="50" t="s">
        <v>312</v>
      </c>
      <c r="G149" s="379"/>
      <c r="H149" s="1334">
        <v>80</v>
      </c>
      <c r="I149" s="660" t="s">
        <v>366</v>
      </c>
      <c r="J149" s="52" t="s">
        <v>63</v>
      </c>
      <c r="K149" s="51" t="s">
        <v>52</v>
      </c>
      <c r="L149" s="478" t="s">
        <v>57</v>
      </c>
      <c r="M149" s="1075">
        <v>170</v>
      </c>
      <c r="N149" s="736"/>
      <c r="O149" s="478" t="s">
        <v>57</v>
      </c>
      <c r="P149" s="1337" t="s">
        <v>367</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311</v>
      </c>
      <c r="C150" s="57">
        <v>46045</v>
      </c>
      <c r="D150" s="792" t="s">
        <v>131</v>
      </c>
      <c r="E150" s="57"/>
      <c r="F150" s="771" t="s">
        <v>312</v>
      </c>
      <c r="G150" s="774"/>
      <c r="H150" s="1336">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204</v>
      </c>
      <c r="C155" s="476">
        <v>45807</v>
      </c>
      <c r="D155" s="465" t="s">
        <v>51</v>
      </c>
      <c r="E155" s="475" t="s">
        <v>52</v>
      </c>
      <c r="F155" s="465" t="s">
        <v>824</v>
      </c>
      <c r="G155" s="682" t="s">
        <v>558</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204</v>
      </c>
      <c r="C156" s="476">
        <v>45807</v>
      </c>
      <c r="D156" s="475" t="s">
        <v>51</v>
      </c>
      <c r="E156" s="475" t="s">
        <v>52</v>
      </c>
      <c r="F156" s="475" t="s">
        <v>824</v>
      </c>
      <c r="G156" s="824" t="s">
        <v>1042</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204</v>
      </c>
      <c r="C157" s="476">
        <v>45807</v>
      </c>
      <c r="D157" s="475" t="s">
        <v>51</v>
      </c>
      <c r="E157" s="475" t="s">
        <v>52</v>
      </c>
      <c r="F157" s="475" t="s">
        <v>824</v>
      </c>
      <c r="G157" s="824" t="s">
        <v>1044</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639</v>
      </c>
      <c r="E160" s="826">
        <v>45698</v>
      </c>
      <c r="F160" s="476" t="s">
        <v>799</v>
      </c>
      <c r="G160" s="827" t="s">
        <v>1051</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162</v>
      </c>
      <c r="G164" s="905"/>
      <c r="H164" s="909">
        <v>0</v>
      </c>
      <c r="I164" s="910" t="s">
        <v>367</v>
      </c>
      <c r="J164" s="909" t="s">
        <v>56</v>
      </c>
      <c r="K164" s="906"/>
      <c r="L164" s="911" t="s">
        <v>56</v>
      </c>
      <c r="M164" s="909" t="s">
        <v>91</v>
      </c>
      <c r="N164" s="912">
        <v>0</v>
      </c>
      <c r="O164" s="909" t="s">
        <v>91</v>
      </c>
      <c r="P164" s="913" t="s">
        <v>367</v>
      </c>
      <c r="Q164" s="914" t="s">
        <v>56</v>
      </c>
      <c r="R164" s="915" t="s">
        <v>159</v>
      </c>
      <c r="S164" s="915" t="s">
        <v>159</v>
      </c>
      <c r="T164" s="915" t="s">
        <v>159</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162</v>
      </c>
      <c r="G165" s="857"/>
      <c r="H165" s="858">
        <v>0</v>
      </c>
      <c r="I165" s="864" t="s">
        <v>367</v>
      </c>
      <c r="J165" s="858" t="s">
        <v>56</v>
      </c>
      <c r="K165" s="863"/>
      <c r="L165" s="865" t="s">
        <v>56</v>
      </c>
      <c r="M165" s="858" t="s">
        <v>91</v>
      </c>
      <c r="N165" s="859">
        <v>0</v>
      </c>
      <c r="O165" s="858" t="s">
        <v>91</v>
      </c>
      <c r="P165" s="860" t="s">
        <v>367</v>
      </c>
      <c r="Q165" s="79" t="s">
        <v>56</v>
      </c>
      <c r="R165" s="328" t="s">
        <v>159</v>
      </c>
      <c r="S165" s="328" t="s">
        <v>159</v>
      </c>
      <c r="T165" s="328" t="s">
        <v>159</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635</v>
      </c>
      <c r="K5">
        <v>6147</v>
      </c>
      <c r="N5" t="s">
        <v>635</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649</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639</v>
      </c>
      <c r="K16">
        <v>4828</v>
      </c>
    </row>
    <row r="17" spans="1:11">
      <c r="A17" t="s">
        <v>813</v>
      </c>
      <c r="E17">
        <v>547</v>
      </c>
      <c r="F17">
        <v>792</v>
      </c>
      <c r="G17">
        <v>1339</v>
      </c>
      <c r="J17" t="s">
        <v>649</v>
      </c>
      <c r="K17">
        <v>6718</v>
      </c>
    </row>
    <row r="18" spans="1:11">
      <c r="A18" t="s">
        <v>816</v>
      </c>
      <c r="F18">
        <v>823</v>
      </c>
      <c r="G18">
        <v>823</v>
      </c>
      <c r="J18" t="s">
        <v>549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645</v>
      </c>
      <c r="E30">
        <v>1806</v>
      </c>
      <c r="F30">
        <v>345</v>
      </c>
      <c r="G30">
        <v>2151</v>
      </c>
    </row>
    <row r="31" spans="1:11">
      <c r="A31" t="s">
        <v>692</v>
      </c>
      <c r="E31">
        <v>47</v>
      </c>
      <c r="F31">
        <v>1494</v>
      </c>
      <c r="G31">
        <v>1541</v>
      </c>
    </row>
    <row r="32" spans="1:11" hidden="1">
      <c r="A32" t="s">
        <v>652</v>
      </c>
    </row>
    <row r="33" spans="1:7">
      <c r="A33" t="s">
        <v>809</v>
      </c>
      <c r="F33">
        <v>1095</v>
      </c>
      <c r="G33">
        <v>1095</v>
      </c>
    </row>
    <row r="34" spans="1:7">
      <c r="A34" t="s">
        <v>642</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645</v>
      </c>
      <c r="D54">
        <v>400</v>
      </c>
      <c r="F54">
        <v>384</v>
      </c>
      <c r="G54">
        <v>784</v>
      </c>
    </row>
    <row r="55" spans="1:7">
      <c r="A55" t="s">
        <v>692</v>
      </c>
      <c r="B55">
        <v>2087</v>
      </c>
      <c r="F55">
        <v>0</v>
      </c>
      <c r="G55">
        <v>2087</v>
      </c>
    </row>
    <row r="56" spans="1:7" hidden="1">
      <c r="A56" t="s">
        <v>652</v>
      </c>
      <c r="F56">
        <v>0</v>
      </c>
      <c r="G56">
        <v>0</v>
      </c>
    </row>
    <row r="57" spans="1:7">
      <c r="A57" t="s">
        <v>809</v>
      </c>
      <c r="C57">
        <v>860</v>
      </c>
      <c r="D57">
        <v>1540</v>
      </c>
      <c r="E57">
        <v>1360</v>
      </c>
      <c r="F57">
        <v>0</v>
      </c>
      <c r="G57">
        <v>3760</v>
      </c>
    </row>
    <row r="58" spans="1:7">
      <c r="A58" t="s">
        <v>642</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638</v>
      </c>
      <c r="C65">
        <v>956</v>
      </c>
      <c r="E65">
        <v>1168</v>
      </c>
      <c r="F65">
        <v>0</v>
      </c>
      <c r="G65">
        <v>2124</v>
      </c>
    </row>
    <row r="66" spans="1:7" hidden="1">
      <c r="A66" t="s">
        <v>1073</v>
      </c>
      <c r="F66">
        <v>0</v>
      </c>
      <c r="G66">
        <v>0</v>
      </c>
    </row>
    <row r="67" spans="1:7">
      <c r="A67" t="s">
        <v>648</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645</v>
      </c>
      <c r="C90">
        <v>840</v>
      </c>
      <c r="D90">
        <v>0</v>
      </c>
      <c r="E90">
        <v>0</v>
      </c>
      <c r="F90">
        <v>0</v>
      </c>
      <c r="G90">
        <v>840</v>
      </c>
    </row>
    <row r="91" spans="1:7">
      <c r="A91" t="s">
        <v>692</v>
      </c>
      <c r="B91">
        <v>0</v>
      </c>
      <c r="D91">
        <v>0</v>
      </c>
      <c r="E91">
        <v>0</v>
      </c>
      <c r="F91">
        <v>0</v>
      </c>
      <c r="G91">
        <v>0</v>
      </c>
    </row>
    <row r="92" spans="1:7">
      <c r="A92" t="s">
        <v>652</v>
      </c>
      <c r="B92">
        <v>0</v>
      </c>
      <c r="D92">
        <v>0</v>
      </c>
      <c r="E92">
        <v>0</v>
      </c>
      <c r="F92">
        <v>0</v>
      </c>
      <c r="G92">
        <v>0</v>
      </c>
    </row>
    <row r="93" spans="1:7">
      <c r="A93" t="s">
        <v>809</v>
      </c>
      <c r="B93">
        <v>1460</v>
      </c>
      <c r="C93">
        <v>970</v>
      </c>
      <c r="D93">
        <v>430</v>
      </c>
      <c r="E93">
        <v>0</v>
      </c>
      <c r="F93">
        <v>0</v>
      </c>
      <c r="G93">
        <v>2860</v>
      </c>
    </row>
    <row r="94" spans="1:7">
      <c r="A94" t="s">
        <v>642</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638</v>
      </c>
      <c r="B101">
        <v>0</v>
      </c>
      <c r="D101">
        <v>0</v>
      </c>
      <c r="E101">
        <v>0</v>
      </c>
      <c r="F101">
        <v>0</v>
      </c>
      <c r="G101">
        <v>0</v>
      </c>
    </row>
    <row r="102" spans="1:7">
      <c r="A102" t="s">
        <v>1073</v>
      </c>
      <c r="B102">
        <v>0</v>
      </c>
      <c r="D102">
        <v>0</v>
      </c>
      <c r="E102">
        <v>0</v>
      </c>
      <c r="F102">
        <v>0</v>
      </c>
      <c r="G102">
        <v>0</v>
      </c>
    </row>
    <row r="103" spans="1:7">
      <c r="A103" t="s">
        <v>648</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645</v>
      </c>
      <c r="B137">
        <v>0</v>
      </c>
      <c r="C137">
        <v>0</v>
      </c>
      <c r="D137">
        <v>0</v>
      </c>
      <c r="E137">
        <v>0</v>
      </c>
      <c r="G137">
        <v>0</v>
      </c>
    </row>
    <row r="138" spans="1:7">
      <c r="A138" t="s">
        <v>692</v>
      </c>
      <c r="B138">
        <v>0</v>
      </c>
      <c r="C138">
        <v>0</v>
      </c>
      <c r="D138">
        <v>0</v>
      </c>
      <c r="E138">
        <v>0</v>
      </c>
      <c r="G138">
        <v>0</v>
      </c>
    </row>
    <row r="139" spans="1:7">
      <c r="A139" t="s">
        <v>652</v>
      </c>
      <c r="B139">
        <v>0</v>
      </c>
      <c r="C139">
        <v>0</v>
      </c>
      <c r="D139">
        <v>0</v>
      </c>
      <c r="G139">
        <v>0</v>
      </c>
    </row>
    <row r="140" spans="1:7">
      <c r="A140" t="s">
        <v>809</v>
      </c>
      <c r="B140">
        <v>0</v>
      </c>
      <c r="C140">
        <v>0</v>
      </c>
      <c r="D140">
        <v>0</v>
      </c>
      <c r="E140">
        <v>0</v>
      </c>
      <c r="F140">
        <v>0</v>
      </c>
      <c r="G140">
        <v>0</v>
      </c>
    </row>
    <row r="141" spans="1:7">
      <c r="A141" t="s">
        <v>642</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638</v>
      </c>
      <c r="B148">
        <v>0</v>
      </c>
      <c r="C148">
        <v>0</v>
      </c>
      <c r="D148">
        <v>201</v>
      </c>
      <c r="E148">
        <v>1207</v>
      </c>
      <c r="F148">
        <v>220</v>
      </c>
      <c r="G148">
        <v>1628</v>
      </c>
    </row>
    <row r="149" spans="1:7">
      <c r="A149" t="s">
        <v>1073</v>
      </c>
      <c r="B149">
        <v>0</v>
      </c>
      <c r="C149">
        <v>106</v>
      </c>
      <c r="D149">
        <v>0</v>
      </c>
      <c r="E149">
        <v>0</v>
      </c>
      <c r="F149">
        <v>0</v>
      </c>
      <c r="G149">
        <v>106</v>
      </c>
    </row>
    <row r="150" spans="1:7">
      <c r="A150" t="s">
        <v>648</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652</v>
      </c>
    </row>
    <row r="189" spans="1:7">
      <c r="A189" t="s">
        <v>754</v>
      </c>
    </row>
    <row r="190" spans="1:7">
      <c r="A190" t="s">
        <v>638</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645</v>
      </c>
    </row>
    <row r="232" spans="1:7">
      <c r="A232" t="s">
        <v>638</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634</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386</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645</v>
      </c>
      <c r="B264">
        <v>0</v>
      </c>
      <c r="G264">
        <v>0</v>
      </c>
    </row>
    <row r="265" spans="1:7">
      <c r="A265" t="s">
        <v>809</v>
      </c>
      <c r="B265">
        <v>745</v>
      </c>
      <c r="G265">
        <v>745</v>
      </c>
    </row>
    <row r="266" spans="1:7">
      <c r="A266" t="s">
        <v>638</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386</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551</v>
      </c>
      <c r="B284">
        <v>2227</v>
      </c>
      <c r="G284">
        <v>2227</v>
      </c>
    </row>
    <row r="285" spans="1:7">
      <c r="A285" t="s">
        <v>829</v>
      </c>
      <c r="C285">
        <v>0</v>
      </c>
      <c r="D285">
        <v>0</v>
      </c>
      <c r="E285">
        <v>344</v>
      </c>
      <c r="G285">
        <v>344</v>
      </c>
    </row>
    <row r="286" spans="1:7">
      <c r="A286" t="s">
        <v>548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556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548</v>
      </c>
    </row>
    <row r="311" spans="1:7">
      <c r="A311" t="s">
        <v>907</v>
      </c>
    </row>
    <row r="312" spans="1:7">
      <c r="A312" t="s">
        <v>726</v>
      </c>
      <c r="B312">
        <v>618</v>
      </c>
      <c r="C312">
        <v>700</v>
      </c>
      <c r="G312">
        <v>1318</v>
      </c>
    </row>
    <row r="313" spans="1:7">
      <c r="A313" t="s">
        <v>718</v>
      </c>
    </row>
    <row r="314" spans="1:7">
      <c r="A314" t="s">
        <v>556</v>
      </c>
    </row>
    <row r="315" spans="1:7">
      <c r="A315" t="s">
        <v>904</v>
      </c>
      <c r="B315">
        <v>990</v>
      </c>
      <c r="C315">
        <v>1871</v>
      </c>
      <c r="D315">
        <v>1307</v>
      </c>
      <c r="G315">
        <v>4168</v>
      </c>
    </row>
    <row r="316" spans="1:7">
      <c r="A316" t="s">
        <v>527</v>
      </c>
      <c r="B316">
        <v>590</v>
      </c>
      <c r="C316">
        <v>343</v>
      </c>
      <c r="G316">
        <v>933</v>
      </c>
    </row>
    <row r="317" spans="1:7">
      <c r="A317" t="s">
        <v>661</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638</v>
      </c>
      <c r="D408">
        <v>131</v>
      </c>
      <c r="G408">
        <v>131</v>
      </c>
    </row>
    <row r="409" spans="1:7">
      <c r="A409" t="s">
        <v>922</v>
      </c>
    </row>
    <row r="410" spans="1:7">
      <c r="A410" t="s">
        <v>920</v>
      </c>
      <c r="C410">
        <v>424</v>
      </c>
      <c r="G410">
        <v>424</v>
      </c>
    </row>
    <row r="411" spans="1:7">
      <c r="A411" t="s">
        <v>527</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531</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638</v>
      </c>
      <c r="C435">
        <v>55</v>
      </c>
      <c r="G435">
        <v>55</v>
      </c>
    </row>
    <row r="436" spans="1:7">
      <c r="A436" t="s">
        <v>765</v>
      </c>
      <c r="D436">
        <v>1190</v>
      </c>
      <c r="G436">
        <v>1190</v>
      </c>
    </row>
    <row r="437" spans="1:7">
      <c r="A437" t="s">
        <v>1082</v>
      </c>
      <c r="C437">
        <v>30</v>
      </c>
      <c r="G437">
        <v>30</v>
      </c>
    </row>
    <row r="438" spans="1:7">
      <c r="A438" t="s">
        <v>634</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534</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638</v>
      </c>
      <c r="F458">
        <v>175</v>
      </c>
      <c r="G458">
        <v>175</v>
      </c>
    </row>
    <row r="459" spans="1:7">
      <c r="A459" t="s">
        <v>911</v>
      </c>
      <c r="B459">
        <v>54</v>
      </c>
      <c r="C459">
        <v>101</v>
      </c>
      <c r="G459">
        <v>155</v>
      </c>
    </row>
    <row r="460" spans="1:7">
      <c r="A460" t="s">
        <v>765</v>
      </c>
      <c r="D460">
        <v>678</v>
      </c>
      <c r="G460">
        <v>678</v>
      </c>
    </row>
    <row r="461" spans="1:7">
      <c r="A461" t="s">
        <v>634</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439</v>
      </c>
      <c r="B470">
        <v>644</v>
      </c>
      <c r="C470">
        <v>1430</v>
      </c>
      <c r="D470">
        <v>970</v>
      </c>
      <c r="G470">
        <v>3044</v>
      </c>
    </row>
    <row r="471" spans="1:7">
      <c r="A471" t="s">
        <v>554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634</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439</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527</v>
      </c>
      <c r="E501">
        <v>341</v>
      </c>
      <c r="G501">
        <v>341</v>
      </c>
    </row>
    <row r="502" spans="1:7">
      <c r="A502" t="s">
        <v>1096</v>
      </c>
    </row>
    <row r="503" spans="1:7">
      <c r="A503" t="s">
        <v>439</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548</v>
      </c>
      <c r="E534">
        <v>977</v>
      </c>
      <c r="G534">
        <v>977</v>
      </c>
    </row>
    <row r="535" spans="1:7">
      <c r="A535" t="s">
        <v>1095</v>
      </c>
      <c r="D535">
        <v>81</v>
      </c>
      <c r="F535">
        <v>114</v>
      </c>
      <c r="G535">
        <v>195</v>
      </c>
    </row>
    <row r="536" spans="1:7">
      <c r="A536" t="s">
        <v>684</v>
      </c>
    </row>
    <row r="537" spans="1:7">
      <c r="A537" t="s">
        <v>439</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548</v>
      </c>
      <c r="E549">
        <v>676</v>
      </c>
      <c r="F549">
        <v>430</v>
      </c>
      <c r="G549">
        <v>1106</v>
      </c>
    </row>
    <row r="550" spans="1:7">
      <c r="A550" t="s">
        <v>527</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548</v>
      </c>
      <c r="B565">
        <v>885</v>
      </c>
      <c r="C565">
        <v>478</v>
      </c>
      <c r="D565">
        <v>490</v>
      </c>
      <c r="E565">
        <v>372</v>
      </c>
      <c r="G565">
        <v>2225</v>
      </c>
    </row>
    <row r="566" spans="1:7">
      <c r="A566" t="s">
        <v>1088</v>
      </c>
    </row>
    <row r="567" spans="1:7">
      <c r="A567" t="s">
        <v>1095</v>
      </c>
      <c r="B567">
        <v>360</v>
      </c>
      <c r="G567">
        <v>360</v>
      </c>
    </row>
    <row r="568" spans="1:7">
      <c r="A568" t="s">
        <v>439</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551</v>
      </c>
      <c r="F578">
        <v>198</v>
      </c>
      <c r="G578">
        <v>198</v>
      </c>
    </row>
    <row r="579" spans="1:7">
      <c r="A579" t="s">
        <v>548</v>
      </c>
    </row>
    <row r="580" spans="1:7">
      <c r="A580" t="s">
        <v>556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386</v>
      </c>
      <c r="C590">
        <v>403</v>
      </c>
      <c r="D590">
        <v>39</v>
      </c>
      <c r="G590">
        <v>442</v>
      </c>
    </row>
    <row r="591" spans="1:7">
      <c r="A591" t="s">
        <v>551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386</v>
      </c>
      <c r="C604">
        <v>318</v>
      </c>
      <c r="G604">
        <v>318</v>
      </c>
    </row>
    <row r="605" spans="1:7">
      <c r="A605" t="s">
        <v>551</v>
      </c>
      <c r="D605">
        <v>461</v>
      </c>
      <c r="E605">
        <v>880</v>
      </c>
      <c r="F605">
        <v>585</v>
      </c>
      <c r="G605">
        <v>1926</v>
      </c>
    </row>
    <row r="606" spans="1:7">
      <c r="A606" t="s">
        <v>556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645</v>
      </c>
      <c r="F624">
        <v>183</v>
      </c>
      <c r="G624">
        <v>183</v>
      </c>
    </row>
    <row r="625" spans="1:7">
      <c r="A625" t="s">
        <v>551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545</v>
      </c>
      <c r="D632">
        <v>314</v>
      </c>
      <c r="G632">
        <v>314</v>
      </c>
    </row>
    <row r="633" spans="1:7">
      <c r="A633" t="s">
        <v>559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545</v>
      </c>
    </row>
    <row r="642" spans="1:7">
      <c r="A642" t="s">
        <v>559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386</v>
      </c>
      <c r="C651">
        <v>319</v>
      </c>
      <c r="G651">
        <v>319</v>
      </c>
    </row>
    <row r="652" spans="1:7">
      <c r="A652" t="s">
        <v>1090</v>
      </c>
      <c r="B652">
        <v>376</v>
      </c>
      <c r="C652">
        <v>35</v>
      </c>
      <c r="D652">
        <v>48</v>
      </c>
      <c r="E652">
        <v>144</v>
      </c>
      <c r="F652">
        <v>64</v>
      </c>
      <c r="G652">
        <v>667</v>
      </c>
    </row>
    <row r="653" spans="1:7">
      <c r="A653" t="s">
        <v>559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270</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556</v>
      </c>
      <c r="D665">
        <v>499</v>
      </c>
      <c r="E665">
        <v>231</v>
      </c>
      <c r="F665">
        <v>316</v>
      </c>
      <c r="G665">
        <v>1046</v>
      </c>
    </row>
    <row r="666" spans="1:7">
      <c r="A666" t="s">
        <v>527</v>
      </c>
    </row>
    <row r="667" spans="1:7">
      <c r="A667" t="s">
        <v>1090</v>
      </c>
      <c r="B667">
        <v>141</v>
      </c>
      <c r="D667">
        <v>181</v>
      </c>
      <c r="E667">
        <v>82</v>
      </c>
      <c r="F667">
        <v>96</v>
      </c>
      <c r="G667">
        <v>500</v>
      </c>
    </row>
    <row r="668" spans="1:7">
      <c r="A668" t="s">
        <v>782</v>
      </c>
      <c r="B668">
        <v>343</v>
      </c>
      <c r="C668">
        <v>416</v>
      </c>
      <c r="D668">
        <v>216</v>
      </c>
      <c r="G668">
        <v>975</v>
      </c>
    </row>
    <row r="669" spans="1:7">
      <c r="A669" t="s">
        <v>545</v>
      </c>
      <c r="C669">
        <v>430</v>
      </c>
      <c r="G669">
        <v>430</v>
      </c>
    </row>
    <row r="670" spans="1:7">
      <c r="A670" t="s">
        <v>559</v>
      </c>
      <c r="B670">
        <v>377</v>
      </c>
      <c r="C670">
        <v>408</v>
      </c>
      <c r="D670">
        <v>607</v>
      </c>
      <c r="E670">
        <v>1022</v>
      </c>
      <c r="G670">
        <v>2414</v>
      </c>
    </row>
    <row r="671" spans="1:7">
      <c r="A671" t="s">
        <v>762</v>
      </c>
    </row>
    <row r="672" spans="1:7">
      <c r="A672" t="s">
        <v>768</v>
      </c>
    </row>
    <row r="673" spans="1:7">
      <c r="A673" t="s">
        <v>270</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386</v>
      </c>
      <c r="D684">
        <v>358</v>
      </c>
      <c r="G684">
        <v>358</v>
      </c>
    </row>
    <row r="685" spans="1:7">
      <c r="A685" t="s">
        <v>551</v>
      </c>
      <c r="D685">
        <v>1241</v>
      </c>
      <c r="G685">
        <v>1241</v>
      </c>
    </row>
    <row r="686" spans="1:7">
      <c r="A686" t="s">
        <v>556</v>
      </c>
      <c r="B686">
        <v>503</v>
      </c>
      <c r="C686">
        <v>295</v>
      </c>
      <c r="F686">
        <v>6</v>
      </c>
      <c r="G686">
        <v>804</v>
      </c>
    </row>
    <row r="687" spans="1:7">
      <c r="A687" t="s">
        <v>527</v>
      </c>
      <c r="C687">
        <v>1009</v>
      </c>
      <c r="G687">
        <v>1009</v>
      </c>
    </row>
    <row r="688" spans="1:7">
      <c r="A688" t="s">
        <v>1090</v>
      </c>
      <c r="B688">
        <v>20</v>
      </c>
      <c r="E688">
        <v>250</v>
      </c>
      <c r="F688">
        <v>177</v>
      </c>
      <c r="G688">
        <v>447</v>
      </c>
    </row>
    <row r="689" spans="1:7">
      <c r="A689" t="s">
        <v>559</v>
      </c>
      <c r="B689">
        <v>639</v>
      </c>
      <c r="G689">
        <v>639</v>
      </c>
    </row>
    <row r="690" spans="1:7">
      <c r="A690" t="s">
        <v>270</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386</v>
      </c>
      <c r="E706">
        <v>99</v>
      </c>
      <c r="G706">
        <v>99</v>
      </c>
    </row>
    <row r="707" spans="1:7">
      <c r="A707" t="s">
        <v>551</v>
      </c>
    </row>
    <row r="708" spans="1:7">
      <c r="A708" t="s">
        <v>907</v>
      </c>
    </row>
    <row r="709" spans="1:7">
      <c r="A709" t="s">
        <v>556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570</v>
      </c>
      <c r="E719">
        <v>903</v>
      </c>
      <c r="G719">
        <v>903</v>
      </c>
    </row>
    <row r="720" spans="1:7">
      <c r="A720" t="s">
        <v>561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527</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570</v>
      </c>
      <c r="B731">
        <v>254</v>
      </c>
      <c r="C731">
        <v>1686</v>
      </c>
      <c r="D731">
        <v>611</v>
      </c>
      <c r="G731">
        <v>2551</v>
      </c>
    </row>
    <row r="732" spans="1:7">
      <c r="A732" t="s">
        <v>561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364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386</v>
      </c>
    </row>
    <row r="743" spans="1:7">
      <c r="A743" t="s">
        <v>551</v>
      </c>
      <c r="D743">
        <v>139</v>
      </c>
      <c r="G743">
        <v>139</v>
      </c>
    </row>
    <row r="744" spans="1:7">
      <c r="A744" t="s">
        <v>556</v>
      </c>
    </row>
    <row r="745" spans="1:7">
      <c r="A745" t="s">
        <v>534</v>
      </c>
      <c r="E745">
        <v>97</v>
      </c>
      <c r="G745">
        <v>97</v>
      </c>
    </row>
    <row r="746" spans="1:7">
      <c r="A746" t="s">
        <v>1095</v>
      </c>
      <c r="B746">
        <v>42</v>
      </c>
      <c r="C746">
        <v>219</v>
      </c>
      <c r="F746">
        <v>70</v>
      </c>
      <c r="G746">
        <v>331</v>
      </c>
    </row>
    <row r="747" spans="1:7">
      <c r="A747" t="s">
        <v>1113</v>
      </c>
    </row>
    <row r="748" spans="1:7">
      <c r="A748" t="s">
        <v>570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974</v>
      </c>
      <c r="E755">
        <v>754</v>
      </c>
      <c r="G755">
        <v>754</v>
      </c>
    </row>
    <row r="756" spans="1:7">
      <c r="A756" t="s">
        <v>572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386</v>
      </c>
    </row>
    <row r="763" spans="1:7">
      <c r="A763" t="s">
        <v>551</v>
      </c>
      <c r="B763">
        <v>60</v>
      </c>
      <c r="G763">
        <v>60</v>
      </c>
    </row>
    <row r="764" spans="1:7">
      <c r="A764" t="s">
        <v>531</v>
      </c>
      <c r="E764">
        <v>175</v>
      </c>
      <c r="G764">
        <v>175</v>
      </c>
    </row>
    <row r="765" spans="1:7">
      <c r="A765" t="s">
        <v>1095</v>
      </c>
      <c r="C765">
        <v>224</v>
      </c>
      <c r="G765">
        <v>224</v>
      </c>
    </row>
    <row r="766" spans="1:7">
      <c r="A766" t="s">
        <v>545</v>
      </c>
      <c r="D766">
        <v>406</v>
      </c>
      <c r="G766">
        <v>406</v>
      </c>
    </row>
    <row r="767" spans="1:7">
      <c r="A767" t="s">
        <v>270</v>
      </c>
      <c r="D767">
        <v>362</v>
      </c>
      <c r="E767">
        <v>399</v>
      </c>
      <c r="G767">
        <v>761</v>
      </c>
    </row>
    <row r="768" spans="1:7">
      <c r="A768" t="s">
        <v>985</v>
      </c>
    </row>
    <row r="769" spans="1:7">
      <c r="A769" t="s">
        <v>969</v>
      </c>
    </row>
    <row r="770" spans="1:7">
      <c r="A770" t="s">
        <v>389</v>
      </c>
      <c r="C770">
        <v>120</v>
      </c>
      <c r="D770">
        <v>190</v>
      </c>
      <c r="G770">
        <v>310</v>
      </c>
    </row>
    <row r="771" spans="1:7">
      <c r="A771" t="s">
        <v>364</v>
      </c>
      <c r="B771">
        <v>839</v>
      </c>
      <c r="D771">
        <v>616</v>
      </c>
      <c r="E771">
        <v>969</v>
      </c>
      <c r="F771">
        <v>552</v>
      </c>
      <c r="G771">
        <v>2976</v>
      </c>
    </row>
    <row r="772" spans="1:7">
      <c r="A772" t="s">
        <v>974</v>
      </c>
      <c r="B772">
        <v>1285</v>
      </c>
      <c r="G772">
        <v>1285</v>
      </c>
    </row>
    <row r="773" spans="1:7">
      <c r="A773" t="s">
        <v>572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615</v>
      </c>
      <c r="B776">
        <v>335</v>
      </c>
      <c r="G776">
        <v>335</v>
      </c>
    </row>
    <row r="777" spans="1:7">
      <c r="A777" t="s">
        <v>1119</v>
      </c>
      <c r="B777">
        <v>415</v>
      </c>
      <c r="C777">
        <v>291</v>
      </c>
      <c r="F777">
        <v>755</v>
      </c>
      <c r="G777">
        <v>1461</v>
      </c>
    </row>
    <row r="778" spans="1:7">
      <c r="A778" t="s">
        <v>575</v>
      </c>
      <c r="C778">
        <v>1231</v>
      </c>
      <c r="D778">
        <v>1538</v>
      </c>
      <c r="E778">
        <v>1377</v>
      </c>
      <c r="G778">
        <v>4146</v>
      </c>
    </row>
    <row r="779" spans="1:7">
      <c r="A779" t="s">
        <v>578</v>
      </c>
      <c r="D779">
        <v>1205</v>
      </c>
      <c r="E779">
        <v>1000</v>
      </c>
      <c r="G779">
        <v>2205</v>
      </c>
    </row>
    <row r="780" spans="1:7">
      <c r="A780" t="s">
        <v>950</v>
      </c>
      <c r="D780">
        <v>240</v>
      </c>
      <c r="E780">
        <v>504</v>
      </c>
      <c r="G780">
        <v>744</v>
      </c>
    </row>
    <row r="781" spans="1:7">
      <c r="A781" t="s">
        <v>1120</v>
      </c>
      <c r="F781">
        <v>4135</v>
      </c>
      <c r="G781">
        <v>4135</v>
      </c>
    </row>
    <row r="782" spans="1:7">
      <c r="A782" t="s">
        <v>392</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386</v>
      </c>
    </row>
    <row r="790" spans="1:7">
      <c r="A790" t="s">
        <v>531</v>
      </c>
      <c r="B790">
        <v>229</v>
      </c>
      <c r="G790">
        <v>229</v>
      </c>
    </row>
    <row r="791" spans="1:7">
      <c r="A791" t="s">
        <v>534</v>
      </c>
      <c r="C791">
        <v>134</v>
      </c>
      <c r="E791">
        <v>450</v>
      </c>
      <c r="F791">
        <v>352</v>
      </c>
      <c r="G791">
        <v>936</v>
      </c>
    </row>
    <row r="792" spans="1:7">
      <c r="A792" t="s">
        <v>1095</v>
      </c>
      <c r="D792">
        <v>201</v>
      </c>
      <c r="F792">
        <v>352</v>
      </c>
      <c r="G792">
        <v>553</v>
      </c>
    </row>
    <row r="793" spans="1:7">
      <c r="A793" t="s">
        <v>545</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575</v>
      </c>
      <c r="B798">
        <v>600</v>
      </c>
      <c r="G798">
        <v>600</v>
      </c>
    </row>
    <row r="799" spans="1:7">
      <c r="A799" t="s">
        <v>578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971</v>
      </c>
      <c r="C804">
        <v>1850</v>
      </c>
      <c r="D804">
        <v>1276</v>
      </c>
      <c r="E804">
        <v>1479</v>
      </c>
      <c r="G804">
        <v>4605</v>
      </c>
    </row>
    <row r="805" spans="1:7">
      <c r="A805" t="s">
        <v>592</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531</v>
      </c>
      <c r="E813">
        <v>270</v>
      </c>
      <c r="F813">
        <v>268</v>
      </c>
      <c r="G813">
        <v>538</v>
      </c>
    </row>
    <row r="814" spans="1:7">
      <c r="A814" t="s">
        <v>1089</v>
      </c>
      <c r="D814">
        <v>126</v>
      </c>
      <c r="E814">
        <v>229</v>
      </c>
      <c r="G814">
        <v>355</v>
      </c>
    </row>
    <row r="815" spans="1:7">
      <c r="A815" t="s">
        <v>534</v>
      </c>
      <c r="B815">
        <v>175</v>
      </c>
      <c r="C815">
        <v>270</v>
      </c>
      <c r="G815">
        <v>445</v>
      </c>
    </row>
    <row r="816" spans="1:7">
      <c r="A816" t="s">
        <v>1095</v>
      </c>
      <c r="B816">
        <v>65</v>
      </c>
      <c r="C816">
        <v>55</v>
      </c>
      <c r="G816">
        <v>120</v>
      </c>
    </row>
    <row r="817" spans="1:7">
      <c r="A817" t="s">
        <v>545</v>
      </c>
    </row>
    <row r="818" spans="1:7">
      <c r="A818" t="s">
        <v>389</v>
      </c>
      <c r="E818">
        <v>725</v>
      </c>
      <c r="G818">
        <v>725</v>
      </c>
    </row>
    <row r="819" spans="1:7">
      <c r="A819" t="s">
        <v>364</v>
      </c>
      <c r="B819">
        <v>768</v>
      </c>
      <c r="C819">
        <v>1014</v>
      </c>
      <c r="G819">
        <v>1782</v>
      </c>
    </row>
    <row r="820" spans="1:7">
      <c r="A820" t="s">
        <v>1119</v>
      </c>
      <c r="B820">
        <v>225</v>
      </c>
      <c r="C820">
        <v>1287</v>
      </c>
      <c r="D820">
        <v>1185</v>
      </c>
      <c r="E820">
        <v>508</v>
      </c>
      <c r="G820">
        <v>3205</v>
      </c>
    </row>
    <row r="821" spans="1:7">
      <c r="A821" t="s">
        <v>578</v>
      </c>
      <c r="D821">
        <v>334</v>
      </c>
      <c r="G821">
        <v>334</v>
      </c>
    </row>
    <row r="822" spans="1:7">
      <c r="A822" t="s">
        <v>1120</v>
      </c>
      <c r="C822">
        <v>216</v>
      </c>
      <c r="G822">
        <v>216</v>
      </c>
    </row>
    <row r="823" spans="1:7">
      <c r="A823" t="s">
        <v>392</v>
      </c>
      <c r="B823">
        <v>1088</v>
      </c>
      <c r="C823">
        <v>557</v>
      </c>
      <c r="D823">
        <v>512</v>
      </c>
      <c r="E823">
        <v>369</v>
      </c>
      <c r="G823">
        <v>2526</v>
      </c>
    </row>
    <row r="824" spans="1:7">
      <c r="A824" t="s">
        <v>656</v>
      </c>
      <c r="B824">
        <v>192</v>
      </c>
      <c r="G824">
        <v>192</v>
      </c>
    </row>
    <row r="825" spans="1:7">
      <c r="A825" t="s">
        <v>592</v>
      </c>
      <c r="B825">
        <v>1174</v>
      </c>
      <c r="C825">
        <v>1597</v>
      </c>
      <c r="D825">
        <v>308</v>
      </c>
      <c r="G825">
        <v>3079</v>
      </c>
    </row>
    <row r="826" spans="1:7">
      <c r="A826" t="s">
        <v>987</v>
      </c>
      <c r="B826">
        <v>1545</v>
      </c>
      <c r="C826">
        <v>995</v>
      </c>
      <c r="G826">
        <v>2540</v>
      </c>
    </row>
    <row r="827" spans="1:7">
      <c r="A827" t="s">
        <v>565</v>
      </c>
      <c r="D827">
        <v>333</v>
      </c>
      <c r="G827">
        <v>333</v>
      </c>
    </row>
    <row r="828" spans="1:7">
      <c r="A828" t="s">
        <v>1122</v>
      </c>
      <c r="D828">
        <v>160</v>
      </c>
      <c r="G828">
        <v>160</v>
      </c>
    </row>
    <row r="829" spans="1:7">
      <c r="A829" t="s">
        <v>157</v>
      </c>
      <c r="D829">
        <v>1282</v>
      </c>
      <c r="E829">
        <v>980</v>
      </c>
      <c r="G829">
        <v>2262</v>
      </c>
    </row>
    <row r="830" spans="1:7">
      <c r="A830" t="s">
        <v>369</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270</v>
      </c>
      <c r="E838">
        <v>170</v>
      </c>
      <c r="G838">
        <v>170</v>
      </c>
    </row>
    <row r="839" spans="1:7">
      <c r="A839" t="s">
        <v>364</v>
      </c>
      <c r="D839">
        <v>986</v>
      </c>
      <c r="G839">
        <v>986</v>
      </c>
    </row>
    <row r="840" spans="1:7">
      <c r="A840" t="s">
        <v>1119</v>
      </c>
      <c r="B840">
        <v>916</v>
      </c>
      <c r="C840">
        <v>144</v>
      </c>
      <c r="G840">
        <v>1060</v>
      </c>
    </row>
    <row r="841" spans="1:7">
      <c r="A841" t="s">
        <v>592</v>
      </c>
    </row>
    <row r="842" spans="1:7">
      <c r="A842" t="s">
        <v>987</v>
      </c>
    </row>
    <row r="843" spans="1:7">
      <c r="A843" t="s">
        <v>157</v>
      </c>
      <c r="B843">
        <v>828</v>
      </c>
      <c r="C843">
        <v>150</v>
      </c>
      <c r="E843">
        <v>688</v>
      </c>
      <c r="G843">
        <v>1666</v>
      </c>
    </row>
    <row r="844" spans="1:7">
      <c r="A844" t="s">
        <v>1123</v>
      </c>
      <c r="B844">
        <v>233</v>
      </c>
      <c r="G844">
        <v>233</v>
      </c>
    </row>
    <row r="845" spans="1:7">
      <c r="A845" t="s">
        <v>594</v>
      </c>
      <c r="B845">
        <v>1768</v>
      </c>
      <c r="C845">
        <v>510</v>
      </c>
      <c r="G845">
        <v>2278</v>
      </c>
    </row>
    <row r="846" spans="1:7">
      <c r="A846" t="s">
        <v>537</v>
      </c>
      <c r="B846">
        <v>220</v>
      </c>
      <c r="C846">
        <v>435</v>
      </c>
      <c r="D846">
        <v>227</v>
      </c>
      <c r="E846">
        <v>487</v>
      </c>
      <c r="F846">
        <v>123</v>
      </c>
      <c r="G846">
        <v>1492</v>
      </c>
    </row>
    <row r="847" spans="1:7">
      <c r="A847" t="s">
        <v>372</v>
      </c>
      <c r="B847">
        <v>60</v>
      </c>
      <c r="C847">
        <v>219</v>
      </c>
      <c r="G847">
        <v>279</v>
      </c>
    </row>
    <row r="848" spans="1:7">
      <c r="A848" t="s">
        <v>1009</v>
      </c>
      <c r="D848">
        <v>240</v>
      </c>
      <c r="G848">
        <v>240</v>
      </c>
    </row>
    <row r="849" spans="1:7">
      <c r="A849" t="s">
        <v>1124</v>
      </c>
      <c r="C849">
        <v>1603</v>
      </c>
      <c r="D849">
        <v>791</v>
      </c>
      <c r="E849">
        <v>2803</v>
      </c>
      <c r="G849">
        <v>5197</v>
      </c>
    </row>
    <row r="850" spans="1:7">
      <c r="A850" t="s">
        <v>382</v>
      </c>
      <c r="C850">
        <v>927</v>
      </c>
      <c r="D850">
        <v>1221</v>
      </c>
      <c r="E850">
        <v>1023</v>
      </c>
      <c r="G850">
        <v>3171</v>
      </c>
    </row>
    <row r="851" spans="1:7">
      <c r="A851" t="s">
        <v>598</v>
      </c>
      <c r="C851">
        <v>974</v>
      </c>
      <c r="D851">
        <v>1312</v>
      </c>
      <c r="E851">
        <v>359</v>
      </c>
      <c r="G851">
        <v>2645</v>
      </c>
    </row>
    <row r="852" spans="1:7">
      <c r="A852" t="s">
        <v>989</v>
      </c>
      <c r="D852">
        <v>1239</v>
      </c>
      <c r="E852">
        <v>1220</v>
      </c>
      <c r="G852">
        <v>2459</v>
      </c>
    </row>
    <row r="853" spans="1:7">
      <c r="A853" t="s">
        <v>385</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534</v>
      </c>
      <c r="B860">
        <v>153</v>
      </c>
      <c r="C860">
        <v>244</v>
      </c>
      <c r="E860">
        <v>237</v>
      </c>
      <c r="G860">
        <v>634</v>
      </c>
    </row>
    <row r="861" spans="1:7">
      <c r="A861" t="s">
        <v>1095</v>
      </c>
      <c r="B861">
        <v>455</v>
      </c>
      <c r="G861">
        <v>455</v>
      </c>
    </row>
    <row r="862" spans="1:7">
      <c r="A862" t="s">
        <v>545</v>
      </c>
      <c r="B862">
        <v>151</v>
      </c>
      <c r="C862">
        <v>149</v>
      </c>
      <c r="G862">
        <v>300</v>
      </c>
    </row>
    <row r="863" spans="1:7">
      <c r="A863" t="s">
        <v>77</v>
      </c>
      <c r="D863">
        <v>168</v>
      </c>
      <c r="F863">
        <v>34</v>
      </c>
      <c r="G863">
        <v>202</v>
      </c>
    </row>
    <row r="864" spans="1:7">
      <c r="A864" t="s">
        <v>565</v>
      </c>
    </row>
    <row r="865" spans="1:7">
      <c r="A865" t="s">
        <v>537</v>
      </c>
      <c r="C865">
        <v>413</v>
      </c>
      <c r="D865">
        <v>190</v>
      </c>
      <c r="E865">
        <v>1194</v>
      </c>
      <c r="F865">
        <v>306</v>
      </c>
      <c r="G865">
        <v>2103</v>
      </c>
    </row>
    <row r="866" spans="1:7">
      <c r="A866" t="s">
        <v>1124</v>
      </c>
      <c r="B866">
        <v>3343</v>
      </c>
      <c r="C866">
        <v>714</v>
      </c>
      <c r="D866">
        <v>2013</v>
      </c>
      <c r="E866">
        <v>1500</v>
      </c>
      <c r="F866">
        <v>1933</v>
      </c>
      <c r="G866">
        <v>9503</v>
      </c>
    </row>
    <row r="867" spans="1:7">
      <c r="A867" t="s">
        <v>382</v>
      </c>
      <c r="B867">
        <v>1100</v>
      </c>
      <c r="C867">
        <v>527</v>
      </c>
      <c r="D867">
        <v>553</v>
      </c>
      <c r="G867">
        <v>2180</v>
      </c>
    </row>
    <row r="868" spans="1:7">
      <c r="A868" t="s">
        <v>598</v>
      </c>
      <c r="C868">
        <v>230</v>
      </c>
      <c r="G868">
        <v>230</v>
      </c>
    </row>
    <row r="869" spans="1:7">
      <c r="A869" t="s">
        <v>989</v>
      </c>
      <c r="B869">
        <v>853</v>
      </c>
      <c r="G869">
        <v>853</v>
      </c>
    </row>
    <row r="870" spans="1:7">
      <c r="A870" t="s">
        <v>385</v>
      </c>
      <c r="B870">
        <v>1186</v>
      </c>
      <c r="C870">
        <v>1564</v>
      </c>
      <c r="D870">
        <v>1012</v>
      </c>
      <c r="E870">
        <v>588</v>
      </c>
      <c r="G870">
        <v>4350</v>
      </c>
    </row>
    <row r="871" spans="1:7">
      <c r="A871" t="s">
        <v>991</v>
      </c>
      <c r="C871">
        <v>1007</v>
      </c>
      <c r="D871">
        <v>1672</v>
      </c>
      <c r="E871">
        <v>1544</v>
      </c>
      <c r="G871">
        <v>4223</v>
      </c>
    </row>
    <row r="872" spans="1:7">
      <c r="A872" t="s">
        <v>604</v>
      </c>
      <c r="C872">
        <v>1182</v>
      </c>
      <c r="D872">
        <v>1604</v>
      </c>
      <c r="E872">
        <v>1268</v>
      </c>
      <c r="G872">
        <v>4054</v>
      </c>
    </row>
    <row r="873" spans="1:7">
      <c r="A873" t="s">
        <v>944</v>
      </c>
      <c r="D873">
        <v>1624</v>
      </c>
      <c r="E873">
        <v>551</v>
      </c>
      <c r="G873">
        <v>2175</v>
      </c>
    </row>
    <row r="874" spans="1:7">
      <c r="A874" t="s">
        <v>383</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531</v>
      </c>
      <c r="D880">
        <v>171</v>
      </c>
      <c r="G880">
        <v>171</v>
      </c>
    </row>
    <row r="881" spans="1:7">
      <c r="A881" t="s">
        <v>1089</v>
      </c>
      <c r="B881">
        <v>567</v>
      </c>
      <c r="G881">
        <v>567</v>
      </c>
    </row>
    <row r="882" spans="1:7">
      <c r="A882" t="s">
        <v>545</v>
      </c>
    </row>
    <row r="883" spans="1:7">
      <c r="A883" t="s">
        <v>559</v>
      </c>
      <c r="F883">
        <v>60</v>
      </c>
      <c r="G883">
        <v>60</v>
      </c>
    </row>
    <row r="884" spans="1:7">
      <c r="A884" t="s">
        <v>270</v>
      </c>
    </row>
    <row r="885" spans="1:7">
      <c r="A885" t="s">
        <v>364</v>
      </c>
    </row>
    <row r="886" spans="1:7">
      <c r="A886" t="s">
        <v>77</v>
      </c>
      <c r="B886">
        <v>188</v>
      </c>
      <c r="C886">
        <v>140</v>
      </c>
      <c r="G886">
        <v>328</v>
      </c>
    </row>
    <row r="887" spans="1:7">
      <c r="A887" t="s">
        <v>565</v>
      </c>
      <c r="B887">
        <v>270</v>
      </c>
      <c r="C887">
        <v>60</v>
      </c>
      <c r="G887">
        <v>330</v>
      </c>
    </row>
    <row r="888" spans="1:7">
      <c r="A888" t="s">
        <v>594</v>
      </c>
    </row>
    <row r="889" spans="1:7">
      <c r="A889" t="s">
        <v>537</v>
      </c>
      <c r="B889">
        <v>203</v>
      </c>
      <c r="C889">
        <v>996</v>
      </c>
      <c r="D889">
        <v>1147</v>
      </c>
      <c r="E889">
        <v>1053</v>
      </c>
      <c r="F889">
        <v>955</v>
      </c>
      <c r="G889">
        <v>4354</v>
      </c>
    </row>
    <row r="890" spans="1:7">
      <c r="A890" t="s">
        <v>1124</v>
      </c>
      <c r="B890">
        <v>820</v>
      </c>
      <c r="C890">
        <v>2077</v>
      </c>
      <c r="D890">
        <v>1096</v>
      </c>
      <c r="G890">
        <v>3993</v>
      </c>
    </row>
    <row r="891" spans="1:7">
      <c r="A891" t="s">
        <v>382</v>
      </c>
      <c r="C891">
        <v>1647</v>
      </c>
      <c r="D891">
        <v>343</v>
      </c>
      <c r="G891">
        <v>1990</v>
      </c>
    </row>
    <row r="892" spans="1:7">
      <c r="A892" t="s">
        <v>991</v>
      </c>
      <c r="B892">
        <v>587</v>
      </c>
      <c r="C892">
        <v>115</v>
      </c>
      <c r="G892">
        <v>702</v>
      </c>
    </row>
    <row r="893" spans="1:7">
      <c r="A893" t="s">
        <v>596</v>
      </c>
      <c r="C893">
        <v>1509</v>
      </c>
      <c r="D893">
        <v>1087</v>
      </c>
      <c r="E893">
        <v>777</v>
      </c>
      <c r="G893">
        <v>3373</v>
      </c>
    </row>
    <row r="894" spans="1:7">
      <c r="A894" t="s">
        <v>604</v>
      </c>
      <c r="B894">
        <v>1310</v>
      </c>
      <c r="G894">
        <v>1310</v>
      </c>
    </row>
    <row r="895" spans="1:7">
      <c r="A895" t="s">
        <v>944</v>
      </c>
      <c r="F895">
        <v>168</v>
      </c>
      <c r="G895">
        <v>168</v>
      </c>
    </row>
    <row r="896" spans="1:7">
      <c r="A896" t="s">
        <v>383</v>
      </c>
      <c r="B896">
        <v>1323</v>
      </c>
      <c r="C896">
        <v>1516</v>
      </c>
      <c r="D896">
        <v>790</v>
      </c>
      <c r="E896">
        <v>930</v>
      </c>
      <c r="F896">
        <v>408</v>
      </c>
      <c r="G896">
        <v>4967</v>
      </c>
    </row>
    <row r="897" spans="1:7">
      <c r="A897" t="s">
        <v>1125</v>
      </c>
      <c r="B897">
        <v>1224</v>
      </c>
      <c r="C897">
        <v>988</v>
      </c>
      <c r="D897">
        <v>2316</v>
      </c>
      <c r="E897">
        <v>2066</v>
      </c>
      <c r="G897">
        <v>6594</v>
      </c>
    </row>
    <row r="898" spans="1:7">
      <c r="A898" t="s">
        <v>590</v>
      </c>
      <c r="C898">
        <v>1678</v>
      </c>
      <c r="E898">
        <v>394</v>
      </c>
      <c r="G898">
        <v>2072</v>
      </c>
    </row>
    <row r="899" spans="1:7">
      <c r="A899" t="s">
        <v>378</v>
      </c>
      <c r="D899">
        <v>3179</v>
      </c>
      <c r="G899">
        <v>3179</v>
      </c>
    </row>
    <row r="900" spans="1:7">
      <c r="A900" t="s">
        <v>622</v>
      </c>
      <c r="E900">
        <v>978</v>
      </c>
      <c r="G900">
        <v>978</v>
      </c>
    </row>
    <row r="901" spans="1:7">
      <c r="A901" t="s">
        <v>445</v>
      </c>
      <c r="E901">
        <v>502</v>
      </c>
      <c r="G901">
        <v>502</v>
      </c>
    </row>
    <row r="902" spans="1:7">
      <c r="A902" t="s">
        <v>225</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561</v>
      </c>
    </row>
    <row r="910" spans="1:7">
      <c r="A910" t="s">
        <v>364</v>
      </c>
    </row>
    <row r="911" spans="1:7">
      <c r="A911" t="s">
        <v>392</v>
      </c>
      <c r="F911">
        <v>569</v>
      </c>
      <c r="G911">
        <v>569</v>
      </c>
    </row>
    <row r="912" spans="1:7">
      <c r="A912" t="s">
        <v>537</v>
      </c>
    </row>
    <row r="913" spans="1:7">
      <c r="A913" t="s">
        <v>372</v>
      </c>
      <c r="D913">
        <v>150</v>
      </c>
      <c r="G913">
        <v>150</v>
      </c>
    </row>
    <row r="914" spans="1:7">
      <c r="A914" t="s">
        <v>385</v>
      </c>
    </row>
    <row r="915" spans="1:7">
      <c r="A915" t="s">
        <v>604</v>
      </c>
      <c r="B915">
        <v>701</v>
      </c>
      <c r="G915">
        <v>701</v>
      </c>
    </row>
    <row r="916" spans="1:7">
      <c r="A916" t="s">
        <v>944</v>
      </c>
      <c r="B916">
        <v>463</v>
      </c>
      <c r="C916">
        <v>633</v>
      </c>
      <c r="D916">
        <v>625</v>
      </c>
      <c r="G916">
        <v>1721</v>
      </c>
    </row>
    <row r="917" spans="1:7">
      <c r="A917" t="s">
        <v>383</v>
      </c>
    </row>
    <row r="918" spans="1:7">
      <c r="A918" t="s">
        <v>378</v>
      </c>
      <c r="B918">
        <v>882</v>
      </c>
      <c r="C918">
        <v>1072</v>
      </c>
      <c r="D918">
        <v>1034</v>
      </c>
      <c r="E918">
        <v>209</v>
      </c>
      <c r="G918">
        <v>3197</v>
      </c>
    </row>
    <row r="919" spans="1:7">
      <c r="A919" t="s">
        <v>622</v>
      </c>
      <c r="B919">
        <v>1420</v>
      </c>
      <c r="C919">
        <v>990</v>
      </c>
      <c r="D919">
        <v>549</v>
      </c>
      <c r="G919">
        <v>2959</v>
      </c>
    </row>
    <row r="920" spans="1:7">
      <c r="A920" t="s">
        <v>445</v>
      </c>
      <c r="B920">
        <v>259</v>
      </c>
      <c r="C920">
        <v>1087</v>
      </c>
      <c r="D920">
        <v>2206</v>
      </c>
      <c r="E920">
        <v>453</v>
      </c>
      <c r="G920">
        <v>4005</v>
      </c>
    </row>
    <row r="921" spans="1:7">
      <c r="A921" t="s">
        <v>225</v>
      </c>
      <c r="C921">
        <v>379</v>
      </c>
      <c r="D921">
        <v>208</v>
      </c>
      <c r="G921">
        <v>587</v>
      </c>
    </row>
    <row r="922" spans="1:7">
      <c r="A922" t="s">
        <v>602</v>
      </c>
      <c r="B922">
        <v>579</v>
      </c>
      <c r="C922">
        <v>1120</v>
      </c>
      <c r="D922">
        <v>1488</v>
      </c>
      <c r="E922">
        <v>954</v>
      </c>
      <c r="G922">
        <v>4141</v>
      </c>
    </row>
    <row r="923" spans="1:7">
      <c r="A923" t="s">
        <v>1126</v>
      </c>
      <c r="B923">
        <v>365</v>
      </c>
      <c r="G923">
        <v>365</v>
      </c>
    </row>
    <row r="924" spans="1:7">
      <c r="A924" t="s">
        <v>395</v>
      </c>
      <c r="B924">
        <v>207</v>
      </c>
      <c r="G924">
        <v>207</v>
      </c>
    </row>
    <row r="925" spans="1:7">
      <c r="A925" t="s">
        <v>540</v>
      </c>
      <c r="C925">
        <v>1691</v>
      </c>
      <c r="D925">
        <v>1998</v>
      </c>
      <c r="E925">
        <v>760</v>
      </c>
      <c r="F925">
        <v>3975</v>
      </c>
      <c r="G925">
        <v>8424</v>
      </c>
    </row>
    <row r="926" spans="1:7">
      <c r="A926" t="s">
        <v>625</v>
      </c>
      <c r="D926">
        <v>1031</v>
      </c>
      <c r="G926">
        <v>1031</v>
      </c>
    </row>
    <row r="927" spans="1:7">
      <c r="A927" t="s">
        <v>394</v>
      </c>
      <c r="E927">
        <v>1063</v>
      </c>
      <c r="F927">
        <v>1263</v>
      </c>
      <c r="G927">
        <v>2326</v>
      </c>
    </row>
    <row r="928" spans="1:7">
      <c r="A928" t="s">
        <v>663</v>
      </c>
      <c r="F928">
        <v>451</v>
      </c>
      <c r="G928">
        <v>451</v>
      </c>
    </row>
    <row r="929" spans="1:7">
      <c r="A929" t="s">
        <v>469</v>
      </c>
      <c r="B929">
        <v>3266</v>
      </c>
      <c r="C929">
        <v>3910</v>
      </c>
      <c r="D929">
        <v>346</v>
      </c>
      <c r="G929">
        <v>7522</v>
      </c>
    </row>
    <row r="930" spans="1:7">
      <c r="A930" t="s">
        <v>310</v>
      </c>
      <c r="C930">
        <v>372</v>
      </c>
      <c r="D930">
        <v>656</v>
      </c>
      <c r="G930">
        <v>1028</v>
      </c>
    </row>
    <row r="931" spans="1:7">
      <c r="A931" t="s">
        <v>460</v>
      </c>
      <c r="D931">
        <v>2985</v>
      </c>
      <c r="E931">
        <v>2373</v>
      </c>
      <c r="G931">
        <v>5358</v>
      </c>
    </row>
    <row r="932" spans="1:7">
      <c r="A932" t="s">
        <v>487</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369</v>
      </c>
    </row>
    <row r="940" spans="1:7">
      <c r="A940" t="s">
        <v>537</v>
      </c>
      <c r="B940">
        <v>560</v>
      </c>
      <c r="G940">
        <v>560</v>
      </c>
    </row>
    <row r="941" spans="1:7">
      <c r="A941" t="s">
        <v>385</v>
      </c>
    </row>
    <row r="942" spans="1:7">
      <c r="A942" t="s">
        <v>604</v>
      </c>
      <c r="B942">
        <v>138</v>
      </c>
      <c r="G942">
        <v>138</v>
      </c>
    </row>
    <row r="943" spans="1:7">
      <c r="A943" t="s">
        <v>383</v>
      </c>
    </row>
    <row r="944" spans="1:7">
      <c r="A944" t="s">
        <v>378</v>
      </c>
      <c r="B944">
        <v>96</v>
      </c>
      <c r="G944">
        <v>96</v>
      </c>
    </row>
    <row r="945" spans="1:7">
      <c r="A945" t="s">
        <v>622</v>
      </c>
      <c r="B945">
        <v>632</v>
      </c>
      <c r="G945">
        <v>632</v>
      </c>
    </row>
    <row r="946" spans="1:7">
      <c r="A946" t="s">
        <v>445</v>
      </c>
      <c r="B946">
        <v>558</v>
      </c>
      <c r="G946">
        <v>558</v>
      </c>
    </row>
    <row r="947" spans="1:7">
      <c r="A947" t="s">
        <v>225</v>
      </c>
      <c r="B947">
        <v>562</v>
      </c>
      <c r="D947">
        <v>474</v>
      </c>
      <c r="E947">
        <v>606</v>
      </c>
      <c r="F947">
        <v>322</v>
      </c>
      <c r="G947">
        <v>1964</v>
      </c>
    </row>
    <row r="948" spans="1:7">
      <c r="A948" t="s">
        <v>625</v>
      </c>
      <c r="B948">
        <v>1351</v>
      </c>
      <c r="D948">
        <v>890</v>
      </c>
      <c r="G948">
        <v>2241</v>
      </c>
    </row>
    <row r="949" spans="1:7">
      <c r="A949" t="s">
        <v>487</v>
      </c>
      <c r="B949">
        <v>4084</v>
      </c>
      <c r="D949">
        <v>242</v>
      </c>
      <c r="G949">
        <v>4326</v>
      </c>
    </row>
    <row r="950" spans="1:7">
      <c r="A950" t="s">
        <v>1127</v>
      </c>
      <c r="B950">
        <v>748</v>
      </c>
      <c r="C950">
        <v>1062</v>
      </c>
      <c r="G950">
        <v>1810</v>
      </c>
    </row>
    <row r="951" spans="1:7">
      <c r="A951" t="s">
        <v>380</v>
      </c>
      <c r="B951">
        <v>435</v>
      </c>
      <c r="E951">
        <v>1123</v>
      </c>
      <c r="G951">
        <v>1558</v>
      </c>
    </row>
    <row r="952" spans="1:7">
      <c r="A952" t="s">
        <v>420</v>
      </c>
      <c r="D952">
        <v>1580</v>
      </c>
      <c r="E952">
        <v>1258</v>
      </c>
      <c r="G952">
        <v>2838</v>
      </c>
    </row>
    <row r="953" spans="1:7">
      <c r="A953" t="s">
        <v>600</v>
      </c>
      <c r="D953">
        <v>877</v>
      </c>
      <c r="E953">
        <v>814</v>
      </c>
      <c r="G953">
        <v>1691</v>
      </c>
    </row>
    <row r="954" spans="1:7">
      <c r="A954" t="s">
        <v>208</v>
      </c>
      <c r="D954">
        <v>711</v>
      </c>
      <c r="E954">
        <v>325</v>
      </c>
      <c r="F954">
        <v>430</v>
      </c>
      <c r="G954">
        <v>1466</v>
      </c>
    </row>
    <row r="955" spans="1:7">
      <c r="A955" t="s">
        <v>407</v>
      </c>
      <c r="D955">
        <v>1486</v>
      </c>
      <c r="E955">
        <v>2912</v>
      </c>
      <c r="F955">
        <v>2125</v>
      </c>
      <c r="G955">
        <v>6523</v>
      </c>
    </row>
    <row r="956" spans="1:7">
      <c r="A956" t="s">
        <v>479</v>
      </c>
      <c r="D956">
        <v>1264</v>
      </c>
      <c r="E956">
        <v>1281</v>
      </c>
      <c r="G956">
        <v>2545</v>
      </c>
    </row>
    <row r="957" spans="1:7">
      <c r="A957" t="s">
        <v>1128</v>
      </c>
    </row>
    <row r="958" spans="1:7">
      <c r="A958" t="s">
        <v>492</v>
      </c>
      <c r="D958">
        <v>3678</v>
      </c>
      <c r="E958">
        <v>3382</v>
      </c>
      <c r="G958">
        <v>7060</v>
      </c>
    </row>
    <row r="959" spans="1:7">
      <c r="A959" t="s">
        <v>1129</v>
      </c>
      <c r="F959">
        <v>1505</v>
      </c>
      <c r="G959">
        <v>1505</v>
      </c>
    </row>
    <row r="960" spans="1:7">
      <c r="A960" t="s">
        <v>521</v>
      </c>
      <c r="E960">
        <v>424</v>
      </c>
      <c r="G960">
        <v>424</v>
      </c>
    </row>
    <row r="961" spans="1:7">
      <c r="A961" t="s">
        <v>494</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270</v>
      </c>
      <c r="B969">
        <v>446</v>
      </c>
      <c r="C969">
        <v>120</v>
      </c>
      <c r="D969">
        <v>550</v>
      </c>
      <c r="G969">
        <v>1116</v>
      </c>
    </row>
    <row r="970" spans="1:7">
      <c r="A970" t="s">
        <v>537</v>
      </c>
      <c r="C970">
        <v>17</v>
      </c>
      <c r="G970">
        <v>17</v>
      </c>
    </row>
    <row r="971" spans="1:7">
      <c r="A971" t="s">
        <v>604</v>
      </c>
    </row>
    <row r="972" spans="1:7">
      <c r="A972" t="s">
        <v>445</v>
      </c>
      <c r="B972">
        <v>127</v>
      </c>
      <c r="G972">
        <v>127</v>
      </c>
    </row>
    <row r="973" spans="1:7">
      <c r="A973" t="s">
        <v>225</v>
      </c>
      <c r="B973">
        <v>420</v>
      </c>
      <c r="G973">
        <v>420</v>
      </c>
    </row>
    <row r="974" spans="1:7">
      <c r="A974" t="s">
        <v>625</v>
      </c>
    </row>
    <row r="975" spans="1:7">
      <c r="A975" t="s">
        <v>380</v>
      </c>
      <c r="C975">
        <v>1917</v>
      </c>
      <c r="E975">
        <v>272</v>
      </c>
      <c r="G975">
        <v>2189</v>
      </c>
    </row>
    <row r="976" spans="1:7">
      <c r="A976" t="s">
        <v>600</v>
      </c>
      <c r="B976">
        <v>956</v>
      </c>
      <c r="G976">
        <v>956</v>
      </c>
    </row>
    <row r="977" spans="1:7">
      <c r="A977" t="s">
        <v>208</v>
      </c>
      <c r="E977">
        <v>195</v>
      </c>
      <c r="G977">
        <v>195</v>
      </c>
    </row>
    <row r="978" spans="1:7">
      <c r="A978" t="s">
        <v>407</v>
      </c>
      <c r="B978">
        <v>1449</v>
      </c>
      <c r="G978">
        <v>1449</v>
      </c>
    </row>
    <row r="979" spans="1:7">
      <c r="A979" t="s">
        <v>479</v>
      </c>
      <c r="B979">
        <v>1662</v>
      </c>
      <c r="C979">
        <v>2684</v>
      </c>
      <c r="F979">
        <v>51</v>
      </c>
      <c r="G979">
        <v>4397</v>
      </c>
    </row>
    <row r="980" spans="1:7">
      <c r="A980" t="s">
        <v>489</v>
      </c>
      <c r="B980">
        <v>5466</v>
      </c>
      <c r="E980">
        <v>2252</v>
      </c>
      <c r="G980">
        <v>7718</v>
      </c>
    </row>
    <row r="981" spans="1:7">
      <c r="A981" t="s">
        <v>1129</v>
      </c>
      <c r="B981">
        <v>907</v>
      </c>
      <c r="G981">
        <v>907</v>
      </c>
    </row>
    <row r="982" spans="1:7">
      <c r="A982" t="s">
        <v>521</v>
      </c>
      <c r="E982">
        <v>313</v>
      </c>
      <c r="F982">
        <v>3007</v>
      </c>
      <c r="G982">
        <v>3320</v>
      </c>
    </row>
    <row r="983" spans="1:7">
      <c r="A983" t="s">
        <v>494</v>
      </c>
      <c r="B983">
        <v>1498</v>
      </c>
      <c r="C983">
        <v>3613</v>
      </c>
      <c r="E983">
        <v>1027</v>
      </c>
      <c r="F983">
        <v>490</v>
      </c>
      <c r="G983">
        <v>6628</v>
      </c>
    </row>
    <row r="984" spans="1:7">
      <c r="A984" t="s">
        <v>1130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423</v>
      </c>
      <c r="C987">
        <v>1679</v>
      </c>
      <c r="D987">
        <v>1429</v>
      </c>
      <c r="E987">
        <v>1624</v>
      </c>
      <c r="G987">
        <v>4732</v>
      </c>
    </row>
    <row r="988" spans="1:7">
      <c r="A988" t="s">
        <v>408</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375</v>
      </c>
      <c r="C993">
        <v>136</v>
      </c>
      <c r="D993">
        <v>170</v>
      </c>
      <c r="F993">
        <v>15</v>
      </c>
      <c r="G993">
        <v>321</v>
      </c>
    </row>
    <row r="994" spans="1:7">
      <c r="A994" t="s">
        <v>497</v>
      </c>
      <c r="E994">
        <v>1420</v>
      </c>
      <c r="F994">
        <v>3043</v>
      </c>
      <c r="G994">
        <v>4463</v>
      </c>
    </row>
    <row r="995" spans="1:7">
      <c r="A995" t="s">
        <v>500</v>
      </c>
      <c r="E995">
        <v>2376</v>
      </c>
      <c r="F995">
        <v>1217</v>
      </c>
      <c r="G995">
        <v>3593</v>
      </c>
    </row>
    <row r="996" spans="1:7">
      <c r="A996" t="s">
        <v>410</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531</v>
      </c>
      <c r="C1005">
        <v>68</v>
      </c>
      <c r="G1005">
        <v>68</v>
      </c>
    </row>
    <row r="1006" spans="1:7">
      <c r="A1006" t="s">
        <v>1114</v>
      </c>
    </row>
    <row r="1007" spans="1:7">
      <c r="A1007" t="s">
        <v>369</v>
      </c>
    </row>
    <row r="1008" spans="1:7">
      <c r="A1008" t="s">
        <v>944</v>
      </c>
    </row>
    <row r="1009" spans="1:7">
      <c r="A1009" t="s">
        <v>383</v>
      </c>
    </row>
    <row r="1010" spans="1:7">
      <c r="A1010" t="s">
        <v>378</v>
      </c>
    </row>
    <row r="1011" spans="1:7">
      <c r="A1011" t="s">
        <v>225</v>
      </c>
      <c r="D1011">
        <v>426</v>
      </c>
      <c r="G1011">
        <v>426</v>
      </c>
    </row>
    <row r="1012" spans="1:7">
      <c r="A1012" t="s">
        <v>394</v>
      </c>
    </row>
    <row r="1013" spans="1:7">
      <c r="A1013" t="s">
        <v>469</v>
      </c>
    </row>
    <row r="1014" spans="1:7">
      <c r="A1014" t="s">
        <v>310</v>
      </c>
      <c r="C1014">
        <v>1175</v>
      </c>
      <c r="G1014">
        <v>1175</v>
      </c>
    </row>
    <row r="1015" spans="1:7">
      <c r="A1015" t="s">
        <v>460</v>
      </c>
      <c r="C1015">
        <v>996</v>
      </c>
      <c r="G1015">
        <v>996</v>
      </c>
    </row>
    <row r="1016" spans="1:7">
      <c r="A1016" t="s">
        <v>380</v>
      </c>
      <c r="B1016">
        <v>900</v>
      </c>
      <c r="G1016">
        <v>900</v>
      </c>
    </row>
    <row r="1017" spans="1:7">
      <c r="A1017" t="s">
        <v>420</v>
      </c>
    </row>
    <row r="1018" spans="1:7">
      <c r="A1018" t="s">
        <v>600</v>
      </c>
    </row>
    <row r="1019" spans="1:7">
      <c r="A1019" t="s">
        <v>1130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423</v>
      </c>
      <c r="B1022">
        <v>572</v>
      </c>
      <c r="G1022">
        <v>572</v>
      </c>
    </row>
    <row r="1023" spans="1:7">
      <c r="A1023" t="s">
        <v>1132</v>
      </c>
      <c r="B1023">
        <v>1718</v>
      </c>
      <c r="C1023">
        <v>2478</v>
      </c>
      <c r="D1023">
        <v>1567</v>
      </c>
      <c r="G1023">
        <v>5763</v>
      </c>
    </row>
    <row r="1024" spans="1:7">
      <c r="A1024" t="s">
        <v>497</v>
      </c>
      <c r="C1024">
        <v>3411</v>
      </c>
      <c r="G1024">
        <v>3411</v>
      </c>
    </row>
    <row r="1025" spans="1:7">
      <c r="A1025" t="s">
        <v>198</v>
      </c>
      <c r="B1025">
        <v>82</v>
      </c>
      <c r="G1025">
        <v>82</v>
      </c>
    </row>
    <row r="1026" spans="1:7">
      <c r="A1026" t="s">
        <v>500</v>
      </c>
      <c r="C1026">
        <v>3311</v>
      </c>
      <c r="G1026">
        <v>3311</v>
      </c>
    </row>
    <row r="1027" spans="1:7">
      <c r="A1027" t="s">
        <v>463</v>
      </c>
    </row>
    <row r="1028" spans="1:7">
      <c r="A1028" t="s">
        <v>410</v>
      </c>
      <c r="C1028">
        <v>2568</v>
      </c>
      <c r="G1028">
        <v>2568</v>
      </c>
    </row>
    <row r="1029" spans="1:7">
      <c r="A1029" t="s">
        <v>435</v>
      </c>
      <c r="B1029">
        <v>286</v>
      </c>
      <c r="C1029">
        <v>357</v>
      </c>
      <c r="D1029">
        <v>331</v>
      </c>
      <c r="G1029">
        <v>974</v>
      </c>
    </row>
    <row r="1030" spans="1:7">
      <c r="A1030" t="s">
        <v>404</v>
      </c>
      <c r="B1030">
        <v>1655</v>
      </c>
      <c r="C1030">
        <v>2537</v>
      </c>
      <c r="G1030">
        <v>4192</v>
      </c>
    </row>
    <row r="1031" spans="1:7">
      <c r="A1031" t="s">
        <v>481</v>
      </c>
      <c r="C1031">
        <v>2382</v>
      </c>
      <c r="G1031">
        <v>2382</v>
      </c>
    </row>
    <row r="1032" spans="1:7">
      <c r="A1032" t="s">
        <v>612</v>
      </c>
      <c r="C1032">
        <v>1100</v>
      </c>
      <c r="D1032">
        <v>855</v>
      </c>
      <c r="G1032">
        <v>1955</v>
      </c>
    </row>
    <row r="1033" spans="1:7">
      <c r="A1033" t="s">
        <v>1133</v>
      </c>
      <c r="C1033">
        <v>486</v>
      </c>
      <c r="G1033">
        <v>486</v>
      </c>
    </row>
    <row r="1034" spans="1:7">
      <c r="A1034" t="s">
        <v>503</v>
      </c>
      <c r="C1034">
        <v>3634</v>
      </c>
      <c r="G1034">
        <v>3634</v>
      </c>
    </row>
    <row r="1035" spans="1:7">
      <c r="A1035" t="s">
        <v>1134</v>
      </c>
      <c r="D1035">
        <v>955</v>
      </c>
      <c r="G1035">
        <v>955</v>
      </c>
    </row>
    <row r="1036" spans="1:7">
      <c r="A1036" t="s">
        <v>1135</v>
      </c>
    </row>
    <row r="1037" spans="1:7">
      <c r="A1037" t="s">
        <v>473</v>
      </c>
    </row>
    <row r="1038" spans="1:7">
      <c r="A1038" t="s">
        <v>465</v>
      </c>
    </row>
    <row r="1039" spans="1:7">
      <c r="A1039" t="s">
        <v>467</v>
      </c>
    </row>
    <row r="1040" spans="1:7">
      <c r="A1040" t="s">
        <v>472</v>
      </c>
    </row>
    <row r="1041" spans="1:7">
      <c r="A1041" t="s">
        <v>475</v>
      </c>
    </row>
    <row r="1042" spans="1:7">
      <c r="A1042" t="s">
        <v>477</v>
      </c>
    </row>
    <row r="1043" spans="1:7">
      <c r="A1043" t="s">
        <v>478</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602</v>
      </c>
      <c r="C1051">
        <v>175</v>
      </c>
      <c r="G1051">
        <v>175</v>
      </c>
    </row>
    <row r="1052" spans="1:7">
      <c r="A1052" t="s">
        <v>540</v>
      </c>
      <c r="B1052">
        <v>602</v>
      </c>
      <c r="C1052">
        <v>1069</v>
      </c>
      <c r="D1052">
        <v>1129</v>
      </c>
      <c r="E1052">
        <v>1041</v>
      </c>
      <c r="F1052">
        <v>1824</v>
      </c>
      <c r="G1052">
        <v>5665</v>
      </c>
    </row>
    <row r="1053" spans="1:7">
      <c r="A1053" t="s">
        <v>310</v>
      </c>
      <c r="B1053">
        <v>1515</v>
      </c>
      <c r="G1053">
        <v>1515</v>
      </c>
    </row>
    <row r="1054" spans="1:7">
      <c r="A1054" t="s">
        <v>489</v>
      </c>
      <c r="E1054">
        <v>64</v>
      </c>
      <c r="G1054">
        <v>64</v>
      </c>
    </row>
    <row r="1055" spans="1:7">
      <c r="A1055" t="s">
        <v>492</v>
      </c>
    </row>
    <row r="1056" spans="1:7">
      <c r="A1056" t="s">
        <v>609</v>
      </c>
      <c r="B1056">
        <v>1610</v>
      </c>
      <c r="G1056">
        <v>1610</v>
      </c>
    </row>
    <row r="1057" spans="1:7">
      <c r="A1057" t="s">
        <v>606</v>
      </c>
    </row>
    <row r="1058" spans="1:7">
      <c r="A1058" t="s">
        <v>497</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481</v>
      </c>
      <c r="B1061">
        <v>3084</v>
      </c>
      <c r="G1061">
        <v>3084</v>
      </c>
    </row>
    <row r="1062" spans="1:7">
      <c r="A1062" t="s">
        <v>612</v>
      </c>
      <c r="B1062">
        <v>1622</v>
      </c>
      <c r="C1062">
        <v>1131</v>
      </c>
      <c r="G1062">
        <v>2753</v>
      </c>
    </row>
    <row r="1063" spans="1:7">
      <c r="A1063" t="s">
        <v>1133</v>
      </c>
      <c r="B1063">
        <v>600</v>
      </c>
      <c r="C1063">
        <v>610</v>
      </c>
      <c r="D1063">
        <v>974</v>
      </c>
      <c r="G1063">
        <v>2184</v>
      </c>
    </row>
    <row r="1064" spans="1:7">
      <c r="A1064" t="s">
        <v>503</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518</v>
      </c>
      <c r="B1067">
        <v>1829</v>
      </c>
      <c r="C1067">
        <v>2302</v>
      </c>
      <c r="D1067">
        <v>694</v>
      </c>
      <c r="G1067">
        <v>4825</v>
      </c>
    </row>
    <row r="1068" spans="1:7">
      <c r="A1068" t="s">
        <v>484</v>
      </c>
      <c r="B1068">
        <v>1391</v>
      </c>
      <c r="C1068">
        <v>2916</v>
      </c>
      <c r="D1068">
        <v>2430</v>
      </c>
      <c r="G1068">
        <v>6737</v>
      </c>
    </row>
    <row r="1069" spans="1:7">
      <c r="A1069" t="s">
        <v>417</v>
      </c>
      <c r="D1069">
        <v>466</v>
      </c>
      <c r="E1069">
        <v>345</v>
      </c>
      <c r="G1069">
        <v>811</v>
      </c>
    </row>
    <row r="1070" spans="1:7">
      <c r="A1070" t="s">
        <v>426</v>
      </c>
      <c r="E1070">
        <v>1431</v>
      </c>
      <c r="G1070">
        <v>1431</v>
      </c>
    </row>
    <row r="1071" spans="1:7">
      <c r="A1071" t="s">
        <v>587</v>
      </c>
      <c r="D1071">
        <v>1379</v>
      </c>
      <c r="E1071">
        <v>1154</v>
      </c>
      <c r="G1071">
        <v>2533</v>
      </c>
    </row>
    <row r="1072" spans="1:7">
      <c r="A1072" t="s">
        <v>315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540</v>
      </c>
      <c r="B1081">
        <v>1283</v>
      </c>
      <c r="C1081">
        <v>442</v>
      </c>
      <c r="F1081">
        <v>706</v>
      </c>
      <c r="G1081">
        <v>2431</v>
      </c>
    </row>
    <row r="1082" spans="1:7">
      <c r="A1082" t="s">
        <v>460</v>
      </c>
      <c r="C1082">
        <v>2203</v>
      </c>
      <c r="G1082">
        <v>2203</v>
      </c>
    </row>
    <row r="1083" spans="1:7">
      <c r="A1083" t="s">
        <v>494</v>
      </c>
      <c r="E1083">
        <v>242</v>
      </c>
      <c r="G1083">
        <v>242</v>
      </c>
    </row>
    <row r="1084" spans="1:7">
      <c r="A1084" t="s">
        <v>609</v>
      </c>
    </row>
    <row r="1085" spans="1:7">
      <c r="A1085" t="s">
        <v>410</v>
      </c>
      <c r="B1085">
        <v>428</v>
      </c>
      <c r="G1085">
        <v>428</v>
      </c>
    </row>
    <row r="1086" spans="1:7">
      <c r="A1086" t="s">
        <v>1134</v>
      </c>
    </row>
    <row r="1087" spans="1:7">
      <c r="A1087" t="s">
        <v>1136</v>
      </c>
      <c r="C1087">
        <v>265</v>
      </c>
      <c r="D1087">
        <v>542</v>
      </c>
      <c r="E1087">
        <v>739</v>
      </c>
      <c r="G1087">
        <v>1546</v>
      </c>
    </row>
    <row r="1088" spans="1:7">
      <c r="A1088" t="s">
        <v>518</v>
      </c>
      <c r="D1088">
        <v>91</v>
      </c>
      <c r="G1088">
        <v>91</v>
      </c>
    </row>
    <row r="1089" spans="1:7">
      <c r="A1089" t="s">
        <v>417</v>
      </c>
      <c r="B1089">
        <v>1172</v>
      </c>
      <c r="G1089">
        <v>1172</v>
      </c>
    </row>
    <row r="1090" spans="1:7">
      <c r="A1090" t="s">
        <v>426</v>
      </c>
      <c r="B1090">
        <v>1583</v>
      </c>
      <c r="C1090">
        <v>1325</v>
      </c>
      <c r="D1090">
        <v>621</v>
      </c>
      <c r="G1090">
        <v>3529</v>
      </c>
    </row>
    <row r="1091" spans="1:7">
      <c r="A1091" t="s">
        <v>587</v>
      </c>
    </row>
    <row r="1092" spans="1:7">
      <c r="A1092" t="s">
        <v>1137</v>
      </c>
      <c r="B1092">
        <v>640</v>
      </c>
      <c r="C1092">
        <v>541</v>
      </c>
      <c r="D1092">
        <v>330</v>
      </c>
      <c r="E1092">
        <v>520</v>
      </c>
      <c r="F1092">
        <v>550</v>
      </c>
      <c r="G1092">
        <v>2581</v>
      </c>
    </row>
    <row r="1093" spans="1:7">
      <c r="A1093" t="s">
        <v>512</v>
      </c>
      <c r="B1093">
        <v>2855</v>
      </c>
      <c r="C1093">
        <v>3343</v>
      </c>
      <c r="D1093">
        <v>931</v>
      </c>
      <c r="G1093">
        <v>7129</v>
      </c>
    </row>
    <row r="1094" spans="1:7">
      <c r="A1094" t="s">
        <v>515</v>
      </c>
      <c r="C1094">
        <v>1743</v>
      </c>
      <c r="D1094">
        <v>522</v>
      </c>
      <c r="E1094">
        <v>1194</v>
      </c>
      <c r="F1094">
        <v>2811</v>
      </c>
      <c r="G1094">
        <v>6270</v>
      </c>
    </row>
    <row r="1095" spans="1:7">
      <c r="A1095" t="s">
        <v>1139</v>
      </c>
    </row>
    <row r="1096" spans="1:7">
      <c r="A1096" t="s">
        <v>398</v>
      </c>
      <c r="C1096">
        <v>1640</v>
      </c>
      <c r="D1096">
        <v>1177</v>
      </c>
      <c r="G1096">
        <v>2817</v>
      </c>
    </row>
    <row r="1097" spans="1:7">
      <c r="A1097" t="s">
        <v>506</v>
      </c>
      <c r="C1097">
        <v>1980</v>
      </c>
      <c r="D1097">
        <v>1251</v>
      </c>
      <c r="E1097">
        <v>3172</v>
      </c>
      <c r="G1097">
        <v>6403</v>
      </c>
    </row>
    <row r="1098" spans="1:7">
      <c r="A1098" t="s">
        <v>318</v>
      </c>
      <c r="C1098">
        <v>1111</v>
      </c>
      <c r="D1098">
        <v>1373</v>
      </c>
      <c r="E1098">
        <v>1090</v>
      </c>
      <c r="F1098">
        <v>1204</v>
      </c>
      <c r="G1098">
        <v>4778</v>
      </c>
    </row>
    <row r="1099" spans="1:7">
      <c r="A1099" t="s">
        <v>581</v>
      </c>
      <c r="C1099">
        <v>1500</v>
      </c>
      <c r="D1099">
        <v>1084</v>
      </c>
      <c r="G1099">
        <v>2584</v>
      </c>
    </row>
    <row r="1100" spans="1:7">
      <c r="A1100" t="s">
        <v>401</v>
      </c>
      <c r="D1100">
        <v>817</v>
      </c>
      <c r="E1100">
        <v>1820</v>
      </c>
      <c r="G1100">
        <v>2637</v>
      </c>
    </row>
    <row r="1101" spans="1:7">
      <c r="A1101" t="s">
        <v>414</v>
      </c>
      <c r="E1101">
        <v>1351</v>
      </c>
      <c r="G1101">
        <v>1351</v>
      </c>
    </row>
    <row r="1102" spans="1:7">
      <c r="A1102" t="s">
        <v>293</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540</v>
      </c>
      <c r="B1109">
        <v>735</v>
      </c>
      <c r="G1109">
        <v>735</v>
      </c>
    </row>
    <row r="1110" spans="1:7">
      <c r="A1110" t="s">
        <v>469</v>
      </c>
    </row>
    <row r="1111" spans="1:7">
      <c r="A1111" t="s">
        <v>492</v>
      </c>
    </row>
    <row r="1112" spans="1:7">
      <c r="A1112" t="s">
        <v>521</v>
      </c>
      <c r="E1112">
        <v>396</v>
      </c>
      <c r="G1112">
        <v>396</v>
      </c>
    </row>
    <row r="1113" spans="1:7">
      <c r="A1113" t="s">
        <v>494</v>
      </c>
    </row>
    <row r="1114" spans="1:7">
      <c r="A1114" t="s">
        <v>609</v>
      </c>
    </row>
    <row r="1115" spans="1:7">
      <c r="A1115" t="s">
        <v>500</v>
      </c>
      <c r="B1115">
        <v>87</v>
      </c>
      <c r="G1115">
        <v>87</v>
      </c>
    </row>
    <row r="1116" spans="1:7">
      <c r="A1116" t="s">
        <v>1136</v>
      </c>
      <c r="B1116">
        <v>671</v>
      </c>
      <c r="C1116">
        <v>1204</v>
      </c>
      <c r="D1116">
        <v>1210</v>
      </c>
      <c r="E1116">
        <v>292</v>
      </c>
      <c r="G1116">
        <v>3377</v>
      </c>
    </row>
    <row r="1117" spans="1:7">
      <c r="A1117" t="s">
        <v>518</v>
      </c>
      <c r="D1117">
        <v>320</v>
      </c>
      <c r="E1117">
        <v>652</v>
      </c>
      <c r="F1117">
        <v>780</v>
      </c>
      <c r="G1117">
        <v>1752</v>
      </c>
    </row>
    <row r="1118" spans="1:7">
      <c r="A1118" t="s">
        <v>417</v>
      </c>
      <c r="D1118">
        <v>163</v>
      </c>
      <c r="G1118">
        <v>163</v>
      </c>
    </row>
    <row r="1119" spans="1:7">
      <c r="A1119" t="s">
        <v>315</v>
      </c>
      <c r="D1119">
        <v>372</v>
      </c>
      <c r="F1119">
        <v>582</v>
      </c>
      <c r="G1119">
        <v>954</v>
      </c>
    </row>
    <row r="1120" spans="1:7">
      <c r="A1120" t="s">
        <v>1137</v>
      </c>
      <c r="B1120">
        <v>752</v>
      </c>
      <c r="C1120">
        <v>1249</v>
      </c>
      <c r="D1120">
        <v>235</v>
      </c>
      <c r="E1120">
        <v>563</v>
      </c>
      <c r="F1120">
        <v>483</v>
      </c>
      <c r="G1120">
        <v>3282</v>
      </c>
    </row>
    <row r="1121" spans="1:7">
      <c r="A1121" t="s">
        <v>515</v>
      </c>
      <c r="D1121">
        <v>1049</v>
      </c>
      <c r="G1121">
        <v>1049</v>
      </c>
    </row>
    <row r="1122" spans="1:7">
      <c r="A1122" t="s">
        <v>506</v>
      </c>
      <c r="B1122">
        <v>29</v>
      </c>
      <c r="G1122">
        <v>29</v>
      </c>
    </row>
    <row r="1123" spans="1:7">
      <c r="A1123" t="s">
        <v>318</v>
      </c>
      <c r="F1123">
        <v>1235</v>
      </c>
      <c r="G1123">
        <v>1235</v>
      </c>
    </row>
    <row r="1124" spans="1:7">
      <c r="A1124" t="s">
        <v>581</v>
      </c>
    </row>
    <row r="1125" spans="1:7">
      <c r="A1125" t="s">
        <v>414</v>
      </c>
      <c r="B1125">
        <v>689</v>
      </c>
      <c r="C1125">
        <v>586</v>
      </c>
      <c r="D1125">
        <v>199</v>
      </c>
      <c r="G1125">
        <v>1474</v>
      </c>
    </row>
    <row r="1126" spans="1:7">
      <c r="A1126" t="s">
        <v>293</v>
      </c>
      <c r="C1126">
        <v>1164</v>
      </c>
      <c r="D1126">
        <v>308</v>
      </c>
      <c r="E1126">
        <v>892</v>
      </c>
      <c r="F1126">
        <v>366</v>
      </c>
      <c r="G1126">
        <v>2730</v>
      </c>
    </row>
    <row r="1127" spans="1:7">
      <c r="A1127" t="s">
        <v>568</v>
      </c>
      <c r="B1127">
        <v>1095</v>
      </c>
      <c r="C1127">
        <v>1676</v>
      </c>
      <c r="D1127">
        <v>1139</v>
      </c>
      <c r="G1127">
        <v>3910</v>
      </c>
    </row>
    <row r="1128" spans="1:7">
      <c r="A1128" t="s">
        <v>584</v>
      </c>
      <c r="B1128">
        <v>1344</v>
      </c>
      <c r="C1128">
        <v>1583</v>
      </c>
      <c r="D1128">
        <v>1027</v>
      </c>
      <c r="E1128">
        <v>1596</v>
      </c>
      <c r="G1128">
        <v>5550</v>
      </c>
    </row>
    <row r="1129" spans="1:7">
      <c r="A1129" t="s">
        <v>217</v>
      </c>
      <c r="C1129">
        <v>890</v>
      </c>
      <c r="D1129">
        <v>1810</v>
      </c>
      <c r="E1129">
        <v>967</v>
      </c>
      <c r="G1129">
        <v>3667</v>
      </c>
    </row>
    <row r="1130" spans="1:7">
      <c r="A1130" t="s">
        <v>412</v>
      </c>
      <c r="B1130">
        <v>1511</v>
      </c>
      <c r="C1130">
        <v>1887</v>
      </c>
      <c r="D1130">
        <v>916</v>
      </c>
      <c r="E1130">
        <v>1704</v>
      </c>
      <c r="F1130">
        <v>974</v>
      </c>
      <c r="G1130">
        <v>6992</v>
      </c>
    </row>
    <row r="1131" spans="1:7">
      <c r="A1131" t="s">
        <v>509</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617</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518</v>
      </c>
      <c r="B1144">
        <v>870</v>
      </c>
      <c r="G1144">
        <v>870</v>
      </c>
    </row>
    <row r="1145" spans="1:7">
      <c r="A1145" t="s">
        <v>315</v>
      </c>
      <c r="B1145">
        <v>551</v>
      </c>
      <c r="G1145">
        <v>551</v>
      </c>
    </row>
    <row r="1146" spans="1:7">
      <c r="A1146" t="s">
        <v>1137</v>
      </c>
    </row>
    <row r="1147" spans="1:7">
      <c r="A1147" t="s">
        <v>293</v>
      </c>
      <c r="B1147">
        <v>154</v>
      </c>
      <c r="G1147">
        <v>154</v>
      </c>
    </row>
    <row r="1148" spans="1:7">
      <c r="A1148" t="s">
        <v>584</v>
      </c>
      <c r="B1148">
        <v>342</v>
      </c>
      <c r="G1148">
        <v>342</v>
      </c>
    </row>
    <row r="1149" spans="1:7">
      <c r="A1149" t="s">
        <v>509</v>
      </c>
    </row>
    <row r="1150" spans="1:7">
      <c r="A1150" t="s">
        <v>327</v>
      </c>
      <c r="B1150">
        <v>3523</v>
      </c>
      <c r="C1150">
        <v>2384</v>
      </c>
      <c r="G1150">
        <v>5907</v>
      </c>
    </row>
    <row r="1151" spans="1:7">
      <c r="A1151" t="s">
        <v>321</v>
      </c>
      <c r="B1151">
        <v>362</v>
      </c>
      <c r="G1151">
        <v>362</v>
      </c>
    </row>
    <row r="1152" spans="1:7">
      <c r="A1152" t="s">
        <v>617</v>
      </c>
      <c r="B1152">
        <v>380</v>
      </c>
      <c r="G1152">
        <v>380</v>
      </c>
    </row>
    <row r="1153" spans="1:7">
      <c r="A1153" t="s">
        <v>620</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1106</v>
      </c>
      <c r="B1159">
        <v>108</v>
      </c>
      <c r="C1159">
        <v>353</v>
      </c>
      <c r="E1159">
        <v>461</v>
      </c>
    </row>
    <row r="1160" spans="1:7">
      <c r="A1160" t="s">
        <v>479</v>
      </c>
    </row>
    <row r="1161" spans="1:7">
      <c r="A1161" t="s">
        <v>481</v>
      </c>
    </row>
    <row r="1162" spans="1:7">
      <c r="A1162" t="s">
        <v>484</v>
      </c>
    </row>
    <row r="1163" spans="1:7">
      <c r="A1163" t="s">
        <v>426</v>
      </c>
    </row>
    <row r="1164" spans="1:7">
      <c r="A1164" t="s">
        <v>315</v>
      </c>
      <c r="B1164">
        <v>738</v>
      </c>
      <c r="C1164">
        <v>466</v>
      </c>
      <c r="E1164">
        <v>1204</v>
      </c>
    </row>
    <row r="1165" spans="1:7">
      <c r="A1165" t="s">
        <v>515</v>
      </c>
    </row>
    <row r="1166" spans="1:7">
      <c r="A1166" t="s">
        <v>293</v>
      </c>
    </row>
    <row r="1167" spans="1:7">
      <c r="A1167" t="s">
        <v>321</v>
      </c>
      <c r="B1167">
        <v>1297</v>
      </c>
      <c r="E1167">
        <v>1297</v>
      </c>
    </row>
    <row r="1168" spans="1:7">
      <c r="A1168" t="s">
        <v>617</v>
      </c>
      <c r="B1168">
        <v>100</v>
      </c>
      <c r="E1168">
        <v>100</v>
      </c>
    </row>
    <row r="1169" spans="1:5">
      <c r="A1169" t="s">
        <v>324</v>
      </c>
      <c r="B1169">
        <v>2583</v>
      </c>
      <c r="C1169">
        <v>3099</v>
      </c>
      <c r="E1169">
        <v>5682</v>
      </c>
    </row>
    <row r="1170" spans="1:5">
      <c r="A1170" t="s">
        <v>429</v>
      </c>
      <c r="B1170">
        <v>1188</v>
      </c>
      <c r="E1170">
        <v>1188</v>
      </c>
    </row>
    <row r="1171" spans="1:5">
      <c r="A1171" t="s">
        <v>432</v>
      </c>
      <c r="B1171">
        <v>900</v>
      </c>
      <c r="E1171">
        <v>900</v>
      </c>
    </row>
    <row r="1172" spans="1:5">
      <c r="A1172" t="s">
        <v>1062</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653</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541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635</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653</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653</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653</v>
      </c>
      <c r="C32" s="153">
        <v>45707</v>
      </c>
      <c r="D32" s="117">
        <v>1978</v>
      </c>
      <c r="E32" s="117"/>
      <c r="F32" s="118" t="s">
        <v>1149</v>
      </c>
      <c r="G32" t="str">
        <f t="shared" si="0"/>
        <v>February</v>
      </c>
    </row>
    <row r="33" spans="1:7">
      <c r="A33" s="117" t="s">
        <v>891</v>
      </c>
      <c r="B33" s="243" t="s">
        <v>639</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653</v>
      </c>
      <c r="C39" s="153">
        <v>45708</v>
      </c>
      <c r="D39" s="117">
        <v>851</v>
      </c>
      <c r="E39" s="117"/>
      <c r="F39" s="118" t="s">
        <v>1153</v>
      </c>
      <c r="G39" t="str">
        <f t="shared" si="0"/>
        <v>February</v>
      </c>
    </row>
    <row r="40" spans="1:7">
      <c r="A40" s="117" t="s">
        <v>891</v>
      </c>
      <c r="B40" s="243" t="s">
        <v>639</v>
      </c>
      <c r="C40" s="153">
        <v>45708</v>
      </c>
      <c r="D40" s="117">
        <v>1334</v>
      </c>
      <c r="E40" s="117"/>
      <c r="F40" s="118"/>
      <c r="G40" t="str">
        <f t="shared" si="0"/>
        <v>February</v>
      </c>
    </row>
    <row r="41" spans="1:7">
      <c r="A41" s="117" t="s">
        <v>812</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692</v>
      </c>
      <c r="B43" s="243" t="s">
        <v>639</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652</v>
      </c>
      <c r="B45" s="243" t="s">
        <v>653</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692</v>
      </c>
      <c r="B52" s="243" t="s">
        <v>639</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635</v>
      </c>
      <c r="C54" s="153">
        <v>45709</v>
      </c>
      <c r="D54" s="117">
        <v>1462</v>
      </c>
      <c r="E54" s="117"/>
      <c r="F54" s="118" t="s">
        <v>1144</v>
      </c>
      <c r="G54" t="str">
        <f t="shared" si="0"/>
        <v>February</v>
      </c>
    </row>
    <row r="55" spans="1:7">
      <c r="A55" s="117" t="s">
        <v>642</v>
      </c>
      <c r="B55" s="243" t="s">
        <v>639</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639</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653</v>
      </c>
      <c r="C60" s="153">
        <v>45713</v>
      </c>
      <c r="D60" s="117"/>
      <c r="E60" s="117"/>
      <c r="F60" s="118"/>
      <c r="G60" t="str">
        <f t="shared" si="0"/>
        <v>February</v>
      </c>
    </row>
    <row r="61" spans="1:7">
      <c r="A61" s="117" t="s">
        <v>878</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639</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653</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639</v>
      </c>
      <c r="C76" s="153">
        <v>45713</v>
      </c>
      <c r="D76" s="117"/>
      <c r="E76" s="117"/>
      <c r="F76" s="118"/>
      <c r="G76" t="str">
        <f t="shared" si="1"/>
        <v>February</v>
      </c>
    </row>
    <row r="77" spans="1:7">
      <c r="A77" s="117" t="s">
        <v>812</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653</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639</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653</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639</v>
      </c>
      <c r="C101" s="153">
        <v>45714</v>
      </c>
      <c r="D101" s="117">
        <v>992</v>
      </c>
      <c r="E101" s="117"/>
      <c r="F101" s="118"/>
      <c r="G101" t="str">
        <f t="shared" si="1"/>
        <v>February</v>
      </c>
    </row>
    <row r="102" spans="1:7">
      <c r="A102" s="117" t="s">
        <v>812</v>
      </c>
      <c r="B102" s="154" t="s">
        <v>635</v>
      </c>
      <c r="C102" s="153">
        <v>45714</v>
      </c>
      <c r="D102" s="117"/>
      <c r="E102" s="117"/>
      <c r="F102" s="118"/>
      <c r="G102" t="str">
        <f t="shared" si="1"/>
        <v>February</v>
      </c>
    </row>
    <row r="103" spans="1:7">
      <c r="A103" s="117" t="s">
        <v>645</v>
      </c>
      <c r="B103" s="154" t="s">
        <v>635</v>
      </c>
      <c r="C103" s="153">
        <v>45714</v>
      </c>
      <c r="D103" s="117">
        <v>400</v>
      </c>
      <c r="E103" s="117"/>
      <c r="F103" s="118" t="s">
        <v>1151</v>
      </c>
      <c r="G103" t="str">
        <f t="shared" si="1"/>
        <v>February</v>
      </c>
    </row>
    <row r="104" spans="1:7">
      <c r="A104" s="117" t="s">
        <v>692</v>
      </c>
      <c r="B104" s="210" t="s">
        <v>639</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642</v>
      </c>
      <c r="B106" s="244" t="s">
        <v>639</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638</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648</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649</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653</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635</v>
      </c>
      <c r="C117" s="122">
        <v>45715</v>
      </c>
      <c r="D117" s="118">
        <v>437</v>
      </c>
      <c r="E117" s="118"/>
      <c r="F117" s="118" t="s">
        <v>1169</v>
      </c>
      <c r="G117" t="str">
        <f t="shared" si="1"/>
        <v>February</v>
      </c>
    </row>
    <row r="118" spans="1:7">
      <c r="A118" s="117" t="s">
        <v>652</v>
      </c>
      <c r="B118" s="244" t="s">
        <v>653</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639</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653</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639</v>
      </c>
      <c r="C132" s="122">
        <v>45715</v>
      </c>
      <c r="D132" s="118">
        <v>513</v>
      </c>
      <c r="E132" s="118"/>
      <c r="F132" s="134" t="s">
        <v>1144</v>
      </c>
      <c r="G132" t="str">
        <f t="shared" si="2"/>
        <v>February</v>
      </c>
    </row>
    <row r="133" spans="1:7">
      <c r="A133" s="117" t="s">
        <v>812</v>
      </c>
      <c r="B133" s="154" t="s">
        <v>635</v>
      </c>
      <c r="C133" s="122">
        <v>45715</v>
      </c>
      <c r="D133" s="118"/>
      <c r="E133" s="118"/>
      <c r="F133" s="134" t="s">
        <v>1171</v>
      </c>
      <c r="G133" t="str">
        <f t="shared" si="2"/>
        <v>February</v>
      </c>
    </row>
    <row r="134" spans="1:7">
      <c r="A134" s="117" t="s">
        <v>645</v>
      </c>
      <c r="B134" s="154" t="s">
        <v>635</v>
      </c>
      <c r="C134" s="122">
        <v>45715</v>
      </c>
      <c r="D134" s="118"/>
      <c r="E134" s="118"/>
      <c r="F134" s="134" t="s">
        <v>1171</v>
      </c>
      <c r="G134" t="str">
        <f t="shared" si="2"/>
        <v>February</v>
      </c>
    </row>
    <row r="135" spans="1:7">
      <c r="A135" s="117" t="s">
        <v>692</v>
      </c>
      <c r="B135" s="210" t="s">
        <v>639</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642</v>
      </c>
      <c r="B137" s="244" t="s">
        <v>639</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638</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648</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649</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653</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635</v>
      </c>
      <c r="C148" s="122">
        <v>45716</v>
      </c>
      <c r="D148" s="123" t="s">
        <v>1171</v>
      </c>
      <c r="E148" s="123"/>
      <c r="F148" s="118"/>
      <c r="G148" t="str">
        <f t="shared" si="2"/>
        <v>February</v>
      </c>
    </row>
    <row r="149" spans="1:7">
      <c r="A149" s="117" t="s">
        <v>652</v>
      </c>
      <c r="B149" s="244" t="s">
        <v>653</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639</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653</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639</v>
      </c>
      <c r="C163" s="122">
        <v>45716</v>
      </c>
      <c r="D163" s="123" t="s">
        <v>1171</v>
      </c>
      <c r="E163" s="123"/>
      <c r="F163" s="118"/>
      <c r="G163" t="str">
        <f t="shared" si="2"/>
        <v>February</v>
      </c>
    </row>
    <row r="164" spans="1:7">
      <c r="A164" s="117" t="s">
        <v>812</v>
      </c>
      <c r="B164" s="154" t="s">
        <v>635</v>
      </c>
      <c r="C164" s="122">
        <v>45716</v>
      </c>
      <c r="D164" s="123">
        <v>886</v>
      </c>
      <c r="E164" s="123"/>
      <c r="F164" s="118" t="s">
        <v>1156</v>
      </c>
      <c r="G164" t="str">
        <f t="shared" si="2"/>
        <v>February</v>
      </c>
    </row>
    <row r="165" spans="1:7">
      <c r="A165" s="117" t="s">
        <v>645</v>
      </c>
      <c r="B165" s="154" t="s">
        <v>635</v>
      </c>
      <c r="C165" s="122">
        <v>45716</v>
      </c>
      <c r="D165" s="123">
        <v>384</v>
      </c>
      <c r="E165" s="123"/>
      <c r="F165" s="118" t="s">
        <v>1154</v>
      </c>
      <c r="G165" t="str">
        <f t="shared" si="2"/>
        <v>February</v>
      </c>
    </row>
    <row r="166" spans="1:7">
      <c r="A166" s="117" t="s">
        <v>692</v>
      </c>
      <c r="B166" s="210" t="s">
        <v>639</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638</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648</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649</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653</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635</v>
      </c>
      <c r="C179" s="122">
        <v>45719</v>
      </c>
      <c r="D179" s="123" t="s">
        <v>1171</v>
      </c>
      <c r="E179" s="123"/>
      <c r="F179" s="118"/>
      <c r="G179" t="str">
        <f t="shared" si="2"/>
        <v>March</v>
      </c>
    </row>
    <row r="180" spans="1:7">
      <c r="A180" s="117" t="s">
        <v>652</v>
      </c>
      <c r="B180" s="244" t="s">
        <v>653</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639</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653</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639</v>
      </c>
      <c r="C194" s="122">
        <v>45719</v>
      </c>
      <c r="D194" s="123" t="s">
        <v>1171</v>
      </c>
      <c r="E194" s="123"/>
      <c r="F194" s="118"/>
      <c r="G194" t="str">
        <f t="shared" si="2"/>
        <v>March</v>
      </c>
    </row>
    <row r="195" spans="1:7">
      <c r="A195" s="117" t="s">
        <v>812</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1161</v>
      </c>
      <c r="G196" t="str">
        <f t="shared" si="3"/>
        <v>March</v>
      </c>
    </row>
    <row r="197" spans="1:7">
      <c r="A197" s="117" t="s">
        <v>692</v>
      </c>
      <c r="B197" s="210" t="s">
        <v>639</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642</v>
      </c>
      <c r="B199" s="244" t="s">
        <v>639</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638</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648</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649</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635</v>
      </c>
      <c r="C216" s="122">
        <v>45720</v>
      </c>
      <c r="D216" s="123">
        <v>408</v>
      </c>
      <c r="E216" s="123"/>
      <c r="F216" s="118" t="s">
        <v>1164</v>
      </c>
      <c r="G216" t="str">
        <f t="shared" si="3"/>
        <v>March</v>
      </c>
    </row>
    <row r="217" spans="1:8">
      <c r="A217" s="117" t="s">
        <v>645</v>
      </c>
      <c r="B217" s="154" t="s">
        <v>635</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649</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653</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639</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653</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639</v>
      </c>
      <c r="C243" s="122">
        <v>45721</v>
      </c>
      <c r="D243" s="123">
        <v>0</v>
      </c>
      <c r="E243" s="123"/>
      <c r="F243" s="118"/>
      <c r="G243" t="str">
        <f t="shared" si="3"/>
        <v>March</v>
      </c>
    </row>
    <row r="244" spans="1:7">
      <c r="A244" s="117" t="s">
        <v>812</v>
      </c>
      <c r="B244" s="154" t="s">
        <v>635</v>
      </c>
      <c r="C244" s="122">
        <v>45721</v>
      </c>
      <c r="D244" s="123">
        <v>452</v>
      </c>
      <c r="E244" s="123"/>
      <c r="F244" s="109" t="s">
        <v>1183</v>
      </c>
      <c r="G244" t="str">
        <f t="shared" si="3"/>
        <v>March</v>
      </c>
    </row>
    <row r="245" spans="1:7">
      <c r="A245" s="117" t="s">
        <v>645</v>
      </c>
      <c r="B245" s="154" t="s">
        <v>635</v>
      </c>
      <c r="C245" s="122">
        <v>45721</v>
      </c>
      <c r="D245" s="123">
        <v>0</v>
      </c>
      <c r="E245" s="123"/>
      <c r="F245" s="118"/>
      <c r="G245" t="str">
        <f t="shared" si="3"/>
        <v>March</v>
      </c>
    </row>
    <row r="246" spans="1:7">
      <c r="A246" s="117" t="s">
        <v>692</v>
      </c>
      <c r="B246" s="210" t="s">
        <v>639</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642</v>
      </c>
      <c r="B248" s="244" t="s">
        <v>639</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638</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648</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649</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653</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639</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653</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639</v>
      </c>
      <c r="C280" s="122">
        <v>45722</v>
      </c>
      <c r="D280" s="134">
        <v>0</v>
      </c>
      <c r="E280" s="134"/>
      <c r="F280" s="118"/>
      <c r="G280" t="str">
        <f t="shared" si="4"/>
        <v>March</v>
      </c>
    </row>
    <row r="281" spans="1:7">
      <c r="A281" s="117" t="s">
        <v>812</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692</v>
      </c>
      <c r="B283" s="210" t="s">
        <v>639</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638</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648</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649</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635</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653</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639</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653</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639</v>
      </c>
      <c r="C320" s="56">
        <v>45723</v>
      </c>
      <c r="D320" s="134">
        <v>201</v>
      </c>
      <c r="E320" s="134"/>
      <c r="F320" s="134" t="s">
        <v>1194</v>
      </c>
      <c r="G320" t="str">
        <f t="shared" si="4"/>
        <v>March</v>
      </c>
    </row>
    <row r="321" spans="1:7">
      <c r="A321" s="117" t="s">
        <v>812</v>
      </c>
      <c r="B321" s="154" t="s">
        <v>635</v>
      </c>
      <c r="C321" s="56">
        <v>45723</v>
      </c>
      <c r="D321" s="134">
        <v>875</v>
      </c>
      <c r="E321" s="134"/>
      <c r="F321" s="134" t="s">
        <v>1195</v>
      </c>
      <c r="G321" t="str">
        <f t="shared" si="4"/>
        <v>March</v>
      </c>
    </row>
    <row r="322" spans="1:7">
      <c r="A322" s="117" t="s">
        <v>645</v>
      </c>
      <c r="B322" s="154" t="s">
        <v>635</v>
      </c>
      <c r="C322" s="56">
        <v>45723</v>
      </c>
      <c r="D322" s="134">
        <v>0</v>
      </c>
      <c r="E322" s="134"/>
      <c r="G322" t="str">
        <f t="shared" si="4"/>
        <v>March</v>
      </c>
    </row>
    <row r="323" spans="1:7">
      <c r="A323" s="117" t="s">
        <v>692</v>
      </c>
      <c r="B323" s="210" t="s">
        <v>639</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642</v>
      </c>
      <c r="B325" s="244" t="s">
        <v>639</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638</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648</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649</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635</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653</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639</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653</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639</v>
      </c>
      <c r="C361" s="56">
        <v>45726</v>
      </c>
      <c r="D361" s="134">
        <v>0</v>
      </c>
      <c r="E361" s="134"/>
      <c r="G361" t="str">
        <f t="shared" si="5"/>
        <v>March</v>
      </c>
    </row>
    <row r="362" spans="1:7">
      <c r="A362" s="117" t="s">
        <v>812</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692</v>
      </c>
      <c r="B364" s="210" t="s">
        <v>639</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638</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648</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649</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635</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653</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639</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653</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639</v>
      </c>
      <c r="C402" s="56">
        <v>45727</v>
      </c>
      <c r="D402" s="123">
        <v>0</v>
      </c>
      <c r="E402" s="123"/>
      <c r="G402" t="str">
        <f t="shared" si="6"/>
        <v>March</v>
      </c>
    </row>
    <row r="403" spans="1:7">
      <c r="A403" s="117" t="s">
        <v>812</v>
      </c>
      <c r="B403" s="154" t="s">
        <v>635</v>
      </c>
      <c r="C403" s="56">
        <v>45727</v>
      </c>
      <c r="D403" s="123">
        <v>199</v>
      </c>
      <c r="E403" s="123"/>
      <c r="F403" s="109" t="s">
        <v>1151</v>
      </c>
      <c r="G403" t="str">
        <f t="shared" si="6"/>
        <v>March</v>
      </c>
    </row>
    <row r="404" spans="1:7">
      <c r="A404" s="117" t="s">
        <v>645</v>
      </c>
      <c r="B404" s="154" t="s">
        <v>635</v>
      </c>
      <c r="C404" s="56">
        <v>45727</v>
      </c>
      <c r="D404" s="123">
        <v>0</v>
      </c>
      <c r="E404" s="123"/>
      <c r="G404" t="str">
        <f t="shared" si="6"/>
        <v>March</v>
      </c>
    </row>
    <row r="405" spans="1:7">
      <c r="A405" s="117" t="s">
        <v>692</v>
      </c>
      <c r="B405" s="210" t="s">
        <v>639</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638</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648</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649</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635</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635</v>
      </c>
      <c r="C426" s="56">
        <v>45727</v>
      </c>
      <c r="D426" s="123">
        <v>304</v>
      </c>
      <c r="E426" s="123"/>
      <c r="G426" t="str">
        <f t="shared" si="6"/>
        <v>March</v>
      </c>
    </row>
    <row r="427" spans="1:7">
      <c r="A427" s="118" t="s">
        <v>1077</v>
      </c>
      <c r="B427" s="157" t="s">
        <v>639</v>
      </c>
      <c r="C427" s="56">
        <v>45727</v>
      </c>
      <c r="D427" s="150">
        <v>1617</v>
      </c>
      <c r="E427" s="150"/>
      <c r="G427" t="str">
        <f t="shared" si="6"/>
        <v>March</v>
      </c>
    </row>
    <row r="428" spans="1:7">
      <c r="A428" s="118" t="s">
        <v>918</v>
      </c>
      <c r="B428" s="157" t="s">
        <v>639</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653</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635</v>
      </c>
      <c r="C433" s="56">
        <v>45728</v>
      </c>
      <c r="D433" s="123" t="s">
        <v>1171</v>
      </c>
      <c r="E433" s="123"/>
      <c r="G433" t="str">
        <f t="shared" si="6"/>
        <v>March</v>
      </c>
    </row>
    <row r="434" spans="1:7">
      <c r="A434" s="117" t="s">
        <v>652</v>
      </c>
      <c r="B434" s="244" t="s">
        <v>653</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639</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653</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639</v>
      </c>
      <c r="C448" s="56">
        <v>45728</v>
      </c>
      <c r="D448" s="123" t="s">
        <v>1171</v>
      </c>
      <c r="E448" s="123"/>
      <c r="G448" t="str">
        <f t="shared" si="6"/>
        <v>March</v>
      </c>
    </row>
    <row r="449" spans="1:7">
      <c r="A449" s="117" t="s">
        <v>812</v>
      </c>
      <c r="B449" s="154" t="s">
        <v>635</v>
      </c>
      <c r="C449" s="56">
        <v>45728</v>
      </c>
      <c r="D449" s="123" t="s">
        <v>1171</v>
      </c>
      <c r="E449" s="123"/>
      <c r="G449" t="str">
        <f t="shared" si="6"/>
        <v>March</v>
      </c>
    </row>
    <row r="450" spans="1:7">
      <c r="A450" s="117" t="s">
        <v>645</v>
      </c>
      <c r="B450" s="154" t="s">
        <v>635</v>
      </c>
      <c r="C450" s="56">
        <v>45728</v>
      </c>
      <c r="D450" s="123" t="s">
        <v>1171</v>
      </c>
      <c r="E450" s="123"/>
      <c r="G450" t="str">
        <f t="shared" si="6"/>
        <v>March</v>
      </c>
    </row>
    <row r="451" spans="1:7">
      <c r="A451" s="117" t="s">
        <v>692</v>
      </c>
      <c r="B451" s="210" t="s">
        <v>639</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642</v>
      </c>
      <c r="B453" s="244" t="s">
        <v>639</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638</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648</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649</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635</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635</v>
      </c>
      <c r="C472" s="56">
        <v>45728</v>
      </c>
      <c r="D472" s="123">
        <v>205</v>
      </c>
      <c r="E472" s="123"/>
      <c r="G472" t="str">
        <f t="shared" si="7"/>
        <v>March</v>
      </c>
    </row>
    <row r="473" spans="1:7">
      <c r="A473" s="118" t="s">
        <v>1077</v>
      </c>
      <c r="B473" s="157" t="s">
        <v>639</v>
      </c>
      <c r="C473" s="56">
        <v>45728</v>
      </c>
      <c r="D473" s="123" t="s">
        <v>1171</v>
      </c>
      <c r="E473" s="123"/>
      <c r="G473" t="str">
        <f t="shared" si="7"/>
        <v>March</v>
      </c>
    </row>
    <row r="474" spans="1:7">
      <c r="A474" s="118" t="s">
        <v>918</v>
      </c>
      <c r="B474" s="157" t="s">
        <v>639</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639</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653</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639</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653</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639</v>
      </c>
      <c r="C498" s="56">
        <v>45729</v>
      </c>
      <c r="D498" s="123" t="s">
        <v>1171</v>
      </c>
      <c r="E498" s="123"/>
      <c r="G498" t="str">
        <f t="shared" si="7"/>
        <v>March</v>
      </c>
    </row>
    <row r="499" spans="1:7">
      <c r="A499" s="117" t="s">
        <v>812</v>
      </c>
      <c r="B499" s="154" t="s">
        <v>635</v>
      </c>
      <c r="C499" s="56">
        <v>45729</v>
      </c>
      <c r="D499" s="123" t="s">
        <v>1171</v>
      </c>
      <c r="E499" s="123"/>
      <c r="G499" t="str">
        <f t="shared" si="7"/>
        <v>March</v>
      </c>
    </row>
    <row r="500" spans="1:7">
      <c r="A500" s="117" t="s">
        <v>645</v>
      </c>
      <c r="B500" s="154" t="s">
        <v>635</v>
      </c>
      <c r="C500" s="56">
        <v>45729</v>
      </c>
      <c r="D500" s="123" t="s">
        <v>1171</v>
      </c>
      <c r="E500" s="123"/>
      <c r="G500" t="str">
        <f t="shared" si="7"/>
        <v>March</v>
      </c>
    </row>
    <row r="501" spans="1:7">
      <c r="A501" s="117" t="s">
        <v>692</v>
      </c>
      <c r="B501" s="210" t="s">
        <v>639</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642</v>
      </c>
      <c r="B503" s="244" t="s">
        <v>639</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638</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648</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649</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635</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635</v>
      </c>
      <c r="C522" s="56">
        <v>45729</v>
      </c>
      <c r="D522" s="123">
        <v>451</v>
      </c>
      <c r="E522" s="123"/>
      <c r="G522" t="str">
        <f t="shared" si="8"/>
        <v>March</v>
      </c>
    </row>
    <row r="523" spans="1:7">
      <c r="A523" s="118" t="s">
        <v>1077</v>
      </c>
      <c r="B523" s="157" t="s">
        <v>639</v>
      </c>
      <c r="C523" s="56">
        <v>45729</v>
      </c>
      <c r="D523" s="123">
        <v>101</v>
      </c>
      <c r="E523" s="123"/>
      <c r="G523" t="str">
        <f t="shared" si="8"/>
        <v>March</v>
      </c>
    </row>
    <row r="524" spans="1:7">
      <c r="A524" s="118" t="s">
        <v>918</v>
      </c>
      <c r="B524" s="157" t="s">
        <v>639</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639</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639</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653</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635</v>
      </c>
      <c r="C534" s="56">
        <v>45730</v>
      </c>
      <c r="D534" s="123"/>
      <c r="E534" s="123"/>
      <c r="F534" s="123" t="s">
        <v>1171</v>
      </c>
      <c r="G534" t="str">
        <f t="shared" si="8"/>
        <v>March</v>
      </c>
    </row>
    <row r="535" spans="1:7">
      <c r="A535" s="117" t="s">
        <v>652</v>
      </c>
      <c r="B535" s="244" t="s">
        <v>653</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639</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653</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639</v>
      </c>
      <c r="C549" s="56">
        <v>45730</v>
      </c>
      <c r="D549" s="123"/>
      <c r="E549" s="123"/>
      <c r="F549" s="123" t="s">
        <v>1171</v>
      </c>
      <c r="G549" t="str">
        <f t="shared" si="8"/>
        <v>March</v>
      </c>
    </row>
    <row r="550" spans="1:7">
      <c r="A550" s="117" t="s">
        <v>812</v>
      </c>
      <c r="B550" s="154" t="s">
        <v>635</v>
      </c>
      <c r="C550" s="56">
        <v>45730</v>
      </c>
      <c r="D550" s="123"/>
      <c r="E550" s="123"/>
      <c r="F550" s="123" t="s">
        <v>1171</v>
      </c>
      <c r="G550" t="str">
        <f t="shared" si="8"/>
        <v>March</v>
      </c>
    </row>
    <row r="551" spans="1:7">
      <c r="A551" s="117" t="s">
        <v>645</v>
      </c>
      <c r="B551" s="154" t="s">
        <v>635</v>
      </c>
      <c r="C551" s="56">
        <v>45730</v>
      </c>
      <c r="D551" s="123"/>
      <c r="E551" s="123"/>
      <c r="F551" s="123" t="s">
        <v>1171</v>
      </c>
      <c r="G551" t="str">
        <f t="shared" si="8"/>
        <v>March</v>
      </c>
    </row>
    <row r="552" spans="1:7">
      <c r="A552" s="117" t="s">
        <v>692</v>
      </c>
      <c r="B552" s="210" t="s">
        <v>639</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642</v>
      </c>
      <c r="B554" s="244" t="s">
        <v>639</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638</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648</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649</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635</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635</v>
      </c>
      <c r="C573" s="56">
        <v>45730</v>
      </c>
      <c r="D573" s="123" t="s">
        <v>1171</v>
      </c>
      <c r="E573" s="123"/>
      <c r="F573" s="123"/>
      <c r="G573" t="str">
        <f t="shared" si="8"/>
        <v>March</v>
      </c>
    </row>
    <row r="574" spans="1:7">
      <c r="A574" s="118" t="s">
        <v>1077</v>
      </c>
      <c r="B574" s="157" t="s">
        <v>639</v>
      </c>
      <c r="C574" s="56">
        <v>45730</v>
      </c>
      <c r="D574" s="123" t="s">
        <v>1171</v>
      </c>
      <c r="E574" s="123"/>
      <c r="F574" s="123"/>
      <c r="G574" t="str">
        <f t="shared" si="8"/>
        <v>March</v>
      </c>
    </row>
    <row r="575" spans="1:7">
      <c r="A575" s="118" t="s">
        <v>918</v>
      </c>
      <c r="B575" s="157" t="s">
        <v>639</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639</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639</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652</v>
      </c>
      <c r="B584" s="244" t="s">
        <v>653</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639</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653</v>
      </c>
      <c r="C589" s="56">
        <v>45733</v>
      </c>
      <c r="E589" s="43"/>
      <c r="F589" s="123" t="s">
        <v>1171</v>
      </c>
      <c r="G589" t="str">
        <f t="shared" si="9"/>
        <v>March</v>
      </c>
    </row>
    <row r="590" spans="1:7">
      <c r="A590" s="117" t="s">
        <v>891</v>
      </c>
      <c r="B590" s="244" t="s">
        <v>639</v>
      </c>
      <c r="C590" s="56">
        <v>45733</v>
      </c>
      <c r="E590" s="43"/>
      <c r="F590" s="123" t="s">
        <v>1171</v>
      </c>
      <c r="G590" t="str">
        <f t="shared" si="9"/>
        <v>March</v>
      </c>
    </row>
    <row r="591" spans="1:7">
      <c r="A591" s="117" t="s">
        <v>812</v>
      </c>
      <c r="B591" s="154" t="s">
        <v>635</v>
      </c>
      <c r="C591" s="56">
        <v>45733</v>
      </c>
      <c r="E591" s="43"/>
      <c r="F591" s="123" t="s">
        <v>1171</v>
      </c>
      <c r="G591" t="str">
        <f t="shared" si="9"/>
        <v>March</v>
      </c>
    </row>
    <row r="592" spans="1:7">
      <c r="A592" s="117" t="s">
        <v>692</v>
      </c>
      <c r="B592" s="210" t="s">
        <v>639</v>
      </c>
      <c r="C592" s="56">
        <v>45733</v>
      </c>
      <c r="E592" s="43"/>
      <c r="F592" s="123" t="s">
        <v>1171</v>
      </c>
      <c r="G592" t="str">
        <f t="shared" si="9"/>
        <v>March</v>
      </c>
    </row>
    <row r="593" spans="1:7">
      <c r="A593" s="117" t="s">
        <v>638</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635</v>
      </c>
      <c r="C607" s="56">
        <v>45733</v>
      </c>
      <c r="E607" s="43"/>
      <c r="F607" s="123" t="s">
        <v>1171</v>
      </c>
      <c r="G607" t="str">
        <f t="shared" si="9"/>
        <v>March</v>
      </c>
    </row>
    <row r="608" spans="1:7">
      <c r="A608" s="118" t="s">
        <v>1077</v>
      </c>
      <c r="B608" s="157" t="s">
        <v>639</v>
      </c>
      <c r="C608" s="56">
        <v>45733</v>
      </c>
      <c r="E608" s="43"/>
      <c r="F608" s="123" t="s">
        <v>1171</v>
      </c>
      <c r="G608" t="str">
        <f t="shared" si="9"/>
        <v>March</v>
      </c>
    </row>
    <row r="609" spans="1:7">
      <c r="A609" s="118" t="s">
        <v>918</v>
      </c>
      <c r="B609" s="157" t="s">
        <v>639</v>
      </c>
      <c r="C609" s="56">
        <v>45733</v>
      </c>
      <c r="E609" s="43"/>
      <c r="F609" s="123" t="s">
        <v>1171</v>
      </c>
      <c r="G609" t="str">
        <f t="shared" si="9"/>
        <v>March</v>
      </c>
    </row>
    <row r="610" spans="1:7">
      <c r="A610" s="118" t="s">
        <v>880</v>
      </c>
      <c r="B610" s="157" t="s">
        <v>639</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639</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635</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653</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635</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638</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639</v>
      </c>
      <c r="C633" s="56">
        <v>45735</v>
      </c>
      <c r="D633" s="123">
        <v>200</v>
      </c>
      <c r="E633" s="43"/>
      <c r="F633" s="109" t="s">
        <v>1236</v>
      </c>
      <c r="G633" t="str">
        <f t="shared" si="9"/>
        <v>March</v>
      </c>
    </row>
    <row r="634" spans="1:7">
      <c r="A634" s="210" t="s">
        <v>918</v>
      </c>
      <c r="B634" s="141" t="s">
        <v>639</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635</v>
      </c>
      <c r="C636" s="56">
        <v>45735</v>
      </c>
      <c r="D636" s="123">
        <v>728</v>
      </c>
      <c r="E636" s="43"/>
      <c r="F636" s="109" t="s">
        <v>1239</v>
      </c>
      <c r="G636" t="str">
        <f t="shared" si="9"/>
        <v>March</v>
      </c>
    </row>
    <row r="637" spans="1:7">
      <c r="A637" s="210" t="s">
        <v>1014</v>
      </c>
      <c r="B637" s="154" t="s">
        <v>635</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635</v>
      </c>
      <c r="C643" s="56">
        <v>45736</v>
      </c>
      <c r="D643" s="123">
        <v>700</v>
      </c>
      <c r="E643" s="43"/>
      <c r="F643" s="109" t="s">
        <v>1242</v>
      </c>
      <c r="G643" t="str">
        <f t="shared" ref="G643:G706" si="10">TEXT(C643,"mmmm")</f>
        <v>March</v>
      </c>
    </row>
    <row r="644" spans="1:7">
      <c r="A644" s="210" t="s">
        <v>1014</v>
      </c>
      <c r="B644" s="154" t="s">
        <v>635</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639</v>
      </c>
      <c r="C647" s="56">
        <v>45736</v>
      </c>
      <c r="D647" s="123" t="s">
        <v>1245</v>
      </c>
      <c r="E647" s="43"/>
      <c r="G647" t="str">
        <f t="shared" si="10"/>
        <v>March</v>
      </c>
    </row>
    <row r="648" spans="1:7" ht="15.75">
      <c r="A648" s="210" t="s">
        <v>638</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635</v>
      </c>
      <c r="C654" s="56">
        <v>45736</v>
      </c>
      <c r="D654" s="123">
        <v>700</v>
      </c>
      <c r="E654" s="43"/>
      <c r="F654" s="109" t="s">
        <v>1242</v>
      </c>
      <c r="G654" t="str">
        <f t="shared" si="10"/>
        <v>March</v>
      </c>
    </row>
    <row r="655" spans="1:7">
      <c r="A655" s="210" t="s">
        <v>1014</v>
      </c>
      <c r="B655" s="154" t="s">
        <v>635</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639</v>
      </c>
      <c r="C658" s="56">
        <v>45736</v>
      </c>
      <c r="D658" s="123"/>
      <c r="E658" s="43"/>
      <c r="F658" s="123" t="s">
        <v>1245</v>
      </c>
      <c r="G658" t="str">
        <f t="shared" si="10"/>
        <v>March</v>
      </c>
    </row>
    <row r="659" spans="1:7" ht="15.75">
      <c r="A659" s="210" t="s">
        <v>638</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635</v>
      </c>
      <c r="C664" s="56">
        <v>45737</v>
      </c>
      <c r="D664" s="123">
        <v>709</v>
      </c>
      <c r="E664" s="43"/>
      <c r="F664" s="109" t="s">
        <v>1249</v>
      </c>
      <c r="G664" t="str">
        <f t="shared" si="10"/>
        <v>March</v>
      </c>
    </row>
    <row r="665" spans="1:7">
      <c r="A665" s="210" t="s">
        <v>1014</v>
      </c>
      <c r="B665" s="154" t="s">
        <v>635</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639</v>
      </c>
      <c r="C667" s="56">
        <v>45737</v>
      </c>
      <c r="D667" s="123">
        <v>420</v>
      </c>
      <c r="E667" s="43"/>
      <c r="F667" s="109" t="s">
        <v>1252</v>
      </c>
      <c r="G667" t="str">
        <f t="shared" si="10"/>
        <v>March</v>
      </c>
    </row>
    <row r="668" spans="1:7" ht="15.75">
      <c r="A668" s="210" t="s">
        <v>638</v>
      </c>
      <c r="B668" s="242" t="s">
        <v>1071</v>
      </c>
      <c r="C668" s="56">
        <v>45737</v>
      </c>
      <c r="D668" s="123">
        <v>270</v>
      </c>
      <c r="E668" s="43"/>
      <c r="F668" s="109" t="s">
        <v>1216</v>
      </c>
      <c r="G668" t="str">
        <f t="shared" si="10"/>
        <v>March</v>
      </c>
    </row>
    <row r="669" spans="1:7">
      <c r="A669" s="210" t="s">
        <v>880</v>
      </c>
      <c r="B669" s="157" t="s">
        <v>639</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639</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639</v>
      </c>
      <c r="C675" s="56">
        <v>45740</v>
      </c>
      <c r="D675" s="141">
        <v>982</v>
      </c>
      <c r="E675" s="43" t="s">
        <v>1257</v>
      </c>
      <c r="F675" s="109" t="s">
        <v>1149</v>
      </c>
      <c r="G675" t="str">
        <f t="shared" si="10"/>
        <v>March</v>
      </c>
    </row>
    <row r="676" spans="1:7">
      <c r="A676" s="141" t="s">
        <v>798</v>
      </c>
      <c r="B676" s="141" t="s">
        <v>639</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635</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635</v>
      </c>
      <c r="C682" s="56">
        <v>45740</v>
      </c>
      <c r="D682" s="141"/>
      <c r="E682" s="43"/>
      <c r="F682" s="141" t="s">
        <v>1193</v>
      </c>
      <c r="G682" t="str">
        <f t="shared" si="10"/>
        <v>March</v>
      </c>
    </row>
    <row r="683" spans="1:7">
      <c r="A683" s="154" t="s">
        <v>1081</v>
      </c>
      <c r="B683" s="154" t="s">
        <v>635</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638</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635</v>
      </c>
      <c r="C687" s="56">
        <v>45741</v>
      </c>
      <c r="D687" s="154"/>
      <c r="E687" s="43"/>
      <c r="F687" s="154" t="s">
        <v>1256</v>
      </c>
      <c r="G687" t="str">
        <f t="shared" si="10"/>
        <v>March</v>
      </c>
    </row>
    <row r="688" spans="1:7">
      <c r="A688" s="141" t="s">
        <v>918</v>
      </c>
      <c r="B688" s="141" t="s">
        <v>639</v>
      </c>
      <c r="C688" s="56">
        <v>45741</v>
      </c>
      <c r="D688" s="141">
        <v>749</v>
      </c>
      <c r="E688" s="43"/>
      <c r="F688" s="109" t="s">
        <v>1265</v>
      </c>
      <c r="G688" t="str">
        <f t="shared" si="10"/>
        <v>March</v>
      </c>
    </row>
    <row r="689" spans="1:7">
      <c r="A689" s="141" t="s">
        <v>638</v>
      </c>
      <c r="B689" s="141" t="s">
        <v>639</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635</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645</v>
      </c>
      <c r="B697" s="154" t="s">
        <v>635</v>
      </c>
      <c r="C697" s="56">
        <v>45741</v>
      </c>
      <c r="D697" s="141"/>
      <c r="E697" s="43"/>
      <c r="F697" s="141" t="s">
        <v>1193</v>
      </c>
      <c r="G697" t="str">
        <f t="shared" si="10"/>
        <v>March</v>
      </c>
    </row>
    <row r="698" spans="1:7">
      <c r="A698" s="141" t="s">
        <v>634</v>
      </c>
      <c r="B698" s="154" t="s">
        <v>635</v>
      </c>
      <c r="C698" s="56">
        <v>45741</v>
      </c>
      <c r="D698" s="142">
        <v>1065</v>
      </c>
      <c r="E698" s="141" t="s">
        <v>1261</v>
      </c>
      <c r="F698" s="109" t="s">
        <v>1273</v>
      </c>
      <c r="G698" t="str">
        <f t="shared" si="10"/>
        <v>March</v>
      </c>
    </row>
    <row r="699" spans="1:7">
      <c r="A699" s="141" t="s">
        <v>638</v>
      </c>
      <c r="B699" s="141" t="s">
        <v>649</v>
      </c>
      <c r="C699" s="56">
        <v>45741</v>
      </c>
      <c r="D699" s="141"/>
      <c r="E699" s="43"/>
      <c r="F699" s="141" t="s">
        <v>1274</v>
      </c>
      <c r="G699" t="str">
        <f t="shared" si="10"/>
        <v>March</v>
      </c>
    </row>
    <row r="700" spans="1:7">
      <c r="A700" s="141" t="s">
        <v>893</v>
      </c>
      <c r="B700" s="154" t="s">
        <v>635</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649</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386</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639</v>
      </c>
      <c r="C711" s="56">
        <v>45742</v>
      </c>
      <c r="D711" s="210">
        <v>713</v>
      </c>
      <c r="E711" s="109"/>
      <c r="F711" s="109" t="s">
        <v>1278</v>
      </c>
      <c r="G711" t="str">
        <f t="shared" si="11"/>
        <v>March</v>
      </c>
    </row>
    <row r="712" spans="1:7">
      <c r="A712" s="141" t="s">
        <v>638</v>
      </c>
      <c r="B712" s="210" t="s">
        <v>639</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635</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634</v>
      </c>
      <c r="B720" s="154" t="s">
        <v>635</v>
      </c>
      <c r="C720" s="56">
        <v>45742</v>
      </c>
      <c r="D720" s="210">
        <v>825</v>
      </c>
      <c r="E720" s="43" t="s">
        <v>1281</v>
      </c>
      <c r="F720" s="109" t="s">
        <v>1156</v>
      </c>
      <c r="G720" t="str">
        <f t="shared" si="11"/>
        <v>March</v>
      </c>
    </row>
    <row r="721" spans="1:7">
      <c r="A721" s="141" t="s">
        <v>638</v>
      </c>
      <c r="B721" s="141" t="s">
        <v>649</v>
      </c>
      <c r="C721" s="56">
        <v>45742</v>
      </c>
      <c r="D721" s="210">
        <v>159</v>
      </c>
      <c r="E721" s="43" t="s">
        <v>1272</v>
      </c>
      <c r="F721" s="109" t="s">
        <v>1187</v>
      </c>
      <c r="G721" t="str">
        <f t="shared" si="11"/>
        <v>March</v>
      </c>
    </row>
    <row r="722" spans="1:7">
      <c r="A722" s="141" t="s">
        <v>893</v>
      </c>
      <c r="B722" s="154" t="s">
        <v>635</v>
      </c>
      <c r="C722" s="56">
        <v>45742</v>
      </c>
      <c r="D722" s="210"/>
      <c r="E722" s="43"/>
      <c r="F722" s="210" t="s">
        <v>1193</v>
      </c>
      <c r="G722" t="str">
        <f t="shared" si="11"/>
        <v>March</v>
      </c>
    </row>
    <row r="723" spans="1:7">
      <c r="A723" s="141" t="s">
        <v>795</v>
      </c>
      <c r="B723" s="141" t="s">
        <v>649</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386</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649</v>
      </c>
      <c r="C729" s="56">
        <v>45743</v>
      </c>
      <c r="D729" s="210">
        <v>290</v>
      </c>
      <c r="E729" s="43"/>
      <c r="G729" t="str">
        <f t="shared" si="11"/>
        <v>March</v>
      </c>
    </row>
    <row r="730" spans="1:7">
      <c r="A730" s="141" t="s">
        <v>918</v>
      </c>
      <c r="B730" s="141" t="s">
        <v>639</v>
      </c>
      <c r="C730" s="56">
        <v>45743</v>
      </c>
      <c r="D730" s="210"/>
      <c r="E730" s="43"/>
      <c r="F730" s="210" t="s">
        <v>1285</v>
      </c>
      <c r="G730" t="str">
        <f t="shared" si="11"/>
        <v>March</v>
      </c>
    </row>
    <row r="731" spans="1:7">
      <c r="A731" s="141" t="s">
        <v>638</v>
      </c>
      <c r="B731" s="141" t="s">
        <v>639</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635</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634</v>
      </c>
      <c r="B738" s="154" t="s">
        <v>635</v>
      </c>
      <c r="C738" s="56">
        <v>45743</v>
      </c>
      <c r="D738" s="210">
        <v>705</v>
      </c>
      <c r="E738" s="109" t="s">
        <v>1261</v>
      </c>
      <c r="G738" t="str">
        <f t="shared" si="11"/>
        <v>March</v>
      </c>
      <c r="H738" s="164"/>
      <c r="I738" s="164"/>
      <c r="J738" s="164"/>
      <c r="K738" s="164"/>
      <c r="L738" s="164"/>
      <c r="M738" s="164"/>
    </row>
    <row r="739" spans="1:13">
      <c r="A739" s="141" t="s">
        <v>638</v>
      </c>
      <c r="B739" s="141" t="s">
        <v>649</v>
      </c>
      <c r="C739" s="56">
        <v>45743</v>
      </c>
      <c r="D739" s="210">
        <v>416</v>
      </c>
      <c r="E739" s="109" t="s">
        <v>1290</v>
      </c>
      <c r="F739" s="109" t="s">
        <v>1286</v>
      </c>
      <c r="G739" t="str">
        <f t="shared" si="11"/>
        <v>March</v>
      </c>
      <c r="H739" s="164"/>
      <c r="I739" s="254"/>
      <c r="J739" s="254"/>
      <c r="K739" s="164"/>
      <c r="L739" s="164"/>
      <c r="M739" s="164"/>
    </row>
    <row r="740" spans="1:13">
      <c r="A740" s="141" t="s">
        <v>893</v>
      </c>
      <c r="B740" s="154" t="s">
        <v>635</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649</v>
      </c>
      <c r="C746" s="56">
        <v>45744</v>
      </c>
      <c r="D746" s="210">
        <v>673</v>
      </c>
      <c r="E746" s="43"/>
      <c r="G746" t="str">
        <f t="shared" si="11"/>
        <v>March</v>
      </c>
      <c r="H746" s="164"/>
      <c r="I746" s="164"/>
      <c r="J746" s="164"/>
      <c r="K746" s="164"/>
      <c r="L746" s="164"/>
      <c r="M746" s="164"/>
    </row>
    <row r="747" spans="1:13">
      <c r="A747" s="141" t="s">
        <v>792</v>
      </c>
      <c r="B747" s="141" t="s">
        <v>639</v>
      </c>
      <c r="C747" s="56">
        <v>45744</v>
      </c>
      <c r="D747" s="210" t="s">
        <v>1171</v>
      </c>
      <c r="E747" s="43"/>
      <c r="G747" t="str">
        <f t="shared" si="11"/>
        <v>March</v>
      </c>
      <c r="H747" s="164"/>
      <c r="I747" s="164"/>
      <c r="J747" s="164"/>
      <c r="K747" s="164"/>
      <c r="L747" s="164"/>
      <c r="M747" s="164"/>
    </row>
    <row r="748" spans="1:13">
      <c r="A748" s="141" t="s">
        <v>638</v>
      </c>
      <c r="B748" s="141" t="s">
        <v>639</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638</v>
      </c>
      <c r="B755" s="141" t="s">
        <v>649</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386</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645</v>
      </c>
      <c r="B763" s="154" t="s">
        <v>635</v>
      </c>
      <c r="C763" s="56">
        <v>45747</v>
      </c>
      <c r="D763" s="210">
        <v>0</v>
      </c>
      <c r="E763" s="43"/>
      <c r="F763" s="210" t="s">
        <v>1193</v>
      </c>
      <c r="G763" t="str">
        <f t="shared" si="11"/>
        <v>March</v>
      </c>
    </row>
    <row r="764" spans="1:13">
      <c r="A764" s="141" t="s">
        <v>792</v>
      </c>
      <c r="B764" s="141" t="s">
        <v>639</v>
      </c>
      <c r="C764" s="56">
        <v>45747</v>
      </c>
      <c r="D764" s="209">
        <v>1880</v>
      </c>
      <c r="E764" s="109" t="s">
        <v>1255</v>
      </c>
      <c r="F764" s="109" t="s">
        <v>1144</v>
      </c>
      <c r="G764" t="str">
        <f t="shared" si="11"/>
        <v>March</v>
      </c>
    </row>
    <row r="765" spans="1:13">
      <c r="A765" s="141" t="s">
        <v>638</v>
      </c>
      <c r="B765" s="141" t="s">
        <v>639</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638</v>
      </c>
      <c r="B770" s="141" t="s">
        <v>649</v>
      </c>
      <c r="C770" s="56">
        <v>45747</v>
      </c>
      <c r="D770" s="210">
        <v>0</v>
      </c>
      <c r="E770" s="43"/>
      <c r="F770" s="210" t="s">
        <v>1305</v>
      </c>
      <c r="G770" t="str">
        <f t="shared" si="11"/>
        <v>March</v>
      </c>
      <c r="H770" s="254"/>
      <c r="I770" s="254"/>
      <c r="J770" s="254"/>
      <c r="K770" s="164"/>
    </row>
    <row r="771" spans="1:11">
      <c r="A771" s="141" t="s">
        <v>880</v>
      </c>
      <c r="B771" s="154" t="s">
        <v>635</v>
      </c>
      <c r="C771" s="56">
        <v>45747</v>
      </c>
      <c r="D771" s="210">
        <v>0</v>
      </c>
      <c r="E771" s="43"/>
      <c r="F771" s="210" t="s">
        <v>1306</v>
      </c>
      <c r="G771" t="str">
        <f t="shared" ref="G771:G834" si="12">TEXT(C771,"mmmm")</f>
        <v>March</v>
      </c>
      <c r="H771" s="254"/>
      <c r="I771" s="254"/>
      <c r="J771" s="254"/>
      <c r="K771" s="164"/>
    </row>
    <row r="772" spans="1:11">
      <c r="A772" s="141" t="s">
        <v>809</v>
      </c>
      <c r="B772" s="141" t="s">
        <v>639</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386</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551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635</v>
      </c>
      <c r="C781" s="56">
        <v>45748</v>
      </c>
      <c r="D781" s="141"/>
      <c r="E781" s="43"/>
      <c r="F781" s="141" t="s">
        <v>1193</v>
      </c>
      <c r="G781" t="str">
        <f t="shared" si="12"/>
        <v>April</v>
      </c>
      <c r="H781" s="164"/>
      <c r="I781" s="164"/>
      <c r="J781" s="164"/>
      <c r="K781" s="164"/>
    </row>
    <row r="782" spans="1:11">
      <c r="A782" s="141" t="s">
        <v>792</v>
      </c>
      <c r="B782" s="141" t="s">
        <v>639</v>
      </c>
      <c r="C782" s="56">
        <v>45748</v>
      </c>
      <c r="D782" s="141" t="s">
        <v>1171</v>
      </c>
      <c r="E782" s="43"/>
      <c r="G782" t="str">
        <f t="shared" si="12"/>
        <v>April</v>
      </c>
      <c r="H782" s="164"/>
      <c r="I782" s="164"/>
      <c r="J782" s="164"/>
      <c r="K782" s="164"/>
    </row>
    <row r="783" spans="1:11">
      <c r="A783" s="141" t="s">
        <v>638</v>
      </c>
      <c r="B783" s="141" t="s">
        <v>639</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635</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386</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548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635</v>
      </c>
      <c r="C795" s="56">
        <v>45749</v>
      </c>
      <c r="D795" s="141">
        <v>0</v>
      </c>
      <c r="E795" s="43"/>
      <c r="F795" s="141" t="s">
        <v>1193</v>
      </c>
      <c r="G795" t="str">
        <f t="shared" si="12"/>
        <v>April</v>
      </c>
      <c r="H795" s="164"/>
      <c r="I795" s="164"/>
      <c r="J795" s="164"/>
      <c r="K795" s="164"/>
    </row>
    <row r="796" spans="1:11">
      <c r="A796" s="141" t="s">
        <v>792</v>
      </c>
      <c r="B796" s="141" t="s">
        <v>639</v>
      </c>
      <c r="C796" s="56">
        <v>45749</v>
      </c>
      <c r="D796" s="141" t="s">
        <v>1171</v>
      </c>
      <c r="E796" s="43"/>
      <c r="G796" t="str">
        <f t="shared" si="12"/>
        <v>April</v>
      </c>
      <c r="H796" s="254"/>
      <c r="I796" s="254"/>
      <c r="J796" s="164"/>
      <c r="K796" s="164"/>
    </row>
    <row r="797" spans="1:11">
      <c r="A797" s="141" t="s">
        <v>638</v>
      </c>
      <c r="B797" s="141" t="s">
        <v>639</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635</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386</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548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635</v>
      </c>
      <c r="C809" s="56">
        <v>45750</v>
      </c>
      <c r="D809" s="43">
        <v>192</v>
      </c>
      <c r="E809" s="43"/>
      <c r="G809" t="str">
        <f t="shared" si="12"/>
        <v>April</v>
      </c>
    </row>
    <row r="810" spans="1:11">
      <c r="A810" s="141" t="s">
        <v>798</v>
      </c>
      <c r="B810" s="141" t="s">
        <v>639</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556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548</v>
      </c>
      <c r="B821" s="141" t="s">
        <v>1072</v>
      </c>
      <c r="C821" s="56">
        <v>45750</v>
      </c>
      <c r="E821" s="43"/>
      <c r="F821" s="141" t="s">
        <v>1320</v>
      </c>
      <c r="G821" t="str">
        <f t="shared" si="12"/>
        <v>April</v>
      </c>
    </row>
    <row r="822" spans="1:7">
      <c r="A822" s="141" t="s">
        <v>638</v>
      </c>
      <c r="B822" s="243" t="s">
        <v>143</v>
      </c>
      <c r="C822" s="56">
        <v>45751</v>
      </c>
      <c r="D822" s="43">
        <v>635</v>
      </c>
      <c r="E822" s="43"/>
      <c r="F822" s="43" t="s">
        <v>1321</v>
      </c>
      <c r="G822" t="str">
        <f t="shared" si="12"/>
        <v>April</v>
      </c>
    </row>
    <row r="823" spans="1:7">
      <c r="A823" s="141" t="s">
        <v>804</v>
      </c>
      <c r="B823" s="154" t="s">
        <v>635</v>
      </c>
      <c r="C823" s="56">
        <v>45751</v>
      </c>
      <c r="E823" s="43"/>
      <c r="F823" s="141" t="s">
        <v>1281</v>
      </c>
      <c r="G823" t="str">
        <f t="shared" si="12"/>
        <v>April</v>
      </c>
    </row>
    <row r="824" spans="1:7">
      <c r="A824" s="141" t="s">
        <v>798</v>
      </c>
      <c r="B824" s="141" t="s">
        <v>639</v>
      </c>
      <c r="C824" s="56">
        <v>45751</v>
      </c>
      <c r="D824" s="43">
        <v>594</v>
      </c>
      <c r="E824" s="43"/>
      <c r="F824" s="43" t="s">
        <v>1322</v>
      </c>
      <c r="G824" t="str">
        <f t="shared" si="12"/>
        <v>April</v>
      </c>
    </row>
    <row r="825" spans="1:7">
      <c r="A825" s="141" t="s">
        <v>638</v>
      </c>
      <c r="B825" s="141" t="s">
        <v>639</v>
      </c>
      <c r="C825" s="56">
        <v>45751</v>
      </c>
      <c r="E825" s="43"/>
      <c r="F825" s="141" t="s">
        <v>1323</v>
      </c>
      <c r="G825" t="str">
        <f t="shared" si="12"/>
        <v>April</v>
      </c>
    </row>
    <row r="826" spans="1:7">
      <c r="A826" s="141" t="s">
        <v>819</v>
      </c>
      <c r="B826" s="141" t="s">
        <v>639</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556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548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639</v>
      </c>
      <c r="C837" s="56">
        <v>45754</v>
      </c>
      <c r="D837" s="43">
        <v>367</v>
      </c>
      <c r="E837" s="43"/>
      <c r="F837" s="43" t="s">
        <v>1327</v>
      </c>
      <c r="G837" t="str">
        <f t="shared" si="13"/>
        <v>April</v>
      </c>
    </row>
    <row r="838" spans="1:7">
      <c r="A838" s="141" t="s">
        <v>804</v>
      </c>
      <c r="B838" s="154" t="s">
        <v>635</v>
      </c>
      <c r="C838" s="56">
        <v>45754</v>
      </c>
      <c r="D838" s="141">
        <v>132</v>
      </c>
      <c r="E838" s="43"/>
      <c r="G838" t="str">
        <f t="shared" si="13"/>
        <v>April</v>
      </c>
    </row>
    <row r="839" spans="1:7">
      <c r="A839" s="141" t="s">
        <v>927</v>
      </c>
      <c r="B839" s="154" t="s">
        <v>635</v>
      </c>
      <c r="C839" s="56">
        <v>45754</v>
      </c>
      <c r="D839" s="141">
        <v>370</v>
      </c>
      <c r="E839" s="43"/>
      <c r="G839" t="str">
        <f t="shared" si="13"/>
        <v>April</v>
      </c>
    </row>
    <row r="840" spans="1:7">
      <c r="A840" s="141" t="s">
        <v>527</v>
      </c>
      <c r="B840" s="141" t="s">
        <v>888</v>
      </c>
      <c r="C840" s="56">
        <v>45754</v>
      </c>
      <c r="D840" s="141">
        <v>590</v>
      </c>
      <c r="E840" s="43"/>
      <c r="G840" t="str">
        <f t="shared" si="13"/>
        <v>April</v>
      </c>
    </row>
    <row r="841" spans="1:7" ht="15.75">
      <c r="A841" s="141" t="s">
        <v>661</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527</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556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548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639</v>
      </c>
      <c r="C859" s="56">
        <v>45756</v>
      </c>
      <c r="E859" s="43"/>
      <c r="F859" s="78" t="s">
        <v>1333</v>
      </c>
      <c r="G859" t="str">
        <f t="shared" si="13"/>
        <v>April</v>
      </c>
    </row>
    <row r="860" spans="1:7">
      <c r="A860" s="141" t="s">
        <v>850</v>
      </c>
      <c r="B860" s="154" t="s">
        <v>635</v>
      </c>
      <c r="C860" s="56">
        <v>45756</v>
      </c>
      <c r="D860" s="155">
        <v>1376</v>
      </c>
      <c r="E860" s="43"/>
      <c r="F860" s="43" t="s">
        <v>1334</v>
      </c>
      <c r="G860" t="str">
        <f t="shared" si="13"/>
        <v>April</v>
      </c>
    </row>
    <row r="861" spans="1:7">
      <c r="A861" s="141" t="s">
        <v>842</v>
      </c>
      <c r="B861" s="141" t="s">
        <v>649</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556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548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635</v>
      </c>
      <c r="C871" s="56">
        <v>45757</v>
      </c>
      <c r="D871" s="43">
        <v>875</v>
      </c>
      <c r="E871" s="43"/>
      <c r="F871" s="43" t="s">
        <v>1335</v>
      </c>
      <c r="G871" t="str">
        <f t="shared" si="13"/>
        <v>April</v>
      </c>
    </row>
    <row r="872" spans="1:7">
      <c r="A872" s="141" t="s">
        <v>876</v>
      </c>
      <c r="B872" s="141" t="s">
        <v>649</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649</v>
      </c>
      <c r="C877" s="56">
        <v>45758</v>
      </c>
      <c r="D877" s="43">
        <v>431</v>
      </c>
      <c r="E877" s="43"/>
      <c r="G877" t="str">
        <f t="shared" si="13"/>
        <v>April</v>
      </c>
    </row>
    <row r="878" spans="1:7">
      <c r="A878" s="141" t="s">
        <v>850</v>
      </c>
      <c r="B878" s="154" t="s">
        <v>635</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549</v>
      </c>
      <c r="C882" s="56">
        <v>45758</v>
      </c>
      <c r="E882" s="43"/>
      <c r="F882" s="141" t="s">
        <v>1341</v>
      </c>
      <c r="G882" t="str">
        <f t="shared" si="13"/>
        <v>April</v>
      </c>
    </row>
    <row r="883" spans="1:7">
      <c r="A883" s="141" t="s">
        <v>918</v>
      </c>
      <c r="B883" s="141" t="s">
        <v>549</v>
      </c>
      <c r="C883" s="56">
        <v>45758</v>
      </c>
      <c r="E883" s="43"/>
      <c r="F883" s="141" t="s">
        <v>1342</v>
      </c>
      <c r="G883" t="str">
        <f t="shared" si="13"/>
        <v>April</v>
      </c>
    </row>
    <row r="884" spans="1:7">
      <c r="A884" s="141" t="s">
        <v>795</v>
      </c>
      <c r="B884" s="154" t="s">
        <v>635</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649</v>
      </c>
      <c r="C888" s="56">
        <v>45761</v>
      </c>
      <c r="D888" s="43">
        <v>276</v>
      </c>
      <c r="E888" s="43"/>
      <c r="F888" s="141"/>
      <c r="G888" t="str">
        <f t="shared" si="13"/>
        <v>April</v>
      </c>
    </row>
    <row r="889" spans="1:7">
      <c r="A889" s="141" t="s">
        <v>850</v>
      </c>
      <c r="B889" s="154" t="s">
        <v>635</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649</v>
      </c>
      <c r="C893" s="56">
        <v>45761</v>
      </c>
      <c r="D893" s="43">
        <v>547</v>
      </c>
      <c r="E893" s="43"/>
      <c r="G893" t="str">
        <f t="shared" si="13"/>
        <v>April</v>
      </c>
    </row>
    <row r="894" spans="1:7">
      <c r="A894" s="141" t="s">
        <v>798</v>
      </c>
      <c r="B894" s="141" t="s">
        <v>549</v>
      </c>
      <c r="C894" s="56">
        <v>45761</v>
      </c>
      <c r="E894" s="43"/>
      <c r="G894" t="str">
        <f t="shared" si="13"/>
        <v>April</v>
      </c>
    </row>
    <row r="895" spans="1:7">
      <c r="A895" s="141" t="s">
        <v>918</v>
      </c>
      <c r="B895" s="141" t="s">
        <v>549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649</v>
      </c>
      <c r="C898" s="56">
        <v>45762</v>
      </c>
      <c r="D898" s="43">
        <v>779</v>
      </c>
      <c r="E898" s="43"/>
      <c r="F898" s="43" t="s">
        <v>1169</v>
      </c>
      <c r="G898" t="str">
        <f t="shared" si="13"/>
        <v>April</v>
      </c>
    </row>
    <row r="899" spans="1:7">
      <c r="A899" s="141" t="s">
        <v>850</v>
      </c>
      <c r="B899" s="154" t="s">
        <v>635</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649</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549</v>
      </c>
      <c r="C905" s="56">
        <v>45762</v>
      </c>
      <c r="E905" s="43"/>
      <c r="F905" s="141" t="s">
        <v>1353</v>
      </c>
      <c r="G905" t="str">
        <f t="shared" si="14"/>
        <v>April</v>
      </c>
    </row>
    <row r="906" spans="1:7">
      <c r="A906" s="141" t="s">
        <v>918</v>
      </c>
      <c r="B906" s="141" t="s">
        <v>549</v>
      </c>
      <c r="C906" s="56">
        <v>45762</v>
      </c>
      <c r="E906" s="43"/>
      <c r="F906" s="141" t="s">
        <v>1353</v>
      </c>
      <c r="G906" t="str">
        <f t="shared" si="14"/>
        <v>April</v>
      </c>
    </row>
    <row r="907" spans="1:7">
      <c r="A907" s="141" t="s">
        <v>891</v>
      </c>
      <c r="B907" s="141" t="s">
        <v>549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635</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649</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649</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549</v>
      </c>
      <c r="C920" s="56">
        <v>45763</v>
      </c>
      <c r="E920" s="43"/>
      <c r="F920" s="141" t="s">
        <v>1215</v>
      </c>
      <c r="G920" t="str">
        <f t="shared" si="14"/>
        <v>April</v>
      </c>
    </row>
    <row r="921" spans="1:7">
      <c r="A921" s="141" t="s">
        <v>891</v>
      </c>
      <c r="B921" s="141" t="s">
        <v>549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649</v>
      </c>
      <c r="C926" s="56">
        <v>45764</v>
      </c>
      <c r="D926" s="43">
        <v>338</v>
      </c>
      <c r="E926" s="43"/>
      <c r="F926" s="43" t="s">
        <v>1363</v>
      </c>
      <c r="G926" t="str">
        <f t="shared" si="14"/>
        <v>April</v>
      </c>
    </row>
    <row r="927" spans="1:7">
      <c r="A927" s="304" t="s">
        <v>850</v>
      </c>
      <c r="B927" s="154" t="s">
        <v>635</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649</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649</v>
      </c>
      <c r="C938" s="56">
        <v>45765</v>
      </c>
      <c r="D938" s="43">
        <v>26</v>
      </c>
      <c r="E938" s="43"/>
      <c r="F938" s="43" t="s">
        <v>1369</v>
      </c>
      <c r="G938" t="str">
        <f t="shared" si="14"/>
        <v>April</v>
      </c>
    </row>
    <row r="939" spans="1:7">
      <c r="A939" s="304" t="s">
        <v>850</v>
      </c>
      <c r="B939" s="154" t="s">
        <v>635</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635</v>
      </c>
      <c r="C942" s="56">
        <v>45765</v>
      </c>
      <c r="D942" s="43">
        <v>706</v>
      </c>
      <c r="E942" s="43"/>
      <c r="F942" s="43" t="s">
        <v>1187</v>
      </c>
      <c r="G942" t="str">
        <f t="shared" si="14"/>
        <v>April</v>
      </c>
    </row>
    <row r="943" spans="1:7">
      <c r="A943" s="141" t="s">
        <v>1016</v>
      </c>
      <c r="B943" s="306" t="s">
        <v>649</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549</v>
      </c>
      <c r="C946" s="56">
        <v>45765</v>
      </c>
      <c r="E946" s="43"/>
      <c r="F946" s="306" t="s">
        <v>1375</v>
      </c>
      <c r="G946" t="str">
        <f t="shared" si="14"/>
        <v>April</v>
      </c>
    </row>
    <row r="947" spans="1:7">
      <c r="A947" s="311" t="s">
        <v>891</v>
      </c>
      <c r="B947" s="311" t="s">
        <v>549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649</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649</v>
      </c>
      <c r="C958" s="56">
        <v>45768</v>
      </c>
      <c r="E958" s="43"/>
      <c r="F958" s="169" t="s">
        <v>1348</v>
      </c>
      <c r="G958" t="str">
        <f t="shared" si="15"/>
        <v>April</v>
      </c>
    </row>
    <row r="959" spans="1:7">
      <c r="A959" s="311" t="s">
        <v>880</v>
      </c>
      <c r="B959" s="141" t="s">
        <v>549</v>
      </c>
      <c r="C959" s="56">
        <v>45768</v>
      </c>
      <c r="E959" s="43"/>
      <c r="F959" s="311" t="s">
        <v>1375</v>
      </c>
      <c r="G959" t="str">
        <f t="shared" si="15"/>
        <v>April</v>
      </c>
    </row>
    <row r="960" spans="1:7">
      <c r="A960" s="315" t="s">
        <v>918</v>
      </c>
      <c r="B960" s="141" t="s">
        <v>549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649</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649</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639</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649</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639</v>
      </c>
      <c r="C984" s="56">
        <v>45770</v>
      </c>
      <c r="F984" s="320" t="s">
        <v>1401</v>
      </c>
    </row>
    <row r="985" spans="1:7">
      <c r="A985" s="315" t="s">
        <v>918</v>
      </c>
      <c r="B985" s="315" t="s">
        <v>639</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649</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639</v>
      </c>
      <c r="C997" s="56">
        <v>45771</v>
      </c>
      <c r="F997" s="311" t="s">
        <v>1410</v>
      </c>
      <c r="G997" t="str">
        <f t="shared" si="16"/>
        <v>April</v>
      </c>
    </row>
    <row r="998" spans="1:7">
      <c r="A998" s="315" t="s">
        <v>1026</v>
      </c>
      <c r="B998" s="315" t="s">
        <v>639</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649</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649</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635</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649</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531</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635</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531</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638</v>
      </c>
      <c r="B1082" s="141" t="s">
        <v>1071</v>
      </c>
      <c r="C1082" s="56">
        <v>45784</v>
      </c>
      <c r="D1082" s="43">
        <v>131</v>
      </c>
      <c r="F1082" s="43" t="s">
        <v>1164</v>
      </c>
    </row>
    <row r="1083" spans="1:7" ht="13.5" customHeight="1">
      <c r="A1083" s="324" t="s">
        <v>1089</v>
      </c>
      <c r="B1083" s="304" t="s">
        <v>639</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639</v>
      </c>
      <c r="C1093" s="56">
        <v>45785</v>
      </c>
      <c r="D1093" s="43">
        <v>592</v>
      </c>
      <c r="F1093" s="43" t="s">
        <v>1469</v>
      </c>
      <c r="G1093" t="str">
        <f t="shared" si="19"/>
        <v>May</v>
      </c>
    </row>
    <row r="1094" spans="1:7">
      <c r="A1094" s="304" t="s">
        <v>527</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639</v>
      </c>
      <c r="C1105" s="56">
        <v>45786</v>
      </c>
      <c r="D1105" s="43">
        <v>730</v>
      </c>
      <c r="F1105" s="43" t="s">
        <v>1475</v>
      </c>
      <c r="G1105" t="str">
        <f t="shared" si="20"/>
        <v>May</v>
      </c>
    </row>
    <row r="1106" spans="1:7">
      <c r="A1106" s="304" t="s">
        <v>527</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638</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639</v>
      </c>
      <c r="C1119" s="56">
        <v>45790</v>
      </c>
      <c r="D1119" s="43">
        <v>385</v>
      </c>
      <c r="G1119" t="str">
        <f t="shared" si="20"/>
        <v>May</v>
      </c>
    </row>
    <row r="1120" spans="1:7">
      <c r="A1120" s="134" t="s">
        <v>534</v>
      </c>
      <c r="B1120" s="141" t="s">
        <v>1071</v>
      </c>
      <c r="C1120" s="56">
        <v>45791</v>
      </c>
      <c r="D1120" s="43">
        <v>153</v>
      </c>
      <c r="G1120" t="str">
        <f t="shared" ref="G1120:G1183" si="21">TEXT(C1120,"mmmm")</f>
        <v>May</v>
      </c>
    </row>
    <row r="1121" spans="1:7">
      <c r="A1121" s="324" t="s">
        <v>634</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639</v>
      </c>
      <c r="C1126" s="56">
        <v>45791</v>
      </c>
      <c r="D1126" s="43">
        <v>678</v>
      </c>
      <c r="G1126" t="str">
        <f t="shared" si="21"/>
        <v>May</v>
      </c>
    </row>
    <row r="1127" spans="1:7">
      <c r="A1127" s="134" t="s">
        <v>634</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639</v>
      </c>
      <c r="C1134" s="56">
        <v>45792</v>
      </c>
      <c r="D1134" s="43">
        <v>381</v>
      </c>
      <c r="G1134" t="str">
        <f t="shared" si="21"/>
        <v>May</v>
      </c>
    </row>
    <row r="1135" spans="1:7">
      <c r="A1135" s="134" t="s">
        <v>634</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639</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439</v>
      </c>
      <c r="B1149" s="304" t="s">
        <v>131</v>
      </c>
      <c r="C1149" s="56">
        <v>45796</v>
      </c>
      <c r="D1149" s="43">
        <v>644</v>
      </c>
      <c r="G1149" t="str">
        <f t="shared" si="21"/>
        <v>May</v>
      </c>
    </row>
    <row r="1150" spans="1:7">
      <c r="A1150" s="141" t="s">
        <v>672</v>
      </c>
      <c r="B1150" s="141" t="s">
        <v>639</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634</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439</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634</v>
      </c>
      <c r="B1161" s="304" t="s">
        <v>1071</v>
      </c>
      <c r="C1161" s="56">
        <v>45798</v>
      </c>
      <c r="F1161" s="351" t="s">
        <v>1500</v>
      </c>
      <c r="G1161" t="str">
        <f t="shared" si="21"/>
        <v>May</v>
      </c>
    </row>
    <row r="1162" spans="1:7">
      <c r="A1162" s="304" t="s">
        <v>638</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439</v>
      </c>
      <c r="B1165" s="304" t="s">
        <v>131</v>
      </c>
      <c r="C1165" s="56">
        <v>45798</v>
      </c>
      <c r="D1165" s="43">
        <v>970</v>
      </c>
      <c r="F1165" s="43" t="s">
        <v>1198</v>
      </c>
      <c r="G1165" t="str">
        <f t="shared" si="21"/>
        <v>May</v>
      </c>
    </row>
    <row r="1166" spans="1:7">
      <c r="A1166" s="141" t="s">
        <v>672</v>
      </c>
      <c r="B1166" s="141" t="s">
        <v>639</v>
      </c>
      <c r="C1166" s="56">
        <v>45798</v>
      </c>
      <c r="D1166" s="43">
        <v>600</v>
      </c>
      <c r="G1166" t="str">
        <f t="shared" si="21"/>
        <v>May</v>
      </c>
    </row>
    <row r="1167" spans="1:7">
      <c r="A1167" s="324" t="s">
        <v>554</v>
      </c>
      <c r="B1167" s="304" t="s">
        <v>639</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639</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634</v>
      </c>
      <c r="B1175" s="305" t="s">
        <v>1071</v>
      </c>
      <c r="C1175" s="56">
        <v>45800</v>
      </c>
      <c r="D1175" s="43">
        <v>236</v>
      </c>
      <c r="F1175" s="43" t="s">
        <v>1187</v>
      </c>
      <c r="G1175" t="str">
        <f t="shared" si="21"/>
        <v>May</v>
      </c>
    </row>
    <row r="1176" spans="1:7">
      <c r="A1176" s="311" t="s">
        <v>638</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639</v>
      </c>
      <c r="C1178" s="56">
        <v>45800</v>
      </c>
      <c r="F1178" s="351" t="s">
        <v>1437</v>
      </c>
      <c r="G1178" t="str">
        <f t="shared" si="21"/>
        <v>May</v>
      </c>
    </row>
    <row r="1179" spans="1:7">
      <c r="A1179" s="324" t="s">
        <v>554</v>
      </c>
      <c r="B1179" s="304" t="s">
        <v>639</v>
      </c>
      <c r="C1179" s="56">
        <v>45800</v>
      </c>
      <c r="D1179" s="43">
        <v>285</v>
      </c>
      <c r="F1179" s="43" t="s">
        <v>1509</v>
      </c>
      <c r="G1179" t="str">
        <f t="shared" si="21"/>
        <v>May</v>
      </c>
    </row>
    <row r="1180" spans="1:7">
      <c r="A1180" s="141" t="s">
        <v>634</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439</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639</v>
      </c>
      <c r="C1186" s="56">
        <v>45804</v>
      </c>
      <c r="D1186" s="43">
        <v>757</v>
      </c>
      <c r="G1186" t="str">
        <f t="shared" si="22"/>
        <v>May</v>
      </c>
    </row>
    <row r="1187" spans="1:7">
      <c r="A1187" s="141" t="s">
        <v>634</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639</v>
      </c>
      <c r="C1190" s="56">
        <v>45805</v>
      </c>
      <c r="D1190" s="43">
        <v>610</v>
      </c>
      <c r="G1190" t="str">
        <f t="shared" si="22"/>
        <v>May</v>
      </c>
    </row>
    <row r="1191" spans="1:7">
      <c r="A1191" s="141" t="s">
        <v>634</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439</v>
      </c>
      <c r="B1196" s="307" t="s">
        <v>131</v>
      </c>
      <c r="C1196" s="56">
        <v>45806</v>
      </c>
      <c r="D1196" s="155">
        <v>736</v>
      </c>
      <c r="F1196" s="43" t="s">
        <v>1517</v>
      </c>
      <c r="G1196" t="str">
        <f t="shared" si="22"/>
        <v>May</v>
      </c>
    </row>
    <row r="1197" spans="1:7">
      <c r="A1197" s="141" t="s">
        <v>672</v>
      </c>
      <c r="B1197" s="141" t="s">
        <v>639</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639</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439</v>
      </c>
      <c r="B1205" s="141" t="s">
        <v>131</v>
      </c>
      <c r="C1205" s="56">
        <v>45810</v>
      </c>
      <c r="D1205" s="155">
        <v>1957</v>
      </c>
      <c r="F1205" s="43" t="s">
        <v>1520</v>
      </c>
      <c r="G1205" t="s">
        <v>1519</v>
      </c>
    </row>
    <row r="1206" spans="1:7">
      <c r="A1206" s="141" t="s">
        <v>672</v>
      </c>
      <c r="B1206" s="141" t="s">
        <v>639</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639</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639</v>
      </c>
      <c r="C1214" s="56">
        <v>45811</v>
      </c>
      <c r="F1214" s="141" t="s">
        <v>1215</v>
      </c>
      <c r="G1214" t="s">
        <v>1519</v>
      </c>
    </row>
    <row r="1215" spans="1:7">
      <c r="A1215" s="141" t="s">
        <v>672</v>
      </c>
      <c r="B1215" s="141" t="s">
        <v>639</v>
      </c>
      <c r="C1215" s="56">
        <v>45811</v>
      </c>
      <c r="D1215" s="43">
        <v>948</v>
      </c>
      <c r="G1215" t="s">
        <v>1519</v>
      </c>
    </row>
    <row r="1216" spans="1:7">
      <c r="A1216" s="141" t="s">
        <v>795</v>
      </c>
      <c r="B1216" s="141" t="s">
        <v>143</v>
      </c>
      <c r="C1216" s="56">
        <v>45812</v>
      </c>
      <c r="D1216" s="43">
        <v>83</v>
      </c>
      <c r="G1216" t="s">
        <v>1519</v>
      </c>
    </row>
    <row r="1217" spans="1:7">
      <c r="A1217" s="304" t="s">
        <v>527</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439</v>
      </c>
      <c r="B1221" s="304" t="s">
        <v>131</v>
      </c>
      <c r="C1221" s="56">
        <v>45812</v>
      </c>
      <c r="E1221" s="321">
        <v>8415</v>
      </c>
      <c r="F1221" s="43" t="s">
        <v>1526</v>
      </c>
      <c r="G1221" t="s">
        <v>1519</v>
      </c>
    </row>
    <row r="1222" spans="1:7">
      <c r="A1222" s="141" t="s">
        <v>672</v>
      </c>
      <c r="B1222" s="141" t="s">
        <v>639</v>
      </c>
      <c r="C1222" s="56">
        <v>45812</v>
      </c>
      <c r="F1222" s="141" t="s">
        <v>1524</v>
      </c>
      <c r="G1222" t="s">
        <v>1519</v>
      </c>
    </row>
    <row r="1223" spans="1:7">
      <c r="A1223" s="141" t="s">
        <v>527</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639</v>
      </c>
      <c r="C1228" s="56">
        <v>45813</v>
      </c>
      <c r="D1228" s="155">
        <v>1101</v>
      </c>
      <c r="F1228" s="43" t="s">
        <v>1210</v>
      </c>
      <c r="G1228" t="s">
        <v>1519</v>
      </c>
    </row>
    <row r="1229" spans="1:7">
      <c r="A1229" s="141" t="s">
        <v>672</v>
      </c>
      <c r="B1229" s="141" t="s">
        <v>639</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639</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639</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639</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639</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639</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639</v>
      </c>
      <c r="C1265" s="56">
        <v>45826</v>
      </c>
      <c r="D1265" s="43">
        <v>729</v>
      </c>
      <c r="G1265" t="s">
        <v>1519</v>
      </c>
    </row>
    <row r="1266" spans="1:7">
      <c r="A1266" s="141" t="s">
        <v>672</v>
      </c>
      <c r="B1266" s="141" t="s">
        <v>639</v>
      </c>
      <c r="C1266" s="56">
        <v>45827</v>
      </c>
      <c r="D1266" s="43">
        <v>464</v>
      </c>
      <c r="G1266" t="s">
        <v>1519</v>
      </c>
    </row>
    <row r="1267" spans="1:7">
      <c r="A1267" s="141" t="s">
        <v>548</v>
      </c>
      <c r="B1267" s="141" t="s">
        <v>639</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439</v>
      </c>
      <c r="B1270" s="315" t="s">
        <v>131</v>
      </c>
      <c r="C1270" s="56">
        <v>45828</v>
      </c>
      <c r="F1270" s="311" t="s">
        <v>1215</v>
      </c>
      <c r="G1270" t="s">
        <v>1519</v>
      </c>
    </row>
    <row r="1271" spans="1:7">
      <c r="A1271" s="141" t="s">
        <v>672</v>
      </c>
      <c r="B1271" s="141" t="s">
        <v>639</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639</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527</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639</v>
      </c>
      <c r="C1295" s="56">
        <v>45834</v>
      </c>
      <c r="D1295" s="43">
        <v>112</v>
      </c>
      <c r="F1295" s="43" t="s">
        <v>1198</v>
      </c>
      <c r="G1295" t="s">
        <v>1519</v>
      </c>
    </row>
    <row r="1296" spans="1:7">
      <c r="A1296" s="304" t="s">
        <v>548</v>
      </c>
      <c r="B1296" s="141" t="s">
        <v>639</v>
      </c>
      <c r="C1296" s="56">
        <v>45834</v>
      </c>
      <c r="D1296" s="43">
        <v>676</v>
      </c>
      <c r="F1296" s="43" t="s">
        <v>1512</v>
      </c>
      <c r="G1296" t="s">
        <v>1519</v>
      </c>
    </row>
    <row r="1297" spans="1:7">
      <c r="A1297" s="141" t="s">
        <v>672</v>
      </c>
      <c r="B1297" s="141" t="s">
        <v>387</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548</v>
      </c>
      <c r="B1301" s="317" t="s">
        <v>639</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548</v>
      </c>
      <c r="B1304" s="317" t="s">
        <v>639</v>
      </c>
      <c r="C1304" s="56">
        <v>45838</v>
      </c>
      <c r="D1304" s="43">
        <v>885</v>
      </c>
      <c r="F1304" s="43" t="s">
        <v>1210</v>
      </c>
      <c r="G1304" t="s">
        <v>1519</v>
      </c>
    </row>
    <row r="1305" spans="1:7">
      <c r="A1305" s="141" t="s">
        <v>782</v>
      </c>
      <c r="B1305" s="311" t="s">
        <v>1071</v>
      </c>
      <c r="C1305" s="56">
        <v>45839</v>
      </c>
      <c r="D1305" s="43">
        <v>120</v>
      </c>
      <c r="G1305" t="s">
        <v>1552</v>
      </c>
    </row>
    <row r="1306" spans="1:7">
      <c r="A1306" s="315" t="s">
        <v>439</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548</v>
      </c>
      <c r="B1308" s="317" t="s">
        <v>639</v>
      </c>
      <c r="C1308" s="56">
        <v>45839</v>
      </c>
      <c r="D1308" s="43">
        <v>478</v>
      </c>
      <c r="G1308" t="s">
        <v>1552</v>
      </c>
    </row>
    <row r="1309" spans="1:7">
      <c r="A1309" s="141" t="s">
        <v>672</v>
      </c>
      <c r="B1309" s="317" t="s">
        <v>639</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548</v>
      </c>
      <c r="B1314" s="317" t="s">
        <v>639</v>
      </c>
      <c r="C1314" s="56">
        <v>45840</v>
      </c>
      <c r="D1314" s="43">
        <v>490</v>
      </c>
      <c r="F1314" s="43" t="s">
        <v>1198</v>
      </c>
      <c r="G1314" t="s">
        <v>1552</v>
      </c>
    </row>
    <row r="1315" spans="1:7">
      <c r="A1315" s="141" t="s">
        <v>782</v>
      </c>
      <c r="B1315" s="311" t="s">
        <v>1071</v>
      </c>
      <c r="C1315" s="56">
        <v>45841</v>
      </c>
      <c r="F1315" s="141" t="s">
        <v>1215</v>
      </c>
      <c r="G1315" t="s">
        <v>1552</v>
      </c>
    </row>
    <row r="1316" spans="1:7">
      <c r="A1316" s="141" t="s">
        <v>548</v>
      </c>
      <c r="B1316" s="317" t="s">
        <v>639</v>
      </c>
      <c r="C1316" s="56">
        <v>45841</v>
      </c>
      <c r="D1316" s="43">
        <v>372</v>
      </c>
      <c r="F1316" s="115" t="s">
        <v>1198</v>
      </c>
      <c r="G1316" t="s">
        <v>1552</v>
      </c>
    </row>
    <row r="1317" spans="1:7" ht="15.75">
      <c r="A1317" s="141" t="s">
        <v>548</v>
      </c>
      <c r="B1317" s="317" t="s">
        <v>387</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548</v>
      </c>
      <c r="B1322" s="157" t="s">
        <v>387</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556</v>
      </c>
      <c r="B1327" s="157" t="s">
        <v>639</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551</v>
      </c>
      <c r="B1331" s="157" t="s">
        <v>387</v>
      </c>
      <c r="C1331" s="56">
        <v>45849</v>
      </c>
      <c r="D1331" s="43">
        <v>198</v>
      </c>
      <c r="G1331" t="s">
        <v>1552</v>
      </c>
    </row>
    <row r="1332" spans="1:7">
      <c r="A1332" s="247" t="s">
        <v>1006</v>
      </c>
      <c r="B1332" s="398" t="s">
        <v>1071</v>
      </c>
      <c r="C1332" s="56">
        <v>45852</v>
      </c>
      <c r="F1332" s="43" t="s">
        <v>1215</v>
      </c>
      <c r="G1332" t="s">
        <v>1552</v>
      </c>
    </row>
    <row r="1333" spans="1:7">
      <c r="A1333" s="617" t="s">
        <v>551</v>
      </c>
      <c r="B1333" s="157" t="s">
        <v>387</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386</v>
      </c>
      <c r="B1337" s="157" t="s">
        <v>387</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386</v>
      </c>
      <c r="B1343" s="318" t="s">
        <v>387</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386</v>
      </c>
      <c r="B1354" s="157" t="s">
        <v>387</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386</v>
      </c>
      <c r="B1361" s="157" t="s">
        <v>387</v>
      </c>
      <c r="C1361" s="56">
        <v>45860</v>
      </c>
      <c r="D1361" s="43">
        <v>318</v>
      </c>
      <c r="G1361" t="s">
        <v>1552</v>
      </c>
    </row>
    <row r="1362" spans="1:7">
      <c r="A1362" s="247" t="s">
        <v>1110</v>
      </c>
      <c r="B1362" s="157" t="s">
        <v>387</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551</v>
      </c>
      <c r="B1370" s="157" t="s">
        <v>387</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551</v>
      </c>
      <c r="B1378" s="318" t="s">
        <v>387</v>
      </c>
      <c r="C1378" s="56">
        <v>45862</v>
      </c>
      <c r="D1378" s="43">
        <v>880</v>
      </c>
      <c r="G1378" t="s">
        <v>1552</v>
      </c>
    </row>
    <row r="1379" spans="1:7">
      <c r="A1379" s="324" t="s">
        <v>556</v>
      </c>
      <c r="B1379" s="349" t="s">
        <v>639</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551</v>
      </c>
      <c r="B1386" s="157" t="s">
        <v>387</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551</v>
      </c>
      <c r="B1392" s="157" t="s">
        <v>387</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545</v>
      </c>
      <c r="B1402" s="318" t="s">
        <v>387</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559</v>
      </c>
      <c r="B1407" s="157" t="s">
        <v>387</v>
      </c>
      <c r="C1407" s="56">
        <v>45869</v>
      </c>
      <c r="D1407" s="155">
        <v>2390</v>
      </c>
      <c r="G1407" t="s">
        <v>1552</v>
      </c>
    </row>
    <row r="1408" spans="1:7">
      <c r="A1408" s="88" t="s">
        <v>813</v>
      </c>
      <c r="B1408" s="311" t="s">
        <v>1589</v>
      </c>
      <c r="C1408" s="56">
        <v>45870</v>
      </c>
      <c r="D1408" s="43">
        <v>318</v>
      </c>
      <c r="F1408" s="43" t="s">
        <v>1590</v>
      </c>
      <c r="G1408" t="s">
        <v>1591</v>
      </c>
    </row>
    <row r="1409" spans="1:7">
      <c r="A1409" s="88" t="s">
        <v>645</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559</v>
      </c>
      <c r="B1411" s="157" t="s">
        <v>387</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559</v>
      </c>
      <c r="B1415" s="311" t="s">
        <v>387</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559</v>
      </c>
      <c r="B1418" s="311" t="s">
        <v>387</v>
      </c>
      <c r="C1418" s="56">
        <v>45875</v>
      </c>
      <c r="D1418" s="43">
        <v>840</v>
      </c>
      <c r="G1418" t="s">
        <v>1591</v>
      </c>
    </row>
    <row r="1419" spans="1:7">
      <c r="A1419" s="141" t="s">
        <v>545</v>
      </c>
      <c r="B1419" s="550" t="s">
        <v>387</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559</v>
      </c>
      <c r="B1423" s="525" t="s">
        <v>387</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559</v>
      </c>
      <c r="B1426" s="311" t="s">
        <v>387</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559</v>
      </c>
      <c r="B1430" s="311" t="s">
        <v>387</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386</v>
      </c>
      <c r="B1435" s="311" t="s">
        <v>387</v>
      </c>
      <c r="C1435" s="56">
        <v>45881</v>
      </c>
      <c r="D1435" s="43">
        <v>319</v>
      </c>
      <c r="G1435" t="s">
        <v>1591</v>
      </c>
    </row>
    <row r="1436" spans="1:7">
      <c r="A1436" s="551" t="s">
        <v>559</v>
      </c>
      <c r="B1436" s="311" t="s">
        <v>387</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559</v>
      </c>
      <c r="B1443" s="311" t="s">
        <v>387</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559</v>
      </c>
      <c r="B1447" s="311" t="s">
        <v>387</v>
      </c>
      <c r="C1447" s="56">
        <v>45883</v>
      </c>
      <c r="D1447" s="43">
        <v>554</v>
      </c>
      <c r="G1447" t="s">
        <v>1591</v>
      </c>
    </row>
    <row r="1448" spans="1:7">
      <c r="A1448" s="43" t="s">
        <v>270</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559</v>
      </c>
      <c r="B1453" s="311" t="s">
        <v>387</v>
      </c>
      <c r="C1453" s="56">
        <v>45884</v>
      </c>
      <c r="D1453" s="43">
        <v>89</v>
      </c>
      <c r="G1453" t="s">
        <v>1591</v>
      </c>
    </row>
    <row r="1454" spans="1:7">
      <c r="A1454" s="304" t="s">
        <v>270</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559</v>
      </c>
      <c r="B1460" s="311" t="s">
        <v>387</v>
      </c>
      <c r="C1460" s="56">
        <v>45887</v>
      </c>
      <c r="D1460" s="43">
        <v>377</v>
      </c>
      <c r="G1460" t="s">
        <v>1591</v>
      </c>
    </row>
    <row r="1461" spans="1:7">
      <c r="A1461" s="304" t="s">
        <v>270</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559</v>
      </c>
      <c r="B1466" s="311" t="s">
        <v>387</v>
      </c>
      <c r="C1466" s="56">
        <v>45888</v>
      </c>
      <c r="D1466" s="43">
        <v>408</v>
      </c>
      <c r="F1466" s="115"/>
      <c r="G1466" t="s">
        <v>1591</v>
      </c>
    </row>
    <row r="1467" spans="1:7">
      <c r="A1467" s="583" t="s">
        <v>556</v>
      </c>
      <c r="B1467" s="318" t="s">
        <v>1071</v>
      </c>
      <c r="C1467" s="56">
        <v>45888</v>
      </c>
      <c r="F1467" s="141" t="s">
        <v>1606</v>
      </c>
      <c r="G1467" t="s">
        <v>1591</v>
      </c>
    </row>
    <row r="1468" spans="1:7">
      <c r="A1468" s="247" t="s">
        <v>545</v>
      </c>
      <c r="B1468" s="311" t="s">
        <v>387</v>
      </c>
      <c r="C1468" s="56">
        <v>45888</v>
      </c>
      <c r="D1468" s="43">
        <v>430</v>
      </c>
      <c r="F1468" s="169"/>
      <c r="G1468" t="s">
        <v>1591</v>
      </c>
    </row>
    <row r="1469" spans="1:7">
      <c r="A1469" s="88" t="s">
        <v>1090</v>
      </c>
      <c r="B1469" s="398" t="s">
        <v>1071</v>
      </c>
      <c r="C1469" s="56">
        <v>45889</v>
      </c>
      <c r="D1469" s="43">
        <v>181</v>
      </c>
      <c r="G1469" t="s">
        <v>1591</v>
      </c>
    </row>
    <row r="1470" spans="1:7">
      <c r="A1470" s="88" t="s">
        <v>527</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559</v>
      </c>
      <c r="B1474" s="311" t="s">
        <v>387</v>
      </c>
      <c r="C1474" s="56">
        <v>45889</v>
      </c>
      <c r="D1474" s="43">
        <v>607</v>
      </c>
      <c r="F1474" s="43" t="s">
        <v>1607</v>
      </c>
      <c r="G1474" t="s">
        <v>1591</v>
      </c>
    </row>
    <row r="1475" spans="1:7">
      <c r="A1475" s="583" t="s">
        <v>556</v>
      </c>
      <c r="B1475" s="318" t="s">
        <v>1071</v>
      </c>
      <c r="C1475" s="56">
        <v>45889</v>
      </c>
      <c r="D1475" s="43">
        <v>499</v>
      </c>
      <c r="G1475" t="s">
        <v>1591</v>
      </c>
    </row>
    <row r="1476" spans="1:7">
      <c r="A1476" s="88" t="s">
        <v>1090</v>
      </c>
      <c r="B1476" s="398" t="s">
        <v>1071</v>
      </c>
      <c r="C1476" s="56">
        <v>45890</v>
      </c>
      <c r="D1476" s="43">
        <v>82</v>
      </c>
      <c r="G1476" t="s">
        <v>1591</v>
      </c>
    </row>
    <row r="1477" spans="1:7">
      <c r="A1477" s="88" t="s">
        <v>527</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559</v>
      </c>
      <c r="B1482" s="311" t="s">
        <v>387</v>
      </c>
      <c r="C1482" s="56">
        <v>45890</v>
      </c>
      <c r="D1482" s="155">
        <v>1022</v>
      </c>
      <c r="G1482" t="s">
        <v>1591</v>
      </c>
    </row>
    <row r="1483" spans="1:7">
      <c r="A1483" s="583" t="s">
        <v>556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559</v>
      </c>
      <c r="B1488" s="311" t="s">
        <v>387</v>
      </c>
      <c r="C1488" s="56">
        <v>45891</v>
      </c>
      <c r="E1488" s="321">
        <v>6090</v>
      </c>
      <c r="F1488" s="43" t="s">
        <v>1611</v>
      </c>
      <c r="G1488" t="s">
        <v>1591</v>
      </c>
    </row>
    <row r="1489" spans="1:7">
      <c r="A1489" s="583" t="s">
        <v>556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559</v>
      </c>
      <c r="B1495" s="311" t="s">
        <v>387</v>
      </c>
      <c r="C1495" s="56">
        <v>45894</v>
      </c>
      <c r="D1495" s="43">
        <v>639</v>
      </c>
      <c r="G1495" t="s">
        <v>1591</v>
      </c>
    </row>
    <row r="1496" spans="1:7">
      <c r="A1496" s="583" t="s">
        <v>556</v>
      </c>
      <c r="B1496" s="318" t="s">
        <v>1071</v>
      </c>
      <c r="C1496" s="56">
        <v>45894</v>
      </c>
      <c r="D1496" s="43">
        <v>503</v>
      </c>
      <c r="G1496" t="s">
        <v>1591</v>
      </c>
    </row>
    <row r="1497" spans="1:7">
      <c r="A1497" s="88" t="s">
        <v>1090</v>
      </c>
      <c r="B1497" s="398" t="s">
        <v>1071</v>
      </c>
      <c r="C1497" s="56">
        <v>45895</v>
      </c>
      <c r="F1497" s="43" t="s">
        <v>1348</v>
      </c>
      <c r="G1497" t="s">
        <v>1591</v>
      </c>
    </row>
    <row r="1498" spans="1:7">
      <c r="A1498" s="88" t="s">
        <v>527</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556</v>
      </c>
      <c r="B1504" s="631" t="s">
        <v>1071</v>
      </c>
      <c r="C1504" s="56">
        <v>45895</v>
      </c>
      <c r="D1504" s="43">
        <v>295</v>
      </c>
      <c r="G1504" t="s">
        <v>1591</v>
      </c>
    </row>
    <row r="1505" spans="1:7">
      <c r="A1505" s="628" t="s">
        <v>551</v>
      </c>
      <c r="B1505" s="349" t="s">
        <v>387</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270</v>
      </c>
      <c r="B1511" s="631" t="s">
        <v>1071</v>
      </c>
      <c r="C1511" s="56">
        <v>45896</v>
      </c>
      <c r="D1511" s="43">
        <v>400</v>
      </c>
      <c r="G1511" t="s">
        <v>1591</v>
      </c>
    </row>
    <row r="1512" spans="1:7">
      <c r="A1512" s="628" t="s">
        <v>386</v>
      </c>
      <c r="B1512" s="348" t="s">
        <v>387</v>
      </c>
      <c r="C1512" s="56">
        <v>45896</v>
      </c>
      <c r="D1512" s="43">
        <v>358</v>
      </c>
      <c r="F1512" s="43" t="s">
        <v>1620</v>
      </c>
      <c r="G1512" t="s">
        <v>1591</v>
      </c>
    </row>
    <row r="1513" spans="1:7">
      <c r="A1513" s="643" t="s">
        <v>551</v>
      </c>
      <c r="B1513" s="141" t="s">
        <v>387</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559</v>
      </c>
      <c r="B1518" s="311" t="s">
        <v>387</v>
      </c>
      <c r="C1518" s="56">
        <v>45897</v>
      </c>
      <c r="F1518" s="43" t="s">
        <v>1210</v>
      </c>
      <c r="G1518" t="s">
        <v>1591</v>
      </c>
    </row>
    <row r="1519" spans="1:7">
      <c r="A1519" s="583" t="s">
        <v>270</v>
      </c>
      <c r="B1519" s="631" t="s">
        <v>1071</v>
      </c>
      <c r="C1519" s="56">
        <v>45897</v>
      </c>
      <c r="D1519" s="43">
        <v>320</v>
      </c>
      <c r="G1519" t="s">
        <v>1591</v>
      </c>
    </row>
    <row r="1520" spans="1:7">
      <c r="A1520" s="628" t="s">
        <v>386</v>
      </c>
      <c r="B1520" s="349" t="s">
        <v>387</v>
      </c>
      <c r="C1520" s="56">
        <v>45897</v>
      </c>
      <c r="F1520" s="311" t="s">
        <v>1348</v>
      </c>
      <c r="G1520" t="s">
        <v>1591</v>
      </c>
    </row>
    <row r="1521" spans="1:7">
      <c r="A1521" s="123" t="s">
        <v>551</v>
      </c>
      <c r="B1521" s="348" t="s">
        <v>387</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551</v>
      </c>
      <c r="B1524" s="311" t="s">
        <v>387</v>
      </c>
      <c r="C1524" s="56">
        <v>45898</v>
      </c>
      <c r="F1524" s="141" t="s">
        <v>1198</v>
      </c>
      <c r="G1524" t="s">
        <v>1591</v>
      </c>
    </row>
    <row r="1525" spans="1:7">
      <c r="A1525" s="326" t="s">
        <v>556</v>
      </c>
      <c r="B1525" s="315" t="s">
        <v>1071</v>
      </c>
      <c r="C1525" s="56">
        <v>45898</v>
      </c>
      <c r="D1525" s="43">
        <v>6</v>
      </c>
      <c r="F1525" s="43" t="s">
        <v>1626</v>
      </c>
      <c r="G1525" t="s">
        <v>1591</v>
      </c>
    </row>
    <row r="1526" spans="1:7">
      <c r="A1526" s="337" t="s">
        <v>559</v>
      </c>
      <c r="B1526" s="311" t="s">
        <v>387</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556</v>
      </c>
      <c r="B1531" s="315" t="s">
        <v>1071</v>
      </c>
      <c r="C1531" s="56">
        <v>45902</v>
      </c>
      <c r="D1531" s="43">
        <v>15</v>
      </c>
      <c r="F1531" s="43" t="s">
        <v>1632</v>
      </c>
      <c r="G1531" t="s">
        <v>1629</v>
      </c>
    </row>
    <row r="1532" spans="1:7">
      <c r="A1532" s="247" t="s">
        <v>551</v>
      </c>
      <c r="B1532" s="311" t="s">
        <v>387</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556</v>
      </c>
      <c r="B1539" s="318" t="s">
        <v>1071</v>
      </c>
      <c r="C1539" s="56">
        <v>45903</v>
      </c>
      <c r="D1539" s="43">
        <v>65</v>
      </c>
      <c r="F1539" s="141" t="s">
        <v>1639</v>
      </c>
      <c r="G1539" t="s">
        <v>1629</v>
      </c>
    </row>
    <row r="1540" spans="1:7">
      <c r="A1540" s="648" t="s">
        <v>551</v>
      </c>
      <c r="B1540" s="348" t="s">
        <v>387</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570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386</v>
      </c>
      <c r="B1546" s="311" t="s">
        <v>1071</v>
      </c>
      <c r="C1546" s="56">
        <v>45904</v>
      </c>
      <c r="D1546" s="43">
        <v>99</v>
      </c>
      <c r="F1546" s="43" t="s">
        <v>1643</v>
      </c>
      <c r="G1546" t="s">
        <v>1629</v>
      </c>
    </row>
    <row r="1547" spans="1:7">
      <c r="A1547" s="583" t="s">
        <v>556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561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570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570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570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364</v>
      </c>
      <c r="B1563" s="631" t="s">
        <v>365</v>
      </c>
      <c r="C1563" s="56">
        <v>45910</v>
      </c>
      <c r="D1563" s="43">
        <v>307</v>
      </c>
      <c r="G1563" t="s">
        <v>1629</v>
      </c>
    </row>
    <row r="1564" spans="1:7">
      <c r="A1564" s="157" t="s">
        <v>561</v>
      </c>
      <c r="B1564" s="684" t="s">
        <v>1510</v>
      </c>
      <c r="C1564" s="56">
        <v>45910</v>
      </c>
      <c r="F1564" s="43" t="s">
        <v>1348</v>
      </c>
      <c r="G1564" t="s">
        <v>1629</v>
      </c>
    </row>
    <row r="1565" spans="1:7">
      <c r="A1565" s="88" t="s">
        <v>1095</v>
      </c>
      <c r="B1565" s="398" t="s">
        <v>1071</v>
      </c>
      <c r="C1565" s="56">
        <v>45911</v>
      </c>
      <c r="D1565" s="43">
        <v>302</v>
      </c>
      <c r="G1565" t="s">
        <v>1629</v>
      </c>
    </row>
    <row r="1566" spans="1:7">
      <c r="A1566" s="88" t="s">
        <v>527</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364</v>
      </c>
      <c r="B1570" s="247" t="s">
        <v>365</v>
      </c>
      <c r="C1570" s="56">
        <v>45911</v>
      </c>
      <c r="D1570" s="43">
        <v>920</v>
      </c>
      <c r="F1570" s="69"/>
      <c r="G1570" t="s">
        <v>1629</v>
      </c>
    </row>
    <row r="1571" spans="1:7">
      <c r="A1571" s="157" t="s">
        <v>561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364</v>
      </c>
      <c r="B1574" s="247" t="s">
        <v>365</v>
      </c>
      <c r="C1574" s="56">
        <v>45912</v>
      </c>
      <c r="D1574" s="43">
        <v>610</v>
      </c>
      <c r="F1574" s="69"/>
      <c r="G1574" t="s">
        <v>1629</v>
      </c>
    </row>
    <row r="1575" spans="1:7">
      <c r="A1575" s="157" t="s">
        <v>561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364</v>
      </c>
      <c r="B1579" s="247" t="s">
        <v>365</v>
      </c>
      <c r="C1579" s="56">
        <v>45915</v>
      </c>
      <c r="D1579" s="43">
        <v>829</v>
      </c>
      <c r="F1579" s="69" t="s">
        <v>1512</v>
      </c>
      <c r="G1579" t="s">
        <v>1629</v>
      </c>
    </row>
    <row r="1580" spans="1:7">
      <c r="A1580" s="115" t="s">
        <v>556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364</v>
      </c>
      <c r="B1585" s="247" t="s">
        <v>365</v>
      </c>
      <c r="C1585" s="56">
        <v>45916</v>
      </c>
      <c r="F1585" s="734" t="s">
        <v>1198</v>
      </c>
      <c r="G1585" t="s">
        <v>1629</v>
      </c>
    </row>
    <row r="1586" spans="1:7">
      <c r="A1586" s="157" t="s">
        <v>386</v>
      </c>
      <c r="B1586" s="247" t="s">
        <v>1071</v>
      </c>
      <c r="C1586" s="56">
        <v>45916</v>
      </c>
      <c r="F1586" s="735" t="s">
        <v>1656</v>
      </c>
      <c r="G1586" t="s">
        <v>1629</v>
      </c>
    </row>
    <row r="1587" spans="1:7">
      <c r="A1587" s="115" t="s">
        <v>556</v>
      </c>
      <c r="B1587" s="371" t="s">
        <v>1071</v>
      </c>
      <c r="C1587" s="56">
        <v>45916</v>
      </c>
      <c r="F1587" s="733" t="s">
        <v>1656</v>
      </c>
      <c r="G1587" t="s">
        <v>1629</v>
      </c>
    </row>
    <row r="1588" spans="1:7">
      <c r="A1588" s="648" t="s">
        <v>389</v>
      </c>
      <c r="B1588" s="141" t="s">
        <v>218</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570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364</v>
      </c>
      <c r="B1593" s="141" t="s">
        <v>365</v>
      </c>
      <c r="C1593" s="56">
        <v>45917</v>
      </c>
      <c r="D1593" s="43">
        <v>863</v>
      </c>
      <c r="F1593" s="734"/>
      <c r="G1593" t="s">
        <v>1629</v>
      </c>
    </row>
    <row r="1594" spans="1:7">
      <c r="A1594" s="738" t="s">
        <v>389</v>
      </c>
      <c r="B1594" s="305" t="s">
        <v>218</v>
      </c>
      <c r="C1594" s="56">
        <v>45917</v>
      </c>
      <c r="D1594" s="43">
        <v>253</v>
      </c>
      <c r="F1594" s="734"/>
      <c r="G1594" t="s">
        <v>1629</v>
      </c>
    </row>
    <row r="1595" spans="1:7">
      <c r="A1595" s="326" t="s">
        <v>386</v>
      </c>
      <c r="B1595" s="311" t="s">
        <v>1071</v>
      </c>
      <c r="C1595" s="56">
        <v>45917</v>
      </c>
      <c r="F1595" s="311" t="s">
        <v>1545</v>
      </c>
      <c r="G1595" t="s">
        <v>1629</v>
      </c>
    </row>
    <row r="1596" spans="1:7">
      <c r="A1596" s="247" t="s">
        <v>551</v>
      </c>
      <c r="B1596" s="311" t="s">
        <v>1071</v>
      </c>
      <c r="C1596" s="56">
        <v>45917</v>
      </c>
      <c r="D1596" s="43">
        <v>139</v>
      </c>
      <c r="F1596" s="734"/>
      <c r="G1596" t="s">
        <v>1629</v>
      </c>
    </row>
    <row r="1597" spans="1:7">
      <c r="A1597" s="88" t="s">
        <v>534</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572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364</v>
      </c>
      <c r="B1603" s="247" t="s">
        <v>365</v>
      </c>
      <c r="C1603" s="56">
        <v>45918</v>
      </c>
      <c r="D1603" s="43">
        <v>499</v>
      </c>
      <c r="F1603" s="734"/>
      <c r="G1603" t="s">
        <v>1629</v>
      </c>
    </row>
    <row r="1604" spans="1:7">
      <c r="A1604" s="648" t="s">
        <v>389</v>
      </c>
      <c r="B1604" s="141" t="s">
        <v>218</v>
      </c>
      <c r="C1604" s="56">
        <v>45918</v>
      </c>
      <c r="D1604" s="155">
        <v>1076</v>
      </c>
      <c r="F1604" s="734"/>
      <c r="G1604" t="s">
        <v>1629</v>
      </c>
    </row>
    <row r="1605" spans="1:7">
      <c r="A1605" s="157" t="s">
        <v>386</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364</v>
      </c>
      <c r="B1608" s="247" t="s">
        <v>365</v>
      </c>
      <c r="C1608" s="56">
        <v>45919</v>
      </c>
      <c r="D1608" s="43">
        <v>475</v>
      </c>
      <c r="F1608" s="734"/>
      <c r="G1608" t="s">
        <v>1629</v>
      </c>
    </row>
    <row r="1609" spans="1:7">
      <c r="A1609" s="648" t="s">
        <v>389</v>
      </c>
      <c r="B1609" s="141" t="s">
        <v>218</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452</v>
      </c>
      <c r="C1612" s="56">
        <v>45922</v>
      </c>
      <c r="D1612" s="43">
        <v>329</v>
      </c>
      <c r="F1612" s="734"/>
      <c r="G1612" t="s">
        <v>1629</v>
      </c>
    </row>
    <row r="1613" spans="1:7">
      <c r="A1613" s="304" t="s">
        <v>572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615</v>
      </c>
      <c r="B1615" s="311" t="s">
        <v>1071</v>
      </c>
      <c r="C1615" s="56">
        <v>45922</v>
      </c>
      <c r="D1615" s="43">
        <v>335</v>
      </c>
      <c r="F1615" s="734" t="s">
        <v>1512</v>
      </c>
      <c r="G1615" t="s">
        <v>1629</v>
      </c>
    </row>
    <row r="1616" spans="1:7">
      <c r="A1616" s="134" t="s">
        <v>364</v>
      </c>
      <c r="B1616" s="141" t="s">
        <v>365</v>
      </c>
      <c r="C1616" s="56">
        <v>45922</v>
      </c>
      <c r="D1616" s="43">
        <v>839</v>
      </c>
      <c r="F1616" s="734"/>
      <c r="G1616" t="s">
        <v>1629</v>
      </c>
    </row>
    <row r="1617" spans="1:7">
      <c r="A1617" s="746" t="s">
        <v>389</v>
      </c>
      <c r="B1617" s="304" t="s">
        <v>218</v>
      </c>
      <c r="C1617" s="56">
        <v>45922</v>
      </c>
      <c r="F1617" s="311" t="s">
        <v>1669</v>
      </c>
      <c r="G1617" t="s">
        <v>1629</v>
      </c>
    </row>
    <row r="1618" spans="1:7">
      <c r="A1618" s="325" t="s">
        <v>551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452</v>
      </c>
      <c r="C1621" s="56">
        <v>45923</v>
      </c>
      <c r="D1621" s="43">
        <v>427</v>
      </c>
      <c r="F1621" s="69"/>
      <c r="G1621" t="s">
        <v>1629</v>
      </c>
    </row>
    <row r="1622" spans="1:7">
      <c r="A1622" s="69" t="s">
        <v>572</v>
      </c>
      <c r="B1622" s="751" t="s">
        <v>131</v>
      </c>
      <c r="C1622" s="56">
        <v>45923</v>
      </c>
      <c r="D1622" s="43">
        <v>675</v>
      </c>
      <c r="F1622" s="69"/>
      <c r="G1622" t="s">
        <v>1629</v>
      </c>
    </row>
    <row r="1623" spans="1:7">
      <c r="A1623" s="69" t="s">
        <v>575</v>
      </c>
      <c r="B1623" s="752" t="s">
        <v>131</v>
      </c>
      <c r="C1623" s="56">
        <v>45923</v>
      </c>
      <c r="D1623" s="155">
        <v>1231</v>
      </c>
      <c r="F1623" s="69" t="s">
        <v>1672</v>
      </c>
      <c r="G1623" t="s">
        <v>1629</v>
      </c>
    </row>
    <row r="1624" spans="1:7">
      <c r="A1624" s="750" t="s">
        <v>615</v>
      </c>
      <c r="B1624" s="753" t="s">
        <v>1071</v>
      </c>
      <c r="C1624" s="56">
        <v>45923</v>
      </c>
      <c r="E1624" s="139">
        <v>335</v>
      </c>
      <c r="F1624" s="69" t="s">
        <v>1673</v>
      </c>
      <c r="G1624" t="s">
        <v>1629</v>
      </c>
    </row>
    <row r="1625" spans="1:7">
      <c r="A1625" s="754" t="s">
        <v>364</v>
      </c>
      <c r="B1625" s="247" t="s">
        <v>365</v>
      </c>
      <c r="C1625" s="56">
        <v>45923</v>
      </c>
      <c r="F1625" s="759" t="s">
        <v>1674</v>
      </c>
      <c r="G1625" t="s">
        <v>1629</v>
      </c>
    </row>
    <row r="1626" spans="1:7">
      <c r="A1626" s="648" t="s">
        <v>389</v>
      </c>
      <c r="B1626" s="756" t="s">
        <v>218</v>
      </c>
      <c r="C1626" s="56">
        <v>45923</v>
      </c>
      <c r="D1626" s="43">
        <v>120</v>
      </c>
      <c r="F1626" s="69"/>
      <c r="G1626" t="s">
        <v>1629</v>
      </c>
    </row>
    <row r="1627" spans="1:7">
      <c r="A1627" s="157" t="s">
        <v>386</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452</v>
      </c>
      <c r="C1630" s="56">
        <v>45924</v>
      </c>
      <c r="D1630" s="43">
        <v>537</v>
      </c>
      <c r="F1630" s="69"/>
      <c r="G1630" t="s">
        <v>1629</v>
      </c>
    </row>
    <row r="1631" spans="1:7">
      <c r="A1631" s="148" t="s">
        <v>578</v>
      </c>
      <c r="B1631" s="761" t="s">
        <v>131</v>
      </c>
      <c r="C1631" s="336">
        <v>45924</v>
      </c>
      <c r="D1631" s="155">
        <v>1205</v>
      </c>
      <c r="F1631" s="69" t="s">
        <v>1675</v>
      </c>
      <c r="G1631" t="s">
        <v>1629</v>
      </c>
    </row>
    <row r="1632" spans="1:7">
      <c r="A1632" s="69" t="s">
        <v>575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572</v>
      </c>
      <c r="B1635" s="751" t="s">
        <v>131</v>
      </c>
      <c r="C1635" s="56">
        <v>45924</v>
      </c>
      <c r="D1635" s="161">
        <v>170</v>
      </c>
      <c r="F1635" s="141" t="s">
        <v>1678</v>
      </c>
      <c r="G1635" t="s">
        <v>1629</v>
      </c>
    </row>
    <row r="1636" spans="1:7">
      <c r="A1636" s="762" t="s">
        <v>364</v>
      </c>
      <c r="B1636" s="399" t="s">
        <v>365</v>
      </c>
      <c r="C1636" s="344">
        <v>45924</v>
      </c>
      <c r="D1636" s="43">
        <v>616</v>
      </c>
      <c r="F1636" s="91"/>
      <c r="G1636" t="s">
        <v>1629</v>
      </c>
    </row>
    <row r="1637" spans="1:7">
      <c r="A1637" s="648" t="s">
        <v>389</v>
      </c>
      <c r="B1637" s="756" t="s">
        <v>218</v>
      </c>
      <c r="C1637" s="56">
        <v>45924</v>
      </c>
      <c r="D1637" s="43">
        <v>190</v>
      </c>
      <c r="F1637" s="69"/>
      <c r="G1637" t="s">
        <v>1629</v>
      </c>
    </row>
    <row r="1638" spans="1:7">
      <c r="A1638" s="157" t="s">
        <v>270</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545</v>
      </c>
      <c r="B1640" s="131" t="s">
        <v>218</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572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531</v>
      </c>
      <c r="B1645" s="398" t="s">
        <v>1071</v>
      </c>
      <c r="C1645" s="56">
        <v>45925</v>
      </c>
      <c r="D1645" s="43">
        <v>175</v>
      </c>
      <c r="F1645" s="30"/>
      <c r="G1645" t="s">
        <v>1629</v>
      </c>
    </row>
    <row r="1646" spans="1:7">
      <c r="A1646" s="743" t="s">
        <v>1118</v>
      </c>
      <c r="B1646" s="141" t="s">
        <v>452</v>
      </c>
      <c r="C1646" s="56">
        <v>45925</v>
      </c>
      <c r="D1646" s="43">
        <v>646</v>
      </c>
      <c r="F1646" s="69" t="s">
        <v>1301</v>
      </c>
      <c r="G1646" t="s">
        <v>1629</v>
      </c>
    </row>
    <row r="1647" spans="1:7">
      <c r="A1647" s="69" t="s">
        <v>578</v>
      </c>
      <c r="B1647" s="751" t="s">
        <v>131</v>
      </c>
      <c r="C1647" s="56">
        <v>45925</v>
      </c>
      <c r="D1647" s="155">
        <v>1000</v>
      </c>
      <c r="F1647" s="30"/>
      <c r="G1647" t="s">
        <v>1629</v>
      </c>
    </row>
    <row r="1648" spans="1:7">
      <c r="A1648" s="69" t="s">
        <v>575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364</v>
      </c>
      <c r="B1651" s="247" t="s">
        <v>365</v>
      </c>
      <c r="C1651" s="56">
        <v>45925</v>
      </c>
      <c r="D1651" s="43">
        <v>969</v>
      </c>
      <c r="G1651" t="s">
        <v>1629</v>
      </c>
    </row>
    <row r="1652" spans="1:7">
      <c r="A1652" s="648" t="s">
        <v>389</v>
      </c>
      <c r="B1652" s="756" t="s">
        <v>218</v>
      </c>
      <c r="C1652" s="56">
        <v>45925</v>
      </c>
      <c r="F1652" s="141" t="s">
        <v>1215</v>
      </c>
      <c r="G1652" t="s">
        <v>1629</v>
      </c>
    </row>
    <row r="1653" spans="1:7">
      <c r="A1653" s="157" t="s">
        <v>270</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452</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365</v>
      </c>
      <c r="C1657" s="56">
        <v>45926</v>
      </c>
      <c r="D1657" s="43">
        <v>300</v>
      </c>
      <c r="G1657" t="s">
        <v>1629</v>
      </c>
    </row>
    <row r="1658" spans="1:7">
      <c r="A1658" s="304" t="s">
        <v>1120</v>
      </c>
      <c r="B1658" s="739" t="s">
        <v>1686</v>
      </c>
      <c r="C1658" s="56">
        <v>45926</v>
      </c>
      <c r="D1658" s="43">
        <v>364</v>
      </c>
      <c r="G1658" t="s">
        <v>1629</v>
      </c>
    </row>
    <row r="1659" spans="1:7">
      <c r="A1659" s="134" t="s">
        <v>364</v>
      </c>
      <c r="B1659" s="141" t="s">
        <v>365</v>
      </c>
      <c r="C1659" s="56">
        <v>45926</v>
      </c>
      <c r="D1659" s="43">
        <v>552</v>
      </c>
      <c r="G1659" t="s">
        <v>1629</v>
      </c>
    </row>
    <row r="1660" spans="1:7">
      <c r="A1660" s="746" t="s">
        <v>392</v>
      </c>
      <c r="B1660" s="304" t="s">
        <v>218</v>
      </c>
      <c r="C1660" s="56">
        <v>45926</v>
      </c>
      <c r="D1660" s="43">
        <v>551</v>
      </c>
      <c r="G1660" t="s">
        <v>1629</v>
      </c>
    </row>
    <row r="1661" spans="1:7">
      <c r="A1661" s="325" t="s">
        <v>270</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531</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575</v>
      </c>
      <c r="B1667" s="737" t="s">
        <v>131</v>
      </c>
      <c r="C1667" s="56">
        <v>45929</v>
      </c>
      <c r="D1667" s="43">
        <v>600</v>
      </c>
      <c r="F1667" s="43" t="s">
        <v>1689</v>
      </c>
      <c r="G1667" t="s">
        <v>1629</v>
      </c>
    </row>
    <row r="1668" spans="1:7">
      <c r="A1668" s="311" t="s">
        <v>578</v>
      </c>
      <c r="B1668" s="311" t="s">
        <v>131</v>
      </c>
      <c r="C1668" s="56">
        <v>45929</v>
      </c>
      <c r="D1668" s="155">
        <v>1002</v>
      </c>
      <c r="F1668" s="43" t="s">
        <v>1690</v>
      </c>
      <c r="G1668" t="s">
        <v>1629</v>
      </c>
    </row>
    <row r="1669" spans="1:7">
      <c r="A1669" s="134" t="s">
        <v>364</v>
      </c>
      <c r="B1669" s="141" t="s">
        <v>365</v>
      </c>
      <c r="C1669" s="56">
        <v>45929</v>
      </c>
      <c r="D1669" s="155">
        <v>1375</v>
      </c>
      <c r="G1669" t="s">
        <v>1629</v>
      </c>
    </row>
    <row r="1670" spans="1:7">
      <c r="A1670" s="746" t="s">
        <v>386</v>
      </c>
      <c r="B1670" s="304" t="s">
        <v>218</v>
      </c>
      <c r="C1670" s="56">
        <v>45929</v>
      </c>
      <c r="F1670" s="141" t="s">
        <v>1545</v>
      </c>
      <c r="G1670" t="s">
        <v>1629</v>
      </c>
    </row>
    <row r="1671" spans="1:7">
      <c r="A1671" s="305" t="s">
        <v>1119</v>
      </c>
      <c r="B1671" s="305" t="s">
        <v>1071</v>
      </c>
      <c r="C1671" s="56">
        <v>45929</v>
      </c>
      <c r="D1671" s="155">
        <v>1418</v>
      </c>
      <c r="G1671" t="s">
        <v>1629</v>
      </c>
    </row>
    <row r="1672" spans="1:7">
      <c r="A1672" s="43" t="s">
        <v>389</v>
      </c>
      <c r="B1672" s="318" t="s">
        <v>218</v>
      </c>
      <c r="C1672" s="56">
        <v>45929</v>
      </c>
      <c r="D1672" s="43">
        <v>479</v>
      </c>
      <c r="G1672" t="s">
        <v>1629</v>
      </c>
    </row>
    <row r="1673" spans="1:7">
      <c r="A1673" s="43" t="s">
        <v>392</v>
      </c>
      <c r="B1673" s="318" t="s">
        <v>218</v>
      </c>
      <c r="C1673" s="56">
        <v>45929</v>
      </c>
      <c r="D1673" s="43">
        <v>454</v>
      </c>
      <c r="G1673" t="s">
        <v>1629</v>
      </c>
    </row>
    <row r="1674" spans="1:7">
      <c r="A1674" s="311" t="s">
        <v>578</v>
      </c>
      <c r="B1674" s="311" t="s">
        <v>131</v>
      </c>
      <c r="C1674" s="56">
        <v>45930</v>
      </c>
      <c r="D1674" s="43">
        <v>268</v>
      </c>
      <c r="E1674" s="139">
        <v>413</v>
      </c>
      <c r="F1674" s="43" t="s">
        <v>1691</v>
      </c>
      <c r="G1674" t="s">
        <v>1629</v>
      </c>
    </row>
    <row r="1675" spans="1:7">
      <c r="A1675" s="88" t="s">
        <v>534</v>
      </c>
      <c r="B1675" s="398" t="s">
        <v>1071</v>
      </c>
      <c r="C1675" s="56">
        <v>45930</v>
      </c>
      <c r="D1675" s="43">
        <v>134</v>
      </c>
      <c r="G1675" t="s">
        <v>1629</v>
      </c>
    </row>
    <row r="1676" spans="1:7">
      <c r="A1676" s="88" t="s">
        <v>656</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575</v>
      </c>
      <c r="B1681" s="141" t="s">
        <v>1071</v>
      </c>
      <c r="C1681" s="310">
        <v>45930</v>
      </c>
      <c r="E1681" s="139">
        <v>886</v>
      </c>
      <c r="G1681" t="s">
        <v>1629</v>
      </c>
    </row>
    <row r="1682" spans="1:7">
      <c r="A1682" s="134" t="s">
        <v>364</v>
      </c>
      <c r="B1682" s="304" t="s">
        <v>365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392</v>
      </c>
      <c r="B1685" s="318" t="s">
        <v>218</v>
      </c>
      <c r="C1685" s="56">
        <v>45930</v>
      </c>
      <c r="D1685" s="43">
        <v>251</v>
      </c>
      <c r="G1685" t="s">
        <v>1629</v>
      </c>
    </row>
    <row r="1686" spans="1:7">
      <c r="A1686" s="525" t="s">
        <v>545</v>
      </c>
      <c r="B1686" s="349" t="s">
        <v>218</v>
      </c>
      <c r="C1686" s="56">
        <v>45930</v>
      </c>
      <c r="D1686" s="43">
        <v>665</v>
      </c>
      <c r="G1686" t="s">
        <v>1629</v>
      </c>
    </row>
    <row r="1687" spans="1:7">
      <c r="A1687" s="88" t="s">
        <v>1095</v>
      </c>
      <c r="B1687" s="398" t="s">
        <v>1071</v>
      </c>
      <c r="C1687" s="56">
        <v>45931</v>
      </c>
      <c r="D1687" s="43">
        <v>201</v>
      </c>
      <c r="G1687" t="s">
        <v>1695</v>
      </c>
    </row>
    <row r="1688" spans="1:7">
      <c r="A1688" s="88" t="s">
        <v>656</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592</v>
      </c>
      <c r="B1692" s="737" t="s">
        <v>131</v>
      </c>
      <c r="C1692" s="56">
        <v>45931</v>
      </c>
      <c r="D1692" s="155">
        <v>1118</v>
      </c>
      <c r="G1692" t="s">
        <v>1695</v>
      </c>
    </row>
    <row r="1693" spans="1:7">
      <c r="A1693" s="134" t="s">
        <v>364</v>
      </c>
      <c r="B1693" s="141" t="s">
        <v>365</v>
      </c>
      <c r="C1693" s="56">
        <v>45931</v>
      </c>
      <c r="D1693" s="43">
        <v>312</v>
      </c>
      <c r="G1693" t="s">
        <v>1695</v>
      </c>
    </row>
    <row r="1694" spans="1:7">
      <c r="A1694" s="551" t="s">
        <v>545</v>
      </c>
      <c r="B1694" s="141" t="s">
        <v>218</v>
      </c>
      <c r="C1694" s="56">
        <v>45931</v>
      </c>
      <c r="D1694" s="43">
        <v>753</v>
      </c>
      <c r="G1694" t="s">
        <v>1695</v>
      </c>
    </row>
    <row r="1695" spans="1:7">
      <c r="A1695" s="305" t="s">
        <v>392</v>
      </c>
      <c r="B1695" s="348" t="s">
        <v>218</v>
      </c>
      <c r="C1695" s="56">
        <v>45931</v>
      </c>
      <c r="D1695" s="43">
        <v>224</v>
      </c>
      <c r="G1695" t="s">
        <v>1695</v>
      </c>
    </row>
    <row r="1696" spans="1:7">
      <c r="A1696" s="134" t="s">
        <v>534</v>
      </c>
      <c r="B1696" s="311" t="s">
        <v>1071</v>
      </c>
      <c r="C1696" s="56">
        <v>45932</v>
      </c>
      <c r="D1696" s="43">
        <v>450</v>
      </c>
      <c r="G1696" t="s">
        <v>1695</v>
      </c>
    </row>
    <row r="1697" spans="1:7">
      <c r="A1697" s="324" t="s">
        <v>656</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592</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364</v>
      </c>
      <c r="B1703" s="141" t="s">
        <v>365</v>
      </c>
      <c r="C1703" s="56">
        <v>45932</v>
      </c>
      <c r="D1703" s="155">
        <v>1304</v>
      </c>
      <c r="G1703" t="s">
        <v>1695</v>
      </c>
    </row>
    <row r="1704" spans="1:7">
      <c r="A1704" s="305" t="s">
        <v>1119</v>
      </c>
      <c r="B1704" s="305" t="s">
        <v>1071</v>
      </c>
      <c r="C1704" s="56">
        <v>45932</v>
      </c>
      <c r="D1704" s="43">
        <v>614</v>
      </c>
      <c r="G1704" t="s">
        <v>1695</v>
      </c>
    </row>
    <row r="1705" spans="1:7">
      <c r="A1705" s="551" t="s">
        <v>545</v>
      </c>
      <c r="B1705" s="141" t="s">
        <v>218</v>
      </c>
      <c r="C1705" s="56">
        <v>45932</v>
      </c>
      <c r="D1705" s="43">
        <v>305</v>
      </c>
      <c r="G1705" t="s">
        <v>1695</v>
      </c>
    </row>
    <row r="1706" spans="1:7">
      <c r="A1706" s="305" t="s">
        <v>392</v>
      </c>
      <c r="B1706" s="348" t="s">
        <v>218</v>
      </c>
      <c r="C1706" s="56">
        <v>45932</v>
      </c>
      <c r="D1706" s="43">
        <v>789</v>
      </c>
      <c r="F1706" s="43" t="s">
        <v>1701</v>
      </c>
      <c r="G1706" t="s">
        <v>1695</v>
      </c>
    </row>
    <row r="1707" spans="1:7">
      <c r="A1707" s="141" t="s">
        <v>389</v>
      </c>
      <c r="B1707" s="141" t="s">
        <v>218</v>
      </c>
      <c r="C1707" s="56">
        <v>45932</v>
      </c>
      <c r="D1707" s="43">
        <v>170</v>
      </c>
      <c r="G1707" t="s">
        <v>1695</v>
      </c>
    </row>
    <row r="1708" spans="1:7">
      <c r="A1708" s="134" t="s">
        <v>534</v>
      </c>
      <c r="B1708" s="311" t="s">
        <v>1071</v>
      </c>
      <c r="C1708" s="56">
        <v>45933</v>
      </c>
      <c r="D1708" s="43">
        <v>352</v>
      </c>
      <c r="G1708" t="s">
        <v>1695</v>
      </c>
    </row>
    <row r="1709" spans="1:7">
      <c r="A1709" s="324" t="s">
        <v>1095</v>
      </c>
      <c r="B1709" s="311" t="s">
        <v>1071</v>
      </c>
      <c r="C1709" s="56">
        <v>45933</v>
      </c>
      <c r="D1709" s="43">
        <v>352</v>
      </c>
      <c r="G1709" t="s">
        <v>1695</v>
      </c>
    </row>
    <row r="1710" spans="1:7">
      <c r="A1710" s="324" t="s">
        <v>656</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364</v>
      </c>
      <c r="B1713" s="141" t="s">
        <v>365</v>
      </c>
      <c r="C1713" s="56">
        <v>45933</v>
      </c>
      <c r="D1713" s="43">
        <v>617</v>
      </c>
      <c r="G1713" t="s">
        <v>1695</v>
      </c>
    </row>
    <row r="1714" spans="1:7">
      <c r="A1714" s="305" t="s">
        <v>1119</v>
      </c>
      <c r="B1714" s="305" t="s">
        <v>1071</v>
      </c>
      <c r="C1714" s="56">
        <v>45933</v>
      </c>
      <c r="D1714" s="43">
        <v>486</v>
      </c>
      <c r="G1714" t="s">
        <v>1695</v>
      </c>
    </row>
    <row r="1715" spans="1:7">
      <c r="A1715" s="306" t="s">
        <v>392</v>
      </c>
      <c r="B1715" s="141" t="s">
        <v>218</v>
      </c>
      <c r="C1715" s="56">
        <v>45933</v>
      </c>
      <c r="F1715" s="43" t="s">
        <v>1704</v>
      </c>
      <c r="G1715" t="s">
        <v>1695</v>
      </c>
    </row>
    <row r="1716" spans="1:7">
      <c r="A1716" s="306" t="s">
        <v>389</v>
      </c>
      <c r="B1716" s="141" t="s">
        <v>218</v>
      </c>
      <c r="C1716" s="56">
        <v>45933</v>
      </c>
      <c r="F1716" s="43" t="s">
        <v>1704</v>
      </c>
      <c r="G1716" t="s">
        <v>1695</v>
      </c>
    </row>
    <row r="1717" spans="1:7">
      <c r="A1717" s="134" t="s">
        <v>1095</v>
      </c>
      <c r="B1717" s="311" t="s">
        <v>1071</v>
      </c>
      <c r="C1717" s="56">
        <v>45936</v>
      </c>
      <c r="D1717" s="43">
        <v>65</v>
      </c>
      <c r="G1717" t="s">
        <v>1695</v>
      </c>
    </row>
    <row r="1718" spans="1:7">
      <c r="A1718" s="583" t="s">
        <v>534</v>
      </c>
      <c r="B1718" s="311" t="s">
        <v>1071</v>
      </c>
      <c r="C1718" s="56">
        <v>45936</v>
      </c>
      <c r="D1718" s="43">
        <v>175</v>
      </c>
      <c r="G1718" t="s">
        <v>1695</v>
      </c>
    </row>
    <row r="1719" spans="1:7">
      <c r="A1719" s="583" t="s">
        <v>656</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592</v>
      </c>
      <c r="B1723" s="141" t="s">
        <v>131</v>
      </c>
      <c r="C1723" s="56">
        <v>45936</v>
      </c>
      <c r="D1723" s="155">
        <v>1174</v>
      </c>
      <c r="G1723" t="s">
        <v>1695</v>
      </c>
    </row>
    <row r="1724" spans="1:7">
      <c r="A1724" s="134" t="s">
        <v>364</v>
      </c>
      <c r="B1724" s="141" t="s">
        <v>365</v>
      </c>
      <c r="C1724" s="56">
        <v>45936</v>
      </c>
      <c r="D1724" s="43">
        <v>768</v>
      </c>
      <c r="G1724" t="s">
        <v>1695</v>
      </c>
    </row>
    <row r="1725" spans="1:7">
      <c r="A1725" s="305" t="s">
        <v>1119</v>
      </c>
      <c r="B1725" s="305" t="s">
        <v>865</v>
      </c>
      <c r="C1725" s="56">
        <v>45936</v>
      </c>
      <c r="D1725" s="43">
        <v>225</v>
      </c>
      <c r="G1725" t="s">
        <v>1695</v>
      </c>
    </row>
    <row r="1726" spans="1:7">
      <c r="A1726" s="549" t="s">
        <v>545</v>
      </c>
      <c r="B1726" s="306" t="s">
        <v>218</v>
      </c>
      <c r="C1726" s="56">
        <v>45936</v>
      </c>
      <c r="F1726" s="337" t="s">
        <v>1348</v>
      </c>
      <c r="G1726" t="s">
        <v>1695</v>
      </c>
    </row>
    <row r="1727" spans="1:7">
      <c r="A1727" s="311" t="s">
        <v>392</v>
      </c>
      <c r="B1727" s="311" t="s">
        <v>218</v>
      </c>
      <c r="C1727" s="56">
        <v>45936</v>
      </c>
      <c r="D1727" s="155">
        <v>1088</v>
      </c>
      <c r="F1727" s="43" t="s">
        <v>1699</v>
      </c>
      <c r="G1727" t="s">
        <v>1695</v>
      </c>
    </row>
    <row r="1728" spans="1:7">
      <c r="A1728" s="134" t="s">
        <v>534</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592</v>
      </c>
      <c r="B1733" s="141" t="s">
        <v>131</v>
      </c>
      <c r="C1733" s="310">
        <v>45937</v>
      </c>
      <c r="D1733" s="155">
        <v>1597</v>
      </c>
      <c r="F1733" s="43" t="s">
        <v>1708</v>
      </c>
      <c r="G1733" t="s">
        <v>1695</v>
      </c>
    </row>
    <row r="1734" spans="1:7">
      <c r="A1734" s="134" t="s">
        <v>364</v>
      </c>
      <c r="B1734" s="141" t="s">
        <v>365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392</v>
      </c>
      <c r="B1737" s="141" t="s">
        <v>218</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656</v>
      </c>
      <c r="B1740" s="346" t="s">
        <v>1692</v>
      </c>
      <c r="C1740" s="56">
        <v>45938</v>
      </c>
      <c r="F1740" s="316" t="s">
        <v>1709</v>
      </c>
      <c r="G1740" t="s">
        <v>1695</v>
      </c>
    </row>
    <row r="1741" spans="1:7">
      <c r="A1741" s="337" t="s">
        <v>157</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592</v>
      </c>
      <c r="B1743" s="141" t="s">
        <v>131</v>
      </c>
      <c r="C1743" s="56">
        <v>45938</v>
      </c>
      <c r="D1743" s="43">
        <v>308</v>
      </c>
      <c r="F1743" s="43" t="s">
        <v>1711</v>
      </c>
      <c r="G1743" t="s">
        <v>1695</v>
      </c>
    </row>
    <row r="1744" spans="1:7">
      <c r="A1744" s="647" t="s">
        <v>578</v>
      </c>
      <c r="B1744" s="141" t="s">
        <v>131</v>
      </c>
      <c r="C1744" s="56">
        <v>45938</v>
      </c>
      <c r="D1744" s="43">
        <v>334</v>
      </c>
      <c r="F1744" s="43" t="s">
        <v>1646</v>
      </c>
      <c r="G1744" t="s">
        <v>1695</v>
      </c>
    </row>
    <row r="1745" spans="1:7">
      <c r="A1745" s="304" t="s">
        <v>565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392</v>
      </c>
      <c r="B1748" s="317" t="s">
        <v>218</v>
      </c>
      <c r="C1748" s="56">
        <v>45938</v>
      </c>
      <c r="D1748" s="43">
        <v>512</v>
      </c>
      <c r="F1748" s="43" t="s">
        <v>1646</v>
      </c>
      <c r="G1748" t="s">
        <v>1695</v>
      </c>
    </row>
    <row r="1749" spans="1:7">
      <c r="A1749" s="593" t="s">
        <v>531</v>
      </c>
      <c r="B1749" s="398" t="s">
        <v>1071</v>
      </c>
      <c r="C1749" s="56">
        <v>45939</v>
      </c>
      <c r="D1749" s="43">
        <v>270</v>
      </c>
      <c r="G1749" t="s">
        <v>1695</v>
      </c>
    </row>
    <row r="1750" spans="1:7">
      <c r="A1750" s="88" t="s">
        <v>1089</v>
      </c>
      <c r="B1750" s="398" t="s">
        <v>1071</v>
      </c>
      <c r="C1750" s="56">
        <v>45939</v>
      </c>
      <c r="D1750" s="43">
        <v>229</v>
      </c>
      <c r="G1750" t="s">
        <v>1695</v>
      </c>
    </row>
    <row r="1751" spans="1:7">
      <c r="A1751" s="683" t="s">
        <v>157</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592</v>
      </c>
      <c r="B1753" s="395" t="s">
        <v>131</v>
      </c>
      <c r="C1753" s="56">
        <v>45939</v>
      </c>
      <c r="F1753" s="618" t="s">
        <v>1215</v>
      </c>
      <c r="G1753" t="s">
        <v>1695</v>
      </c>
    </row>
    <row r="1754" spans="1:7">
      <c r="A1754" s="148" t="s">
        <v>565</v>
      </c>
      <c r="B1754" s="115" t="s">
        <v>1510</v>
      </c>
      <c r="C1754" s="56">
        <v>45939</v>
      </c>
      <c r="F1754" s="43" t="s">
        <v>1567</v>
      </c>
      <c r="G1754" t="s">
        <v>1695</v>
      </c>
    </row>
    <row r="1755" spans="1:7">
      <c r="A1755" s="134" t="s">
        <v>364</v>
      </c>
      <c r="B1755" s="247" t="s">
        <v>365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392</v>
      </c>
      <c r="B1758" s="317" t="s">
        <v>218</v>
      </c>
      <c r="C1758" s="56">
        <v>45939</v>
      </c>
      <c r="D1758" s="43">
        <v>369</v>
      </c>
      <c r="G1758" t="s">
        <v>1695</v>
      </c>
    </row>
    <row r="1759" spans="1:7">
      <c r="A1759" s="115" t="s">
        <v>389</v>
      </c>
      <c r="B1759" s="317" t="s">
        <v>218</v>
      </c>
      <c r="C1759" s="56">
        <v>45939</v>
      </c>
      <c r="D1759" s="43">
        <v>725</v>
      </c>
      <c r="G1759" t="s">
        <v>1695</v>
      </c>
    </row>
    <row r="1760" spans="1:7">
      <c r="A1760" s="123" t="s">
        <v>531</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592</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369</v>
      </c>
      <c r="B1766" s="337" t="s">
        <v>1071</v>
      </c>
      <c r="C1766" s="56">
        <v>45940</v>
      </c>
      <c r="F1766" s="311" t="s">
        <v>1534</v>
      </c>
      <c r="G1766" t="s">
        <v>1695</v>
      </c>
    </row>
    <row r="1767" spans="1:7">
      <c r="A1767" s="315" t="s">
        <v>545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537</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157</v>
      </c>
      <c r="B1772" s="141" t="s">
        <v>131</v>
      </c>
      <c r="C1772" s="56">
        <v>45943</v>
      </c>
      <c r="D1772" s="43">
        <v>828</v>
      </c>
      <c r="G1772" t="s">
        <v>1695</v>
      </c>
    </row>
    <row r="1773" spans="1:7">
      <c r="A1773" s="786" t="s">
        <v>594</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372</v>
      </c>
      <c r="B1776" s="525" t="s">
        <v>1071</v>
      </c>
      <c r="C1776" s="56">
        <v>45943</v>
      </c>
      <c r="D1776" s="43">
        <v>60</v>
      </c>
      <c r="G1776" t="s">
        <v>1695</v>
      </c>
    </row>
    <row r="1777" spans="1:7">
      <c r="A1777" s="123" t="s">
        <v>1089</v>
      </c>
      <c r="B1777" s="311" t="s">
        <v>1071</v>
      </c>
      <c r="C1777" s="56">
        <v>45944</v>
      </c>
      <c r="D1777" s="43">
        <v>163</v>
      </c>
      <c r="G1777" t="s">
        <v>1695</v>
      </c>
    </row>
    <row r="1778" spans="1:7">
      <c r="A1778" s="616" t="s">
        <v>537</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157</v>
      </c>
      <c r="B1781" s="306" t="s">
        <v>131</v>
      </c>
      <c r="C1781" s="56">
        <v>45944</v>
      </c>
      <c r="D1781" s="43">
        <v>150</v>
      </c>
      <c r="G1781" t="s">
        <v>1695</v>
      </c>
    </row>
    <row r="1782" spans="1:7">
      <c r="A1782" s="805" t="s">
        <v>594</v>
      </c>
      <c r="B1782" s="141" t="s">
        <v>131</v>
      </c>
      <c r="C1782" s="310">
        <v>45944</v>
      </c>
      <c r="D1782" s="43">
        <v>510</v>
      </c>
      <c r="F1782" s="43" t="s">
        <v>1722</v>
      </c>
      <c r="G1782" t="s">
        <v>1695</v>
      </c>
    </row>
    <row r="1783" spans="1:7">
      <c r="A1783" s="805" t="s">
        <v>598</v>
      </c>
      <c r="B1783" s="141" t="s">
        <v>131</v>
      </c>
      <c r="C1783" s="310">
        <v>45944</v>
      </c>
      <c r="D1783" s="43">
        <v>974</v>
      </c>
      <c r="F1783" s="43" t="s">
        <v>1723</v>
      </c>
      <c r="G1783" t="s">
        <v>1695</v>
      </c>
    </row>
    <row r="1784" spans="1:7">
      <c r="A1784" s="315" t="s">
        <v>1124</v>
      </c>
      <c r="B1784" s="315" t="s">
        <v>449</v>
      </c>
      <c r="C1784" s="56">
        <v>45944</v>
      </c>
      <c r="D1784" s="155">
        <v>1603</v>
      </c>
      <c r="F1784" s="43" t="s">
        <v>1724</v>
      </c>
      <c r="G1784" t="s">
        <v>1695</v>
      </c>
    </row>
    <row r="1785" spans="1:7">
      <c r="A1785" s="311" t="s">
        <v>1119</v>
      </c>
      <c r="B1785" s="311" t="s">
        <v>1071</v>
      </c>
      <c r="C1785" s="56">
        <v>45944</v>
      </c>
      <c r="D1785" s="43">
        <v>144</v>
      </c>
      <c r="G1785" t="s">
        <v>1695</v>
      </c>
    </row>
    <row r="1786" spans="1:7">
      <c r="A1786" s="315" t="s">
        <v>382</v>
      </c>
      <c r="B1786" s="315" t="s">
        <v>218</v>
      </c>
      <c r="C1786" s="56">
        <v>45944</v>
      </c>
      <c r="D1786" s="43">
        <v>927</v>
      </c>
      <c r="F1786" s="43" t="s">
        <v>1702</v>
      </c>
      <c r="G1786" t="s">
        <v>1695</v>
      </c>
    </row>
    <row r="1787" spans="1:7">
      <c r="A1787" s="247" t="s">
        <v>372</v>
      </c>
      <c r="B1787" s="311" t="s">
        <v>1071</v>
      </c>
      <c r="C1787" s="56">
        <v>45944</v>
      </c>
      <c r="D1787" s="43">
        <v>219</v>
      </c>
      <c r="G1787" t="s">
        <v>1695</v>
      </c>
    </row>
    <row r="1788" spans="1:7">
      <c r="A1788" s="123" t="s">
        <v>1089</v>
      </c>
      <c r="B1788" s="311" t="s">
        <v>1071</v>
      </c>
      <c r="C1788" s="56">
        <v>45945</v>
      </c>
      <c r="D1788" s="43">
        <v>535</v>
      </c>
      <c r="G1788" t="s">
        <v>1695</v>
      </c>
    </row>
    <row r="1789" spans="1:7">
      <c r="A1789" s="616" t="s">
        <v>537</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598</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449</v>
      </c>
      <c r="C1793" s="56">
        <v>45945</v>
      </c>
      <c r="D1793" s="43">
        <v>791</v>
      </c>
      <c r="F1793" s="43" t="s">
        <v>1729</v>
      </c>
      <c r="G1793" t="s">
        <v>1695</v>
      </c>
    </row>
    <row r="1794" spans="1:7">
      <c r="A1794" s="306" t="s">
        <v>364</v>
      </c>
      <c r="B1794" s="311" t="s">
        <v>1071</v>
      </c>
      <c r="C1794" s="56">
        <v>45945</v>
      </c>
      <c r="D1794" s="43">
        <v>986</v>
      </c>
      <c r="G1794" t="s">
        <v>1695</v>
      </c>
    </row>
    <row r="1795" spans="1:7">
      <c r="A1795" s="306" t="s">
        <v>385</v>
      </c>
      <c r="B1795" s="348" t="s">
        <v>1730</v>
      </c>
      <c r="C1795" s="56">
        <v>45945</v>
      </c>
      <c r="D1795" s="155">
        <v>1457</v>
      </c>
      <c r="F1795" s="43" t="s">
        <v>1731</v>
      </c>
      <c r="G1795" t="s">
        <v>1695</v>
      </c>
    </row>
    <row r="1796" spans="1:7">
      <c r="A1796" s="311" t="s">
        <v>382</v>
      </c>
      <c r="B1796" s="337" t="s">
        <v>218</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537</v>
      </c>
      <c r="B1799" s="141" t="s">
        <v>1686</v>
      </c>
      <c r="C1799" s="310">
        <v>45946</v>
      </c>
      <c r="D1799" s="43">
        <v>487</v>
      </c>
      <c r="F1799" s="43" t="s">
        <v>1733</v>
      </c>
      <c r="G1799" t="s">
        <v>1695</v>
      </c>
    </row>
    <row r="1800" spans="1:7">
      <c r="A1800" s="934" t="s">
        <v>598</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449</v>
      </c>
      <c r="C1802" s="310">
        <v>45946</v>
      </c>
      <c r="D1802" s="155">
        <v>2803</v>
      </c>
      <c r="G1802" t="s">
        <v>1695</v>
      </c>
    </row>
    <row r="1803" spans="1:7">
      <c r="A1803" s="141" t="s">
        <v>157</v>
      </c>
      <c r="B1803" s="141" t="s">
        <v>131</v>
      </c>
      <c r="C1803" s="310">
        <v>45946</v>
      </c>
      <c r="D1803" s="43">
        <v>688</v>
      </c>
      <c r="F1803" s="43" t="s">
        <v>1536</v>
      </c>
      <c r="G1803" t="s">
        <v>1695</v>
      </c>
    </row>
    <row r="1804" spans="1:7">
      <c r="A1804" s="931" t="s">
        <v>270</v>
      </c>
      <c r="B1804" s="306" t="s">
        <v>1071</v>
      </c>
      <c r="C1804" s="310">
        <v>45946</v>
      </c>
      <c r="D1804" s="43">
        <v>170</v>
      </c>
      <c r="G1804" t="s">
        <v>1695</v>
      </c>
    </row>
    <row r="1805" spans="1:7">
      <c r="A1805" s="141" t="s">
        <v>385</v>
      </c>
      <c r="B1805" s="141" t="s">
        <v>1730</v>
      </c>
      <c r="C1805" s="310">
        <v>45946</v>
      </c>
      <c r="D1805" s="155">
        <v>1142</v>
      </c>
      <c r="F1805" s="43" t="s">
        <v>1736</v>
      </c>
      <c r="G1805" t="s">
        <v>1695</v>
      </c>
    </row>
    <row r="1806" spans="1:7">
      <c r="A1806" s="304" t="s">
        <v>382</v>
      </c>
      <c r="B1806" s="304" t="s">
        <v>218</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537</v>
      </c>
      <c r="B1809" s="141" t="s">
        <v>1686</v>
      </c>
      <c r="C1809" s="56">
        <v>45947</v>
      </c>
      <c r="D1809" s="43">
        <v>123</v>
      </c>
      <c r="F1809" s="43" t="s">
        <v>1651</v>
      </c>
      <c r="G1809" t="s">
        <v>1695</v>
      </c>
    </row>
    <row r="1810" spans="1:7">
      <c r="A1810" s="683" t="s">
        <v>592</v>
      </c>
      <c r="B1810" s="683" t="s">
        <v>1071</v>
      </c>
      <c r="C1810" s="56">
        <v>45947</v>
      </c>
      <c r="F1810" s="43" t="s">
        <v>1739</v>
      </c>
      <c r="G1810" t="s">
        <v>1695</v>
      </c>
    </row>
    <row r="1811" spans="1:7">
      <c r="A1811" s="148" t="s">
        <v>1124</v>
      </c>
      <c r="B1811" s="115" t="s">
        <v>449</v>
      </c>
      <c r="C1811" s="56">
        <v>45947</v>
      </c>
      <c r="F1811" s="43" t="s">
        <v>1740</v>
      </c>
      <c r="G1811" t="s">
        <v>1695</v>
      </c>
    </row>
    <row r="1812" spans="1:7">
      <c r="A1812" s="618" t="s">
        <v>385</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534</v>
      </c>
      <c r="B1814" s="759" t="s">
        <v>1071</v>
      </c>
      <c r="C1814" s="56">
        <v>45950</v>
      </c>
      <c r="D1814" s="43">
        <v>153</v>
      </c>
      <c r="F1814" s="948"/>
      <c r="G1814" t="s">
        <v>1695</v>
      </c>
    </row>
    <row r="1815" spans="1:7">
      <c r="A1815" s="946" t="s">
        <v>537</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449</v>
      </c>
      <c r="C1818" s="56">
        <v>45950</v>
      </c>
      <c r="D1818" s="155">
        <v>3343</v>
      </c>
      <c r="F1818" s="43" t="s">
        <v>1744</v>
      </c>
      <c r="G1818" t="s">
        <v>1695</v>
      </c>
    </row>
    <row r="1819" spans="1:7">
      <c r="A1819" s="949" t="s">
        <v>545</v>
      </c>
      <c r="B1819" s="950" t="s">
        <v>1071</v>
      </c>
      <c r="C1819" s="56">
        <v>45950</v>
      </c>
      <c r="D1819" s="43">
        <v>151</v>
      </c>
      <c r="G1819" t="s">
        <v>1695</v>
      </c>
    </row>
    <row r="1820" spans="1:7">
      <c r="A1820" s="759" t="s">
        <v>385</v>
      </c>
      <c r="B1820" s="759" t="s">
        <v>1730</v>
      </c>
      <c r="C1820" s="56">
        <v>45950</v>
      </c>
      <c r="D1820" s="155">
        <v>1186</v>
      </c>
      <c r="F1820" s="43" t="s">
        <v>1570</v>
      </c>
      <c r="G1820" t="s">
        <v>1695</v>
      </c>
    </row>
    <row r="1821" spans="1:7">
      <c r="A1821" s="947" t="s">
        <v>382</v>
      </c>
      <c r="B1821" s="947" t="s">
        <v>218</v>
      </c>
      <c r="C1821" s="56">
        <v>45950</v>
      </c>
      <c r="D1821" s="155">
        <v>1100</v>
      </c>
      <c r="G1821" t="s">
        <v>1695</v>
      </c>
    </row>
    <row r="1822" spans="1:7">
      <c r="A1822" s="965" t="s">
        <v>534</v>
      </c>
      <c r="B1822" s="958" t="s">
        <v>1071</v>
      </c>
      <c r="C1822" s="56">
        <v>45951</v>
      </c>
      <c r="D1822" s="155">
        <v>244</v>
      </c>
      <c r="G1822" t="s">
        <v>1695</v>
      </c>
    </row>
    <row r="1823" spans="1:7">
      <c r="A1823" s="88" t="s">
        <v>537</v>
      </c>
      <c r="B1823" s="953" t="s">
        <v>1686</v>
      </c>
      <c r="C1823" s="56">
        <v>45951</v>
      </c>
      <c r="D1823" s="43">
        <v>413</v>
      </c>
      <c r="F1823" s="43" t="s">
        <v>1164</v>
      </c>
      <c r="G1823" t="s">
        <v>1695</v>
      </c>
    </row>
    <row r="1824" spans="1:7">
      <c r="A1824" s="954" t="s">
        <v>598</v>
      </c>
      <c r="B1824" s="683" t="s">
        <v>131</v>
      </c>
      <c r="C1824" s="56">
        <v>45951</v>
      </c>
      <c r="D1824" s="43">
        <v>230</v>
      </c>
      <c r="F1824" s="43" t="s">
        <v>1745</v>
      </c>
      <c r="G1824" t="s">
        <v>1695</v>
      </c>
    </row>
    <row r="1825" spans="1:7">
      <c r="A1825" s="115" t="s">
        <v>1124</v>
      </c>
      <c r="B1825" s="115" t="s">
        <v>449</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604</v>
      </c>
      <c r="B1827" s="43" t="s">
        <v>131</v>
      </c>
      <c r="C1827" s="56">
        <v>45951</v>
      </c>
      <c r="D1827" s="155">
        <v>1182</v>
      </c>
      <c r="F1827" s="43" t="s">
        <v>1747</v>
      </c>
      <c r="G1827" t="s">
        <v>1695</v>
      </c>
    </row>
    <row r="1828" spans="1:7">
      <c r="A1828" s="322" t="s">
        <v>545</v>
      </c>
      <c r="B1828" s="958" t="s">
        <v>1071</v>
      </c>
      <c r="C1828" s="56">
        <v>45951</v>
      </c>
      <c r="D1828" s="43">
        <v>149</v>
      </c>
      <c r="G1828" t="s">
        <v>1695</v>
      </c>
    </row>
    <row r="1829" spans="1:7">
      <c r="A1829" s="733" t="s">
        <v>385</v>
      </c>
      <c r="B1829" s="115" t="s">
        <v>1730</v>
      </c>
      <c r="C1829" s="56">
        <v>45951</v>
      </c>
      <c r="D1829" s="155">
        <v>1564</v>
      </c>
      <c r="F1829" s="43" t="s">
        <v>1748</v>
      </c>
      <c r="G1829" t="s">
        <v>1695</v>
      </c>
    </row>
    <row r="1830" spans="1:7">
      <c r="A1830" s="43" t="s">
        <v>382</v>
      </c>
      <c r="B1830" s="141" t="s">
        <v>218</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537</v>
      </c>
      <c r="B1833" s="953" t="s">
        <v>1686</v>
      </c>
      <c r="C1833" s="56">
        <v>45952</v>
      </c>
      <c r="D1833" s="43">
        <v>190</v>
      </c>
      <c r="G1833" t="s">
        <v>1695</v>
      </c>
    </row>
    <row r="1834" spans="1:7">
      <c r="A1834" s="805" t="s">
        <v>1124</v>
      </c>
      <c r="B1834" s="805" t="s">
        <v>449</v>
      </c>
      <c r="C1834" s="56">
        <v>45952</v>
      </c>
      <c r="D1834" s="155">
        <v>2013</v>
      </c>
      <c r="F1834" s="320" t="s">
        <v>1750</v>
      </c>
      <c r="G1834" t="s">
        <v>1695</v>
      </c>
    </row>
    <row r="1835" spans="1:7">
      <c r="A1835" s="805" t="s">
        <v>604</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545</v>
      </c>
      <c r="B1837" s="966" t="s">
        <v>1071</v>
      </c>
      <c r="C1837" s="56">
        <v>45952</v>
      </c>
      <c r="F1837" s="306" t="s">
        <v>1753</v>
      </c>
      <c r="G1837" t="s">
        <v>1695</v>
      </c>
    </row>
    <row r="1838" spans="1:7">
      <c r="A1838" s="618" t="s">
        <v>385</v>
      </c>
      <c r="B1838" s="161" t="s">
        <v>1730</v>
      </c>
      <c r="C1838" s="56">
        <v>45952</v>
      </c>
      <c r="D1838" s="155">
        <v>1012</v>
      </c>
      <c r="F1838" s="43" t="s">
        <v>1754</v>
      </c>
      <c r="G1838" t="s">
        <v>1695</v>
      </c>
    </row>
    <row r="1839" spans="1:7">
      <c r="A1839" s="43" t="s">
        <v>382</v>
      </c>
      <c r="B1839" s="318" t="s">
        <v>218</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534</v>
      </c>
      <c r="B1842" s="973" t="s">
        <v>1071</v>
      </c>
      <c r="C1842" s="56">
        <v>45953</v>
      </c>
      <c r="D1842" s="43">
        <v>237</v>
      </c>
      <c r="G1842" t="s">
        <v>1695</v>
      </c>
    </row>
    <row r="1843" spans="1:7">
      <c r="A1843" s="331" t="s">
        <v>537</v>
      </c>
      <c r="B1843" s="247" t="s">
        <v>1686</v>
      </c>
      <c r="C1843" s="310">
        <v>45953</v>
      </c>
      <c r="D1843" s="43">
        <v>844</v>
      </c>
      <c r="F1843" s="43" t="s">
        <v>1756</v>
      </c>
      <c r="G1843" t="s">
        <v>1695</v>
      </c>
    </row>
    <row r="1844" spans="1:7">
      <c r="A1844" s="331" t="s">
        <v>537</v>
      </c>
      <c r="B1844" s="247" t="s">
        <v>1757</v>
      </c>
      <c r="C1844" s="310">
        <v>45953</v>
      </c>
      <c r="D1844" s="43">
        <v>350</v>
      </c>
      <c r="G1844" t="s">
        <v>1695</v>
      </c>
    </row>
    <row r="1845" spans="1:7">
      <c r="A1845" s="141" t="s">
        <v>1124</v>
      </c>
      <c r="B1845" s="304" t="s">
        <v>449</v>
      </c>
      <c r="C1845" s="56">
        <v>45953</v>
      </c>
      <c r="D1845" s="155">
        <v>1500</v>
      </c>
      <c r="F1845" s="43" t="s">
        <v>1758</v>
      </c>
      <c r="G1845" t="s">
        <v>1695</v>
      </c>
    </row>
    <row r="1846" spans="1:7">
      <c r="A1846" s="141" t="s">
        <v>604</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565</v>
      </c>
      <c r="B1848" s="398" t="s">
        <v>1071</v>
      </c>
      <c r="C1848" s="56">
        <v>45953</v>
      </c>
      <c r="F1848" s="311" t="s">
        <v>1567</v>
      </c>
      <c r="G1848" t="s">
        <v>1695</v>
      </c>
    </row>
    <row r="1849" spans="1:7">
      <c r="A1849" s="931" t="s">
        <v>545</v>
      </c>
      <c r="B1849" s="966" t="s">
        <v>1071</v>
      </c>
      <c r="C1849" s="56">
        <v>45953</v>
      </c>
      <c r="F1849" s="306" t="s">
        <v>1348</v>
      </c>
      <c r="G1849" t="s">
        <v>1695</v>
      </c>
    </row>
    <row r="1850" spans="1:7">
      <c r="A1850" s="618" t="s">
        <v>385</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537</v>
      </c>
      <c r="B1854" s="247" t="s">
        <v>1686</v>
      </c>
      <c r="C1854" s="56">
        <v>45954</v>
      </c>
      <c r="D1854" s="43">
        <v>142</v>
      </c>
      <c r="F1854" s="43" t="s">
        <v>1763</v>
      </c>
      <c r="G1854" t="s">
        <v>1695</v>
      </c>
    </row>
    <row r="1855" spans="1:7">
      <c r="A1855" s="88" t="s">
        <v>537</v>
      </c>
      <c r="B1855" s="247" t="s">
        <v>1757</v>
      </c>
      <c r="C1855" s="56">
        <v>45954</v>
      </c>
      <c r="D1855" s="43">
        <v>164</v>
      </c>
      <c r="F1855" s="43" t="s">
        <v>1764</v>
      </c>
      <c r="G1855" t="s">
        <v>1695</v>
      </c>
    </row>
    <row r="1856" spans="1:7">
      <c r="A1856" s="141" t="s">
        <v>1124</v>
      </c>
      <c r="B1856" s="304" t="s">
        <v>449</v>
      </c>
      <c r="C1856" s="56">
        <v>45954</v>
      </c>
      <c r="D1856" s="155">
        <v>1933</v>
      </c>
      <c r="G1856" t="s">
        <v>1695</v>
      </c>
    </row>
    <row r="1857" spans="1:7">
      <c r="A1857" s="931" t="s">
        <v>545</v>
      </c>
      <c r="B1857" s="966" t="s">
        <v>1071</v>
      </c>
      <c r="C1857" s="56">
        <v>45954</v>
      </c>
      <c r="F1857" s="43" t="s">
        <v>1765</v>
      </c>
      <c r="G1857" t="s">
        <v>1695</v>
      </c>
    </row>
    <row r="1858" spans="1:7">
      <c r="A1858" s="618" t="s">
        <v>383</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537</v>
      </c>
      <c r="B1861" s="247" t="s">
        <v>1686</v>
      </c>
      <c r="C1861" s="56">
        <v>45957</v>
      </c>
      <c r="F1861" s="43" t="s">
        <v>1164</v>
      </c>
      <c r="G1861" t="s">
        <v>1695</v>
      </c>
    </row>
    <row r="1862" spans="1:7">
      <c r="A1862" s="88" t="s">
        <v>537</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449</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604</v>
      </c>
      <c r="B1867" s="395" t="s">
        <v>131</v>
      </c>
      <c r="C1867" s="56">
        <v>45957</v>
      </c>
      <c r="D1867" s="155">
        <v>1310</v>
      </c>
      <c r="F1867" s="43" t="s">
        <v>1772</v>
      </c>
      <c r="G1867" t="s">
        <v>1695</v>
      </c>
    </row>
    <row r="1868" spans="1:7">
      <c r="A1868" s="169" t="s">
        <v>565</v>
      </c>
      <c r="B1868" s="169" t="s">
        <v>131</v>
      </c>
      <c r="C1868" s="56">
        <v>45957</v>
      </c>
      <c r="D1868" s="43">
        <v>270</v>
      </c>
      <c r="G1868" t="s">
        <v>1695</v>
      </c>
    </row>
    <row r="1869" spans="1:7">
      <c r="A1869" s="931" t="s">
        <v>270</v>
      </c>
      <c r="B1869" s="966" t="s">
        <v>1071</v>
      </c>
      <c r="C1869" s="56">
        <v>45957</v>
      </c>
      <c r="F1869" s="320" t="s">
        <v>1594</v>
      </c>
      <c r="G1869" t="s">
        <v>1695</v>
      </c>
    </row>
    <row r="1870" spans="1:7">
      <c r="A1870" s="618" t="s">
        <v>383</v>
      </c>
      <c r="B1870" s="161" t="s">
        <v>1730</v>
      </c>
      <c r="C1870" s="56">
        <v>45957</v>
      </c>
      <c r="D1870" s="155">
        <v>1323</v>
      </c>
      <c r="F1870" s="43" t="s">
        <v>1773</v>
      </c>
      <c r="G1870" t="s">
        <v>1695</v>
      </c>
    </row>
    <row r="1871" spans="1:7">
      <c r="A1871" s="43" t="s">
        <v>382</v>
      </c>
      <c r="B1871" s="318" t="s">
        <v>218</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537</v>
      </c>
      <c r="B1874" s="247" t="s">
        <v>1686</v>
      </c>
      <c r="C1874" s="56">
        <v>45958</v>
      </c>
      <c r="F1874" s="320" t="s">
        <v>1348</v>
      </c>
      <c r="G1874" t="s">
        <v>1695</v>
      </c>
    </row>
    <row r="1875" spans="1:7">
      <c r="A1875" s="88" t="s">
        <v>537</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449</v>
      </c>
      <c r="C1878" s="56">
        <v>45958</v>
      </c>
      <c r="D1878" s="155">
        <v>2077</v>
      </c>
      <c r="G1878" t="s">
        <v>1695</v>
      </c>
    </row>
    <row r="1879" spans="1:7">
      <c r="A1879" s="141" t="s">
        <v>596</v>
      </c>
      <c r="B1879" s="141" t="s">
        <v>131</v>
      </c>
      <c r="C1879" s="56">
        <v>45958</v>
      </c>
      <c r="D1879" s="155">
        <v>1509</v>
      </c>
      <c r="F1879" s="43" t="s">
        <v>1777</v>
      </c>
      <c r="G1879" t="s">
        <v>1695</v>
      </c>
    </row>
    <row r="1880" spans="1:7">
      <c r="A1880" s="967" t="s">
        <v>590</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565</v>
      </c>
      <c r="B1882" s="169" t="s">
        <v>1071</v>
      </c>
      <c r="C1882" s="56">
        <v>45958</v>
      </c>
      <c r="D1882" s="43">
        <v>60</v>
      </c>
      <c r="E1882" s="139">
        <v>886</v>
      </c>
      <c r="F1882" s="43" t="s">
        <v>1779</v>
      </c>
      <c r="G1882" t="s">
        <v>1695</v>
      </c>
    </row>
    <row r="1883" spans="1:7">
      <c r="A1883" s="618" t="s">
        <v>383</v>
      </c>
      <c r="B1883" s="161" t="s">
        <v>1730</v>
      </c>
      <c r="C1883" s="56">
        <v>45958</v>
      </c>
      <c r="D1883" s="155">
        <v>1516</v>
      </c>
      <c r="F1883" s="43" t="s">
        <v>1780</v>
      </c>
      <c r="G1883" t="s">
        <v>1695</v>
      </c>
    </row>
    <row r="1884" spans="1:7">
      <c r="A1884" s="43" t="s">
        <v>382</v>
      </c>
      <c r="B1884" s="318" t="s">
        <v>218</v>
      </c>
      <c r="C1884" s="56">
        <v>45958</v>
      </c>
      <c r="D1884" s="155">
        <v>1224</v>
      </c>
      <c r="G1884" t="s">
        <v>1695</v>
      </c>
    </row>
    <row r="1885" spans="1:7">
      <c r="A1885" s="43" t="s">
        <v>382</v>
      </c>
      <c r="B1885" s="655" t="s">
        <v>218</v>
      </c>
      <c r="C1885" s="56">
        <v>45958</v>
      </c>
      <c r="D1885" s="155">
        <v>423</v>
      </c>
      <c r="G1885" t="s">
        <v>1695</v>
      </c>
    </row>
    <row r="1886" spans="1:7">
      <c r="A1886" s="88" t="s">
        <v>531</v>
      </c>
      <c r="B1886" s="398" t="s">
        <v>1071</v>
      </c>
      <c r="C1886" s="56">
        <v>45959</v>
      </c>
      <c r="D1886" s="43">
        <v>171</v>
      </c>
      <c r="G1886" t="s">
        <v>1695</v>
      </c>
    </row>
    <row r="1887" spans="1:7">
      <c r="A1887" s="88" t="s">
        <v>537</v>
      </c>
      <c r="B1887" s="247" t="s">
        <v>1686</v>
      </c>
      <c r="C1887" s="56">
        <v>45959</v>
      </c>
      <c r="F1887" s="43" t="s">
        <v>1781</v>
      </c>
      <c r="G1887" t="s">
        <v>1695</v>
      </c>
    </row>
    <row r="1888" spans="1:7">
      <c r="A1888" s="88" t="s">
        <v>537</v>
      </c>
      <c r="B1888" s="247" t="s">
        <v>1782</v>
      </c>
      <c r="C1888" s="56">
        <v>45959</v>
      </c>
      <c r="D1888" s="155">
        <v>1147</v>
      </c>
      <c r="F1888" s="43" t="s">
        <v>1783</v>
      </c>
      <c r="G1888" t="s">
        <v>1695</v>
      </c>
    </row>
    <row r="1889" spans="1:7">
      <c r="A1889" s="88" t="s">
        <v>537</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449</v>
      </c>
      <c r="C1892" s="56">
        <v>45959</v>
      </c>
      <c r="D1892" s="155">
        <v>1096</v>
      </c>
      <c r="F1892" s="43" t="s">
        <v>1785</v>
      </c>
      <c r="G1892" t="s">
        <v>1695</v>
      </c>
    </row>
    <row r="1893" spans="1:7">
      <c r="A1893" s="756" t="s">
        <v>596</v>
      </c>
      <c r="B1893" s="655" t="s">
        <v>131</v>
      </c>
      <c r="C1893" s="56">
        <v>45959</v>
      </c>
      <c r="D1893" s="155">
        <v>1087</v>
      </c>
      <c r="F1893" s="43" t="s">
        <v>1786</v>
      </c>
      <c r="G1893" t="s">
        <v>1695</v>
      </c>
    </row>
    <row r="1894" spans="1:7">
      <c r="A1894" s="980" t="s">
        <v>383</v>
      </c>
      <c r="B1894" s="161" t="s">
        <v>1730</v>
      </c>
      <c r="C1894" s="56">
        <v>45959</v>
      </c>
      <c r="D1894" s="43">
        <v>790</v>
      </c>
      <c r="F1894" s="43" t="s">
        <v>1787</v>
      </c>
      <c r="G1894" t="s">
        <v>1695</v>
      </c>
    </row>
    <row r="1895" spans="1:7">
      <c r="A1895" s="43" t="s">
        <v>382</v>
      </c>
      <c r="B1895" s="655" t="s">
        <v>218</v>
      </c>
      <c r="C1895" s="56">
        <v>45959</v>
      </c>
      <c r="D1895" s="43">
        <v>343</v>
      </c>
      <c r="G1895" t="s">
        <v>1695</v>
      </c>
    </row>
    <row r="1896" spans="1:7">
      <c r="A1896" s="69" t="s">
        <v>378</v>
      </c>
      <c r="B1896" s="43" t="s">
        <v>218</v>
      </c>
      <c r="C1896" s="56">
        <v>45959</v>
      </c>
      <c r="D1896" s="155">
        <v>3179</v>
      </c>
      <c r="G1896" t="s">
        <v>1695</v>
      </c>
    </row>
    <row r="1897" spans="1:7">
      <c r="A1897" s="311" t="s">
        <v>364</v>
      </c>
      <c r="B1897" s="311" t="s">
        <v>1071</v>
      </c>
      <c r="C1897" s="56">
        <v>45959</v>
      </c>
      <c r="F1897" s="43" t="s">
        <v>1788</v>
      </c>
      <c r="G1897" t="s">
        <v>1695</v>
      </c>
    </row>
    <row r="1898" spans="1:7">
      <c r="A1898" s="315" t="s">
        <v>545</v>
      </c>
      <c r="B1898" s="315" t="s">
        <v>1071</v>
      </c>
      <c r="C1898" s="56">
        <v>45959</v>
      </c>
      <c r="E1898" s="321">
        <v>5475</v>
      </c>
      <c r="F1898" s="43" t="s">
        <v>1789</v>
      </c>
      <c r="G1898" t="s">
        <v>1695</v>
      </c>
    </row>
    <row r="1899" spans="1:7">
      <c r="A1899" s="88" t="s">
        <v>537</v>
      </c>
      <c r="B1899" s="247" t="s">
        <v>1686</v>
      </c>
      <c r="C1899" s="56">
        <v>45960</v>
      </c>
      <c r="F1899" s="320" t="s">
        <v>1790</v>
      </c>
      <c r="G1899" t="s">
        <v>1695</v>
      </c>
    </row>
    <row r="1900" spans="1:7">
      <c r="A1900" s="88" t="s">
        <v>537</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449</v>
      </c>
      <c r="C1903" s="56">
        <v>45960</v>
      </c>
      <c r="F1903" s="141" t="s">
        <v>1794</v>
      </c>
      <c r="G1903" t="s">
        <v>1695</v>
      </c>
    </row>
    <row r="1904" spans="1:7">
      <c r="A1904" s="306" t="s">
        <v>596</v>
      </c>
      <c r="B1904" s="318" t="s">
        <v>131</v>
      </c>
      <c r="C1904" s="56">
        <v>45960</v>
      </c>
      <c r="D1904" s="43">
        <v>777</v>
      </c>
      <c r="F1904" s="43" t="s">
        <v>1795</v>
      </c>
      <c r="G1904" t="s">
        <v>1695</v>
      </c>
    </row>
    <row r="1905" spans="1:7">
      <c r="A1905" s="43" t="s">
        <v>590</v>
      </c>
      <c r="B1905" s="994" t="s">
        <v>131</v>
      </c>
      <c r="C1905" s="56">
        <v>45960</v>
      </c>
      <c r="D1905" s="43">
        <v>394</v>
      </c>
      <c r="E1905" s="321">
        <v>1275</v>
      </c>
      <c r="F1905" s="43" t="s">
        <v>1796</v>
      </c>
      <c r="G1905" t="s">
        <v>1695</v>
      </c>
    </row>
    <row r="1906" spans="1:7">
      <c r="A1906" s="995" t="s">
        <v>622</v>
      </c>
      <c r="B1906" s="169" t="s">
        <v>131</v>
      </c>
      <c r="C1906" s="56">
        <v>45960</v>
      </c>
      <c r="D1906" s="43">
        <v>978</v>
      </c>
      <c r="G1906" t="s">
        <v>1695</v>
      </c>
    </row>
    <row r="1907" spans="1:7">
      <c r="A1907" s="169" t="s">
        <v>445</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594</v>
      </c>
      <c r="B1909" s="169" t="s">
        <v>131</v>
      </c>
      <c r="C1909" s="56">
        <v>45960</v>
      </c>
      <c r="D1909" s="139"/>
      <c r="E1909" s="43"/>
      <c r="F1909" s="154" t="s">
        <v>1797</v>
      </c>
      <c r="G1909" t="s">
        <v>1695</v>
      </c>
    </row>
    <row r="1910" spans="1:7">
      <c r="A1910" s="43" t="s">
        <v>382</v>
      </c>
      <c r="B1910" s="318" t="s">
        <v>218</v>
      </c>
      <c r="C1910" s="56">
        <v>45960</v>
      </c>
      <c r="E1910" s="253"/>
      <c r="F1910" s="615" t="s">
        <v>1385</v>
      </c>
      <c r="G1910" t="s">
        <v>1695</v>
      </c>
    </row>
    <row r="1911" spans="1:7">
      <c r="A1911" s="618" t="s">
        <v>383</v>
      </c>
      <c r="B1911" s="161" t="s">
        <v>1730</v>
      </c>
      <c r="C1911" s="56">
        <v>45960</v>
      </c>
      <c r="D1911" s="43">
        <v>930</v>
      </c>
      <c r="F1911" s="43" t="s">
        <v>1699</v>
      </c>
      <c r="G1911" t="s">
        <v>1695</v>
      </c>
    </row>
    <row r="1912" spans="1:7">
      <c r="A1912" s="247" t="s">
        <v>225</v>
      </c>
      <c r="B1912" s="157" t="s">
        <v>1798</v>
      </c>
      <c r="C1912" s="56">
        <v>45960</v>
      </c>
      <c r="D1912" s="43">
        <v>346</v>
      </c>
      <c r="G1912" t="s">
        <v>1695</v>
      </c>
    </row>
    <row r="1913" spans="1:7">
      <c r="A1913" s="247" t="s">
        <v>364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537</v>
      </c>
      <c r="B1915" s="247" t="s">
        <v>1686</v>
      </c>
      <c r="C1915" s="56">
        <v>45961</v>
      </c>
      <c r="F1915" s="320" t="s">
        <v>1371</v>
      </c>
      <c r="G1915" t="s">
        <v>1695</v>
      </c>
    </row>
    <row r="1916" spans="1:7">
      <c r="A1916" s="88" t="s">
        <v>537</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449</v>
      </c>
      <c r="C1919" s="56">
        <v>45961</v>
      </c>
      <c r="E1919" s="321">
        <v>1428</v>
      </c>
      <c r="F1919" s="69"/>
      <c r="G1919" t="s">
        <v>1695</v>
      </c>
    </row>
    <row r="1920" spans="1:7">
      <c r="A1920" s="141" t="s">
        <v>596</v>
      </c>
      <c r="B1920" s="141" t="s">
        <v>131</v>
      </c>
      <c r="C1920" s="56">
        <v>45961</v>
      </c>
      <c r="F1920" s="69" t="s">
        <v>1802</v>
      </c>
      <c r="G1920" t="s">
        <v>1695</v>
      </c>
    </row>
    <row r="1921" spans="1:7">
      <c r="A1921" s="43" t="s">
        <v>596</v>
      </c>
      <c r="B1921" s="395" t="s">
        <v>1071</v>
      </c>
      <c r="C1921" s="56">
        <v>45961</v>
      </c>
      <c r="E1921" s="321">
        <v>1862</v>
      </c>
      <c r="F1921" s="618" t="s">
        <v>1518</v>
      </c>
      <c r="G1921" t="s">
        <v>1695</v>
      </c>
    </row>
    <row r="1922" spans="1:7">
      <c r="A1922" s="43" t="s">
        <v>559</v>
      </c>
      <c r="B1922" s="169" t="s">
        <v>1071</v>
      </c>
      <c r="C1922" s="56">
        <v>45961</v>
      </c>
      <c r="D1922" s="43">
        <v>60</v>
      </c>
      <c r="G1922" t="s">
        <v>1695</v>
      </c>
    </row>
    <row r="1923" spans="1:7">
      <c r="A1923" s="618" t="s">
        <v>383</v>
      </c>
      <c r="B1923" s="161" t="s">
        <v>1730</v>
      </c>
      <c r="C1923" s="56">
        <v>45961</v>
      </c>
      <c r="D1923" s="43">
        <v>408</v>
      </c>
      <c r="F1923" s="43" t="s">
        <v>1803</v>
      </c>
      <c r="G1923" t="s">
        <v>1695</v>
      </c>
    </row>
    <row r="1924" spans="1:7">
      <c r="A1924" s="43" t="s">
        <v>225</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537</v>
      </c>
      <c r="B1927" s="315" t="s">
        <v>1782</v>
      </c>
      <c r="C1927" s="56">
        <v>45964</v>
      </c>
      <c r="F1927" s="320" t="s">
        <v>1455</v>
      </c>
      <c r="G1927" t="s">
        <v>1805</v>
      </c>
    </row>
    <row r="1928" spans="1:7">
      <c r="A1928" s="304" t="s">
        <v>622</v>
      </c>
      <c r="B1928" s="349" t="s">
        <v>131</v>
      </c>
      <c r="C1928" s="56">
        <v>45964</v>
      </c>
      <c r="D1928" s="155">
        <v>1420</v>
      </c>
      <c r="F1928" s="43" t="s">
        <v>1517</v>
      </c>
      <c r="G1928" t="s">
        <v>1805</v>
      </c>
    </row>
    <row r="1929" spans="1:7">
      <c r="A1929" s="346" t="s">
        <v>604</v>
      </c>
      <c r="B1929" s="349" t="s">
        <v>131</v>
      </c>
      <c r="C1929" s="56">
        <v>45964</v>
      </c>
      <c r="D1929" s="43">
        <v>701</v>
      </c>
      <c r="F1929" s="43" t="s">
        <v>1638</v>
      </c>
      <c r="G1929" t="s">
        <v>1805</v>
      </c>
    </row>
    <row r="1930" spans="1:7">
      <c r="A1930" s="141" t="s">
        <v>602</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445</v>
      </c>
      <c r="B1932" s="304" t="s">
        <v>1071</v>
      </c>
      <c r="C1932" s="56">
        <v>45964</v>
      </c>
      <c r="D1932" s="43">
        <v>259</v>
      </c>
      <c r="G1932" t="s">
        <v>1805</v>
      </c>
    </row>
    <row r="1933" spans="1:7">
      <c r="A1933" s="141" t="s">
        <v>944</v>
      </c>
      <c r="B1933" s="318" t="s">
        <v>1730</v>
      </c>
      <c r="C1933" s="56">
        <v>45964</v>
      </c>
      <c r="D1933" s="43">
        <v>463</v>
      </c>
      <c r="G1933" t="s">
        <v>1805</v>
      </c>
    </row>
    <row r="1934" spans="1:7">
      <c r="A1934" s="305" t="s">
        <v>378</v>
      </c>
      <c r="B1934" s="304" t="s">
        <v>218</v>
      </c>
      <c r="C1934" s="56">
        <v>45964</v>
      </c>
      <c r="D1934" s="43">
        <v>882</v>
      </c>
      <c r="F1934" s="43" t="s">
        <v>1808</v>
      </c>
      <c r="G1934" t="s">
        <v>1805</v>
      </c>
    </row>
    <row r="1935" spans="1:7">
      <c r="A1935" s="141" t="s">
        <v>364</v>
      </c>
      <c r="B1935" s="349" t="s">
        <v>1071</v>
      </c>
      <c r="C1935" s="56">
        <v>45964</v>
      </c>
      <c r="F1935" s="43" t="s">
        <v>1541</v>
      </c>
      <c r="G1935" t="s">
        <v>1805</v>
      </c>
    </row>
    <row r="1936" spans="1:7">
      <c r="A1936" s="141" t="s">
        <v>364</v>
      </c>
      <c r="B1936" s="349" t="s">
        <v>1809</v>
      </c>
      <c r="C1936" s="56">
        <v>45964</v>
      </c>
      <c r="E1936" s="321">
        <v>3846</v>
      </c>
      <c r="F1936" s="43" t="s">
        <v>1810</v>
      </c>
      <c r="G1936" t="s">
        <v>1805</v>
      </c>
    </row>
    <row r="1937" spans="1:7">
      <c r="A1937" s="141" t="s">
        <v>364</v>
      </c>
      <c r="B1937" s="349" t="s">
        <v>365</v>
      </c>
      <c r="C1937" s="56">
        <v>45964</v>
      </c>
      <c r="F1937" s="923" t="s">
        <v>1811</v>
      </c>
      <c r="G1937" t="s">
        <v>1805</v>
      </c>
    </row>
    <row r="1938" spans="1:7">
      <c r="A1938" s="141" t="s">
        <v>395</v>
      </c>
      <c r="B1938" s="1003" t="s">
        <v>1071</v>
      </c>
      <c r="C1938" s="56">
        <v>45964</v>
      </c>
      <c r="D1938" s="43">
        <v>207</v>
      </c>
      <c r="G1938" t="s">
        <v>1805</v>
      </c>
    </row>
    <row r="1939" spans="1:7">
      <c r="A1939" s="141" t="s">
        <v>469</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537</v>
      </c>
      <c r="B1941" s="953" t="s">
        <v>1782</v>
      </c>
      <c r="C1941" s="56">
        <v>45965</v>
      </c>
      <c r="F1941" s="925" t="s">
        <v>1455</v>
      </c>
      <c r="G1941" t="s">
        <v>1805</v>
      </c>
    </row>
    <row r="1942" spans="1:7">
      <c r="A1942" s="148" t="s">
        <v>540</v>
      </c>
      <c r="B1942" s="148" t="s">
        <v>1596</v>
      </c>
      <c r="C1942" s="56">
        <v>45965</v>
      </c>
      <c r="D1942" s="43">
        <v>363</v>
      </c>
      <c r="G1942" t="s">
        <v>1805</v>
      </c>
    </row>
    <row r="1943" spans="1:7">
      <c r="A1943" s="148" t="s">
        <v>540</v>
      </c>
      <c r="B1943" s="148" t="s">
        <v>229</v>
      </c>
      <c r="C1943" s="56">
        <v>45965</v>
      </c>
      <c r="D1943" s="43">
        <v>778</v>
      </c>
      <c r="G1943" t="s">
        <v>1805</v>
      </c>
    </row>
    <row r="1944" spans="1:7">
      <c r="A1944" s="148" t="s">
        <v>540</v>
      </c>
      <c r="B1944" s="43" t="s">
        <v>1686</v>
      </c>
      <c r="C1944" s="56">
        <v>45965</v>
      </c>
      <c r="D1944" s="43">
        <v>550</v>
      </c>
      <c r="G1944" t="s">
        <v>1805</v>
      </c>
    </row>
    <row r="1945" spans="1:7">
      <c r="A1945" s="967" t="s">
        <v>602</v>
      </c>
      <c r="B1945" s="43" t="s">
        <v>131</v>
      </c>
      <c r="C1945" s="56">
        <v>45965</v>
      </c>
      <c r="D1945" s="155">
        <v>1120</v>
      </c>
      <c r="F1945" s="43" t="s">
        <v>1813</v>
      </c>
      <c r="G1945" t="s">
        <v>1805</v>
      </c>
    </row>
    <row r="1946" spans="1:7">
      <c r="A1946" s="141" t="s">
        <v>622</v>
      </c>
      <c r="B1946" s="141" t="s">
        <v>131</v>
      </c>
      <c r="C1946" s="56">
        <v>45965</v>
      </c>
      <c r="D1946" s="43">
        <v>990</v>
      </c>
      <c r="F1946" s="43" t="s">
        <v>1210</v>
      </c>
      <c r="G1946" t="s">
        <v>1805</v>
      </c>
    </row>
    <row r="1947" spans="1:7">
      <c r="A1947" s="43" t="s">
        <v>445</v>
      </c>
      <c r="B1947" s="43" t="s">
        <v>1814</v>
      </c>
      <c r="C1947" s="56">
        <v>45965</v>
      </c>
      <c r="D1947" s="43">
        <v>817</v>
      </c>
      <c r="G1947" t="s">
        <v>1805</v>
      </c>
    </row>
    <row r="1948" spans="1:7">
      <c r="A1948" s="43" t="s">
        <v>445</v>
      </c>
      <c r="B1948" s="43" t="s">
        <v>1071</v>
      </c>
      <c r="C1948" s="56">
        <v>45965</v>
      </c>
      <c r="D1948" s="43">
        <v>270</v>
      </c>
      <c r="G1948" t="s">
        <v>1805</v>
      </c>
    </row>
    <row r="1949" spans="1:7">
      <c r="A1949" s="618" t="s">
        <v>944</v>
      </c>
      <c r="B1949" s="43" t="s">
        <v>1730</v>
      </c>
      <c r="C1949" s="56">
        <v>45965</v>
      </c>
      <c r="D1949" s="43">
        <v>633</v>
      </c>
      <c r="G1949" t="s">
        <v>1805</v>
      </c>
    </row>
    <row r="1950" spans="1:7">
      <c r="A1950" s="43" t="s">
        <v>225</v>
      </c>
      <c r="B1950" s="141" t="s">
        <v>1804</v>
      </c>
      <c r="C1950" s="56">
        <v>45965</v>
      </c>
      <c r="D1950" s="43">
        <v>379</v>
      </c>
      <c r="F1950" s="43" t="s">
        <v>1815</v>
      </c>
      <c r="G1950" t="s">
        <v>1805</v>
      </c>
    </row>
    <row r="1951" spans="1:7">
      <c r="A1951" s="148" t="s">
        <v>378</v>
      </c>
      <c r="B1951" s="43" t="s">
        <v>218</v>
      </c>
      <c r="C1951" s="56">
        <v>45965</v>
      </c>
      <c r="D1951" s="155">
        <v>1072</v>
      </c>
      <c r="F1951" s="43" t="s">
        <v>1816</v>
      </c>
      <c r="G1951" t="s">
        <v>1805</v>
      </c>
    </row>
    <row r="1952" spans="1:7">
      <c r="A1952" s="1005" t="s">
        <v>385</v>
      </c>
      <c r="B1952" s="756" t="s">
        <v>1730</v>
      </c>
      <c r="C1952" s="56">
        <v>45965</v>
      </c>
      <c r="F1952" s="923" t="s">
        <v>1229</v>
      </c>
      <c r="G1952" t="s">
        <v>1805</v>
      </c>
    </row>
    <row r="1953" spans="1:7">
      <c r="A1953" s="371" t="s">
        <v>561</v>
      </c>
      <c r="B1953" s="115" t="s">
        <v>1071</v>
      </c>
      <c r="C1953" s="56">
        <v>45965</v>
      </c>
      <c r="E1953" s="201"/>
      <c r="F1953" s="923" t="s">
        <v>1512</v>
      </c>
      <c r="G1953" t="s">
        <v>1805</v>
      </c>
    </row>
    <row r="1954" spans="1:7">
      <c r="A1954" s="247" t="s">
        <v>469</v>
      </c>
      <c r="B1954" s="43" t="s">
        <v>131</v>
      </c>
      <c r="C1954" s="56">
        <v>45965</v>
      </c>
      <c r="D1954" s="321">
        <v>3910</v>
      </c>
      <c r="E1954" s="43"/>
      <c r="F1954" s="154" t="s">
        <v>1817</v>
      </c>
      <c r="G1954" t="s">
        <v>1805</v>
      </c>
    </row>
    <row r="1955" spans="1:7">
      <c r="A1955" s="247" t="s">
        <v>310</v>
      </c>
      <c r="B1955" s="43" t="s">
        <v>131</v>
      </c>
      <c r="C1955" s="56">
        <v>45965</v>
      </c>
      <c r="D1955" s="139">
        <v>372</v>
      </c>
      <c r="E1955" s="43"/>
      <c r="F1955" s="154"/>
      <c r="G1955" t="s">
        <v>1805</v>
      </c>
    </row>
    <row r="1956" spans="1:7">
      <c r="A1956" s="305" t="s">
        <v>540</v>
      </c>
      <c r="B1956" s="305" t="s">
        <v>1596</v>
      </c>
      <c r="C1956" s="56">
        <v>45966</v>
      </c>
      <c r="D1956" s="155">
        <v>1113</v>
      </c>
      <c r="E1956" s="253"/>
      <c r="F1956" s="169"/>
      <c r="G1956" t="s">
        <v>1805</v>
      </c>
    </row>
    <row r="1957" spans="1:7">
      <c r="A1957" s="311" t="s">
        <v>540</v>
      </c>
      <c r="B1957" s="311" t="s">
        <v>229</v>
      </c>
      <c r="C1957" s="56">
        <v>45966</v>
      </c>
      <c r="D1957" s="43">
        <v>885</v>
      </c>
      <c r="G1957" t="s">
        <v>1805</v>
      </c>
    </row>
    <row r="1958" spans="1:7">
      <c r="A1958" s="141" t="s">
        <v>602</v>
      </c>
      <c r="B1958" s="141" t="s">
        <v>131</v>
      </c>
      <c r="C1958" s="56">
        <v>45966</v>
      </c>
      <c r="D1958" s="155">
        <v>1488</v>
      </c>
      <c r="F1958" s="43" t="s">
        <v>1818</v>
      </c>
      <c r="G1958" t="s">
        <v>1805</v>
      </c>
    </row>
    <row r="1959" spans="1:7">
      <c r="A1959" s="304" t="s">
        <v>622</v>
      </c>
      <c r="B1959" s="304" t="s">
        <v>131</v>
      </c>
      <c r="C1959" s="56">
        <v>45966</v>
      </c>
      <c r="D1959" s="43">
        <v>549</v>
      </c>
      <c r="F1959" s="43" t="s">
        <v>1232</v>
      </c>
      <c r="G1959" t="s">
        <v>1805</v>
      </c>
    </row>
    <row r="1960" spans="1:7">
      <c r="A1960" s="304" t="s">
        <v>445</v>
      </c>
      <c r="B1960" s="304" t="s">
        <v>1814</v>
      </c>
      <c r="C1960" s="56">
        <v>45966</v>
      </c>
      <c r="D1960" s="155">
        <v>1377</v>
      </c>
      <c r="G1960" t="s">
        <v>1805</v>
      </c>
    </row>
    <row r="1961" spans="1:7">
      <c r="A1961" s="304" t="s">
        <v>445</v>
      </c>
      <c r="B1961" s="304" t="s">
        <v>1071</v>
      </c>
      <c r="C1961" s="56">
        <v>45966</v>
      </c>
      <c r="D1961" s="43">
        <v>829</v>
      </c>
      <c r="G1961" t="s">
        <v>1805</v>
      </c>
    </row>
    <row r="1962" spans="1:7">
      <c r="A1962" s="304" t="s">
        <v>625</v>
      </c>
      <c r="B1962" s="304" t="s">
        <v>131</v>
      </c>
      <c r="C1962" s="56">
        <v>45966</v>
      </c>
      <c r="D1962" s="155">
        <v>1031</v>
      </c>
      <c r="G1962" t="s">
        <v>1805</v>
      </c>
    </row>
    <row r="1963" spans="1:7">
      <c r="A1963" s="141" t="s">
        <v>944</v>
      </c>
      <c r="B1963" s="141" t="s">
        <v>1730</v>
      </c>
      <c r="C1963" s="56">
        <v>45966</v>
      </c>
      <c r="D1963" s="43">
        <v>625</v>
      </c>
      <c r="G1963" t="s">
        <v>1805</v>
      </c>
    </row>
    <row r="1964" spans="1:7">
      <c r="A1964" s="304" t="s">
        <v>225</v>
      </c>
      <c r="B1964" s="304" t="s">
        <v>1804</v>
      </c>
      <c r="C1964" s="56">
        <v>45966</v>
      </c>
      <c r="D1964" s="43">
        <v>208</v>
      </c>
      <c r="F1964" s="43" t="s">
        <v>1151</v>
      </c>
      <c r="G1964" t="s">
        <v>1805</v>
      </c>
    </row>
    <row r="1965" spans="1:7">
      <c r="A1965" s="305" t="s">
        <v>378</v>
      </c>
      <c r="B1965" s="304" t="s">
        <v>218</v>
      </c>
      <c r="C1965" s="56">
        <v>45966</v>
      </c>
      <c r="D1965" s="155">
        <v>1034</v>
      </c>
      <c r="G1965" t="s">
        <v>1805</v>
      </c>
    </row>
    <row r="1966" spans="1:7">
      <c r="A1966" s="311" t="s">
        <v>372</v>
      </c>
      <c r="B1966" s="1006" t="s">
        <v>1510</v>
      </c>
      <c r="C1966" s="56">
        <v>45966</v>
      </c>
      <c r="D1966" s="43">
        <v>150</v>
      </c>
      <c r="G1966" t="s">
        <v>1805</v>
      </c>
    </row>
    <row r="1967" spans="1:7">
      <c r="A1967" s="247" t="s">
        <v>364</v>
      </c>
      <c r="B1967" s="157" t="s">
        <v>1809</v>
      </c>
      <c r="C1967" s="56">
        <v>45966</v>
      </c>
      <c r="E1967" s="1011">
        <v>13112</v>
      </c>
      <c r="F1967" s="115" t="s">
        <v>1819</v>
      </c>
      <c r="G1967" t="s">
        <v>1805</v>
      </c>
    </row>
    <row r="1968" spans="1:7">
      <c r="A1968" s="247" t="s">
        <v>469</v>
      </c>
      <c r="B1968" s="304" t="s">
        <v>131</v>
      </c>
      <c r="C1968" s="56">
        <v>45966</v>
      </c>
      <c r="D1968" s="139">
        <v>346</v>
      </c>
      <c r="E1968" s="155"/>
      <c r="F1968" s="43" t="s">
        <v>1512</v>
      </c>
      <c r="G1968" t="s">
        <v>1805</v>
      </c>
    </row>
    <row r="1969" spans="1:7">
      <c r="A1969" s="371" t="s">
        <v>310</v>
      </c>
      <c r="B1969" s="304" t="s">
        <v>131</v>
      </c>
      <c r="C1969" s="56">
        <v>45966</v>
      </c>
      <c r="D1969" s="139">
        <v>656</v>
      </c>
      <c r="E1969" s="155"/>
      <c r="G1969" t="s">
        <v>1805</v>
      </c>
    </row>
    <row r="1970" spans="1:7">
      <c r="A1970" s="371" t="s">
        <v>460</v>
      </c>
      <c r="B1970" s="304" t="s">
        <v>131</v>
      </c>
      <c r="C1970" s="56">
        <v>45966</v>
      </c>
      <c r="D1970" s="321">
        <v>2985</v>
      </c>
      <c r="E1970" s="155"/>
      <c r="F1970" s="43" t="s">
        <v>1820</v>
      </c>
      <c r="G1970" t="s">
        <v>1805</v>
      </c>
    </row>
    <row r="1971" spans="1:7">
      <c r="A1971" s="148" t="s">
        <v>540</v>
      </c>
      <c r="B1971" s="148" t="s">
        <v>1596</v>
      </c>
      <c r="C1971" s="56">
        <v>45967</v>
      </c>
      <c r="D1971" s="139"/>
      <c r="E1971" s="43"/>
      <c r="F1971" s="141" t="s">
        <v>1821</v>
      </c>
      <c r="G1971" t="s">
        <v>1805</v>
      </c>
    </row>
    <row r="1972" spans="1:7">
      <c r="A1972" s="148" t="s">
        <v>540</v>
      </c>
      <c r="B1972" s="148" t="s">
        <v>1822</v>
      </c>
      <c r="C1972" s="56">
        <v>45967</v>
      </c>
      <c r="D1972" s="43">
        <v>760</v>
      </c>
      <c r="E1972" s="253"/>
      <c r="F1972" s="169"/>
      <c r="G1972" t="s">
        <v>1805</v>
      </c>
    </row>
    <row r="1973" spans="1:7">
      <c r="A1973" s="967" t="s">
        <v>602</v>
      </c>
      <c r="B1973" s="43" t="s">
        <v>131</v>
      </c>
      <c r="C1973" s="56">
        <v>45967</v>
      </c>
      <c r="D1973" s="43">
        <v>954</v>
      </c>
      <c r="F1973" s="43" t="s">
        <v>1823</v>
      </c>
      <c r="G1973" t="s">
        <v>1805</v>
      </c>
    </row>
    <row r="1974" spans="1:7">
      <c r="A1974" s="43" t="s">
        <v>445</v>
      </c>
      <c r="B1974" s="43" t="s">
        <v>1814</v>
      </c>
      <c r="C1974" s="56">
        <v>45967</v>
      </c>
      <c r="D1974" s="43">
        <v>183</v>
      </c>
      <c r="G1974" t="s">
        <v>1805</v>
      </c>
    </row>
    <row r="1975" spans="1:7">
      <c r="A1975" s="43" t="s">
        <v>445</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225</v>
      </c>
      <c r="B1977" s="141" t="s">
        <v>1804</v>
      </c>
      <c r="C1977" s="56">
        <v>45967</v>
      </c>
      <c r="F1977" s="387" t="s">
        <v>1825</v>
      </c>
      <c r="G1977" t="s">
        <v>1805</v>
      </c>
    </row>
    <row r="1978" spans="1:7">
      <c r="A1978" s="148" t="s">
        <v>378</v>
      </c>
      <c r="B1978" s="43" t="s">
        <v>218</v>
      </c>
      <c r="C1978" s="56">
        <v>45967</v>
      </c>
      <c r="D1978" s="43">
        <v>209</v>
      </c>
      <c r="G1978" t="s">
        <v>1805</v>
      </c>
    </row>
    <row r="1979" spans="1:7">
      <c r="A1979" s="618" t="s">
        <v>394</v>
      </c>
      <c r="B1979" s="756" t="s">
        <v>1730</v>
      </c>
      <c r="C1979" s="56">
        <v>45967</v>
      </c>
      <c r="D1979" s="155">
        <v>1063</v>
      </c>
      <c r="G1979" t="s">
        <v>1805</v>
      </c>
    </row>
    <row r="1980" spans="1:7">
      <c r="A1980" s="733" t="s">
        <v>460</v>
      </c>
      <c r="B1980" s="43" t="s">
        <v>131</v>
      </c>
      <c r="C1980" s="56">
        <v>45967</v>
      </c>
      <c r="D1980" s="155">
        <v>2373</v>
      </c>
      <c r="F1980" s="43" t="s">
        <v>1826</v>
      </c>
      <c r="G1980" t="s">
        <v>1805</v>
      </c>
    </row>
    <row r="1981" spans="1:7">
      <c r="A1981" s="306" t="s">
        <v>540</v>
      </c>
      <c r="B1981" s="306" t="s">
        <v>1596</v>
      </c>
      <c r="C1981" s="56">
        <v>45968</v>
      </c>
      <c r="D1981" s="43">
        <v>923</v>
      </c>
      <c r="G1981" t="s">
        <v>1805</v>
      </c>
    </row>
    <row r="1982" spans="1:7">
      <c r="A1982" s="141" t="s">
        <v>540</v>
      </c>
      <c r="B1982" s="551" t="s">
        <v>1782</v>
      </c>
      <c r="C1982" s="56">
        <v>45968</v>
      </c>
      <c r="D1982" s="155">
        <v>3052</v>
      </c>
      <c r="G1982" t="s">
        <v>1805</v>
      </c>
    </row>
    <row r="1983" spans="1:7">
      <c r="A1983" s="141" t="s">
        <v>663</v>
      </c>
      <c r="B1983" s="346" t="s">
        <v>1757</v>
      </c>
      <c r="C1983" s="56">
        <v>45968</v>
      </c>
      <c r="D1983" s="43">
        <v>451</v>
      </c>
      <c r="G1983" t="s">
        <v>1805</v>
      </c>
    </row>
    <row r="1984" spans="1:7">
      <c r="A1984" s="304" t="s">
        <v>445</v>
      </c>
      <c r="B1984" s="141" t="s">
        <v>1814</v>
      </c>
      <c r="C1984" s="56">
        <v>45968</v>
      </c>
      <c r="G1984" t="s">
        <v>1805</v>
      </c>
    </row>
    <row r="1985" spans="1:7">
      <c r="A1985" s="141" t="s">
        <v>394</v>
      </c>
      <c r="B1985" s="304" t="s">
        <v>1071</v>
      </c>
      <c r="C1985" s="56">
        <v>45968</v>
      </c>
      <c r="D1985" s="43">
        <v>350</v>
      </c>
      <c r="G1985" t="s">
        <v>1805</v>
      </c>
    </row>
    <row r="1986" spans="1:7">
      <c r="A1986" s="141" t="s">
        <v>394</v>
      </c>
      <c r="B1986" s="756" t="s">
        <v>1730</v>
      </c>
      <c r="C1986" s="56">
        <v>45968</v>
      </c>
      <c r="D1986" s="43">
        <v>913</v>
      </c>
      <c r="F1986" s="43" t="s">
        <v>1232</v>
      </c>
      <c r="G1986" t="s">
        <v>1805</v>
      </c>
    </row>
    <row r="1987" spans="1:7">
      <c r="A1987" s="43" t="s">
        <v>225</v>
      </c>
      <c r="B1987" s="141" t="s">
        <v>1804</v>
      </c>
      <c r="C1987" s="56">
        <v>45968</v>
      </c>
      <c r="F1987" s="387" t="s">
        <v>1825</v>
      </c>
      <c r="G1987" t="s">
        <v>1805</v>
      </c>
    </row>
    <row r="1988" spans="1:7">
      <c r="A1988" s="247" t="s">
        <v>383</v>
      </c>
      <c r="B1988" s="756" t="s">
        <v>1730</v>
      </c>
      <c r="C1988" s="56">
        <v>45968</v>
      </c>
      <c r="F1988" s="311" t="s">
        <v>1455</v>
      </c>
      <c r="G1988" t="s">
        <v>1805</v>
      </c>
    </row>
    <row r="1989" spans="1:7">
      <c r="A1989" s="247" t="s">
        <v>392</v>
      </c>
      <c r="B1989" s="43" t="s">
        <v>218</v>
      </c>
      <c r="C1989" s="56">
        <v>45968</v>
      </c>
      <c r="D1989" s="43">
        <v>569</v>
      </c>
      <c r="G1989" t="s">
        <v>1805</v>
      </c>
    </row>
    <row r="1990" spans="1:7">
      <c r="A1990" s="247" t="s">
        <v>487</v>
      </c>
      <c r="B1990" s="43" t="s">
        <v>131</v>
      </c>
      <c r="C1990" s="56">
        <v>45968</v>
      </c>
      <c r="D1990" s="155">
        <v>2948</v>
      </c>
      <c r="G1990" t="s">
        <v>1805</v>
      </c>
    </row>
    <row r="1991" spans="1:7">
      <c r="A1991" s="953" t="s">
        <v>537</v>
      </c>
      <c r="B1991" s="346" t="s">
        <v>1757</v>
      </c>
      <c r="C1991" s="56">
        <v>45971</v>
      </c>
      <c r="D1991" s="155">
        <v>560</v>
      </c>
      <c r="G1991" t="s">
        <v>1805</v>
      </c>
    </row>
    <row r="1992" spans="1:7">
      <c r="A1992" s="311" t="s">
        <v>445</v>
      </c>
      <c r="B1992" s="311" t="s">
        <v>1071</v>
      </c>
      <c r="C1992" s="56">
        <v>45971</v>
      </c>
      <c r="D1992" s="43">
        <v>558</v>
      </c>
      <c r="G1992" t="s">
        <v>1805</v>
      </c>
    </row>
    <row r="1993" spans="1:7">
      <c r="A1993" s="311" t="s">
        <v>445</v>
      </c>
      <c r="B1993" s="311" t="s">
        <v>449</v>
      </c>
      <c r="C1993" s="56">
        <v>45971</v>
      </c>
      <c r="F1993" s="43" t="s">
        <v>1520</v>
      </c>
      <c r="G1993" t="s">
        <v>1805</v>
      </c>
    </row>
    <row r="1994" spans="1:7">
      <c r="A1994" s="315" t="s">
        <v>625</v>
      </c>
      <c r="B1994" s="315" t="s">
        <v>131</v>
      </c>
      <c r="C1994" s="56">
        <v>45971</v>
      </c>
      <c r="D1994" s="155">
        <v>1351</v>
      </c>
      <c r="G1994" t="s">
        <v>1805</v>
      </c>
    </row>
    <row r="1995" spans="1:7">
      <c r="A1995" s="315" t="s">
        <v>604</v>
      </c>
      <c r="B1995" s="315" t="s">
        <v>131</v>
      </c>
      <c r="C1995" s="56">
        <v>45971</v>
      </c>
      <c r="D1995" s="43">
        <v>138</v>
      </c>
      <c r="F1995" s="43" t="s">
        <v>1827</v>
      </c>
      <c r="G1995" t="s">
        <v>1805</v>
      </c>
    </row>
    <row r="1996" spans="1:7">
      <c r="A1996" s="315" t="s">
        <v>622</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378</v>
      </c>
      <c r="B1998" s="802" t="s">
        <v>218</v>
      </c>
      <c r="C1998" s="56">
        <v>45971</v>
      </c>
      <c r="D1998" s="43">
        <v>96</v>
      </c>
      <c r="G1998" t="s">
        <v>1805</v>
      </c>
    </row>
    <row r="1999" spans="1:7">
      <c r="A1999" s="304" t="s">
        <v>225</v>
      </c>
      <c r="B1999" s="349" t="s">
        <v>1804</v>
      </c>
      <c r="C1999" s="56">
        <v>45971</v>
      </c>
      <c r="D1999" s="43">
        <v>562</v>
      </c>
      <c r="G1999" t="s">
        <v>1805</v>
      </c>
    </row>
    <row r="2000" spans="1:7">
      <c r="A2000" s="141" t="s">
        <v>380</v>
      </c>
      <c r="B2000" s="802" t="s">
        <v>218</v>
      </c>
      <c r="C2000" s="56">
        <v>45971</v>
      </c>
      <c r="D2000" s="43">
        <v>435</v>
      </c>
      <c r="F2000" s="43" t="s">
        <v>1829</v>
      </c>
      <c r="G2000" t="s">
        <v>1805</v>
      </c>
    </row>
    <row r="2001" spans="1:7">
      <c r="A2001" s="1012" t="s">
        <v>487</v>
      </c>
      <c r="B2001" s="311" t="s">
        <v>131</v>
      </c>
      <c r="C2001" s="56">
        <v>45971</v>
      </c>
      <c r="D2001" s="155">
        <v>4084</v>
      </c>
      <c r="G2001" t="s">
        <v>1805</v>
      </c>
    </row>
    <row r="2002" spans="1:7">
      <c r="A2002" s="141" t="s">
        <v>622</v>
      </c>
      <c r="B2002" s="306" t="s">
        <v>1510</v>
      </c>
      <c r="C2002" s="56">
        <v>45972</v>
      </c>
      <c r="E2002" s="321">
        <v>5569</v>
      </c>
      <c r="F2002" s="43" t="s">
        <v>1830</v>
      </c>
      <c r="G2002" t="s">
        <v>1805</v>
      </c>
    </row>
    <row r="2003" spans="1:7">
      <c r="A2003" s="304" t="s">
        <v>1127</v>
      </c>
      <c r="B2003" s="311" t="s">
        <v>452</v>
      </c>
      <c r="C2003" s="56">
        <v>45972</v>
      </c>
      <c r="D2003" s="155">
        <v>1062</v>
      </c>
      <c r="F2003" s="43" t="s">
        <v>1831</v>
      </c>
      <c r="G2003" t="s">
        <v>1805</v>
      </c>
    </row>
    <row r="2004" spans="1:7">
      <c r="A2004" s="141" t="s">
        <v>385</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445</v>
      </c>
      <c r="B2007" s="43" t="s">
        <v>1510</v>
      </c>
      <c r="C2007" s="56">
        <v>45973</v>
      </c>
      <c r="F2007" s="311" t="s">
        <v>1517</v>
      </c>
      <c r="G2007" t="s">
        <v>1805</v>
      </c>
    </row>
    <row r="2008" spans="1:7">
      <c r="A2008" s="43" t="s">
        <v>420</v>
      </c>
      <c r="B2008" s="43" t="s">
        <v>131</v>
      </c>
      <c r="C2008" s="56">
        <v>45973</v>
      </c>
      <c r="D2008" s="155">
        <v>1580</v>
      </c>
      <c r="F2008" s="43" t="s">
        <v>1650</v>
      </c>
      <c r="G2008" t="s">
        <v>1805</v>
      </c>
    </row>
    <row r="2009" spans="1:7">
      <c r="A2009" s="43" t="s">
        <v>625</v>
      </c>
      <c r="B2009" s="115" t="s">
        <v>131</v>
      </c>
      <c r="C2009" s="56">
        <v>45973</v>
      </c>
      <c r="D2009" s="43">
        <v>890</v>
      </c>
      <c r="G2009" t="s">
        <v>1805</v>
      </c>
    </row>
    <row r="2010" spans="1:7">
      <c r="A2010" s="43" t="s">
        <v>625</v>
      </c>
      <c r="B2010" s="115" t="s">
        <v>449</v>
      </c>
      <c r="C2010" s="56">
        <v>45973</v>
      </c>
      <c r="F2010" s="43" t="s">
        <v>1512</v>
      </c>
      <c r="G2010" t="s">
        <v>1805</v>
      </c>
    </row>
    <row r="2011" spans="1:7">
      <c r="A2011" s="43" t="s">
        <v>600</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208</v>
      </c>
      <c r="B2013" s="43" t="s">
        <v>1510</v>
      </c>
      <c r="C2013" s="56">
        <v>45973</v>
      </c>
      <c r="D2013" s="43">
        <v>711</v>
      </c>
      <c r="F2013" s="43" t="s">
        <v>1198</v>
      </c>
      <c r="G2013" t="s">
        <v>1805</v>
      </c>
    </row>
    <row r="2014" spans="1:7">
      <c r="A2014" s="148" t="s">
        <v>383</v>
      </c>
      <c r="B2014" s="43" t="s">
        <v>1730</v>
      </c>
      <c r="C2014" s="56">
        <v>45973</v>
      </c>
      <c r="F2014" s="311" t="s">
        <v>1836</v>
      </c>
      <c r="G2014" t="s">
        <v>1805</v>
      </c>
    </row>
    <row r="2015" spans="1:7">
      <c r="A2015" s="618" t="s">
        <v>407</v>
      </c>
      <c r="B2015" s="43" t="s">
        <v>1730</v>
      </c>
      <c r="C2015" s="56">
        <v>45973</v>
      </c>
      <c r="D2015" s="155">
        <v>1486</v>
      </c>
      <c r="F2015" s="43" t="s">
        <v>1837</v>
      </c>
      <c r="G2015" t="s">
        <v>1805</v>
      </c>
    </row>
    <row r="2016" spans="1:7">
      <c r="A2016" s="618" t="s">
        <v>225</v>
      </c>
      <c r="B2016" s="43" t="s">
        <v>1798</v>
      </c>
      <c r="C2016" s="56">
        <v>45973</v>
      </c>
      <c r="D2016" s="43">
        <v>474</v>
      </c>
      <c r="G2016" t="s">
        <v>1805</v>
      </c>
    </row>
    <row r="2017" spans="1:7">
      <c r="A2017" s="43" t="s">
        <v>487</v>
      </c>
      <c r="B2017" s="43" t="s">
        <v>131</v>
      </c>
      <c r="C2017" s="56">
        <v>45973</v>
      </c>
      <c r="D2017" s="43">
        <v>242</v>
      </c>
      <c r="G2017" t="s">
        <v>1805</v>
      </c>
    </row>
    <row r="2018" spans="1:7">
      <c r="A2018" s="43" t="s">
        <v>479</v>
      </c>
      <c r="B2018" s="43" t="s">
        <v>131</v>
      </c>
      <c r="C2018" s="56">
        <v>45973</v>
      </c>
      <c r="D2018" s="155">
        <v>1264</v>
      </c>
      <c r="G2018" t="s">
        <v>1805</v>
      </c>
    </row>
    <row r="2019" spans="1:7">
      <c r="A2019" s="43" t="s">
        <v>492</v>
      </c>
      <c r="B2019" s="43" t="s">
        <v>131</v>
      </c>
      <c r="C2019" s="56">
        <v>45973</v>
      </c>
      <c r="D2019" s="155">
        <v>3678</v>
      </c>
      <c r="G2019" t="s">
        <v>1805</v>
      </c>
    </row>
    <row r="2020" spans="1:7">
      <c r="A2020" s="43" t="s">
        <v>445</v>
      </c>
      <c r="B2020" s="43" t="s">
        <v>1510</v>
      </c>
      <c r="C2020" s="56">
        <v>45974</v>
      </c>
      <c r="F2020" s="43" t="s">
        <v>1578</v>
      </c>
      <c r="G2020" t="s">
        <v>1805</v>
      </c>
    </row>
    <row r="2021" spans="1:7">
      <c r="A2021" s="43" t="s">
        <v>420</v>
      </c>
      <c r="B2021" s="43" t="s">
        <v>131</v>
      </c>
      <c r="C2021" s="56">
        <v>45974</v>
      </c>
      <c r="D2021" s="155">
        <v>1258</v>
      </c>
      <c r="F2021" s="43" t="s">
        <v>1838</v>
      </c>
      <c r="G2021" t="s">
        <v>1805</v>
      </c>
    </row>
    <row r="2022" spans="1:7">
      <c r="A2022" s="43" t="s">
        <v>600</v>
      </c>
      <c r="B2022" s="43" t="s">
        <v>131</v>
      </c>
      <c r="C2022" s="56">
        <v>45974</v>
      </c>
      <c r="D2022" s="43">
        <v>814</v>
      </c>
      <c r="F2022" s="43" t="s">
        <v>1839</v>
      </c>
      <c r="G2022" t="s">
        <v>1805</v>
      </c>
    </row>
    <row r="2023" spans="1:7">
      <c r="A2023" s="618" t="s">
        <v>208</v>
      </c>
      <c r="B2023" s="43" t="s">
        <v>1510</v>
      </c>
      <c r="C2023" s="56">
        <v>45974</v>
      </c>
      <c r="D2023" s="43">
        <v>325</v>
      </c>
      <c r="G2023" t="s">
        <v>1805</v>
      </c>
    </row>
    <row r="2024" spans="1:7">
      <c r="A2024" s="43" t="s">
        <v>208</v>
      </c>
      <c r="B2024" s="43" t="s">
        <v>1510</v>
      </c>
      <c r="C2024" s="56">
        <v>45974</v>
      </c>
      <c r="F2024" s="43" t="s">
        <v>1232</v>
      </c>
      <c r="G2024" t="s">
        <v>1805</v>
      </c>
    </row>
    <row r="2025" spans="1:7">
      <c r="A2025" s="148" t="s">
        <v>225</v>
      </c>
      <c r="B2025" s="43" t="s">
        <v>1840</v>
      </c>
      <c r="C2025" s="56">
        <v>45974</v>
      </c>
      <c r="D2025" s="43">
        <v>606</v>
      </c>
      <c r="G2025" t="s">
        <v>1805</v>
      </c>
    </row>
    <row r="2026" spans="1:7">
      <c r="A2026" s="1062" t="s">
        <v>380</v>
      </c>
      <c r="B2026" s="1063" t="s">
        <v>218</v>
      </c>
      <c r="C2026" s="56">
        <v>45974</v>
      </c>
      <c r="D2026" s="155">
        <v>1123</v>
      </c>
      <c r="F2026" s="43" t="s">
        <v>1841</v>
      </c>
      <c r="G2026" t="s">
        <v>1805</v>
      </c>
    </row>
    <row r="2027" spans="1:7">
      <c r="A2027" s="618" t="s">
        <v>407</v>
      </c>
      <c r="B2027" s="43" t="s">
        <v>1730</v>
      </c>
      <c r="C2027" s="56">
        <v>45974</v>
      </c>
      <c r="D2027" s="155">
        <v>2912</v>
      </c>
      <c r="G2027" t="s">
        <v>1805</v>
      </c>
    </row>
    <row r="2028" spans="1:7">
      <c r="A2028" s="618" t="s">
        <v>369</v>
      </c>
      <c r="B2028" s="43" t="s">
        <v>1510</v>
      </c>
      <c r="C2028" s="56">
        <v>45974</v>
      </c>
      <c r="F2028" s="43" t="s">
        <v>1232</v>
      </c>
      <c r="G2028" t="s">
        <v>1805</v>
      </c>
    </row>
    <row r="2029" spans="1:7">
      <c r="A2029" s="43" t="s">
        <v>492</v>
      </c>
      <c r="B2029" s="43" t="s">
        <v>131</v>
      </c>
      <c r="C2029" s="56">
        <v>45974</v>
      </c>
      <c r="D2029" s="155">
        <v>3382</v>
      </c>
      <c r="G2029" t="s">
        <v>1805</v>
      </c>
    </row>
    <row r="2030" spans="1:7">
      <c r="A2030" s="43" t="s">
        <v>479</v>
      </c>
      <c r="B2030" s="43" t="s">
        <v>131</v>
      </c>
      <c r="C2030" s="56">
        <v>45974</v>
      </c>
      <c r="D2030" s="155">
        <v>1281</v>
      </c>
      <c r="G2030" t="s">
        <v>1805</v>
      </c>
    </row>
    <row r="2031" spans="1:7">
      <c r="A2031" s="247" t="s">
        <v>521</v>
      </c>
      <c r="B2031" s="43" t="s">
        <v>131</v>
      </c>
      <c r="C2031" s="56">
        <v>45974</v>
      </c>
      <c r="D2031" s="43">
        <v>424</v>
      </c>
      <c r="G2031" t="s">
        <v>1805</v>
      </c>
    </row>
    <row r="2032" spans="1:7">
      <c r="A2032" s="247" t="s">
        <v>494</v>
      </c>
      <c r="B2032" s="43" t="s">
        <v>131</v>
      </c>
      <c r="C2032" s="56">
        <v>45974</v>
      </c>
      <c r="D2032" s="43">
        <v>598</v>
      </c>
      <c r="G2032" t="s">
        <v>1805</v>
      </c>
    </row>
    <row r="2033" spans="1:7">
      <c r="A2033" s="141" t="s">
        <v>445</v>
      </c>
      <c r="B2033" s="141" t="s">
        <v>1510</v>
      </c>
      <c r="C2033" s="56">
        <v>45975</v>
      </c>
      <c r="E2033" s="1011">
        <v>5647</v>
      </c>
      <c r="F2033" s="306" t="s">
        <v>1842</v>
      </c>
      <c r="G2033" t="s">
        <v>1805</v>
      </c>
    </row>
    <row r="2034" spans="1:7">
      <c r="A2034" s="304" t="s">
        <v>604</v>
      </c>
      <c r="B2034" s="304" t="s">
        <v>1510</v>
      </c>
      <c r="C2034" s="56">
        <v>45975</v>
      </c>
      <c r="D2034" s="139"/>
      <c r="E2034" s="43">
        <v>565</v>
      </c>
      <c r="F2034" s="141"/>
      <c r="G2034" t="s">
        <v>1805</v>
      </c>
    </row>
    <row r="2035" spans="1:7">
      <c r="A2035" s="304" t="s">
        <v>1129</v>
      </c>
      <c r="B2035" s="304" t="s">
        <v>452</v>
      </c>
      <c r="C2035" s="56">
        <v>45975</v>
      </c>
      <c r="D2035" s="43">
        <v>1505</v>
      </c>
      <c r="E2035" s="253"/>
      <c r="F2035" s="169" t="s">
        <v>1843</v>
      </c>
      <c r="G2035" t="s">
        <v>1805</v>
      </c>
    </row>
    <row r="2036" spans="1:7">
      <c r="A2036" s="141" t="s">
        <v>208</v>
      </c>
      <c r="B2036" s="141" t="s">
        <v>1510</v>
      </c>
      <c r="C2036" s="56">
        <v>45975</v>
      </c>
      <c r="D2036" s="43">
        <v>430</v>
      </c>
      <c r="G2036" t="s">
        <v>1805</v>
      </c>
    </row>
    <row r="2037" spans="1:7">
      <c r="A2037" s="305" t="s">
        <v>225</v>
      </c>
      <c r="B2037" s="304" t="s">
        <v>1840</v>
      </c>
      <c r="C2037" s="56">
        <v>45975</v>
      </c>
      <c r="D2037" s="43">
        <v>322</v>
      </c>
      <c r="G2037" t="s">
        <v>1805</v>
      </c>
    </row>
    <row r="2038" spans="1:7">
      <c r="A2038" s="311" t="s">
        <v>407</v>
      </c>
      <c r="B2038" s="315" t="s">
        <v>1730</v>
      </c>
      <c r="C2038" s="56">
        <v>45975</v>
      </c>
      <c r="D2038" s="155">
        <v>2125</v>
      </c>
      <c r="G2038" t="s">
        <v>1805</v>
      </c>
    </row>
    <row r="2039" spans="1:7">
      <c r="A2039" s="141" t="s">
        <v>445</v>
      </c>
      <c r="B2039" s="141" t="s">
        <v>1510</v>
      </c>
      <c r="C2039" s="56">
        <v>45978</v>
      </c>
      <c r="D2039" s="43">
        <v>127</v>
      </c>
      <c r="G2039" t="s">
        <v>1805</v>
      </c>
    </row>
    <row r="2040" spans="1:7">
      <c r="A2040" s="141" t="s">
        <v>445</v>
      </c>
      <c r="B2040" s="141" t="s">
        <v>1510</v>
      </c>
      <c r="C2040" s="56">
        <v>45978</v>
      </c>
      <c r="E2040" s="139">
        <v>300</v>
      </c>
      <c r="F2040" s="43" t="s">
        <v>1844</v>
      </c>
      <c r="G2040" t="s">
        <v>1805</v>
      </c>
    </row>
    <row r="2041" spans="1:7">
      <c r="A2041" s="304" t="s">
        <v>1130</v>
      </c>
      <c r="B2041" s="304" t="s">
        <v>449</v>
      </c>
      <c r="C2041" s="56">
        <v>45978</v>
      </c>
      <c r="D2041" s="155">
        <v>1505</v>
      </c>
      <c r="G2041" t="s">
        <v>1805</v>
      </c>
    </row>
    <row r="2042" spans="1:7">
      <c r="A2042" s="304" t="s">
        <v>609</v>
      </c>
      <c r="B2042" s="304" t="s">
        <v>131</v>
      </c>
      <c r="C2042" s="56">
        <v>45978</v>
      </c>
      <c r="D2042" s="155">
        <v>1471</v>
      </c>
      <c r="F2042" s="43" t="s">
        <v>1154</v>
      </c>
      <c r="G2042" t="s">
        <v>1805</v>
      </c>
    </row>
    <row r="2043" spans="1:7">
      <c r="A2043" s="305" t="s">
        <v>1129</v>
      </c>
      <c r="B2043" s="304" t="s">
        <v>452</v>
      </c>
      <c r="C2043" s="56">
        <v>45978</v>
      </c>
      <c r="D2043" s="43">
        <v>907</v>
      </c>
      <c r="F2043" s="43" t="s">
        <v>1198</v>
      </c>
      <c r="G2043" t="s">
        <v>1805</v>
      </c>
    </row>
    <row r="2044" spans="1:7">
      <c r="A2044" s="141" t="s">
        <v>606</v>
      </c>
      <c r="B2044" s="349" t="s">
        <v>131</v>
      </c>
      <c r="C2044" s="56">
        <v>45978</v>
      </c>
      <c r="D2044" s="43">
        <v>762</v>
      </c>
      <c r="G2044" t="s">
        <v>1805</v>
      </c>
    </row>
    <row r="2045" spans="1:7">
      <c r="A2045" s="141" t="s">
        <v>600</v>
      </c>
      <c r="B2045" s="349" t="s">
        <v>131</v>
      </c>
      <c r="C2045" s="56">
        <v>45978</v>
      </c>
      <c r="D2045" s="43">
        <v>956</v>
      </c>
      <c r="F2045" s="43" t="s">
        <v>1845</v>
      </c>
      <c r="G2045" t="s">
        <v>1805</v>
      </c>
    </row>
    <row r="2046" spans="1:7">
      <c r="A2046" s="305" t="s">
        <v>270</v>
      </c>
      <c r="B2046" s="318" t="s">
        <v>1071</v>
      </c>
      <c r="C2046" s="56">
        <v>45978</v>
      </c>
      <c r="D2046" s="43">
        <v>176</v>
      </c>
      <c r="G2046" t="s">
        <v>1805</v>
      </c>
    </row>
    <row r="2047" spans="1:7">
      <c r="A2047" s="141" t="s">
        <v>270</v>
      </c>
      <c r="B2047" s="349" t="s">
        <v>1071</v>
      </c>
      <c r="C2047" s="56">
        <v>45978</v>
      </c>
      <c r="D2047" s="43">
        <v>270</v>
      </c>
      <c r="G2047" t="s">
        <v>1805</v>
      </c>
    </row>
    <row r="2048" spans="1:7">
      <c r="A2048" s="141" t="s">
        <v>225</v>
      </c>
      <c r="B2048" s="349" t="s">
        <v>1840</v>
      </c>
      <c r="C2048" s="56">
        <v>45978</v>
      </c>
      <c r="D2048" s="43">
        <v>420</v>
      </c>
      <c r="G2048" t="s">
        <v>1805</v>
      </c>
    </row>
    <row r="2049" spans="1:7">
      <c r="A2049" s="304" t="s">
        <v>407</v>
      </c>
      <c r="B2049" s="304" t="s">
        <v>1730</v>
      </c>
      <c r="C2049" s="56">
        <v>45978</v>
      </c>
      <c r="D2049" s="155">
        <v>1449</v>
      </c>
      <c r="G2049" t="s">
        <v>1805</v>
      </c>
    </row>
    <row r="2050" spans="1:7">
      <c r="A2050" s="141" t="s">
        <v>489</v>
      </c>
      <c r="B2050" s="141" t="s">
        <v>131</v>
      </c>
      <c r="C2050" s="56">
        <v>45978</v>
      </c>
      <c r="D2050" s="155">
        <v>5466</v>
      </c>
      <c r="G2050" t="s">
        <v>1805</v>
      </c>
    </row>
    <row r="2051" spans="1:7">
      <c r="A2051" s="304" t="s">
        <v>479</v>
      </c>
      <c r="B2051" s="304" t="s">
        <v>131</v>
      </c>
      <c r="C2051" s="56">
        <v>45978</v>
      </c>
      <c r="D2051" s="155">
        <v>1662</v>
      </c>
      <c r="G2051" t="s">
        <v>1805</v>
      </c>
    </row>
    <row r="2052" spans="1:7">
      <c r="A2052" s="304" t="s">
        <v>494</v>
      </c>
      <c r="B2052" s="304" t="s">
        <v>131</v>
      </c>
      <c r="C2052" s="56">
        <v>45978</v>
      </c>
      <c r="D2052" s="155">
        <v>1498</v>
      </c>
      <c r="G2052" t="s">
        <v>1805</v>
      </c>
    </row>
    <row r="2053" spans="1:7">
      <c r="A2053" s="304" t="s">
        <v>537</v>
      </c>
      <c r="B2053" s="304" t="s">
        <v>1757</v>
      </c>
      <c r="C2053" s="56">
        <v>45979</v>
      </c>
      <c r="D2053" s="155">
        <v>17</v>
      </c>
      <c r="G2053" t="s">
        <v>1805</v>
      </c>
    </row>
    <row r="2054" spans="1:7">
      <c r="A2054" s="304" t="s">
        <v>1131</v>
      </c>
      <c r="B2054" s="304" t="s">
        <v>1757</v>
      </c>
      <c r="C2054" s="56">
        <v>45979</v>
      </c>
      <c r="D2054" s="155">
        <v>12</v>
      </c>
      <c r="G2054" t="s">
        <v>1805</v>
      </c>
    </row>
    <row r="2055" spans="1:7">
      <c r="A2055" s="43" t="s">
        <v>625</v>
      </c>
      <c r="B2055" s="43" t="s">
        <v>1510</v>
      </c>
      <c r="C2055" s="56">
        <v>45979</v>
      </c>
      <c r="E2055" s="321">
        <v>3272</v>
      </c>
      <c r="F2055" s="43" t="s">
        <v>1846</v>
      </c>
      <c r="G2055" t="s">
        <v>1805</v>
      </c>
    </row>
    <row r="2056" spans="1:7">
      <c r="A2056" s="43" t="s">
        <v>1130</v>
      </c>
      <c r="B2056" s="43" t="s">
        <v>449</v>
      </c>
      <c r="C2056" s="56">
        <v>45979</v>
      </c>
      <c r="D2056" s="155">
        <v>1518</v>
      </c>
      <c r="G2056" t="s">
        <v>1805</v>
      </c>
    </row>
    <row r="2057" spans="1:7">
      <c r="A2057" s="43" t="s">
        <v>423</v>
      </c>
      <c r="B2057" s="43" t="s">
        <v>131</v>
      </c>
      <c r="C2057" s="56">
        <v>45979</v>
      </c>
      <c r="D2057" s="155">
        <v>1679</v>
      </c>
      <c r="F2057" s="43" t="s">
        <v>1847</v>
      </c>
      <c r="G2057" t="s">
        <v>1805</v>
      </c>
    </row>
    <row r="2058" spans="1:7">
      <c r="A2058" s="43" t="s">
        <v>1129</v>
      </c>
      <c r="B2058" s="43" t="s">
        <v>452</v>
      </c>
      <c r="C2058" s="56">
        <v>45979</v>
      </c>
      <c r="F2058" s="43" t="s">
        <v>1848</v>
      </c>
      <c r="G2058" t="s">
        <v>1805</v>
      </c>
    </row>
    <row r="2059" spans="1:7">
      <c r="A2059" t="s">
        <v>606</v>
      </c>
      <c r="B2059" s="43" t="s">
        <v>131</v>
      </c>
      <c r="C2059" s="56">
        <v>45979</v>
      </c>
      <c r="D2059" s="155">
        <v>1530</v>
      </c>
      <c r="F2059" s="43" t="s">
        <v>1849</v>
      </c>
      <c r="G2059" t="s">
        <v>1805</v>
      </c>
    </row>
    <row r="2060" spans="1:7">
      <c r="A2060" s="733" t="s">
        <v>375</v>
      </c>
      <c r="B2060" s="318" t="s">
        <v>1071</v>
      </c>
      <c r="C2060" s="56">
        <v>45979</v>
      </c>
      <c r="D2060" s="43">
        <v>136</v>
      </c>
      <c r="F2060" s="69"/>
      <c r="G2060" t="s">
        <v>1805</v>
      </c>
    </row>
    <row r="2061" spans="1:7">
      <c r="A2061" s="69" t="s">
        <v>270</v>
      </c>
      <c r="B2061" s="43" t="s">
        <v>1510</v>
      </c>
      <c r="C2061" s="56">
        <v>45979</v>
      </c>
      <c r="D2061" s="43">
        <v>120</v>
      </c>
      <c r="F2061" s="69"/>
      <c r="G2061" t="s">
        <v>1805</v>
      </c>
    </row>
    <row r="2062" spans="1:7">
      <c r="A2062" s="618" t="s">
        <v>380</v>
      </c>
      <c r="B2062" s="655" t="s">
        <v>218</v>
      </c>
      <c r="C2062" s="56">
        <v>45979</v>
      </c>
      <c r="D2062" s="155">
        <v>1917</v>
      </c>
      <c r="F2062" s="69"/>
      <c r="G2062" t="s">
        <v>1805</v>
      </c>
    </row>
    <row r="2063" spans="1:7">
      <c r="A2063" s="43" t="s">
        <v>408</v>
      </c>
      <c r="B2063" s="43" t="s">
        <v>1730</v>
      </c>
      <c r="C2063" s="56">
        <v>45979</v>
      </c>
      <c r="D2063" s="155">
        <v>2351</v>
      </c>
      <c r="F2063" s="69"/>
      <c r="G2063" t="s">
        <v>1805</v>
      </c>
    </row>
    <row r="2064" spans="1:7">
      <c r="A2064" s="69" t="s">
        <v>479</v>
      </c>
      <c r="B2064" s="43" t="s">
        <v>131</v>
      </c>
      <c r="C2064" s="56">
        <v>45979</v>
      </c>
      <c r="D2064" s="155">
        <v>2684</v>
      </c>
      <c r="F2064" s="69"/>
      <c r="G2064" t="s">
        <v>1805</v>
      </c>
    </row>
    <row r="2065" spans="1:7">
      <c r="A2065" s="148" t="s">
        <v>494</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604</v>
      </c>
      <c r="B2067" s="141" t="s">
        <v>1510</v>
      </c>
      <c r="C2067" s="56">
        <v>45980</v>
      </c>
      <c r="E2067" s="321">
        <v>2996</v>
      </c>
      <c r="F2067" s="69" t="s">
        <v>1851</v>
      </c>
      <c r="G2067" t="s">
        <v>1805</v>
      </c>
    </row>
    <row r="2068" spans="1:7">
      <c r="A2068" s="304" t="s">
        <v>1130</v>
      </c>
      <c r="B2068" s="304" t="s">
        <v>449</v>
      </c>
      <c r="C2068" s="56">
        <v>45980</v>
      </c>
      <c r="D2068" s="155">
        <v>1968</v>
      </c>
      <c r="E2068" s="201"/>
      <c r="F2068" s="148" t="s">
        <v>1852</v>
      </c>
      <c r="G2068" t="s">
        <v>1805</v>
      </c>
    </row>
    <row r="2069" spans="1:7">
      <c r="A2069" s="304" t="s">
        <v>423</v>
      </c>
      <c r="B2069" s="304" t="s">
        <v>131</v>
      </c>
      <c r="C2069" s="56">
        <v>45980</v>
      </c>
      <c r="D2069" s="321">
        <v>1429</v>
      </c>
      <c r="E2069" s="43"/>
      <c r="F2069" s="69" t="s">
        <v>1853</v>
      </c>
      <c r="G2069" t="s">
        <v>1805</v>
      </c>
    </row>
    <row r="2070" spans="1:7">
      <c r="A2070" s="305" t="s">
        <v>1129</v>
      </c>
      <c r="B2070" s="304" t="s">
        <v>452</v>
      </c>
      <c r="C2070" s="56">
        <v>45980</v>
      </c>
      <c r="D2070" s="139"/>
      <c r="E2070" s="43"/>
      <c r="F2070" s="69" t="s">
        <v>1802</v>
      </c>
      <c r="G2070" t="s">
        <v>1805</v>
      </c>
    </row>
    <row r="2071" spans="1:7">
      <c r="A2071" s="311" t="s">
        <v>606</v>
      </c>
      <c r="B2071" s="307" t="s">
        <v>131</v>
      </c>
      <c r="C2071" s="56">
        <v>45980</v>
      </c>
      <c r="D2071" s="43">
        <v>954</v>
      </c>
      <c r="E2071" s="253"/>
      <c r="F2071" s="91" t="s">
        <v>1854</v>
      </c>
      <c r="G2071" t="s">
        <v>1805</v>
      </c>
    </row>
    <row r="2072" spans="1:7">
      <c r="A2072" s="733" t="s">
        <v>375</v>
      </c>
      <c r="B2072" s="318" t="s">
        <v>1071</v>
      </c>
      <c r="C2072" s="56">
        <v>45980</v>
      </c>
      <c r="D2072" s="43">
        <v>170</v>
      </c>
      <c r="F2072" s="69"/>
      <c r="G2072" t="s">
        <v>1805</v>
      </c>
    </row>
    <row r="2073" spans="1:7">
      <c r="A2073" s="141" t="s">
        <v>270</v>
      </c>
      <c r="B2073" s="304" t="s">
        <v>1510</v>
      </c>
      <c r="C2073" s="56">
        <v>45980</v>
      </c>
      <c r="D2073" s="43">
        <v>550</v>
      </c>
      <c r="F2073" s="69"/>
      <c r="G2073" t="s">
        <v>1805</v>
      </c>
    </row>
    <row r="2074" spans="1:7">
      <c r="A2074" s="304" t="s">
        <v>408</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606</v>
      </c>
      <c r="B2077" s="141" t="s">
        <v>131</v>
      </c>
      <c r="C2077" s="56">
        <v>45981</v>
      </c>
      <c r="D2077" s="155">
        <v>1603</v>
      </c>
      <c r="F2077" s="91" t="s">
        <v>1856</v>
      </c>
      <c r="G2077" t="s">
        <v>1805</v>
      </c>
    </row>
    <row r="2078" spans="1:7">
      <c r="A2078" s="304" t="s">
        <v>1130</v>
      </c>
      <c r="B2078" s="304" t="s">
        <v>449</v>
      </c>
      <c r="C2078" s="56">
        <v>45981</v>
      </c>
      <c r="D2078" s="43">
        <v>345</v>
      </c>
      <c r="F2078" s="69" t="s">
        <v>1857</v>
      </c>
      <c r="G2078" t="s">
        <v>1805</v>
      </c>
    </row>
    <row r="2079" spans="1:7">
      <c r="A2079" s="304" t="s">
        <v>423</v>
      </c>
      <c r="B2079" s="304" t="s">
        <v>131</v>
      </c>
      <c r="C2079" s="56">
        <v>45981</v>
      </c>
      <c r="D2079" s="155">
        <v>1624</v>
      </c>
      <c r="F2079" s="69" t="s">
        <v>1858</v>
      </c>
      <c r="G2079" t="s">
        <v>1805</v>
      </c>
    </row>
    <row r="2080" spans="1:7">
      <c r="A2080" s="305" t="s">
        <v>604</v>
      </c>
      <c r="B2080" s="141" t="s">
        <v>1510</v>
      </c>
      <c r="C2080" s="56">
        <v>45981</v>
      </c>
      <c r="E2080" s="139">
        <v>728</v>
      </c>
      <c r="F2080" s="69"/>
      <c r="G2080" t="s">
        <v>1805</v>
      </c>
    </row>
    <row r="2081" spans="1:7">
      <c r="A2081" s="306" t="s">
        <v>208</v>
      </c>
      <c r="B2081" s="318" t="s">
        <v>1071</v>
      </c>
      <c r="C2081" s="56">
        <v>45981</v>
      </c>
      <c r="D2081" s="43">
        <v>195</v>
      </c>
      <c r="F2081" s="69" t="s">
        <v>1859</v>
      </c>
      <c r="G2081" t="s">
        <v>1805</v>
      </c>
    </row>
    <row r="2082" spans="1:7">
      <c r="A2082" s="141" t="s">
        <v>270</v>
      </c>
      <c r="B2082" s="304" t="s">
        <v>1510</v>
      </c>
      <c r="C2082" s="56">
        <v>45981</v>
      </c>
      <c r="F2082" s="69" t="s">
        <v>1860</v>
      </c>
      <c r="G2082" t="s">
        <v>1805</v>
      </c>
    </row>
    <row r="2083" spans="1:7">
      <c r="A2083" s="304" t="s">
        <v>380</v>
      </c>
      <c r="B2083" s="1003" t="s">
        <v>218</v>
      </c>
      <c r="C2083" s="56">
        <v>45981</v>
      </c>
      <c r="D2083" s="43">
        <v>272</v>
      </c>
      <c r="F2083" s="69"/>
      <c r="G2083" t="s">
        <v>1805</v>
      </c>
    </row>
    <row r="2084" spans="1:7">
      <c r="A2084" s="43" t="s">
        <v>407</v>
      </c>
      <c r="B2084" s="43" t="s">
        <v>1730</v>
      </c>
      <c r="C2084" s="56">
        <v>45982</v>
      </c>
      <c r="E2084" s="253"/>
      <c r="F2084" s="311" t="s">
        <v>1861</v>
      </c>
      <c r="G2084" t="s">
        <v>1805</v>
      </c>
    </row>
    <row r="2085" spans="1:7">
      <c r="A2085" s="304" t="s">
        <v>408</v>
      </c>
      <c r="B2085" s="304" t="s">
        <v>1730</v>
      </c>
      <c r="C2085" s="56">
        <v>45981</v>
      </c>
      <c r="D2085" s="155">
        <v>2139</v>
      </c>
      <c r="F2085" s="69"/>
      <c r="G2085" t="s">
        <v>1805</v>
      </c>
    </row>
    <row r="2086" spans="1:7">
      <c r="A2086" s="348" t="s">
        <v>489</v>
      </c>
      <c r="B2086" s="357" t="s">
        <v>131</v>
      </c>
      <c r="C2086" s="56">
        <v>45981</v>
      </c>
      <c r="D2086" s="155">
        <v>2252</v>
      </c>
      <c r="F2086" s="69"/>
      <c r="G2086" t="s">
        <v>1805</v>
      </c>
    </row>
    <row r="2087" spans="1:7">
      <c r="A2087" s="318" t="s">
        <v>494</v>
      </c>
      <c r="B2087" s="387" t="s">
        <v>131</v>
      </c>
      <c r="C2087" s="56">
        <v>45981</v>
      </c>
      <c r="D2087" s="1083">
        <v>1027</v>
      </c>
      <c r="F2087" s="69"/>
      <c r="G2087" t="s">
        <v>1805</v>
      </c>
    </row>
    <row r="2088" spans="1:7">
      <c r="A2088" s="348" t="s">
        <v>497</v>
      </c>
      <c r="B2088" s="357" t="s">
        <v>131</v>
      </c>
      <c r="C2088" s="56">
        <v>45981</v>
      </c>
      <c r="D2088" s="155">
        <v>1420</v>
      </c>
      <c r="F2088" s="69"/>
      <c r="G2088" t="s">
        <v>1805</v>
      </c>
    </row>
    <row r="2089" spans="1:7">
      <c r="A2089" s="318" t="s">
        <v>500</v>
      </c>
      <c r="B2089" s="387" t="s">
        <v>131</v>
      </c>
      <c r="C2089" s="56">
        <v>45981</v>
      </c>
      <c r="D2089" s="155">
        <v>2376</v>
      </c>
      <c r="F2089" s="69"/>
      <c r="G2089" t="s">
        <v>1805</v>
      </c>
    </row>
    <row r="2090" spans="1:7">
      <c r="A2090" s="348" t="s">
        <v>521</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449</v>
      </c>
      <c r="C2093" s="56">
        <v>45982</v>
      </c>
      <c r="D2093" s="43">
        <v>375</v>
      </c>
      <c r="E2093" s="201"/>
      <c r="F2093" s="148"/>
      <c r="G2093" t="s">
        <v>1805</v>
      </c>
    </row>
    <row r="2094" spans="1:7">
      <c r="A2094" s="306" t="s">
        <v>375</v>
      </c>
      <c r="B2094" s="318" t="s">
        <v>1071</v>
      </c>
      <c r="C2094" s="56">
        <v>45982</v>
      </c>
      <c r="D2094" s="139">
        <v>15</v>
      </c>
      <c r="E2094" s="155">
        <v>1159</v>
      </c>
      <c r="F2094" s="1082" t="s">
        <v>1863</v>
      </c>
      <c r="G2094" t="s">
        <v>1805</v>
      </c>
    </row>
    <row r="2095" spans="1:7">
      <c r="A2095" s="43" t="s">
        <v>408</v>
      </c>
      <c r="B2095" s="43" t="s">
        <v>1730</v>
      </c>
      <c r="C2095" s="56">
        <v>45982</v>
      </c>
      <c r="D2095" s="43">
        <v>789</v>
      </c>
      <c r="E2095" s="253"/>
      <c r="F2095" s="91" t="s">
        <v>1864</v>
      </c>
      <c r="G2095" t="s">
        <v>1805</v>
      </c>
    </row>
    <row r="2096" spans="1:7">
      <c r="A2096" s="43" t="s">
        <v>410</v>
      </c>
      <c r="B2096" s="43" t="s">
        <v>1730</v>
      </c>
      <c r="C2096" s="56">
        <v>45982</v>
      </c>
      <c r="D2096" s="155">
        <v>1281</v>
      </c>
      <c r="E2096" s="253"/>
      <c r="F2096" s="91" t="s">
        <v>1865</v>
      </c>
      <c r="G2096" t="s">
        <v>1805</v>
      </c>
    </row>
    <row r="2097" spans="1:7">
      <c r="A2097" s="334" t="s">
        <v>479</v>
      </c>
      <c r="B2097" s="165" t="s">
        <v>131</v>
      </c>
      <c r="C2097" s="56">
        <v>45982</v>
      </c>
      <c r="D2097" s="43">
        <v>51</v>
      </c>
      <c r="F2097" s="69"/>
      <c r="G2097" t="s">
        <v>1805</v>
      </c>
    </row>
    <row r="2098" spans="1:7">
      <c r="A2098" s="404" t="s">
        <v>521</v>
      </c>
      <c r="B2098" s="173" t="s">
        <v>131</v>
      </c>
      <c r="C2098" s="56">
        <v>45982</v>
      </c>
      <c r="D2098" s="155">
        <v>3007</v>
      </c>
      <c r="F2098" s="69"/>
      <c r="G2098" t="s">
        <v>1805</v>
      </c>
    </row>
    <row r="2099" spans="1:7">
      <c r="A2099" s="404" t="s">
        <v>494</v>
      </c>
      <c r="B2099" s="173" t="s">
        <v>131</v>
      </c>
      <c r="C2099" s="56">
        <v>45982</v>
      </c>
      <c r="D2099" s="43">
        <v>490</v>
      </c>
      <c r="F2099" s="69"/>
      <c r="G2099" t="s">
        <v>1805</v>
      </c>
    </row>
    <row r="2100" spans="1:7">
      <c r="A2100" s="404" t="s">
        <v>497</v>
      </c>
      <c r="B2100" s="173" t="s">
        <v>131</v>
      </c>
      <c r="C2100" s="56">
        <v>45982</v>
      </c>
      <c r="D2100" s="155">
        <v>3043</v>
      </c>
      <c r="F2100" s="69"/>
      <c r="G2100" t="s">
        <v>1805</v>
      </c>
    </row>
    <row r="2101" spans="1:7">
      <c r="A2101" s="404" t="s">
        <v>500</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531</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198</v>
      </c>
      <c r="B2109" s="43" t="s">
        <v>131</v>
      </c>
      <c r="C2109" s="310">
        <v>45985</v>
      </c>
      <c r="D2109" s="43">
        <v>82</v>
      </c>
      <c r="F2109" s="69" t="s">
        <v>1868</v>
      </c>
      <c r="G2109" t="s">
        <v>1805</v>
      </c>
    </row>
    <row r="2110" spans="1:7">
      <c r="A2110" s="43" t="s">
        <v>1130</v>
      </c>
      <c r="B2110" s="161" t="s">
        <v>449</v>
      </c>
      <c r="C2110" s="310">
        <v>45985</v>
      </c>
      <c r="D2110" s="155">
        <v>2805</v>
      </c>
      <c r="F2110" s="69"/>
      <c r="G2110" t="s">
        <v>1805</v>
      </c>
    </row>
    <row r="2111" spans="1:7">
      <c r="A2111" s="43" t="s">
        <v>606</v>
      </c>
      <c r="B2111" s="1093" t="s">
        <v>131</v>
      </c>
      <c r="C2111" s="56">
        <v>45985</v>
      </c>
      <c r="D2111" s="43">
        <v>805</v>
      </c>
      <c r="F2111" s="69" t="s">
        <v>1869</v>
      </c>
      <c r="G2111" t="s">
        <v>1805</v>
      </c>
    </row>
    <row r="2112" spans="1:7">
      <c r="A2112" s="43" t="s">
        <v>609</v>
      </c>
      <c r="B2112" s="1093" t="s">
        <v>131</v>
      </c>
      <c r="C2112" s="56">
        <v>45985</v>
      </c>
      <c r="D2112" s="43">
        <v>665</v>
      </c>
      <c r="F2112" s="69"/>
      <c r="G2112" t="s">
        <v>1805</v>
      </c>
    </row>
    <row r="2113" spans="1:7">
      <c r="A2113" s="43" t="s">
        <v>423</v>
      </c>
      <c r="B2113" s="1093" t="s">
        <v>131</v>
      </c>
      <c r="C2113" s="56">
        <v>45985</v>
      </c>
      <c r="D2113" s="43">
        <v>572</v>
      </c>
      <c r="F2113" s="69" t="s">
        <v>1870</v>
      </c>
      <c r="G2113" t="s">
        <v>1805</v>
      </c>
    </row>
    <row r="2114" spans="1:7">
      <c r="A2114" s="169" t="s">
        <v>435</v>
      </c>
      <c r="B2114" s="169" t="s">
        <v>1071</v>
      </c>
      <c r="C2114" s="56">
        <v>45985</v>
      </c>
      <c r="D2114" s="43">
        <v>286</v>
      </c>
      <c r="E2114" s="201"/>
      <c r="F2114" s="148"/>
      <c r="G2114" t="s">
        <v>1805</v>
      </c>
    </row>
    <row r="2115" spans="1:7">
      <c r="A2115" s="43" t="s">
        <v>600</v>
      </c>
      <c r="B2115" s="43" t="s">
        <v>1071</v>
      </c>
      <c r="C2115" s="56">
        <v>45985</v>
      </c>
      <c r="D2115" s="139"/>
      <c r="E2115" s="43">
        <v>734</v>
      </c>
      <c r="F2115" s="69"/>
      <c r="G2115" t="s">
        <v>1805</v>
      </c>
    </row>
    <row r="2116" spans="1:7">
      <c r="A2116" s="43" t="s">
        <v>420</v>
      </c>
      <c r="B2116" s="43" t="s">
        <v>1071</v>
      </c>
      <c r="C2116" s="56">
        <v>45985</v>
      </c>
      <c r="D2116" s="139"/>
      <c r="E2116" s="43">
        <v>719</v>
      </c>
      <c r="F2116" s="69"/>
      <c r="G2116" t="s">
        <v>1805</v>
      </c>
    </row>
    <row r="2117" spans="1:7">
      <c r="A2117" s="306" t="s">
        <v>380</v>
      </c>
      <c r="B2117" s="318" t="s">
        <v>218</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394</v>
      </c>
      <c r="B2119" s="247" t="s">
        <v>1730</v>
      </c>
      <c r="C2119" s="56">
        <v>45985</v>
      </c>
      <c r="D2119" s="139"/>
      <c r="E2119" s="43"/>
      <c r="F2119" s="1092" t="s">
        <v>1873</v>
      </c>
      <c r="G2119" t="s">
        <v>1805</v>
      </c>
    </row>
    <row r="2120" spans="1:7">
      <c r="A2120" s="43" t="s">
        <v>383</v>
      </c>
      <c r="B2120" s="247" t="s">
        <v>1730</v>
      </c>
      <c r="C2120" s="56">
        <v>45985</v>
      </c>
      <c r="D2120" s="139"/>
      <c r="E2120" s="43"/>
      <c r="F2120" s="1092" t="s">
        <v>1874</v>
      </c>
      <c r="G2120" t="s">
        <v>1805</v>
      </c>
    </row>
    <row r="2121" spans="1:7">
      <c r="A2121" s="43" t="s">
        <v>404</v>
      </c>
      <c r="B2121" s="43" t="s">
        <v>1730</v>
      </c>
      <c r="C2121" s="56">
        <v>45985</v>
      </c>
      <c r="D2121" s="155">
        <v>1655</v>
      </c>
      <c r="E2121" s="253"/>
      <c r="F2121" s="91" t="s">
        <v>1875</v>
      </c>
      <c r="G2121" t="s">
        <v>1805</v>
      </c>
    </row>
    <row r="2122" spans="1:7">
      <c r="A2122" s="148" t="s">
        <v>531</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435</v>
      </c>
      <c r="B2126" s="805" t="s">
        <v>1071</v>
      </c>
      <c r="C2126" s="56">
        <v>45986</v>
      </c>
      <c r="D2126" s="43">
        <v>357</v>
      </c>
      <c r="F2126" s="43" t="s">
        <v>1198</v>
      </c>
      <c r="G2126" t="s">
        <v>1805</v>
      </c>
    </row>
    <row r="2127" spans="1:7">
      <c r="A2127" s="43" t="s">
        <v>1130</v>
      </c>
      <c r="B2127" s="43" t="s">
        <v>449</v>
      </c>
      <c r="C2127" s="56">
        <v>45986</v>
      </c>
      <c r="D2127" s="155">
        <v>1397</v>
      </c>
      <c r="G2127" t="s">
        <v>1805</v>
      </c>
    </row>
    <row r="2128" spans="1:7">
      <c r="A2128" s="43" t="s">
        <v>612</v>
      </c>
      <c r="B2128" s="43" t="s">
        <v>131</v>
      </c>
      <c r="C2128" s="56">
        <v>45986</v>
      </c>
      <c r="D2128" s="155">
        <v>1100</v>
      </c>
      <c r="G2128" t="s">
        <v>1805</v>
      </c>
    </row>
    <row r="2129" spans="1:7">
      <c r="A2129" s="43" t="s">
        <v>609</v>
      </c>
      <c r="B2129" s="43" t="s">
        <v>131</v>
      </c>
      <c r="C2129" s="56">
        <v>45986</v>
      </c>
      <c r="D2129" s="155">
        <v>1360</v>
      </c>
      <c r="F2129" s="43" t="s">
        <v>1877</v>
      </c>
      <c r="G2129" t="s">
        <v>1805</v>
      </c>
    </row>
    <row r="2130" spans="1:7">
      <c r="A2130" s="43" t="s">
        <v>1133</v>
      </c>
      <c r="B2130" s="43" t="s">
        <v>452</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394</v>
      </c>
      <c r="B2132" s="247" t="s">
        <v>1730</v>
      </c>
      <c r="C2132" s="56">
        <v>45986</v>
      </c>
      <c r="D2132" s="139"/>
      <c r="E2132" s="43"/>
      <c r="F2132" s="756" t="s">
        <v>1878</v>
      </c>
      <c r="G2132" t="s">
        <v>1805</v>
      </c>
    </row>
    <row r="2133" spans="1:7">
      <c r="A2133" s="43" t="s">
        <v>383</v>
      </c>
      <c r="B2133" s="247" t="s">
        <v>1730</v>
      </c>
      <c r="C2133" s="56">
        <v>45986</v>
      </c>
      <c r="D2133" s="139"/>
      <c r="E2133" s="43"/>
      <c r="F2133" s="756" t="s">
        <v>1878</v>
      </c>
      <c r="G2133" t="s">
        <v>1805</v>
      </c>
    </row>
    <row r="2134" spans="1:7">
      <c r="A2134" s="43" t="s">
        <v>410</v>
      </c>
      <c r="B2134" s="43" t="s">
        <v>1730</v>
      </c>
      <c r="C2134" s="56">
        <v>45986</v>
      </c>
      <c r="D2134" s="321">
        <v>2568</v>
      </c>
      <c r="E2134" s="43"/>
      <c r="G2134" t="s">
        <v>1805</v>
      </c>
    </row>
    <row r="2135" spans="1:7">
      <c r="A2135" s="43" t="s">
        <v>404</v>
      </c>
      <c r="B2135" s="43" t="s">
        <v>1730</v>
      </c>
      <c r="C2135" s="56">
        <v>45986</v>
      </c>
      <c r="D2135" s="155">
        <v>2537</v>
      </c>
      <c r="E2135" s="253"/>
      <c r="F2135" s="169"/>
      <c r="G2135" t="s">
        <v>1805</v>
      </c>
    </row>
    <row r="2136" spans="1:7">
      <c r="A2136" s="334" t="s">
        <v>481</v>
      </c>
      <c r="B2136" s="165" t="s">
        <v>131</v>
      </c>
      <c r="C2136" s="56">
        <v>45986</v>
      </c>
      <c r="D2136" s="155">
        <v>2382</v>
      </c>
      <c r="G2136" t="s">
        <v>1805</v>
      </c>
    </row>
    <row r="2137" spans="1:7">
      <c r="A2137" s="404" t="s">
        <v>460</v>
      </c>
      <c r="B2137" s="173" t="s">
        <v>131</v>
      </c>
      <c r="C2137" s="56">
        <v>45986</v>
      </c>
      <c r="D2137" s="43">
        <v>996</v>
      </c>
      <c r="G2137" t="s">
        <v>1805</v>
      </c>
    </row>
    <row r="2138" spans="1:7">
      <c r="A2138" s="404" t="s">
        <v>503</v>
      </c>
      <c r="B2138" s="173" t="s">
        <v>131</v>
      </c>
      <c r="C2138" s="56">
        <v>45986</v>
      </c>
      <c r="D2138" s="155">
        <v>3634</v>
      </c>
      <c r="G2138" t="s">
        <v>1805</v>
      </c>
    </row>
    <row r="2139" spans="1:7">
      <c r="A2139" s="69" t="s">
        <v>500</v>
      </c>
      <c r="B2139" s="173" t="s">
        <v>131</v>
      </c>
      <c r="C2139" s="56">
        <v>45986</v>
      </c>
      <c r="D2139" s="155">
        <v>3311</v>
      </c>
      <c r="G2139" t="s">
        <v>1805</v>
      </c>
    </row>
    <row r="2140" spans="1:7">
      <c r="A2140" s="69" t="s">
        <v>310</v>
      </c>
      <c r="B2140" s="173" t="s">
        <v>131</v>
      </c>
      <c r="C2140" s="56">
        <v>45986</v>
      </c>
      <c r="D2140" s="155">
        <v>1175</v>
      </c>
      <c r="G2140" t="s">
        <v>1805</v>
      </c>
    </row>
    <row r="2141" spans="1:7">
      <c r="A2141" s="247" t="s">
        <v>497</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531</v>
      </c>
      <c r="B2145" s="311" t="s">
        <v>1071</v>
      </c>
      <c r="C2145" s="56">
        <v>45987</v>
      </c>
      <c r="F2145" s="782" t="s">
        <v>1348</v>
      </c>
      <c r="G2145" t="s">
        <v>1805</v>
      </c>
    </row>
    <row r="2146" spans="1:7">
      <c r="A2146" s="805" t="s">
        <v>435</v>
      </c>
      <c r="B2146" s="805" t="s">
        <v>1071</v>
      </c>
      <c r="C2146" s="56">
        <v>45987</v>
      </c>
      <c r="D2146" s="43">
        <v>331</v>
      </c>
      <c r="E2146" s="321">
        <v>1063</v>
      </c>
      <c r="F2146" s="43" t="s">
        <v>1879</v>
      </c>
      <c r="G2146" t="s">
        <v>1805</v>
      </c>
    </row>
    <row r="2147" spans="1:7">
      <c r="A2147" s="1094" t="s">
        <v>609</v>
      </c>
      <c r="B2147" s="304" t="s">
        <v>131</v>
      </c>
      <c r="C2147" s="56">
        <v>45987</v>
      </c>
      <c r="D2147" s="155">
        <v>1024</v>
      </c>
      <c r="F2147" s="43" t="s">
        <v>1880</v>
      </c>
      <c r="G2147" t="s">
        <v>1805</v>
      </c>
    </row>
    <row r="2148" spans="1:7">
      <c r="A2148" s="306" t="s">
        <v>612</v>
      </c>
      <c r="B2148" s="305" t="s">
        <v>131</v>
      </c>
      <c r="C2148" s="56">
        <v>45987</v>
      </c>
      <c r="D2148" s="43">
        <v>855</v>
      </c>
      <c r="F2148" s="43" t="s">
        <v>1881</v>
      </c>
      <c r="G2148" t="s">
        <v>1805</v>
      </c>
    </row>
    <row r="2149" spans="1:7">
      <c r="A2149" s="311" t="s">
        <v>1134</v>
      </c>
      <c r="B2149" s="311" t="s">
        <v>449</v>
      </c>
      <c r="C2149" s="56">
        <v>45987</v>
      </c>
      <c r="D2149" s="43">
        <v>955</v>
      </c>
      <c r="E2149" s="201"/>
      <c r="F2149" s="115" t="s">
        <v>1882</v>
      </c>
      <c r="G2149" t="s">
        <v>1805</v>
      </c>
    </row>
    <row r="2150" spans="1:7">
      <c r="A2150" s="315" t="s">
        <v>1135</v>
      </c>
      <c r="B2150" s="315" t="s">
        <v>452</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394</v>
      </c>
      <c r="B2152" s="141" t="s">
        <v>1730</v>
      </c>
      <c r="C2152" s="56">
        <v>45987</v>
      </c>
      <c r="D2152" s="139"/>
      <c r="E2152" s="43"/>
      <c r="F2152" s="756" t="s">
        <v>1878</v>
      </c>
      <c r="G2152" t="s">
        <v>1805</v>
      </c>
    </row>
    <row r="2153" spans="1:7">
      <c r="A2153" s="305" t="s">
        <v>383</v>
      </c>
      <c r="B2153" s="305" t="s">
        <v>1730</v>
      </c>
      <c r="C2153" s="336">
        <v>45987</v>
      </c>
      <c r="D2153" s="139"/>
      <c r="E2153" s="43"/>
      <c r="F2153" s="756" t="s">
        <v>1878</v>
      </c>
      <c r="G2153" t="s">
        <v>1805</v>
      </c>
    </row>
    <row r="2154" spans="1:7">
      <c r="A2154" s="141" t="s">
        <v>378</v>
      </c>
      <c r="B2154" s="141" t="s">
        <v>218</v>
      </c>
      <c r="C2154" s="56">
        <v>45987</v>
      </c>
      <c r="D2154" s="423"/>
      <c r="E2154" s="43"/>
      <c r="F2154" s="141" t="s">
        <v>1878</v>
      </c>
      <c r="G2154" t="s">
        <v>1805</v>
      </c>
    </row>
    <row r="2155" spans="1:7">
      <c r="A2155" s="141" t="s">
        <v>225</v>
      </c>
      <c r="B2155" s="141" t="s">
        <v>1798</v>
      </c>
      <c r="C2155" s="56">
        <v>45987</v>
      </c>
      <c r="D2155" s="161">
        <v>426</v>
      </c>
      <c r="E2155" s="253"/>
      <c r="F2155" s="169"/>
      <c r="G2155" t="s">
        <v>1805</v>
      </c>
    </row>
    <row r="2156" spans="1:7">
      <c r="A2156" s="141" t="s">
        <v>380</v>
      </c>
      <c r="B2156" s="141" t="s">
        <v>218</v>
      </c>
      <c r="C2156" s="56">
        <v>45987</v>
      </c>
      <c r="D2156" s="423"/>
      <c r="E2156" s="43"/>
      <c r="F2156" s="141" t="s">
        <v>1878</v>
      </c>
      <c r="G2156" t="s">
        <v>1805</v>
      </c>
    </row>
    <row r="2157" spans="1:7">
      <c r="A2157" s="141" t="s">
        <v>369</v>
      </c>
      <c r="B2157" s="141" t="s">
        <v>1884</v>
      </c>
      <c r="C2157" s="56">
        <v>45987</v>
      </c>
      <c r="D2157" s="161"/>
      <c r="E2157" s="1095">
        <v>4668</v>
      </c>
      <c r="F2157" s="169" t="s">
        <v>1885</v>
      </c>
      <c r="G2157" t="s">
        <v>1805</v>
      </c>
    </row>
    <row r="2158" spans="1:7">
      <c r="A2158" s="247" t="s">
        <v>469</v>
      </c>
      <c r="B2158" s="315" t="s">
        <v>1510</v>
      </c>
      <c r="C2158" s="56">
        <v>45987</v>
      </c>
      <c r="E2158" s="139">
        <v>794</v>
      </c>
      <c r="G2158" t="s">
        <v>1805</v>
      </c>
    </row>
    <row r="2159" spans="1:7">
      <c r="A2159" s="141" t="s">
        <v>310</v>
      </c>
      <c r="B2159" s="141" t="s">
        <v>131</v>
      </c>
      <c r="C2159" s="56">
        <v>45987</v>
      </c>
      <c r="D2159" s="161"/>
      <c r="E2159" s="321">
        <v>2338</v>
      </c>
      <c r="F2159" s="43" t="s">
        <v>1886</v>
      </c>
      <c r="G2159" t="s">
        <v>1805</v>
      </c>
    </row>
    <row r="2160" spans="1:7">
      <c r="A2160" s="306" t="s">
        <v>463</v>
      </c>
      <c r="B2160" s="311" t="s">
        <v>1071</v>
      </c>
      <c r="C2160" s="56">
        <v>45987</v>
      </c>
      <c r="E2160" s="139">
        <v>175</v>
      </c>
      <c r="G2160" t="s">
        <v>1805</v>
      </c>
    </row>
    <row r="2161" spans="1:7">
      <c r="A2161" s="306" t="s">
        <v>463</v>
      </c>
      <c r="B2161" s="315" t="s">
        <v>131</v>
      </c>
      <c r="C2161" s="56">
        <v>45987</v>
      </c>
      <c r="E2161" s="321">
        <v>2455</v>
      </c>
      <c r="F2161" s="43" t="s">
        <v>1887</v>
      </c>
      <c r="G2161" t="s">
        <v>1805</v>
      </c>
    </row>
    <row r="2162" spans="1:7">
      <c r="A2162" s="306" t="s">
        <v>465</v>
      </c>
      <c r="B2162" s="315" t="s">
        <v>1071</v>
      </c>
      <c r="C2162" s="56">
        <v>45987</v>
      </c>
      <c r="E2162" s="139">
        <v>376</v>
      </c>
      <c r="G2162" t="s">
        <v>1805</v>
      </c>
    </row>
    <row r="2163" spans="1:7">
      <c r="A2163" s="306" t="s">
        <v>465</v>
      </c>
      <c r="B2163" s="737" t="s">
        <v>131</v>
      </c>
      <c r="C2163" s="56">
        <v>45987</v>
      </c>
      <c r="E2163" s="139">
        <v>404</v>
      </c>
      <c r="F2163" s="43" t="s">
        <v>1888</v>
      </c>
      <c r="G2163" t="s">
        <v>1805</v>
      </c>
    </row>
    <row r="2164" spans="1:7">
      <c r="A2164" s="311" t="s">
        <v>467</v>
      </c>
      <c r="B2164" s="311" t="s">
        <v>1071</v>
      </c>
      <c r="C2164" s="56">
        <v>45987</v>
      </c>
      <c r="E2164" s="321">
        <v>1264</v>
      </c>
      <c r="G2164" t="s">
        <v>1805</v>
      </c>
    </row>
    <row r="2165" spans="1:7">
      <c r="A2165" s="315" t="s">
        <v>472</v>
      </c>
      <c r="B2165" s="315" t="s">
        <v>1071</v>
      </c>
      <c r="C2165" s="56">
        <v>45987</v>
      </c>
      <c r="E2165" s="321">
        <v>1520</v>
      </c>
      <c r="G2165" t="s">
        <v>1805</v>
      </c>
    </row>
    <row r="2166" spans="1:7">
      <c r="A2166" s="315" t="s">
        <v>473</v>
      </c>
      <c r="B2166" s="315" t="s">
        <v>1510</v>
      </c>
      <c r="C2166" s="56">
        <v>45987</v>
      </c>
      <c r="E2166" s="321">
        <v>1739</v>
      </c>
      <c r="G2166" t="s">
        <v>1805</v>
      </c>
    </row>
    <row r="2167" spans="1:7">
      <c r="A2167" s="315" t="s">
        <v>475</v>
      </c>
      <c r="B2167" s="315" t="s">
        <v>1071</v>
      </c>
      <c r="C2167" s="56">
        <v>45987</v>
      </c>
      <c r="E2167" s="321">
        <v>1584</v>
      </c>
      <c r="G2167" t="s">
        <v>1805</v>
      </c>
    </row>
    <row r="2168" spans="1:7">
      <c r="A2168" s="315" t="s">
        <v>477</v>
      </c>
      <c r="B2168" s="315" t="s">
        <v>1071</v>
      </c>
      <c r="C2168" s="56">
        <v>45987</v>
      </c>
      <c r="E2168" s="321">
        <v>1140</v>
      </c>
      <c r="G2168" t="s">
        <v>1805</v>
      </c>
    </row>
    <row r="2169" spans="1:7">
      <c r="A2169" s="315" t="s">
        <v>478</v>
      </c>
      <c r="B2169" s="315" t="s">
        <v>1071</v>
      </c>
      <c r="C2169" s="56">
        <v>45987</v>
      </c>
      <c r="E2169" s="139">
        <v>692</v>
      </c>
      <c r="G2169" t="s">
        <v>1805</v>
      </c>
    </row>
    <row r="2170" spans="1:7">
      <c r="C2170" s="56">
        <v>45988</v>
      </c>
      <c r="G2170" t="s">
        <v>1805</v>
      </c>
    </row>
    <row r="2171" spans="1:7">
      <c r="A2171" s="247" t="s">
        <v>606</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540</v>
      </c>
      <c r="B2174" s="306" t="s">
        <v>1596</v>
      </c>
      <c r="C2174" s="56">
        <v>45992</v>
      </c>
      <c r="D2174" s="43">
        <v>602</v>
      </c>
      <c r="F2174" s="43" t="s">
        <v>1891</v>
      </c>
      <c r="G2174" t="s">
        <v>1890</v>
      </c>
    </row>
    <row r="2175" spans="1:7">
      <c r="A2175" s="306" t="s">
        <v>540</v>
      </c>
      <c r="B2175" s="306" t="s">
        <v>1686</v>
      </c>
      <c r="C2175" s="56">
        <v>45992</v>
      </c>
      <c r="F2175" s="337" t="s">
        <v>1892</v>
      </c>
      <c r="G2175" t="s">
        <v>1890</v>
      </c>
    </row>
    <row r="2176" spans="1:7">
      <c r="A2176" s="805" t="s">
        <v>609</v>
      </c>
      <c r="B2176" s="805" t="s">
        <v>131</v>
      </c>
      <c r="C2176" s="56">
        <v>45992</v>
      </c>
      <c r="D2176" s="155">
        <v>1610</v>
      </c>
      <c r="F2176" s="43" t="s">
        <v>1893</v>
      </c>
      <c r="G2176" t="s">
        <v>1890</v>
      </c>
    </row>
    <row r="2177" spans="1:7">
      <c r="A2177" s="1094" t="s">
        <v>612</v>
      </c>
      <c r="B2177" s="304" t="s">
        <v>131</v>
      </c>
      <c r="C2177" s="56">
        <v>45992</v>
      </c>
      <c r="D2177" s="155">
        <v>1622</v>
      </c>
      <c r="F2177" s="43" t="s">
        <v>1894</v>
      </c>
      <c r="G2177" t="s">
        <v>1890</v>
      </c>
    </row>
    <row r="2178" spans="1:7">
      <c r="A2178" s="141" t="s">
        <v>1134</v>
      </c>
      <c r="B2178" s="304" t="s">
        <v>449</v>
      </c>
      <c r="C2178" s="56">
        <v>45992</v>
      </c>
      <c r="D2178" s="155">
        <v>1765</v>
      </c>
      <c r="G2178" t="s">
        <v>1890</v>
      </c>
    </row>
    <row r="2179" spans="1:7">
      <c r="A2179" s="304" t="s">
        <v>1133</v>
      </c>
      <c r="B2179" s="304" t="s">
        <v>452</v>
      </c>
      <c r="C2179" s="56">
        <v>45992</v>
      </c>
      <c r="D2179" s="43">
        <v>600</v>
      </c>
      <c r="G2179" t="s">
        <v>1890</v>
      </c>
    </row>
    <row r="2180" spans="1:7">
      <c r="A2180" s="141" t="s">
        <v>404</v>
      </c>
      <c r="B2180" s="141" t="s">
        <v>1730</v>
      </c>
      <c r="C2180" s="56">
        <v>45992</v>
      </c>
      <c r="D2180" s="155">
        <v>2113</v>
      </c>
      <c r="F2180" s="43" t="s">
        <v>1895</v>
      </c>
      <c r="G2180" t="s">
        <v>1890</v>
      </c>
    </row>
    <row r="2181" spans="1:7">
      <c r="A2181" s="141" t="s">
        <v>310</v>
      </c>
      <c r="B2181" s="387" t="s">
        <v>131</v>
      </c>
      <c r="C2181" s="56">
        <v>45992</v>
      </c>
      <c r="D2181" s="155">
        <v>1515</v>
      </c>
      <c r="F2181" s="43" t="s">
        <v>1541</v>
      </c>
      <c r="G2181" t="s">
        <v>1890</v>
      </c>
    </row>
    <row r="2182" spans="1:7">
      <c r="A2182" s="348" t="s">
        <v>503</v>
      </c>
      <c r="B2182" s="357" t="s">
        <v>131</v>
      </c>
      <c r="C2182" s="56">
        <v>45992</v>
      </c>
      <c r="D2182" s="155">
        <v>3376</v>
      </c>
      <c r="G2182" t="s">
        <v>1890</v>
      </c>
    </row>
    <row r="2183" spans="1:7">
      <c r="A2183" s="317" t="s">
        <v>481</v>
      </c>
      <c r="B2183" s="308" t="s">
        <v>131</v>
      </c>
      <c r="C2183" s="56">
        <v>45992</v>
      </c>
      <c r="D2183" s="155">
        <v>3084</v>
      </c>
      <c r="G2183" t="s">
        <v>1890</v>
      </c>
    </row>
    <row r="2184" spans="1:7">
      <c r="A2184" s="311" t="s">
        <v>518</v>
      </c>
      <c r="B2184" s="311" t="s">
        <v>131</v>
      </c>
      <c r="C2184" s="56">
        <v>45992</v>
      </c>
      <c r="D2184" s="155">
        <v>1829</v>
      </c>
      <c r="G2184" t="s">
        <v>1890</v>
      </c>
    </row>
    <row r="2185" spans="1:7">
      <c r="A2185" s="247" t="s">
        <v>484</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540</v>
      </c>
      <c r="B2188" s="306" t="s">
        <v>1596</v>
      </c>
      <c r="C2188" s="56">
        <v>45993</v>
      </c>
      <c r="D2188" s="43">
        <v>581</v>
      </c>
      <c r="G2188" t="s">
        <v>1890</v>
      </c>
    </row>
    <row r="2189" spans="1:7">
      <c r="A2189" s="311" t="s">
        <v>540</v>
      </c>
      <c r="B2189" s="311" t="s">
        <v>1686</v>
      </c>
      <c r="C2189" s="56">
        <v>45993</v>
      </c>
      <c r="D2189" s="43">
        <v>488</v>
      </c>
      <c r="F2189" s="43" t="s">
        <v>1897</v>
      </c>
      <c r="G2189" t="s">
        <v>1890</v>
      </c>
    </row>
    <row r="2190" spans="1:7">
      <c r="A2190" s="141" t="s">
        <v>1133</v>
      </c>
      <c r="B2190" s="141" t="s">
        <v>452</v>
      </c>
      <c r="C2190" s="56">
        <v>45993</v>
      </c>
      <c r="D2190" s="43">
        <v>610</v>
      </c>
      <c r="F2190" s="43" t="s">
        <v>1898</v>
      </c>
      <c r="G2190" t="s">
        <v>1890</v>
      </c>
    </row>
    <row r="2191" spans="1:7">
      <c r="A2191" s="1094" t="s">
        <v>612</v>
      </c>
      <c r="B2191" s="304" t="s">
        <v>131</v>
      </c>
      <c r="C2191" s="56">
        <v>45993</v>
      </c>
      <c r="D2191" s="155">
        <v>1131</v>
      </c>
      <c r="F2191" s="43" t="s">
        <v>1899</v>
      </c>
      <c r="G2191" t="s">
        <v>1890</v>
      </c>
    </row>
    <row r="2192" spans="1:7">
      <c r="A2192" s="141" t="s">
        <v>1134</v>
      </c>
      <c r="B2192" s="304" t="s">
        <v>449</v>
      </c>
      <c r="C2192" s="56">
        <v>45993</v>
      </c>
      <c r="D2192" s="155">
        <v>1153</v>
      </c>
      <c r="F2192" s="43" t="s">
        <v>1900</v>
      </c>
      <c r="G2192" t="s">
        <v>1890</v>
      </c>
    </row>
    <row r="2193" spans="1:7">
      <c r="A2193" s="304" t="s">
        <v>602</v>
      </c>
      <c r="B2193" s="304" t="s">
        <v>1071</v>
      </c>
      <c r="C2193" s="56">
        <v>45993</v>
      </c>
      <c r="D2193" s="43">
        <v>175</v>
      </c>
      <c r="G2193" t="s">
        <v>1890</v>
      </c>
    </row>
    <row r="2194" spans="1:7">
      <c r="A2194" s="311" t="s">
        <v>484</v>
      </c>
      <c r="B2194" s="311" t="s">
        <v>131</v>
      </c>
      <c r="C2194" s="56">
        <v>45993</v>
      </c>
      <c r="D2194" s="155">
        <v>2916</v>
      </c>
      <c r="G2194" t="s">
        <v>1890</v>
      </c>
    </row>
    <row r="2195" spans="1:7">
      <c r="A2195" s="315" t="s">
        <v>518</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540</v>
      </c>
      <c r="B2198" s="950" t="s">
        <v>1596</v>
      </c>
      <c r="C2198" s="56">
        <v>45994</v>
      </c>
      <c r="D2198" s="155">
        <v>1029</v>
      </c>
      <c r="F2198" s="43" t="s">
        <v>1902</v>
      </c>
      <c r="G2198" t="s">
        <v>1890</v>
      </c>
    </row>
    <row r="2199" spans="1:7">
      <c r="A2199" s="950" t="s">
        <v>540</v>
      </c>
      <c r="B2199" s="950" t="s">
        <v>1686</v>
      </c>
      <c r="C2199" s="56">
        <v>45994</v>
      </c>
      <c r="F2199" s="337" t="s">
        <v>1903</v>
      </c>
      <c r="G2199" t="s">
        <v>1890</v>
      </c>
    </row>
    <row r="2200" spans="1:7">
      <c r="A2200" s="759" t="s">
        <v>540</v>
      </c>
      <c r="B2200" s="759" t="s">
        <v>1822</v>
      </c>
      <c r="C2200" s="56">
        <v>45994</v>
      </c>
      <c r="D2200" s="43">
        <v>100</v>
      </c>
      <c r="G2200" t="s">
        <v>1890</v>
      </c>
    </row>
    <row r="2201" spans="1:7">
      <c r="A2201" s="756" t="s">
        <v>1133</v>
      </c>
      <c r="B2201" s="756" t="s">
        <v>452</v>
      </c>
      <c r="C2201" s="56">
        <v>45994</v>
      </c>
      <c r="D2201" s="43">
        <v>974</v>
      </c>
      <c r="G2201" t="s">
        <v>1890</v>
      </c>
    </row>
    <row r="2202" spans="1:7">
      <c r="A2202" s="1094" t="s">
        <v>417</v>
      </c>
      <c r="B2202" s="1129" t="s">
        <v>143</v>
      </c>
      <c r="C2202" s="56">
        <v>45994</v>
      </c>
      <c r="D2202" s="43">
        <v>466</v>
      </c>
      <c r="F2202" s="43" t="s">
        <v>1904</v>
      </c>
      <c r="G2202" t="s">
        <v>1890</v>
      </c>
    </row>
    <row r="2203" spans="1:7">
      <c r="A2203" s="756" t="s">
        <v>1134</v>
      </c>
      <c r="B2203" s="1129" t="s">
        <v>449</v>
      </c>
      <c r="C2203" s="56">
        <v>45994</v>
      </c>
      <c r="D2203" s="43">
        <v>383</v>
      </c>
      <c r="G2203" t="s">
        <v>1890</v>
      </c>
    </row>
    <row r="2204" spans="1:7">
      <c r="A2204" s="756" t="s">
        <v>587</v>
      </c>
      <c r="B2204" s="1129" t="s">
        <v>131</v>
      </c>
      <c r="C2204" s="56">
        <v>45994</v>
      </c>
      <c r="D2204" s="155">
        <v>1379</v>
      </c>
      <c r="F2204" s="43" t="s">
        <v>1905</v>
      </c>
      <c r="G2204" t="s">
        <v>1890</v>
      </c>
    </row>
    <row r="2205" spans="1:7">
      <c r="A2205" s="756" t="s">
        <v>404</v>
      </c>
      <c r="B2205" s="756" t="s">
        <v>1730</v>
      </c>
      <c r="C2205" s="56">
        <v>45994</v>
      </c>
      <c r="D2205" s="155">
        <v>1677</v>
      </c>
      <c r="G2205" t="s">
        <v>1890</v>
      </c>
    </row>
    <row r="2206" spans="1:7">
      <c r="A2206" s="1130" t="s">
        <v>484</v>
      </c>
      <c r="B2206" s="1131" t="s">
        <v>131</v>
      </c>
      <c r="C2206" s="56">
        <v>45994</v>
      </c>
      <c r="D2206" s="155">
        <v>2430</v>
      </c>
      <c r="G2206" t="s">
        <v>1890</v>
      </c>
    </row>
    <row r="2207" spans="1:7">
      <c r="A2207" s="759" t="s">
        <v>518</v>
      </c>
      <c r="B2207" s="759" t="s">
        <v>131</v>
      </c>
      <c r="C2207" s="56">
        <v>45994</v>
      </c>
      <c r="D2207" s="43">
        <v>694</v>
      </c>
      <c r="G2207" t="s">
        <v>1890</v>
      </c>
    </row>
    <row r="2208" spans="1:7">
      <c r="A2208" s="1130" t="s">
        <v>315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540</v>
      </c>
      <c r="B2210" s="306" t="s">
        <v>1757</v>
      </c>
      <c r="C2210" s="56">
        <v>45995</v>
      </c>
      <c r="D2210" s="43">
        <v>285</v>
      </c>
      <c r="G2210" t="s">
        <v>1890</v>
      </c>
    </row>
    <row r="2211" spans="1:7">
      <c r="A2211" s="311" t="s">
        <v>540</v>
      </c>
      <c r="B2211" s="311" t="s">
        <v>1596</v>
      </c>
      <c r="C2211" s="56">
        <v>45995</v>
      </c>
      <c r="D2211" s="43">
        <v>756</v>
      </c>
      <c r="G2211" t="s">
        <v>1890</v>
      </c>
    </row>
    <row r="2212" spans="1:7">
      <c r="A2212" s="315" t="s">
        <v>540</v>
      </c>
      <c r="B2212" s="315" t="s">
        <v>1686</v>
      </c>
      <c r="C2212" s="56">
        <v>45995</v>
      </c>
      <c r="F2212" s="311" t="s">
        <v>1907</v>
      </c>
      <c r="G2212" t="s">
        <v>1890</v>
      </c>
    </row>
    <row r="2213" spans="1:7">
      <c r="A2213" s="306" t="s">
        <v>426</v>
      </c>
      <c r="B2213" s="306" t="s">
        <v>131</v>
      </c>
      <c r="C2213" s="56">
        <v>45995</v>
      </c>
      <c r="D2213" s="155">
        <v>1431</v>
      </c>
      <c r="F2213" s="43" t="s">
        <v>1908</v>
      </c>
      <c r="G2213" t="s">
        <v>1890</v>
      </c>
    </row>
    <row r="2214" spans="1:7">
      <c r="A2214" s="311" t="s">
        <v>417</v>
      </c>
      <c r="B2214" s="311" t="s">
        <v>143</v>
      </c>
      <c r="C2214" s="56">
        <v>45995</v>
      </c>
      <c r="D2214" s="43">
        <v>195</v>
      </c>
      <c r="F2214" s="43" t="s">
        <v>1909</v>
      </c>
      <c r="G2214" t="s">
        <v>1890</v>
      </c>
    </row>
    <row r="2215" spans="1:7">
      <c r="A2215" s="315" t="s">
        <v>1134</v>
      </c>
      <c r="B2215" s="315" t="s">
        <v>449</v>
      </c>
      <c r="C2215" s="56">
        <v>45995</v>
      </c>
      <c r="D2215" s="43">
        <v>490</v>
      </c>
      <c r="F2215" s="43" t="s">
        <v>1910</v>
      </c>
      <c r="G2215" t="s">
        <v>1890</v>
      </c>
    </row>
    <row r="2216" spans="1:7">
      <c r="A2216" s="315" t="s">
        <v>587</v>
      </c>
      <c r="B2216" s="315" t="s">
        <v>1911</v>
      </c>
      <c r="C2216" s="56">
        <v>45995</v>
      </c>
      <c r="D2216" s="155">
        <v>1154</v>
      </c>
      <c r="F2216" s="43" t="s">
        <v>1912</v>
      </c>
      <c r="G2216" t="s">
        <v>1890</v>
      </c>
    </row>
    <row r="2217" spans="1:7">
      <c r="A2217" s="1094" t="s">
        <v>417</v>
      </c>
      <c r="B2217" s="1129" t="s">
        <v>143</v>
      </c>
      <c r="C2217" s="56">
        <v>45995</v>
      </c>
      <c r="D2217" s="155">
        <v>150</v>
      </c>
      <c r="F2217" s="43" t="s">
        <v>1913</v>
      </c>
      <c r="G2217" t="s">
        <v>1890</v>
      </c>
    </row>
    <row r="2218" spans="1:7">
      <c r="A2218" s="141" t="s">
        <v>404</v>
      </c>
      <c r="B2218" s="141" t="s">
        <v>1730</v>
      </c>
      <c r="C2218" s="56">
        <v>45995</v>
      </c>
      <c r="D2218" s="155">
        <v>1316</v>
      </c>
      <c r="G2218" t="s">
        <v>1890</v>
      </c>
    </row>
    <row r="2219" spans="1:7">
      <c r="A2219" s="141" t="s">
        <v>410</v>
      </c>
      <c r="B2219" s="141" t="s">
        <v>1730</v>
      </c>
      <c r="C2219" s="56">
        <v>45995</v>
      </c>
      <c r="D2219" s="43">
        <v>489</v>
      </c>
      <c r="G2219" t="s">
        <v>1890</v>
      </c>
    </row>
    <row r="2220" spans="1:7">
      <c r="A2220" s="141" t="s">
        <v>310</v>
      </c>
      <c r="B2220" s="306" t="s">
        <v>131</v>
      </c>
      <c r="C2220" s="56">
        <v>45995</v>
      </c>
      <c r="E2220" s="139">
        <v>644</v>
      </c>
      <c r="F2220" s="43" t="s">
        <v>1914</v>
      </c>
      <c r="G2220" t="s">
        <v>1890</v>
      </c>
    </row>
    <row r="2221" spans="1:7">
      <c r="A2221" s="304" t="s">
        <v>489</v>
      </c>
      <c r="B2221" s="311" t="s">
        <v>1071</v>
      </c>
      <c r="C2221" s="56">
        <v>45995</v>
      </c>
      <c r="D2221" s="43">
        <v>64</v>
      </c>
      <c r="F2221" s="43" t="s">
        <v>1915</v>
      </c>
      <c r="G2221" t="s">
        <v>1890</v>
      </c>
    </row>
    <row r="2222" spans="1:7">
      <c r="A2222" s="247" t="s">
        <v>497</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540</v>
      </c>
      <c r="B2224" s="950" t="s">
        <v>1757</v>
      </c>
      <c r="C2224" s="56">
        <v>45996</v>
      </c>
      <c r="D2224" s="43">
        <v>710</v>
      </c>
      <c r="G2224" t="s">
        <v>1890</v>
      </c>
    </row>
    <row r="2225" spans="1:7">
      <c r="A2225" s="950" t="s">
        <v>540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452</v>
      </c>
      <c r="C2227" s="56">
        <v>45996</v>
      </c>
      <c r="D2227" s="43">
        <v>385</v>
      </c>
      <c r="F2227" s="43" t="s">
        <v>1918</v>
      </c>
      <c r="G2227" t="s">
        <v>1890</v>
      </c>
    </row>
    <row r="2228" spans="1:7">
      <c r="A2228" s="647" t="s">
        <v>606</v>
      </c>
      <c r="B2228" s="1135" t="s">
        <v>1510</v>
      </c>
      <c r="C2228" s="56">
        <v>45996</v>
      </c>
      <c r="E2228" s="139">
        <v>446</v>
      </c>
      <c r="F2228" s="756"/>
      <c r="G2228" t="s">
        <v>1890</v>
      </c>
    </row>
    <row r="2229" spans="1:7">
      <c r="A2229" s="647" t="s">
        <v>612</v>
      </c>
      <c r="B2229" s="1135" t="s">
        <v>1510</v>
      </c>
      <c r="C2229" s="56">
        <v>45996</v>
      </c>
      <c r="E2229" s="139">
        <v>422</v>
      </c>
      <c r="F2229" s="1129"/>
      <c r="G2229" t="s">
        <v>1890</v>
      </c>
    </row>
    <row r="2230" spans="1:7">
      <c r="A2230" s="647" t="s">
        <v>612</v>
      </c>
      <c r="B2230" s="1135" t="s">
        <v>1510</v>
      </c>
      <c r="C2230" s="56">
        <v>45996</v>
      </c>
      <c r="F2230" s="311" t="s">
        <v>1371</v>
      </c>
      <c r="G2230" t="s">
        <v>1890</v>
      </c>
    </row>
    <row r="2231" spans="1:7">
      <c r="A2231" s="1129" t="s">
        <v>1134</v>
      </c>
      <c r="B2231" s="1135" t="s">
        <v>449</v>
      </c>
      <c r="C2231" s="56">
        <v>45996</v>
      </c>
      <c r="F2231" s="311" t="s">
        <v>1919</v>
      </c>
      <c r="G2231" t="s">
        <v>1890</v>
      </c>
    </row>
    <row r="2232" spans="1:7">
      <c r="A2232" s="756" t="s">
        <v>410</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492</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540</v>
      </c>
      <c r="B2236" s="148" t="s">
        <v>1757</v>
      </c>
      <c r="C2236" s="56">
        <v>45999</v>
      </c>
      <c r="F2236" s="759" t="s">
        <v>1348</v>
      </c>
      <c r="G2236" t="s">
        <v>1890</v>
      </c>
    </row>
    <row r="2237" spans="1:7">
      <c r="A2237" s="148" t="s">
        <v>540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452</v>
      </c>
      <c r="C2239" s="56">
        <v>45999</v>
      </c>
      <c r="D2239" s="43">
        <v>640</v>
      </c>
      <c r="F2239" s="43" t="s">
        <v>1922</v>
      </c>
      <c r="G2239" t="s">
        <v>1890</v>
      </c>
    </row>
    <row r="2240" spans="1:7">
      <c r="A2240" s="1141" t="s">
        <v>609</v>
      </c>
      <c r="B2240" s="1142" t="s">
        <v>1510</v>
      </c>
      <c r="C2240" s="56">
        <v>45999</v>
      </c>
      <c r="F2240" s="311" t="s">
        <v>1923</v>
      </c>
      <c r="G2240" t="s">
        <v>1890</v>
      </c>
    </row>
    <row r="2241" spans="1:7">
      <c r="A2241" s="1094" t="s">
        <v>417</v>
      </c>
      <c r="B2241" s="1142" t="s">
        <v>143</v>
      </c>
      <c r="C2241" s="56">
        <v>45999</v>
      </c>
      <c r="D2241" s="155">
        <v>1172</v>
      </c>
      <c r="E2241" s="201"/>
      <c r="F2241" s="115" t="s">
        <v>1924</v>
      </c>
      <c r="G2241" t="s">
        <v>1890</v>
      </c>
    </row>
    <row r="2242" spans="1:7">
      <c r="A2242" s="1141" t="s">
        <v>426</v>
      </c>
      <c r="B2242" s="1142" t="s">
        <v>131</v>
      </c>
      <c r="C2242" s="56">
        <v>45999</v>
      </c>
      <c r="D2242" s="321">
        <v>1583</v>
      </c>
      <c r="E2242" s="43"/>
      <c r="F2242" s="43" t="s">
        <v>1925</v>
      </c>
      <c r="G2242" t="s">
        <v>1890</v>
      </c>
    </row>
    <row r="2243" spans="1:7">
      <c r="A2243" s="247" t="s">
        <v>587</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410</v>
      </c>
      <c r="B2245" s="43" t="s">
        <v>1730</v>
      </c>
      <c r="C2245" s="56">
        <v>45999</v>
      </c>
      <c r="D2245" s="139">
        <v>428</v>
      </c>
      <c r="E2245" s="43"/>
      <c r="F2245" s="43" t="s">
        <v>1927</v>
      </c>
      <c r="G2245" t="s">
        <v>1890</v>
      </c>
    </row>
    <row r="2246" spans="1:7">
      <c r="A2246" s="404" t="s">
        <v>512</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540</v>
      </c>
      <c r="B2248" s="148" t="s">
        <v>1757</v>
      </c>
      <c r="C2248" s="56">
        <v>46000</v>
      </c>
      <c r="F2248" s="311" t="s">
        <v>1348</v>
      </c>
      <c r="G2248" t="s">
        <v>1890</v>
      </c>
    </row>
    <row r="2249" spans="1:7">
      <c r="A2249" s="148" t="s">
        <v>540</v>
      </c>
      <c r="B2249" s="148" t="s">
        <v>1596</v>
      </c>
      <c r="C2249" s="56">
        <v>46000</v>
      </c>
      <c r="D2249" s="43">
        <v>442</v>
      </c>
      <c r="F2249" s="43" t="s">
        <v>1929</v>
      </c>
      <c r="G2249" t="s">
        <v>1890</v>
      </c>
    </row>
    <row r="2250" spans="1:7">
      <c r="A2250" s="148" t="s">
        <v>540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452</v>
      </c>
      <c r="C2252" s="56">
        <v>46000</v>
      </c>
      <c r="D2252" s="43">
        <v>541</v>
      </c>
      <c r="F2252" s="43" t="s">
        <v>1931</v>
      </c>
      <c r="G2252" t="s">
        <v>1890</v>
      </c>
    </row>
    <row r="2253" spans="1:7">
      <c r="A2253" s="1141" t="s">
        <v>426</v>
      </c>
      <c r="B2253" s="247" t="s">
        <v>131</v>
      </c>
      <c r="C2253" s="310">
        <v>46000</v>
      </c>
      <c r="D2253" s="155">
        <v>1325</v>
      </c>
      <c r="F2253" s="43" t="s">
        <v>1881</v>
      </c>
      <c r="G2253" t="s">
        <v>1890</v>
      </c>
    </row>
    <row r="2254" spans="1:7">
      <c r="A2254" s="1141" t="s">
        <v>587</v>
      </c>
      <c r="B2254" s="43" t="s">
        <v>1510</v>
      </c>
      <c r="C2254" s="310">
        <v>46000</v>
      </c>
      <c r="E2254" s="139">
        <v>540</v>
      </c>
      <c r="G2254" t="s">
        <v>1890</v>
      </c>
    </row>
    <row r="2255" spans="1:7">
      <c r="A2255" s="805" t="s">
        <v>581</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398</v>
      </c>
      <c r="B2257" s="169" t="s">
        <v>1730</v>
      </c>
      <c r="C2257" s="56">
        <v>46000</v>
      </c>
      <c r="D2257" s="155">
        <v>1640</v>
      </c>
      <c r="F2257" s="43" t="s">
        <v>1933</v>
      </c>
      <c r="G2257" t="s">
        <v>1890</v>
      </c>
    </row>
    <row r="2258" spans="1:7">
      <c r="A2258" s="404" t="s">
        <v>506</v>
      </c>
      <c r="B2258" s="173" t="s">
        <v>131</v>
      </c>
      <c r="C2258" s="56">
        <v>46000</v>
      </c>
      <c r="D2258" s="155">
        <v>1980</v>
      </c>
      <c r="F2258" s="43" t="s">
        <v>1934</v>
      </c>
      <c r="G2258" t="s">
        <v>1890</v>
      </c>
    </row>
    <row r="2259" spans="1:7">
      <c r="A2259" s="404" t="s">
        <v>512</v>
      </c>
      <c r="B2259" s="173" t="s">
        <v>131</v>
      </c>
      <c r="C2259" s="56">
        <v>46000</v>
      </c>
      <c r="D2259" s="155">
        <v>3343</v>
      </c>
      <c r="G2259" t="s">
        <v>1890</v>
      </c>
    </row>
    <row r="2260" spans="1:7">
      <c r="A2260" s="161" t="s">
        <v>460</v>
      </c>
      <c r="B2260" s="139" t="s">
        <v>131</v>
      </c>
      <c r="C2260" s="56">
        <v>46000</v>
      </c>
      <c r="D2260" s="155">
        <v>2203</v>
      </c>
      <c r="F2260" s="43" t="s">
        <v>1152</v>
      </c>
      <c r="G2260" t="s">
        <v>1890</v>
      </c>
    </row>
    <row r="2261" spans="1:7">
      <c r="A2261" s="955" t="s">
        <v>318</v>
      </c>
      <c r="B2261" s="139" t="s">
        <v>131</v>
      </c>
      <c r="C2261" s="56">
        <v>46000</v>
      </c>
      <c r="D2261" s="155">
        <v>1111</v>
      </c>
      <c r="G2261" t="s">
        <v>1890</v>
      </c>
    </row>
    <row r="2262" spans="1:7">
      <c r="A2262" s="404" t="s">
        <v>515</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540</v>
      </c>
      <c r="B2264" s="950" t="s">
        <v>1757</v>
      </c>
      <c r="C2264" s="56">
        <v>46001</v>
      </c>
      <c r="F2264" s="782" t="s">
        <v>1348</v>
      </c>
      <c r="G2264" t="s">
        <v>1890</v>
      </c>
    </row>
    <row r="2265" spans="1:7">
      <c r="A2265" s="759" t="s">
        <v>540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452</v>
      </c>
      <c r="C2267" s="56">
        <v>46001</v>
      </c>
      <c r="D2267" s="43">
        <v>330</v>
      </c>
      <c r="F2267" s="43" t="s">
        <v>1737</v>
      </c>
      <c r="G2267" t="s">
        <v>1890</v>
      </c>
    </row>
    <row r="2268" spans="1:7">
      <c r="A2268" s="786" t="s">
        <v>426</v>
      </c>
      <c r="B2268" s="1144" t="s">
        <v>131</v>
      </c>
      <c r="C2268" s="56">
        <v>46001</v>
      </c>
      <c r="D2268" s="43">
        <v>621</v>
      </c>
      <c r="F2268" s="43" t="s">
        <v>1937</v>
      </c>
      <c r="G2268" t="s">
        <v>1890</v>
      </c>
    </row>
    <row r="2269" spans="1:7">
      <c r="A2269" s="744" t="s">
        <v>581</v>
      </c>
      <c r="B2269" s="759" t="s">
        <v>143</v>
      </c>
      <c r="C2269" s="56">
        <v>46001</v>
      </c>
      <c r="D2269" s="155">
        <v>1084</v>
      </c>
      <c r="F2269" s="43" t="s">
        <v>1938</v>
      </c>
      <c r="G2269" t="s">
        <v>1890</v>
      </c>
    </row>
    <row r="2270" spans="1:7">
      <c r="A2270" s="930" t="s">
        <v>609</v>
      </c>
      <c r="B2270" s="947" t="s">
        <v>1510</v>
      </c>
      <c r="C2270" s="56">
        <v>46001</v>
      </c>
      <c r="E2270" s="321">
        <v>1685</v>
      </c>
      <c r="G2270" t="s">
        <v>1890</v>
      </c>
    </row>
    <row r="2271" spans="1:7">
      <c r="A2271" s="756" t="s">
        <v>398</v>
      </c>
      <c r="B2271" s="756" t="s">
        <v>1730</v>
      </c>
      <c r="C2271" s="56">
        <v>46001</v>
      </c>
      <c r="D2271" s="155">
        <v>1177</v>
      </c>
      <c r="F2271" s="43" t="s">
        <v>1939</v>
      </c>
      <c r="G2271" t="s">
        <v>1890</v>
      </c>
    </row>
    <row r="2272" spans="1:7">
      <c r="A2272" s="756" t="s">
        <v>401</v>
      </c>
      <c r="B2272" s="756" t="s">
        <v>1730</v>
      </c>
      <c r="C2272" s="56">
        <v>46001</v>
      </c>
      <c r="D2272" s="43">
        <v>817</v>
      </c>
      <c r="F2272" s="43" t="s">
        <v>1940</v>
      </c>
      <c r="G2272" t="s">
        <v>1890</v>
      </c>
    </row>
    <row r="2273" spans="1:7">
      <c r="A2273" s="756" t="s">
        <v>506</v>
      </c>
      <c r="B2273" s="756" t="s">
        <v>131</v>
      </c>
      <c r="C2273" s="56">
        <v>46001</v>
      </c>
      <c r="D2273" s="155">
        <v>1251</v>
      </c>
      <c r="G2273" t="s">
        <v>1890</v>
      </c>
    </row>
    <row r="2274" spans="1:7">
      <c r="A2274" s="1145" t="s">
        <v>512</v>
      </c>
      <c r="B2274" s="1129" t="s">
        <v>131</v>
      </c>
      <c r="C2274" s="56">
        <v>46001</v>
      </c>
      <c r="D2274" s="43">
        <v>931</v>
      </c>
      <c r="G2274" t="s">
        <v>1890</v>
      </c>
    </row>
    <row r="2275" spans="1:7">
      <c r="A2275" s="756" t="s">
        <v>515</v>
      </c>
      <c r="B2275" s="1003" t="s">
        <v>131</v>
      </c>
      <c r="C2275" s="56">
        <v>46001</v>
      </c>
      <c r="D2275" s="43">
        <v>522</v>
      </c>
      <c r="G2275" t="s">
        <v>1890</v>
      </c>
    </row>
    <row r="2276" spans="1:7">
      <c r="A2276" s="756" t="s">
        <v>518</v>
      </c>
      <c r="B2276" s="731" t="s">
        <v>131</v>
      </c>
      <c r="C2276" s="56">
        <v>46001</v>
      </c>
      <c r="D2276" s="43">
        <v>91</v>
      </c>
      <c r="G2276" t="s">
        <v>1890</v>
      </c>
    </row>
    <row r="2277" spans="1:7">
      <c r="A2277" s="756" t="s">
        <v>460</v>
      </c>
      <c r="B2277" s="1063" t="s">
        <v>131</v>
      </c>
      <c r="C2277" s="56">
        <v>46001</v>
      </c>
      <c r="E2277" s="321">
        <v>3674</v>
      </c>
      <c r="F2277" s="43" t="s">
        <v>1941</v>
      </c>
      <c r="G2277" t="s">
        <v>1890</v>
      </c>
    </row>
    <row r="2278" spans="1:7">
      <c r="A2278" s="756" t="s">
        <v>318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540</v>
      </c>
      <c r="B2281" s="148" t="s">
        <v>1757</v>
      </c>
      <c r="C2281" s="56">
        <v>46002</v>
      </c>
      <c r="F2281" s="782" t="s">
        <v>1348</v>
      </c>
      <c r="G2281" t="s">
        <v>1890</v>
      </c>
    </row>
    <row r="2282" spans="1:7">
      <c r="A2282" s="148" t="s">
        <v>540</v>
      </c>
      <c r="B2282" s="148" t="s">
        <v>1596</v>
      </c>
      <c r="C2282" s="56">
        <v>46002</v>
      </c>
      <c r="F2282" s="311" t="s">
        <v>1944</v>
      </c>
      <c r="G2282" t="s">
        <v>1890</v>
      </c>
    </row>
    <row r="2283" spans="1:7">
      <c r="A2283" s="148" t="s">
        <v>540</v>
      </c>
      <c r="B2283" s="173" t="s">
        <v>1782</v>
      </c>
      <c r="C2283" s="56">
        <v>46002</v>
      </c>
      <c r="F2283" s="311" t="s">
        <v>1945</v>
      </c>
      <c r="G2283" t="s">
        <v>1890</v>
      </c>
    </row>
    <row r="2284" spans="1:7">
      <c r="A2284" s="247" t="s">
        <v>1137</v>
      </c>
      <c r="B2284" s="1142" t="s">
        <v>452</v>
      </c>
      <c r="C2284" s="56">
        <v>46002</v>
      </c>
      <c r="D2284" s="43">
        <v>520</v>
      </c>
      <c r="G2284" t="s">
        <v>1890</v>
      </c>
    </row>
    <row r="2285" spans="1:7">
      <c r="A2285" s="1146" t="s">
        <v>414</v>
      </c>
      <c r="B2285" s="1142" t="s">
        <v>143</v>
      </c>
      <c r="C2285" s="56">
        <v>46002</v>
      </c>
      <c r="D2285" s="155">
        <v>1351</v>
      </c>
      <c r="F2285" s="43" t="s">
        <v>1946</v>
      </c>
      <c r="G2285" t="s">
        <v>1890</v>
      </c>
    </row>
    <row r="2286" spans="1:7">
      <c r="A2286" s="43" t="s">
        <v>401</v>
      </c>
      <c r="B2286" s="43" t="s">
        <v>1730</v>
      </c>
      <c r="C2286" s="56">
        <v>46002</v>
      </c>
      <c r="D2286" s="155">
        <v>1820</v>
      </c>
      <c r="F2286" s="759" t="s">
        <v>1947</v>
      </c>
      <c r="G2286" t="s">
        <v>1890</v>
      </c>
    </row>
    <row r="2287" spans="1:7">
      <c r="A2287" s="1147" t="s">
        <v>506</v>
      </c>
      <c r="B2287" s="69" t="s">
        <v>131</v>
      </c>
      <c r="C2287" s="56">
        <v>46002</v>
      </c>
      <c r="D2287" s="155">
        <v>3172</v>
      </c>
      <c r="G2287" t="s">
        <v>1890</v>
      </c>
    </row>
    <row r="2288" spans="1:7">
      <c r="A2288" s="1147" t="s">
        <v>494</v>
      </c>
      <c r="B2288" s="69" t="s">
        <v>131</v>
      </c>
      <c r="C2288" s="56">
        <v>46002</v>
      </c>
      <c r="D2288" s="43">
        <v>242</v>
      </c>
      <c r="F2288" s="43" t="s">
        <v>1948</v>
      </c>
      <c r="G2288" t="s">
        <v>1890</v>
      </c>
    </row>
    <row r="2289" spans="1:7">
      <c r="A2289" s="395" t="s">
        <v>515</v>
      </c>
      <c r="B2289" s="43" t="s">
        <v>131</v>
      </c>
      <c r="C2289" s="56">
        <v>46002</v>
      </c>
      <c r="D2289" s="155">
        <v>1194</v>
      </c>
      <c r="G2289" t="s">
        <v>1890</v>
      </c>
    </row>
    <row r="2290" spans="1:7">
      <c r="A2290" s="1148" t="s">
        <v>318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540</v>
      </c>
      <c r="B2293" s="950" t="s">
        <v>1757</v>
      </c>
      <c r="C2293" s="56">
        <v>46003</v>
      </c>
      <c r="D2293" s="43">
        <v>706</v>
      </c>
      <c r="G2293" t="s">
        <v>1890</v>
      </c>
    </row>
    <row r="2294" spans="1:7">
      <c r="A2294" s="759" t="s">
        <v>540</v>
      </c>
      <c r="B2294" s="759" t="s">
        <v>1782</v>
      </c>
      <c r="C2294" s="56">
        <v>46003</v>
      </c>
      <c r="F2294" s="759" t="s">
        <v>1950</v>
      </c>
      <c r="G2294" t="s">
        <v>1890</v>
      </c>
    </row>
    <row r="2295" spans="1:7">
      <c r="A2295" s="950" t="s">
        <v>540</v>
      </c>
      <c r="B2295" s="950" t="s">
        <v>1596</v>
      </c>
      <c r="C2295" s="56">
        <v>46003</v>
      </c>
      <c r="F2295" s="759" t="s">
        <v>1951</v>
      </c>
      <c r="G2295" t="s">
        <v>1890</v>
      </c>
    </row>
    <row r="2296" spans="1:7">
      <c r="A2296" s="759" t="s">
        <v>1137</v>
      </c>
      <c r="B2296" s="759" t="s">
        <v>452</v>
      </c>
      <c r="C2296" s="56">
        <v>46003</v>
      </c>
      <c r="D2296" s="43">
        <v>550</v>
      </c>
      <c r="F2296" s="43" t="s">
        <v>1952</v>
      </c>
      <c r="G2296" t="s">
        <v>1890</v>
      </c>
    </row>
    <row r="2297" spans="1:7">
      <c r="A2297" s="759" t="s">
        <v>293</v>
      </c>
      <c r="B2297" s="759" t="s">
        <v>1510</v>
      </c>
      <c r="C2297" s="56">
        <v>46003</v>
      </c>
      <c r="D2297" s="155">
        <v>1832</v>
      </c>
      <c r="F2297" s="43" t="s">
        <v>1953</v>
      </c>
      <c r="G2297" t="s">
        <v>1890</v>
      </c>
    </row>
    <row r="2298" spans="1:7">
      <c r="A2298" s="1129" t="s">
        <v>494</v>
      </c>
      <c r="B2298" s="1129" t="s">
        <v>131</v>
      </c>
      <c r="C2298" s="56">
        <v>46003</v>
      </c>
      <c r="F2298" s="337" t="s">
        <v>1954</v>
      </c>
      <c r="G2298" t="s">
        <v>1890</v>
      </c>
    </row>
    <row r="2299" spans="1:7">
      <c r="A2299" s="1145" t="s">
        <v>515</v>
      </c>
      <c r="B2299" s="1145" t="s">
        <v>131</v>
      </c>
      <c r="C2299" s="56">
        <v>46003</v>
      </c>
      <c r="D2299" s="155">
        <v>2811</v>
      </c>
      <c r="G2299" t="s">
        <v>1890</v>
      </c>
    </row>
    <row r="2300" spans="1:7">
      <c r="A2300" s="756" t="s">
        <v>318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540</v>
      </c>
      <c r="B2303" s="148" t="s">
        <v>1757</v>
      </c>
      <c r="C2303" s="56">
        <v>46006</v>
      </c>
      <c r="D2303" s="43">
        <v>735</v>
      </c>
      <c r="G2303" t="s">
        <v>1890</v>
      </c>
    </row>
    <row r="2304" spans="1:7">
      <c r="A2304" s="148" t="s">
        <v>540</v>
      </c>
      <c r="B2304" s="148" t="s">
        <v>1596</v>
      </c>
      <c r="C2304" s="56">
        <v>46006</v>
      </c>
      <c r="F2304" s="759" t="s">
        <v>1371</v>
      </c>
      <c r="G2304" t="s">
        <v>1890</v>
      </c>
    </row>
    <row r="2305" spans="1:7">
      <c r="A2305" s="247" t="s">
        <v>1137</v>
      </c>
      <c r="B2305" s="1142" t="s">
        <v>452</v>
      </c>
      <c r="C2305" s="56">
        <v>46006</v>
      </c>
      <c r="D2305" s="43">
        <v>752</v>
      </c>
      <c r="F2305" s="43" t="s">
        <v>1931</v>
      </c>
      <c r="G2305" t="s">
        <v>1890</v>
      </c>
    </row>
    <row r="2306" spans="1:7">
      <c r="A2306" s="1146" t="s">
        <v>414</v>
      </c>
      <c r="B2306" s="1143" t="s">
        <v>143</v>
      </c>
      <c r="C2306" s="56">
        <v>46006</v>
      </c>
      <c r="D2306" s="43">
        <v>689</v>
      </c>
      <c r="F2306" s="43" t="s">
        <v>1958</v>
      </c>
      <c r="G2306" t="s">
        <v>1890</v>
      </c>
    </row>
    <row r="2307" spans="1:7">
      <c r="A2307" s="1094" t="s">
        <v>568</v>
      </c>
      <c r="B2307" s="247" t="s">
        <v>131</v>
      </c>
      <c r="C2307" s="310">
        <v>46006</v>
      </c>
      <c r="D2307" s="155">
        <v>1095</v>
      </c>
      <c r="G2307" t="s">
        <v>1890</v>
      </c>
    </row>
    <row r="2308" spans="1:7">
      <c r="A2308" s="1341" t="s">
        <v>584</v>
      </c>
      <c r="B2308" s="43" t="s">
        <v>131</v>
      </c>
      <c r="C2308" s="310">
        <v>46006</v>
      </c>
      <c r="D2308" s="155">
        <v>1344</v>
      </c>
      <c r="F2308" s="43" t="s">
        <v>1959</v>
      </c>
      <c r="G2308" t="s">
        <v>1890</v>
      </c>
    </row>
    <row r="2309" spans="1:7">
      <c r="A2309" s="1341" t="s">
        <v>609</v>
      </c>
      <c r="B2309" s="43" t="s">
        <v>131</v>
      </c>
      <c r="C2309" s="310">
        <v>46006</v>
      </c>
      <c r="F2309" s="759" t="s">
        <v>1371</v>
      </c>
      <c r="G2309" t="s">
        <v>1890</v>
      </c>
    </row>
    <row r="2310" spans="1:7">
      <c r="A2310" s="148" t="s">
        <v>412</v>
      </c>
      <c r="B2310" s="43" t="s">
        <v>1730</v>
      </c>
      <c r="C2310" s="56">
        <v>46006</v>
      </c>
      <c r="D2310" s="155">
        <v>1511</v>
      </c>
      <c r="F2310" s="43" t="s">
        <v>1960</v>
      </c>
      <c r="G2310" t="s">
        <v>1890</v>
      </c>
    </row>
    <row r="2311" spans="1:7">
      <c r="A2311" s="1147" t="s">
        <v>506</v>
      </c>
      <c r="B2311" s="69" t="s">
        <v>131</v>
      </c>
      <c r="C2311" s="56">
        <v>46006</v>
      </c>
      <c r="D2311" s="43">
        <v>29</v>
      </c>
      <c r="E2311" s="201"/>
      <c r="F2311" s="115"/>
      <c r="G2311" t="s">
        <v>1890</v>
      </c>
    </row>
    <row r="2312" spans="1:7">
      <c r="A2312" s="1147" t="s">
        <v>469</v>
      </c>
      <c r="B2312" s="69" t="s">
        <v>131</v>
      </c>
      <c r="C2312" s="56">
        <v>46006</v>
      </c>
      <c r="D2312" s="139"/>
      <c r="E2312" s="43"/>
      <c r="F2312" s="756" t="s">
        <v>1371</v>
      </c>
      <c r="G2312" t="s">
        <v>1890</v>
      </c>
    </row>
    <row r="2313" spans="1:7">
      <c r="A2313" s="1147" t="s">
        <v>500</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540</v>
      </c>
      <c r="B2316" s="148" t="s">
        <v>1757</v>
      </c>
      <c r="C2316" s="56">
        <v>46007</v>
      </c>
      <c r="F2316" s="759" t="s">
        <v>1963</v>
      </c>
      <c r="G2316" t="s">
        <v>1890</v>
      </c>
    </row>
    <row r="2317" spans="1:7">
      <c r="A2317" s="247" t="s">
        <v>1137</v>
      </c>
      <c r="B2317" s="1142" t="s">
        <v>452</v>
      </c>
      <c r="C2317" s="56">
        <v>46007</v>
      </c>
      <c r="D2317" s="155">
        <v>1249</v>
      </c>
      <c r="F2317" s="43" t="s">
        <v>1964</v>
      </c>
      <c r="G2317" t="s">
        <v>1890</v>
      </c>
    </row>
    <row r="2318" spans="1:7">
      <c r="A2318" s="1141" t="s">
        <v>414</v>
      </c>
      <c r="B2318" s="1142" t="s">
        <v>143</v>
      </c>
      <c r="C2318" s="56">
        <v>46007</v>
      </c>
      <c r="D2318" s="43">
        <v>586</v>
      </c>
      <c r="F2318" s="43" t="s">
        <v>1965</v>
      </c>
      <c r="G2318" t="s">
        <v>1890</v>
      </c>
    </row>
    <row r="2319" spans="1:7">
      <c r="A2319" s="1094" t="s">
        <v>568</v>
      </c>
      <c r="B2319" s="1142" t="s">
        <v>131</v>
      </c>
      <c r="C2319" s="56">
        <v>46007</v>
      </c>
      <c r="D2319" s="155">
        <v>1676</v>
      </c>
      <c r="F2319" s="43" t="s">
        <v>1966</v>
      </c>
      <c r="G2319" t="s">
        <v>1890</v>
      </c>
    </row>
    <row r="2320" spans="1:7">
      <c r="A2320" s="1141" t="s">
        <v>584</v>
      </c>
      <c r="B2320" t="s">
        <v>131</v>
      </c>
      <c r="C2320" s="56">
        <v>46007</v>
      </c>
      <c r="D2320" s="155">
        <v>1583</v>
      </c>
      <c r="F2320" s="43" t="s">
        <v>1967</v>
      </c>
      <c r="G2320" t="s">
        <v>1890</v>
      </c>
    </row>
    <row r="2321" spans="1:7">
      <c r="A2321" s="432" t="s">
        <v>217</v>
      </c>
      <c r="B2321" s="371" t="s">
        <v>218</v>
      </c>
      <c r="C2321" s="56">
        <v>46007</v>
      </c>
      <c r="D2321" s="43">
        <v>890</v>
      </c>
      <c r="F2321" s="43" t="s">
        <v>1968</v>
      </c>
      <c r="G2321" t="s">
        <v>1890</v>
      </c>
    </row>
    <row r="2322" spans="1:7">
      <c r="A2322" s="43" t="s">
        <v>293</v>
      </c>
      <c r="B2322" s="115" t="s">
        <v>1510</v>
      </c>
      <c r="C2322" s="56">
        <v>46007</v>
      </c>
      <c r="D2322" s="155">
        <v>1164</v>
      </c>
      <c r="G2322" t="s">
        <v>1890</v>
      </c>
    </row>
    <row r="2323" spans="1:7">
      <c r="A2323" s="148" t="s">
        <v>412</v>
      </c>
      <c r="B2323" s="43" t="s">
        <v>1730</v>
      </c>
      <c r="C2323" s="56">
        <v>46007</v>
      </c>
      <c r="D2323" s="155">
        <v>1887</v>
      </c>
      <c r="F2323" s="43" t="s">
        <v>1969</v>
      </c>
      <c r="G2323" t="s">
        <v>1890</v>
      </c>
    </row>
    <row r="2324" spans="1:7">
      <c r="A2324" s="1082" t="s">
        <v>506</v>
      </c>
      <c r="B2324" s="69" t="s">
        <v>131</v>
      </c>
      <c r="C2324" s="56">
        <v>46007</v>
      </c>
      <c r="F2324" s="337" t="s">
        <v>1970</v>
      </c>
      <c r="G2324" t="s">
        <v>1890</v>
      </c>
    </row>
    <row r="2325" spans="1:7">
      <c r="A2325" s="69" t="s">
        <v>509</v>
      </c>
      <c r="B2325" s="69" t="s">
        <v>131</v>
      </c>
      <c r="C2325" s="56">
        <v>46007</v>
      </c>
      <c r="D2325" s="155">
        <v>1617</v>
      </c>
      <c r="G2325" t="s">
        <v>1890</v>
      </c>
    </row>
    <row r="2326" spans="1:7">
      <c r="A2326" s="148" t="s">
        <v>1136</v>
      </c>
      <c r="B2326" s="148" t="s">
        <v>1757</v>
      </c>
      <c r="C2326" s="56">
        <v>46008</v>
      </c>
      <c r="D2326" s="43">
        <v>743</v>
      </c>
      <c r="G2326" t="s">
        <v>1890</v>
      </c>
    </row>
    <row r="2327" spans="1:7">
      <c r="A2327" s="148" t="s">
        <v>540</v>
      </c>
      <c r="B2327" s="148" t="s">
        <v>1757</v>
      </c>
      <c r="C2327" s="56">
        <v>46008</v>
      </c>
      <c r="F2327" s="1350" t="s">
        <v>1971</v>
      </c>
      <c r="G2327" t="s">
        <v>1890</v>
      </c>
    </row>
    <row r="2328" spans="1:7">
      <c r="A2328" s="148" t="s">
        <v>1136</v>
      </c>
      <c r="B2328" s="148" t="s">
        <v>1596</v>
      </c>
      <c r="C2328" s="56">
        <v>46008</v>
      </c>
      <c r="D2328" s="43">
        <v>467</v>
      </c>
      <c r="G2328" t="s">
        <v>1890</v>
      </c>
    </row>
    <row r="2329" spans="1:7">
      <c r="A2329" s="148" t="s">
        <v>540</v>
      </c>
      <c r="B2329" s="115" t="s">
        <v>1686</v>
      </c>
      <c r="C2329" s="56">
        <v>46008</v>
      </c>
      <c r="F2329" s="925" t="s">
        <v>1972</v>
      </c>
      <c r="G2329" t="s">
        <v>1890</v>
      </c>
    </row>
    <row r="2330" spans="1:7">
      <c r="A2330" s="148" t="s">
        <v>540</v>
      </c>
      <c r="B2330" s="148" t="s">
        <v>1596</v>
      </c>
      <c r="C2330" s="56">
        <v>46008</v>
      </c>
      <c r="F2330" s="1350" t="s">
        <v>1950</v>
      </c>
      <c r="G2330" t="s">
        <v>1890</v>
      </c>
    </row>
    <row r="2331" spans="1:7">
      <c r="A2331" s="247" t="s">
        <v>1137</v>
      </c>
      <c r="B2331" s="1142" t="s">
        <v>452</v>
      </c>
      <c r="C2331" s="56">
        <v>46008</v>
      </c>
      <c r="D2331" s="43">
        <v>235</v>
      </c>
      <c r="F2331" s="43" t="s">
        <v>1964</v>
      </c>
      <c r="G2331" t="s">
        <v>1890</v>
      </c>
    </row>
    <row r="2332" spans="1:7">
      <c r="A2332" s="1141" t="s">
        <v>414</v>
      </c>
      <c r="B2332" s="1142" t="s">
        <v>143</v>
      </c>
      <c r="C2332" s="56">
        <v>46008</v>
      </c>
      <c r="D2332" s="43">
        <v>199</v>
      </c>
      <c r="F2332" s="43" t="s">
        <v>1973</v>
      </c>
      <c r="G2332" t="s">
        <v>1890</v>
      </c>
    </row>
    <row r="2333" spans="1:7">
      <c r="A2333" s="1094" t="s">
        <v>568</v>
      </c>
      <c r="B2333" s="1142" t="s">
        <v>131</v>
      </c>
      <c r="C2333" s="56">
        <v>46008</v>
      </c>
      <c r="D2333" s="155">
        <v>1139</v>
      </c>
      <c r="F2333" s="43" t="s">
        <v>1974</v>
      </c>
      <c r="G2333" t="s">
        <v>1890</v>
      </c>
    </row>
    <row r="2334" spans="1:7">
      <c r="A2334" s="1141" t="s">
        <v>584</v>
      </c>
      <c r="B2334" t="s">
        <v>131</v>
      </c>
      <c r="C2334" s="56">
        <v>46008</v>
      </c>
      <c r="D2334" s="155">
        <v>1027</v>
      </c>
      <c r="F2334" s="43" t="s">
        <v>1975</v>
      </c>
      <c r="G2334" t="s">
        <v>1890</v>
      </c>
    </row>
    <row r="2335" spans="1:7">
      <c r="A2335" s="1349" t="s">
        <v>417</v>
      </c>
      <c r="B2335" s="1142" t="s">
        <v>143</v>
      </c>
      <c r="C2335" s="56">
        <v>46008</v>
      </c>
      <c r="D2335" s="43">
        <v>163</v>
      </c>
      <c r="F2335" s="43" t="s">
        <v>1976</v>
      </c>
      <c r="G2335" t="s">
        <v>1890</v>
      </c>
    </row>
    <row r="2336" spans="1:7">
      <c r="A2336" s="432" t="s">
        <v>217</v>
      </c>
      <c r="B2336" s="371" t="s">
        <v>218</v>
      </c>
      <c r="C2336" s="56">
        <v>46008</v>
      </c>
      <c r="D2336" s="155">
        <v>1810</v>
      </c>
      <c r="F2336" s="43" t="s">
        <v>1977</v>
      </c>
      <c r="G2336" t="s">
        <v>1890</v>
      </c>
    </row>
    <row r="2337" spans="1:7">
      <c r="A2337" s="43" t="s">
        <v>293</v>
      </c>
      <c r="B2337" s="115" t="s">
        <v>1510</v>
      </c>
      <c r="C2337" s="56">
        <v>46008</v>
      </c>
      <c r="D2337" s="43">
        <v>308</v>
      </c>
      <c r="F2337" s="43" t="s">
        <v>1978</v>
      </c>
      <c r="G2337" t="s">
        <v>1890</v>
      </c>
    </row>
    <row r="2338" spans="1:7">
      <c r="A2338" s="148" t="s">
        <v>412</v>
      </c>
      <c r="B2338" s="43" t="s">
        <v>1730</v>
      </c>
      <c r="C2338" s="56">
        <v>46008</v>
      </c>
      <c r="D2338" s="43">
        <v>916</v>
      </c>
      <c r="F2338" s="43" t="s">
        <v>1979</v>
      </c>
      <c r="G2338" t="s">
        <v>1890</v>
      </c>
    </row>
    <row r="2339" spans="1:7">
      <c r="A2339" s="1082" t="s">
        <v>518</v>
      </c>
      <c r="B2339" s="69" t="s">
        <v>131</v>
      </c>
      <c r="C2339" s="56">
        <v>46008</v>
      </c>
      <c r="D2339" s="43">
        <v>320</v>
      </c>
      <c r="G2339" t="s">
        <v>1890</v>
      </c>
    </row>
    <row r="2340" spans="1:7">
      <c r="A2340" s="148" t="s">
        <v>509</v>
      </c>
      <c r="B2340" s="148" t="s">
        <v>131</v>
      </c>
      <c r="C2340" s="56">
        <v>46008</v>
      </c>
      <c r="D2340" s="155">
        <v>1083</v>
      </c>
      <c r="G2340" t="s">
        <v>1890</v>
      </c>
    </row>
    <row r="2341" spans="1:7">
      <c r="A2341" s="148" t="s">
        <v>494</v>
      </c>
      <c r="B2341" s="148" t="s">
        <v>131</v>
      </c>
      <c r="C2341" s="56">
        <v>46008</v>
      </c>
      <c r="F2341" s="311" t="s">
        <v>1160</v>
      </c>
      <c r="G2341" t="s">
        <v>1890</v>
      </c>
    </row>
    <row r="2342" spans="1:7">
      <c r="A2342" s="1147" t="s">
        <v>315</v>
      </c>
      <c r="B2342" s="69" t="s">
        <v>131</v>
      </c>
      <c r="C2342" s="56">
        <v>46008</v>
      </c>
      <c r="D2342" s="43">
        <v>372</v>
      </c>
      <c r="G2342" t="s">
        <v>1890</v>
      </c>
    </row>
    <row r="2343" spans="1:7">
      <c r="A2343" s="1147" t="s">
        <v>327</v>
      </c>
      <c r="B2343" s="69" t="s">
        <v>131</v>
      </c>
      <c r="C2343" s="56">
        <v>46008</v>
      </c>
      <c r="D2343" s="43">
        <v>95</v>
      </c>
      <c r="G2343" t="s">
        <v>1890</v>
      </c>
    </row>
    <row r="2344" spans="1:7">
      <c r="A2344" s="1147" t="s">
        <v>515</v>
      </c>
      <c r="B2344" s="69" t="s">
        <v>131</v>
      </c>
      <c r="C2344" s="56">
        <v>46008</v>
      </c>
      <c r="D2344" s="155">
        <v>1049</v>
      </c>
      <c r="G2344" t="s">
        <v>1890</v>
      </c>
    </row>
    <row r="2345" spans="1:7">
      <c r="A2345" s="148" t="s">
        <v>492</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0" t="s">
        <v>1950</v>
      </c>
      <c r="G2347" t="s">
        <v>1890</v>
      </c>
    </row>
    <row r="2348" spans="1:7">
      <c r="A2348" s="317" t="s">
        <v>1136</v>
      </c>
      <c r="B2348" s="306" t="s">
        <v>1510</v>
      </c>
      <c r="C2348" s="56">
        <v>46009</v>
      </c>
      <c r="D2348" s="139"/>
      <c r="E2348" s="155">
        <v>1506</v>
      </c>
      <c r="F2348" s="1352"/>
      <c r="G2348" t="s">
        <v>1890</v>
      </c>
    </row>
    <row r="2349" spans="1:7">
      <c r="A2349" s="317" t="s">
        <v>540</v>
      </c>
      <c r="B2349" s="306" t="s">
        <v>1686</v>
      </c>
      <c r="C2349" s="56">
        <v>46009</v>
      </c>
      <c r="D2349" s="139"/>
      <c r="E2349" s="43"/>
      <c r="F2349" s="154" t="s">
        <v>1878</v>
      </c>
      <c r="G2349" t="s">
        <v>1890</v>
      </c>
    </row>
    <row r="2350" spans="1:7">
      <c r="A2350" s="317" t="s">
        <v>540</v>
      </c>
      <c r="B2350" s="141" t="s">
        <v>1596</v>
      </c>
      <c r="C2350" s="56">
        <v>46009</v>
      </c>
      <c r="D2350" s="139"/>
      <c r="E2350" s="43"/>
      <c r="F2350" s="154" t="s">
        <v>1878</v>
      </c>
      <c r="G2350" t="s">
        <v>1890</v>
      </c>
    </row>
    <row r="2351" spans="1:7">
      <c r="A2351" s="317" t="s">
        <v>540</v>
      </c>
      <c r="B2351" s="305" t="s">
        <v>1757</v>
      </c>
      <c r="C2351" s="56">
        <v>46009</v>
      </c>
      <c r="D2351" s="139"/>
      <c r="E2351" s="43"/>
      <c r="F2351" s="154" t="s">
        <v>1878</v>
      </c>
      <c r="G2351" t="s">
        <v>1890</v>
      </c>
    </row>
    <row r="2352" spans="1:7">
      <c r="A2352" s="318" t="s">
        <v>1137</v>
      </c>
      <c r="B2352" s="387" t="s">
        <v>452</v>
      </c>
      <c r="C2352" s="56">
        <v>46009</v>
      </c>
      <c r="D2352" s="43">
        <v>563</v>
      </c>
      <c r="E2352" s="253"/>
      <c r="F2352" s="169" t="s">
        <v>1952</v>
      </c>
      <c r="G2352" t="s">
        <v>1890</v>
      </c>
    </row>
    <row r="2353" spans="1:7">
      <c r="A2353" s="1351" t="s">
        <v>414</v>
      </c>
      <c r="B2353" s="307" t="s">
        <v>143</v>
      </c>
      <c r="C2353" s="56">
        <v>46009</v>
      </c>
      <c r="F2353" s="304" t="s">
        <v>1802</v>
      </c>
      <c r="G2353" t="s">
        <v>1890</v>
      </c>
    </row>
    <row r="2354" spans="1:7">
      <c r="A2354" s="802" t="s">
        <v>584</v>
      </c>
      <c r="B2354" s="346" t="s">
        <v>131</v>
      </c>
      <c r="C2354" s="56">
        <v>46009</v>
      </c>
      <c r="D2354" s="155">
        <v>1596</v>
      </c>
      <c r="F2354" s="43" t="s">
        <v>1981</v>
      </c>
      <c r="G2354" t="s">
        <v>1890</v>
      </c>
    </row>
    <row r="2355" spans="1:7">
      <c r="A2355" s="349" t="s">
        <v>581</v>
      </c>
      <c r="B2355" s="387" t="s">
        <v>143</v>
      </c>
      <c r="C2355" s="56">
        <v>46009</v>
      </c>
      <c r="F2355" s="304" t="s">
        <v>1802</v>
      </c>
      <c r="G2355" t="s">
        <v>1890</v>
      </c>
    </row>
    <row r="2356" spans="1:7">
      <c r="A2356" s="349" t="s">
        <v>417</v>
      </c>
      <c r="B2356" s="307" t="s">
        <v>143</v>
      </c>
      <c r="C2356" s="56">
        <v>46009</v>
      </c>
      <c r="F2356" s="304" t="s">
        <v>1802</v>
      </c>
      <c r="G2356" t="s">
        <v>1890</v>
      </c>
    </row>
    <row r="2357" spans="1:7">
      <c r="A2357" s="348" t="s">
        <v>617</v>
      </c>
      <c r="B2357" s="346" t="s">
        <v>131</v>
      </c>
      <c r="C2357" s="56">
        <v>46009</v>
      </c>
      <c r="D2357" s="155">
        <v>1568</v>
      </c>
      <c r="G2357" t="s">
        <v>1890</v>
      </c>
    </row>
    <row r="2358" spans="1:7">
      <c r="A2358" s="141" t="s">
        <v>293</v>
      </c>
      <c r="B2358" s="141" t="s">
        <v>1510</v>
      </c>
      <c r="C2358" s="310">
        <v>46009</v>
      </c>
      <c r="D2358" s="43">
        <v>892</v>
      </c>
      <c r="F2358" s="43" t="s">
        <v>1982</v>
      </c>
      <c r="G2358" t="s">
        <v>1890</v>
      </c>
    </row>
    <row r="2359" spans="1:7">
      <c r="A2359" s="141" t="s">
        <v>412</v>
      </c>
      <c r="B2359" s="141" t="s">
        <v>1730</v>
      </c>
      <c r="C2359" s="310">
        <v>46009</v>
      </c>
      <c r="D2359" s="155">
        <v>1704</v>
      </c>
      <c r="F2359" s="43" t="s">
        <v>1983</v>
      </c>
      <c r="G2359" t="s">
        <v>1890</v>
      </c>
    </row>
    <row r="2360" spans="1:7">
      <c r="A2360" s="141" t="s">
        <v>217</v>
      </c>
      <c r="B2360" s="141" t="s">
        <v>1510</v>
      </c>
      <c r="C2360" s="310">
        <v>46009</v>
      </c>
      <c r="D2360" s="155">
        <v>967</v>
      </c>
      <c r="F2360" s="43" t="s">
        <v>1984</v>
      </c>
    </row>
    <row r="2361" spans="1:7">
      <c r="A2361" s="141" t="s">
        <v>518</v>
      </c>
      <c r="B2361" s="141" t="s">
        <v>131</v>
      </c>
      <c r="C2361" s="310">
        <v>46009</v>
      </c>
      <c r="D2361" s="43">
        <v>652</v>
      </c>
      <c r="G2361" t="s">
        <v>1890</v>
      </c>
    </row>
    <row r="2362" spans="1:7">
      <c r="A2362" s="304" t="s">
        <v>521</v>
      </c>
      <c r="B2362" s="304" t="s">
        <v>131</v>
      </c>
      <c r="C2362" s="56">
        <v>46009</v>
      </c>
      <c r="D2362" s="43">
        <v>396</v>
      </c>
      <c r="G2362" t="s">
        <v>1890</v>
      </c>
    </row>
    <row r="2363" spans="1:7">
      <c r="A2363" s="305" t="s">
        <v>509</v>
      </c>
      <c r="B2363" s="305" t="s">
        <v>131</v>
      </c>
      <c r="C2363" s="56">
        <v>46009</v>
      </c>
      <c r="D2363" s="155">
        <v>1905</v>
      </c>
      <c r="G2363" t="s">
        <v>1890</v>
      </c>
    </row>
    <row r="2364" spans="1:7">
      <c r="A2364" s="306" t="s">
        <v>327</v>
      </c>
      <c r="B2364" s="306" t="s">
        <v>131</v>
      </c>
      <c r="C2364" s="56">
        <v>46009</v>
      </c>
      <c r="D2364" s="43">
        <v>881</v>
      </c>
      <c r="G2364" t="s">
        <v>1890</v>
      </c>
    </row>
    <row r="2365" spans="1:7">
      <c r="A2365" s="141" t="s">
        <v>321</v>
      </c>
      <c r="B2365" s="141" t="s">
        <v>131</v>
      </c>
      <c r="C2365" s="310">
        <v>46009</v>
      </c>
      <c r="D2365" s="155">
        <v>3028</v>
      </c>
      <c r="F2365" s="43" t="s">
        <v>1985</v>
      </c>
      <c r="G2365" t="s">
        <v>1890</v>
      </c>
    </row>
    <row r="2366" spans="1:7">
      <c r="A2366" s="247" t="s">
        <v>492</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540</v>
      </c>
      <c r="B2370" s="141" t="s">
        <v>1686</v>
      </c>
      <c r="C2370" s="310">
        <v>46010</v>
      </c>
      <c r="D2370" s="139"/>
      <c r="E2370" s="43"/>
      <c r="F2370" s="154" t="s">
        <v>1878</v>
      </c>
      <c r="G2370" t="s">
        <v>1890</v>
      </c>
    </row>
    <row r="2371" spans="1:7">
      <c r="A2371" s="348" t="s">
        <v>540</v>
      </c>
      <c r="B2371" s="304" t="s">
        <v>1596</v>
      </c>
      <c r="C2371" s="56">
        <v>46010</v>
      </c>
      <c r="D2371" s="139"/>
      <c r="E2371" s="43"/>
      <c r="F2371" s="154" t="s">
        <v>1878</v>
      </c>
      <c r="G2371" t="s">
        <v>1890</v>
      </c>
    </row>
    <row r="2372" spans="1:7">
      <c r="A2372" s="317" t="s">
        <v>540</v>
      </c>
      <c r="B2372" s="305" t="s">
        <v>1757</v>
      </c>
      <c r="C2372" s="56">
        <v>46010</v>
      </c>
      <c r="D2372" s="139"/>
      <c r="E2372" s="43"/>
      <c r="F2372" s="154" t="s">
        <v>1878</v>
      </c>
      <c r="G2372" t="s">
        <v>1890</v>
      </c>
    </row>
    <row r="2373" spans="1:7">
      <c r="A2373" s="317" t="s">
        <v>1137</v>
      </c>
      <c r="B2373" s="308" t="s">
        <v>452</v>
      </c>
      <c r="C2373" s="56">
        <v>46010</v>
      </c>
      <c r="D2373" s="43">
        <v>483</v>
      </c>
      <c r="E2373" s="253"/>
      <c r="F2373" s="169"/>
      <c r="G2373" t="s">
        <v>1890</v>
      </c>
    </row>
    <row r="2374" spans="1:7">
      <c r="A2374" s="805" t="s">
        <v>414</v>
      </c>
      <c r="B2374" s="141" t="s">
        <v>143</v>
      </c>
      <c r="C2374" s="310">
        <v>46010</v>
      </c>
      <c r="E2374" s="139">
        <v>765</v>
      </c>
      <c r="G2374" t="s">
        <v>1890</v>
      </c>
    </row>
    <row r="2375" spans="1:7">
      <c r="A2375" s="805" t="s">
        <v>568</v>
      </c>
      <c r="B2375" s="141" t="s">
        <v>131</v>
      </c>
      <c r="C2375" s="310">
        <v>46010</v>
      </c>
      <c r="E2375" s="139">
        <v>883</v>
      </c>
      <c r="F2375" s="311" t="s">
        <v>1989</v>
      </c>
      <c r="G2375" t="s">
        <v>1890</v>
      </c>
    </row>
    <row r="2376" spans="1:7">
      <c r="A2376" s="141" t="s">
        <v>581</v>
      </c>
      <c r="B2376" s="141" t="s">
        <v>143</v>
      </c>
      <c r="C2376" s="310">
        <v>46010</v>
      </c>
      <c r="E2376" s="139">
        <v>765</v>
      </c>
      <c r="G2376" t="s">
        <v>1890</v>
      </c>
    </row>
    <row r="2377" spans="1:7">
      <c r="A2377" s="141" t="s">
        <v>417</v>
      </c>
      <c r="B2377" s="141" t="s">
        <v>143</v>
      </c>
      <c r="C2377" s="310">
        <v>46010</v>
      </c>
      <c r="E2377" s="139">
        <v>560</v>
      </c>
      <c r="G2377" t="s">
        <v>1890</v>
      </c>
    </row>
    <row r="2378" spans="1:7">
      <c r="A2378" s="169" t="s">
        <v>293</v>
      </c>
      <c r="B2378" s="322" t="s">
        <v>1510</v>
      </c>
      <c r="C2378" s="56">
        <v>46010</v>
      </c>
      <c r="D2378" s="43">
        <v>366</v>
      </c>
      <c r="F2378" s="43" t="s">
        <v>1990</v>
      </c>
      <c r="G2378" t="s">
        <v>1890</v>
      </c>
    </row>
    <row r="2379" spans="1:7">
      <c r="A2379" s="148" t="s">
        <v>412</v>
      </c>
      <c r="B2379" s="43" t="s">
        <v>1730</v>
      </c>
      <c r="C2379" s="56">
        <v>46010</v>
      </c>
      <c r="D2379" s="43">
        <v>974</v>
      </c>
      <c r="F2379" s="43" t="s">
        <v>1991</v>
      </c>
      <c r="G2379" t="s">
        <v>1890</v>
      </c>
    </row>
    <row r="2380" spans="1:7">
      <c r="A2380" s="1353" t="s">
        <v>315</v>
      </c>
      <c r="B2380" s="1354" t="s">
        <v>131</v>
      </c>
      <c r="C2380" s="56">
        <v>46010</v>
      </c>
      <c r="D2380" s="43">
        <v>582</v>
      </c>
      <c r="G2380" t="s">
        <v>1890</v>
      </c>
    </row>
    <row r="2381" spans="1:7">
      <c r="A2381" s="1353" t="s">
        <v>509</v>
      </c>
      <c r="B2381" s="1354" t="s">
        <v>131</v>
      </c>
      <c r="C2381" s="56">
        <v>46010</v>
      </c>
      <c r="D2381" s="155">
        <v>2064</v>
      </c>
      <c r="G2381" t="s">
        <v>1890</v>
      </c>
    </row>
    <row r="2382" spans="1:7">
      <c r="A2382" s="1353" t="s">
        <v>321</v>
      </c>
      <c r="B2382" s="1354" t="s">
        <v>131</v>
      </c>
      <c r="C2382" s="56">
        <v>46010</v>
      </c>
      <c r="D2382" s="155">
        <v>1683</v>
      </c>
      <c r="G2382" t="s">
        <v>1890</v>
      </c>
    </row>
    <row r="2383" spans="1:7">
      <c r="A2383" s="1353" t="s">
        <v>318</v>
      </c>
      <c r="B2383" s="1354" t="s">
        <v>131</v>
      </c>
      <c r="C2383" s="56">
        <v>46010</v>
      </c>
      <c r="D2383" s="155">
        <v>1235</v>
      </c>
      <c r="G2383" t="s">
        <v>1890</v>
      </c>
    </row>
    <row r="2384" spans="1:7">
      <c r="A2384" s="1353" t="s">
        <v>506</v>
      </c>
      <c r="B2384" s="1354" t="s">
        <v>131</v>
      </c>
      <c r="C2384" s="56">
        <v>46010</v>
      </c>
      <c r="F2384" s="43" t="s">
        <v>1992</v>
      </c>
      <c r="G2384" t="s">
        <v>1890</v>
      </c>
    </row>
    <row r="2385" spans="1:7">
      <c r="A2385" s="1353" t="s">
        <v>518</v>
      </c>
      <c r="B2385" s="1354" t="s">
        <v>131</v>
      </c>
      <c r="C2385" s="56">
        <v>46010</v>
      </c>
      <c r="D2385" s="43">
        <v>780</v>
      </c>
      <c r="E2385" s="201"/>
      <c r="F2385" s="115"/>
      <c r="G2385" t="s">
        <v>1890</v>
      </c>
    </row>
    <row r="2386" spans="1:7">
      <c r="A2386" s="1353" t="s">
        <v>1140</v>
      </c>
      <c r="B2386" s="1354"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452</v>
      </c>
      <c r="C2389" s="56">
        <v>46013</v>
      </c>
      <c r="E2389" s="253"/>
      <c r="F2389" s="311" t="s">
        <v>1994</v>
      </c>
      <c r="G2389" t="s">
        <v>1890</v>
      </c>
    </row>
    <row r="2390" spans="1:7">
      <c r="A2390" s="315" t="s">
        <v>617</v>
      </c>
      <c r="B2390" s="315" t="s">
        <v>131</v>
      </c>
      <c r="C2390" s="56">
        <v>46013</v>
      </c>
      <c r="D2390" s="43">
        <v>380</v>
      </c>
      <c r="G2390" t="s">
        <v>1890</v>
      </c>
    </row>
    <row r="2391" spans="1:7">
      <c r="A2391" s="315" t="s">
        <v>620</v>
      </c>
      <c r="B2391" s="315" t="s">
        <v>131</v>
      </c>
      <c r="C2391" s="56">
        <v>46013</v>
      </c>
      <c r="D2391" s="43">
        <v>523</v>
      </c>
      <c r="G2391" t="s">
        <v>1890</v>
      </c>
    </row>
    <row r="2392" spans="1:7">
      <c r="A2392" s="315" t="s">
        <v>584</v>
      </c>
      <c r="B2392" s="315" t="s">
        <v>131</v>
      </c>
      <c r="C2392" s="56">
        <v>46013</v>
      </c>
      <c r="D2392" s="43">
        <v>342</v>
      </c>
      <c r="F2392" s="311" t="s">
        <v>1995</v>
      </c>
      <c r="G2392" t="s">
        <v>1890</v>
      </c>
    </row>
    <row r="2393" spans="1:7">
      <c r="A2393" s="311" t="s">
        <v>293</v>
      </c>
      <c r="B2393" s="311" t="s">
        <v>1510</v>
      </c>
      <c r="C2393" s="56">
        <v>46013</v>
      </c>
      <c r="D2393" s="43">
        <v>154</v>
      </c>
      <c r="G2393" t="s">
        <v>1890</v>
      </c>
    </row>
    <row r="2394" spans="1:7">
      <c r="A2394" s="756" t="s">
        <v>315</v>
      </c>
      <c r="B2394" s="756" t="s">
        <v>131</v>
      </c>
      <c r="C2394" s="56">
        <v>46013</v>
      </c>
      <c r="D2394" s="43">
        <v>551</v>
      </c>
      <c r="G2394" t="s">
        <v>1890</v>
      </c>
    </row>
    <row r="2395" spans="1:7">
      <c r="A2395" s="1129" t="s">
        <v>509</v>
      </c>
      <c r="B2395" s="1129" t="s">
        <v>131</v>
      </c>
      <c r="C2395" s="56">
        <v>46013</v>
      </c>
      <c r="F2395" s="337" t="s">
        <v>1996</v>
      </c>
      <c r="G2395" t="s">
        <v>1890</v>
      </c>
    </row>
    <row r="2396" spans="1:7">
      <c r="A2396" s="1129" t="s">
        <v>321</v>
      </c>
      <c r="B2396" s="1129" t="s">
        <v>131</v>
      </c>
      <c r="C2396" s="56">
        <v>46013</v>
      </c>
      <c r="D2396" s="43">
        <v>362</v>
      </c>
      <c r="G2396" t="s">
        <v>1890</v>
      </c>
    </row>
    <row r="2397" spans="1:7">
      <c r="A2397" s="1145" t="s">
        <v>327</v>
      </c>
      <c r="B2397" s="1145" t="s">
        <v>131</v>
      </c>
      <c r="C2397" s="56">
        <v>46013</v>
      </c>
      <c r="D2397" s="155">
        <v>3523</v>
      </c>
      <c r="G2397" t="s">
        <v>1890</v>
      </c>
    </row>
    <row r="2398" spans="1:7">
      <c r="A2398" s="759" t="s">
        <v>518</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452</v>
      </c>
      <c r="C2400" s="56">
        <v>46014</v>
      </c>
      <c r="F2400" s="43" t="s">
        <v>1666</v>
      </c>
      <c r="G2400" t="s">
        <v>1890</v>
      </c>
    </row>
    <row r="2401" spans="1:7">
      <c r="A2401" s="805" t="s">
        <v>617</v>
      </c>
      <c r="B2401" s="1006" t="s">
        <v>131</v>
      </c>
      <c r="C2401" s="56">
        <v>46014</v>
      </c>
      <c r="F2401" s="337" t="s">
        <v>1536</v>
      </c>
      <c r="G2401" t="s">
        <v>1890</v>
      </c>
    </row>
    <row r="2402" spans="1:7">
      <c r="A2402" s="805" t="s">
        <v>620</v>
      </c>
      <c r="B2402" s="1006" t="s">
        <v>131</v>
      </c>
      <c r="C2402" s="56">
        <v>46014</v>
      </c>
      <c r="D2402" s="43">
        <v>405</v>
      </c>
      <c r="F2402" s="43" t="s">
        <v>1210</v>
      </c>
      <c r="G2402" t="s">
        <v>1890</v>
      </c>
    </row>
    <row r="2403" spans="1:7">
      <c r="A2403" s="805" t="s">
        <v>584</v>
      </c>
      <c r="B2403" s="161" t="s">
        <v>1071</v>
      </c>
      <c r="C2403" s="56">
        <v>46014</v>
      </c>
      <c r="E2403" s="139">
        <v>405</v>
      </c>
      <c r="G2403" t="s">
        <v>1890</v>
      </c>
    </row>
    <row r="2404" spans="1:7">
      <c r="A2404" s="247" t="s">
        <v>518</v>
      </c>
      <c r="B2404" s="1363" t="s">
        <v>131</v>
      </c>
      <c r="C2404" s="56">
        <v>46014</v>
      </c>
      <c r="E2404" s="321">
        <v>14727</v>
      </c>
      <c r="F2404" s="430" t="s">
        <v>1997</v>
      </c>
      <c r="G2404" t="s">
        <v>1890</v>
      </c>
    </row>
    <row r="2405" spans="1:7">
      <c r="A2405" s="247" t="s">
        <v>327</v>
      </c>
      <c r="B2405" s="1354" t="s">
        <v>131</v>
      </c>
      <c r="C2405" s="56">
        <v>46014</v>
      </c>
      <c r="D2405" s="155">
        <v>2384</v>
      </c>
      <c r="G2405" t="s">
        <v>1890</v>
      </c>
    </row>
    <row r="2406" spans="1:7">
      <c r="A2406" s="318" t="s">
        <v>617</v>
      </c>
      <c r="B2406" s="387" t="s">
        <v>1071</v>
      </c>
      <c r="C2406" s="56">
        <v>46015</v>
      </c>
      <c r="E2406" s="321">
        <v>2448</v>
      </c>
      <c r="F2406" s="43" t="s">
        <v>1998</v>
      </c>
      <c r="G2406" t="s">
        <v>1890</v>
      </c>
    </row>
    <row r="2407" spans="1:7">
      <c r="A2407" s="1351" t="s">
        <v>620</v>
      </c>
      <c r="B2407" s="307" t="s">
        <v>1071</v>
      </c>
      <c r="C2407" s="56">
        <v>46015</v>
      </c>
      <c r="E2407" s="321">
        <v>1225</v>
      </c>
      <c r="F2407" s="43" t="s">
        <v>1999</v>
      </c>
      <c r="G2407" t="s">
        <v>1890</v>
      </c>
    </row>
    <row r="2408" spans="1:7">
      <c r="C2408" s="56">
        <v>46016</v>
      </c>
      <c r="G2408" t="s">
        <v>1890</v>
      </c>
    </row>
    <row r="2409" spans="1:7">
      <c r="A2409" s="247"/>
      <c r="B2409" s="1354"/>
      <c r="C2409" s="56">
        <v>46017</v>
      </c>
      <c r="F2409" s="805"/>
      <c r="G2409" t="s">
        <v>1890</v>
      </c>
    </row>
    <row r="2410" spans="1:7">
      <c r="A2410" s="759" t="s">
        <v>1106</v>
      </c>
      <c r="B2410" s="759" t="s">
        <v>1071</v>
      </c>
      <c r="C2410" s="56">
        <v>46020</v>
      </c>
      <c r="D2410" s="43">
        <v>108</v>
      </c>
      <c r="F2410" s="805" t="s">
        <v>1240</v>
      </c>
      <c r="G2410" t="s">
        <v>1890</v>
      </c>
    </row>
    <row r="2411" spans="1:7">
      <c r="A2411" s="655" t="s">
        <v>429</v>
      </c>
      <c r="B2411" s="1134" t="s">
        <v>131</v>
      </c>
      <c r="C2411" s="56">
        <v>46020</v>
      </c>
      <c r="D2411" s="155">
        <v>1188</v>
      </c>
      <c r="F2411" s="43" t="s">
        <v>2000</v>
      </c>
      <c r="G2411" t="s">
        <v>1890</v>
      </c>
    </row>
    <row r="2412" spans="1:7">
      <c r="A2412" s="1376" t="s">
        <v>432</v>
      </c>
      <c r="B2412" s="1144" t="s">
        <v>131</v>
      </c>
      <c r="C2412" s="56">
        <v>46020</v>
      </c>
      <c r="D2412" s="43">
        <v>900</v>
      </c>
      <c r="F2412" s="43" t="s">
        <v>2001</v>
      </c>
      <c r="G2412" t="s">
        <v>1890</v>
      </c>
    </row>
    <row r="2413" spans="1:7">
      <c r="A2413" s="744" t="s">
        <v>617</v>
      </c>
      <c r="B2413" s="759" t="s">
        <v>1071</v>
      </c>
      <c r="C2413" s="56">
        <v>46020</v>
      </c>
      <c r="D2413" s="43">
        <v>100</v>
      </c>
      <c r="G2413" t="s">
        <v>1890</v>
      </c>
    </row>
    <row r="2414" spans="1:7">
      <c r="A2414" s="759" t="s">
        <v>315</v>
      </c>
      <c r="B2414" s="759" t="s">
        <v>131</v>
      </c>
      <c r="C2414" s="56">
        <v>46020</v>
      </c>
      <c r="D2414" s="43">
        <v>738</v>
      </c>
      <c r="G2414" t="s">
        <v>1890</v>
      </c>
    </row>
    <row r="2415" spans="1:7">
      <c r="A2415" s="1129" t="s">
        <v>321</v>
      </c>
      <c r="B2415" s="1129" t="s">
        <v>131</v>
      </c>
      <c r="C2415" s="56">
        <v>46020</v>
      </c>
      <c r="D2415" s="155">
        <v>1297</v>
      </c>
      <c r="G2415" t="s">
        <v>1890</v>
      </c>
    </row>
    <row r="2416" spans="1:7">
      <c r="A2416" s="1129" t="s">
        <v>324</v>
      </c>
      <c r="B2416" s="1129" t="s">
        <v>131</v>
      </c>
      <c r="C2416" s="56">
        <v>46020</v>
      </c>
      <c r="D2416" s="155">
        <v>2583</v>
      </c>
      <c r="G2416" t="s">
        <v>1890</v>
      </c>
    </row>
    <row r="2417" spans="1:7">
      <c r="A2417" s="1129" t="s">
        <v>479</v>
      </c>
      <c r="B2417" s="1129" t="s">
        <v>131</v>
      </c>
      <c r="C2417" s="56">
        <v>46020</v>
      </c>
      <c r="F2417" s="311" t="s">
        <v>2002</v>
      </c>
      <c r="G2417" t="s">
        <v>1890</v>
      </c>
    </row>
    <row r="2418" spans="1:7">
      <c r="A2418" s="1129" t="s">
        <v>484</v>
      </c>
      <c r="B2418" s="1129" t="s">
        <v>131</v>
      </c>
      <c r="C2418" s="56">
        <v>46020</v>
      </c>
      <c r="F2418" s="311" t="s">
        <v>2002</v>
      </c>
      <c r="G2418" t="s">
        <v>1890</v>
      </c>
    </row>
    <row r="2419" spans="1:7">
      <c r="A2419" s="1129" t="s">
        <v>515</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426</v>
      </c>
      <c r="B2421" s="387" t="s">
        <v>1071</v>
      </c>
      <c r="C2421" s="56">
        <v>46021</v>
      </c>
      <c r="E2421" s="139">
        <v>766</v>
      </c>
      <c r="F2421" s="805"/>
      <c r="G2421" t="s">
        <v>1890</v>
      </c>
    </row>
    <row r="2422" spans="1:7">
      <c r="A2422" s="1376" t="s">
        <v>432</v>
      </c>
      <c r="B2422" s="307" t="s">
        <v>1071</v>
      </c>
      <c r="C2422" s="56">
        <v>46021</v>
      </c>
      <c r="E2422" s="139">
        <v>343</v>
      </c>
      <c r="F2422" s="304"/>
      <c r="G2422" t="s">
        <v>1890</v>
      </c>
    </row>
    <row r="2423" spans="1:7">
      <c r="A2423" s="744" t="s">
        <v>429</v>
      </c>
      <c r="B2423" s="307" t="s">
        <v>131</v>
      </c>
      <c r="C2423" s="56">
        <v>46021</v>
      </c>
      <c r="F2423" s="311" t="s">
        <v>1371</v>
      </c>
      <c r="G2423" t="s">
        <v>1890</v>
      </c>
    </row>
    <row r="2424" spans="1:7">
      <c r="A2424" s="311" t="s">
        <v>315</v>
      </c>
      <c r="B2424" s="759" t="s">
        <v>131</v>
      </c>
      <c r="C2424" s="56">
        <v>46021</v>
      </c>
      <c r="D2424" s="43">
        <v>466</v>
      </c>
      <c r="G2424" t="s">
        <v>1890</v>
      </c>
    </row>
    <row r="2425" spans="1:7">
      <c r="A2425" s="304" t="s">
        <v>324</v>
      </c>
      <c r="B2425" s="1129" t="s">
        <v>131</v>
      </c>
      <c r="C2425" s="56">
        <v>46021</v>
      </c>
      <c r="D2425" s="155">
        <v>3099</v>
      </c>
      <c r="G2425" t="s">
        <v>1890</v>
      </c>
    </row>
    <row r="2426" spans="1:7">
      <c r="A2426" s="304" t="s">
        <v>481</v>
      </c>
      <c r="B2426" s="1129" t="s">
        <v>131</v>
      </c>
      <c r="C2426" s="56">
        <v>46021</v>
      </c>
      <c r="F2426" s="311" t="s">
        <v>2002</v>
      </c>
      <c r="G2426" t="s">
        <v>1890</v>
      </c>
    </row>
    <row r="2427" spans="1:7">
      <c r="A2427" s="141" t="s">
        <v>293</v>
      </c>
      <c r="B2427" s="307" t="s">
        <v>1071</v>
      </c>
      <c r="C2427" s="56">
        <v>46022</v>
      </c>
      <c r="G2427" t="s">
        <v>1890</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205</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205</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205</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162</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545</v>
      </c>
      <c r="B2" s="180" t="s">
        <v>204</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204</v>
      </c>
      <c r="C3" s="689">
        <v>45742</v>
      </c>
      <c r="D3" s="690" t="s">
        <v>550</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90</v>
      </c>
      <c r="W3" s="79"/>
      <c r="X3" s="69" t="s">
        <v>90</v>
      </c>
      <c r="Y3" t="e">
        <f>VLOOKUP(A3,#REF!,2,FALSE)</f>
        <v>#REF!</v>
      </c>
    </row>
    <row r="4" spans="1:25">
      <c r="A4" s="365" t="s">
        <v>2075</v>
      </c>
      <c r="B4" s="407" t="s">
        <v>204</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204</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204</v>
      </c>
      <c r="C6" s="408">
        <v>45747</v>
      </c>
      <c r="D6" s="693" t="s">
        <v>670</v>
      </c>
      <c r="E6" s="190"/>
      <c r="F6" s="137"/>
      <c r="G6" s="137"/>
      <c r="H6" s="185">
        <v>56</v>
      </c>
      <c r="I6" s="181"/>
      <c r="J6" s="188" t="s">
        <v>57</v>
      </c>
      <c r="K6" s="188" t="s">
        <v>57</v>
      </c>
      <c r="L6" s="185" t="s">
        <v>63</v>
      </c>
      <c r="M6" s="195">
        <v>45701</v>
      </c>
      <c r="N6" s="30" t="s">
        <v>367</v>
      </c>
      <c r="O6" s="356">
        <v>45718</v>
      </c>
      <c r="P6" s="30" t="s">
        <v>367</v>
      </c>
      <c r="Q6" s="334" t="s">
        <v>367</v>
      </c>
      <c r="R6" s="43" t="s">
        <v>2077</v>
      </c>
      <c r="S6" s="43" t="s">
        <v>367</v>
      </c>
      <c r="T6" s="43" t="s">
        <v>367</v>
      </c>
      <c r="U6" s="157" t="s">
        <v>367</v>
      </c>
      <c r="V6" s="69" t="s">
        <v>90</v>
      </c>
      <c r="W6" s="79"/>
      <c r="X6" s="69" t="s">
        <v>90</v>
      </c>
      <c r="Y6" t="e">
        <f>VLOOKUP(A6,#REF!,2,FALSE)</f>
        <v>#REF!</v>
      </c>
    </row>
    <row r="7" spans="1:25">
      <c r="A7" s="385" t="s">
        <v>1039</v>
      </c>
      <c r="B7" s="686" t="s">
        <v>204</v>
      </c>
      <c r="C7" s="386">
        <v>45742</v>
      </c>
      <c r="D7" s="411" t="s">
        <v>558</v>
      </c>
      <c r="E7" s="522"/>
      <c r="F7" s="523"/>
      <c r="G7" s="523"/>
      <c r="H7" s="179">
        <v>60</v>
      </c>
      <c r="I7" s="181"/>
      <c r="J7" s="185" t="s">
        <v>57</v>
      </c>
      <c r="K7" s="185" t="s">
        <v>57</v>
      </c>
      <c r="L7" s="185" t="s">
        <v>63</v>
      </c>
      <c r="M7" s="193">
        <v>45716</v>
      </c>
      <c r="N7" s="30" t="s">
        <v>367</v>
      </c>
      <c r="O7" s="79" t="s">
        <v>367</v>
      </c>
      <c r="P7" s="30" t="s">
        <v>367</v>
      </c>
      <c r="Q7" s="334" t="s">
        <v>367</v>
      </c>
      <c r="R7" s="43" t="s">
        <v>2077</v>
      </c>
      <c r="S7" s="43" t="s">
        <v>367</v>
      </c>
      <c r="T7" s="43" t="s">
        <v>367</v>
      </c>
      <c r="U7" s="43" t="s">
        <v>367</v>
      </c>
      <c r="V7" s="69" t="s">
        <v>90</v>
      </c>
      <c r="W7" s="30"/>
      <c r="X7" s="69" t="s">
        <v>90</v>
      </c>
      <c r="Y7" t="e">
        <f>VLOOKUP(A7,#REF!,2,FALSE)</f>
        <v>#REF!</v>
      </c>
    </row>
    <row r="8" spans="1:25">
      <c r="A8" s="175" t="s">
        <v>554</v>
      </c>
      <c r="B8" s="180" t="s">
        <v>204</v>
      </c>
      <c r="C8" s="176">
        <v>45742</v>
      </c>
      <c r="D8" s="185" t="s">
        <v>2078</v>
      </c>
      <c r="E8" s="120"/>
      <c r="F8" s="108"/>
      <c r="G8" s="108"/>
      <c r="H8" s="179">
        <v>84</v>
      </c>
      <c r="I8" s="181"/>
      <c r="J8" s="185" t="s">
        <v>57</v>
      </c>
      <c r="K8" s="185" t="s">
        <v>57</v>
      </c>
      <c r="L8" s="185" t="s">
        <v>63</v>
      </c>
      <c r="M8" s="193">
        <v>45716</v>
      </c>
      <c r="N8" s="30" t="s">
        <v>367</v>
      </c>
      <c r="O8" s="30" t="s">
        <v>367</v>
      </c>
      <c r="P8" s="711" t="s">
        <v>367</v>
      </c>
      <c r="Q8" s="69" t="s">
        <v>367</v>
      </c>
      <c r="R8" s="43" t="s">
        <v>2077</v>
      </c>
      <c r="S8" s="43" t="s">
        <v>367</v>
      </c>
      <c r="T8" s="43" t="s">
        <v>367</v>
      </c>
      <c r="U8" s="43" t="s">
        <v>367</v>
      </c>
      <c r="V8" s="69" t="s">
        <v>90</v>
      </c>
      <c r="W8" s="30"/>
      <c r="X8" s="69" t="s">
        <v>90</v>
      </c>
      <c r="Y8" t="e">
        <f>VLOOKUP(A8,#REF!,2,FALSE)</f>
        <v>#REF!</v>
      </c>
    </row>
    <row r="9" spans="1:25">
      <c r="A9" s="175" t="s">
        <v>1041</v>
      </c>
      <c r="B9" s="180" t="s">
        <v>204</v>
      </c>
      <c r="C9" s="176">
        <v>45742</v>
      </c>
      <c r="D9" s="519" t="s">
        <v>555</v>
      </c>
      <c r="E9" s="191"/>
      <c r="F9" s="138"/>
      <c r="G9" s="138"/>
      <c r="H9" s="185">
        <v>79</v>
      </c>
      <c r="I9" s="181"/>
      <c r="J9" s="185" t="s">
        <v>57</v>
      </c>
      <c r="K9" s="185" t="s">
        <v>57</v>
      </c>
      <c r="L9" s="185" t="s">
        <v>63</v>
      </c>
      <c r="M9" s="193">
        <v>45716</v>
      </c>
      <c r="N9" s="119" t="s">
        <v>367</v>
      </c>
      <c r="O9" s="54">
        <v>45718</v>
      </c>
      <c r="P9" s="119" t="s">
        <v>367</v>
      </c>
      <c r="Q9" s="69" t="s">
        <v>367</v>
      </c>
      <c r="R9" s="43" t="s">
        <v>2077</v>
      </c>
      <c r="S9" s="43" t="s">
        <v>367</v>
      </c>
      <c r="T9" s="43" t="s">
        <v>367</v>
      </c>
      <c r="U9" s="43" t="s">
        <v>367</v>
      </c>
      <c r="V9" s="69" t="s">
        <v>90</v>
      </c>
      <c r="W9" s="30"/>
      <c r="X9" s="69" t="s">
        <v>90</v>
      </c>
      <c r="Y9" t="e">
        <f>VLOOKUP(A9,#REF!,2,FALSE)</f>
        <v>#REF!</v>
      </c>
    </row>
    <row r="10" spans="1:25">
      <c r="A10" s="175" t="s">
        <v>1043</v>
      </c>
      <c r="B10" s="180" t="s">
        <v>204</v>
      </c>
      <c r="C10" s="314">
        <v>45742</v>
      </c>
      <c r="D10" s="410" t="s">
        <v>1042</v>
      </c>
      <c r="E10" s="191"/>
      <c r="F10" s="138"/>
      <c r="G10" s="138"/>
      <c r="H10" s="185">
        <v>83</v>
      </c>
      <c r="I10" s="181"/>
      <c r="J10" s="185" t="s">
        <v>57</v>
      </c>
      <c r="K10" s="185" t="s">
        <v>57</v>
      </c>
      <c r="L10" s="185" t="s">
        <v>63</v>
      </c>
      <c r="M10" s="193">
        <v>45716</v>
      </c>
      <c r="N10" s="30" t="s">
        <v>367</v>
      </c>
      <c r="O10" s="30" t="s">
        <v>367</v>
      </c>
      <c r="P10" s="30" t="s">
        <v>367</v>
      </c>
      <c r="Q10" s="43" t="s">
        <v>367</v>
      </c>
      <c r="R10" s="43" t="s">
        <v>2077</v>
      </c>
      <c r="S10" s="43" t="s">
        <v>367</v>
      </c>
      <c r="T10" s="43" t="s">
        <v>367</v>
      </c>
      <c r="U10" s="161" t="s">
        <v>367</v>
      </c>
      <c r="V10" s="334" t="s">
        <v>90</v>
      </c>
      <c r="W10" s="30"/>
      <c r="X10" s="69" t="s">
        <v>90</v>
      </c>
      <c r="Y10" t="e">
        <f>VLOOKUP(A10,#REF!,2,FALSE)</f>
        <v>#REF!</v>
      </c>
    </row>
    <row r="11" spans="1:25">
      <c r="A11" s="181" t="s">
        <v>556</v>
      </c>
      <c r="B11" s="422" t="s">
        <v>204</v>
      </c>
      <c r="C11" s="176">
        <v>45991</v>
      </c>
      <c r="D11" s="534" t="s">
        <v>558</v>
      </c>
      <c r="E11" s="120">
        <v>31</v>
      </c>
      <c r="F11" s="108"/>
      <c r="G11" s="108"/>
      <c r="H11" s="185">
        <v>31</v>
      </c>
      <c r="I11" s="181"/>
      <c r="J11" s="185" t="s">
        <v>57</v>
      </c>
      <c r="K11" s="185" t="s">
        <v>57</v>
      </c>
      <c r="L11" s="185" t="s">
        <v>63</v>
      </c>
      <c r="M11" s="195">
        <v>45716</v>
      </c>
      <c r="N11" s="30" t="s">
        <v>64</v>
      </c>
      <c r="O11" s="54">
        <v>45716</v>
      </c>
      <c r="P11" s="87" t="s">
        <v>367</v>
      </c>
      <c r="Q11" s="69" t="s">
        <v>367</v>
      </c>
      <c r="R11" s="43" t="s">
        <v>2077</v>
      </c>
      <c r="S11" s="43" t="s">
        <v>367</v>
      </c>
      <c r="T11" s="43" t="s">
        <v>367</v>
      </c>
      <c r="U11" s="334" t="s">
        <v>90</v>
      </c>
      <c r="V11" s="69" t="s">
        <v>90</v>
      </c>
      <c r="W11" s="30"/>
      <c r="X11" s="43"/>
    </row>
    <row r="12" spans="1:25">
      <c r="A12" s="175" t="s">
        <v>386</v>
      </c>
      <c r="B12" s="180" t="s">
        <v>204</v>
      </c>
      <c r="C12" s="176">
        <v>45772</v>
      </c>
      <c r="D12" s="199" t="s">
        <v>558</v>
      </c>
      <c r="E12" s="191"/>
      <c r="F12" s="138"/>
      <c r="G12" s="138"/>
      <c r="H12" s="185">
        <v>31</v>
      </c>
      <c r="I12" s="181"/>
      <c r="J12" s="185" t="s">
        <v>57</v>
      </c>
      <c r="K12" s="185" t="s">
        <v>57</v>
      </c>
      <c r="L12" s="185" t="s">
        <v>63</v>
      </c>
      <c r="M12" s="193">
        <v>45716</v>
      </c>
      <c r="N12" s="30" t="s">
        <v>64</v>
      </c>
      <c r="O12" s="54">
        <v>45716</v>
      </c>
      <c r="P12" s="87" t="s">
        <v>367</v>
      </c>
      <c r="Q12" s="69" t="s">
        <v>367</v>
      </c>
      <c r="R12" s="43" t="s">
        <v>2077</v>
      </c>
      <c r="S12" s="43" t="s">
        <v>367</v>
      </c>
      <c r="T12" s="43" t="s">
        <v>367</v>
      </c>
      <c r="U12" s="69" t="s">
        <v>90</v>
      </c>
      <c r="V12" s="69" t="s">
        <v>90</v>
      </c>
      <c r="W12" s="30"/>
      <c r="X12" s="69" t="s">
        <v>90</v>
      </c>
      <c r="Y12" t="e">
        <f>VLOOKUP(A12,#REF!,2,FALSE)</f>
        <v>#REF!</v>
      </c>
    </row>
    <row r="13" spans="1:25">
      <c r="A13" s="178" t="s">
        <v>270</v>
      </c>
      <c r="B13" s="180" t="s">
        <v>204</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389</v>
      </c>
      <c r="B14" s="180" t="s">
        <v>204</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204</v>
      </c>
      <c r="C15" s="314">
        <v>45711</v>
      </c>
      <c r="D15" s="635" t="s">
        <v>943</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2080</v>
      </c>
      <c r="Y15" t="e">
        <f>VLOOKUP(A15,#REF!,2,FALSE)</f>
        <v>#REF!</v>
      </c>
    </row>
    <row r="16" spans="1:25">
      <c r="A16" s="175" t="s">
        <v>672</v>
      </c>
      <c r="B16" s="180" t="s">
        <v>204</v>
      </c>
      <c r="C16" s="314">
        <v>45742</v>
      </c>
      <c r="D16" s="699" t="s">
        <v>674</v>
      </c>
      <c r="E16" s="191"/>
      <c r="F16" s="138"/>
      <c r="G16" s="138"/>
      <c r="H16" s="185">
        <v>0</v>
      </c>
      <c r="I16" s="181"/>
      <c r="J16" s="185" t="s">
        <v>57</v>
      </c>
      <c r="K16" s="185" t="s">
        <v>57</v>
      </c>
      <c r="L16" s="185" t="s">
        <v>63</v>
      </c>
      <c r="M16" s="195" t="s">
        <v>2081</v>
      </c>
      <c r="N16" s="30" t="s">
        <v>367</v>
      </c>
      <c r="O16" s="54" t="s">
        <v>2081</v>
      </c>
      <c r="P16" s="30" t="s">
        <v>367</v>
      </c>
      <c r="Q16" s="69" t="s">
        <v>367</v>
      </c>
      <c r="R16" s="43" t="s">
        <v>367</v>
      </c>
      <c r="S16" s="43" t="s">
        <v>56</v>
      </c>
      <c r="T16" s="43" t="s">
        <v>367</v>
      </c>
      <c r="U16" s="69" t="s">
        <v>90</v>
      </c>
      <c r="V16" s="69" t="s">
        <v>90</v>
      </c>
      <c r="W16" s="30"/>
      <c r="X16" s="69" t="s">
        <v>90</v>
      </c>
      <c r="Y16" t="e">
        <f>VLOOKUP(A16,#REF!,2,FALSE)</f>
        <v>#REF!</v>
      </c>
    </row>
    <row r="17" spans="1:25">
      <c r="A17" s="178" t="s">
        <v>559</v>
      </c>
      <c r="B17" s="180" t="s">
        <v>204</v>
      </c>
      <c r="C17" s="177">
        <v>45991</v>
      </c>
      <c r="D17" s="714" t="s">
        <v>560</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90</v>
      </c>
      <c r="V17" s="69" t="s">
        <v>90</v>
      </c>
      <c r="W17" s="30"/>
      <c r="X17" s="43"/>
    </row>
    <row r="18" spans="1:25">
      <c r="A18" s="178" t="s">
        <v>561</v>
      </c>
      <c r="B18" s="180" t="s">
        <v>204</v>
      </c>
      <c r="C18" s="409">
        <v>45991</v>
      </c>
      <c r="D18" s="410" t="s">
        <v>562</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692</v>
      </c>
      <c r="B29" s="175" t="s">
        <v>111</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367</v>
      </c>
      <c r="O31" s="54">
        <v>45707</v>
      </c>
      <c r="P31" s="87" t="s">
        <v>367</v>
      </c>
      <c r="Q31" s="43" t="s">
        <v>367</v>
      </c>
      <c r="R31" s="43" t="s">
        <v>2077</v>
      </c>
      <c r="S31" s="43" t="s">
        <v>367</v>
      </c>
      <c r="T31" s="139" t="s">
        <v>367</v>
      </c>
      <c r="U31" s="115" t="s">
        <v>367</v>
      </c>
      <c r="V31" s="69" t="s">
        <v>367</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367</v>
      </c>
      <c r="O32" s="54">
        <v>45756</v>
      </c>
      <c r="P32" s="30" t="s">
        <v>367</v>
      </c>
      <c r="Q32" s="69" t="s">
        <v>367</v>
      </c>
      <c r="R32" s="69" t="s">
        <v>2077</v>
      </c>
      <c r="S32" s="43" t="s">
        <v>367</v>
      </c>
      <c r="T32" s="139" t="s">
        <v>367</v>
      </c>
      <c r="U32" s="43" t="s">
        <v>367</v>
      </c>
      <c r="V32" s="69" t="s">
        <v>367</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367</v>
      </c>
      <c r="O33" s="124">
        <v>45749</v>
      </c>
      <c r="P33" s="30" t="s">
        <v>367</v>
      </c>
      <c r="Q33" s="69" t="s">
        <v>367</v>
      </c>
      <c r="R33" s="69" t="s">
        <v>2077</v>
      </c>
      <c r="S33" s="43" t="s">
        <v>367</v>
      </c>
      <c r="T33" s="139" t="s">
        <v>367</v>
      </c>
      <c r="U33" s="43" t="s">
        <v>367</v>
      </c>
      <c r="V33" s="334" t="s">
        <v>367</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367</v>
      </c>
      <c r="O34" s="124">
        <v>45750</v>
      </c>
      <c r="P34" s="30" t="s">
        <v>367</v>
      </c>
      <c r="Q34" s="69" t="s">
        <v>367</v>
      </c>
      <c r="R34" s="69" t="s">
        <v>2077</v>
      </c>
      <c r="S34" s="43" t="s">
        <v>367</v>
      </c>
      <c r="T34" s="139" t="s">
        <v>367</v>
      </c>
      <c r="U34" s="43" t="s">
        <v>367</v>
      </c>
      <c r="V34" s="404" t="s">
        <v>367</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367</v>
      </c>
      <c r="O35" s="124">
        <v>45659</v>
      </c>
      <c r="P35" s="87" t="s">
        <v>367</v>
      </c>
      <c r="Q35" s="43" t="s">
        <v>367</v>
      </c>
      <c r="R35" s="43" t="s">
        <v>2077</v>
      </c>
      <c r="S35" s="43" t="s">
        <v>367</v>
      </c>
      <c r="T35" s="139" t="s">
        <v>367</v>
      </c>
      <c r="U35" s="169" t="s">
        <v>367</v>
      </c>
      <c r="V35" s="69" t="s">
        <v>367</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367</v>
      </c>
      <c r="O36" s="124">
        <v>45659</v>
      </c>
      <c r="P36" s="87" t="s">
        <v>367</v>
      </c>
      <c r="Q36" s="43" t="s">
        <v>367</v>
      </c>
      <c r="R36" s="43" t="s">
        <v>2077</v>
      </c>
      <c r="S36" s="43" t="s">
        <v>367</v>
      </c>
      <c r="T36" s="139" t="s">
        <v>367</v>
      </c>
      <c r="U36" s="43" t="s">
        <v>367</v>
      </c>
      <c r="V36" s="69" t="s">
        <v>367</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367</v>
      </c>
      <c r="N37" s="30" t="s">
        <v>367</v>
      </c>
      <c r="O37" s="124">
        <v>45672</v>
      </c>
      <c r="P37" s="30" t="s">
        <v>367</v>
      </c>
      <c r="Q37" s="43" t="s">
        <v>367</v>
      </c>
      <c r="R37" s="43" t="s">
        <v>2077</v>
      </c>
      <c r="S37" s="43" t="s">
        <v>367</v>
      </c>
      <c r="T37" s="43" t="s">
        <v>367</v>
      </c>
      <c r="U37" s="169" t="s">
        <v>367</v>
      </c>
      <c r="V37" s="69" t="s">
        <v>367</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367</v>
      </c>
      <c r="O38" s="124">
        <v>45673</v>
      </c>
      <c r="P38" s="30" t="s">
        <v>367</v>
      </c>
      <c r="Q38" s="43" t="s">
        <v>367</v>
      </c>
      <c r="R38" s="43" t="s">
        <v>2077</v>
      </c>
      <c r="S38" s="43" t="s">
        <v>367</v>
      </c>
      <c r="T38" s="43" t="s">
        <v>367</v>
      </c>
      <c r="U38" s="169" t="s">
        <v>367</v>
      </c>
      <c r="V38" s="69" t="s">
        <v>367</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367</v>
      </c>
      <c r="N39" s="30" t="s">
        <v>367</v>
      </c>
      <c r="O39" s="124">
        <v>45672</v>
      </c>
      <c r="P39" s="30" t="s">
        <v>367</v>
      </c>
      <c r="Q39" s="43" t="s">
        <v>367</v>
      </c>
      <c r="R39" s="43" t="s">
        <v>2077</v>
      </c>
      <c r="S39" s="43" t="s">
        <v>367</v>
      </c>
      <c r="T39" s="43" t="s">
        <v>367</v>
      </c>
      <c r="U39" s="169" t="s">
        <v>367</v>
      </c>
      <c r="V39" s="69" t="s">
        <v>367</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367</v>
      </c>
      <c r="O57" s="124">
        <v>45783</v>
      </c>
      <c r="P57" s="328" t="s">
        <v>367</v>
      </c>
      <c r="Q57" s="43" t="s">
        <v>367</v>
      </c>
      <c r="R57" s="43" t="s">
        <v>2077</v>
      </c>
      <c r="S57" s="43" t="s">
        <v>367</v>
      </c>
      <c r="T57" s="43" t="s">
        <v>367</v>
      </c>
      <c r="U57" s="43" t="s">
        <v>367</v>
      </c>
      <c r="V57" s="69" t="s">
        <v>367</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367</v>
      </c>
      <c r="O58" s="54">
        <v>45776</v>
      </c>
      <c r="P58" s="328" t="s">
        <v>367</v>
      </c>
      <c r="Q58" s="43" t="s">
        <v>367</v>
      </c>
      <c r="R58" s="43" t="s">
        <v>2077</v>
      </c>
      <c r="S58" s="43" t="s">
        <v>367</v>
      </c>
      <c r="T58" s="43" t="s">
        <v>367</v>
      </c>
      <c r="U58" s="43" t="s">
        <v>367</v>
      </c>
      <c r="V58" s="334" t="s">
        <v>367</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367</v>
      </c>
      <c r="O59" s="30" t="s">
        <v>2059</v>
      </c>
      <c r="P59" s="328" t="s">
        <v>367</v>
      </c>
      <c r="Q59" s="43" t="s">
        <v>367</v>
      </c>
      <c r="R59" s="43" t="s">
        <v>2077</v>
      </c>
      <c r="S59" s="43" t="s">
        <v>367</v>
      </c>
      <c r="T59" s="43" t="s">
        <v>367</v>
      </c>
      <c r="U59" s="43" t="s">
        <v>367</v>
      </c>
      <c r="V59" s="334" t="s">
        <v>367</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367</v>
      </c>
      <c r="O60" s="54">
        <v>45812</v>
      </c>
      <c r="P60" s="328" t="s">
        <v>367</v>
      </c>
      <c r="Q60" s="43" t="s">
        <v>367</v>
      </c>
      <c r="R60" s="43" t="s">
        <v>2077</v>
      </c>
      <c r="S60" s="43" t="s">
        <v>367</v>
      </c>
      <c r="T60" s="43" t="s">
        <v>367</v>
      </c>
      <c r="U60" s="43" t="s">
        <v>367</v>
      </c>
      <c r="V60" s="334" t="s">
        <v>367</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367</v>
      </c>
      <c r="N68" s="87" t="s">
        <v>367</v>
      </c>
      <c r="O68" s="87" t="s">
        <v>367</v>
      </c>
      <c r="P68" s="328" t="s">
        <v>367</v>
      </c>
      <c r="Q68" s="43" t="s">
        <v>367</v>
      </c>
      <c r="R68" s="43" t="s">
        <v>367</v>
      </c>
      <c r="S68" s="43" t="s">
        <v>56</v>
      </c>
      <c r="T68" s="43" t="s">
        <v>367</v>
      </c>
      <c r="U68" s="43" t="s">
        <v>367</v>
      </c>
      <c r="V68" s="334" t="s">
        <v>367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367</v>
      </c>
      <c r="N81" s="87" t="s">
        <v>367</v>
      </c>
      <c r="O81" s="124">
        <v>45678</v>
      </c>
      <c r="P81" s="87" t="s">
        <v>367</v>
      </c>
      <c r="Q81" s="43" t="s">
        <v>367</v>
      </c>
      <c r="R81" s="43" t="s">
        <v>2077</v>
      </c>
      <c r="S81" s="43" t="s">
        <v>367</v>
      </c>
      <c r="T81" s="43" t="s">
        <v>367</v>
      </c>
      <c r="U81" s="115" t="s">
        <v>367</v>
      </c>
      <c r="V81" s="69" t="s">
        <v>367</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2077</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552</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367</v>
      </c>
      <c r="O84" s="54">
        <v>45728</v>
      </c>
      <c r="P84" s="30" t="s">
        <v>367</v>
      </c>
      <c r="Q84" s="169" t="s">
        <v>367</v>
      </c>
      <c r="R84" s="169" t="s">
        <v>2077</v>
      </c>
      <c r="S84" s="169" t="s">
        <v>367</v>
      </c>
      <c r="T84" s="169" t="s">
        <v>367</v>
      </c>
      <c r="U84" s="91" t="s">
        <v>367</v>
      </c>
      <c r="V84" s="69" t="s">
        <v>367</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367</v>
      </c>
      <c r="O85" s="54">
        <v>45719</v>
      </c>
      <c r="P85" s="30" t="s">
        <v>367</v>
      </c>
      <c r="Q85" s="43" t="s">
        <v>367</v>
      </c>
      <c r="R85" s="169" t="s">
        <v>2077</v>
      </c>
      <c r="S85" s="169" t="s">
        <v>367</v>
      </c>
      <c r="T85" s="169" t="s">
        <v>367</v>
      </c>
      <c r="U85" s="91" t="s">
        <v>367</v>
      </c>
      <c r="V85" s="91" t="s">
        <v>367</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367</v>
      </c>
      <c r="O86" s="195">
        <v>45728</v>
      </c>
      <c r="P86" s="30" t="s">
        <v>367</v>
      </c>
      <c r="Q86" s="43" t="s">
        <v>367</v>
      </c>
      <c r="R86" s="43" t="s">
        <v>2077</v>
      </c>
      <c r="S86" s="43" t="s">
        <v>367</v>
      </c>
      <c r="T86" s="43" t="s">
        <v>367</v>
      </c>
      <c r="U86" s="69" t="s">
        <v>367</v>
      </c>
      <c r="V86" s="69" t="s">
        <v>367</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367</v>
      </c>
      <c r="O87" s="30" t="s">
        <v>367</v>
      </c>
      <c r="P87" s="30" t="s">
        <v>367</v>
      </c>
      <c r="Q87" s="43" t="s">
        <v>367</v>
      </c>
      <c r="R87" s="43" t="s">
        <v>2077</v>
      </c>
      <c r="S87" s="43" t="s">
        <v>367</v>
      </c>
      <c r="T87" s="43" t="s">
        <v>367</v>
      </c>
      <c r="U87" s="157" t="s">
        <v>367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367</v>
      </c>
      <c r="O88" s="54">
        <v>45728</v>
      </c>
      <c r="P88" s="30" t="s">
        <v>367</v>
      </c>
      <c r="Q88" s="43" t="s">
        <v>367</v>
      </c>
      <c r="R88" s="43" t="s">
        <v>2077</v>
      </c>
      <c r="S88" s="43" t="s">
        <v>367</v>
      </c>
      <c r="T88" s="43" t="s">
        <v>367</v>
      </c>
      <c r="U88" s="157" t="s">
        <v>367</v>
      </c>
      <c r="V88" s="157" t="s">
        <v>367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367</v>
      </c>
      <c r="O89" s="54">
        <v>45722</v>
      </c>
      <c r="P89" s="30" t="s">
        <v>367</v>
      </c>
      <c r="Q89" s="69" t="s">
        <v>367</v>
      </c>
      <c r="R89" s="43" t="s">
        <v>2077</v>
      </c>
      <c r="S89" s="69" t="s">
        <v>367</v>
      </c>
      <c r="T89" s="69" t="s">
        <v>367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2077</v>
      </c>
      <c r="S90" s="69" t="s">
        <v>367</v>
      </c>
      <c r="T90" s="69" t="s">
        <v>367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367</v>
      </c>
      <c r="O91" s="54">
        <v>45723</v>
      </c>
      <c r="P91" s="30" t="s">
        <v>367</v>
      </c>
      <c r="Q91" s="69" t="s">
        <v>367</v>
      </c>
      <c r="R91" s="43" t="s">
        <v>2077</v>
      </c>
      <c r="S91" s="69" t="s">
        <v>367</v>
      </c>
      <c r="T91" s="69" t="s">
        <v>367</v>
      </c>
      <c r="U91" s="69" t="s">
        <v>367</v>
      </c>
      <c r="V91" s="69" t="s">
        <v>367</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367</v>
      </c>
      <c r="O92" s="54">
        <v>45726</v>
      </c>
      <c r="P92" s="30" t="s">
        <v>367</v>
      </c>
      <c r="Q92" s="148" t="s">
        <v>367</v>
      </c>
      <c r="R92" s="43" t="s">
        <v>2077</v>
      </c>
      <c r="S92" s="69" t="s">
        <v>367</v>
      </c>
      <c r="T92" s="69" t="s">
        <v>367</v>
      </c>
      <c r="U92" s="334" t="s">
        <v>367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367</v>
      </c>
      <c r="O93" s="54">
        <v>45727</v>
      </c>
      <c r="P93" s="79" t="s">
        <v>367</v>
      </c>
      <c r="Q93" s="43" t="s">
        <v>367</v>
      </c>
      <c r="R93" s="43" t="s">
        <v>2077</v>
      </c>
      <c r="S93" s="43" t="s">
        <v>367</v>
      </c>
      <c r="T93" s="43" t="s">
        <v>367</v>
      </c>
      <c r="U93" s="334" t="s">
        <v>367</v>
      </c>
      <c r="V93" s="69" t="s">
        <v>367</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2077</v>
      </c>
      <c r="S94" s="69" t="s">
        <v>367</v>
      </c>
      <c r="T94" s="69" t="s">
        <v>367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367</v>
      </c>
      <c r="O95" s="195">
        <v>45694</v>
      </c>
      <c r="P95" s="79" t="s">
        <v>367</v>
      </c>
      <c r="Q95" s="69" t="s">
        <v>367</v>
      </c>
      <c r="R95" s="69" t="s">
        <v>2077</v>
      </c>
      <c r="S95" s="69" t="s">
        <v>367</v>
      </c>
      <c r="T95" s="43" t="s">
        <v>367</v>
      </c>
      <c r="U95" s="69" t="s">
        <v>367</v>
      </c>
      <c r="V95" s="69" t="s">
        <v>367</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2077</v>
      </c>
      <c r="S96" s="69" t="s">
        <v>367</v>
      </c>
      <c r="T96" s="69" t="s">
        <v>367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2077</v>
      </c>
      <c r="S97" s="69" t="s">
        <v>367</v>
      </c>
      <c r="T97" s="69" t="s">
        <v>367</v>
      </c>
      <c r="U97" s="69" t="s">
        <v>367</v>
      </c>
      <c r="V97" s="43" t="s">
        <v>367</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2077</v>
      </c>
      <c r="S98" s="43" t="s">
        <v>367</v>
      </c>
      <c r="T98" s="43" t="s">
        <v>367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367</v>
      </c>
      <c r="O99" s="54">
        <v>45692</v>
      </c>
      <c r="P99" s="30" t="s">
        <v>367</v>
      </c>
      <c r="Q99" s="43" t="s">
        <v>367</v>
      </c>
      <c r="R99" s="43" t="s">
        <v>2077</v>
      </c>
      <c r="S99" s="43" t="s">
        <v>367</v>
      </c>
      <c r="T99" s="115" t="s">
        <v>367</v>
      </c>
      <c r="U99" s="148" t="s">
        <v>367</v>
      </c>
      <c r="V99" s="69" t="s">
        <v>367</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367</v>
      </c>
      <c r="O100" s="166">
        <v>45691</v>
      </c>
      <c r="P100" s="30" t="s">
        <v>367</v>
      </c>
      <c r="Q100" s="43" t="s">
        <v>367</v>
      </c>
      <c r="R100" s="43" t="s">
        <v>2077</v>
      </c>
      <c r="S100" s="43" t="s">
        <v>367</v>
      </c>
      <c r="T100" s="43" t="s">
        <v>367</v>
      </c>
      <c r="U100" s="69" t="s">
        <v>367</v>
      </c>
      <c r="V100" s="157" t="s">
        <v>367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2077</v>
      </c>
      <c r="S101" s="43" t="s">
        <v>367</v>
      </c>
      <c r="T101" s="43" t="s">
        <v>367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367</v>
      </c>
      <c r="N102" s="30" t="s">
        <v>367</v>
      </c>
      <c r="O102" s="54">
        <v>45699</v>
      </c>
      <c r="P102" s="87" t="s">
        <v>367</v>
      </c>
      <c r="Q102" s="88" t="s">
        <v>367</v>
      </c>
      <c r="R102" s="43" t="s">
        <v>2077</v>
      </c>
      <c r="S102" s="43" t="s">
        <v>367</v>
      </c>
      <c r="T102" s="43" t="s">
        <v>367</v>
      </c>
      <c r="U102" s="43" t="s">
        <v>367</v>
      </c>
      <c r="V102" s="165" t="s">
        <v>367</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367</v>
      </c>
      <c r="O103" s="54">
        <v>45675</v>
      </c>
      <c r="P103" s="87" t="s">
        <v>367</v>
      </c>
      <c r="Q103" s="43" t="s">
        <v>367</v>
      </c>
      <c r="R103" s="43" t="s">
        <v>2077</v>
      </c>
      <c r="S103" s="43" t="s">
        <v>367</v>
      </c>
      <c r="T103" s="43" t="s">
        <v>367</v>
      </c>
      <c r="U103" s="43" t="s">
        <v>367</v>
      </c>
      <c r="V103" s="139" t="s">
        <v>367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2077</v>
      </c>
      <c r="S104" s="43" t="s">
        <v>367</v>
      </c>
      <c r="T104" s="43" t="s">
        <v>367</v>
      </c>
      <c r="U104" s="43" t="s">
        <v>367</v>
      </c>
      <c r="V104" s="139" t="s">
        <v>367</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367</v>
      </c>
      <c r="O105" s="54">
        <v>45743</v>
      </c>
      <c r="P105" s="87" t="s">
        <v>367</v>
      </c>
      <c r="Q105" s="157" t="s">
        <v>367</v>
      </c>
      <c r="R105" s="69" t="s">
        <v>2077</v>
      </c>
      <c r="S105" s="43" t="s">
        <v>367</v>
      </c>
      <c r="T105" s="43" t="s">
        <v>367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367</v>
      </c>
      <c r="O106" s="54">
        <v>45679</v>
      </c>
      <c r="P106" s="87" t="s">
        <v>367</v>
      </c>
      <c r="Q106" s="43" t="s">
        <v>367</v>
      </c>
      <c r="R106" s="43" t="s">
        <v>2077</v>
      </c>
      <c r="S106" s="43" t="s">
        <v>367</v>
      </c>
      <c r="T106" s="43" t="s">
        <v>367</v>
      </c>
      <c r="U106" s="43" t="s">
        <v>367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367</v>
      </c>
      <c r="O107" s="54">
        <v>45749</v>
      </c>
      <c r="P107" s="30" t="s">
        <v>367</v>
      </c>
      <c r="Q107" s="43" t="s">
        <v>367</v>
      </c>
      <c r="R107" s="43" t="s">
        <v>2077</v>
      </c>
      <c r="S107" s="43" t="s">
        <v>367</v>
      </c>
      <c r="T107" s="43" t="s">
        <v>367</v>
      </c>
      <c r="U107" s="43" t="s">
        <v>367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367</v>
      </c>
      <c r="O108" s="54">
        <v>45749</v>
      </c>
      <c r="P108" s="30" t="s">
        <v>367</v>
      </c>
      <c r="Q108" s="43" t="s">
        <v>367</v>
      </c>
      <c r="R108" s="334" t="s">
        <v>2077</v>
      </c>
      <c r="S108" s="43" t="s">
        <v>367</v>
      </c>
      <c r="T108" s="43" t="s">
        <v>367</v>
      </c>
      <c r="U108" s="88" t="s">
        <v>367</v>
      </c>
      <c r="V108" s="481" t="s">
        <v>367</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367</v>
      </c>
      <c r="O109" s="54">
        <v>45744</v>
      </c>
      <c r="P109" s="79" t="s">
        <v>367</v>
      </c>
      <c r="Q109" s="43" t="s">
        <v>367</v>
      </c>
      <c r="R109" s="334" t="s">
        <v>2077</v>
      </c>
      <c r="S109" s="43" t="s">
        <v>367</v>
      </c>
      <c r="T109" s="43" t="s">
        <v>367</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367</v>
      </c>
      <c r="O110" s="54">
        <v>45691</v>
      </c>
      <c r="P110" s="79" t="s">
        <v>367</v>
      </c>
      <c r="Q110" s="43" t="s">
        <v>367</v>
      </c>
      <c r="R110" s="334" t="s">
        <v>2077</v>
      </c>
      <c r="S110" s="43" t="s">
        <v>367</v>
      </c>
      <c r="T110" s="43" t="s">
        <v>367</v>
      </c>
      <c r="U110" s="88" t="s">
        <v>367</v>
      </c>
      <c r="V110" s="481" t="s">
        <v>367</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367</v>
      </c>
      <c r="O111" s="54">
        <v>45708</v>
      </c>
      <c r="P111" s="30" t="s">
        <v>367</v>
      </c>
      <c r="Q111" s="169" t="s">
        <v>367</v>
      </c>
      <c r="R111" s="69" t="s">
        <v>2077</v>
      </c>
      <c r="S111" s="43" t="s">
        <v>367</v>
      </c>
      <c r="T111" s="43" t="s">
        <v>367</v>
      </c>
      <c r="U111" s="43" t="s">
        <v>367</v>
      </c>
      <c r="V111" s="201" t="s">
        <v>367</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367</v>
      </c>
      <c r="O112" s="166">
        <v>45744</v>
      </c>
      <c r="P112" s="114" t="s">
        <v>367</v>
      </c>
      <c r="Q112" s="115" t="s">
        <v>367</v>
      </c>
      <c r="R112" s="148" t="s">
        <v>2077</v>
      </c>
      <c r="S112" s="43" t="s">
        <v>367</v>
      </c>
      <c r="T112" s="43" t="s">
        <v>367</v>
      </c>
      <c r="U112" s="43" t="s">
        <v>367</v>
      </c>
      <c r="V112" s="201" t="s">
        <v>367</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367</v>
      </c>
      <c r="O113" s="166">
        <v>45755</v>
      </c>
      <c r="P113" s="114" t="s">
        <v>367</v>
      </c>
      <c r="Q113" s="115" t="s">
        <v>367</v>
      </c>
      <c r="R113" s="148" t="s">
        <v>2077</v>
      </c>
      <c r="S113" s="115" t="s">
        <v>367</v>
      </c>
      <c r="T113" s="43" t="s">
        <v>367</v>
      </c>
      <c r="U113" s="43" t="s">
        <v>367</v>
      </c>
      <c r="V113" s="201" t="s">
        <v>367</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367</v>
      </c>
      <c r="O114" s="54">
        <v>45747</v>
      </c>
      <c r="P114" s="114" t="s">
        <v>367</v>
      </c>
      <c r="Q114" s="115" t="s">
        <v>367</v>
      </c>
      <c r="R114" s="148" t="s">
        <v>2077</v>
      </c>
      <c r="S114" s="115" t="s">
        <v>367</v>
      </c>
      <c r="T114" s="43" t="s">
        <v>367</v>
      </c>
      <c r="U114" s="157" t="s">
        <v>367</v>
      </c>
      <c r="V114" s="201" t="s">
        <v>367</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367</v>
      </c>
      <c r="O115" s="124">
        <v>45757</v>
      </c>
      <c r="P115" s="30" t="s">
        <v>367</v>
      </c>
      <c r="Q115" s="43" t="s">
        <v>367</v>
      </c>
      <c r="R115" s="69" t="s">
        <v>2077</v>
      </c>
      <c r="S115" s="43" t="s">
        <v>367</v>
      </c>
      <c r="T115" s="43" t="s">
        <v>367</v>
      </c>
      <c r="U115" s="43" t="s">
        <v>367</v>
      </c>
      <c r="V115" s="88" t="s">
        <v>367</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367</v>
      </c>
      <c r="O116" s="124">
        <v>45757</v>
      </c>
      <c r="P116" s="30" t="s">
        <v>367</v>
      </c>
      <c r="Q116" s="43" t="s">
        <v>367</v>
      </c>
      <c r="R116" s="69" t="s">
        <v>2077</v>
      </c>
      <c r="S116" s="43" t="s">
        <v>367</v>
      </c>
      <c r="T116" s="43" t="s">
        <v>367</v>
      </c>
      <c r="U116" s="43" t="s">
        <v>367</v>
      </c>
      <c r="V116" s="481" t="s">
        <v>367</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367</v>
      </c>
      <c r="O117" s="124">
        <v>45757</v>
      </c>
      <c r="P117" s="30" t="s">
        <v>367</v>
      </c>
      <c r="Q117" s="43" t="s">
        <v>367</v>
      </c>
      <c r="R117" s="69" t="s">
        <v>2077</v>
      </c>
      <c r="S117" s="43" t="s">
        <v>367</v>
      </c>
      <c r="T117" s="43" t="s">
        <v>367</v>
      </c>
      <c r="U117" s="43" t="s">
        <v>367</v>
      </c>
      <c r="V117" s="88" t="s">
        <v>367</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367</v>
      </c>
      <c r="O118" s="124">
        <v>45757</v>
      </c>
      <c r="P118" s="87" t="s">
        <v>367</v>
      </c>
      <c r="Q118" s="43" t="s">
        <v>367</v>
      </c>
      <c r="R118" s="43" t="s">
        <v>2077</v>
      </c>
      <c r="S118" s="43" t="s">
        <v>367</v>
      </c>
      <c r="T118" s="43" t="s">
        <v>367</v>
      </c>
      <c r="U118" s="157" t="s">
        <v>367</v>
      </c>
      <c r="V118" s="88" t="s">
        <v>367</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367</v>
      </c>
      <c r="O119" s="124">
        <v>45757</v>
      </c>
      <c r="P119" s="30" t="s">
        <v>367</v>
      </c>
      <c r="Q119" s="69" t="s">
        <v>367</v>
      </c>
      <c r="R119" s="69" t="s">
        <v>2077</v>
      </c>
      <c r="S119" s="43" t="s">
        <v>367</v>
      </c>
      <c r="T119" s="43" t="s">
        <v>367</v>
      </c>
      <c r="U119" s="157" t="s">
        <v>367</v>
      </c>
      <c r="V119" s="88" t="s">
        <v>367</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367</v>
      </c>
      <c r="O120" s="54">
        <v>45748</v>
      </c>
      <c r="P120" s="30" t="s">
        <v>367</v>
      </c>
      <c r="Q120" s="43" t="s">
        <v>367</v>
      </c>
      <c r="R120" s="69" t="s">
        <v>2077</v>
      </c>
      <c r="S120" s="43" t="s">
        <v>367</v>
      </c>
      <c r="T120" s="43" t="s">
        <v>367</v>
      </c>
      <c r="U120" s="43" t="s">
        <v>367</v>
      </c>
      <c r="V120" s="88" t="s">
        <v>367</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367</v>
      </c>
      <c r="O121" s="124">
        <v>45757</v>
      </c>
      <c r="P121" s="30" t="s">
        <v>367</v>
      </c>
      <c r="Q121" s="69" t="s">
        <v>367</v>
      </c>
      <c r="R121" s="69" t="s">
        <v>2077</v>
      </c>
      <c r="S121" s="43" t="s">
        <v>367</v>
      </c>
      <c r="T121" s="43" t="s">
        <v>367</v>
      </c>
      <c r="U121" s="43" t="s">
        <v>367</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367</v>
      </c>
      <c r="O122" s="54">
        <v>45747</v>
      </c>
      <c r="P122" s="30" t="s">
        <v>367</v>
      </c>
      <c r="Q122" s="69" t="s">
        <v>367</v>
      </c>
      <c r="R122" s="69" t="s">
        <v>2077</v>
      </c>
      <c r="S122" s="43" t="s">
        <v>367</v>
      </c>
      <c r="T122" s="43" t="s">
        <v>367</v>
      </c>
      <c r="U122" s="157" t="s">
        <v>367</v>
      </c>
      <c r="V122" s="157" t="s">
        <v>367</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367</v>
      </c>
      <c r="O123" s="54">
        <v>45744</v>
      </c>
      <c r="P123" s="30" t="s">
        <v>367</v>
      </c>
      <c r="Q123" s="43" t="s">
        <v>367</v>
      </c>
      <c r="R123" s="69" t="s">
        <v>2077</v>
      </c>
      <c r="S123" s="43" t="s">
        <v>367</v>
      </c>
      <c r="T123" s="43" t="s">
        <v>367</v>
      </c>
      <c r="U123" s="43" t="s">
        <v>367</v>
      </c>
      <c r="V123" s="69" t="s">
        <v>367</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367</v>
      </c>
      <c r="O124" s="54">
        <v>45744</v>
      </c>
      <c r="P124" s="30" t="s">
        <v>367</v>
      </c>
      <c r="Q124" s="43" t="s">
        <v>367</v>
      </c>
      <c r="R124" s="69" t="s">
        <v>2077</v>
      </c>
      <c r="S124" s="43" t="s">
        <v>367</v>
      </c>
      <c r="T124" s="43" t="s">
        <v>367</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367</v>
      </c>
      <c r="N125" s="30" t="s">
        <v>367</v>
      </c>
      <c r="O125" s="54">
        <v>45679</v>
      </c>
      <c r="P125" s="30" t="s">
        <v>367</v>
      </c>
      <c r="Q125" s="69" t="s">
        <v>367</v>
      </c>
      <c r="R125" s="43" t="s">
        <v>2077</v>
      </c>
      <c r="S125" s="43" t="s">
        <v>367</v>
      </c>
      <c r="T125" s="43" t="s">
        <v>367</v>
      </c>
      <c r="U125" s="43" t="s">
        <v>367</v>
      </c>
      <c r="V125" s="43" t="s">
        <v>367</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367</v>
      </c>
      <c r="N126" s="30" t="s">
        <v>367</v>
      </c>
      <c r="O126" s="54">
        <v>45720</v>
      </c>
      <c r="P126" s="30" t="s">
        <v>367</v>
      </c>
      <c r="Q126" s="69" t="s">
        <v>367</v>
      </c>
      <c r="R126" s="43" t="s">
        <v>2077</v>
      </c>
      <c r="S126" s="43" t="s">
        <v>367</v>
      </c>
      <c r="T126" s="43" t="s">
        <v>367</v>
      </c>
      <c r="U126" s="43" t="s">
        <v>367</v>
      </c>
      <c r="V126" s="88" t="s">
        <v>367</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367</v>
      </c>
      <c r="O127" s="54">
        <v>45679</v>
      </c>
      <c r="P127" s="30" t="s">
        <v>367</v>
      </c>
      <c r="Q127" s="43" t="s">
        <v>367</v>
      </c>
      <c r="R127" s="43" t="s">
        <v>2077</v>
      </c>
      <c r="S127" s="43" t="s">
        <v>367</v>
      </c>
      <c r="T127" s="43" t="s">
        <v>367</v>
      </c>
      <c r="U127" s="43" t="s">
        <v>367</v>
      </c>
      <c r="V127" s="88" t="s">
        <v>367</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367</v>
      </c>
      <c r="O128" s="347">
        <v>45694</v>
      </c>
      <c r="P128" s="87" t="s">
        <v>367</v>
      </c>
      <c r="Q128" s="43" t="s">
        <v>367</v>
      </c>
      <c r="R128" s="43" t="s">
        <v>2077</v>
      </c>
      <c r="S128" s="43" t="s">
        <v>367</v>
      </c>
      <c r="T128" s="43" t="s">
        <v>367</v>
      </c>
      <c r="U128" s="43" t="s">
        <v>367</v>
      </c>
      <c r="V128" s="88" t="s">
        <v>367</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2077</v>
      </c>
      <c r="S129" s="43" t="s">
        <v>367</v>
      </c>
      <c r="T129" s="115" t="s">
        <v>367</v>
      </c>
      <c r="U129" s="115" t="s">
        <v>367</v>
      </c>
      <c r="V129" s="88" t="s">
        <v>367</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367</v>
      </c>
      <c r="O130" s="54">
        <v>45698</v>
      </c>
      <c r="P130" s="30" t="s">
        <v>367</v>
      </c>
      <c r="Q130" s="69" t="s">
        <v>367</v>
      </c>
      <c r="R130" s="43" t="s">
        <v>2077</v>
      </c>
      <c r="S130" s="43" t="s">
        <v>367</v>
      </c>
      <c r="T130" s="43" t="s">
        <v>367</v>
      </c>
      <c r="U130" s="43" t="s">
        <v>367</v>
      </c>
      <c r="V130" s="88" t="s">
        <v>367</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367</v>
      </c>
      <c r="N131" s="49" t="s">
        <v>367</v>
      </c>
      <c r="O131" s="30" t="s">
        <v>367</v>
      </c>
      <c r="P131" s="30" t="s">
        <v>367</v>
      </c>
      <c r="Q131" s="43" t="s">
        <v>367</v>
      </c>
      <c r="R131" s="43" t="s">
        <v>2077</v>
      </c>
      <c r="S131" s="43" t="s">
        <v>367</v>
      </c>
      <c r="T131" s="157" t="s">
        <v>367</v>
      </c>
      <c r="U131" s="157" t="s">
        <v>367</v>
      </c>
      <c r="V131" s="88" t="s">
        <v>367</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367</v>
      </c>
      <c r="O132" s="54">
        <v>45691</v>
      </c>
      <c r="P132" s="87" t="s">
        <v>367</v>
      </c>
      <c r="Q132" s="43" t="s">
        <v>367</v>
      </c>
      <c r="R132" s="43" t="s">
        <v>2077</v>
      </c>
      <c r="S132" s="43" t="s">
        <v>367</v>
      </c>
      <c r="T132" s="43" t="s">
        <v>367</v>
      </c>
      <c r="U132" s="43" t="s">
        <v>367</v>
      </c>
      <c r="V132" s="43" t="s">
        <v>367</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367</v>
      </c>
      <c r="N133" s="49" t="s">
        <v>367</v>
      </c>
      <c r="O133" s="54">
        <v>45701</v>
      </c>
      <c r="P133" s="30" t="s">
        <v>367</v>
      </c>
      <c r="Q133" s="69" t="s">
        <v>367</v>
      </c>
      <c r="R133" s="43" t="s">
        <v>2077</v>
      </c>
      <c r="S133" s="43" t="s">
        <v>367</v>
      </c>
      <c r="T133" s="43" t="s">
        <v>367</v>
      </c>
      <c r="U133" s="43" t="s">
        <v>367</v>
      </c>
      <c r="V133" s="69" t="s">
        <v>367</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367</v>
      </c>
      <c r="O134" s="54">
        <v>45709</v>
      </c>
      <c r="P134" s="30" t="s">
        <v>367</v>
      </c>
      <c r="Q134" s="43" t="s">
        <v>367</v>
      </c>
      <c r="R134" s="43" t="s">
        <v>2077</v>
      </c>
      <c r="S134" s="43" t="s">
        <v>367</v>
      </c>
      <c r="T134" s="43" t="s">
        <v>367</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367</v>
      </c>
      <c r="N135" s="49" t="s">
        <v>367</v>
      </c>
      <c r="O135" s="195">
        <v>45720</v>
      </c>
      <c r="P135" s="49" t="s">
        <v>367</v>
      </c>
      <c r="Q135" s="69" t="s">
        <v>367</v>
      </c>
      <c r="R135" s="43" t="s">
        <v>2077</v>
      </c>
      <c r="S135" s="43" t="s">
        <v>367</v>
      </c>
      <c r="T135" s="43" t="s">
        <v>367</v>
      </c>
      <c r="U135" s="157" t="s">
        <v>367</v>
      </c>
      <c r="V135" s="43" t="s">
        <v>367</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367</v>
      </c>
      <c r="O136" s="54">
        <v>45691</v>
      </c>
      <c r="P136" s="30" t="s">
        <v>367</v>
      </c>
      <c r="Q136" s="43" t="s">
        <v>367</v>
      </c>
      <c r="R136" s="43" t="s">
        <v>2077</v>
      </c>
      <c r="S136" s="43" t="s">
        <v>367</v>
      </c>
      <c r="T136" s="43" t="s">
        <v>367</v>
      </c>
      <c r="U136" s="43" t="s">
        <v>367</v>
      </c>
      <c r="V136" s="43" t="s">
        <v>367</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367</v>
      </c>
      <c r="O137" s="30" t="s">
        <v>367</v>
      </c>
      <c r="P137" s="49" t="s">
        <v>367</v>
      </c>
      <c r="Q137" s="69" t="s">
        <v>367</v>
      </c>
      <c r="R137" s="43" t="s">
        <v>2077</v>
      </c>
      <c r="S137" s="43" t="s">
        <v>367</v>
      </c>
      <c r="T137" s="43" t="s">
        <v>367</v>
      </c>
      <c r="U137" s="157" t="s">
        <v>367</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367</v>
      </c>
      <c r="O138" s="124">
        <v>45707</v>
      </c>
      <c r="P138" s="30" t="s">
        <v>367</v>
      </c>
      <c r="Q138" s="43" t="s">
        <v>367</v>
      </c>
      <c r="R138" s="43" t="s">
        <v>2077</v>
      </c>
      <c r="S138" s="43" t="s">
        <v>367</v>
      </c>
      <c r="T138" s="43" t="s">
        <v>367</v>
      </c>
      <c r="U138" s="43" t="s">
        <v>367</v>
      </c>
      <c r="V138" s="43" t="s">
        <v>367</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367</v>
      </c>
      <c r="N139" s="30" t="s">
        <v>367</v>
      </c>
      <c r="O139" s="30" t="s">
        <v>367</v>
      </c>
      <c r="P139" s="30" t="s">
        <v>367</v>
      </c>
      <c r="Q139" s="43" t="s">
        <v>367</v>
      </c>
      <c r="R139" s="43" t="s">
        <v>2077</v>
      </c>
      <c r="S139" s="43" t="s">
        <v>367</v>
      </c>
      <c r="T139" s="43" t="s">
        <v>367</v>
      </c>
      <c r="U139" s="157" t="s">
        <v>367</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367</v>
      </c>
      <c r="O140" s="54">
        <v>45743</v>
      </c>
      <c r="P140" s="87" t="s">
        <v>367</v>
      </c>
      <c r="Q140" s="88" t="s">
        <v>367</v>
      </c>
      <c r="R140" s="43" t="s">
        <v>2077</v>
      </c>
      <c r="S140" s="43" t="s">
        <v>367</v>
      </c>
      <c r="T140" s="43" t="s">
        <v>367</v>
      </c>
      <c r="U140" s="88" t="s">
        <v>367</v>
      </c>
      <c r="V140" s="69" t="s">
        <v>367</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367</v>
      </c>
      <c r="O141" s="195">
        <v>45743</v>
      </c>
      <c r="P141" s="87" t="s">
        <v>367</v>
      </c>
      <c r="Q141" s="88" t="s">
        <v>367</v>
      </c>
      <c r="R141" s="43" t="s">
        <v>2077</v>
      </c>
      <c r="S141" s="43" t="s">
        <v>367</v>
      </c>
      <c r="T141" s="43" t="s">
        <v>367</v>
      </c>
      <c r="U141" s="88" t="s">
        <v>367</v>
      </c>
      <c r="V141" s="88" t="s">
        <v>367</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367</v>
      </c>
      <c r="N142" s="49" t="s">
        <v>367</v>
      </c>
      <c r="O142" s="195">
        <v>45691</v>
      </c>
      <c r="P142" s="30" t="s">
        <v>367</v>
      </c>
      <c r="Q142" s="69" t="s">
        <v>367</v>
      </c>
      <c r="R142" s="43" t="s">
        <v>2077</v>
      </c>
      <c r="S142" s="43" t="s">
        <v>367</v>
      </c>
      <c r="T142" s="43" t="s">
        <v>367</v>
      </c>
      <c r="U142" s="157" t="s">
        <v>367</v>
      </c>
      <c r="V142" s="69" t="s">
        <v>90</v>
      </c>
      <c r="W142" s="30"/>
      <c r="X142" s="69" t="s">
        <v>90</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2077</v>
      </c>
      <c r="S143" s="43" t="s">
        <v>367</v>
      </c>
      <c r="T143" s="43" t="s">
        <v>367</v>
      </c>
      <c r="U143" s="157" t="s">
        <v>367</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2080</v>
      </c>
    </row>
    <row r="145" spans="1:25" ht="15" customHeight="1">
      <c r="A145" s="358" t="s">
        <v>1089</v>
      </c>
      <c r="B145" s="406" t="s">
        <v>50</v>
      </c>
      <c r="C145" s="359">
        <v>45991</v>
      </c>
      <c r="D145" s="410" t="s">
        <v>525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527</v>
      </c>
      <c r="B148" s="406" t="s">
        <v>50</v>
      </c>
      <c r="C148" s="400">
        <v>45991</v>
      </c>
      <c r="D148" s="410" t="s">
        <v>529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2077</v>
      </c>
      <c r="S150" s="43" t="s">
        <v>367</v>
      </c>
      <c r="T150" s="43" t="s">
        <v>367</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2077</v>
      </c>
      <c r="S151" s="43" t="s">
        <v>367</v>
      </c>
      <c r="T151" s="43" t="s">
        <v>367</v>
      </c>
      <c r="U151" s="69" t="s">
        <v>90</v>
      </c>
      <c r="V151" s="69" t="s">
        <v>90</v>
      </c>
      <c r="W151" s="54">
        <v>45818</v>
      </c>
      <c r="X151" s="69" t="s">
        <v>90</v>
      </c>
      <c r="Y151" t="e">
        <f>VLOOKUP(A151,#REF!,2,FALSE)</f>
        <v>#REF!</v>
      </c>
    </row>
    <row r="152" spans="1:25" ht="15" customHeight="1">
      <c r="A152" s="358" t="s">
        <v>1095</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2077</v>
      </c>
      <c r="S153" s="43" t="s">
        <v>367</v>
      </c>
      <c r="T153" s="157" t="s">
        <v>367</v>
      </c>
      <c r="U153" s="157" t="s">
        <v>367</v>
      </c>
      <c r="V153" s="43" t="s">
        <v>367</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367</v>
      </c>
      <c r="O154" s="347">
        <v>45696</v>
      </c>
      <c r="P154" s="30" t="s">
        <v>367</v>
      </c>
      <c r="Q154" s="69" t="s">
        <v>367</v>
      </c>
      <c r="R154" s="43" t="s">
        <v>2077</v>
      </c>
      <c r="S154" s="43" t="s">
        <v>367</v>
      </c>
      <c r="T154" s="157" t="s">
        <v>367</v>
      </c>
      <c r="U154" s="157" t="s">
        <v>367</v>
      </c>
      <c r="V154" s="43" t="s">
        <v>367</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367</v>
      </c>
      <c r="O155" s="54">
        <v>45699</v>
      </c>
      <c r="P155" s="49" t="s">
        <v>367</v>
      </c>
      <c r="Q155" s="69" t="s">
        <v>367</v>
      </c>
      <c r="R155" s="43" t="s">
        <v>2077</v>
      </c>
      <c r="S155" s="43" t="s">
        <v>367</v>
      </c>
      <c r="T155" s="43" t="s">
        <v>367</v>
      </c>
      <c r="U155" s="157" t="s">
        <v>367</v>
      </c>
      <c r="V155" s="43" t="s">
        <v>367</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367</v>
      </c>
      <c r="O156" s="54">
        <v>45699</v>
      </c>
      <c r="P156" s="49" t="s">
        <v>367</v>
      </c>
      <c r="Q156" s="69" t="s">
        <v>367</v>
      </c>
      <c r="R156" s="43" t="s">
        <v>2077</v>
      </c>
      <c r="S156" s="43" t="s">
        <v>367</v>
      </c>
      <c r="T156" s="43" t="s">
        <v>367</v>
      </c>
      <c r="U156" s="69" t="s">
        <v>367</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367</v>
      </c>
      <c r="O158" s="54">
        <v>45736</v>
      </c>
      <c r="P158" s="49" t="s">
        <v>367</v>
      </c>
      <c r="Q158" s="69" t="s">
        <v>367</v>
      </c>
      <c r="R158" s="43" t="s">
        <v>2077</v>
      </c>
      <c r="S158" s="43" t="s">
        <v>367</v>
      </c>
      <c r="T158" s="43" t="s">
        <v>367</v>
      </c>
      <c r="U158" s="157" t="s">
        <v>367</v>
      </c>
      <c r="V158" s="157" t="s">
        <v>367</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534</v>
      </c>
      <c r="B169" s="406" t="s">
        <v>50</v>
      </c>
      <c r="C169" s="579">
        <v>45991</v>
      </c>
      <c r="D169" s="410" t="s">
        <v>535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2090</v>
      </c>
      <c r="C1" s="1443"/>
      <c r="D1" s="558"/>
      <c r="E1" s="1443" t="s">
        <v>2091</v>
      </c>
      <c r="F1" s="144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69424</v>
      </c>
      <c r="E4" s="44" t="s">
        <v>2092</v>
      </c>
      <c r="F4" t="s">
        <v>1065</v>
      </c>
      <c r="W4" t="s">
        <v>2096</v>
      </c>
      <c r="X4">
        <v>22</v>
      </c>
    </row>
    <row r="5" spans="1:25">
      <c r="B5" t="s">
        <v>71</v>
      </c>
      <c r="C5">
        <v>28636</v>
      </c>
      <c r="E5" t="s">
        <v>1065</v>
      </c>
      <c r="F5">
        <v>111826</v>
      </c>
      <c r="K5" s="44" t="s">
        <v>2097</v>
      </c>
      <c r="P5" s="44" t="s">
        <v>2097</v>
      </c>
      <c r="W5" t="s">
        <v>2098</v>
      </c>
      <c r="X5">
        <v>13</v>
      </c>
    </row>
    <row r="6" spans="1:25">
      <c r="B6" t="s">
        <v>1092</v>
      </c>
      <c r="C6">
        <v>208773</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218</v>
      </c>
      <c r="C9">
        <v>7128</v>
      </c>
      <c r="L9" t="s">
        <v>2106</v>
      </c>
      <c r="M9">
        <v>1</v>
      </c>
      <c r="P9" t="s">
        <v>2107</v>
      </c>
      <c r="Q9" t="s">
        <v>2106</v>
      </c>
      <c r="R9">
        <v>1</v>
      </c>
      <c r="V9" t="s">
        <v>2108</v>
      </c>
      <c r="W9">
        <v>64000</v>
      </c>
    </row>
    <row r="10" spans="1:25">
      <c r="B10" t="s">
        <v>229</v>
      </c>
      <c r="C10">
        <v>29359</v>
      </c>
      <c r="L10" t="s">
        <v>835</v>
      </c>
      <c r="M10">
        <v>1</v>
      </c>
      <c r="Q10" t="s">
        <v>839</v>
      </c>
      <c r="R10">
        <v>1</v>
      </c>
    </row>
    <row r="11" spans="1:25">
      <c r="B11" t="s">
        <v>199</v>
      </c>
      <c r="C11">
        <v>103</v>
      </c>
      <c r="L11" t="s">
        <v>839</v>
      </c>
      <c r="M11">
        <v>1</v>
      </c>
      <c r="Q11" t="s">
        <v>842</v>
      </c>
      <c r="R11">
        <v>1</v>
      </c>
    </row>
    <row r="12" spans="1:25">
      <c r="B12" t="s">
        <v>143</v>
      </c>
      <c r="C12">
        <v>13766</v>
      </c>
      <c r="L12" t="s">
        <v>842</v>
      </c>
      <c r="M12">
        <v>1</v>
      </c>
      <c r="Q12" t="s">
        <v>2109</v>
      </c>
      <c r="R12">
        <v>1</v>
      </c>
    </row>
    <row r="13" spans="1:25">
      <c r="B13" t="s">
        <v>175</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271</v>
      </c>
      <c r="C19">
        <v>8622</v>
      </c>
      <c r="L19" t="s">
        <v>868</v>
      </c>
      <c r="M19">
        <v>1</v>
      </c>
    </row>
    <row r="20" spans="2:13">
      <c r="B20" t="s">
        <v>215</v>
      </c>
      <c r="C20">
        <v>0</v>
      </c>
      <c r="L20" t="s">
        <v>872</v>
      </c>
      <c r="M20">
        <v>1</v>
      </c>
    </row>
    <row r="21" spans="2:13">
      <c r="B21" t="s">
        <v>1062</v>
      </c>
      <c r="C21">
        <v>390084</v>
      </c>
      <c r="L21" t="s">
        <v>2112</v>
      </c>
      <c r="M21">
        <v>1</v>
      </c>
    </row>
    <row r="22" spans="2:13">
      <c r="L22" t="s">
        <v>1016</v>
      </c>
      <c r="M22">
        <v>1</v>
      </c>
    </row>
    <row r="23" spans="2:13">
      <c r="L23" t="s">
        <v>904</v>
      </c>
      <c r="M23">
        <v>1</v>
      </c>
    </row>
    <row r="24" spans="2:13">
      <c r="L24" t="s">
        <v>927</v>
      </c>
      <c r="M24">
        <v>1</v>
      </c>
    </row>
    <row r="25" spans="2:13">
      <c r="L25" t="s">
        <v>172</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2117</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531</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527</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534</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172</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96EBE5-4DBD-46B7-BCC3-70B8A5E2DA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2025-12-31T17:13:43Z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