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57" documentId="8_{E14B221E-02E2-46A3-8CEC-C736815F2DD5}" xr6:coauthVersionLast="47" xr6:coauthVersionMax="47" xr10:uidLastSave="{3A47B292-F39C-4A20-9CC1-F70497EBBB1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5118" r:id="rId12"/>
    <pivotCache cacheId="5121" r:id="rId13"/>
    <pivotCache cacheId="5124" r:id="rId14"/>
    <pivotCache cacheId="5127" r:id="rId15"/>
    <pivotCache cacheId="5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<sst xmlns="http://schemas.openxmlformats.org/spreadsheetml/2006/main" count="17567" uniqueCount="2252">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</sst>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U55" activePane="topRight" state="frozen"/>
      <selection pane="topRight" activeCell="AD77" sqref="AD7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0">
        <v>109</v>
      </c>
      <c r="I74" s="823" t="s">
        <v>232</v>
      </c>
      <c r="J74" s="826" t="s">
        <v>64</v>
      </c>
      <c r="K74" s="1491"/>
      <c r="L74" s="1313">
        <v>45663</v>
      </c>
      <c r="M74" s="1197" t="s">
        <v>57</v>
      </c>
      <c r="N74" s="1492">
        <v>123587.5</v>
      </c>
      <c r="O74" s="1490" t="s">
        <v>57</v>
      </c>
      <c r="P74" s="1497" t="s">
        <v>233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276</v>
      </c>
      <c r="AE80" s="1242"/>
    </row>
    <row r="81" spans="1:31" ht="24.75" customHeight="1">
      <c r="A81" s="1310" t="s">
        <v>277</v>
      </c>
      <c r="B81" s="1003" t="s">
        <v>262</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1" t="s">
        <v>64</v>
      </c>
      <c r="K17" s="1491"/>
      <c r="L17" s="476" t="s">
        <v>52</v>
      </c>
      <c r="M17" s="478" t="s">
        <v>57</v>
      </c>
      <c r="N17" s="1492">
        <v>1035</v>
      </c>
      <c r="O17" s="1197" t="s">
        <v>57</v>
      </c>
      <c r="P17" s="1246" t="s">
        <v>233</v>
      </c>
      <c r="Q17" s="1493">
        <v>46030</v>
      </c>
      <c r="R17" s="1307"/>
      <c r="S17" s="1307"/>
      <c r="T17" s="1307"/>
      <c r="U17" s="1307"/>
      <c r="V17" s="1494">
        <v>0</v>
      </c>
      <c r="W17" s="1498">
        <v>0</v>
      </c>
      <c r="X17" s="1495">
        <f>SUM(V17-W17)</f>
        <v>0</v>
      </c>
      <c r="Y17" s="658">
        <v>1</v>
      </c>
      <c r="Z17" s="1493">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1">
        <v>0</v>
      </c>
      <c r="I32" s="657" t="s">
        <v>232</v>
      </c>
      <c r="J32" s="1491" t="s">
        <v>64</v>
      </c>
      <c r="K32" s="1491"/>
      <c r="L32" s="1311" t="s">
        <v>132</v>
      </c>
      <c r="M32" s="1491" t="s">
        <v>57</v>
      </c>
      <c r="N32" s="1503">
        <v>15670.45</v>
      </c>
      <c r="O32" s="1491" t="s">
        <v>57</v>
      </c>
      <c r="P32" s="1497" t="s">
        <v>233</v>
      </c>
      <c r="Q32" s="1504">
        <v>46031</v>
      </c>
      <c r="R32" s="1504"/>
      <c r="S32" s="1504"/>
      <c r="T32" s="1504"/>
      <c r="U32" s="1504"/>
      <c r="V32" s="782">
        <v>1202</v>
      </c>
      <c r="W32" s="1247">
        <v>1208</v>
      </c>
      <c r="X32" s="1495">
        <f>SUM(V32-W32)</f>
        <v>-6</v>
      </c>
      <c r="Y32" s="658">
        <v>1</v>
      </c>
      <c r="Z32" s="1200">
        <v>46035</v>
      </c>
      <c r="AA32" s="355">
        <v>1</v>
      </c>
      <c r="AB32" s="1505">
        <v>0</v>
      </c>
      <c r="AC32" s="1495">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228</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228</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228</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228</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228</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228</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228</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261</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261</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261</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247</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228</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259</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228</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265</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244</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228</v>
      </c>
      <c r="B1296">
        <v>859</v>
      </c>
      <c r="C1296">
        <v>859</v>
      </c>
    </row>
    <row r="1297" spans="1:3">
      <c r="A1297" t="s">
        <v>1142</v>
      </c>
      <c r="B1297">
        <v>251</v>
      </c>
      <c r="C1297">
        <v>251</v>
      </c>
    </row>
    <row r="1298" spans="1:3">
      <c r="A1298" t="s">
        <v>326</v>
      </c>
    </row>
    <row r="1299" spans="1:3">
      <c r="A1299" t="s">
        <v>508</v>
      </c>
    </row>
    <row r="1300" spans="1:3">
      <c r="A1300" t="s">
        <v>1169</v>
      </c>
    </row>
    <row r="1301" spans="1:3">
      <c r="A1301" t="s">
        <v>1170</v>
      </c>
    </row>
    <row r="1302" spans="1:3">
      <c r="A1302" t="s">
        <v>372</v>
      </c>
      <c r="B1302">
        <v>505</v>
      </c>
      <c r="C1302">
        <v>505</v>
      </c>
    </row>
    <row r="1303" spans="1:3">
      <c r="A1303" t="s">
        <v>369</v>
      </c>
    </row>
    <row r="1304" spans="1:3">
      <c r="A1304" t="s">
        <v>375</v>
      </c>
    </row>
    <row r="1305" spans="1:3">
      <c r="A1305" t="s">
        <v>244</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315"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244</v>
      </c>
      <c r="B2632" s="315" t="s">
        <v>189</v>
      </c>
      <c r="C2632" s="56">
        <v>46055</v>
      </c>
      <c r="F2632" s="754" t="s">
        <v>1805</v>
      </c>
      <c r="G2632" t="s">
        <v>1094</v>
      </c>
    </row>
    <row r="2633" spans="1:7">
      <c r="A2633" s="247" t="s">
        <v>326</v>
      </c>
      <c r="B2633" s="157" t="s">
        <v>2105</v>
      </c>
      <c r="C2633" s="56">
        <v>46055</v>
      </c>
      <c r="E2633" s="321">
        <v>13102</v>
      </c>
      <c r="F2633" s="43" t="s">
        <v>2106</v>
      </c>
      <c r="G2633" t="s">
        <v>1094</v>
      </c>
    </row>
    <row r="2634" spans="1:7">
      <c r="A2634" s="247" t="s">
        <v>228</v>
      </c>
      <c r="B2634" s="935" t="s">
        <v>220</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178</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220</v>
      </c>
      <c r="C10">
        <v>31303</v>
      </c>
      <c r="L10" t="s">
        <v>857</v>
      </c>
      <c r="M10">
        <v>1</v>
      </c>
      <c r="Q10" t="s">
        <v>861</v>
      </c>
      <c r="R10">
        <v>1</v>
      </c>
    </row>
    <row r="11" spans="1:25">
      <c r="B11" t="s">
        <v>105</v>
      </c>
      <c r="C11">
        <v>8613</v>
      </c>
      <c r="L11" t="s">
        <v>861</v>
      </c>
      <c r="M11">
        <v>1</v>
      </c>
      <c r="Q11" t="s">
        <v>864</v>
      </c>
      <c r="R11">
        <v>1</v>
      </c>
    </row>
    <row r="12" spans="1:25">
      <c r="B12" t="s">
        <v>161</v>
      </c>
      <c r="C12">
        <v>2710</v>
      </c>
      <c r="L12" t="s">
        <v>864</v>
      </c>
      <c r="M12">
        <v>1</v>
      </c>
      <c r="Q12" t="s">
        <v>2213</v>
      </c>
      <c r="R12">
        <v>1</v>
      </c>
    </row>
    <row r="13" spans="1:25">
      <c r="B13" t="s">
        <v>148</v>
      </c>
      <c r="C13">
        <v>3</v>
      </c>
      <c r="L13" t="s">
        <v>2214</v>
      </c>
      <c r="M13">
        <v>1</v>
      </c>
      <c r="Q13" t="s">
        <v>1047</v>
      </c>
      <c r="R13">
        <v>1</v>
      </c>
    </row>
    <row r="14" spans="1:25">
      <c r="B14" t="s">
        <v>229</v>
      </c>
      <c r="C14">
        <v>8622</v>
      </c>
      <c r="L14" t="s">
        <v>878</v>
      </c>
      <c r="M14">
        <v>1</v>
      </c>
      <c r="P14" t="s">
        <v>2215</v>
      </c>
      <c r="R14">
        <v>5</v>
      </c>
    </row>
    <row r="15" spans="1:25">
      <c r="B15" t="s">
        <v>257</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6ABC8C4-E002-4A3F-B825-8FA895C4CF5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2026-02-02T22:17:22Z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