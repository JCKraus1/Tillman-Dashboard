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29" documentId="8_{E14B221E-02E2-46A3-8CEC-C736815F2DD5}" xr6:coauthVersionLast="47" xr6:coauthVersionMax="47" xr10:uidLastSave="{923BC967-9F2C-4055-99B9-149A5A37A013}"/>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211" r:id="rId12"/>
    <pivotCache cacheId="1212" r:id="rId13"/>
    <pivotCache cacheId="1213" r:id="rId14"/>
    <pivotCache cacheId="1214" r:id="rId15"/>
    <pivotCache cacheId="12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<sst xmlns="http://schemas.openxmlformats.org/spreadsheetml/2006/main" count="14582" uniqueCount="1795">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</sst>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B102" activePane="topRight" state="frozen"/>
      <selection pane="topRight" activeCell="F115" sqref="F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1">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1">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1">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1">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5">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51">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2">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1">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51">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141</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141</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141</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141</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141</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154">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154">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121:J150 J111:J112 J114:J119 J97:J105 J2:J25 J27:J75 J77:J85" xr:uid="{5598570D-D2DE-4A6E-ABB1-14F4B3480632}">
      <formula1>"Received, Pending, Not Required"</formula1>
    </dataValidation>
    <dataValidation type="list" allowBlank="1" showInputMessage="1" showErrorMessage="1" sqref="I4 I93 I6:I11 I111:I112 I114:I119 I95 I134:I1048576 I97:I105 I13:I25 I55:I75 I77:I85"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5 P2:P25 P77: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3" t="s">
        <v>223</v>
      </c>
      <c r="G72" s="1124" t="s">
        <v>679</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680</v>
      </c>
      <c r="B73" s="103" t="s">
        <v>50</v>
      </c>
      <c r="C73" s="77">
        <v>45747</v>
      </c>
      <c r="D73" s="1123" t="s">
        <v>472</v>
      </c>
      <c r="E73" s="77">
        <v>45700</v>
      </c>
      <c r="F73" s="77" t="s">
        <v>583</v>
      </c>
      <c r="G73" s="1124" t="s">
        <v>681</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704</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7" t="s">
        <v>141</v>
      </c>
      <c r="E117" s="521">
        <v>45817</v>
      </c>
      <c r="F117" s="1107" t="s">
        <v>117</v>
      </c>
      <c r="G117" s="1113" t="s">
        <v>783</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2"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10"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2"/>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7" t="s">
        <v>134</v>
      </c>
      <c r="G122" s="1108"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799</v>
      </c>
    </row>
    <row r="123" spans="1:27" ht="39.75" customHeight="1" thickBot="1">
      <c r="A123" s="791" t="s">
        <v>800</v>
      </c>
      <c r="B123" s="506" t="s">
        <v>116</v>
      </c>
      <c r="C123" s="514">
        <v>45899</v>
      </c>
      <c r="D123" s="521" t="s">
        <v>141</v>
      </c>
      <c r="E123" s="521">
        <v>45870</v>
      </c>
      <c r="F123" s="1107" t="s">
        <v>134</v>
      </c>
      <c r="G123" s="1108"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802</v>
      </c>
    </row>
    <row r="124" spans="1:27" ht="39.75" customHeight="1" thickBot="1">
      <c r="A124" s="791" t="s">
        <v>803</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2"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807</v>
      </c>
    </row>
    <row r="126" spans="1:27" ht="39.75" customHeight="1" thickBot="1">
      <c r="A126" s="791" t="s">
        <v>808</v>
      </c>
      <c r="B126" s="936" t="s">
        <v>116</v>
      </c>
      <c r="C126" s="57">
        <v>45868</v>
      </c>
      <c r="D126" s="794" t="s">
        <v>71</v>
      </c>
      <c r="E126" s="930">
        <v>45853</v>
      </c>
      <c r="F126" s="1094" t="s">
        <v>117</v>
      </c>
      <c r="G126" s="1109"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6"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E968">
        <v>566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C978">
        <v>2401</v>
      </c>
      <c r="E978">
        <v>4063</v>
      </c>
    </row>
    <row r="979" spans="1:5">
      <c r="A979" t="s">
        <v>325</v>
      </c>
      <c r="B979">
        <v>5466</v>
      </c>
      <c r="E979">
        <v>5466</v>
      </c>
    </row>
    <row r="980" spans="1:5">
      <c r="A980" t="s">
        <v>941</v>
      </c>
      <c r="B980">
        <v>907</v>
      </c>
      <c r="E980">
        <v>907</v>
      </c>
    </row>
    <row r="981" spans="1:5">
      <c r="A981" t="s">
        <v>329</v>
      </c>
      <c r="B981">
        <v>1498</v>
      </c>
      <c r="C981">
        <v>3613</v>
      </c>
      <c r="E981">
        <v>5111</v>
      </c>
    </row>
    <row r="982" spans="1:5">
      <c r="A982" t="s">
        <v>942</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292</v>
      </c>
      <c r="C986">
        <v>2351</v>
      </c>
      <c r="E986">
        <v>2351</v>
      </c>
    </row>
    <row r="987" spans="1:5">
      <c r="A987" t="s">
        <v>943</v>
      </c>
      <c r="C987">
        <v>12</v>
      </c>
      <c r="E987">
        <v>12</v>
      </c>
    </row>
    <row r="988" spans="1:5">
      <c r="A988" t="s">
        <v>944</v>
      </c>
    </row>
    <row r="989" spans="1:5">
      <c r="A989" t="s">
        <v>945</v>
      </c>
    </row>
    <row r="990" spans="1:5">
      <c r="A990" t="s">
        <v>297</v>
      </c>
    </row>
    <row r="991" spans="1:5">
      <c r="A991" t="s">
        <v>301</v>
      </c>
    </row>
    <row r="992" spans="1:5">
      <c r="A992" t="s">
        <v>228</v>
      </c>
      <c r="C992">
        <v>136</v>
      </c>
      <c r="E992">
        <v>136</v>
      </c>
    </row>
    <row r="993" spans="1:5">
      <c r="A993" t="s">
        <v>874</v>
      </c>
      <c r="B993">
        <v>16669</v>
      </c>
      <c r="C993">
        <v>15294</v>
      </c>
      <c r="E993">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4" activePane="bottomLeft" state="frozen"/>
      <selection pane="bottomLeft" activeCell="E2070" sqref="E2070:F207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7">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8"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7">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8" t="s">
        <v>1737</v>
      </c>
      <c r="C1" s="1158"/>
      <c r="D1" s="576"/>
      <c r="E1" s="1158" t="s">
        <v>1738</v>
      </c>
      <c r="F1" s="1158"/>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v>223696</v>
      </c>
      <c r="E4" s="44" t="s">
        <v>1739</v>
      </c>
      <c r="F4" t="s">
        <v>877</v>
      </c>
      <c r="W4" t="s">
        <v>1743</v>
      </c>
      <c r="X4">
        <v>22</v>
      </c>
    </row>
    <row r="5" spans="1:25">
      <c r="B5" t="s">
        <v>71</v>
      </c>
      <c r="C5">
        <v>54915</v>
      </c>
      <c r="E5" t="s">
        <v>877</v>
      </c>
      <c r="F5">
        <v>308653</v>
      </c>
      <c r="K5" s="44" t="s">
        <v>1744</v>
      </c>
      <c r="P5" s="44" t="s">
        <v>1744</v>
      </c>
      <c r="W5" t="s">
        <v>1745</v>
      </c>
      <c r="X5">
        <v>13</v>
      </c>
    </row>
    <row r="6" spans="1:25">
      <c r="B6" t="s">
        <v>102</v>
      </c>
      <c r="C6">
        <v>22387</v>
      </c>
      <c r="K6" s="44" t="s">
        <v>27</v>
      </c>
      <c r="L6" s="44" t="s">
        <v>1746</v>
      </c>
      <c r="M6" t="s">
        <v>877</v>
      </c>
      <c r="P6" s="44" t="s">
        <v>1747</v>
      </c>
      <c r="Q6" s="44" t="s">
        <v>1746</v>
      </c>
      <c r="R6" t="s">
        <v>877</v>
      </c>
    </row>
    <row r="7" spans="1:25">
      <c r="B7" t="s">
        <v>903</v>
      </c>
      <c r="C7">
        <v>228287</v>
      </c>
      <c r="K7" t="s">
        <v>1740</v>
      </c>
      <c r="L7" t="s">
        <v>508</v>
      </c>
      <c r="M7">
        <v>1</v>
      </c>
      <c r="P7" t="s">
        <v>1748</v>
      </c>
      <c r="R7">
        <v>1</v>
      </c>
      <c r="X7" t="s">
        <v>1749</v>
      </c>
      <c r="Y7" t="s">
        <v>1750</v>
      </c>
    </row>
    <row r="8" spans="1:25">
      <c r="B8" t="s">
        <v>51</v>
      </c>
      <c r="C8">
        <v>446</v>
      </c>
      <c r="L8" t="s">
        <v>510</v>
      </c>
      <c r="M8">
        <v>1</v>
      </c>
      <c r="P8" t="s">
        <v>1751</v>
      </c>
      <c r="R8">
        <v>1</v>
      </c>
      <c r="V8" t="s">
        <v>1752</v>
      </c>
      <c r="W8" s="261">
        <v>203521</v>
      </c>
      <c r="X8" s="317">
        <f>X5/X4</f>
        <v>0.59090909090909094</v>
      </c>
      <c r="Y8" s="317">
        <f>W9/W8</f>
        <v>0.31446386367991508</v>
      </c>
    </row>
    <row r="9" spans="1:25">
      <c r="B9" t="s">
        <v>22</v>
      </c>
      <c r="C9">
        <v>0</v>
      </c>
      <c r="L9" t="s">
        <v>1753</v>
      </c>
      <c r="M9">
        <v>1</v>
      </c>
      <c r="P9" t="s">
        <v>1754</v>
      </c>
      <c r="Q9" t="s">
        <v>1753</v>
      </c>
      <c r="R9">
        <v>1</v>
      </c>
      <c r="V9" t="s">
        <v>1755</v>
      </c>
      <c r="W9">
        <v>64000</v>
      </c>
    </row>
    <row r="10" spans="1:25">
      <c r="B10" t="s">
        <v>234</v>
      </c>
      <c r="C10">
        <v>11494</v>
      </c>
      <c r="L10" t="s">
        <v>609</v>
      </c>
      <c r="M10">
        <v>1</v>
      </c>
      <c r="Q10" t="s">
        <v>613</v>
      </c>
      <c r="R10">
        <v>1</v>
      </c>
    </row>
    <row r="11" spans="1:25">
      <c r="B11" t="s">
        <v>243</v>
      </c>
      <c r="C11">
        <v>41868</v>
      </c>
      <c r="L11" t="s">
        <v>613</v>
      </c>
      <c r="M11">
        <v>1</v>
      </c>
      <c r="Q11" t="s">
        <v>491</v>
      </c>
      <c r="R11">
        <v>1</v>
      </c>
    </row>
    <row r="12" spans="1:25">
      <c r="B12" t="s">
        <v>208</v>
      </c>
      <c r="C12">
        <v>103</v>
      </c>
      <c r="L12" t="s">
        <v>491</v>
      </c>
      <c r="M12">
        <v>1</v>
      </c>
      <c r="Q12" t="s">
        <v>1756</v>
      </c>
      <c r="R12">
        <v>1</v>
      </c>
    </row>
    <row r="13" spans="1:25">
      <c r="B13" t="s">
        <v>213</v>
      </c>
      <c r="C13">
        <v>16290</v>
      </c>
      <c r="L13" t="s">
        <v>1757</v>
      </c>
      <c r="M13">
        <v>1</v>
      </c>
      <c r="Q13" t="s">
        <v>827</v>
      </c>
      <c r="R13">
        <v>1</v>
      </c>
    </row>
    <row r="14" spans="1:25">
      <c r="B14" t="s">
        <v>216</v>
      </c>
      <c r="C14">
        <v>4725</v>
      </c>
      <c r="L14" t="s">
        <v>627</v>
      </c>
      <c r="M14">
        <v>1</v>
      </c>
      <c r="P14" t="s">
        <v>1758</v>
      </c>
      <c r="R14">
        <v>5</v>
      </c>
    </row>
    <row r="15" spans="1:25">
      <c r="B15" t="s">
        <v>128</v>
      </c>
      <c r="C15">
        <v>7655</v>
      </c>
      <c r="L15" t="s">
        <v>1756</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1759</v>
      </c>
      <c r="M21">
        <v>1</v>
      </c>
    </row>
    <row r="22" spans="2:13">
      <c r="L22" t="s">
        <v>827</v>
      </c>
      <c r="M22">
        <v>1</v>
      </c>
    </row>
    <row r="23" spans="2:13">
      <c r="L23" t="s">
        <v>671</v>
      </c>
      <c r="M23">
        <v>1</v>
      </c>
    </row>
    <row r="24" spans="2:13">
      <c r="L24" t="s">
        <v>689</v>
      </c>
      <c r="M24">
        <v>1</v>
      </c>
    </row>
    <row r="25" spans="2:13">
      <c r="L25" t="s">
        <v>182</v>
      </c>
      <c r="M25">
        <v>1</v>
      </c>
    </row>
    <row r="26" spans="2:13">
      <c r="K26" t="s">
        <v>1760</v>
      </c>
      <c r="M26">
        <v>19</v>
      </c>
    </row>
    <row r="27" spans="2:13">
      <c r="K27" t="s">
        <v>1761</v>
      </c>
      <c r="L27" t="s">
        <v>621</v>
      </c>
      <c r="M27">
        <v>1</v>
      </c>
    </row>
    <row r="28" spans="2:13">
      <c r="L28" t="s">
        <v>623</v>
      </c>
      <c r="M28">
        <v>1</v>
      </c>
    </row>
    <row r="29" spans="2:13">
      <c r="L29" t="s">
        <v>625</v>
      </c>
      <c r="M29">
        <v>1</v>
      </c>
    </row>
    <row r="30" spans="2:13">
      <c r="L30" t="s">
        <v>641</v>
      </c>
      <c r="M30">
        <v>1</v>
      </c>
    </row>
    <row r="31" spans="2:13">
      <c r="L31" t="s">
        <v>643</v>
      </c>
      <c r="M31">
        <v>1</v>
      </c>
    </row>
    <row r="32" spans="2:13">
      <c r="L32" t="s">
        <v>1762</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1763</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1764</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D8E103-D810-426A-AE8E-101F462ED8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2025-11-19T20:31:52Z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