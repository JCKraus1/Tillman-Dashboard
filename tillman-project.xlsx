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94" documentId="120_S{26355A1A-C9FF-5539-9B49-32C1F08D0326}" xr6:coauthVersionLast="47" xr6:coauthVersionMax="47" xr10:uidLastSave="{7B12D806-BC31-44BF-A809-1EE79D60F91D}"/>
  <bookViews>
    <workbookView xWindow="28680" yWindow="-120" windowWidth="29040" windowHeight="15720" tabRatio="866" firstSheet="1" activeTab="7"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083" r:id="rId11"/>
    <pivotCache cacheId="1087" r:id="rId12"/>
    <pivotCache cacheId="1094" r:id="rId13"/>
    <pivotCache cacheId="1099" r:id="rId14"/>
    <pivotCache cacheId="110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<sst xmlns="http://schemas.openxmlformats.org/spreadsheetml/2006/main" count="18473" uniqueCount="2330">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</sst>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30236111113"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30236458336"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30236458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3023668981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30236689813"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125"/>
    <x v="15"/>
    <x v="279"/>
    <m/>
    <m/>
    <m/>
  </r>
  <r>
    <x v="125"/>
    <x v="15"/>
    <x v="2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m/>
    <x v="15"/>
    <d v="2026-03-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1" activePane="topRight" state="frozen"/>
      <selection pane="topRight" activeCell="Y80" sqref="Y80"/>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69"/>
      <c r="L22" s="984"/>
      <c r="M22" s="887" t="s">
        <v>56</v>
      </c>
      <c r="N22" s="1370">
        <v>223.8</v>
      </c>
      <c r="O22" s="887" t="s">
        <v>56</v>
      </c>
      <c r="P22" s="889" t="s">
        <v>70</v>
      </c>
      <c r="Q22" s="1371"/>
      <c r="R22" s="1371"/>
      <c r="S22" s="1371"/>
      <c r="T22" s="1371"/>
      <c r="U22" s="1371"/>
      <c r="V22" s="805">
        <v>0</v>
      </c>
      <c r="W22" s="1251"/>
      <c r="X22" s="1372">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69"/>
      <c r="L26" s="984"/>
      <c r="M26" s="887" t="s">
        <v>56</v>
      </c>
      <c r="N26" s="1370">
        <v>12404.9</v>
      </c>
      <c r="O26" s="519" t="s">
        <v>56</v>
      </c>
      <c r="P26" s="951" t="s">
        <v>65</v>
      </c>
      <c r="Q26" s="1371">
        <v>46077</v>
      </c>
      <c r="R26" s="1371"/>
      <c r="S26" s="1371"/>
      <c r="T26" s="1371"/>
      <c r="U26" s="1371"/>
      <c r="V26" s="1372">
        <v>1111</v>
      </c>
      <c r="W26" s="1372"/>
      <c r="X26" s="1372">
        <f>SUM(V26-W26)</f>
        <v>1111</v>
      </c>
      <c r="Y26" s="688">
        <f>IFERROR($W26/$V26, 0)</f>
        <v>0</v>
      </c>
      <c r="Z26" s="1373"/>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69"/>
      <c r="L27" s="984"/>
      <c r="M27" s="887" t="s">
        <v>56</v>
      </c>
      <c r="N27" s="1354">
        <v>85069.95</v>
      </c>
      <c r="O27" s="957" t="s">
        <v>56</v>
      </c>
      <c r="P27" s="951" t="s">
        <v>70</v>
      </c>
      <c r="Q27" s="1371"/>
      <c r="R27" s="1371"/>
      <c r="S27" s="1371"/>
      <c r="T27" s="1371"/>
      <c r="U27" s="1371"/>
      <c r="V27" s="1372">
        <v>311</v>
      </c>
      <c r="W27" s="1372"/>
      <c r="X27" s="1372">
        <f>SUM(V27-W27)</f>
        <v>311</v>
      </c>
      <c r="Y27" s="688">
        <f>IFERROR($W27/$V27, 0)</f>
        <v>0</v>
      </c>
      <c r="Z27" s="1373"/>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1">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4">
        <v>2</v>
      </c>
      <c r="I38" s="662" t="s">
        <v>54</v>
      </c>
      <c r="J38" s="665" t="s">
        <v>55</v>
      </c>
      <c r="K38" s="1369"/>
      <c r="L38" s="986"/>
      <c r="M38" s="662" t="s">
        <v>56</v>
      </c>
      <c r="N38" s="1375">
        <v>21370</v>
      </c>
      <c r="O38" s="662" t="s">
        <v>56</v>
      </c>
      <c r="P38" s="910" t="s">
        <v>70</v>
      </c>
      <c r="Q38" s="1376"/>
      <c r="R38" s="1376"/>
      <c r="S38" s="1376"/>
      <c r="T38" s="1376"/>
      <c r="U38" s="1376"/>
      <c r="V38" s="1377">
        <v>1782</v>
      </c>
      <c r="W38" s="1372"/>
      <c r="X38" s="1372">
        <f>SUM(V38-W38)</f>
        <v>1782</v>
      </c>
      <c r="Y38" s="521">
        <f>IFERROR($W38/$V38, 0)</f>
        <v>0</v>
      </c>
      <c r="Z38" s="1378"/>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4">
        <v>0</v>
      </c>
      <c r="I43" s="662" t="s">
        <v>54</v>
      </c>
      <c r="J43" s="665" t="s">
        <v>55</v>
      </c>
      <c r="K43" s="1369"/>
      <c r="L43" s="986"/>
      <c r="M43" s="662" t="s">
        <v>56</v>
      </c>
      <c r="N43" s="1375">
        <v>36998.550000000003</v>
      </c>
      <c r="O43" s="662" t="s">
        <v>56</v>
      </c>
      <c r="P43" s="910" t="s">
        <v>70</v>
      </c>
      <c r="Q43" s="1376"/>
      <c r="R43" s="1376"/>
      <c r="S43" s="1376"/>
      <c r="T43" s="1376"/>
      <c r="U43" s="1376"/>
      <c r="V43" s="1377">
        <v>2944</v>
      </c>
      <c r="W43" s="1372"/>
      <c r="X43" s="1372">
        <f>SUM(V43-W43)</f>
        <v>2944</v>
      </c>
      <c r="Y43" s="521">
        <f>IFERROR($W43/$V43, 0)</f>
        <v>0</v>
      </c>
      <c r="Z43" s="1378"/>
      <c r="AA43" s="893">
        <v>0</v>
      </c>
      <c r="AB43" s="893">
        <v>0</v>
      </c>
      <c r="AC43" s="508">
        <v>0</v>
      </c>
      <c r="AD43" s="894"/>
      <c r="AE43" s="939"/>
    </row>
    <row r="44" spans="1:31" ht="24.75" customHeight="1">
      <c r="A44" s="983" t="s">
        <v>181</v>
      </c>
      <c r="B44" s="664" t="s">
        <v>127</v>
      </c>
      <c r="C44" s="984">
        <v>46079</v>
      </c>
      <c r="D44" s="986"/>
      <c r="E44" s="986"/>
      <c r="F44" s="985"/>
      <c r="G44" s="896" t="s">
        <v>182</v>
      </c>
      <c r="H44" s="1374">
        <v>0</v>
      </c>
      <c r="I44" s="662" t="s">
        <v>54</v>
      </c>
      <c r="J44" s="665" t="s">
        <v>55</v>
      </c>
      <c r="K44" s="1369"/>
      <c r="L44" s="986"/>
      <c r="M44" s="662" t="s">
        <v>56</v>
      </c>
      <c r="N44" s="1375">
        <v>49932.800000000003</v>
      </c>
      <c r="O44" s="662" t="s">
        <v>56</v>
      </c>
      <c r="P44" s="910" t="s">
        <v>70</v>
      </c>
      <c r="Q44" s="1376"/>
      <c r="R44" s="1376"/>
      <c r="S44" s="1376"/>
      <c r="T44" s="1376"/>
      <c r="U44" s="1376"/>
      <c r="V44" s="1377">
        <v>4048</v>
      </c>
      <c r="W44" s="1372"/>
      <c r="X44" s="1372">
        <f>SUM(V44-W44)</f>
        <v>4048</v>
      </c>
      <c r="Y44" s="521">
        <f>IFERROR($W44/$V44, 0)</f>
        <v>0</v>
      </c>
      <c r="Z44" s="1378"/>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69"/>
      <c r="L50" s="986"/>
      <c r="M50" s="898" t="s">
        <v>56</v>
      </c>
      <c r="N50" s="1375">
        <v>118710.8</v>
      </c>
      <c r="O50" s="898" t="s">
        <v>56</v>
      </c>
      <c r="P50" s="889" t="s">
        <v>57</v>
      </c>
      <c r="Q50" s="1376">
        <v>46062</v>
      </c>
      <c r="R50" s="1376"/>
      <c r="S50" s="1376"/>
      <c r="T50" s="1376"/>
      <c r="U50" s="1376"/>
      <c r="V50" s="1377">
        <v>9628</v>
      </c>
      <c r="W50" s="1372">
        <v>6978</v>
      </c>
      <c r="X50" s="1372">
        <f>SUM(V50-W50)</f>
        <v>2650</v>
      </c>
      <c r="Y50" s="521">
        <f>IFERROR($W50/$V50, 0)</f>
        <v>0.72476111341919403</v>
      </c>
      <c r="Z50" s="1376">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4">
        <v>0</v>
      </c>
      <c r="I52" s="662" t="s">
        <v>54</v>
      </c>
      <c r="J52" s="898" t="s">
        <v>55</v>
      </c>
      <c r="K52" s="1369"/>
      <c r="L52" s="986"/>
      <c r="M52" s="898" t="s">
        <v>56</v>
      </c>
      <c r="N52" s="1375">
        <v>15002.75</v>
      </c>
      <c r="O52" s="898" t="s">
        <v>56</v>
      </c>
      <c r="P52" s="910" t="s">
        <v>65</v>
      </c>
      <c r="Q52" s="1376">
        <v>46077</v>
      </c>
      <c r="R52" s="1376"/>
      <c r="S52" s="1376"/>
      <c r="T52" s="1376"/>
      <c r="U52" s="1376"/>
      <c r="V52" s="1377">
        <v>1175</v>
      </c>
      <c r="W52" s="1372"/>
      <c r="X52" s="1372">
        <f>SUM(V52-W52)</f>
        <v>1175</v>
      </c>
      <c r="Y52" s="521">
        <f>IFERROR($W52/$V52, 0)</f>
        <v>0</v>
      </c>
      <c r="Z52" s="1378"/>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4">
        <v>0</v>
      </c>
      <c r="I53" s="662" t="s">
        <v>54</v>
      </c>
      <c r="J53" s="898" t="s">
        <v>55</v>
      </c>
      <c r="K53" s="1369"/>
      <c r="L53" s="986"/>
      <c r="M53" s="898" t="s">
        <v>56</v>
      </c>
      <c r="N53" s="1375">
        <v>12977.65</v>
      </c>
      <c r="O53" s="898" t="s">
        <v>56</v>
      </c>
      <c r="P53" s="910" t="s">
        <v>70</v>
      </c>
      <c r="Q53" s="1376"/>
      <c r="R53" s="1376"/>
      <c r="S53" s="1376"/>
      <c r="T53" s="1376"/>
      <c r="U53" s="1376"/>
      <c r="V53" s="1377">
        <v>1029</v>
      </c>
      <c r="W53" s="1372"/>
      <c r="X53" s="1372">
        <f>SUM(V53-W53)</f>
        <v>1029</v>
      </c>
      <c r="Y53" s="521">
        <f>IFERROR($W53/$V53, 0)</f>
        <v>0</v>
      </c>
      <c r="Z53" s="1378"/>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4">
        <v>107</v>
      </c>
      <c r="I56" s="662" t="s">
        <v>54</v>
      </c>
      <c r="J56" s="957" t="s">
        <v>63</v>
      </c>
      <c r="K56" s="1369" t="s">
        <v>68</v>
      </c>
      <c r="L56" s="986"/>
      <c r="M56" s="961" t="s">
        <v>69</v>
      </c>
      <c r="N56" s="1115"/>
      <c r="O56" s="961" t="s">
        <v>69</v>
      </c>
      <c r="P56" s="951" t="s">
        <v>70</v>
      </c>
      <c r="Q56" s="1376"/>
      <c r="R56" s="1376"/>
      <c r="S56" s="1376"/>
      <c r="T56" s="1376"/>
      <c r="U56" s="1376"/>
      <c r="V56" s="1377">
        <v>9568</v>
      </c>
      <c r="W56" s="1372"/>
      <c r="X56" s="1372">
        <f>SUM(V56-W56)</f>
        <v>9568</v>
      </c>
      <c r="Y56" s="521">
        <f>IFERROR($W56/$V56, 0)</f>
        <v>0</v>
      </c>
      <c r="Z56" s="1378"/>
      <c r="AA56" s="893">
        <v>0</v>
      </c>
      <c r="AB56" s="893">
        <v>0</v>
      </c>
      <c r="AC56" s="902">
        <v>0</v>
      </c>
      <c r="AD56" s="894" t="s">
        <v>213</v>
      </c>
      <c r="AE56" s="939"/>
    </row>
    <row r="57" spans="1:31" ht="24.75" customHeight="1">
      <c r="A57" s="1305" t="s">
        <v>214</v>
      </c>
      <c r="B57" s="664" t="s">
        <v>127</v>
      </c>
      <c r="C57" s="984">
        <v>46174</v>
      </c>
      <c r="D57" s="985"/>
      <c r="E57" s="986"/>
      <c r="F57" s="985"/>
      <c r="G57" s="897"/>
      <c r="H57" s="1374">
        <v>115</v>
      </c>
      <c r="I57" s="662" t="s">
        <v>54</v>
      </c>
      <c r="J57" s="957" t="s">
        <v>63</v>
      </c>
      <c r="K57" s="1369"/>
      <c r="L57" s="986"/>
      <c r="M57" s="898" t="s">
        <v>56</v>
      </c>
      <c r="N57" s="1115">
        <v>125188</v>
      </c>
      <c r="O57" s="898" t="s">
        <v>56</v>
      </c>
      <c r="P57" s="910" t="s">
        <v>70</v>
      </c>
      <c r="Q57" s="1376"/>
      <c r="R57" s="1376"/>
      <c r="S57" s="1376"/>
      <c r="T57" s="1376"/>
      <c r="U57" s="1376"/>
      <c r="V57" s="1377">
        <v>11028</v>
      </c>
      <c r="W57" s="1372"/>
      <c r="X57" s="1372">
        <f>SUM(V57-W57)</f>
        <v>11028</v>
      </c>
      <c r="Y57" s="521">
        <f>IFERROR($W57/$V57, 0)</f>
        <v>0</v>
      </c>
      <c r="Z57" s="1376">
        <v>46090</v>
      </c>
      <c r="AA57" s="893">
        <v>0</v>
      </c>
      <c r="AB57" s="893">
        <v>0</v>
      </c>
      <c r="AC57" s="902">
        <v>0</v>
      </c>
      <c r="AD57" s="894"/>
      <c r="AE57" s="939"/>
    </row>
    <row r="58" spans="1:31" ht="24.75" customHeight="1">
      <c r="A58" s="983" t="s">
        <v>215</v>
      </c>
      <c r="B58" s="664" t="s">
        <v>216</v>
      </c>
      <c r="C58" s="984">
        <v>46113</v>
      </c>
      <c r="D58" s="897"/>
      <c r="E58" s="986"/>
      <c r="F58" s="985"/>
      <c r="G58" s="897"/>
      <c r="H58" s="1374">
        <v>0</v>
      </c>
      <c r="I58" s="662" t="s">
        <v>54</v>
      </c>
      <c r="J58" s="898" t="s">
        <v>55</v>
      </c>
      <c r="K58" s="1369"/>
      <c r="L58" s="986"/>
      <c r="M58" s="898" t="s">
        <v>56</v>
      </c>
      <c r="N58" s="1375">
        <v>43031.6</v>
      </c>
      <c r="O58" s="898" t="s">
        <v>56</v>
      </c>
      <c r="P58" s="910" t="s">
        <v>70</v>
      </c>
      <c r="Q58" s="1376">
        <v>46085</v>
      </c>
      <c r="R58" s="1376"/>
      <c r="S58" s="1376"/>
      <c r="T58" s="1376"/>
      <c r="U58" s="1376"/>
      <c r="V58" s="1377">
        <v>3461</v>
      </c>
      <c r="W58" s="1372"/>
      <c r="X58" s="1372">
        <f>SUM(V58-W58)</f>
        <v>3461</v>
      </c>
      <c r="Y58" s="521">
        <f>IFERROR($W58/$V58, 0)</f>
        <v>0</v>
      </c>
      <c r="Z58" s="1376"/>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79">
        <v>0</v>
      </c>
      <c r="I62" s="519" t="s">
        <v>54</v>
      </c>
      <c r="J62" s="961" t="s">
        <v>87</v>
      </c>
      <c r="K62" s="1380" t="s">
        <v>68</v>
      </c>
      <c r="L62" s="1113"/>
      <c r="M62" s="961" t="s">
        <v>69</v>
      </c>
      <c r="N62" s="1115"/>
      <c r="O62" s="961" t="s">
        <v>69</v>
      </c>
      <c r="P62" s="951" t="s">
        <v>70</v>
      </c>
      <c r="Q62" s="1376"/>
      <c r="R62" s="1376"/>
      <c r="S62" s="1376"/>
      <c r="T62" s="1376"/>
      <c r="U62" s="1376"/>
      <c r="V62" s="1381">
        <v>6202</v>
      </c>
      <c r="W62" s="1382"/>
      <c r="X62" s="1382">
        <f>SUM(V62-W62)</f>
        <v>6202</v>
      </c>
      <c r="Y62" s="687">
        <f>IFERROR($W62/$V62, 0)</f>
        <v>0</v>
      </c>
      <c r="Z62" s="1383"/>
      <c r="AA62" s="1097">
        <v>0</v>
      </c>
      <c r="AB62" s="1126">
        <v>0</v>
      </c>
      <c r="AC62" s="948">
        <v>0</v>
      </c>
      <c r="AD62" s="894" t="s">
        <v>228</v>
      </c>
      <c r="AE62" s="939"/>
    </row>
    <row r="63" spans="1:31" ht="24.75" customHeight="1">
      <c r="A63" s="1238" t="s">
        <v>229</v>
      </c>
      <c r="B63" s="1311" t="s">
        <v>216</v>
      </c>
      <c r="C63" s="984">
        <v>46172</v>
      </c>
      <c r="D63" s="985" t="s">
        <v>230</v>
      </c>
      <c r="E63" s="986"/>
      <c r="F63" s="985"/>
      <c r="G63" s="897"/>
      <c r="H63" s="1374">
        <v>402</v>
      </c>
      <c r="I63" s="519" t="s">
        <v>54</v>
      </c>
      <c r="J63" s="961" t="s">
        <v>87</v>
      </c>
      <c r="K63" s="1380" t="s">
        <v>68</v>
      </c>
      <c r="L63" s="986"/>
      <c r="M63" s="1011" t="s">
        <v>69</v>
      </c>
      <c r="N63" s="1329"/>
      <c r="O63" s="1011" t="s">
        <v>69</v>
      </c>
      <c r="P63" s="951" t="s">
        <v>70</v>
      </c>
      <c r="Q63" s="1376"/>
      <c r="R63" s="1376"/>
      <c r="S63" s="1376"/>
      <c r="T63" s="1376"/>
      <c r="U63" s="1376"/>
      <c r="V63" s="1377">
        <v>30807</v>
      </c>
      <c r="W63" s="1372"/>
      <c r="X63" s="1372">
        <f>SUM(V63-W63)</f>
        <v>30807</v>
      </c>
      <c r="Y63" s="521">
        <f>IFERROR($W63/$V63, 0)</f>
        <v>0</v>
      </c>
      <c r="Z63" s="1376"/>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79">
        <v>0</v>
      </c>
      <c r="I64" s="519" t="s">
        <v>54</v>
      </c>
      <c r="J64" s="961" t="s">
        <v>55</v>
      </c>
      <c r="K64" s="1380"/>
      <c r="L64" s="986"/>
      <c r="M64" s="961" t="s">
        <v>56</v>
      </c>
      <c r="N64" s="1115">
        <v>12316.35</v>
      </c>
      <c r="O64" s="961" t="s">
        <v>56</v>
      </c>
      <c r="P64" s="951" t="s">
        <v>65</v>
      </c>
      <c r="Q64" s="1376">
        <v>46086</v>
      </c>
      <c r="R64" s="1376"/>
      <c r="S64" s="1376"/>
      <c r="T64" s="1376"/>
      <c r="U64" s="1376"/>
      <c r="V64" s="1377">
        <v>47</v>
      </c>
      <c r="W64" s="1372"/>
      <c r="X64" s="1372">
        <f>SUM(V64-W64)</f>
        <v>47</v>
      </c>
      <c r="Y64" s="521">
        <f>IFERROR($W64/$V64, 0)</f>
        <v>0</v>
      </c>
      <c r="Z64" s="1383"/>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79">
        <v>0</v>
      </c>
      <c r="I65" s="519" t="s">
        <v>54</v>
      </c>
      <c r="J65" s="961" t="s">
        <v>55</v>
      </c>
      <c r="K65" s="1380"/>
      <c r="L65" s="986"/>
      <c r="M65" s="961" t="s">
        <v>56</v>
      </c>
      <c r="N65" s="1115">
        <v>151170.79999999999</v>
      </c>
      <c r="O65" s="961" t="s">
        <v>56</v>
      </c>
      <c r="P65" s="951" t="s">
        <v>65</v>
      </c>
      <c r="Q65" s="1376">
        <v>46086</v>
      </c>
      <c r="R65" s="1376"/>
      <c r="S65" s="1376"/>
      <c r="T65" s="1376"/>
      <c r="U65" s="1376"/>
      <c r="V65" s="1377">
        <v>11789</v>
      </c>
      <c r="W65" s="1372"/>
      <c r="X65" s="1372">
        <f>SUM(V65-W65)</f>
        <v>11789</v>
      </c>
      <c r="Y65" s="521">
        <f>IFERROR($W65/$V65, 0)</f>
        <v>0</v>
      </c>
      <c r="Z65" s="1383"/>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79">
        <v>0</v>
      </c>
      <c r="I66" s="519" t="s">
        <v>54</v>
      </c>
      <c r="J66" s="961" t="s">
        <v>55</v>
      </c>
      <c r="K66" s="1380"/>
      <c r="L66" s="986"/>
      <c r="M66" s="961" t="s">
        <v>56</v>
      </c>
      <c r="N66" s="1115">
        <v>24122.75</v>
      </c>
      <c r="O66" s="961" t="s">
        <v>56</v>
      </c>
      <c r="P66" s="951" t="s">
        <v>65</v>
      </c>
      <c r="Q66" s="1376">
        <v>46087</v>
      </c>
      <c r="R66" s="1376"/>
      <c r="S66" s="1376"/>
      <c r="T66" s="1376"/>
      <c r="U66" s="1376"/>
      <c r="V66" s="1377">
        <v>1925</v>
      </c>
      <c r="W66" s="1372"/>
      <c r="X66" s="1372">
        <f>SUM(V66-W66)</f>
        <v>1925</v>
      </c>
      <c r="Y66" s="521">
        <f>IFERROR($W66/$V66, 0)</f>
        <v>0</v>
      </c>
      <c r="Z66" s="1383"/>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79">
        <v>0</v>
      </c>
      <c r="I67" s="519" t="s">
        <v>54</v>
      </c>
      <c r="J67" s="961" t="s">
        <v>55</v>
      </c>
      <c r="K67" s="1380"/>
      <c r="L67" s="986"/>
      <c r="M67" s="961" t="s">
        <v>56</v>
      </c>
      <c r="N67" s="1115">
        <v>26639.1</v>
      </c>
      <c r="O67" s="961" t="s">
        <v>56</v>
      </c>
      <c r="P67" s="951" t="s">
        <v>65</v>
      </c>
      <c r="Q67" s="1376">
        <v>46087</v>
      </c>
      <c r="R67" s="1376"/>
      <c r="S67" s="1376"/>
      <c r="T67" s="1376"/>
      <c r="U67" s="1376"/>
      <c r="V67" s="1377">
        <v>2136</v>
      </c>
      <c r="W67" s="1372"/>
      <c r="X67" s="1372">
        <f>SUM(V67-W67)</f>
        <v>2136</v>
      </c>
      <c r="Y67" s="521">
        <f>IFERROR($W67/$V67, 0)</f>
        <v>0</v>
      </c>
      <c r="Z67" s="1383"/>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79">
        <v>0</v>
      </c>
      <c r="I68" s="519" t="s">
        <v>54</v>
      </c>
      <c r="J68" s="961" t="s">
        <v>55</v>
      </c>
      <c r="K68" s="1380"/>
      <c r="L68" s="986"/>
      <c r="M68" s="961" t="s">
        <v>56</v>
      </c>
      <c r="N68" s="1115">
        <v>1698.25</v>
      </c>
      <c r="O68" s="961" t="s">
        <v>56</v>
      </c>
      <c r="P68" s="951" t="s">
        <v>65</v>
      </c>
      <c r="Q68" s="1376">
        <v>46087</v>
      </c>
      <c r="R68" s="1376"/>
      <c r="S68" s="1376"/>
      <c r="T68" s="1376"/>
      <c r="U68" s="1376"/>
      <c r="V68" s="1377">
        <v>105</v>
      </c>
      <c r="W68" s="1372"/>
      <c r="X68" s="1372">
        <f>SUM(V68-W68)</f>
        <v>105</v>
      </c>
      <c r="Y68" s="521">
        <f>IFERROR($W68/$V68, 0)</f>
        <v>0</v>
      </c>
      <c r="Z68" s="1383"/>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79">
        <v>0</v>
      </c>
      <c r="I69" s="519" t="s">
        <v>54</v>
      </c>
      <c r="J69" s="961" t="s">
        <v>87</v>
      </c>
      <c r="K69" s="1380" t="s">
        <v>68</v>
      </c>
      <c r="L69" s="986"/>
      <c r="M69" s="961" t="s">
        <v>69</v>
      </c>
      <c r="N69" s="1115">
        <v>5779.1</v>
      </c>
      <c r="O69" s="961" t="s">
        <v>56</v>
      </c>
      <c r="P69" s="951" t="s">
        <v>70</v>
      </c>
      <c r="Q69" s="1376"/>
      <c r="R69" s="1376"/>
      <c r="S69" s="1376"/>
      <c r="T69" s="1376"/>
      <c r="U69" s="1376"/>
      <c r="V69" s="1377">
        <v>406</v>
      </c>
      <c r="W69" s="1372"/>
      <c r="X69" s="1372">
        <f>SUM(V69-W69)</f>
        <v>406</v>
      </c>
      <c r="Y69" s="521">
        <f>IFERROR($W69/$V69, 0)</f>
        <v>0</v>
      </c>
      <c r="Z69" s="1383"/>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79">
        <v>0</v>
      </c>
      <c r="I70" s="519" t="s">
        <v>54</v>
      </c>
      <c r="J70" s="961" t="s">
        <v>55</v>
      </c>
      <c r="K70" s="1380"/>
      <c r="L70" s="986"/>
      <c r="M70" s="961" t="s">
        <v>56</v>
      </c>
      <c r="N70" s="1115">
        <v>6808.8</v>
      </c>
      <c r="O70" s="961" t="s">
        <v>56</v>
      </c>
      <c r="P70" s="951" t="s">
        <v>65</v>
      </c>
      <c r="Q70" s="1376">
        <v>46087</v>
      </c>
      <c r="R70" s="1376"/>
      <c r="S70" s="1376"/>
      <c r="T70" s="1376"/>
      <c r="U70" s="1376"/>
      <c r="V70" s="1377">
        <v>508</v>
      </c>
      <c r="W70" s="1372"/>
      <c r="X70" s="1372">
        <f>SUM(V70-W70)</f>
        <v>508</v>
      </c>
      <c r="Y70" s="521">
        <f>IFERROR($W70/$V70, 0)</f>
        <v>0</v>
      </c>
      <c r="Z70" s="1383"/>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79">
        <v>0</v>
      </c>
      <c r="I71" s="519" t="s">
        <v>54</v>
      </c>
      <c r="J71" s="961" t="s">
        <v>87</v>
      </c>
      <c r="K71" s="1380"/>
      <c r="L71" s="986"/>
      <c r="M71" s="961" t="s">
        <v>56</v>
      </c>
      <c r="N71" s="1115">
        <v>9496.2000000000007</v>
      </c>
      <c r="O71" s="961" t="s">
        <v>56</v>
      </c>
      <c r="P71" s="951" t="s">
        <v>65</v>
      </c>
      <c r="Q71" s="1376">
        <v>46087</v>
      </c>
      <c r="R71" s="1376"/>
      <c r="S71" s="1376"/>
      <c r="T71" s="1376"/>
      <c r="U71" s="1376"/>
      <c r="V71" s="1377">
        <v>742</v>
      </c>
      <c r="W71" s="1372"/>
      <c r="X71" s="1372">
        <f>SUM(V71-W71)</f>
        <v>742</v>
      </c>
      <c r="Y71" s="521">
        <f>IFERROR($W71/$V71, 0)</f>
        <v>0</v>
      </c>
      <c r="Z71" s="1383"/>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79">
        <v>0</v>
      </c>
      <c r="I72" s="519" t="s">
        <v>54</v>
      </c>
      <c r="J72" s="961" t="s">
        <v>87</v>
      </c>
      <c r="K72" s="1380" t="s">
        <v>68</v>
      </c>
      <c r="L72" s="986"/>
      <c r="M72" s="961" t="s">
        <v>69</v>
      </c>
      <c r="N72" s="1115">
        <v>16760.150000000001</v>
      </c>
      <c r="O72" s="961" t="s">
        <v>56</v>
      </c>
      <c r="P72" s="951" t="s">
        <v>70</v>
      </c>
      <c r="Q72" s="1376"/>
      <c r="R72" s="1376"/>
      <c r="S72" s="1376"/>
      <c r="T72" s="1376"/>
      <c r="U72" s="1376"/>
      <c r="V72" s="1377">
        <v>1329</v>
      </c>
      <c r="W72" s="1372"/>
      <c r="X72" s="1372">
        <f>SUM(V72-W72)</f>
        <v>1329</v>
      </c>
      <c r="Y72" s="521">
        <f>IFERROR($W72/$V72, 0)</f>
        <v>0</v>
      </c>
      <c r="Z72" s="1383"/>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79">
        <v>0</v>
      </c>
      <c r="I73" s="519" t="s">
        <v>54</v>
      </c>
      <c r="J73" s="961" t="s">
        <v>87</v>
      </c>
      <c r="K73" s="1380" t="s">
        <v>68</v>
      </c>
      <c r="L73" s="986"/>
      <c r="M73" s="961" t="s">
        <v>69</v>
      </c>
      <c r="N73" s="1115">
        <v>14178.2</v>
      </c>
      <c r="O73" s="961" t="s">
        <v>56</v>
      </c>
      <c r="P73" s="951" t="s">
        <v>70</v>
      </c>
      <c r="Q73" s="1376"/>
      <c r="R73" s="1376"/>
      <c r="S73" s="1376"/>
      <c r="T73" s="1376"/>
      <c r="U73" s="1376"/>
      <c r="V73" s="1377">
        <v>1124</v>
      </c>
      <c r="W73" s="1372"/>
      <c r="X73" s="1372">
        <f>SUM(V73-W73)</f>
        <v>1124</v>
      </c>
      <c r="Y73" s="521">
        <f>IFERROR($W73/$V73, 0)</f>
        <v>0</v>
      </c>
      <c r="Z73" s="1383"/>
      <c r="AA73" s="1097">
        <v>0</v>
      </c>
      <c r="AB73" s="1126">
        <v>0</v>
      </c>
      <c r="AC73" s="948">
        <v>0</v>
      </c>
      <c r="AD73" s="894" t="s">
        <v>245</v>
      </c>
      <c r="AE73" s="939"/>
    </row>
    <row r="74" spans="1:31" ht="24.75" customHeight="1">
      <c r="A74" s="983" t="s">
        <v>254</v>
      </c>
      <c r="B74" s="1312" t="s">
        <v>232</v>
      </c>
      <c r="C74" s="984">
        <v>46111</v>
      </c>
      <c r="D74" s="985"/>
      <c r="E74" s="986"/>
      <c r="F74" s="897"/>
      <c r="G74" s="897"/>
      <c r="H74" s="1379">
        <v>0</v>
      </c>
      <c r="I74" s="519" t="s">
        <v>54</v>
      </c>
      <c r="J74" s="961" t="s">
        <v>87</v>
      </c>
      <c r="K74" s="1380" t="s">
        <v>68</v>
      </c>
      <c r="L74" s="986"/>
      <c r="M74" s="961" t="s">
        <v>69</v>
      </c>
      <c r="N74" s="1115"/>
      <c r="O74" s="961" t="s">
        <v>69</v>
      </c>
      <c r="P74" s="951" t="s">
        <v>70</v>
      </c>
      <c r="Q74" s="1376"/>
      <c r="R74" s="1376"/>
      <c r="S74" s="1376"/>
      <c r="T74" s="1376"/>
      <c r="U74" s="1376"/>
      <c r="V74" s="1381"/>
      <c r="W74" s="1382"/>
      <c r="X74" s="1382">
        <f>SUM(V74-W74)</f>
        <v>0</v>
      </c>
      <c r="Y74" s="687">
        <f>IFERROR($W74/$V74, 0)</f>
        <v>0</v>
      </c>
      <c r="Z74" s="1383"/>
      <c r="AA74" s="1097">
        <v>0</v>
      </c>
      <c r="AB74" s="1126">
        <v>0</v>
      </c>
      <c r="AC74" s="948">
        <v>0</v>
      </c>
      <c r="AD74" s="894" t="s">
        <v>255</v>
      </c>
      <c r="AE74" s="939"/>
    </row>
    <row r="75" spans="1:31" ht="24.75" customHeight="1">
      <c r="A75" s="983" t="s">
        <v>256</v>
      </c>
      <c r="B75" s="1312" t="s">
        <v>232</v>
      </c>
      <c r="C75" s="984">
        <v>46111</v>
      </c>
      <c r="D75" s="985"/>
      <c r="E75" s="986"/>
      <c r="F75" s="897"/>
      <c r="G75" s="897"/>
      <c r="H75" s="1379">
        <v>0</v>
      </c>
      <c r="I75" s="519" t="s">
        <v>54</v>
      </c>
      <c r="J75" s="961" t="s">
        <v>87</v>
      </c>
      <c r="K75" s="1380" t="s">
        <v>68</v>
      </c>
      <c r="L75" s="986"/>
      <c r="M75" s="961" t="s">
        <v>69</v>
      </c>
      <c r="N75" s="1115"/>
      <c r="O75" s="961" t="s">
        <v>69</v>
      </c>
      <c r="P75" s="951" t="s">
        <v>70</v>
      </c>
      <c r="Q75" s="1376"/>
      <c r="R75" s="1376"/>
      <c r="S75" s="1376"/>
      <c r="T75" s="1376"/>
      <c r="U75" s="1376"/>
      <c r="V75" s="1381"/>
      <c r="W75" s="1382"/>
      <c r="X75" s="1382">
        <f>SUM(V75-W75)</f>
        <v>0</v>
      </c>
      <c r="Y75" s="516">
        <f>IFERROR($W75/$V75, 0)</f>
        <v>0</v>
      </c>
      <c r="Z75" s="1384"/>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2">
        <v>8255</v>
      </c>
      <c r="X79" s="933">
        <f>SUM(V79-W79)</f>
        <v>2508</v>
      </c>
      <c r="Y79" s="699">
        <f>IFERROR($W79/$V79, 0)</f>
        <v>0.7669794666914429</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4564</v>
      </c>
      <c r="W83" s="933"/>
      <c r="X83" s="970">
        <v>4564</v>
      </c>
      <c r="Y83" s="864"/>
      <c r="Z83" s="1386"/>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5"/>
      <c r="R84" s="1001"/>
      <c r="S84" s="1001"/>
      <c r="T84" s="1001"/>
      <c r="U84" s="1001"/>
      <c r="V84" s="970">
        <v>5936</v>
      </c>
      <c r="W84" s="933"/>
      <c r="X84" s="970">
        <v>5936</v>
      </c>
      <c r="Y84" s="864"/>
      <c r="Z84" s="1386"/>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5"/>
      <c r="R85" s="1001"/>
      <c r="S85" s="1001"/>
      <c r="T85" s="1001"/>
      <c r="U85" s="1001"/>
      <c r="V85" s="970">
        <v>7117</v>
      </c>
      <c r="W85" s="933"/>
      <c r="X85" s="970">
        <v>7117</v>
      </c>
      <c r="Y85" s="864"/>
      <c r="Z85" s="1386"/>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5"/>
      <c r="R86" s="1001"/>
      <c r="S86" s="1001"/>
      <c r="T86" s="1001"/>
      <c r="U86" s="1001"/>
      <c r="V86" s="970">
        <v>9590</v>
      </c>
      <c r="W86" s="933"/>
      <c r="X86" s="970">
        <v>9590</v>
      </c>
      <c r="Y86" s="864"/>
      <c r="Z86" s="1386"/>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5"/>
      <c r="R87" s="1001"/>
      <c r="S87" s="1001"/>
      <c r="T87" s="1001"/>
      <c r="U87" s="1001"/>
      <c r="V87" s="970">
        <v>9329</v>
      </c>
      <c r="W87" s="933"/>
      <c r="X87" s="970">
        <v>9329</v>
      </c>
      <c r="Y87" s="864"/>
      <c r="Z87" s="1386"/>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5"/>
      <c r="R88" s="1001"/>
      <c r="S88" s="1001"/>
      <c r="T88" s="1001"/>
      <c r="U88" s="1001"/>
      <c r="V88" s="970">
        <v>9709</v>
      </c>
      <c r="W88" s="933"/>
      <c r="X88" s="970">
        <v>9709</v>
      </c>
      <c r="Y88" s="864"/>
      <c r="Z88" s="1386"/>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5"/>
      <c r="R89" s="1001"/>
      <c r="S89" s="1001"/>
      <c r="T89" s="1001"/>
      <c r="U89" s="1001"/>
      <c r="V89" s="970">
        <v>9263</v>
      </c>
      <c r="W89" s="933"/>
      <c r="X89" s="970">
        <v>9263</v>
      </c>
      <c r="Y89" s="864"/>
      <c r="Z89" s="1386"/>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5"/>
      <c r="R90" s="1001"/>
      <c r="S90" s="1001"/>
      <c r="T90" s="1001"/>
      <c r="U90" s="1001"/>
      <c r="V90" s="970">
        <v>10385</v>
      </c>
      <c r="W90" s="933"/>
      <c r="X90" s="970">
        <v>10385</v>
      </c>
      <c r="Y90" s="864"/>
      <c r="Z90" s="1386"/>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5"/>
      <c r="R91" s="1001"/>
      <c r="S91" s="1001"/>
      <c r="T91" s="1001"/>
      <c r="U91" s="1001"/>
      <c r="V91" s="970">
        <v>9398</v>
      </c>
      <c r="W91" s="933"/>
      <c r="X91" s="970">
        <v>9398</v>
      </c>
      <c r="Y91" s="864"/>
      <c r="Z91" s="1386"/>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5"/>
      <c r="R92" s="1001"/>
      <c r="S92" s="1001"/>
      <c r="T92" s="1001"/>
      <c r="U92" s="1001"/>
      <c r="V92" s="970">
        <v>7517</v>
      </c>
      <c r="W92" s="933"/>
      <c r="X92" s="970">
        <v>7517</v>
      </c>
      <c r="Y92" s="864"/>
      <c r="Z92" s="1386"/>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5"/>
      <c r="R93" s="1001"/>
      <c r="S93" s="1001"/>
      <c r="T93" s="1001"/>
      <c r="U93" s="1001"/>
      <c r="V93" s="970">
        <v>5920</v>
      </c>
      <c r="W93" s="933"/>
      <c r="X93" s="970">
        <v>5920</v>
      </c>
      <c r="Y93" s="864"/>
      <c r="Z93" s="1386"/>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5"/>
      <c r="R94" s="1001"/>
      <c r="S94" s="1001"/>
      <c r="T94" s="1001"/>
      <c r="U94" s="1001"/>
      <c r="V94" s="970">
        <v>5589</v>
      </c>
      <c r="W94" s="933"/>
      <c r="X94" s="970">
        <v>5589</v>
      </c>
      <c r="Y94" s="864"/>
      <c r="Z94" s="1386"/>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5"/>
      <c r="R95" s="1001"/>
      <c r="S95" s="1001"/>
      <c r="T95" s="1001"/>
      <c r="U95" s="1001"/>
      <c r="V95" s="970">
        <v>5515</v>
      </c>
      <c r="W95" s="933"/>
      <c r="X95" s="970">
        <v>5515</v>
      </c>
      <c r="Y95" s="864"/>
      <c r="Z95" s="1386"/>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5"/>
      <c r="R96" s="1001"/>
      <c r="S96" s="1001"/>
      <c r="T96" s="1001"/>
      <c r="U96" s="1001"/>
      <c r="V96" s="970">
        <v>5191</v>
      </c>
      <c r="W96" s="933"/>
      <c r="X96" s="970">
        <v>5191</v>
      </c>
      <c r="Y96" s="864"/>
      <c r="Z96" s="1386"/>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5"/>
      <c r="R97" s="1001"/>
      <c r="S97" s="1001"/>
      <c r="T97" s="1001"/>
      <c r="U97" s="1001"/>
      <c r="V97" s="970">
        <v>5620</v>
      </c>
      <c r="W97" s="933"/>
      <c r="X97" s="970">
        <v>5620</v>
      </c>
      <c r="Y97" s="864"/>
      <c r="Z97" s="1386"/>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5"/>
      <c r="R98" s="1001"/>
      <c r="S98" s="1001"/>
      <c r="T98" s="1001"/>
      <c r="U98" s="1001"/>
      <c r="V98" s="970">
        <v>6864</v>
      </c>
      <c r="W98" s="933"/>
      <c r="X98" s="970">
        <v>6864</v>
      </c>
      <c r="Y98" s="864"/>
      <c r="Z98" s="1386"/>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5"/>
      <c r="R99" s="1001"/>
      <c r="S99" s="1001"/>
      <c r="T99" s="1001"/>
      <c r="U99" s="1001"/>
      <c r="V99" s="970">
        <v>6461</v>
      </c>
      <c r="W99" s="933"/>
      <c r="X99" s="970">
        <v>6461</v>
      </c>
      <c r="Y99" s="864"/>
      <c r="Z99" s="1386"/>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5"/>
      <c r="R100" s="1001"/>
      <c r="S100" s="1001"/>
      <c r="T100" s="1001"/>
      <c r="U100" s="1001"/>
      <c r="V100" s="970">
        <v>2790</v>
      </c>
      <c r="W100" s="933"/>
      <c r="X100" s="970">
        <v>2790</v>
      </c>
      <c r="Y100" s="864"/>
      <c r="Z100" s="1386"/>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5"/>
      <c r="R101" s="1001"/>
      <c r="S101" s="1001"/>
      <c r="T101" s="1001"/>
      <c r="U101" s="1001"/>
      <c r="V101" s="970">
        <v>7368</v>
      </c>
      <c r="W101" s="933"/>
      <c r="X101" s="970">
        <v>7368</v>
      </c>
      <c r="Y101" s="864"/>
      <c r="Z101" s="1386"/>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5"/>
      <c r="R102" s="1001"/>
      <c r="S102" s="1001"/>
      <c r="T102" s="1001"/>
      <c r="U102" s="1001"/>
      <c r="V102" s="970">
        <v>7844</v>
      </c>
      <c r="W102" s="933"/>
      <c r="X102" s="970">
        <v>7844</v>
      </c>
      <c r="Y102" s="864"/>
      <c r="Z102" s="1386"/>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5"/>
      <c r="R103" s="1001"/>
      <c r="S103" s="1001"/>
      <c r="T103" s="1001"/>
      <c r="U103" s="1001"/>
      <c r="V103" s="970">
        <v>8148</v>
      </c>
      <c r="W103" s="933"/>
      <c r="X103" s="970">
        <v>8148</v>
      </c>
      <c r="Y103" s="864"/>
      <c r="Z103" s="1386"/>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5"/>
      <c r="R104" s="1001"/>
      <c r="S104" s="1001"/>
      <c r="T104" s="1001"/>
      <c r="U104" s="1001"/>
      <c r="V104" s="970">
        <v>6829</v>
      </c>
      <c r="W104" s="933"/>
      <c r="X104" s="970">
        <v>6829</v>
      </c>
      <c r="Y104" s="864"/>
      <c r="Z104" s="1386"/>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5"/>
      <c r="R105" s="1001"/>
      <c r="S105" s="1001"/>
      <c r="T105" s="1001"/>
      <c r="U105" s="1001"/>
      <c r="V105" s="970">
        <v>6157</v>
      </c>
      <c r="W105" s="933"/>
      <c r="X105" s="970">
        <v>6157</v>
      </c>
      <c r="Y105" s="864"/>
      <c r="Z105" s="1386"/>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5"/>
      <c r="R106" s="1001"/>
      <c r="S106" s="1001"/>
      <c r="T106" s="1001"/>
      <c r="U106" s="1001"/>
      <c r="V106" s="970">
        <v>9537</v>
      </c>
      <c r="W106" s="933"/>
      <c r="X106" s="970">
        <v>9537</v>
      </c>
      <c r="Y106" s="864"/>
      <c r="Z106" s="1386"/>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5"/>
      <c r="R107" s="1001"/>
      <c r="S107" s="1001"/>
      <c r="T107" s="1001"/>
      <c r="U107" s="1001"/>
      <c r="V107" s="970">
        <v>6796</v>
      </c>
      <c r="W107" s="933"/>
      <c r="X107" s="970">
        <v>6796</v>
      </c>
      <c r="Y107" s="864"/>
      <c r="Z107" s="1386"/>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5"/>
      <c r="R108" s="1001"/>
      <c r="S108" s="1001"/>
      <c r="T108" s="1001"/>
      <c r="U108" s="1001"/>
      <c r="V108" s="970">
        <v>6149</v>
      </c>
      <c r="W108" s="933"/>
      <c r="X108" s="970">
        <v>6149</v>
      </c>
      <c r="Y108" s="864"/>
      <c r="Z108" s="1386"/>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5"/>
      <c r="R109" s="1001"/>
      <c r="S109" s="1001"/>
      <c r="T109" s="1001"/>
      <c r="U109" s="1001"/>
      <c r="V109" s="970">
        <v>6284</v>
      </c>
      <c r="W109" s="933"/>
      <c r="X109" s="970">
        <v>6284</v>
      </c>
      <c r="Y109" s="864"/>
      <c r="Z109" s="1386"/>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5"/>
      <c r="R110" s="1001"/>
      <c r="S110" s="1001"/>
      <c r="T110" s="1001"/>
      <c r="U110" s="1001"/>
      <c r="V110" s="970">
        <v>7743</v>
      </c>
      <c r="W110" s="933"/>
      <c r="X110" s="970">
        <v>7743</v>
      </c>
      <c r="Y110" s="864"/>
      <c r="Z110" s="1386"/>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5"/>
      <c r="R111" s="1001"/>
      <c r="S111" s="1001"/>
      <c r="T111" s="1001"/>
      <c r="U111" s="1001"/>
      <c r="V111" s="970">
        <v>6932</v>
      </c>
      <c r="W111" s="933"/>
      <c r="X111" s="970">
        <v>6932</v>
      </c>
      <c r="Y111" s="864"/>
      <c r="Z111" s="1386"/>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5"/>
      <c r="R112" s="1001"/>
      <c r="S112" s="1001"/>
      <c r="T112" s="1001"/>
      <c r="U112" s="1001"/>
      <c r="V112" s="970">
        <v>6213</v>
      </c>
      <c r="W112" s="933"/>
      <c r="X112" s="970">
        <v>6213</v>
      </c>
      <c r="Y112" s="864"/>
      <c r="Z112" s="1386"/>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5"/>
      <c r="R113" s="1001"/>
      <c r="S113" s="1001"/>
      <c r="T113" s="1001"/>
      <c r="U113" s="1001"/>
      <c r="V113" s="970">
        <v>4339</v>
      </c>
      <c r="W113" s="933"/>
      <c r="X113" s="970">
        <v>4339</v>
      </c>
      <c r="Y113" s="864"/>
      <c r="Z113" s="1386"/>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5"/>
      <c r="R114" s="1001"/>
      <c r="S114" s="1001"/>
      <c r="T114" s="1001"/>
      <c r="U114" s="1001"/>
      <c r="V114" s="970">
        <v>3940</v>
      </c>
      <c r="W114" s="933"/>
      <c r="X114" s="970">
        <v>3940</v>
      </c>
      <c r="Y114" s="864"/>
      <c r="Z114" s="1386"/>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5"/>
      <c r="R115" s="1001"/>
      <c r="S115" s="1001"/>
      <c r="T115" s="1001"/>
      <c r="U115" s="1001"/>
      <c r="V115" s="970">
        <v>6855</v>
      </c>
      <c r="W115" s="933"/>
      <c r="X115" s="970">
        <v>6855</v>
      </c>
      <c r="Y115" s="864"/>
      <c r="Z115" s="1386"/>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5"/>
      <c r="R116" s="1001"/>
      <c r="S116" s="1001"/>
      <c r="T116" s="1001"/>
      <c r="U116" s="1001"/>
      <c r="V116" s="970">
        <v>7147</v>
      </c>
      <c r="W116" s="933"/>
      <c r="X116" s="970">
        <v>7147</v>
      </c>
      <c r="Y116" s="864"/>
      <c r="Z116" s="1386"/>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5"/>
      <c r="R117" s="1001"/>
      <c r="S117" s="1001"/>
      <c r="T117" s="1001"/>
      <c r="U117" s="1001"/>
      <c r="V117" s="970">
        <v>6376</v>
      </c>
      <c r="W117" s="933"/>
      <c r="X117" s="970">
        <v>6376</v>
      </c>
      <c r="Y117" s="864"/>
      <c r="Z117" s="1386"/>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5"/>
      <c r="R118" s="1001"/>
      <c r="S118" s="1001"/>
      <c r="T118" s="1001"/>
      <c r="U118" s="1001"/>
      <c r="V118" s="970">
        <v>4784</v>
      </c>
      <c r="W118" s="933"/>
      <c r="X118" s="970">
        <v>4784</v>
      </c>
      <c r="Y118" s="864"/>
      <c r="Z118" s="1386"/>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5"/>
      <c r="R119" s="1001"/>
      <c r="S119" s="1001"/>
      <c r="T119" s="1001"/>
      <c r="U119" s="1001"/>
      <c r="V119" s="970">
        <v>6387</v>
      </c>
      <c r="W119" s="933"/>
      <c r="X119" s="970">
        <v>6387</v>
      </c>
      <c r="Y119" s="864"/>
      <c r="Z119" s="1386"/>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5"/>
      <c r="R120" s="1001"/>
      <c r="S120" s="1001"/>
      <c r="T120" s="1001"/>
      <c r="U120" s="1001"/>
      <c r="V120" s="970">
        <v>6372</v>
      </c>
      <c r="W120" s="933"/>
      <c r="X120" s="970">
        <v>6372</v>
      </c>
      <c r="Y120" s="864"/>
      <c r="Z120" s="1386"/>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5"/>
      <c r="R121" s="1001"/>
      <c r="S121" s="1001"/>
      <c r="T121" s="1001"/>
      <c r="U121" s="1001"/>
      <c r="V121" s="970">
        <v>5363</v>
      </c>
      <c r="W121" s="933"/>
      <c r="X121" s="970">
        <v>5363</v>
      </c>
      <c r="Y121" s="864"/>
      <c r="Z121" s="1386"/>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5"/>
      <c r="R122" s="1001"/>
      <c r="S122" s="1001"/>
      <c r="T122" s="1001"/>
      <c r="U122" s="1001"/>
      <c r="V122" s="970">
        <v>5199</v>
      </c>
      <c r="W122" s="933"/>
      <c r="X122" s="970">
        <v>5199</v>
      </c>
      <c r="Y122" s="864"/>
      <c r="Z122" s="1386"/>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5"/>
      <c r="R123" s="1001"/>
      <c r="S123" s="1001"/>
      <c r="T123" s="1001"/>
      <c r="U123" s="1001"/>
      <c r="V123" s="970">
        <v>9771</v>
      </c>
      <c r="W123" s="933"/>
      <c r="X123" s="970">
        <v>9771</v>
      </c>
      <c r="Y123" s="864"/>
      <c r="Z123" s="1386"/>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5"/>
      <c r="R124" s="1001"/>
      <c r="S124" s="1001"/>
      <c r="T124" s="1001"/>
      <c r="U124" s="1001"/>
      <c r="V124" s="970">
        <v>9562</v>
      </c>
      <c r="W124" s="933"/>
      <c r="X124" s="970">
        <v>9562</v>
      </c>
      <c r="Y124" s="864"/>
      <c r="Z124" s="1386"/>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5"/>
      <c r="R125" s="1001"/>
      <c r="S125" s="1001"/>
      <c r="T125" s="1001"/>
      <c r="U125" s="1001"/>
      <c r="V125" s="970">
        <v>6309</v>
      </c>
      <c r="W125" s="933"/>
      <c r="X125" s="970">
        <v>6309</v>
      </c>
      <c r="Y125" s="864"/>
      <c r="Z125" s="1386"/>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5"/>
      <c r="R126" s="1001"/>
      <c r="S126" s="1001"/>
      <c r="T126" s="1001"/>
      <c r="U126" s="1001"/>
      <c r="V126" s="970">
        <v>10260</v>
      </c>
      <c r="W126" s="933"/>
      <c r="X126" s="970">
        <v>10260</v>
      </c>
      <c r="Y126" s="864"/>
      <c r="Z126" s="1386"/>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5"/>
      <c r="R127" s="1001"/>
      <c r="S127" s="1001"/>
      <c r="T127" s="1001"/>
      <c r="U127" s="1001"/>
      <c r="V127" s="970">
        <v>10080</v>
      </c>
      <c r="W127" s="933"/>
      <c r="X127" s="970">
        <v>10080</v>
      </c>
      <c r="Y127" s="864"/>
      <c r="Z127" s="1386"/>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5"/>
      <c r="R128" s="1001"/>
      <c r="S128" s="1001"/>
      <c r="T128" s="1001"/>
      <c r="U128" s="1001"/>
      <c r="V128" s="970">
        <v>6859</v>
      </c>
      <c r="W128" s="933"/>
      <c r="X128" s="970">
        <v>6859</v>
      </c>
      <c r="Y128" s="864"/>
      <c r="Z128" s="1386"/>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5"/>
      <c r="R129" s="1001"/>
      <c r="S129" s="1001"/>
      <c r="T129" s="1001"/>
      <c r="U129" s="1001"/>
      <c r="V129" s="970">
        <v>5873</v>
      </c>
      <c r="W129" s="933"/>
      <c r="X129" s="970">
        <v>5873</v>
      </c>
      <c r="Y129" s="864"/>
      <c r="Z129" s="1386"/>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5"/>
      <c r="R130" s="1001"/>
      <c r="S130" s="1001"/>
      <c r="T130" s="1001"/>
      <c r="U130" s="1001"/>
      <c r="V130" s="970">
        <v>4945</v>
      </c>
      <c r="W130" s="933"/>
      <c r="X130" s="970">
        <v>4945</v>
      </c>
      <c r="Y130" s="864"/>
      <c r="Z130" s="1386"/>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5"/>
      <c r="R131" s="1001"/>
      <c r="S131" s="1001"/>
      <c r="T131" s="1001"/>
      <c r="U131" s="1001"/>
      <c r="V131" s="970">
        <v>4275</v>
      </c>
      <c r="W131" s="933"/>
      <c r="X131" s="970">
        <v>4275</v>
      </c>
      <c r="Y131" s="864"/>
      <c r="Z131" s="1386"/>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5"/>
      <c r="R132" s="1001"/>
      <c r="S132" s="1001"/>
      <c r="T132" s="1001"/>
      <c r="U132" s="1001"/>
      <c r="V132" s="970">
        <v>6378</v>
      </c>
      <c r="W132" s="933"/>
      <c r="X132" s="970">
        <v>6378</v>
      </c>
      <c r="Y132" s="864"/>
      <c r="Z132" s="1386"/>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7373</v>
      </c>
      <c r="W133" s="933"/>
      <c r="X133" s="970">
        <v>7373</v>
      </c>
      <c r="Y133" s="864"/>
      <c r="Z133" s="1386"/>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5781</v>
      </c>
      <c r="W134" s="933"/>
      <c r="X134" s="970">
        <v>5781</v>
      </c>
      <c r="Y134" s="864"/>
      <c r="Z134" s="1386"/>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9051</v>
      </c>
      <c r="W135" s="933"/>
      <c r="X135" s="970">
        <v>9051</v>
      </c>
      <c r="Y135" s="864"/>
      <c r="Z135" s="1386"/>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7261</v>
      </c>
      <c r="W136" s="933"/>
      <c r="X136" s="970">
        <v>7261</v>
      </c>
      <c r="Y136" s="864"/>
      <c r="Z136" s="1386"/>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9638</v>
      </c>
      <c r="W137" s="933"/>
      <c r="X137" s="970">
        <v>9638</v>
      </c>
      <c r="Y137" s="864"/>
      <c r="Z137" s="1386"/>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5"/>
      <c r="R138" s="1001"/>
      <c r="S138" s="1001"/>
      <c r="T138" s="1001"/>
      <c r="U138" s="1001"/>
      <c r="V138" s="970">
        <v>8746</v>
      </c>
      <c r="W138" s="933"/>
      <c r="X138" s="970">
        <v>8746</v>
      </c>
      <c r="Y138" s="864"/>
      <c r="Z138" s="1386"/>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001"/>
      <c r="V140" s="1107"/>
      <c r="W140" s="933"/>
      <c r="X140" s="1107"/>
      <c r="Y140" s="864"/>
      <c r="Z140" s="1386"/>
      <c r="AA140" s="1387"/>
      <c r="AB140" s="1387"/>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5"/>
      <c r="R151" s="1001"/>
      <c r="S151" s="1001"/>
      <c r="T151" s="1001"/>
      <c r="U151" s="1001"/>
      <c r="V151" s="933">
        <v>8641</v>
      </c>
      <c r="W151" s="1382"/>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8"/>
      <c r="R152" s="1003"/>
      <c r="S152" s="1003"/>
      <c r="T152" s="1003"/>
      <c r="U152" s="1003"/>
      <c r="V152" s="1005">
        <v>7502</v>
      </c>
      <c r="W152" s="1389"/>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89"/>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9"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4">
        <v>109</v>
      </c>
      <c r="I9" s="662" t="s">
        <v>344</v>
      </c>
      <c r="J9" s="665" t="s">
        <v>55</v>
      </c>
      <c r="K9" s="1369"/>
      <c r="L9" s="986">
        <v>45663</v>
      </c>
      <c r="M9" s="898" t="s">
        <v>56</v>
      </c>
      <c r="N9" s="1375">
        <v>123587.5</v>
      </c>
      <c r="O9" s="1374" t="s">
        <v>56</v>
      </c>
      <c r="P9" s="1390" t="s">
        <v>345</v>
      </c>
      <c r="Q9" s="1376">
        <v>46008</v>
      </c>
      <c r="R9" s="1376"/>
      <c r="S9" s="1376"/>
      <c r="T9" s="1376"/>
      <c r="U9" s="1376"/>
      <c r="V9" s="1377">
        <v>6825</v>
      </c>
      <c r="W9" s="1391">
        <v>6575</v>
      </c>
      <c r="X9" s="1372">
        <f>SUM(V9-W9)</f>
        <v>250</v>
      </c>
      <c r="Y9" s="521">
        <f>IFERROR($W9/$V9, 0)</f>
        <v>0.96336996336996339</v>
      </c>
      <c r="Z9" s="1376">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P236" activePane="topRight" state="frozen"/>
      <selection pane="topRight" activeCell="T243" sqref="T24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69">
        <v>0</v>
      </c>
      <c r="I71" s="520" t="s">
        <v>344</v>
      </c>
      <c r="J71" s="1369" t="s">
        <v>55</v>
      </c>
      <c r="K71" s="984" t="s">
        <v>97</v>
      </c>
      <c r="L71" s="1369" t="s">
        <v>56</v>
      </c>
      <c r="M71" s="1392">
        <v>15670.45</v>
      </c>
      <c r="N71" s="346">
        <v>12965</v>
      </c>
      <c r="O71" s="1369" t="s">
        <v>56</v>
      </c>
      <c r="P71" s="1393" t="s">
        <v>345</v>
      </c>
      <c r="Q71" s="1371">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6" t="s">
        <v>55</v>
      </c>
      <c r="K302" s="43"/>
      <c r="L302" s="691" t="s">
        <v>63</v>
      </c>
      <c r="M302" s="765" t="s">
        <v>56</v>
      </c>
      <c r="N302" s="1397">
        <v>1035</v>
      </c>
      <c r="O302" s="945" t="s">
        <v>56</v>
      </c>
      <c r="P302" s="1295" t="s">
        <v>345</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1226</v>
      </c>
      <c r="C1" s="1363"/>
      <c r="D1" s="432"/>
      <c r="E1" s="1363" t="s">
        <v>1227</v>
      </c>
      <c r="F1" s="1363"/>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1257</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abSelected="1"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1392</v>
      </c>
      <c r="G1372" s="1368">
        <v>4779</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1392</v>
      </c>
      <c r="G1375" s="1368">
        <v>10842</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3" activePane="bottomLeft" state="frozen"/>
      <selection pane="bottomLeft" activeCell="F2762" sqref="F276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243" t="s">
        <v>2328</v>
      </c>
      <c r="G2756" t="s">
        <v>1303</v>
      </c>
    </row>
    <row r="2757" spans="1:7">
      <c r="A2757" s="607" t="s">
        <v>1369</v>
      </c>
      <c r="B2757" s="607" t="s">
        <v>1970</v>
      </c>
      <c r="C2757" s="24">
        <v>46087</v>
      </c>
      <c r="D2757" s="92">
        <v>1392</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BE433B-0BBC-4719-8CE5-B94471A382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2026-03-09T11:55:41Z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