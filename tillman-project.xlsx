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5" documentId="120_S{26355A1A-C9FF-5539-9B49-32C1F08D0326}" xr6:coauthVersionLast="47" xr6:coauthVersionMax="47" xr10:uidLastSave="{0B6A0616-DBA9-4FAE-8108-FB72C67F165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 name="_xlnm._FilterDatabase" localSheetId="6" hidden="1">'Daily Production_RAW DATA'!$A$1:$F$2654</definedName>
  </definedNames>
  <calcPr calcId="191028"/>
  <pivotCaches>
    <pivotCache cacheId="4055" r:id="rId12"/>
    <pivotCache cacheId="4056" r:id="rId13"/>
    <pivotCache cacheId="4057" r:id="rId14"/>
    <pivotCache cacheId="4058" r:id="rId15"/>
    <pivotCache cacheId="40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4" i="30" l="1"/>
  <c r="Y18" i="31"/>
  <c r="X18" i="31"/>
  <c r="X53" i="2"/>
  <c r="Y53" i="2"/>
  <c r="U175" i="30"/>
  <c r="Y27" i="31"/>
  <c r="X27" i="31"/>
  <c r="Y26" i="31"/>
  <c r="X26" i="31"/>
  <c r="Y21" i="31"/>
  <c r="X21" i="31"/>
  <c r="Y20" i="31"/>
  <c r="X20" i="31"/>
  <c r="U163" i="30"/>
  <c r="U155" i="30"/>
  <c r="U153" i="30"/>
  <c r="Y20" i="2"/>
  <c r="Y21" i="2"/>
  <c r="X72" i="2"/>
  <c r="Y72" i="2"/>
  <c r="Y72" i="31"/>
  <c r="X72" i="31"/>
  <c r="Y11" i="31"/>
  <c r="X11" i="31"/>
  <c r="X43" i="31"/>
  <c r="Y43" i="31"/>
  <c r="X42" i="31"/>
  <c r="Y42" i="31"/>
  <c r="Y74" i="31"/>
  <c r="X74" i="31"/>
  <c r="Y8" i="31"/>
  <c r="X8" i="31"/>
  <c r="U162" i="30"/>
  <c r="Y70" i="31"/>
  <c r="X70" i="31"/>
  <c r="Y67" i="31"/>
  <c r="X67" i="31"/>
  <c r="Y49" i="31"/>
  <c r="X49" i="31"/>
  <c r="Y68" i="2"/>
  <c r="X68" i="2"/>
  <c r="Y12" i="31"/>
  <c r="X12" i="31"/>
  <c r="U151" i="30"/>
  <c r="X46" i="31"/>
  <c r="Y46" i="31"/>
  <c r="Y45" i="31"/>
  <c r="X45" i="31"/>
  <c r="Y81" i="31"/>
  <c r="X81" i="31"/>
  <c r="U152" i="30"/>
  <c r="Y47" i="31"/>
  <c r="X47" i="31"/>
  <c r="Y54" i="31"/>
  <c r="X54" i="31"/>
  <c r="U147" i="30"/>
  <c r="Y44" i="31"/>
  <c r="X44" i="31"/>
  <c r="Y41" i="31"/>
  <c r="X41" i="31"/>
  <c r="Y40" i="31"/>
  <c r="X40" i="31"/>
  <c r="Y71" i="31"/>
  <c r="X71" i="31"/>
  <c r="Y73" i="31"/>
  <c r="X73" i="31"/>
  <c r="Y25" i="31"/>
  <c r="X25" i="31"/>
  <c r="X19" i="31"/>
  <c r="Y83" i="31"/>
  <c r="X83" i="31"/>
  <c r="Y78" i="31"/>
  <c r="X78" i="31"/>
  <c r="Y36" i="31"/>
  <c r="X36" i="31"/>
  <c r="X35" i="31"/>
  <c r="U172" i="30"/>
  <c r="U174" i="30"/>
  <c r="U171" i="30"/>
  <c r="U173" i="30"/>
  <c r="Y46" i="32"/>
  <c r="X46" i="32"/>
  <c r="Y3" i="32"/>
  <c r="X3" i="32"/>
  <c r="Y32" i="32"/>
  <c r="X32" i="32"/>
  <c r="Y31" i="32"/>
  <c r="X31" i="32"/>
  <c r="Y13" i="32"/>
  <c r="X13" i="32"/>
  <c r="Y37" i="32"/>
  <c r="X37" i="32"/>
  <c r="Y30" i="32"/>
  <c r="X30" i="32"/>
  <c r="Y16" i="32"/>
  <c r="X16" i="32"/>
  <c r="Y84" i="31"/>
  <c r="X84" i="31"/>
  <c r="Y45" i="32"/>
  <c r="X45" i="32"/>
  <c r="Y15" i="32"/>
  <c r="X15" i="32"/>
  <c r="Y34" i="32"/>
  <c r="X34" i="32"/>
  <c r="Y33" i="32"/>
  <c r="X33" i="32"/>
  <c r="Y31" i="31"/>
  <c r="X31" i="31"/>
  <c r="Y17" i="32"/>
  <c r="X17" i="32"/>
  <c r="Y9" i="32"/>
  <c r="X9" i="32"/>
  <c r="Y133" i="2"/>
  <c r="Y134" i="2"/>
  <c r="Y135" i="2"/>
  <c r="Y136" i="2"/>
  <c r="Y137" i="2"/>
  <c r="Y138" i="2"/>
  <c r="Y139" i="2"/>
  <c r="Y140" i="2"/>
  <c r="Y141" i="2"/>
  <c r="Y142" i="2"/>
  <c r="Y143" i="2"/>
  <c r="Y144" i="2"/>
  <c r="Y75" i="31"/>
  <c r="X75" i="31"/>
  <c r="Y66" i="31"/>
  <c r="X66" i="31"/>
  <c r="Y39" i="31"/>
  <c r="X39" i="31"/>
  <c r="Y76" i="31"/>
  <c r="X76" i="31"/>
  <c r="Y69" i="31"/>
  <c r="X69" i="31"/>
  <c r="Y63" i="31"/>
  <c r="X63" i="31"/>
  <c r="Y52" i="2"/>
  <c r="X52" i="2"/>
  <c r="Y60" i="2"/>
  <c r="X60" i="2"/>
  <c r="Y28" i="32"/>
  <c r="X28" i="32"/>
  <c r="Y23" i="31"/>
  <c r="X23" i="31"/>
  <c r="U137" i="30"/>
  <c r="Y27" i="32"/>
  <c r="X27" i="32"/>
  <c r="Y18" i="32"/>
  <c r="X18" i="32"/>
  <c r="X68" i="31"/>
  <c r="Y68" i="31"/>
  <c r="X65" i="31"/>
  <c r="Y65" i="31"/>
  <c r="X61" i="31"/>
  <c r="Y61" i="31"/>
  <c r="U44" i="30"/>
  <c r="U157" i="30"/>
  <c r="X29" i="32"/>
  <c r="Y29" i="32"/>
  <c r="X30" i="31"/>
  <c r="Y30" i="31"/>
  <c r="X35" i="32"/>
  <c r="Y35" i="32"/>
  <c r="X48" i="31"/>
  <c r="Y48" i="31"/>
  <c r="X22" i="31"/>
  <c r="Y22" i="31"/>
  <c r="X34" i="31"/>
  <c r="Y34" i="31"/>
  <c r="Y19" i="2"/>
  <c r="X19" i="2"/>
  <c r="Y62" i="31"/>
  <c r="X62" i="31"/>
  <c r="Y59" i="31"/>
  <c r="X59" i="31"/>
  <c r="Y24" i="31"/>
  <c r="X24" i="31"/>
  <c r="Y37" i="31"/>
  <c r="X37" i="31"/>
  <c r="Y24" i="32"/>
  <c r="X24" i="32"/>
  <c r="Y57" i="31"/>
  <c r="X57" i="31"/>
  <c r="T31" i="8"/>
  <c r="U31" i="8"/>
  <c r="T29" i="8"/>
  <c r="U29" i="8"/>
  <c r="Y36" i="32"/>
  <c r="X36" i="32"/>
  <c r="Y64" i="31"/>
  <c r="X64" i="31"/>
  <c r="Y56" i="31"/>
  <c r="X56" i="31"/>
  <c r="Y29" i="31"/>
  <c r="X29" i="31"/>
  <c r="Y2" i="32"/>
  <c r="X2" i="32"/>
  <c r="X56" i="2"/>
  <c r="Y56" i="2"/>
  <c r="Y26" i="32"/>
  <c r="X26" i="32"/>
  <c r="Y25" i="32"/>
  <c r="X25" i="32"/>
  <c r="Y40" i="32"/>
  <c r="X40" i="32"/>
  <c r="X80" i="31"/>
  <c r="Y80" i="31"/>
  <c r="Y32" i="2"/>
  <c r="X32" i="2"/>
  <c r="Y6" i="31"/>
  <c r="X6" i="31"/>
  <c r="Y33" i="31"/>
  <c r="X33" i="31"/>
  <c r="X64" i="2"/>
  <c r="Y64" i="2"/>
  <c r="Y51" i="31"/>
  <c r="X51" i="31"/>
  <c r="Y13" i="2"/>
  <c r="X13" i="2"/>
  <c r="Y60" i="31"/>
  <c r="X60" i="31"/>
  <c r="Y58" i="31"/>
  <c r="X58" i="31"/>
  <c r="Y55" i="31"/>
  <c r="X55" i="31"/>
  <c r="Y53" i="31"/>
  <c r="X53" i="31"/>
  <c r="Y52" i="31"/>
  <c r="X52" i="31"/>
  <c r="Y50" i="31"/>
  <c r="X50" i="31"/>
  <c r="Y28" i="31"/>
  <c r="X28" i="31"/>
  <c r="Y32" i="31"/>
  <c r="X32" i="31"/>
  <c r="Y26" i="2"/>
  <c r="X26" i="2"/>
  <c r="X8" i="2"/>
  <c r="Y8" i="2"/>
  <c r="Y5" i="31"/>
  <c r="X5" i="31"/>
  <c r="Y38" i="31"/>
  <c r="X38" i="31"/>
  <c r="Y14" i="2"/>
  <c r="X14" i="2"/>
  <c r="T170" i="30"/>
  <c r="X58" i="2"/>
  <c r="Y58" i="2"/>
  <c r="Y17" i="2"/>
  <c r="X17" i="2"/>
  <c r="Y22" i="32"/>
  <c r="X22" i="32"/>
  <c r="Y16" i="31"/>
  <c r="X16" i="31"/>
  <c r="Y23" i="32"/>
  <c r="X23" i="32"/>
  <c r="Y15" i="2"/>
  <c r="X15" i="2"/>
  <c r="Y9" i="31"/>
  <c r="X9" i="31"/>
  <c r="Y17" i="31"/>
  <c r="X17" i="31"/>
  <c r="Y21" i="32"/>
  <c r="X21" i="32"/>
  <c r="Y18" i="2"/>
  <c r="X18" i="2"/>
  <c r="Y34" i="2"/>
  <c r="Y33" i="2"/>
  <c r="X33" i="2"/>
  <c r="Y19" i="32"/>
  <c r="X19" i="32"/>
  <c r="X55" i="2"/>
  <c r="Y55"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4" i="2"/>
  <c r="X57" i="2"/>
  <c r="X59"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4" i="2"/>
  <c r="Y57" i="2"/>
  <c r="Y59"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2" i="31"/>
  <c r="X82" i="31"/>
  <c r="Y79" i="31"/>
  <c r="X79" i="31"/>
  <c r="Y77" i="31"/>
  <c r="X77"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<sst xmlns="http://schemas.openxmlformats.org/spreadsheetml/2006/main" count="18072" uniqueCount="2286">
  <si>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</si>
  <si>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</si>
  <si>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</si>
  <si>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</si>
  <si>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</si>
  <si>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</si>
  <si>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</si>
  <si>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</si>
  <si>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</si>
  <si>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</si>
  <si>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</si>
  <si>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</si>
  <si>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</si>
  <si>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</si>
  <si>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</si>
  <si>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</si>
  <si>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</si>
  <si>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</si>
  <si>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</si>
  <si>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</si>
  <si>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</si>
  <si>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</si>
  <si>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</si>
  <si>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</si>
  <si>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</si>
  <si>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</si>
  <si>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</si>
  <si>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</si>
  <si>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</si>
  <si>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</si>
  <si>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</si>
  <si>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</si>
  <si>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</si>
  <si>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</si>
  <si>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</si>
  <si>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</si>
  <si>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</si>
  <si>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</si>
  <si>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</si>
  <si>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</si>
  <si>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</si>
  <si>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</si>
  <si>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</si>
  <si>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</si>
  <si>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</si>
  <si>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</si>
  <si>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</si>
  <si>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</si>
  <si>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</si>
  <si>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</si>
  <si>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</si>
  <si>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</si>
  <si>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</si>
  <si>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</si>
  <si>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</si>
  <si>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</si>
  <si>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</si>
  <si>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</si>
  <si>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</si>
  <si>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</si>
  <si>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</si>
  <si>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</si>
  <si>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</si>
  <si>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</si>
  <si>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</si>
  <si>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</si>
  <si>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</si>
  <si>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</si>
  <si>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</si>
  <si>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</si>
  <si>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</si>
  <si>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</si>
  <si>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</si>
  <si>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</si>
  <si>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</si>
  <si>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</si>
  <si>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</si>
  <si>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</si>
  <si>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</si>
  <si>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</si>
  <si>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</si>
  <si>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</si>
  <si>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</si>
  <si>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</si>
  <si>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</si>
  <si>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</si>
  <si>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</si>
  <si>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</si>
  <si>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</si>
  <si>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</si>
  <si>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</si>
  <si>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</si>
  <si>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</si>
  <si>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</si>
  <si>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</si>
  <si>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</si>
  <si>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</si>
  <si>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</si>
  <si>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</si>
  <si>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</si>
  <si>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</si>
  <si>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</si>
  <si>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</si>
  <si>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</si>
  <si>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</si>
  <si>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</si>
  <si>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</si>
  <si>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</si>
  <si>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</si>
  <si>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</si>
  <si>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</si>
  <si>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</si>
  <si>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</si>
  <si>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</si>
  <si>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</si>
  <si>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</si>
  <si>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</si>
  <si>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</si>
  <si>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</si>
  <si>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</si>
  <si>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</si>
  <si>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</si>
  <si>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</si>
  <si>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</si>
  <si>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</si>
  <si>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</si>
  <si>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</si>
  <si>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</si>
  <si>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</si>
  <si>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</si>
  <si>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</si>
  <si>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</si>
  <si>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</si>
  <si>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</si>
  <si>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</si>
  <si>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</si>
  <si>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</si>
  <si>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</si>
  <si>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</si>
  <si>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</si>
  <si>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</si>
  <si>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</si>
  <si>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</si>
  <si>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</si>
  <si>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</si>
  <si>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</si>
  <si>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</si>
  <si>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</si>
  <si>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</si>
  <si>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</si>
  <si>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</si>
  <si>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</si>
  <si>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</si>
  <si>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</si>
  <si>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</si>
  <si>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</si>
  <si>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</si>
  <si>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</si>
  <si>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</si>
  <si>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</si>
  <si>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</si>
  <si>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</si>
  <si>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</si>
  <si>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</si>
  <si>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</si>
  <si>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</si>
  <si>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</si>
  <si>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</si>
  <si>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</si>
  <si>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</si>
  <si>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</si>
  <si>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</si>
  <si>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</si>
  <si>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</si>
  <si>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</si>
  <si>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</si>
  <si>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</si>
  <si>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</si>
  <si>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</si>
  <si>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</si>
  <si>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</si>
  <si>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</si>
  <si>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</si>
  <si>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</si>
  <si>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</si>
  <si>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</si>
  <si>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</si>
  <si>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</si>
  <si>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</si>
  <si>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</si>
  <si>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</si>
  <si>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</si>
  <si>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</si>
  <si>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</si>
  <si>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</si>
  <si>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</si>
  <si>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</si>
  <si>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</si>
  <si>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</si>
  <si>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</si>
  <si>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</si>
  <si>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</si>
  <si>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</si>
  <si>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</si>
  <si>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</si>
  <si>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</si>
  <si>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</si>
  <si>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</si>
  <si>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</si>
  <si>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</si>
  <si>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</si>
  <si>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</si>
  <si>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</si>
  <si>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</si>
  <si>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</si>
  <si>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</si>
  <si>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</si>
  <si>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</si>
  <si>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</si>
  <si>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</si>
  <si>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</si>
  <si>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</si>
  <si>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</si>
  <si>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</si>
  <si>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</si>
  <si>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</si>
  <si>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</si>
  <si>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</si>
  <si>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</si>
  <si>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</si>
  <si>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</si>
  <si>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</si>
  <si>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</si>
  <si>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</si>
  <si>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</si>
  <si>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</si>
  <si>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</si>
  <si>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</si>
  <si>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</si>
  <si>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</si>
  <si>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</si>
  <si>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</si>
  <si>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</si>
  <si>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</si>
  <si>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</si>
  <si>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</si>
  <si>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</si>
  <si>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</si>
  <si>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</si>
  <si>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</si>
  <si>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</si>
  <si>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</si>
  <si>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</si>
  <si>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</si>
  <si>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</si>
  <si>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</si>
  <si>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</si>
  <si>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</si>
  <si>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</si>
  <si>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</si>
  <si>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</si>
  <si>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</si>
  <si>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</si>
  <si>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</si>
  <si>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</si>
  <si>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</si>
  <si>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</si>
  <si>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</si>
  <si>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</si>
  <si>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</si>
  <si>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</si>
  <si>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</si>
  <si>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</si>
  <si>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</si>
  <si>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</si>
  <si>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</si>
  <si>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</si>
  <si>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</si>
  <si>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</si>
  <si>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</si>
  <si>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</si>
  <si>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</si>
  <si>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</si>
  <si>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</si>
  <si>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</si>
  <si>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</si>
  <si>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</si>
  <si>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</si>
  <si>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</si>
  <si>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</si>
  <si>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</si>
  <si>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</si>
  <si>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</si>
  <si>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</si>
  <si>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</si>
  <si>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</si>
  <si>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</si>
  <si>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</si>
  <si>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</si>
  <si>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</si>
  <si>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</si>
  <si>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</si>
  <si>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</si>
  <si>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</si>
  <si>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</si>
  <si>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</si>
  <si>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</si>
  <si>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</si>
  <si>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</si>
  <si>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</si>
  <si>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</si>
  <si>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</si>
  <si>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</si>
  <si>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</si>
  <si>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</si>
  <si>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</si>
  <si>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</si>
  <si>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</si>
  <si>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</si>
  <si>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</si>
  <si>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</si>
  <si>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</si>
  <si>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</si>
  <si>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</si>
  <si>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</si>
  <si>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</si>
  <si>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</si>
  <si>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</si>
  <si>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</si>
  <si>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</si>
  <si>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</si>
  <si>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</si>
  <si>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</si>
  <si>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</si>
  <si>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</si>
  <si>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</si>
  <si>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</si>
  <si>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</si>
  <si>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</si>
  <si>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</si>
  <si>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</si>
  <si>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</si>
  <si>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</si>
  <si>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</si>
  <si>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</si>
  <si>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</si>
  <si>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</si>
  <si>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</si>
  <si>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</si>
  <si>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</si>
  <si>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</si>
  <si>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</si>
  <si>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</si>
  <si>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</si>
  <si>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</si>
  <si>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</si>
  <si>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</si>
  <si>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</si>
  <si>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</si>
  <si>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</si>
  <si>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</si>
  <si>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</si>
  <si>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</si>
  <si>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</si>
  <si>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</si>
  <si>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</si>
  <si>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</si>
  <si>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</si>
  <si>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</si>
  <si>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</si>
  <si>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</si>
  <si>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</si>
  <si>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</si>
  <si>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</si>
  <si>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</si>
  <si>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</si>
  <si>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</si>
  <si>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</si>
  <si>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</si>
  <si>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</si>
  <si>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</si>
  <si>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</si>
  <si>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</si>
  <si>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</si>
  <si>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</si>
  <si>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</si>
  <si>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</si>
  <si>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</si>
  <si>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</si>
  <si>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</si>
  <si>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</si>
  <si>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</si>
  <si>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</si>
  <si>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</si>
  <si>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</si>
  <si>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</si>
  <si>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</si>
  <si>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</si>
  <si>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</si>
  <si>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</si>
  <si>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</si>
  <si>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</si>
  <si>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</si>
  <si>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</si>
  <si>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</si>
  <si>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</si>
  <si>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</si>
  <si>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</si>
  <si>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</si>
  <si>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</si>
  <si>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</si>
  <si>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</si>
  <si>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</si>
  <si>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</si>
  <si>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</si>
  <si>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</si>
  <si>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</si>
  <si>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</si>
  <si>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</si>
  <si>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</si>
  <si>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</si>
  <si>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</si>
  <si>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</si>
  <si>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</si>
  <si>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</si>
  <si>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</si>
  <si>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</si>
  <si>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</si>
  <si>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</si>
  <si>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</si>
  <si>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</si>
  <si>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</si>
  <si>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</si>
  <si>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</si>
  <si>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</si>
  <si>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</si>
  <si>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</si>
  <si>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</si>
  <si>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</si>
  <si>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</si>
  <si>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</si>
  <si>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</si>
  <si>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</si>
  <si>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</si>
  <si>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</si>
  <si>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</si>
  <si>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</si>
  <si>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</si>
  <si>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</si>
  <si>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</si>
  <si>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</si>
  <si>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</si>
  <si>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</si>
  <si>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</si>
  <si>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</si>
  <si>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</si>
  <si>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</si>
  <si>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</si>
  <si>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</si>
  <si>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</si>
  <si>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</si>
  <si>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</si>
  <si>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</si>
  <si>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</si>
  <si>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</si>
  <si>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</si>
  <si>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</si>
  <si>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</si>
  <si>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</si>
  <si>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</si>
  <si>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</si>
  <si>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</si>
  <si>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</si>
  <si>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</si>
  <si>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</si>
  <si>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</si>
  <si>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</si>
  <si>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</si>
  <si>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</si>
  <si>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</si>
  <si>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</si>
  <si>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</si>
  <si>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</si>
  <si>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</si>
  <si>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</si>
  <si>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</si>
  <si>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</si>
  <si>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</si>
  <si>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</si>
  <si>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</si>
  <si>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</si>
  <si>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</si>
  <si>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</si>
  <si>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</si>
  <si>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</si>
  <si>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</si>
  <si>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</si>
  <si>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</si>
  <si>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</si>
  <si>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</si>
  <si>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</si>
  <si>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</si>
  <si>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</si>
  <si>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</si>
  <si>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</si>
  <si>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</si>
  <si>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</si>
  <si>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</si>
  <si>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</si>
  <si>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</si>
  <si>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</si>
  <si>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</si>
  <si>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</si>
  <si>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</si>
  <si>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</si>
  <si>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</si>
  <si>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</si>
  <si>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</si>
  <si>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</si>
  <si>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</si>
  <si>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</si>
  <si>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</si>
  <si>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</si>
  <si>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</si>
  <si>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</si>
  <si>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</si>
  <si>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</si>
  <si>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</si>
  <si>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</si>
  <si>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</si>
  <si>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</si>
  <si>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</si>
  <si>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</si>
  <si>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</si>
  <si>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</si>
  <si>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</si>
  <si>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</si>
  <si>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</si>
  <si>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</si>
  <si>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</si>
  <si>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</si>
  <si>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</si>
  <si>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</si>
  <si>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</si>
  <si>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</si>
  <si>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</si>
  <si>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</si>
  <si>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</si>
  <si>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</si>
  <si>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</si>
  <si>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</si>
  <si>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</si>
  <si>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</si>
  <si>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</si>
  <si>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</si>
  <si>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</si>
  <si>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</si>
  <si>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</si>
  <si>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</si>
  <si>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</si>
  <si>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</si>
  <si>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</si>
  <si>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</si>
  <si>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</si>
  <si>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</si>
  <si>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</si>
  <si>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</si>
  <si>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</si>
  <si>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</si>
  <si>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</si>
  <si>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</si>
  <si>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</si>
  <si>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</si>
  <si>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</si>
  <si>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</si>
  <si>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</si>
  <si>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</si>
  <si>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</si>
  <si>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</si>
  <si>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</si>
  <si>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</si>
  <si>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</si>
  <si>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</si>
  <si>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</si>
  <si>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</si>
  <si>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</si>
  <si>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</si>
  <si>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</si>
  <si>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</si>
  <si>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</si>
  <si>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</si>
  <si>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</si>
  <si>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</si>
  <si>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</si>
  <si>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</si>
  <si>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</si>
  <si>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</si>
  <si>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</si>
  <si>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</si>
  <si>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</si>
  <si>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</si>
  <si>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</si>
  <si>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</si>
  <si>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</si>
  <si>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</si>
  <si>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</si>
  <si>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</si>
  <si>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</si>
  <si>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</si>
  <si>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</si>
  <si>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</si>
  <si>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</si>
  <si>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</si>
  <si>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</si>
  <si>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</si>
  <si>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</si>
  <si>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</si>
  <si>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</si>
  <si>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</si>
  <si>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</si>
  <si>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</si>
  <si>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</si>
  <si>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</si>
  <si>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</si>
  <si>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</si>
  <si>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</si>
  <si>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</si>
  <si>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</si>
  <si>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</si>
  <si>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</si>
  <si>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</si>
  <si>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</si>
  <si>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</si>
  <si>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</si>
  <si>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</si>
  <si>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</si>
  <si>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</si>
  <si>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</si>
  <si>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</si>
  <si>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</si>
  <si>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</si>
  <si>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</si>
  <si>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</si>
  <si>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</si>
  <si>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</si>
  <si>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</si>
  <si>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</si>
  <si>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</si>
  <si>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</si>
  <si>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</si>
  <si>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</si>
  <si>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</si>
  <si>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</si>
  <si>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</si>
  <si>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</si>
  <si>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</si>
  <si>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</si>
  <si>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</si>
  <si>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</si>
  <si>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</si>
  <si>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</si>
  <si>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</si>
  <si>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</si>
  <si>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</si>
  <si>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</si>
  <si>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</si>
  <si>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</si>
  <si>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</si>
  <si>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</si>
  <si>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</si>
  <si>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</si>
  <si>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</si>
  <si>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</si>
  <si>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</si>
  <si>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</si>
  <si>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</si>
  <si>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</si>
  <si>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</si>
  <si>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</si>
  <si>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</si>
  <si>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</si>
  <si>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</si>
  <si>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</si>
  <si>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</si>
  <si>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</si>
  <si>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</si>
  <si>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</si>
  <si>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</si>
  <si>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</si>
  <si>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</si>
  <si>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</si>
  <si>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</si>
  <si>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</si>
  <si>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</si>
  <si>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</si>
  <si>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</si>
  <si>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</si>
  <si>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</si>
  <si>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</si>
  <si>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</si>
  <si>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</si>
  <si>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</si>
  <si>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</si>
  <si>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</si>
  <si>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</si>
  <si>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</si>
  <si>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</si>
  <si>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</si>
  <si>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</si>
  <si>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</si>
  <si>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</si>
  <si>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</si>
  <si>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</si>
  <si>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</si>
  <si>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</si>
  <si>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</si>
  <si>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</si>
  <si>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</si>
  <si>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</si>
  <si>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</si>
  <si>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</si>
  <si>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</si>
  <si>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</si>
  <si>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</si>
  <si>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</si>
  <si>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</si>
  <si>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</si>
  <si>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</si>
  <si>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</si>
  <si>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</si>
  <si>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</si>
  <si>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</si>
  <si>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</si>
  <si>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</si>
  <si>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</si>
  <si>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</si>
  <si>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</si>
  <si>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</si>
  <si>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</si>
  <si>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</si>
  <si>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</si>
  <si>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</si>
  <si>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</si>
  <si>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</si>
  <si>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</si>
  <si>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</si>
  <si>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</si>
  <si>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</si>
  <si>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</si>
  <si>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</si>
  <si>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</si>
  <si>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</si>
  <si>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</si>
  <si>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</si>
  <si>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</si>
  <si>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</si>
  <si>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</si>
  <si>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</si>
  <si>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</si>
  <si>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</si>
  <si>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</si>
  <si>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</si>
  <si>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</si>
  <si>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</si>
  <si>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</si>
  <si>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</si>
  <si>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</si>
  <si>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</si>
  <si>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</si>
  <si>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</si>
  <si>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</si>
  <si>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</si>
  <si>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</si>
  <si>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</si>
  <si>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</si>
  <si>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</si>
  <si>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</si>
  <si>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</si>
  <si>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</si>
  <si>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</si>
  <si>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</si>
  <si>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</si>
  <si>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</si>
  <si>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</si>
  <si>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</si>
  <si>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</si>
  <si>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</si>
  <si>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</si>
  <si>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</si>
  <si>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</si>
  <si>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</si>
  <si>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</si>
  <si>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</si>
  <si>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</si>
  <si>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</si>
  <si>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</si>
  <si>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</si>
  <si>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</si>
  <si>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</si>
  <si>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</si>
  <si>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</si>
  <si>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</si>
  <si>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</si>
  <si>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</si>
  <si>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</si>
  <si>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</si>
  <si>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</si>
  <si>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</si>
  <si>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</si>
  <si>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</si>
  <si>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</si>
  <si>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</si>
  <si>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</si>
  <si>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</si>
  <si>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</si>
  <si>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</si>
  <si>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</si>
  <si>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</si>
  <si>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</si>
  <si>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</si>
  <si>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</si>
  <si>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</si>
  <si>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</si>
  <si>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</si>
  <si>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</si>
  <si>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</si>
  <si>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</si>
  <si>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</si>
  <si>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</si>
  <si>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</si>
  <si>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</si>
  <si>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</si>
  <si>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</si>
  <si>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</si>
  <si>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</si>
  <si>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</si>
  <si>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</si>
  <si>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</si>
  <si>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</si>
  <si>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</si>
  <si>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</si>
  <si>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</si>
  <si>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</si>
  <si>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</si>
  <si>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</si>
  <si>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</si>
  <si>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</si>
  <si>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</si>
  <si>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</si>
  <si>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</si>
  <si>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</si>
  <si>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</si>
  <si>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</si>
  <si>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</si>
  <si>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</si>
  <si>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</si>
  <si>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</si>
  <si>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</si>
  <si>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</si>
  <si>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</si>
  <si>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</si>
  <si>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</si>
  <si>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</si>
  <si>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</si>
  <si>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</si>
  <si>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</si>
  <si>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</si>
  <si>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</si>
  <si>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</si>
  <si>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</si>
  <si>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</si>
  <si>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</si>
  <si>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</si>
  <si>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</si>
  <si>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</si>
  <si>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</si>
  <si>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</si>
  <si>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</si>
  <si>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</si>
  <si>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</si>
  <si>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</si>
  <si>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</si>
  <si>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</si>
  <si>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</si>
  <si>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</si>
  <si>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</si>
  <si>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</si>
  <si>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</si>
  <si>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</si>
  <si>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</si>
  <si>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</si>
  <si>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</si>
  <si>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</si>
  <si>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</si>
  <si>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</si>
  <si>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</si>
  <si>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</si>
  <si>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</si>
  <si>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</si>
  <si>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</si>
  <si>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</si>
  <si>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</si>
  <si>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</si>
  <si>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</si>
  <si>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</si>
  <si>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</si>
  <si>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</si>
  <si>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</si>
  <si>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</si>
  <si>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</si>
  <si>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</si>
  <si>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</si>
  <si>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</si>
  <si>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</si>
  <si>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</si>
  <si>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</si>
  <si>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</si>
  <si>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</si>
  <si>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</si>
  <si>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</si>
  <si>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</si>
  <si>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</si>
  <si>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</si>
  <si>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</si>
  <si>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</si>
  <si>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</si>
  <si>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</si>
  <si>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</si>
  <si>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</si>
  <si>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</si>
  <si>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</si>
  <si>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</si>
  <si>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</si>
  <si>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</si>
  <si>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</si>
  <si>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</si>
  <si>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</si>
  <si>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</si>
  <si>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</si>
  <si>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</si>
  <si>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</si>
  <si>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</si>
  <si>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</si>
  <si>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</si>
  <si>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</si>
  <si>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</si>
  <si>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</si>
  <si>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</si>
  <si>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</si>
  <si>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</si>
  <si>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</si>
  <si>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</si>
  <si>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</si>
  <si>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</si>
  <si>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</si>
  <si>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</si>
  <si>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</si>
  <si>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</si>
  <si>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</si>
  <si>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</si>
  <si>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</si>
  <si>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</si>
  <si>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</si>
  <si>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</si>
  <si>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</si>
  <si>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</si>
  <si>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</si>
  <si>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</si>
  <si>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</si>
  <si>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</si>
  <si>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</si>
  <si>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</si>
  <si>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</si>
  <si>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</si>
  <si>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</si>
  <si>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</si>
  <si>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</si>
  <si>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</si>
  <si>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</si>
  <si>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</si>
  <si>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</si>
  <si>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</si>
  <si>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</si>
  <si>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</si>
  <si>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</si>
  <si>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</si>
  <si>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</si>
  <si>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</si>
  <si>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</si>
  <si>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</si>
  <si>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</si>
  <si>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</si>
  <si>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</si>
  <si>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</si>
  <si>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</si>
  <si>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</si>
  <si>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</si>
  <si>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</si>
  <si>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</si>
  <si>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</si>
  <si>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</si>
  <si>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</si>
  <si>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</si>
  <si>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</si>
  <si>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</si>
  <si>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</si>
  <si>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</si>
  <si>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</si>
  <si>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</si>
  <si>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</si>
  <si>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</si>
  <si>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</si>
  <si>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</si>
  <si>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</si>
  <si>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</si>
  <si>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</si>
  <si>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</si>
  <si>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</si>
  <si>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</si>
  <si>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</si>
  <si>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</si>
  <si>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</si>
  <si>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</si>
  <si>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</si>
  <si>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</si>
  <si>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</si>
  <si>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</si>
  <si>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</si>
  <si>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</si>
  <si>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</si>
  <si>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</si>
  <si>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</si>
  <si>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</si>
  <si>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</si>
  <si>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</si>
  <si>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</si>
  <si>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</si>
  <si>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</si>
  <si>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</si>
  <si>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</si>
  <si>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</si>
  <si>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</si>
  <si>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</si>
  <si>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</si>
  <si>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</si>
  <si>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</si>
  <si>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</si>
  <si>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</si>
  <si>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</si>
  <si>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</si>
  <si>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</si>
  <si>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</si>
  <si>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</si>
  <si>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</si>
  <si>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</si>
  <si>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</si>
  <si>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</si>
  <si>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</si>
  <si>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</si>
  <si>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</si>
  <si>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</si>
  <si>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</si>
  <si>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</si>
  <si>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</si>
  <si>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</si>
  <si>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</si>
  <si>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</si>
  <si>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</si>
  <si>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</si>
  <si>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</si>
  <si>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</si>
  <si>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</si>
  <si>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</si>
  <si>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</si>
  <si>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</si>
  <si>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</si>
  <si>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</si>
  <si>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</si>
  <si>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</si>
  <si>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</si>
  <si>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</si>
  <si>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</si>
  <si>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</si>
  <si>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</si>
  <si>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</si>
  <si>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</si>
  <si>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</si>
  <si>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</si>
  <si>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</si>
  <si>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</si>
  <si>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</si>
  <si>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</si>
  <si>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</si>
  <si>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</si>
  <si>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</si>
  <si>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</si>
  <si>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</si>
  <si>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</si>
  <si>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</si>
  <si>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</si>
  <si>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</si>
  <si>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</si>
  <si>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</si>
  <si>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</si>
  <si>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</si>
  <si>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</si>
  <si>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</si>
  <si>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</si>
  <si>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</si>
  <si>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</si>
  <si>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</si>
  <si>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</si>
  <si>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</si>
  <si>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</si>
  <si>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</si>
  <si>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</si>
  <si>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</si>
  <si>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</si>
  <si>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</si>
  <si>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</si>
  <si>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</si>
  <si>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</si>
  <si>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</si>
  <si>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</si>
  <si>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</si>
  <si>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</si>
  <si>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</si>
  <si>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</si>
  <si>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</si>
  <si>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</si>
  <si>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</si>
  <si>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</si>
  <si>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</si>
  <si>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</si>
  <si>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</si>
  <si>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</si>
  <si>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</si>
  <si>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</si>
  <si>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</si>
  <si>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</si>
  <si>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</si>
  <si>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</si>
  <si>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</si>
  <si>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</si>
  <si>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</si>
  <si>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</si>
  <si>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</si>
  <si>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</si>
  <si>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</si>
  <si>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</si>
  <si>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</si>
  <si>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</si>
  <si>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</si>
  <si>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</si>
  <si>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</si>
  <si>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</si>
  <si>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</si>
  <si>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</si>
  <si>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</si>
  <si>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</si>
  <si>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</si>
  <si>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</si>
  <si>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</si>
  <si>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</si>
  <si>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</si>
  <si>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</si>
  <si>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</si>
  <si>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</si>
  <si>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</si>
  <si>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</si>
  <si>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</si>
  <si>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</si>
  <si>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</si>
  <si>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</si>
  <si>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</si>
  <si>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</si>
  <si>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</si>
  <si>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</si>
  <si>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</si>
  <si>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</si>
  <si>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</si>
  <si>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</si>
  <si>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</si>
  <si>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</si>
  <si>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</si>
  <si>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</si>
  <si>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</si>
  <si>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</si>
  <si>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</si>
  <si>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</si>
  <si>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</si>
  <si>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</si>
  <si>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</si>
  <si>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</si>
  <si>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</si>
  <si>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</si>
  <si>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</si>
  <si>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</si>
  <si>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</si>
  <si>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</si>
  <si>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</si>
  <si>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</si>
  <si>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</si>
  <si>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</si>
  <si>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</si>
  <si>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</si>
  <si>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</si>
  <si>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</si>
  <si>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</si>
  <si>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</si>
  <si>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</si>
  <si>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</si>
  <si>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</si>
  <si>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</si>
  <si>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</si>
  <si>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</si>
  <si>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</si>
  <si>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</si>
  <si>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</si>
  <si>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</si>
  <si>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</si>
  <si>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</si>
  <si>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</si>
  <si>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</si>
  <si>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</si>
  <si>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</si>
  <si>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</si>
  <si>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</si>
  <si>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</si>
  <si>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</si>
  <si>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</si>
  <si>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</si>
  <si>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</si>
  <si>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</si>
  <si>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</si>
  <si>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</si>
  <si>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</si>
  <si>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</si>
  <si>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</si>
  <si>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</si>
  <si>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</si>
  <si>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</si>
  <si>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</si>
  <si>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</si>
  <si>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</si>
  <si>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</si>
  <si>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</si>
  <si>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</si>
  <si>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</si>
  <si>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</si>
  <si>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</si>
  <si>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</si>
  <si>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</si>
  <si>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</si>
  <si>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</si>
  <si>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</si>
  <si>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</si>
  <si>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</si>
  <si>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</si>
  <si>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</si>
  <si>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</si>
  <si>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</si>
  <si>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</si>
  <si>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</si>
  <si>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</si>
  <si>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</si>
  <si>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</si>
  <si>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</si>
  <si>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</si>
  <si>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</si>
  <si>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</si>
  <si>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</si>
  <si>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</si>
  <si>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</si>
  <si>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</si>
  <si>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</si>
  <si>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</si>
  <si>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</si>
  <si>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</si>
  <si>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</si>
  <si>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</si>
  <si>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</si>
  <si>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</si>
  <si>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</si>
  <si>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</si>
  <si>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</si>
  <si>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</si>
  <si>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</si>
  <si>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</si>
  <si>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</si>
  <si>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</si>
  <si>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</si>
  <si>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</si>
  <si>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</si>
  <si>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</si>
  <si>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</si>
  <si>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</si>
  <si>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</si>
  <si>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</si>
  <si>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</si>
  <si>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</si>
  <si>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</si>
  <si>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</si>
  <si>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</si>
  <si>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</si>
  <si>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</si>
  <si>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</si>
  <si>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</si>
  <si>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</si>
  <si>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</si>
  <si>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</si>
  <si>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</si>
  <si>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</si>
  <si>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</si>
  <si>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</si>
  <si>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</si>
  <si>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</si>
  <si>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</si>
  <si>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</si>
  <si>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</si>
  <si>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</si>
  <si>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</si>
  <si>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</si>
  <si>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</si>
  <si>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</si>
  <si>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</si>
  <si>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</si>
  <si>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</si>
  <si>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</si>
  <si>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</si>
  <si>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</si>
  <si>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</si>
  <si>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</si>
  <si>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</si>
  <si>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</si>
  <si>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</si>
  <si>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</si>
  <si>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</si>
  <si>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</si>
  <si>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</si>
  <si>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</si>
  <si>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</si>
  <si>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</si>
  <si>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</si>
  <si>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</si>
  <si>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</si>
  <si>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</si>
  <si>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</si>
  <si>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</si>
  <si>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</si>
  <si>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</si>
  <si>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</si>
  <si>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</si>
  <si>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</si>
  <si>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</si>
  <si>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</si>
  <si>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</si>
  <si>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</si>
  <si>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</si>
  <si>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</si>
  <si>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</si>
  <si>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</si>
  <si>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</si>
  <si>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</si>
  <si>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</si>
  <si>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</si>
  <si>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</si>
  <si>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</si>
  <si>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</si>
  <si>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</si>
  <si>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</si>
  <si>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</si>
  <si>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</si>
  <si>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</si>
  <si>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</si>
  <si>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</si>
  <si>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</si>
  <si>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</si>
  <si>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</si>
  <si>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</si>
  <si>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</si>
  <si>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</si>
  <si>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</si>
  <si>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</si>
  <si>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</si>
  <si>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</si>
  <si>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</si>
  <si>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</si>
  <si>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</si>
  <si>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</si>
  <si>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</si>
  <si>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</si>
  <si>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</si>
  <si>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</si>
  <si>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</si>
  <si>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</si>
  <si>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</si>
  <si>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</si>
  <si>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</si>
  <si>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</si>
  <si>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</si>
  <si>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</si>
  <si>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</si>
  <si>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</si>
  <si>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</si>
  <si>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</si>
  <si>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</si>
  <si>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</si>
  <si>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</si>
  <si>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</si>
  <si>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</si>
  <si>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</si>
  <si>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</si>
  <si>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</si>
  <si>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</si>
  <si>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</si>
  <si>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</si>
  <si>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</si>
  <si>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</si>
  <si>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</si>
  <si>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</si>
  <si>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</si>
  <si>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</si>
  <si>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</si>
  <si>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</si>
  <si>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</si>
  <si>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</si>
  <si>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</si>
  <si>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</si>
  <si>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</si>
  <si>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</si>
  <si>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</si>
  <si>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</si>
  <si>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</si>
  <si>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</si>
  <si>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</si>
  <si>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</si>
  <si>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</si>
  <si>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</si>
  <si>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</si>
  <si>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</si>
  <si>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</si>
  <si>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</si>
  <si>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</si>
  <si>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</si>
  <si>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</si>
  <si>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</si>
  <si>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</si>
  <si>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</si>
  <si>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</si>
  <si>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</si>
  <si>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</si>
  <si>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</si>
  <si>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</si>
  <si>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</si>
  <si>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</si>
  <si>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</si>
  <si>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</si>
  <si>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</si>
  <si>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</si>
  <si>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</si>
  <si>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</si>
  <si>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</si>
  <si>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</si>
  <si>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</si>
  <si>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</si>
  <si>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</si>
  <si>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</si>
  <si>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</si>
  <si>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</si>
  <si>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</si>
  <si>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</si>
  <si>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</si>
  <si>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</si>
  <si>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</si>
  <si>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</si>
  <si>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</si>
  <si>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</si>
  <si>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</si>
  <si>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</si>
  <si>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</si>
  <si>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</si>
  <si>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</si>
  <si>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</si>
  <si>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</si>
  <si>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</si>
  <si>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</si>
  <si>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</si>
  <si>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</si>
  <si>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</si>
  <si>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</si>
  <si>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</si>
  <si>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</si>
  <si>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</si>
  <si>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</si>
  <si>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</si>
  <si>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</si>
  <si>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</si>
  <si>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</si>
  <si>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</si>
  <si>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</si>
  <si>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</si>
  <si>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</si>
  <si>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</si>
  <si>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</si>
  <si>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</si>
  <si>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</si>
  <si>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</si>
  <si>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</si>
  <si>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</si>
  <si>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</si>
  <si>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</si>
  <si>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</si>
  <si>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</si>
  <si>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</si>
  <si>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</si>
  <si>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</si>
  <si>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</si>
  <si>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</si>
  <si>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</si>
  <si>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</si>
  <si>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</si>
  <si>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</si>
  <si>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</si>
  <si>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</si>
  <si>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</si>
  <si>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</si>
  <si>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</si>
  <si>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</si>
  <si>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</si>
  <si>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</si>
  <si>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</si>
  <si>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</si>
  <si>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</si>
  <si>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</si>
  <si>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</si>
  <si>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</si>
  <si>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</si>
  <si>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</si>
  <si>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</si>
  <si>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</si>
  <si>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</si>
  <si>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</si>
  <si>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</si>
  <si>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</si>
  <si>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</si>
  <si>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</si>
  <si>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</si>
  <si>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</si>
  <si>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</si>
  <si>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</si>
  <si>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</si>
  <si>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</si>
  <si>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</si>
  <si>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</si>
  <si>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</si>
  <si>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</si>
  <si>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</si>
  <si>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</si>
  <si>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</si>
  <si>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</si>
  <si>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</si>
  <si>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</si>
  <si>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</si>
  <si>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</si>
  <si>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</si>
  <si>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</si>
  <si>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</si>
  <si>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</si>
  <si>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</si>
  <si>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</si>
  <si>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</si>
  <si>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</si>
  <si>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</si>
  <si>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</si>
  <si>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</si>
  <si>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</si>
  <si>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</si>
  <si>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</si>
  <si>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</si>
  <si>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</si>
  <si>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</si>
  <si>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</si>
  <si>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</si>
  <si>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</si>
  <si>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</si>
  <si>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</si>
  <si>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</si>
  <si>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</si>
  <si>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</si>
  <si>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</si>
  <si>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</si>
  <si>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</si>
  <si>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</si>
  <si>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</si>
  <si>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</si>
  <si>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</si>
  <si>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</si>
  <si>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</si>
  <si>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</si>
  <si>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</si>
  <si>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</si>
  <si>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</si>
  <si>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</si>
  <si>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</si>
  <si>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</si>
  <si>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</si>
  <si>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</si>
  <si>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</si>
  <si>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</si>
  <si>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</si>
  <si>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</si>
  <si>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</si>
  <si>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</si>
  <si>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</si>
  <si>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</si>
  <si>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</si>
  <si>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</si>
  <si>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</si>
  <si>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</si>
  <si>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</si>
  <si>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</si>
  <si>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</si>
  <si>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</si>
  <si>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</si>
  <si>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</si>
  <si>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</si>
  <si>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</si>
  <si>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</si>
  <si>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</si>
  <si>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</si>
  <si>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</si>
  <si>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</si>
  <si>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</si>
  <si>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</si>
  <si>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</si>
  <si>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</si>
  <si>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</si>
  <si>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</si>
  <si>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</si>
  <si>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</si>
  <si>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</si>
  <si>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</si>
  <si>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</si>
  <si>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</si>
  <si>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</si>
  <si>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</si>
  <si>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</si>
  <si>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</si>
  <si>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</si>
  <si>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</si>
  <si>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</si>
  <si>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</si>
  <si>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</si>
  <si>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</si>
  <si>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</si>
  <si>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</si>
  <si>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</si>
  <si>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</si>
  <si>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</si>
  <si>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</si>
  <si>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</si>
  <si>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</si>
  <si>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</si>
  <si>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</si>
  <si>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</si>
  <si>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</si>
  <si>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</si>
  <si>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</si>
  <si>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</si>
  <si>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</si>
  <si>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</si>
  <si>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</si>
  <si>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</si>
  <si>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</si>
  <si>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</si>
  <si>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</si>
  <si>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</si>
  <si>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</si>
  <si>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</si>
  <si>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</si>
  <si>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</si>
  <si>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</si>
  <si>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</si>
  <si>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</si>
  <si>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</si>
  <si>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</si>
  <si>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</si>
  <si>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</si>
  <si>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</si>
  <si>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</si>
  <si>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</si>
  <si>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</si>
  <si>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</si>
  <si>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</si>
  <si>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</si>
  <si>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</si>
  <si>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</si>
  <si>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</si>
  <si>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</si>
  <si>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</si>
  <si>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</si>
  <si>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</si>
  <si>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</si>
  <si>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</si>
  <si>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</si>
  <si>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</si>
  <si>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</si>
  <si>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</si>
  <si>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</si>
  <si>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</si>
  <si>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</si>
  <si>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</si>
  <si>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</si>
  <si>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</si>
  <si>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</si>
  <si>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</si>
  <si>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</si>
  <si>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</si>
  <si>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</si>
  <si>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</si>
  <si>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</si>
  <si>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</si>
  <si>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</si>
  <si>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</si>
  <si>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</si>
  <si>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</si>
  <si>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</si>
  <si>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</si>
  <si>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</si>
  <si>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</si>
  <si>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</si>
  <si>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</si>
  <si>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</si>
  <si>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</si>
  <si>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</si>
  <si>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</si>
  <si>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</si>
  <si>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</si>
  <si>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</si>
  <si>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</si>
  <si>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</si>
  <si>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</si>
  <si>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</si>
  <si>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</si>
  <si>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</si>
  <si>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</si>
  <si>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</si>
  <si>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</si>
  <si>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</si>
  <si>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</si>
  <si>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</si>
  <si>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</si>
  <si>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</si>
  <si>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</si>
  <si>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</si>
  <si>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</si>
  <si>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</si>
  <si>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</si>
  <si>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</si>
  <si>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</si>
  <si>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</si>
  <si>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</si>
  <si>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</si>
  <si>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</si>
  <si>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</si>
  <si>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</si>
  <si>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</si>
  <si>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</si>
  <si>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</si>
  <si>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</si>
  <si>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</si>
  <si>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</si>
  <si>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</si>
  <si>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</si>
  <si>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</si>
  <si>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</si>
  <si>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</si>
  <si>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</si>
  <si>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</si>
  <si>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</si>
  <si>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</si>
  <si>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</si>
  <si>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</si>
  <si>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</si>
  <si>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</si>
  <si>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</si>
  <si>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</si>
  <si>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</si>
  <si>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</si>
  <si>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</si>
  <si>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</si>
  <si>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</si>
  <si>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</si>
  <si>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</si>
  <si>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</si>
  <si>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</si>
  <si>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</si>
  <si>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</si>
  <si>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</si>
  <si>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</si>
  <si>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</si>
  <si>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</si>
  <si>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</si>
  <si>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</si>
  <si>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</si>
  <si>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</si>
  <si>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</si>
  <si>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</si>
  <si>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</si>
  <si>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</si>
  <si>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</si>
  <si>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</si>
  <si>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</si>
  <si>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</si>
  <si>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</si>
  <si>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</si>
  <si>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</si>
  <si>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</si>
  <si>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</si>
  <si>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</si>
  <si>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</si>
  <si>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</si>
  <si>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</si>
  <si>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</si>
  <si>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</si>
  <si>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</si>
  <si>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</si>
  <si>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</si>
  <si>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</si>
  <si>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</si>
  <si>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</si>
  <si>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</si>
  <si>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</si>
  <si>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</si>
  <si>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</si>
  <si>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</si>
  <si>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</si>
  <si>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</si>
  <si>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</si>
  <si>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</si>
  <si>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</si>
  <si>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</si>
  <si>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</si>
  <si>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</si>
  <si>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</si>
  <si>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</si>
  <si>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</si>
  <si>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</si>
  <si>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</si>
  <si>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</si>
  <si>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</si>
  <si>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</si>
  <si>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</si>
  <si>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</si>
  <si>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</si>
  <si>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</si>
  <si>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</si>
  <si>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</si>
  <si>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</si>
  <si>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</si>
  <si>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</si>
  <si>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</si>
  <si>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</si>
  <si>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</si>
  <si>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</si>
  <si>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</si>
  <si>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</si>
  <si>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</si>
  <si>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</si>
  <si>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</si>
  <si>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</si>
  <si>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</si>
  <si>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</si>
  <si>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</si>
  <si>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</si>
  <si>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</si>
  <si>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</si>
  <si>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</si>
  <si>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</si>
  <si>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</si>
  <si>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</si>
  <si>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</si>
  <si>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</si>
  <si>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</si>
  <si>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</si>
  <si>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</si>
  <si>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</si>
  <si>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</si>
  <si>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</si>
  <si>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</si>
  <si>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</si>
  <si>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</si>
  <si>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</si>
  <si>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</si>
  <si>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</si>
  <si>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</si>
  <si>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</si>
  <si>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</si>
  <si>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</si>
  <si>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</si>
  <si>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</si>
  <si>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</si>
  <si>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</si>
  <si>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</si>
  <si>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</si>
  <si>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</si>
  <si>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</si>
  <si>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</si>
  <si>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</si>
  <si>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</si>
  <si>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</si>
  <si>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</si>
  <si>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</si>
  <si>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</si>
  <si>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</si>
  <si>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</si>
  <si>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</si>
  <si>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</si>
  <si>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</si>
  <si>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</si>
  <si>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</si>
  <si>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</si>
  <si>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</si>
  <si>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</si>
  <si>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</si>
  <si>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</si>
  <si>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</si>
  <si>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</si>
  <si>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</si>
  <si>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</si>
  <si>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</si>
  <si>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</si>
  <si>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</si>
  <si>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</si>
  <si>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</si>
  <si>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</si>
  <si>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</si>
  <si>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</si>
  <si>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</si>
  <si>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</si>
  <si>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</si>
  <si>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</si>
  <si>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</si>
  <si>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</si>
  <si>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</si>
  <si>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</si>
  <si>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</si>
  <si>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</si>
  <si>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</si>
  <si>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</si>
  <si>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</si>
  <si>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</si>
  <si>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</si>
  <si>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</si>
  <si>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</si>
  <si>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</si>
  <si>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</si>
  <si>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</si>
  <si>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</si>
  <si>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</si>
  <si>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</si>
  <si>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</si>
  <si>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</si>
  <si>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</si>
  <si>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</si>
  <si>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</si>
  <si>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</si>
  <si>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</si>
  <si>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</si>
  <si>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</si>
  <si>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</si>
  <si>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</si>
  <si>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</si>
  <si>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</si>
  <si>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</si>
  <si>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</si>
  <si>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</si>
  <si>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</si>
  <si>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</si>
  <si>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</si>
  <si>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</si>
  <si>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</si>
  <si>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</si>
  <si>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</si>
  <si>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</si>
  <si>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</si>
  <si>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</si>
  <si>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</si>
  <si>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</si>
  <si>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</si>
  <si>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</si>
  <si>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</si>
  <si>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</si>
  <si>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</si>
  <si>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</si>
  <si>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</si>
  <si>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</si>
  <si>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</si>
  <si>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</si>
  <si>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</si>
  <si>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</si>
  <si>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</si>
  <si>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</si>
  <si>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</si>
  <si>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</si>
  <si>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</si>
  <si>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</si>
  <si>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</si>
  <si>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</si>
  <si>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</si>
  <si>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</si>
  <si>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</si>
  <si>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</si>
  <si>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</si>
  <si>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</si>
  <si>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</si>
  <si>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</si>
  <si>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</si>
  <si>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</si>
  <si>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</si>
  <si>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</si>
  <si>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</si>
  <si>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</si>
  <si>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</si>
  <si>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</si>
  <si>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</si>
  <si>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</si>
  <si>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</si>
  <si>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</si>
  <si>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</si>
  <si>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</si>
  <si>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</si>
  <si>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</si>
  <si>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</si>
  <si>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</si>
  <si>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</si>
  <si>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</si>
  <si>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</si>
  <si>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</si>
  <si>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</si>
  <si>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</si>
  <si>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</si>
  <si>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</si>
  <si>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</si>
  <si>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</si>
  <si>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</si>
  <si>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</si>
  <si>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</si>
  <si>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</si>
  <si>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</si>
  <si>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</si>
  <si>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</si>
  <si>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</si>
  <si>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</si>
  <si>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</si>
  <si>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</si>
  <si>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</si>
  <si>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</si>
  <si>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</si>
  <si>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</si>
  <si>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</si>
  <si>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</si>
  <si>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</si>
  <si>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</si>
  <si>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</si>
  <si>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</si>
  <si>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</si>
  <si>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</si>
  <si>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</si>
  <si>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</si>
  <si>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</si>
  <si>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</si>
  <si>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</si>
  <si>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</si>
  <si>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</si>
  <si>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</si>
  <si>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</si>
  <si>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</si>
  <si>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</si>
  <si>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</si>
  <si>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</si>
  <si>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</si>
  <si>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</si>
  <si>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</si>
  <si>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</si>
  <si>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</si>
  <si>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</si>
  <si>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</si>
  <si>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</si>
  <si>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</si>
  <si>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</si>
  <si>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</si>
  <si>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</si>
  <si>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</si>
  <si>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</si>
  <si>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</si>
  <si>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</si>
  <si>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</si>
  <si>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</si>
  <si>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</si>
  <si>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</si>
  <si>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</si>
  <si>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</si>
  <si>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</si>
  <si>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</si>
  <si>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</si>
  <si>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</si>
  <si>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</si>
  <si>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</si>
  <si>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</si>
  <si>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</si>
  <si>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</si>
  <si>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</si>
  <si>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</si>
  <si>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</si>
  <si>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</si>
  <si>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</si>
  <si>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</si>
  <si>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</si>
  <si>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</si>
  <si>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</si>
  <si>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</si>
  <si>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</si>
  <si>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</si>
  <si>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</si>
  <si>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</si>
  <si>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</si>
  <si>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</si>
  <si>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</si>
  <si>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</si>
  <si>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</si>
  <si>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</si>
  <si>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</si>
  <si>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</si>
  <si>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</si>
  <si>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</si>
  <si>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</si>
  <si>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</si>
  <si>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Toby Boxes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</si>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</sst>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3" fontId="45" fillId="20" borderId="20"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361219675928" createdVersion="8" refreshedVersion="8" minRefreshableVersion="3" recordCount="2660"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36122013889"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361220138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36122013889" createdVersion="8" refreshedVersion="8" minRefreshableVersion="3" recordCount="266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361220254628"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12-17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r>
  <r>
    <x v="356"/>
    <x v="26"/>
    <x v="257"/>
    <n v="363"/>
    <m/>
    <m/>
  </r>
  <r>
    <x v="349"/>
    <x v="29"/>
    <x v="257"/>
    <n v="696"/>
    <m/>
    <s v="9 Toby Boxes / 6 Daps / 51 Splices"/>
  </r>
  <r>
    <x v="307"/>
    <x v="5"/>
    <x v="257"/>
    <n v="253"/>
    <m/>
    <m/>
  </r>
  <r>
    <x v="358"/>
    <x v="5"/>
    <x v="258"/>
    <m/>
    <m/>
    <s v="FDH"/>
  </r>
  <r>
    <x v="359"/>
    <x v="1"/>
    <x v="258"/>
    <m/>
    <m/>
    <s v="Toby Boxes"/>
  </r>
  <r>
    <x v="356"/>
    <x v="26"/>
    <x v="258"/>
    <m/>
    <m/>
    <m/>
  </r>
  <r>
    <x v="349"/>
    <x v="29"/>
    <x v="258"/>
    <m/>
    <m/>
    <m/>
  </r>
  <r>
    <x v="357"/>
    <x v="29"/>
    <x v="258"/>
    <m/>
    <m/>
    <m/>
  </r>
  <r>
    <x v="125"/>
    <x v="15"/>
    <x v="259"/>
    <m/>
    <m/>
    <m/>
  </r>
  <r>
    <x v="125"/>
    <x v="15"/>
    <x v="2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2758"/>
    <n v="845"/>
    <n v="0.76547321676380797"/>
    <d v="2026-02-03T00:00:00"/>
    <n v="0"/>
    <n v="0"/>
    <n v="0"/>
    <s v="12/8 Pending Permit. LC 1-5/cx start 2-3/  2/3 CX Construction Started--Progress At 35% Complete./  2/4 CX Construction Continues--Progress At 49% Complete./  2/5 CX Construction Continues--Progress At 77%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2758"/>
    <n v="845"/>
    <n v="0.76547321676380797"/>
    <d v="2026-02-03T00:00:00"/>
    <n v="0"/>
    <n v="0"/>
    <n v="0"/>
    <s v="12/8 Pending Permit. LC 1-5/cx start 2-3/  2/3 CX Construction Started--Progress At 35% Complete./  2/4 CX Construction Continues--Progress At 49% Complete./  2/5 CX Construction Continues--Progress At 77%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8"/>
    <s v="Kissimmee"/>
    <d v="2026-10-15T00:00:00"/>
    <x v="1"/>
    <m/>
    <m/>
    <m/>
    <n v="63"/>
    <s v="On Track"/>
    <s v="Pending"/>
    <s v="Permits"/>
    <m/>
    <s v="No"/>
    <m/>
    <s v="No"/>
    <s v="Not Started"/>
    <m/>
    <m/>
    <m/>
    <m/>
    <m/>
    <n v="7517"/>
    <m/>
    <n v="7517"/>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5"/>
    <s v="Kissimmee"/>
    <d v="2026-08-14T00:00:00"/>
    <x v="1"/>
    <m/>
    <m/>
    <m/>
    <n v="86"/>
    <s v="On Track"/>
    <s v="Pending"/>
    <s v="Permits"/>
    <m/>
    <s v="No"/>
    <m/>
    <s v="No"/>
    <s v="Not Started"/>
    <m/>
    <m/>
    <m/>
    <m/>
    <m/>
    <n v="6387"/>
    <m/>
    <n v="6387"/>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41"/>
    <s v="Kissimmee"/>
    <d v="2026-12-16T00:00:00"/>
    <x v="1"/>
    <m/>
    <m/>
    <m/>
    <n v="87"/>
    <s v="On Track"/>
    <s v="Pending"/>
    <s v="Permits"/>
    <m/>
    <s v="No"/>
    <m/>
    <s v="No"/>
    <s v="Not Started"/>
    <m/>
    <m/>
    <m/>
    <m/>
    <m/>
    <n v="6309"/>
    <m/>
    <n v="6309"/>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49" dataDxfId="148" tableBorderDxfId="147">
  <autoFilter ref="A132:AD144"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IFERROR($W133/$V133,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131" totalsRowShown="0" headerRowDxfId="116" dataDxfId="115" tableBorderDxfId="114">
  <autoFilter ref="A75:AD131"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4" totalsRowShown="0" headerRowDxfId="83" tableBorderDxfId="82">
  <autoFilter ref="A1:AD84" xr:uid="{19253D6D-EA82-475D-A3C1-E8FA76E9E9B7}">
    <filterColumn colId="1">
      <filters>
        <filter val="Bradenton"/>
      </filters>
    </filterColumn>
  </autoFilter>
  <sortState xmlns:xlrd2="http://schemas.microsoft.com/office/spreadsheetml/2017/richdata2" ref="A2:AD82">
    <sortCondition ref="B1:B8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Z108" activePane="topRight" state="frozen"/>
      <selection pane="topRight" activeCell="AA122" sqref="AA122:AC122"/>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46041</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4"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46041</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46041</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46041</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450">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46041</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4" si="4">IFERROR($W18/$V18, 0)</f>
        <v>0</v>
      </c>
      <c r="Z18" s="1138"/>
      <c r="AA18" s="1139">
        <v>0</v>
      </c>
      <c r="AB18" s="1139">
        <v>0</v>
      </c>
      <c r="AC18" s="1069">
        <v>0</v>
      </c>
      <c r="AD18" s="1175" t="s">
        <v>107</v>
      </c>
      <c r="AE18" s="1174"/>
    </row>
    <row r="19" spans="1:32" ht="24.75" customHeight="1">
      <c r="A19" s="1130" t="s">
        <v>108</v>
      </c>
      <c r="B19" s="1132" t="s">
        <v>81</v>
      </c>
      <c r="C19" s="1131">
        <v>46044</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450">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46039</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450">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46134</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42">
        <v>46041</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90" t="s">
        <v>157</v>
      </c>
      <c r="B34" s="658" t="s">
        <v>81</v>
      </c>
      <c r="C34" s="1131">
        <v>46015</v>
      </c>
      <c r="D34" s="1131" t="s">
        <v>82</v>
      </c>
      <c r="E34" s="1131">
        <v>45965</v>
      </c>
      <c r="F34" s="1132" t="s">
        <v>83</v>
      </c>
      <c r="G34" s="1132" t="s">
        <v>158</v>
      </c>
      <c r="H34" s="1133">
        <v>0</v>
      </c>
      <c r="I34" s="638" t="s">
        <v>159</v>
      </c>
      <c r="J34" s="1133" t="s">
        <v>55</v>
      </c>
      <c r="K34" s="1133"/>
      <c r="L34" s="1131"/>
      <c r="M34" s="1133" t="s">
        <v>56</v>
      </c>
      <c r="N34" s="1134">
        <v>4773.8</v>
      </c>
      <c r="O34" s="1133" t="s">
        <v>56</v>
      </c>
      <c r="P34" s="1191" t="s">
        <v>160</v>
      </c>
      <c r="Q34" s="1136"/>
      <c r="R34" s="1136"/>
      <c r="S34" s="1136"/>
      <c r="T34" s="1136"/>
      <c r="U34" s="1136"/>
      <c r="V34" s="756">
        <v>103</v>
      </c>
      <c r="W34" s="756">
        <v>82</v>
      </c>
      <c r="X34" s="1137">
        <f t="shared" si="3"/>
        <v>21</v>
      </c>
      <c r="Y34" s="639">
        <f t="shared" si="4"/>
        <v>0.79611650485436891</v>
      </c>
      <c r="Z34" s="1147">
        <v>45985</v>
      </c>
      <c r="AA34" s="1139">
        <v>0</v>
      </c>
      <c r="AB34" s="1139">
        <v>0</v>
      </c>
      <c r="AC34" s="1137">
        <v>0</v>
      </c>
      <c r="AD34" s="1140" t="s">
        <v>161</v>
      </c>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32"/>
      <c r="B36" s="658"/>
      <c r="C36" s="1131"/>
      <c r="D36" s="1131"/>
      <c r="E36" s="1131"/>
      <c r="F36" s="1132"/>
      <c r="G36" s="1132"/>
      <c r="H36" s="1133"/>
      <c r="I36" s="638"/>
      <c r="J36" s="1133"/>
      <c r="K36" s="1133"/>
      <c r="L36" s="1131"/>
      <c r="M36" s="1133"/>
      <c r="N36" s="1134"/>
      <c r="O36" s="1133"/>
      <c r="P36" s="1135"/>
      <c r="Q36" s="1136"/>
      <c r="R36" s="1136"/>
      <c r="S36" s="1136"/>
      <c r="T36" s="1136"/>
      <c r="U36" s="1136"/>
      <c r="V36" s="1137"/>
      <c r="W36" s="1137"/>
      <c r="X36" s="1137"/>
      <c r="Y36" s="639"/>
      <c r="Z36" s="1138"/>
      <c r="AA36" s="1139"/>
      <c r="AB36" s="1139"/>
      <c r="AC36" s="1137"/>
      <c r="AD36" s="1140"/>
      <c r="AE36" s="1184"/>
      <c r="AF36" s="1182"/>
    </row>
    <row r="37" spans="1:56" ht="24.75" customHeight="1">
      <c r="A37" s="1122" t="s">
        <v>162</v>
      </c>
      <c r="B37" s="1123" t="s">
        <v>20</v>
      </c>
      <c r="C37" s="1123" t="s">
        <v>21</v>
      </c>
      <c r="D37" s="1123" t="s">
        <v>22</v>
      </c>
      <c r="E37" s="1123" t="s">
        <v>23</v>
      </c>
      <c r="F37" s="1123" t="s">
        <v>24</v>
      </c>
      <c r="G37" s="1123" t="s">
        <v>25</v>
      </c>
      <c r="H37" s="1123" t="s">
        <v>26</v>
      </c>
      <c r="I37" s="1123" t="s">
        <v>27</v>
      </c>
      <c r="J37" s="1123" t="s">
        <v>28</v>
      </c>
      <c r="K37" s="1123" t="s">
        <v>29</v>
      </c>
      <c r="L37" s="1123" t="s">
        <v>30</v>
      </c>
      <c r="M37" s="1123" t="s">
        <v>31</v>
      </c>
      <c r="N37" s="1124" t="s">
        <v>32</v>
      </c>
      <c r="O37" s="1123" t="s">
        <v>33</v>
      </c>
      <c r="P37" s="1125" t="s">
        <v>34</v>
      </c>
      <c r="Q37" s="1126" t="s">
        <v>35</v>
      </c>
      <c r="R37" s="1126" t="s">
        <v>36</v>
      </c>
      <c r="S37" s="1126" t="s">
        <v>37</v>
      </c>
      <c r="T37" s="1126" t="s">
        <v>38</v>
      </c>
      <c r="U37" s="1126" t="s">
        <v>39</v>
      </c>
      <c r="V37" s="1126" t="s">
        <v>40</v>
      </c>
      <c r="W37" s="1126" t="s">
        <v>41</v>
      </c>
      <c r="X37" s="1126" t="s">
        <v>42</v>
      </c>
      <c r="Y37" s="1126" t="s">
        <v>43</v>
      </c>
      <c r="Z37" s="1126" t="s">
        <v>44</v>
      </c>
      <c r="AA37" s="1127" t="s">
        <v>45</v>
      </c>
      <c r="AB37" s="1126" t="s">
        <v>46</v>
      </c>
      <c r="AC37" s="1126" t="s">
        <v>47</v>
      </c>
      <c r="AD37" s="1128" t="s">
        <v>48</v>
      </c>
      <c r="AE37" s="1184"/>
      <c r="AF37" s="1182"/>
    </row>
    <row r="38" spans="1:56" ht="24.75" customHeight="1">
      <c r="A38" s="1130" t="s">
        <v>163</v>
      </c>
      <c r="B38" s="798" t="s">
        <v>164</v>
      </c>
      <c r="C38" s="1131">
        <v>46039</v>
      </c>
      <c r="D38" s="1131" t="s">
        <v>111</v>
      </c>
      <c r="E38" s="1131">
        <v>45966</v>
      </c>
      <c r="F38" s="1131" t="s">
        <v>165</v>
      </c>
      <c r="G38" s="1132" t="s">
        <v>166</v>
      </c>
      <c r="H38" s="1133">
        <v>0</v>
      </c>
      <c r="I38" s="638" t="s">
        <v>54</v>
      </c>
      <c r="J38" s="1133" t="s">
        <v>55</v>
      </c>
      <c r="K38" s="1144"/>
      <c r="L38" s="1131"/>
      <c r="M38" s="1133" t="s">
        <v>56</v>
      </c>
      <c r="N38" s="1134">
        <v>82825</v>
      </c>
      <c r="O38" s="1133" t="s">
        <v>56</v>
      </c>
      <c r="P38" s="1135" t="s">
        <v>70</v>
      </c>
      <c r="Q38" s="1136">
        <v>45965</v>
      </c>
      <c r="R38" s="1136"/>
      <c r="S38" s="1136"/>
      <c r="T38" s="1136"/>
      <c r="U38" s="1136"/>
      <c r="V38" s="756">
        <v>6210</v>
      </c>
      <c r="W38" s="756"/>
      <c r="X38" s="1137">
        <f t="shared" ref="X38:X67" si="5">SUM(V38-W38)</f>
        <v>6210</v>
      </c>
      <c r="Y38" s="639">
        <f t="shared" ref="Y38:Y67" si="6">IFERROR($W38/$V38, 0)</f>
        <v>0</v>
      </c>
      <c r="Z38" s="1138"/>
      <c r="AA38" s="1139">
        <v>0</v>
      </c>
      <c r="AB38" s="1139">
        <v>0</v>
      </c>
      <c r="AC38" s="1148">
        <v>0</v>
      </c>
      <c r="AD38" s="1140" t="s">
        <v>167</v>
      </c>
      <c r="AE38" s="1184"/>
      <c r="AF38" s="1182"/>
    </row>
    <row r="39" spans="1:56" ht="24.75" customHeight="1">
      <c r="A39" s="1130" t="s">
        <v>168</v>
      </c>
      <c r="B39" s="798" t="s">
        <v>164</v>
      </c>
      <c r="C39" s="1131">
        <v>46039</v>
      </c>
      <c r="D39" s="1131" t="s">
        <v>111</v>
      </c>
      <c r="E39" s="1131">
        <v>45966</v>
      </c>
      <c r="F39" s="1131" t="s">
        <v>165</v>
      </c>
      <c r="G39" s="1132" t="s">
        <v>169</v>
      </c>
      <c r="H39" s="1133">
        <v>7</v>
      </c>
      <c r="I39" s="638" t="s">
        <v>54</v>
      </c>
      <c r="J39" s="1133" t="s">
        <v>55</v>
      </c>
      <c r="K39" s="1144"/>
      <c r="L39" s="1131"/>
      <c r="M39" s="1133" t="s">
        <v>56</v>
      </c>
      <c r="N39" s="1134">
        <v>34736.85</v>
      </c>
      <c r="O39" s="1133" t="s">
        <v>56</v>
      </c>
      <c r="P39" s="1135" t="s">
        <v>57</v>
      </c>
      <c r="Q39" s="1136">
        <v>45965</v>
      </c>
      <c r="R39" s="1136"/>
      <c r="S39" s="1136"/>
      <c r="T39" s="1136"/>
      <c r="U39" s="1136"/>
      <c r="V39" s="756">
        <v>2601</v>
      </c>
      <c r="W39" s="756">
        <v>1661</v>
      </c>
      <c r="X39" s="1137">
        <f t="shared" si="5"/>
        <v>940</v>
      </c>
      <c r="Y39" s="639">
        <f t="shared" si="6"/>
        <v>0.63860053825451746</v>
      </c>
      <c r="Z39" s="1147">
        <v>45973</v>
      </c>
      <c r="AA39" s="1139">
        <v>0</v>
      </c>
      <c r="AB39" s="1139">
        <v>0</v>
      </c>
      <c r="AC39" s="1148">
        <v>2601</v>
      </c>
      <c r="AD39" s="1140" t="s">
        <v>170</v>
      </c>
      <c r="AE39" s="1184"/>
      <c r="AF39" s="1182"/>
    </row>
    <row r="40" spans="1:56" ht="24.75" customHeight="1">
      <c r="A40" s="1130" t="s">
        <v>171</v>
      </c>
      <c r="B40" s="798" t="s">
        <v>164</v>
      </c>
      <c r="C40" s="1131">
        <v>46045</v>
      </c>
      <c r="D40" s="1131" t="s">
        <v>172</v>
      </c>
      <c r="E40" s="1131">
        <v>45980</v>
      </c>
      <c r="F40" s="1131" t="s">
        <v>173</v>
      </c>
      <c r="G40" s="1132" t="s">
        <v>174</v>
      </c>
      <c r="H40" s="1133">
        <v>82</v>
      </c>
      <c r="I40" s="1133" t="s">
        <v>54</v>
      </c>
      <c r="J40" s="1133" t="s">
        <v>55</v>
      </c>
      <c r="K40" s="1133"/>
      <c r="L40" s="1131"/>
      <c r="M40" s="1133" t="s">
        <v>56</v>
      </c>
      <c r="N40" s="1134">
        <v>56294</v>
      </c>
      <c r="O40" s="1133" t="s">
        <v>56</v>
      </c>
      <c r="P40" s="1135" t="s">
        <v>57</v>
      </c>
      <c r="Q40" s="1136">
        <v>45981</v>
      </c>
      <c r="R40" s="1136"/>
      <c r="S40" s="1136"/>
      <c r="T40" s="1136"/>
      <c r="U40" s="1136"/>
      <c r="V40" s="1137">
        <v>4146</v>
      </c>
      <c r="W40" s="1137">
        <v>3667</v>
      </c>
      <c r="X40" s="1137">
        <f t="shared" si="5"/>
        <v>479</v>
      </c>
      <c r="Y40" s="639">
        <f t="shared" si="6"/>
        <v>0.88446695610226722</v>
      </c>
      <c r="Z40" s="1147"/>
      <c r="AA40" s="1139">
        <v>0</v>
      </c>
      <c r="AB40" s="1139">
        <v>0</v>
      </c>
      <c r="AC40" s="1137">
        <v>0</v>
      </c>
      <c r="AD40" s="1140" t="s">
        <v>175</v>
      </c>
      <c r="AE40" s="1184"/>
    </row>
    <row r="41" spans="1:56" ht="24.75" customHeight="1">
      <c r="A41" s="1130" t="s">
        <v>176</v>
      </c>
      <c r="B41" s="798" t="s">
        <v>164</v>
      </c>
      <c r="C41" s="1131">
        <v>46045</v>
      </c>
      <c r="D41" s="1131"/>
      <c r="E41" s="1131"/>
      <c r="F41" s="1131"/>
      <c r="G41" s="1132" t="s">
        <v>177</v>
      </c>
      <c r="H41" s="1133">
        <v>54</v>
      </c>
      <c r="I41" s="1133" t="s">
        <v>54</v>
      </c>
      <c r="J41" s="1133" t="s">
        <v>55</v>
      </c>
      <c r="K41" s="1133"/>
      <c r="L41" s="1131"/>
      <c r="M41" s="1133" t="s">
        <v>56</v>
      </c>
      <c r="N41" s="1134">
        <v>58240</v>
      </c>
      <c r="O41" s="1133" t="s">
        <v>56</v>
      </c>
      <c r="P41" s="1135" t="s">
        <v>75</v>
      </c>
      <c r="Q41" s="1136"/>
      <c r="R41" s="1136"/>
      <c r="S41" s="1136"/>
      <c r="T41" s="1136"/>
      <c r="U41" s="1136"/>
      <c r="V41" s="1137">
        <v>4594</v>
      </c>
      <c r="W41" s="1137"/>
      <c r="X41" s="1137">
        <f t="shared" si="5"/>
        <v>4594</v>
      </c>
      <c r="Y41" s="639">
        <f t="shared" si="6"/>
        <v>0</v>
      </c>
      <c r="Z41" s="1147"/>
      <c r="AA41" s="1139">
        <v>0</v>
      </c>
      <c r="AB41" s="1139">
        <v>0</v>
      </c>
      <c r="AC41" s="1148">
        <v>0</v>
      </c>
      <c r="AD41" s="1140" t="s">
        <v>178</v>
      </c>
      <c r="AE41" s="1184"/>
    </row>
    <row r="42" spans="1:56" ht="24.75" customHeight="1">
      <c r="A42" s="1130" t="s">
        <v>179</v>
      </c>
      <c r="B42" s="798" t="s">
        <v>164</v>
      </c>
      <c r="C42" s="1131">
        <v>45999</v>
      </c>
      <c r="D42" s="1142" t="s">
        <v>111</v>
      </c>
      <c r="E42" s="1142">
        <v>45959</v>
      </c>
      <c r="F42" s="1143" t="s">
        <v>165</v>
      </c>
      <c r="G42" s="1142" t="s">
        <v>180</v>
      </c>
      <c r="H42" s="799">
        <v>69</v>
      </c>
      <c r="I42" s="1133" t="s">
        <v>54</v>
      </c>
      <c r="J42" s="1133" t="s">
        <v>55</v>
      </c>
      <c r="K42" s="1133"/>
      <c r="L42" s="1142">
        <v>45925</v>
      </c>
      <c r="M42" s="796" t="s">
        <v>56</v>
      </c>
      <c r="N42" s="800">
        <v>51632</v>
      </c>
      <c r="O42" s="796" t="s">
        <v>56</v>
      </c>
      <c r="P42" s="1157" t="s">
        <v>57</v>
      </c>
      <c r="Q42" s="1147">
        <v>45932</v>
      </c>
      <c r="R42" s="1147"/>
      <c r="S42" s="1147"/>
      <c r="T42" s="1147"/>
      <c r="U42" s="1147"/>
      <c r="V42" s="934">
        <v>3997</v>
      </c>
      <c r="W42" s="756">
        <v>3743</v>
      </c>
      <c r="X42" s="1137">
        <f t="shared" si="5"/>
        <v>254</v>
      </c>
      <c r="Y42" s="639">
        <f t="shared" si="6"/>
        <v>0.93645233925444082</v>
      </c>
      <c r="Z42" s="1147">
        <v>45960</v>
      </c>
      <c r="AA42" s="1139">
        <v>0</v>
      </c>
      <c r="AB42" s="1139">
        <v>0</v>
      </c>
      <c r="AC42" s="624">
        <v>0</v>
      </c>
      <c r="AD42" s="1140" t="s">
        <v>181</v>
      </c>
      <c r="AE42" s="1182"/>
      <c r="AF42" s="1185"/>
      <c r="AG42" s="1185"/>
      <c r="AH42" s="1185"/>
      <c r="AI42" s="1185"/>
      <c r="AJ42" s="1185"/>
      <c r="AK42" s="1185"/>
      <c r="AL42" s="1185"/>
      <c r="AM42" s="1129"/>
      <c r="AN42" s="1129"/>
      <c r="AO42" s="1129"/>
      <c r="AP42" s="1129"/>
      <c r="AQ42" s="1129"/>
      <c r="AR42" s="1129"/>
      <c r="AS42" s="1129"/>
      <c r="AT42" s="1129"/>
      <c r="AU42" s="1129"/>
      <c r="AV42" s="1129"/>
      <c r="AW42" s="1129"/>
      <c r="AX42" s="1129"/>
      <c r="AY42" s="1129"/>
      <c r="AZ42" s="1129"/>
      <c r="BA42" s="1129"/>
      <c r="BB42" s="1129"/>
      <c r="BC42" s="1129"/>
      <c r="BD42" s="1129"/>
    </row>
    <row r="43" spans="1:56" ht="24.75" customHeight="1">
      <c r="A43" s="1186" t="s">
        <v>182</v>
      </c>
      <c r="B43" s="798" t="s">
        <v>164</v>
      </c>
      <c r="C43" s="1131">
        <v>45999</v>
      </c>
      <c r="D43" s="1142" t="s">
        <v>172</v>
      </c>
      <c r="E43" s="1142">
        <v>45975</v>
      </c>
      <c r="F43" s="1143" t="s">
        <v>173</v>
      </c>
      <c r="G43" s="1142" t="s">
        <v>183</v>
      </c>
      <c r="H43" s="799">
        <v>48</v>
      </c>
      <c r="I43" s="1133" t="s">
        <v>54</v>
      </c>
      <c r="J43" s="1133" t="s">
        <v>55</v>
      </c>
      <c r="K43" s="1133"/>
      <c r="L43" s="1142"/>
      <c r="M43" s="796" t="s">
        <v>56</v>
      </c>
      <c r="N43" s="800">
        <v>39064</v>
      </c>
      <c r="O43" s="796" t="s">
        <v>56</v>
      </c>
      <c r="P43" s="1157" t="s">
        <v>70</v>
      </c>
      <c r="Q43" s="1147">
        <v>45932</v>
      </c>
      <c r="R43" s="1147"/>
      <c r="S43" s="1147"/>
      <c r="T43" s="1147"/>
      <c r="U43" s="1147"/>
      <c r="V43" s="934">
        <v>2982</v>
      </c>
      <c r="W43" s="756"/>
      <c r="X43" s="1137">
        <f t="shared" si="5"/>
        <v>2982</v>
      </c>
      <c r="Y43" s="639">
        <f t="shared" si="6"/>
        <v>0</v>
      </c>
      <c r="Z43" s="1138"/>
      <c r="AA43" s="1139">
        <v>0</v>
      </c>
      <c r="AB43" s="1139">
        <v>0</v>
      </c>
      <c r="AC43" s="624">
        <v>0</v>
      </c>
      <c r="AD43" s="1140" t="s">
        <v>184</v>
      </c>
      <c r="AE43" s="1187"/>
    </row>
    <row r="44" spans="1:56" ht="24.75" customHeight="1">
      <c r="A44" s="1130" t="s">
        <v>185</v>
      </c>
      <c r="B44" s="798" t="s">
        <v>164</v>
      </c>
      <c r="C44" s="1131">
        <v>46249</v>
      </c>
      <c r="D44" s="1142"/>
      <c r="E44" s="1142"/>
      <c r="F44" s="1143"/>
      <c r="G44" s="1142"/>
      <c r="H44" s="1144">
        <v>52</v>
      </c>
      <c r="I44" s="796" t="s">
        <v>54</v>
      </c>
      <c r="J44" s="799" t="s">
        <v>55</v>
      </c>
      <c r="K44" s="1133"/>
      <c r="L44" s="1142"/>
      <c r="M44" s="796" t="s">
        <v>56</v>
      </c>
      <c r="N44" s="1155">
        <v>61830</v>
      </c>
      <c r="O44" s="796" t="s">
        <v>56</v>
      </c>
      <c r="P44" s="1157" t="s">
        <v>75</v>
      </c>
      <c r="Q44" s="1147"/>
      <c r="R44" s="1147"/>
      <c r="S44" s="1147"/>
      <c r="T44" s="1147"/>
      <c r="U44" s="1147"/>
      <c r="V44" s="1148">
        <v>5149</v>
      </c>
      <c r="W44" s="1137"/>
      <c r="X44" s="1137">
        <f t="shared" si="5"/>
        <v>5149</v>
      </c>
      <c r="Y44" s="639">
        <f t="shared" si="6"/>
        <v>0</v>
      </c>
      <c r="Z44" s="1138"/>
      <c r="AA44" s="1139">
        <v>0</v>
      </c>
      <c r="AB44" s="1139">
        <v>0</v>
      </c>
      <c r="AC44" s="624">
        <v>0</v>
      </c>
      <c r="AD44" s="1140" t="s">
        <v>186</v>
      </c>
      <c r="AE44" s="1187"/>
    </row>
    <row r="45" spans="1:56" ht="24.75" customHeight="1">
      <c r="A45" s="1130" t="s">
        <v>187</v>
      </c>
      <c r="B45" s="798" t="s">
        <v>164</v>
      </c>
      <c r="C45" s="1142">
        <v>46171</v>
      </c>
      <c r="D45" s="1142"/>
      <c r="E45" s="1142"/>
      <c r="F45" s="1143"/>
      <c r="G45" s="1142"/>
      <c r="H45" s="1144">
        <v>56</v>
      </c>
      <c r="I45" s="796" t="s">
        <v>54</v>
      </c>
      <c r="J45" s="799" t="s">
        <v>55</v>
      </c>
      <c r="K45" s="1133"/>
      <c r="L45" s="1142"/>
      <c r="M45" s="796" t="s">
        <v>56</v>
      </c>
      <c r="N45" s="1155">
        <v>75665</v>
      </c>
      <c r="O45" s="796" t="s">
        <v>56</v>
      </c>
      <c r="P45" s="1157" t="s">
        <v>75</v>
      </c>
      <c r="Q45" s="1147"/>
      <c r="R45" s="1147"/>
      <c r="S45" s="1147"/>
      <c r="T45" s="1147"/>
      <c r="U45" s="1147"/>
      <c r="V45" s="1148">
        <v>6249</v>
      </c>
      <c r="W45" s="1137"/>
      <c r="X45" s="1137">
        <f t="shared" si="5"/>
        <v>6249</v>
      </c>
      <c r="Y45" s="639">
        <f t="shared" si="6"/>
        <v>0</v>
      </c>
      <c r="Z45" s="1138"/>
      <c r="AA45" s="1139">
        <v>0</v>
      </c>
      <c r="AB45" s="1139">
        <v>0</v>
      </c>
      <c r="AC45" s="624">
        <v>0</v>
      </c>
      <c r="AD45" s="1140" t="s">
        <v>188</v>
      </c>
      <c r="AE45" s="1187"/>
    </row>
    <row r="46" spans="1:56" ht="24.75" customHeight="1">
      <c r="A46" s="1130" t="s">
        <v>189</v>
      </c>
      <c r="B46" s="798" t="s">
        <v>164</v>
      </c>
      <c r="C46" s="1142">
        <v>46171</v>
      </c>
      <c r="D46" s="1142"/>
      <c r="E46" s="1142"/>
      <c r="F46" s="1143"/>
      <c r="G46" s="1142" t="s">
        <v>190</v>
      </c>
      <c r="H46" s="799">
        <v>70</v>
      </c>
      <c r="I46" s="796" t="s">
        <v>54</v>
      </c>
      <c r="J46" s="799" t="s">
        <v>55</v>
      </c>
      <c r="K46" s="1133"/>
      <c r="L46" s="1142"/>
      <c r="M46" s="796" t="s">
        <v>56</v>
      </c>
      <c r="N46" s="800">
        <v>80624</v>
      </c>
      <c r="O46" s="796" t="s">
        <v>56</v>
      </c>
      <c r="P46" s="1157" t="s">
        <v>75</v>
      </c>
      <c r="Q46" s="1147"/>
      <c r="R46" s="1147"/>
      <c r="S46" s="1147"/>
      <c r="T46" s="1147"/>
      <c r="U46" s="1147"/>
      <c r="V46" s="934">
        <v>6762</v>
      </c>
      <c r="W46" s="756"/>
      <c r="X46" s="1137">
        <f t="shared" si="5"/>
        <v>6762</v>
      </c>
      <c r="Y46" s="639">
        <f t="shared" si="6"/>
        <v>0</v>
      </c>
      <c r="Z46" s="1138"/>
      <c r="AA46" s="1139">
        <v>0</v>
      </c>
      <c r="AB46" s="1139">
        <v>0</v>
      </c>
      <c r="AC46" s="624">
        <v>0</v>
      </c>
      <c r="AD46" s="1140" t="s">
        <v>191</v>
      </c>
      <c r="AE46" s="1187"/>
    </row>
    <row r="47" spans="1:56" ht="24.75" customHeight="1">
      <c r="A47" s="1130" t="s">
        <v>192</v>
      </c>
      <c r="B47" s="798" t="s">
        <v>164</v>
      </c>
      <c r="C47" s="1142">
        <v>46171</v>
      </c>
      <c r="D47" s="1142"/>
      <c r="E47" s="1142"/>
      <c r="F47" s="1143"/>
      <c r="G47" s="1142"/>
      <c r="H47" s="1144">
        <v>30</v>
      </c>
      <c r="I47" s="796" t="s">
        <v>54</v>
      </c>
      <c r="J47" s="799" t="s">
        <v>55</v>
      </c>
      <c r="K47" s="1133"/>
      <c r="L47" s="1142"/>
      <c r="M47" s="796" t="s">
        <v>56</v>
      </c>
      <c r="N47" s="1155">
        <v>45160</v>
      </c>
      <c r="O47" s="796" t="s">
        <v>56</v>
      </c>
      <c r="P47" s="1157" t="s">
        <v>75</v>
      </c>
      <c r="Q47" s="1147"/>
      <c r="R47" s="1147"/>
      <c r="S47" s="1147"/>
      <c r="T47" s="1147"/>
      <c r="U47" s="1147"/>
      <c r="V47" s="1148">
        <v>3700</v>
      </c>
      <c r="W47" s="1137"/>
      <c r="X47" s="1137">
        <f t="shared" si="5"/>
        <v>3700</v>
      </c>
      <c r="Y47" s="639">
        <f t="shared" si="6"/>
        <v>0</v>
      </c>
      <c r="Z47" s="1138"/>
      <c r="AA47" s="1139">
        <v>0</v>
      </c>
      <c r="AB47" s="1139">
        <v>0</v>
      </c>
      <c r="AC47" s="624">
        <v>0</v>
      </c>
      <c r="AD47" s="1140" t="s">
        <v>193</v>
      </c>
      <c r="AE47" s="1187"/>
    </row>
    <row r="48" spans="1:56" ht="24.75" customHeight="1">
      <c r="A48" s="1130" t="s">
        <v>194</v>
      </c>
      <c r="B48" s="798" t="s">
        <v>164</v>
      </c>
      <c r="C48" s="1142">
        <v>46171</v>
      </c>
      <c r="D48" s="1142"/>
      <c r="E48" s="1142"/>
      <c r="F48" s="1143"/>
      <c r="G48" s="1142"/>
      <c r="H48" s="799">
        <v>48</v>
      </c>
      <c r="I48" s="796" t="s">
        <v>54</v>
      </c>
      <c r="J48" s="799" t="s">
        <v>55</v>
      </c>
      <c r="K48" s="1133"/>
      <c r="L48" s="1142"/>
      <c r="M48" s="796" t="s">
        <v>56</v>
      </c>
      <c r="N48" s="800">
        <v>54814</v>
      </c>
      <c r="O48" s="796" t="s">
        <v>56</v>
      </c>
      <c r="P48" s="1157" t="s">
        <v>75</v>
      </c>
      <c r="Q48" s="1147"/>
      <c r="R48" s="1147"/>
      <c r="S48" s="1147"/>
      <c r="T48" s="1147"/>
      <c r="U48" s="1147"/>
      <c r="V48" s="934">
        <v>4515</v>
      </c>
      <c r="W48" s="756"/>
      <c r="X48" s="1137">
        <f t="shared" si="5"/>
        <v>4515</v>
      </c>
      <c r="Y48" s="639">
        <f t="shared" si="6"/>
        <v>0</v>
      </c>
      <c r="Z48" s="1138"/>
      <c r="AA48" s="1139">
        <v>0</v>
      </c>
      <c r="AB48" s="1139">
        <v>0</v>
      </c>
      <c r="AC48" s="624">
        <v>0</v>
      </c>
      <c r="AD48" s="1140" t="s">
        <v>195</v>
      </c>
      <c r="AE48" s="1187"/>
    </row>
    <row r="49" spans="1:31" ht="24.75" customHeight="1">
      <c r="A49" s="1130" t="s">
        <v>196</v>
      </c>
      <c r="B49" s="798" t="s">
        <v>164</v>
      </c>
      <c r="C49" s="1142">
        <v>46171</v>
      </c>
      <c r="D49" s="1142"/>
      <c r="E49" s="1142"/>
      <c r="F49" s="1143"/>
      <c r="G49" s="1142" t="s">
        <v>197</v>
      </c>
      <c r="H49" s="799">
        <v>60</v>
      </c>
      <c r="I49" s="796" t="s">
        <v>54</v>
      </c>
      <c r="J49" s="799" t="s">
        <v>55</v>
      </c>
      <c r="K49" s="1133"/>
      <c r="L49" s="1142"/>
      <c r="M49" s="796" t="s">
        <v>56</v>
      </c>
      <c r="N49" s="800">
        <v>76865.5</v>
      </c>
      <c r="O49" s="796" t="s">
        <v>56</v>
      </c>
      <c r="P49" s="1157" t="s">
        <v>75</v>
      </c>
      <c r="Q49" s="1147"/>
      <c r="R49" s="1147"/>
      <c r="S49" s="1147"/>
      <c r="T49" s="1147"/>
      <c r="U49" s="1147"/>
      <c r="V49" s="934">
        <v>5795</v>
      </c>
      <c r="W49" s="756"/>
      <c r="X49" s="1137">
        <f t="shared" si="5"/>
        <v>5795</v>
      </c>
      <c r="Y49" s="639">
        <f t="shared" si="6"/>
        <v>0</v>
      </c>
      <c r="Z49" s="1138"/>
      <c r="AA49" s="1139">
        <v>0</v>
      </c>
      <c r="AB49" s="1139">
        <v>0</v>
      </c>
      <c r="AC49" s="624">
        <v>0</v>
      </c>
      <c r="AD49" s="1140" t="s">
        <v>195</v>
      </c>
      <c r="AE49" s="1187"/>
    </row>
    <row r="50" spans="1:31" ht="24.75" customHeight="1">
      <c r="A50" s="1130" t="s">
        <v>198</v>
      </c>
      <c r="B50" s="798" t="s">
        <v>164</v>
      </c>
      <c r="C50" s="1142">
        <v>46171</v>
      </c>
      <c r="D50" s="1142"/>
      <c r="E50" s="1142"/>
      <c r="F50" s="1143"/>
      <c r="G50" s="1142" t="s">
        <v>199</v>
      </c>
      <c r="H50" s="799">
        <v>72</v>
      </c>
      <c r="I50" s="796" t="s">
        <v>54</v>
      </c>
      <c r="J50" s="799" t="s">
        <v>55</v>
      </c>
      <c r="K50" s="1133"/>
      <c r="L50" s="1142"/>
      <c r="M50" s="796" t="s">
        <v>56</v>
      </c>
      <c r="N50" s="800">
        <v>85035</v>
      </c>
      <c r="O50" s="796" t="s">
        <v>56</v>
      </c>
      <c r="P50" s="1157" t="s">
        <v>75</v>
      </c>
      <c r="Q50" s="1147"/>
      <c r="R50" s="1147"/>
      <c r="S50" s="1147"/>
      <c r="T50" s="1147"/>
      <c r="U50" s="1147"/>
      <c r="V50" s="934">
        <v>7140</v>
      </c>
      <c r="W50" s="756"/>
      <c r="X50" s="1137">
        <f t="shared" si="5"/>
        <v>7140</v>
      </c>
      <c r="Y50" s="639">
        <f t="shared" si="6"/>
        <v>0</v>
      </c>
      <c r="Z50" s="1138"/>
      <c r="AA50" s="1139">
        <v>0</v>
      </c>
      <c r="AB50" s="1139">
        <v>0</v>
      </c>
      <c r="AC50" s="624">
        <v>0</v>
      </c>
      <c r="AD50" s="1140" t="s">
        <v>195</v>
      </c>
      <c r="AE50" s="1187"/>
    </row>
    <row r="51" spans="1:31" ht="24.75" customHeight="1">
      <c r="A51" s="1130" t="s">
        <v>200</v>
      </c>
      <c r="B51" s="798" t="s">
        <v>164</v>
      </c>
      <c r="C51" s="1131">
        <v>45997</v>
      </c>
      <c r="D51" s="1142"/>
      <c r="E51" s="1142"/>
      <c r="F51" s="1143"/>
      <c r="G51" s="1142"/>
      <c r="H51" s="1144">
        <v>20</v>
      </c>
      <c r="I51" s="796" t="s">
        <v>54</v>
      </c>
      <c r="J51" s="799" t="s">
        <v>55</v>
      </c>
      <c r="K51" s="1133"/>
      <c r="L51" s="1142"/>
      <c r="M51" s="796" t="s">
        <v>56</v>
      </c>
      <c r="N51" s="1155">
        <v>23501</v>
      </c>
      <c r="O51" s="796" t="s">
        <v>56</v>
      </c>
      <c r="P51" s="1157" t="s">
        <v>75</v>
      </c>
      <c r="Q51" s="1147"/>
      <c r="R51" s="1147"/>
      <c r="S51" s="1147"/>
      <c r="T51" s="1147"/>
      <c r="U51" s="1147"/>
      <c r="V51" s="1148">
        <v>1831</v>
      </c>
      <c r="W51" s="1137"/>
      <c r="X51" s="1137">
        <f t="shared" si="5"/>
        <v>1831</v>
      </c>
      <c r="Y51" s="639">
        <f t="shared" si="6"/>
        <v>0</v>
      </c>
      <c r="Z51" s="1138"/>
      <c r="AA51" s="1139">
        <v>0</v>
      </c>
      <c r="AB51" s="1139">
        <v>0</v>
      </c>
      <c r="AC51" s="624">
        <v>0</v>
      </c>
      <c r="AD51" s="1140" t="s">
        <v>188</v>
      </c>
      <c r="AE51" s="1187"/>
    </row>
    <row r="52" spans="1:31" ht="24.75" customHeight="1">
      <c r="A52" s="1240" t="s">
        <v>201</v>
      </c>
      <c r="B52" s="798" t="s">
        <v>164</v>
      </c>
      <c r="C52" s="1241">
        <v>46052</v>
      </c>
      <c r="D52" s="1243"/>
      <c r="E52" s="1243"/>
      <c r="F52" s="1242"/>
      <c r="G52" s="1142"/>
      <c r="H52" s="1549">
        <v>0</v>
      </c>
      <c r="I52" s="796" t="s">
        <v>54</v>
      </c>
      <c r="J52" s="799" t="s">
        <v>55</v>
      </c>
      <c r="K52" s="1550"/>
      <c r="L52" s="1243"/>
      <c r="M52" s="796" t="s">
        <v>56</v>
      </c>
      <c r="N52" s="1551">
        <v>36998.550000000003</v>
      </c>
      <c r="O52" s="796" t="s">
        <v>56</v>
      </c>
      <c r="P52" s="1157" t="s">
        <v>75</v>
      </c>
      <c r="Q52" s="1552"/>
      <c r="R52" s="1552"/>
      <c r="S52" s="1552"/>
      <c r="T52" s="1552"/>
      <c r="U52" s="1552"/>
      <c r="V52" s="1553">
        <v>2944</v>
      </c>
      <c r="W52" s="1554"/>
      <c r="X52" s="1554">
        <f>SUM(V52-W52)</f>
        <v>2944</v>
      </c>
      <c r="Y52" s="639">
        <f>IFERROR($W52/$V52, 0)</f>
        <v>0</v>
      </c>
      <c r="Z52" s="1555"/>
      <c r="AA52" s="1139">
        <v>0</v>
      </c>
      <c r="AB52" s="1139">
        <v>0</v>
      </c>
      <c r="AC52" s="624">
        <v>0</v>
      </c>
      <c r="AD52" s="1140"/>
      <c r="AE52" s="1187"/>
    </row>
    <row r="53" spans="1:31" ht="24.75" customHeight="1">
      <c r="A53" s="1240" t="s">
        <v>202</v>
      </c>
      <c r="B53" s="798" t="s">
        <v>164</v>
      </c>
      <c r="C53" s="1241">
        <v>46079</v>
      </c>
      <c r="D53" s="1243"/>
      <c r="E53" s="1243"/>
      <c r="F53" s="1242"/>
      <c r="G53" s="1142"/>
      <c r="H53" s="1549">
        <v>0</v>
      </c>
      <c r="I53" s="796" t="s">
        <v>54</v>
      </c>
      <c r="J53" s="799" t="s">
        <v>55</v>
      </c>
      <c r="K53" s="1550"/>
      <c r="L53" s="1243"/>
      <c r="M53" s="796" t="s">
        <v>56</v>
      </c>
      <c r="N53" s="1551">
        <v>49932.800000000003</v>
      </c>
      <c r="O53" s="796" t="s">
        <v>56</v>
      </c>
      <c r="P53" s="1157" t="s">
        <v>75</v>
      </c>
      <c r="Q53" s="1552"/>
      <c r="R53" s="1552"/>
      <c r="S53" s="1552"/>
      <c r="T53" s="1552"/>
      <c r="U53" s="1552"/>
      <c r="V53" s="1553">
        <v>4048</v>
      </c>
      <c r="W53" s="1554"/>
      <c r="X53" s="1554">
        <f>SUM(V53-W53)</f>
        <v>4048</v>
      </c>
      <c r="Y53" s="639">
        <f>IFERROR($W53/$V53, 0)</f>
        <v>0</v>
      </c>
      <c r="Z53" s="1555"/>
      <c r="AA53" s="1139">
        <v>0</v>
      </c>
      <c r="AB53" s="1139">
        <v>0</v>
      </c>
      <c r="AC53" s="624">
        <v>0</v>
      </c>
      <c r="AD53" s="1140"/>
      <c r="AE53" s="1187"/>
    </row>
    <row r="54" spans="1:31" ht="24.75" customHeight="1">
      <c r="A54" s="1130" t="s">
        <v>203</v>
      </c>
      <c r="B54" s="798" t="s">
        <v>164</v>
      </c>
      <c r="C54" s="1131">
        <v>46112</v>
      </c>
      <c r="D54" s="1143" t="s">
        <v>204</v>
      </c>
      <c r="E54" s="1142">
        <v>46055</v>
      </c>
      <c r="F54" s="1143" t="s">
        <v>205</v>
      </c>
      <c r="G54" s="1142" t="s">
        <v>206</v>
      </c>
      <c r="H54" s="1144">
        <v>0</v>
      </c>
      <c r="I54" s="1133" t="s">
        <v>54</v>
      </c>
      <c r="J54" s="799" t="s">
        <v>55</v>
      </c>
      <c r="K54" s="1133"/>
      <c r="L54" s="1142"/>
      <c r="M54" s="1144" t="s">
        <v>56</v>
      </c>
      <c r="N54" s="1155">
        <v>11518.95</v>
      </c>
      <c r="O54" s="1144" t="s">
        <v>56</v>
      </c>
      <c r="P54" s="1157" t="s">
        <v>70</v>
      </c>
      <c r="Q54" s="1147">
        <v>46056</v>
      </c>
      <c r="R54" s="1147"/>
      <c r="S54" s="1147"/>
      <c r="T54" s="1147"/>
      <c r="U54" s="1147"/>
      <c r="V54" s="1188">
        <v>881</v>
      </c>
      <c r="W54" s="1137"/>
      <c r="X54" s="1137">
        <f t="shared" si="5"/>
        <v>881</v>
      </c>
      <c r="Y54" s="639">
        <f t="shared" si="6"/>
        <v>0</v>
      </c>
      <c r="Z54" s="1138"/>
      <c r="AA54" s="1139">
        <v>0</v>
      </c>
      <c r="AB54" s="1139">
        <v>0</v>
      </c>
      <c r="AC54" s="624">
        <v>0</v>
      </c>
      <c r="AD54" s="1140" t="s">
        <v>207</v>
      </c>
      <c r="AE54" s="1187"/>
    </row>
    <row r="55" spans="1:31" ht="24.75" customHeight="1">
      <c r="A55" s="1130" t="s">
        <v>208</v>
      </c>
      <c r="B55" s="798" t="s">
        <v>164</v>
      </c>
      <c r="C55" s="1131">
        <v>46112</v>
      </c>
      <c r="D55" s="1142"/>
      <c r="E55" s="1142"/>
      <c r="F55" s="1143"/>
      <c r="G55" s="1142" t="s">
        <v>209</v>
      </c>
      <c r="H55" s="1144">
        <v>20</v>
      </c>
      <c r="I55" s="796" t="s">
        <v>54</v>
      </c>
      <c r="J55" s="799" t="s">
        <v>55</v>
      </c>
      <c r="K55" s="1133"/>
      <c r="L55" s="1142"/>
      <c r="M55" s="1144" t="s">
        <v>56</v>
      </c>
      <c r="N55" s="1155">
        <v>1733.25</v>
      </c>
      <c r="O55" s="1144" t="s">
        <v>56</v>
      </c>
      <c r="P55" s="1157" t="s">
        <v>70</v>
      </c>
      <c r="Q55" s="1147">
        <v>45979</v>
      </c>
      <c r="R55" s="1147"/>
      <c r="S55" s="1147"/>
      <c r="T55" s="1147"/>
      <c r="U55" s="1147"/>
      <c r="V55" s="1148">
        <v>255</v>
      </c>
      <c r="W55" s="1137"/>
      <c r="X55" s="1137">
        <f>SUM(V55-W55)</f>
        <v>255</v>
      </c>
      <c r="Y55" s="639">
        <f>IFERROR($W55/$V55, 0)</f>
        <v>0</v>
      </c>
      <c r="Z55" s="1138"/>
      <c r="AA55" s="1139">
        <v>0</v>
      </c>
      <c r="AB55" s="1139">
        <v>0</v>
      </c>
      <c r="AC55" s="624">
        <v>0</v>
      </c>
      <c r="AD55" s="1189" t="s">
        <v>210</v>
      </c>
      <c r="AE55" s="1187"/>
    </row>
    <row r="56" spans="1:31" ht="24.75" customHeight="1">
      <c r="A56" s="1130" t="s">
        <v>211</v>
      </c>
      <c r="B56" s="798" t="s">
        <v>164</v>
      </c>
      <c r="C56" s="1131">
        <v>46099</v>
      </c>
      <c r="D56" s="1142"/>
      <c r="E56" s="1142"/>
      <c r="F56" s="1143"/>
      <c r="G56" s="1142"/>
      <c r="H56" s="1144">
        <v>0</v>
      </c>
      <c r="I56" s="796" t="s">
        <v>54</v>
      </c>
      <c r="J56" s="799" t="s">
        <v>55</v>
      </c>
      <c r="K56" s="1133"/>
      <c r="L56" s="1142"/>
      <c r="M56" s="796" t="s">
        <v>56</v>
      </c>
      <c r="N56" s="1155">
        <v>18270.8</v>
      </c>
      <c r="O56" s="796" t="s">
        <v>56</v>
      </c>
      <c r="P56" s="1157" t="s">
        <v>75</v>
      </c>
      <c r="Q56" s="1147"/>
      <c r="R56" s="1147"/>
      <c r="S56" s="1147"/>
      <c r="T56" s="1147"/>
      <c r="U56" s="1147"/>
      <c r="V56" s="1148">
        <v>1388</v>
      </c>
      <c r="W56" s="1137"/>
      <c r="X56" s="1137">
        <f>SUM(V56-W56)</f>
        <v>1388</v>
      </c>
      <c r="Y56" s="639">
        <f>IFERROR($W56/$V56, 0)</f>
        <v>0</v>
      </c>
      <c r="Z56" s="1138"/>
      <c r="AA56" s="1139">
        <v>0</v>
      </c>
      <c r="AB56" s="1139">
        <v>0</v>
      </c>
      <c r="AC56" s="1148">
        <v>0</v>
      </c>
      <c r="AD56" s="1140" t="s">
        <v>212</v>
      </c>
      <c r="AE56" s="1187"/>
    </row>
    <row r="57" spans="1:31" ht="24.75" customHeight="1">
      <c r="A57" s="1130" t="s">
        <v>213</v>
      </c>
      <c r="B57" s="798" t="s">
        <v>164</v>
      </c>
      <c r="C57" s="1131">
        <v>46112</v>
      </c>
      <c r="D57" s="1143"/>
      <c r="E57" s="1142"/>
      <c r="F57" s="1143"/>
      <c r="G57" s="1143" t="s">
        <v>214</v>
      </c>
      <c r="H57" s="1144">
        <v>0</v>
      </c>
      <c r="I57" s="796" t="s">
        <v>54</v>
      </c>
      <c r="J57" s="1144" t="s">
        <v>55</v>
      </c>
      <c r="K57" s="1133"/>
      <c r="L57" s="1142"/>
      <c r="M57" s="1144" t="s">
        <v>56</v>
      </c>
      <c r="N57" s="1155">
        <v>3995.4</v>
      </c>
      <c r="O57" s="1144" t="s">
        <v>56</v>
      </c>
      <c r="P57" s="1157" t="s">
        <v>70</v>
      </c>
      <c r="Q57" s="1147">
        <v>45979</v>
      </c>
      <c r="R57" s="1147"/>
      <c r="S57" s="1147"/>
      <c r="T57" s="1147"/>
      <c r="U57" s="1147"/>
      <c r="V57" s="1148">
        <v>294</v>
      </c>
      <c r="W57" s="1137"/>
      <c r="X57" s="1137">
        <f t="shared" si="5"/>
        <v>294</v>
      </c>
      <c r="Y57" s="639">
        <f t="shared" si="6"/>
        <v>0</v>
      </c>
      <c r="Z57" s="1138"/>
      <c r="AA57" s="1139">
        <v>0</v>
      </c>
      <c r="AB57" s="1139">
        <v>0</v>
      </c>
      <c r="AC57" s="1148">
        <v>0</v>
      </c>
      <c r="AD57" s="1140" t="s">
        <v>215</v>
      </c>
      <c r="AE57" s="1187"/>
    </row>
    <row r="58" spans="1:31" ht="24.75" customHeight="1">
      <c r="A58" s="1130" t="s">
        <v>216</v>
      </c>
      <c r="B58" s="798" t="s">
        <v>164</v>
      </c>
      <c r="C58" s="1131">
        <v>46040</v>
      </c>
      <c r="D58" s="1143"/>
      <c r="E58" s="1142"/>
      <c r="F58" s="1143"/>
      <c r="G58" s="1143" t="s">
        <v>217</v>
      </c>
      <c r="H58" s="1144">
        <v>0</v>
      </c>
      <c r="I58" s="796" t="s">
        <v>54</v>
      </c>
      <c r="J58" s="1144" t="s">
        <v>55</v>
      </c>
      <c r="K58" s="1133"/>
      <c r="L58" s="1142"/>
      <c r="M58" s="1144" t="s">
        <v>56</v>
      </c>
      <c r="N58" s="1155">
        <v>18171.599999999999</v>
      </c>
      <c r="O58" s="1144" t="s">
        <v>56</v>
      </c>
      <c r="P58" s="1157" t="s">
        <v>70</v>
      </c>
      <c r="Q58" s="1147">
        <v>45979</v>
      </c>
      <c r="R58" s="1147"/>
      <c r="S58" s="1147"/>
      <c r="T58" s="1147"/>
      <c r="U58" s="1147"/>
      <c r="V58" s="1148">
        <v>1514</v>
      </c>
      <c r="W58" s="1137"/>
      <c r="X58" s="1137">
        <f>SUM(V58-W58)</f>
        <v>1514</v>
      </c>
      <c r="Y58" s="639">
        <f>IFERROR($W58/$V58, 0)</f>
        <v>0</v>
      </c>
      <c r="Z58" s="1138"/>
      <c r="AA58" s="1139">
        <v>0</v>
      </c>
      <c r="AB58" s="1139">
        <v>0</v>
      </c>
      <c r="AC58" s="1148">
        <v>0</v>
      </c>
      <c r="AD58" s="1140" t="s">
        <v>218</v>
      </c>
      <c r="AE58" s="1187"/>
    </row>
    <row r="59" spans="1:31" ht="24.75" customHeight="1">
      <c r="A59" s="1130" t="s">
        <v>219</v>
      </c>
      <c r="B59" s="798" t="s">
        <v>164</v>
      </c>
      <c r="C59" s="1131">
        <v>46040</v>
      </c>
      <c r="D59" s="1143"/>
      <c r="E59" s="1142"/>
      <c r="F59" s="1143"/>
      <c r="G59" s="1143" t="s">
        <v>220</v>
      </c>
      <c r="H59" s="1144">
        <v>0</v>
      </c>
      <c r="I59" s="796" t="s">
        <v>54</v>
      </c>
      <c r="J59" s="1144" t="s">
        <v>55</v>
      </c>
      <c r="K59" s="1133"/>
      <c r="L59" s="1142"/>
      <c r="M59" s="1144" t="s">
        <v>56</v>
      </c>
      <c r="N59" s="1155">
        <v>1675.2</v>
      </c>
      <c r="O59" s="1144" t="s">
        <v>56</v>
      </c>
      <c r="P59" s="1157" t="s">
        <v>70</v>
      </c>
      <c r="Q59" s="1147">
        <v>45979</v>
      </c>
      <c r="R59" s="1147"/>
      <c r="S59" s="1147"/>
      <c r="T59" s="1147"/>
      <c r="U59" s="1147"/>
      <c r="V59" s="1148">
        <v>123</v>
      </c>
      <c r="W59" s="1137"/>
      <c r="X59" s="1137">
        <f t="shared" si="5"/>
        <v>123</v>
      </c>
      <c r="Y59" s="639">
        <f t="shared" si="6"/>
        <v>0</v>
      </c>
      <c r="Z59" s="1138"/>
      <c r="AA59" s="1139">
        <v>0</v>
      </c>
      <c r="AB59" s="1139">
        <v>0</v>
      </c>
      <c r="AC59" s="1148">
        <v>0</v>
      </c>
      <c r="AD59" s="1140" t="s">
        <v>221</v>
      </c>
      <c r="AE59" s="1187"/>
    </row>
    <row r="60" spans="1:31" ht="24.75" customHeight="1">
      <c r="A60" s="1130" t="s">
        <v>222</v>
      </c>
      <c r="B60" s="798" t="s">
        <v>164</v>
      </c>
      <c r="C60" s="1131">
        <v>46053</v>
      </c>
      <c r="D60" s="1242"/>
      <c r="E60" s="1243"/>
      <c r="F60" s="1242"/>
      <c r="G60" s="1143"/>
      <c r="H60" s="1144">
        <v>0</v>
      </c>
      <c r="I60" s="796" t="s">
        <v>54</v>
      </c>
      <c r="J60" s="1144" t="s">
        <v>55</v>
      </c>
      <c r="K60" s="1550"/>
      <c r="L60" s="1243"/>
      <c r="M60" s="1144" t="s">
        <v>56</v>
      </c>
      <c r="N60" s="1551">
        <v>118710.8</v>
      </c>
      <c r="O60" s="1144" t="s">
        <v>56</v>
      </c>
      <c r="P60" s="1135" t="s">
        <v>75</v>
      </c>
      <c r="Q60" s="1552"/>
      <c r="R60" s="1552"/>
      <c r="S60" s="1552"/>
      <c r="T60" s="1552"/>
      <c r="U60" s="1552"/>
      <c r="V60" s="1553">
        <v>9628</v>
      </c>
      <c r="W60" s="1554"/>
      <c r="X60" s="1554">
        <f>SUM(V60-W60)</f>
        <v>9628</v>
      </c>
      <c r="Y60" s="639">
        <f>IFERROR($W60/$V60, 0)</f>
        <v>0</v>
      </c>
      <c r="Z60" s="1552"/>
      <c r="AA60" s="1139">
        <v>0</v>
      </c>
      <c r="AB60" s="1139">
        <v>0</v>
      </c>
      <c r="AC60" s="1148">
        <v>0</v>
      </c>
      <c r="AD60" s="1140"/>
      <c r="AE60" s="1187"/>
    </row>
    <row r="61" spans="1:31" ht="24.75" customHeight="1">
      <c r="A61" s="1130" t="s">
        <v>223</v>
      </c>
      <c r="B61" s="798" t="s">
        <v>164</v>
      </c>
      <c r="C61" s="1131">
        <v>46045</v>
      </c>
      <c r="D61" s="1143" t="s">
        <v>204</v>
      </c>
      <c r="E61" s="1142">
        <v>46055</v>
      </c>
      <c r="F61" s="1143" t="s">
        <v>205</v>
      </c>
      <c r="G61" s="1143" t="s">
        <v>224</v>
      </c>
      <c r="H61" s="1144">
        <v>0</v>
      </c>
      <c r="I61" s="796" t="s">
        <v>54</v>
      </c>
      <c r="J61" s="1144" t="s">
        <v>55</v>
      </c>
      <c r="K61" s="1133"/>
      <c r="L61" s="1142"/>
      <c r="M61" s="1144" t="s">
        <v>56</v>
      </c>
      <c r="N61" s="1155">
        <v>105558.2</v>
      </c>
      <c r="O61" s="1144" t="s">
        <v>56</v>
      </c>
      <c r="P61" s="1157" t="s">
        <v>70</v>
      </c>
      <c r="Q61" s="1147">
        <v>45978</v>
      </c>
      <c r="R61" s="1147"/>
      <c r="S61" s="1147"/>
      <c r="T61" s="1147"/>
      <c r="U61" s="1147"/>
      <c r="V61" s="1148">
        <v>7753</v>
      </c>
      <c r="W61" s="1137"/>
      <c r="X61" s="1137">
        <f>SUM(V61-W61)</f>
        <v>7753</v>
      </c>
      <c r="Y61" s="639">
        <f>IFERROR($W61/$V61, 0)</f>
        <v>0</v>
      </c>
      <c r="Z61" s="1138"/>
      <c r="AA61" s="1139">
        <v>0</v>
      </c>
      <c r="AB61" s="1139">
        <v>0</v>
      </c>
      <c r="AC61" s="1148">
        <v>0</v>
      </c>
      <c r="AD61" s="1140" t="s">
        <v>225</v>
      </c>
      <c r="AE61" s="1187"/>
    </row>
    <row r="62" spans="1:31" ht="24.75" customHeight="1">
      <c r="A62" s="1130" t="s">
        <v>226</v>
      </c>
      <c r="B62" s="798" t="s">
        <v>164</v>
      </c>
      <c r="C62" s="1131">
        <v>46096</v>
      </c>
      <c r="D62" s="1143"/>
      <c r="E62" s="1142"/>
      <c r="F62" s="1143"/>
      <c r="G62" s="1143"/>
      <c r="H62" s="1144">
        <v>0</v>
      </c>
      <c r="I62" s="796" t="s">
        <v>54</v>
      </c>
      <c r="J62" s="1144" t="s">
        <v>55</v>
      </c>
      <c r="K62" s="1133"/>
      <c r="L62" s="1142"/>
      <c r="M62" s="1144" t="s">
        <v>56</v>
      </c>
      <c r="N62" s="1155">
        <v>73653.899999999994</v>
      </c>
      <c r="O62" s="1144" t="s">
        <v>56</v>
      </c>
      <c r="P62" s="1157" t="s">
        <v>75</v>
      </c>
      <c r="Q62" s="1147"/>
      <c r="R62" s="1147"/>
      <c r="S62" s="1147"/>
      <c r="T62" s="1147"/>
      <c r="U62" s="1147"/>
      <c r="V62" s="934">
        <v>5394</v>
      </c>
      <c r="W62" s="1137"/>
      <c r="X62" s="1137">
        <f t="shared" si="5"/>
        <v>5394</v>
      </c>
      <c r="Y62" s="639">
        <f t="shared" si="6"/>
        <v>0</v>
      </c>
      <c r="Z62" s="1138"/>
      <c r="AA62" s="1139">
        <v>0</v>
      </c>
      <c r="AB62" s="1139">
        <v>0</v>
      </c>
      <c r="AC62" s="1148">
        <v>0</v>
      </c>
      <c r="AD62" s="1161"/>
      <c r="AE62" s="1187"/>
    </row>
    <row r="63" spans="1:31" ht="24.75" customHeight="1">
      <c r="A63" s="1130" t="s">
        <v>227</v>
      </c>
      <c r="B63" s="798" t="s">
        <v>164</v>
      </c>
      <c r="C63" s="1131">
        <v>46112</v>
      </c>
      <c r="D63" s="1143"/>
      <c r="E63" s="1142"/>
      <c r="F63" s="1143"/>
      <c r="G63" s="1143"/>
      <c r="H63" s="1144">
        <v>0</v>
      </c>
      <c r="I63" s="796" t="s">
        <v>54</v>
      </c>
      <c r="J63" s="1144" t="s">
        <v>55</v>
      </c>
      <c r="K63" s="1133"/>
      <c r="L63" s="1142"/>
      <c r="M63" s="1144" t="s">
        <v>56</v>
      </c>
      <c r="N63" s="1155">
        <v>6526.35</v>
      </c>
      <c r="O63" s="1144" t="s">
        <v>56</v>
      </c>
      <c r="P63" s="1157" t="s">
        <v>75</v>
      </c>
      <c r="Q63" s="1147"/>
      <c r="R63" s="1147"/>
      <c r="S63" s="1147"/>
      <c r="T63" s="1147"/>
      <c r="U63" s="1147"/>
      <c r="V63" s="1148">
        <v>411</v>
      </c>
      <c r="W63" s="1137"/>
      <c r="X63" s="1137">
        <f t="shared" si="5"/>
        <v>411</v>
      </c>
      <c r="Y63" s="639">
        <f t="shared" si="6"/>
        <v>0</v>
      </c>
      <c r="Z63" s="1138"/>
      <c r="AA63" s="1139">
        <v>0</v>
      </c>
      <c r="AB63" s="1139">
        <v>0</v>
      </c>
      <c r="AC63" s="1148">
        <v>0</v>
      </c>
      <c r="AD63" s="1140" t="s">
        <v>228</v>
      </c>
      <c r="AE63" s="1187"/>
    </row>
    <row r="64" spans="1:31" ht="24.75" customHeight="1">
      <c r="A64" s="1130" t="s">
        <v>229</v>
      </c>
      <c r="B64" s="798" t="s">
        <v>164</v>
      </c>
      <c r="C64" s="1142">
        <v>46081</v>
      </c>
      <c r="D64" s="1143"/>
      <c r="E64" s="1142"/>
      <c r="F64" s="1143"/>
      <c r="G64" s="1143" t="s">
        <v>230</v>
      </c>
      <c r="H64" s="1144">
        <v>0</v>
      </c>
      <c r="I64" s="796" t="s">
        <v>54</v>
      </c>
      <c r="J64" s="799" t="s">
        <v>55</v>
      </c>
      <c r="K64" s="1133" t="s">
        <v>69</v>
      </c>
      <c r="L64" s="1142"/>
      <c r="M64" s="1144" t="s">
        <v>56</v>
      </c>
      <c r="N64" s="1155">
        <v>170309.8</v>
      </c>
      <c r="O64" s="1144" t="s">
        <v>56</v>
      </c>
      <c r="P64" s="1157" t="s">
        <v>75</v>
      </c>
      <c r="Q64" s="1147"/>
      <c r="R64" s="1147"/>
      <c r="S64" s="1147"/>
      <c r="T64" s="1147"/>
      <c r="U64" s="1147"/>
      <c r="V64" s="1148">
        <v>13379</v>
      </c>
      <c r="W64" s="1137"/>
      <c r="X64" s="1137">
        <f>SUM(V64-W64)</f>
        <v>13379</v>
      </c>
      <c r="Y64" s="639">
        <f>IFERROR($W64/$V64, 0)</f>
        <v>0</v>
      </c>
      <c r="Z64" s="1138"/>
      <c r="AA64" s="1139">
        <v>0</v>
      </c>
      <c r="AB64" s="1139">
        <v>0</v>
      </c>
      <c r="AC64" s="1148">
        <v>0</v>
      </c>
      <c r="AD64" s="1140"/>
      <c r="AE64" s="1187"/>
    </row>
    <row r="65" spans="1:31" ht="24.75" customHeight="1">
      <c r="A65" s="1130" t="s">
        <v>231</v>
      </c>
      <c r="B65" s="798" t="s">
        <v>232</v>
      </c>
      <c r="C65" s="1131">
        <v>46081</v>
      </c>
      <c r="D65" s="1143" t="s">
        <v>204</v>
      </c>
      <c r="E65" s="1142">
        <v>46038</v>
      </c>
      <c r="F65" s="1143" t="s">
        <v>173</v>
      </c>
      <c r="G65" s="1143" t="s">
        <v>233</v>
      </c>
      <c r="H65" s="1144">
        <v>88</v>
      </c>
      <c r="I65" s="796" t="s">
        <v>54</v>
      </c>
      <c r="J65" s="799" t="s">
        <v>55</v>
      </c>
      <c r="K65" s="1133"/>
      <c r="L65" s="1142">
        <v>46021</v>
      </c>
      <c r="M65" s="1144" t="s">
        <v>56</v>
      </c>
      <c r="N65" s="1155">
        <v>79638</v>
      </c>
      <c r="O65" s="1144" t="s">
        <v>56</v>
      </c>
      <c r="P65" s="1157" t="s">
        <v>57</v>
      </c>
      <c r="Q65" s="1147">
        <v>46028</v>
      </c>
      <c r="R65" s="1147"/>
      <c r="S65" s="1147"/>
      <c r="T65" s="1147"/>
      <c r="U65" s="1147"/>
      <c r="V65" s="1148">
        <v>6613</v>
      </c>
      <c r="W65" s="1450">
        <v>5632</v>
      </c>
      <c r="X65" s="1137">
        <f t="shared" si="5"/>
        <v>981</v>
      </c>
      <c r="Y65" s="639">
        <f t="shared" si="6"/>
        <v>0.85165582942688645</v>
      </c>
      <c r="Z65" s="1147">
        <v>46042</v>
      </c>
      <c r="AA65" s="1139">
        <v>0</v>
      </c>
      <c r="AB65" s="1139">
        <v>0</v>
      </c>
      <c r="AC65" s="1148">
        <v>0</v>
      </c>
      <c r="AD65" s="1140" t="s">
        <v>234</v>
      </c>
      <c r="AE65" s="1187"/>
    </row>
    <row r="66" spans="1:31" ht="24.75" customHeight="1">
      <c r="A66" s="1204" t="s">
        <v>235</v>
      </c>
      <c r="B66" s="964" t="s">
        <v>232</v>
      </c>
      <c r="C66" s="1131">
        <v>46081</v>
      </c>
      <c r="D66" s="1143" t="s">
        <v>204</v>
      </c>
      <c r="E66" s="1142">
        <v>46055</v>
      </c>
      <c r="F66" s="1143" t="s">
        <v>173</v>
      </c>
      <c r="G66" s="1143"/>
      <c r="H66" s="1144">
        <v>86</v>
      </c>
      <c r="I66" s="796" t="s">
        <v>54</v>
      </c>
      <c r="J66" s="799" t="s">
        <v>55</v>
      </c>
      <c r="K66" s="1133"/>
      <c r="L66" s="1142">
        <v>46056</v>
      </c>
      <c r="M66" s="1144" t="s">
        <v>56</v>
      </c>
      <c r="N66" s="1155">
        <v>97494</v>
      </c>
      <c r="O66" s="1144" t="s">
        <v>56</v>
      </c>
      <c r="P66" s="1157" t="s">
        <v>75</v>
      </c>
      <c r="Q66" s="1147"/>
      <c r="R66" s="1147"/>
      <c r="S66" s="1147"/>
      <c r="T66" s="1147"/>
      <c r="U66" s="1147"/>
      <c r="V66" s="1148">
        <v>8265</v>
      </c>
      <c r="W66" s="1137"/>
      <c r="X66" s="1137">
        <f t="shared" si="5"/>
        <v>8265</v>
      </c>
      <c r="Y66" s="639">
        <f t="shared" si="6"/>
        <v>0</v>
      </c>
      <c r="Z66" s="1138"/>
      <c r="AA66" s="1139">
        <v>0</v>
      </c>
      <c r="AB66" s="1139">
        <v>0</v>
      </c>
      <c r="AC66" s="1148">
        <v>0</v>
      </c>
      <c r="AD66" s="1140"/>
      <c r="AE66" s="1187"/>
    </row>
    <row r="67" spans="1:31" ht="24.75" customHeight="1">
      <c r="A67" s="1269" t="s">
        <v>236</v>
      </c>
      <c r="B67" s="1417" t="s">
        <v>232</v>
      </c>
      <c r="C67" s="1300">
        <v>46171</v>
      </c>
      <c r="D67" s="1143" t="s">
        <v>204</v>
      </c>
      <c r="E67" s="1142">
        <v>46043</v>
      </c>
      <c r="F67" s="1143" t="s">
        <v>173</v>
      </c>
      <c r="G67" s="1143" t="s">
        <v>237</v>
      </c>
      <c r="H67" s="1144">
        <v>26</v>
      </c>
      <c r="I67" s="796" t="s">
        <v>54</v>
      </c>
      <c r="J67" s="1144" t="s">
        <v>55</v>
      </c>
      <c r="K67" s="1133"/>
      <c r="L67" s="1142"/>
      <c r="M67" s="1144" t="s">
        <v>56</v>
      </c>
      <c r="N67" s="1155">
        <v>35576</v>
      </c>
      <c r="O67" s="1144" t="s">
        <v>56</v>
      </c>
      <c r="P67" s="1194" t="s">
        <v>57</v>
      </c>
      <c r="Q67" s="1195"/>
      <c r="R67" s="1195"/>
      <c r="S67" s="1195"/>
      <c r="T67" s="1195"/>
      <c r="U67" s="1195"/>
      <c r="V67" s="1148">
        <v>3150</v>
      </c>
      <c r="W67" s="1263">
        <v>2970</v>
      </c>
      <c r="X67" s="1263">
        <f t="shared" si="5"/>
        <v>180</v>
      </c>
      <c r="Y67" s="777">
        <f t="shared" si="6"/>
        <v>0.94285714285714284</v>
      </c>
      <c r="Z67" s="1298">
        <v>46043</v>
      </c>
      <c r="AA67" s="1197">
        <v>0</v>
      </c>
      <c r="AB67" s="1197">
        <v>0</v>
      </c>
      <c r="AC67" s="1196">
        <v>0</v>
      </c>
      <c r="AD67" s="1198" t="s">
        <v>238</v>
      </c>
      <c r="AE67" s="1187"/>
    </row>
    <row r="68" spans="1:31" ht="24.75" customHeight="1">
      <c r="A68" s="1418" t="s">
        <v>239</v>
      </c>
      <c r="B68" s="964" t="s">
        <v>232</v>
      </c>
      <c r="C68" s="1279">
        <v>46081</v>
      </c>
      <c r="D68" s="1419"/>
      <c r="E68" s="1420"/>
      <c r="F68" s="1419"/>
      <c r="G68" s="1421"/>
      <c r="H68" s="1556">
        <v>0</v>
      </c>
      <c r="I68" s="637" t="s">
        <v>54</v>
      </c>
      <c r="J68" s="1209" t="s">
        <v>103</v>
      </c>
      <c r="K68" s="1557" t="s">
        <v>73</v>
      </c>
      <c r="L68" s="1420"/>
      <c r="M68" s="1209" t="s">
        <v>74</v>
      </c>
      <c r="N68" s="1422"/>
      <c r="O68" s="1209" t="s">
        <v>74</v>
      </c>
      <c r="P68" s="1199" t="s">
        <v>75</v>
      </c>
      <c r="Q68" s="1552"/>
      <c r="R68" s="1552"/>
      <c r="S68" s="1552"/>
      <c r="T68" s="1552"/>
      <c r="U68" s="1552"/>
      <c r="V68" s="1558">
        <v>6202</v>
      </c>
      <c r="W68" s="1559"/>
      <c r="X68" s="1559">
        <f>SUM(V68-W68)</f>
        <v>6202</v>
      </c>
      <c r="Y68" s="634">
        <f>IFERROR($W68/$V68, 0)</f>
        <v>0</v>
      </c>
      <c r="Z68" s="1560"/>
      <c r="AA68" s="1443">
        <v>0</v>
      </c>
      <c r="AB68" s="1197">
        <v>0</v>
      </c>
      <c r="AC68" s="1196">
        <v>0</v>
      </c>
      <c r="AD68" s="1140" t="s">
        <v>240</v>
      </c>
      <c r="AE68" s="1187"/>
    </row>
    <row r="69" spans="1:31" ht="24.75" customHeight="1">
      <c r="A69" s="1204"/>
      <c r="B69" s="964"/>
      <c r="C69" s="1203"/>
      <c r="D69" s="1421"/>
      <c r="E69" s="1207"/>
      <c r="F69" s="1421"/>
      <c r="G69" s="1421"/>
      <c r="H69" s="1209"/>
      <c r="I69" s="637"/>
      <c r="J69" s="1209"/>
      <c r="K69" s="1205"/>
      <c r="L69" s="1207"/>
      <c r="M69" s="1209"/>
      <c r="N69" s="1422"/>
      <c r="O69" s="1209"/>
      <c r="P69" s="1199"/>
      <c r="Q69" s="1147"/>
      <c r="R69" s="1147"/>
      <c r="S69" s="1147"/>
      <c r="T69" s="1147"/>
      <c r="U69" s="1147"/>
      <c r="V69" s="1301"/>
      <c r="W69" s="1258"/>
      <c r="X69" s="1200"/>
      <c r="Y69" s="933"/>
      <c r="Z69" s="1444"/>
      <c r="AA69" s="1139"/>
      <c r="AB69" s="1139"/>
      <c r="AC69" s="1148"/>
      <c r="AD69" s="1140"/>
      <c r="AE69" s="1187"/>
    </row>
    <row r="70" spans="1:31" ht="24.75" customHeight="1">
      <c r="A70" s="1204"/>
      <c r="B70" s="1085"/>
      <c r="C70" s="1203"/>
      <c r="D70" s="628"/>
      <c r="E70" s="1203"/>
      <c r="F70" s="1204"/>
      <c r="G70" s="1204"/>
      <c r="H70" s="1204"/>
      <c r="I70" s="644"/>
      <c r="J70" s="1205"/>
      <c r="K70" s="1206"/>
      <c r="L70" s="1207"/>
      <c r="M70" s="1204"/>
      <c r="N70" s="1208"/>
      <c r="O70" s="1209"/>
      <c r="P70" s="1187"/>
      <c r="Q70" s="1210"/>
      <c r="R70" s="1211"/>
      <c r="S70" s="1211"/>
      <c r="T70" s="1211"/>
      <c r="U70" s="1211"/>
      <c r="V70" s="1212"/>
      <c r="W70" s="1212"/>
      <c r="X70" s="1213"/>
      <c r="Y70" s="1086"/>
      <c r="Z70" s="1129"/>
      <c r="AA70" s="1214"/>
      <c r="AB70" s="1214"/>
      <c r="AC70" s="1212"/>
      <c r="AD70" s="1173"/>
      <c r="AE70" s="1182"/>
    </row>
    <row r="71" spans="1:31" ht="24.75" customHeight="1">
      <c r="A71" s="1215" t="s">
        <v>241</v>
      </c>
      <c r="B71" s="1215" t="s">
        <v>20</v>
      </c>
      <c r="C71" s="1215" t="s">
        <v>21</v>
      </c>
      <c r="D71" s="1215" t="s">
        <v>22</v>
      </c>
      <c r="E71" s="1215" t="s">
        <v>23</v>
      </c>
      <c r="F71" s="1215" t="s">
        <v>24</v>
      </c>
      <c r="G71" s="1215" t="s">
        <v>25</v>
      </c>
      <c r="H71" s="1215" t="s">
        <v>26</v>
      </c>
      <c r="I71" s="1215" t="s">
        <v>27</v>
      </c>
      <c r="J71" s="1215" t="s">
        <v>28</v>
      </c>
      <c r="K71" s="1215" t="s">
        <v>29</v>
      </c>
      <c r="L71" s="1215" t="s">
        <v>30</v>
      </c>
      <c r="M71" s="1215" t="s">
        <v>31</v>
      </c>
      <c r="N71" s="1275" t="s">
        <v>32</v>
      </c>
      <c r="O71" s="1215" t="s">
        <v>33</v>
      </c>
      <c r="P71" s="1406" t="s">
        <v>34</v>
      </c>
      <c r="Q71" s="1126" t="s">
        <v>35</v>
      </c>
      <c r="R71" s="1126" t="s">
        <v>36</v>
      </c>
      <c r="S71" s="1126" t="s">
        <v>37</v>
      </c>
      <c r="T71" s="1126" t="s">
        <v>38</v>
      </c>
      <c r="U71" s="1126" t="s">
        <v>39</v>
      </c>
      <c r="V71" s="1126" t="s">
        <v>40</v>
      </c>
      <c r="W71" s="1126" t="s">
        <v>41</v>
      </c>
      <c r="X71" s="1405" t="s">
        <v>42</v>
      </c>
      <c r="Y71" s="1405" t="s">
        <v>43</v>
      </c>
      <c r="Z71" s="1406" t="s">
        <v>44</v>
      </c>
      <c r="AA71" s="1127" t="s">
        <v>45</v>
      </c>
      <c r="AB71" s="1126" t="s">
        <v>46</v>
      </c>
      <c r="AC71" s="1126" t="s">
        <v>47</v>
      </c>
      <c r="AD71" s="1128" t="s">
        <v>48</v>
      </c>
      <c r="AE71" s="1182"/>
    </row>
    <row r="72" spans="1:31" ht="24.75" customHeight="1">
      <c r="A72" s="1204" t="s">
        <v>242</v>
      </c>
      <c r="B72" s="1085" t="s">
        <v>243</v>
      </c>
      <c r="C72" s="1279">
        <v>46081</v>
      </c>
      <c r="D72" s="628"/>
      <c r="E72" s="1203"/>
      <c r="F72" s="1204"/>
      <c r="G72" s="1204"/>
      <c r="H72" s="1205">
        <v>171</v>
      </c>
      <c r="I72" s="644" t="s">
        <v>54</v>
      </c>
      <c r="J72" s="1205" t="s">
        <v>68</v>
      </c>
      <c r="K72" s="1206"/>
      <c r="L72" s="1207"/>
      <c r="M72" s="1209" t="s">
        <v>74</v>
      </c>
      <c r="N72" s="1422"/>
      <c r="O72" s="1209" t="s">
        <v>74</v>
      </c>
      <c r="P72" s="1199" t="s">
        <v>75</v>
      </c>
      <c r="Q72" s="1224"/>
      <c r="R72" s="1211"/>
      <c r="S72" s="1211"/>
      <c r="T72" s="1211"/>
      <c r="U72" s="1211"/>
      <c r="V72" s="1181">
        <v>12242</v>
      </c>
      <c r="W72" s="1181"/>
      <c r="X72" s="1181">
        <f>SUM(V72-W72)</f>
        <v>12242</v>
      </c>
      <c r="Y72" s="841">
        <f>IFERROR($W72/$V72, 0)</f>
        <v>0</v>
      </c>
      <c r="Z72" s="1171"/>
      <c r="AA72" s="1404"/>
      <c r="AB72" s="1404"/>
      <c r="AC72" s="1254"/>
      <c r="AD72" s="1173" t="s">
        <v>244</v>
      </c>
      <c r="AE72" s="1182"/>
    </row>
    <row r="73" spans="1:31" ht="24.75" customHeight="1">
      <c r="A73" s="1204"/>
      <c r="B73" s="1085"/>
      <c r="C73" s="1279"/>
      <c r="D73" s="628"/>
      <c r="E73" s="1203"/>
      <c r="F73" s="1204"/>
      <c r="G73" s="1204"/>
      <c r="H73" s="1205"/>
      <c r="I73" s="637"/>
      <c r="J73" s="1209"/>
      <c r="K73" s="1206"/>
      <c r="L73" s="1207"/>
      <c r="M73" s="1209"/>
      <c r="N73" s="1273"/>
      <c r="O73" s="1209"/>
      <c r="P73" s="1187"/>
      <c r="Q73" s="1224"/>
      <c r="R73" s="1211"/>
      <c r="S73" s="1211"/>
      <c r="T73" s="1211"/>
      <c r="U73" s="1211"/>
      <c r="V73" s="1181"/>
      <c r="W73" s="1181"/>
      <c r="X73" s="1181"/>
      <c r="Y73" s="841"/>
      <c r="Z73" s="1171"/>
      <c r="AA73" s="1404"/>
      <c r="AB73" s="1404"/>
      <c r="AC73" s="1254"/>
      <c r="AD73" s="1173"/>
      <c r="AE73" s="1182"/>
    </row>
    <row r="74" spans="1:31" ht="24.75" customHeight="1">
      <c r="A74" s="1204"/>
      <c r="B74" s="1206"/>
      <c r="C74" s="1206"/>
      <c r="D74" s="1206"/>
      <c r="E74" s="1206"/>
      <c r="F74" s="1204"/>
      <c r="G74" s="1204"/>
      <c r="H74" s="1206"/>
      <c r="I74" s="1206"/>
      <c r="J74" s="1206"/>
      <c r="K74" s="1206"/>
      <c r="L74" s="1204"/>
      <c r="M74" s="1206"/>
      <c r="N74" s="1274"/>
      <c r="O74" s="1206"/>
      <c r="P74" s="1182"/>
      <c r="AE74" s="1182"/>
    </row>
    <row r="75" spans="1:31" ht="24.75" customHeight="1">
      <c r="A75" s="1215" t="s">
        <v>245</v>
      </c>
      <c r="B75" s="1215" t="s">
        <v>20</v>
      </c>
      <c r="C75" s="1215" t="s">
        <v>21</v>
      </c>
      <c r="D75" s="1215" t="s">
        <v>22</v>
      </c>
      <c r="E75" s="1215" t="s">
        <v>23</v>
      </c>
      <c r="F75" s="1215" t="s">
        <v>24</v>
      </c>
      <c r="G75" s="1215" t="s">
        <v>25</v>
      </c>
      <c r="H75" s="1215" t="s">
        <v>26</v>
      </c>
      <c r="I75" s="1215" t="s">
        <v>27</v>
      </c>
      <c r="J75" s="1215" t="s">
        <v>28</v>
      </c>
      <c r="K75" s="1215" t="s">
        <v>29</v>
      </c>
      <c r="L75" s="1215" t="s">
        <v>30</v>
      </c>
      <c r="M75" s="1215" t="s">
        <v>31</v>
      </c>
      <c r="N75" s="1275" t="s">
        <v>32</v>
      </c>
      <c r="O75" s="1215" t="s">
        <v>33</v>
      </c>
      <c r="P75" s="1413" t="s">
        <v>34</v>
      </c>
      <c r="Q75" s="1408" t="s">
        <v>35</v>
      </c>
      <c r="R75" s="1408" t="s">
        <v>36</v>
      </c>
      <c r="S75" s="1408" t="s">
        <v>37</v>
      </c>
      <c r="T75" s="1408" t="s">
        <v>38</v>
      </c>
      <c r="U75" s="1408" t="s">
        <v>39</v>
      </c>
      <c r="V75" s="1408" t="s">
        <v>40</v>
      </c>
      <c r="W75" s="1408" t="s">
        <v>41</v>
      </c>
      <c r="X75" s="1409" t="s">
        <v>42</v>
      </c>
      <c r="Y75" s="1409" t="s">
        <v>43</v>
      </c>
      <c r="Z75" s="1407" t="s">
        <v>44</v>
      </c>
      <c r="AA75" s="1410" t="s">
        <v>45</v>
      </c>
      <c r="AB75" s="1411" t="s">
        <v>46</v>
      </c>
      <c r="AC75" s="1411" t="s">
        <v>47</v>
      </c>
      <c r="AD75" s="1412" t="s">
        <v>48</v>
      </c>
      <c r="AE75" s="1182"/>
    </row>
    <row r="76" spans="1:31" ht="24.75" customHeight="1">
      <c r="A76" s="1278" t="s">
        <v>246</v>
      </c>
      <c r="B76" s="1085" t="s">
        <v>247</v>
      </c>
      <c r="C76" s="1279">
        <v>46372</v>
      </c>
      <c r="D76" s="628"/>
      <c r="E76" s="1279"/>
      <c r="F76" s="1278"/>
      <c r="G76" s="1204"/>
      <c r="H76" s="1217">
        <v>60</v>
      </c>
      <c r="I76" s="644" t="s">
        <v>54</v>
      </c>
      <c r="J76" s="1205" t="s">
        <v>103</v>
      </c>
      <c r="K76" s="1205" t="s">
        <v>85</v>
      </c>
      <c r="L76" s="1279"/>
      <c r="M76" s="1209" t="s">
        <v>74</v>
      </c>
      <c r="N76" s="1422"/>
      <c r="O76" s="1209" t="s">
        <v>74</v>
      </c>
      <c r="P76" s="1199" t="s">
        <v>75</v>
      </c>
      <c r="Q76" s="1547"/>
      <c r="R76" s="1259"/>
      <c r="S76" s="1259"/>
      <c r="T76" s="1259"/>
      <c r="U76" s="1259"/>
      <c r="V76" s="1220">
        <v>7117</v>
      </c>
      <c r="W76" s="1181"/>
      <c r="X76" s="1220">
        <v>7117</v>
      </c>
      <c r="Y76" s="1086"/>
      <c r="Z76" s="1548"/>
      <c r="AA76" s="1197">
        <v>0</v>
      </c>
      <c r="AB76" s="1197">
        <v>0</v>
      </c>
      <c r="AC76" s="1196">
        <v>0</v>
      </c>
      <c r="AD76" s="1173"/>
      <c r="AE76" s="1182"/>
    </row>
    <row r="77" spans="1:31" ht="24.75" customHeight="1">
      <c r="A77" s="1278" t="s">
        <v>248</v>
      </c>
      <c r="B77" s="1085" t="s">
        <v>247</v>
      </c>
      <c r="C77" s="1279">
        <v>46372</v>
      </c>
      <c r="D77" s="628"/>
      <c r="E77" s="1279"/>
      <c r="F77" s="1278"/>
      <c r="G77" s="1204"/>
      <c r="H77" s="1217">
        <v>83</v>
      </c>
      <c r="I77" s="644" t="s">
        <v>54</v>
      </c>
      <c r="J77" s="1205" t="s">
        <v>103</v>
      </c>
      <c r="K77" s="1205" t="s">
        <v>85</v>
      </c>
      <c r="L77" s="1279"/>
      <c r="M77" s="1209" t="s">
        <v>74</v>
      </c>
      <c r="N77" s="1422"/>
      <c r="O77" s="1209" t="s">
        <v>74</v>
      </c>
      <c r="P77" s="1199" t="s">
        <v>75</v>
      </c>
      <c r="Q77" s="1547"/>
      <c r="R77" s="1259"/>
      <c r="S77" s="1259"/>
      <c r="T77" s="1259"/>
      <c r="U77" s="1259"/>
      <c r="V77" s="1220">
        <v>9590</v>
      </c>
      <c r="W77" s="1181"/>
      <c r="X77" s="1220">
        <v>9590</v>
      </c>
      <c r="Y77" s="1086"/>
      <c r="Z77" s="1548"/>
      <c r="AA77" s="1197">
        <v>0</v>
      </c>
      <c r="AB77" s="1197">
        <v>0</v>
      </c>
      <c r="AC77" s="1196">
        <v>0</v>
      </c>
      <c r="AD77" s="1173"/>
      <c r="AE77" s="1182"/>
    </row>
    <row r="78" spans="1:31" ht="24.75" customHeight="1">
      <c r="A78" s="1278" t="s">
        <v>249</v>
      </c>
      <c r="B78" s="1085" t="s">
        <v>247</v>
      </c>
      <c r="C78" s="1279">
        <v>46372</v>
      </c>
      <c r="D78" s="628"/>
      <c r="E78" s="1279"/>
      <c r="F78" s="1278"/>
      <c r="G78" s="1204"/>
      <c r="H78" s="1217">
        <v>84</v>
      </c>
      <c r="I78" s="644" t="s">
        <v>54</v>
      </c>
      <c r="J78" s="1205" t="s">
        <v>103</v>
      </c>
      <c r="K78" s="1205" t="s">
        <v>85</v>
      </c>
      <c r="L78" s="1279"/>
      <c r="M78" s="1209" t="s">
        <v>74</v>
      </c>
      <c r="N78" s="1422"/>
      <c r="O78" s="1209" t="s">
        <v>74</v>
      </c>
      <c r="P78" s="1199" t="s">
        <v>75</v>
      </c>
      <c r="Q78" s="1547"/>
      <c r="R78" s="1259"/>
      <c r="S78" s="1259"/>
      <c r="T78" s="1259"/>
      <c r="U78" s="1259"/>
      <c r="V78" s="1220">
        <v>9329</v>
      </c>
      <c r="W78" s="1181"/>
      <c r="X78" s="1220">
        <v>9329</v>
      </c>
      <c r="Y78" s="1086"/>
      <c r="Z78" s="1548"/>
      <c r="AA78" s="1197">
        <v>0</v>
      </c>
      <c r="AB78" s="1197">
        <v>0</v>
      </c>
      <c r="AC78" s="1196">
        <v>0</v>
      </c>
      <c r="AD78" s="1173"/>
      <c r="AE78" s="1182"/>
    </row>
    <row r="79" spans="1:31" ht="24.75" customHeight="1">
      <c r="A79" s="1278" t="s">
        <v>250</v>
      </c>
      <c r="B79" s="1085" t="s">
        <v>247</v>
      </c>
      <c r="C79" s="1279">
        <v>46372</v>
      </c>
      <c r="D79" s="628"/>
      <c r="E79" s="1279"/>
      <c r="F79" s="1278"/>
      <c r="G79" s="1204"/>
      <c r="H79" s="1217">
        <v>89</v>
      </c>
      <c r="I79" s="644" t="s">
        <v>54</v>
      </c>
      <c r="J79" s="1205" t="s">
        <v>103</v>
      </c>
      <c r="K79" s="1205" t="s">
        <v>85</v>
      </c>
      <c r="L79" s="1279"/>
      <c r="M79" s="1209" t="s">
        <v>74</v>
      </c>
      <c r="N79" s="1422"/>
      <c r="O79" s="1209" t="s">
        <v>74</v>
      </c>
      <c r="P79" s="1199" t="s">
        <v>75</v>
      </c>
      <c r="Q79" s="1547"/>
      <c r="R79" s="1259"/>
      <c r="S79" s="1259"/>
      <c r="T79" s="1259"/>
      <c r="U79" s="1259"/>
      <c r="V79" s="1220">
        <v>9709</v>
      </c>
      <c r="W79" s="1181"/>
      <c r="X79" s="1220">
        <v>9709</v>
      </c>
      <c r="Y79" s="1086"/>
      <c r="Z79" s="1548"/>
      <c r="AA79" s="1197">
        <v>0</v>
      </c>
      <c r="AB79" s="1197">
        <v>0</v>
      </c>
      <c r="AC79" s="1196">
        <v>0</v>
      </c>
      <c r="AD79" s="1173"/>
      <c r="AE79" s="1182"/>
    </row>
    <row r="80" spans="1:31" ht="24.75" customHeight="1">
      <c r="A80" s="1278" t="s">
        <v>251</v>
      </c>
      <c r="B80" s="1085" t="s">
        <v>247</v>
      </c>
      <c r="C80" s="1279">
        <v>46340</v>
      </c>
      <c r="D80" s="628"/>
      <c r="E80" s="1279"/>
      <c r="F80" s="1278"/>
      <c r="G80" s="1204"/>
      <c r="H80" s="1217">
        <v>79</v>
      </c>
      <c r="I80" s="644" t="s">
        <v>54</v>
      </c>
      <c r="J80" s="1205" t="s">
        <v>103</v>
      </c>
      <c r="K80" s="1205" t="s">
        <v>85</v>
      </c>
      <c r="L80" s="1279"/>
      <c r="M80" s="1209" t="s">
        <v>74</v>
      </c>
      <c r="N80" s="1422"/>
      <c r="O80" s="1209" t="s">
        <v>74</v>
      </c>
      <c r="P80" s="1199" t="s">
        <v>75</v>
      </c>
      <c r="Q80" s="1547"/>
      <c r="R80" s="1259"/>
      <c r="S80" s="1259"/>
      <c r="T80" s="1259"/>
      <c r="U80" s="1259"/>
      <c r="V80" s="1220">
        <v>9263</v>
      </c>
      <c r="W80" s="1181"/>
      <c r="X80" s="1220">
        <v>9263</v>
      </c>
      <c r="Y80" s="1086"/>
      <c r="Z80" s="1548"/>
      <c r="AA80" s="1197">
        <v>0</v>
      </c>
      <c r="AB80" s="1197">
        <v>0</v>
      </c>
      <c r="AC80" s="1196">
        <v>0</v>
      </c>
      <c r="AD80" s="1173"/>
      <c r="AE80" s="1182"/>
    </row>
    <row r="81" spans="1:31" ht="24.75" customHeight="1">
      <c r="A81" s="1278" t="s">
        <v>252</v>
      </c>
      <c r="B81" s="1085" t="s">
        <v>247</v>
      </c>
      <c r="C81" s="1279">
        <v>46340</v>
      </c>
      <c r="D81" s="628"/>
      <c r="E81" s="1279"/>
      <c r="F81" s="1278"/>
      <c r="G81" s="1204"/>
      <c r="H81" s="1217">
        <v>87</v>
      </c>
      <c r="I81" s="644" t="s">
        <v>54</v>
      </c>
      <c r="J81" s="1205" t="s">
        <v>103</v>
      </c>
      <c r="K81" s="1205" t="s">
        <v>85</v>
      </c>
      <c r="L81" s="1279"/>
      <c r="M81" s="1209" t="s">
        <v>74</v>
      </c>
      <c r="N81" s="1422"/>
      <c r="O81" s="1209" t="s">
        <v>74</v>
      </c>
      <c r="P81" s="1199" t="s">
        <v>75</v>
      </c>
      <c r="Q81" s="1547"/>
      <c r="R81" s="1259"/>
      <c r="S81" s="1259"/>
      <c r="T81" s="1259"/>
      <c r="U81" s="1259"/>
      <c r="V81" s="1220">
        <v>10385</v>
      </c>
      <c r="W81" s="1181"/>
      <c r="X81" s="1220">
        <v>10385</v>
      </c>
      <c r="Y81" s="1086"/>
      <c r="Z81" s="1548"/>
      <c r="AA81" s="1197">
        <v>0</v>
      </c>
      <c r="AB81" s="1197">
        <v>0</v>
      </c>
      <c r="AC81" s="1196">
        <v>0</v>
      </c>
      <c r="AD81" s="1173"/>
      <c r="AE81" s="1182"/>
    </row>
    <row r="82" spans="1:31" ht="24.75" customHeight="1">
      <c r="A82" s="1278" t="s">
        <v>253</v>
      </c>
      <c r="B82" s="1085" t="s">
        <v>247</v>
      </c>
      <c r="C82" s="1279">
        <v>46310</v>
      </c>
      <c r="D82" s="628"/>
      <c r="E82" s="1279"/>
      <c r="F82" s="1278"/>
      <c r="G82" s="1204"/>
      <c r="H82" s="1217">
        <v>86</v>
      </c>
      <c r="I82" s="644" t="s">
        <v>54</v>
      </c>
      <c r="J82" s="1205" t="s">
        <v>103</v>
      </c>
      <c r="K82" s="1205" t="s">
        <v>85</v>
      </c>
      <c r="L82" s="1279"/>
      <c r="M82" s="1209" t="s">
        <v>74</v>
      </c>
      <c r="N82" s="1422"/>
      <c r="O82" s="1209" t="s">
        <v>74</v>
      </c>
      <c r="P82" s="1199" t="s">
        <v>75</v>
      </c>
      <c r="Q82" s="1547"/>
      <c r="R82" s="1259"/>
      <c r="S82" s="1259"/>
      <c r="T82" s="1259"/>
      <c r="U82" s="1259"/>
      <c r="V82" s="1220">
        <v>9398</v>
      </c>
      <c r="W82" s="1181"/>
      <c r="X82" s="1220">
        <v>9398</v>
      </c>
      <c r="Y82" s="1086"/>
      <c r="Z82" s="1548"/>
      <c r="AA82" s="1197">
        <v>0</v>
      </c>
      <c r="AB82" s="1197">
        <v>0</v>
      </c>
      <c r="AC82" s="1196">
        <v>0</v>
      </c>
      <c r="AD82" s="1173"/>
      <c r="AE82" s="1182"/>
    </row>
    <row r="83" spans="1:31" ht="24.75" customHeight="1">
      <c r="A83" s="1278" t="s">
        <v>254</v>
      </c>
      <c r="B83" s="1085" t="s">
        <v>247</v>
      </c>
      <c r="C83" s="1279">
        <v>46310</v>
      </c>
      <c r="D83" s="628"/>
      <c r="E83" s="1279"/>
      <c r="F83" s="1278"/>
      <c r="G83" s="1204"/>
      <c r="H83" s="1217">
        <v>63</v>
      </c>
      <c r="I83" s="644" t="s">
        <v>54</v>
      </c>
      <c r="J83" s="1205" t="s">
        <v>103</v>
      </c>
      <c r="K83" s="1205" t="s">
        <v>85</v>
      </c>
      <c r="L83" s="1279"/>
      <c r="M83" s="1209" t="s">
        <v>74</v>
      </c>
      <c r="N83" s="1422"/>
      <c r="O83" s="1209" t="s">
        <v>74</v>
      </c>
      <c r="P83" s="1199" t="s">
        <v>75</v>
      </c>
      <c r="Q83" s="1547"/>
      <c r="R83" s="1259"/>
      <c r="S83" s="1259"/>
      <c r="T83" s="1259"/>
      <c r="U83" s="1259"/>
      <c r="V83" s="1220">
        <v>7517</v>
      </c>
      <c r="W83" s="1181"/>
      <c r="X83" s="1220">
        <v>7517</v>
      </c>
      <c r="Y83" s="1086"/>
      <c r="Z83" s="1548"/>
      <c r="AA83" s="1197">
        <v>0</v>
      </c>
      <c r="AB83" s="1197">
        <v>0</v>
      </c>
      <c r="AC83" s="1196">
        <v>0</v>
      </c>
      <c r="AD83" s="1173"/>
      <c r="AE83" s="1182"/>
    </row>
    <row r="84" spans="1:31" ht="24.75" customHeight="1">
      <c r="A84" s="1278" t="s">
        <v>255</v>
      </c>
      <c r="B84" s="1085" t="s">
        <v>247</v>
      </c>
      <c r="C84" s="1279">
        <v>46218</v>
      </c>
      <c r="D84" s="628"/>
      <c r="E84" s="1279"/>
      <c r="F84" s="1278"/>
      <c r="G84" s="1204"/>
      <c r="H84" s="1217">
        <v>78</v>
      </c>
      <c r="I84" s="644" t="s">
        <v>54</v>
      </c>
      <c r="J84" s="1205" t="s">
        <v>103</v>
      </c>
      <c r="K84" s="1205" t="s">
        <v>85</v>
      </c>
      <c r="L84" s="1279"/>
      <c r="M84" s="1209" t="s">
        <v>74</v>
      </c>
      <c r="N84" s="1422"/>
      <c r="O84" s="1209" t="s">
        <v>74</v>
      </c>
      <c r="P84" s="1199" t="s">
        <v>75</v>
      </c>
      <c r="Q84" s="1547"/>
      <c r="R84" s="1259"/>
      <c r="S84" s="1259"/>
      <c r="T84" s="1259"/>
      <c r="U84" s="1259"/>
      <c r="V84" s="1220">
        <v>5920</v>
      </c>
      <c r="W84" s="1181"/>
      <c r="X84" s="1220">
        <v>5920</v>
      </c>
      <c r="Y84" s="1086"/>
      <c r="Z84" s="1548"/>
      <c r="AA84" s="1197">
        <v>0</v>
      </c>
      <c r="AB84" s="1197">
        <v>0</v>
      </c>
      <c r="AC84" s="1196">
        <v>0</v>
      </c>
      <c r="AD84" s="1173"/>
      <c r="AE84" s="1182"/>
    </row>
    <row r="85" spans="1:31" ht="24.75" customHeight="1">
      <c r="A85" s="1278" t="s">
        <v>256</v>
      </c>
      <c r="B85" s="1085" t="s">
        <v>247</v>
      </c>
      <c r="C85" s="1279">
        <v>46310</v>
      </c>
      <c r="D85" s="628"/>
      <c r="E85" s="1279"/>
      <c r="F85" s="1278"/>
      <c r="G85" s="1204"/>
      <c r="H85" s="1217">
        <v>60</v>
      </c>
      <c r="I85" s="644" t="s">
        <v>54</v>
      </c>
      <c r="J85" s="1205" t="s">
        <v>103</v>
      </c>
      <c r="K85" s="1205" t="s">
        <v>85</v>
      </c>
      <c r="L85" s="1279"/>
      <c r="M85" s="1209" t="s">
        <v>74</v>
      </c>
      <c r="N85" s="1422"/>
      <c r="O85" s="1209" t="s">
        <v>74</v>
      </c>
      <c r="P85" s="1199" t="s">
        <v>75</v>
      </c>
      <c r="Q85" s="1547"/>
      <c r="R85" s="1259"/>
      <c r="S85" s="1259"/>
      <c r="T85" s="1259"/>
      <c r="U85" s="1259"/>
      <c r="V85" s="1220">
        <v>5589</v>
      </c>
      <c r="W85" s="1181"/>
      <c r="X85" s="1220">
        <v>5589</v>
      </c>
      <c r="Y85" s="1086"/>
      <c r="Z85" s="1548"/>
      <c r="AA85" s="1197">
        <v>0</v>
      </c>
      <c r="AB85" s="1197">
        <v>0</v>
      </c>
      <c r="AC85" s="1196">
        <v>0</v>
      </c>
      <c r="AD85" s="1173"/>
      <c r="AE85" s="1182"/>
    </row>
    <row r="86" spans="1:31" ht="24.75" customHeight="1">
      <c r="A86" s="1278" t="s">
        <v>257</v>
      </c>
      <c r="B86" s="1085" t="s">
        <v>247</v>
      </c>
      <c r="C86" s="1279">
        <v>46310</v>
      </c>
      <c r="D86" s="628"/>
      <c r="E86" s="1279"/>
      <c r="F86" s="1278"/>
      <c r="G86" s="1204"/>
      <c r="H86" s="1217">
        <v>60</v>
      </c>
      <c r="I86" s="644" t="s">
        <v>54</v>
      </c>
      <c r="J86" s="1205" t="s">
        <v>103</v>
      </c>
      <c r="K86" s="1205" t="s">
        <v>85</v>
      </c>
      <c r="L86" s="1279"/>
      <c r="M86" s="1209" t="s">
        <v>74</v>
      </c>
      <c r="N86" s="1422"/>
      <c r="O86" s="1209" t="s">
        <v>74</v>
      </c>
      <c r="P86" s="1199" t="s">
        <v>75</v>
      </c>
      <c r="Q86" s="1547"/>
      <c r="R86" s="1259"/>
      <c r="S86" s="1259"/>
      <c r="T86" s="1259"/>
      <c r="U86" s="1259"/>
      <c r="V86" s="1220">
        <v>5515</v>
      </c>
      <c r="W86" s="1181"/>
      <c r="X86" s="1220">
        <v>5515</v>
      </c>
      <c r="Y86" s="1086"/>
      <c r="Z86" s="1548"/>
      <c r="AA86" s="1197">
        <v>0</v>
      </c>
      <c r="AB86" s="1197">
        <v>0</v>
      </c>
      <c r="AC86" s="1196">
        <v>0</v>
      </c>
      <c r="AD86" s="1173"/>
      <c r="AE86" s="1182"/>
    </row>
    <row r="87" spans="1:31" ht="24.75" customHeight="1">
      <c r="A87" s="1278" t="s">
        <v>258</v>
      </c>
      <c r="B87" s="1085" t="s">
        <v>247</v>
      </c>
      <c r="C87" s="1279">
        <v>46188</v>
      </c>
      <c r="D87" s="628"/>
      <c r="E87" s="1279"/>
      <c r="F87" s="1278"/>
      <c r="G87" s="1204"/>
      <c r="H87" s="1217">
        <v>62</v>
      </c>
      <c r="I87" s="644" t="s">
        <v>54</v>
      </c>
      <c r="J87" s="1205" t="s">
        <v>103</v>
      </c>
      <c r="K87" s="1205" t="s">
        <v>85</v>
      </c>
      <c r="L87" s="1279"/>
      <c r="M87" s="1209" t="s">
        <v>74</v>
      </c>
      <c r="N87" s="1422"/>
      <c r="O87" s="1209" t="s">
        <v>74</v>
      </c>
      <c r="P87" s="1199" t="s">
        <v>75</v>
      </c>
      <c r="Q87" s="1547"/>
      <c r="R87" s="1259"/>
      <c r="S87" s="1259"/>
      <c r="T87" s="1259"/>
      <c r="U87" s="1259"/>
      <c r="V87" s="1220">
        <v>5191</v>
      </c>
      <c r="W87" s="1181"/>
      <c r="X87" s="1220">
        <v>5191</v>
      </c>
      <c r="Y87" s="1086"/>
      <c r="Z87" s="1548"/>
      <c r="AA87" s="1197">
        <v>0</v>
      </c>
      <c r="AB87" s="1197">
        <v>0</v>
      </c>
      <c r="AC87" s="1196">
        <v>0</v>
      </c>
      <c r="AD87" s="1173"/>
      <c r="AE87" s="1182"/>
    </row>
    <row r="88" spans="1:31" ht="24.75" customHeight="1">
      <c r="A88" s="1278" t="s">
        <v>259</v>
      </c>
      <c r="B88" s="1085" t="s">
        <v>247</v>
      </c>
      <c r="C88" s="1279">
        <v>46188</v>
      </c>
      <c r="D88" s="628"/>
      <c r="E88" s="1279"/>
      <c r="F88" s="1278"/>
      <c r="G88" s="1204"/>
      <c r="H88" s="1217">
        <v>60</v>
      </c>
      <c r="I88" s="644" t="s">
        <v>54</v>
      </c>
      <c r="J88" s="1205" t="s">
        <v>103</v>
      </c>
      <c r="K88" s="1205" t="s">
        <v>85</v>
      </c>
      <c r="L88" s="1279"/>
      <c r="M88" s="1209" t="s">
        <v>74</v>
      </c>
      <c r="N88" s="1422"/>
      <c r="O88" s="1209" t="s">
        <v>74</v>
      </c>
      <c r="P88" s="1199" t="s">
        <v>75</v>
      </c>
      <c r="Q88" s="1547"/>
      <c r="R88" s="1259"/>
      <c r="S88" s="1259"/>
      <c r="T88" s="1259"/>
      <c r="U88" s="1259"/>
      <c r="V88" s="1220">
        <v>5620</v>
      </c>
      <c r="W88" s="1181"/>
      <c r="X88" s="1220">
        <v>5620</v>
      </c>
      <c r="Y88" s="1086"/>
      <c r="Z88" s="1548"/>
      <c r="AA88" s="1197">
        <v>0</v>
      </c>
      <c r="AB88" s="1197">
        <v>0</v>
      </c>
      <c r="AC88" s="1196">
        <v>0</v>
      </c>
      <c r="AD88" s="1173"/>
      <c r="AE88" s="1182"/>
    </row>
    <row r="89" spans="1:31" ht="24.75" customHeight="1">
      <c r="A89" s="1278" t="s">
        <v>260</v>
      </c>
      <c r="B89" s="1085" t="s">
        <v>247</v>
      </c>
      <c r="C89" s="1279">
        <v>46127</v>
      </c>
      <c r="D89" s="628"/>
      <c r="E89" s="1279"/>
      <c r="F89" s="1278"/>
      <c r="G89" s="1204"/>
      <c r="H89" s="1217">
        <v>86</v>
      </c>
      <c r="I89" s="644" t="s">
        <v>54</v>
      </c>
      <c r="J89" s="1205" t="s">
        <v>103</v>
      </c>
      <c r="K89" s="1205" t="s">
        <v>85</v>
      </c>
      <c r="L89" s="1279"/>
      <c r="M89" s="1209" t="s">
        <v>74</v>
      </c>
      <c r="N89" s="1422"/>
      <c r="O89" s="1209" t="s">
        <v>74</v>
      </c>
      <c r="P89" s="1199" t="s">
        <v>75</v>
      </c>
      <c r="Q89" s="1547"/>
      <c r="R89" s="1259"/>
      <c r="S89" s="1259"/>
      <c r="T89" s="1259"/>
      <c r="U89" s="1259"/>
      <c r="V89" s="1220">
        <v>6864</v>
      </c>
      <c r="W89" s="1181"/>
      <c r="X89" s="1220">
        <v>6864</v>
      </c>
      <c r="Y89" s="1086"/>
      <c r="Z89" s="1548"/>
      <c r="AA89" s="1197">
        <v>0</v>
      </c>
      <c r="AB89" s="1197">
        <v>0</v>
      </c>
      <c r="AC89" s="1196">
        <v>0</v>
      </c>
      <c r="AD89" s="1173"/>
      <c r="AE89" s="1182"/>
    </row>
    <row r="90" spans="1:31" ht="24.75" customHeight="1">
      <c r="A90" s="1278" t="s">
        <v>261</v>
      </c>
      <c r="B90" s="1085" t="s">
        <v>247</v>
      </c>
      <c r="C90" s="1279">
        <v>46188</v>
      </c>
      <c r="D90" s="628"/>
      <c r="E90" s="1279"/>
      <c r="F90" s="1278"/>
      <c r="G90" s="1204"/>
      <c r="H90" s="1217">
        <v>89</v>
      </c>
      <c r="I90" s="644" t="s">
        <v>54</v>
      </c>
      <c r="J90" s="1205" t="s">
        <v>103</v>
      </c>
      <c r="K90" s="1205" t="s">
        <v>85</v>
      </c>
      <c r="L90" s="1279"/>
      <c r="M90" s="1209" t="s">
        <v>74</v>
      </c>
      <c r="N90" s="1422"/>
      <c r="O90" s="1209" t="s">
        <v>74</v>
      </c>
      <c r="P90" s="1199" t="s">
        <v>75</v>
      </c>
      <c r="Q90" s="1547"/>
      <c r="R90" s="1259"/>
      <c r="S90" s="1259"/>
      <c r="T90" s="1259"/>
      <c r="U90" s="1259"/>
      <c r="V90" s="1220">
        <v>6461</v>
      </c>
      <c r="W90" s="1181"/>
      <c r="X90" s="1220">
        <v>6461</v>
      </c>
      <c r="Y90" s="1086"/>
      <c r="Z90" s="1548"/>
      <c r="AA90" s="1197">
        <v>0</v>
      </c>
      <c r="AB90" s="1197">
        <v>0</v>
      </c>
      <c r="AC90" s="1196">
        <v>0</v>
      </c>
      <c r="AD90" s="1173"/>
      <c r="AE90" s="1182"/>
    </row>
    <row r="91" spans="1:31" ht="24.75" customHeight="1">
      <c r="A91" s="1278" t="s">
        <v>262</v>
      </c>
      <c r="B91" s="1085" t="s">
        <v>247</v>
      </c>
      <c r="C91" s="1279">
        <v>46127</v>
      </c>
      <c r="D91" s="628"/>
      <c r="E91" s="1279"/>
      <c r="F91" s="1278"/>
      <c r="G91" s="1204"/>
      <c r="H91" s="1217">
        <v>25</v>
      </c>
      <c r="I91" s="644" t="s">
        <v>54</v>
      </c>
      <c r="J91" s="1205" t="s">
        <v>103</v>
      </c>
      <c r="K91" s="1205" t="s">
        <v>85</v>
      </c>
      <c r="L91" s="1279"/>
      <c r="M91" s="1209" t="s">
        <v>74</v>
      </c>
      <c r="N91" s="1422"/>
      <c r="O91" s="1209" t="s">
        <v>74</v>
      </c>
      <c r="P91" s="1199" t="s">
        <v>75</v>
      </c>
      <c r="Q91" s="1547"/>
      <c r="R91" s="1259"/>
      <c r="S91" s="1259"/>
      <c r="T91" s="1259"/>
      <c r="U91" s="1259"/>
      <c r="V91" s="1220">
        <v>2790</v>
      </c>
      <c r="W91" s="1181"/>
      <c r="X91" s="1220">
        <v>2790</v>
      </c>
      <c r="Y91" s="1086"/>
      <c r="Z91" s="1548"/>
      <c r="AA91" s="1197">
        <v>0</v>
      </c>
      <c r="AB91" s="1197">
        <v>0</v>
      </c>
      <c r="AC91" s="1196">
        <v>0</v>
      </c>
      <c r="AD91" s="1173"/>
      <c r="AE91" s="1182"/>
    </row>
    <row r="92" spans="1:31" ht="24.75" customHeight="1">
      <c r="A92" s="1278" t="s">
        <v>263</v>
      </c>
      <c r="B92" s="1085" t="s">
        <v>247</v>
      </c>
      <c r="C92" s="1279">
        <v>46127</v>
      </c>
      <c r="D92" s="628"/>
      <c r="E92" s="1279"/>
      <c r="F92" s="1278"/>
      <c r="G92" s="1204"/>
      <c r="H92" s="1217">
        <v>79</v>
      </c>
      <c r="I92" s="644" t="s">
        <v>54</v>
      </c>
      <c r="J92" s="1205" t="s">
        <v>103</v>
      </c>
      <c r="K92" s="1205" t="s">
        <v>85</v>
      </c>
      <c r="L92" s="1279"/>
      <c r="M92" s="1209" t="s">
        <v>74</v>
      </c>
      <c r="N92" s="1422"/>
      <c r="O92" s="1209" t="s">
        <v>74</v>
      </c>
      <c r="P92" s="1199" t="s">
        <v>75</v>
      </c>
      <c r="Q92" s="1547"/>
      <c r="R92" s="1259"/>
      <c r="S92" s="1259"/>
      <c r="T92" s="1259"/>
      <c r="U92" s="1259"/>
      <c r="V92" s="1220">
        <v>7368</v>
      </c>
      <c r="W92" s="1181"/>
      <c r="X92" s="1220">
        <v>7368</v>
      </c>
      <c r="Y92" s="1086"/>
      <c r="Z92" s="1548"/>
      <c r="AA92" s="1197">
        <v>0</v>
      </c>
      <c r="AB92" s="1197">
        <v>0</v>
      </c>
      <c r="AC92" s="1196">
        <v>0</v>
      </c>
      <c r="AD92" s="1173"/>
      <c r="AE92" s="1182"/>
    </row>
    <row r="93" spans="1:31" ht="24.75" customHeight="1">
      <c r="A93" s="1278" t="s">
        <v>264</v>
      </c>
      <c r="B93" s="1085" t="s">
        <v>247</v>
      </c>
      <c r="C93" s="1279">
        <v>46188</v>
      </c>
      <c r="D93" s="628"/>
      <c r="E93" s="1279"/>
      <c r="F93" s="1278"/>
      <c r="G93" s="1204"/>
      <c r="H93" s="1217">
        <v>84</v>
      </c>
      <c r="I93" s="644" t="s">
        <v>54</v>
      </c>
      <c r="J93" s="1205" t="s">
        <v>103</v>
      </c>
      <c r="K93" s="1205" t="s">
        <v>85</v>
      </c>
      <c r="L93" s="1279"/>
      <c r="M93" s="1209" t="s">
        <v>74</v>
      </c>
      <c r="N93" s="1422"/>
      <c r="O93" s="1209" t="s">
        <v>74</v>
      </c>
      <c r="P93" s="1199" t="s">
        <v>75</v>
      </c>
      <c r="Q93" s="1547"/>
      <c r="R93" s="1259"/>
      <c r="S93" s="1259"/>
      <c r="T93" s="1259"/>
      <c r="U93" s="1259"/>
      <c r="V93" s="1220">
        <v>7844</v>
      </c>
      <c r="W93" s="1181"/>
      <c r="X93" s="1220">
        <v>7844</v>
      </c>
      <c r="Y93" s="1086"/>
      <c r="Z93" s="1548"/>
      <c r="AA93" s="1197">
        <v>0</v>
      </c>
      <c r="AB93" s="1197">
        <v>0</v>
      </c>
      <c r="AC93" s="1196">
        <v>0</v>
      </c>
      <c r="AD93" s="1173"/>
      <c r="AE93" s="1182"/>
    </row>
    <row r="94" spans="1:31" ht="24.75" customHeight="1">
      <c r="A94" s="1278" t="s">
        <v>265</v>
      </c>
      <c r="B94" s="1085" t="s">
        <v>247</v>
      </c>
      <c r="C94" s="1279">
        <v>46188</v>
      </c>
      <c r="D94" s="628"/>
      <c r="E94" s="1279"/>
      <c r="F94" s="1278"/>
      <c r="G94" s="1204"/>
      <c r="H94" s="1217">
        <v>88</v>
      </c>
      <c r="I94" s="644" t="s">
        <v>54</v>
      </c>
      <c r="J94" s="1205" t="s">
        <v>103</v>
      </c>
      <c r="K94" s="1205" t="s">
        <v>85</v>
      </c>
      <c r="L94" s="1279"/>
      <c r="M94" s="1209" t="s">
        <v>74</v>
      </c>
      <c r="N94" s="1422"/>
      <c r="O94" s="1209" t="s">
        <v>74</v>
      </c>
      <c r="P94" s="1199" t="s">
        <v>75</v>
      </c>
      <c r="Q94" s="1547"/>
      <c r="R94" s="1259"/>
      <c r="S94" s="1259"/>
      <c r="T94" s="1259"/>
      <c r="U94" s="1259"/>
      <c r="V94" s="1220">
        <v>8148</v>
      </c>
      <c r="W94" s="1181"/>
      <c r="X94" s="1220">
        <v>8148</v>
      </c>
      <c r="Y94" s="1086"/>
      <c r="Z94" s="1548"/>
      <c r="AA94" s="1197">
        <v>0</v>
      </c>
      <c r="AB94" s="1197">
        <v>0</v>
      </c>
      <c r="AC94" s="1196">
        <v>0</v>
      </c>
      <c r="AD94" s="1173"/>
      <c r="AE94" s="1182"/>
    </row>
    <row r="95" spans="1:31" ht="24.75" customHeight="1">
      <c r="A95" s="1278" t="s">
        <v>266</v>
      </c>
      <c r="B95" s="1085" t="s">
        <v>247</v>
      </c>
      <c r="C95" s="1279">
        <v>46157</v>
      </c>
      <c r="D95" s="628"/>
      <c r="E95" s="1279"/>
      <c r="F95" s="1278"/>
      <c r="G95" s="1204"/>
      <c r="H95" s="1217">
        <v>60</v>
      </c>
      <c r="I95" s="644" t="s">
        <v>54</v>
      </c>
      <c r="J95" s="1205" t="s">
        <v>103</v>
      </c>
      <c r="K95" s="1205" t="s">
        <v>85</v>
      </c>
      <c r="L95" s="1279"/>
      <c r="M95" s="1209" t="s">
        <v>74</v>
      </c>
      <c r="N95" s="1422"/>
      <c r="O95" s="1209" t="s">
        <v>74</v>
      </c>
      <c r="P95" s="1199" t="s">
        <v>75</v>
      </c>
      <c r="Q95" s="1547"/>
      <c r="R95" s="1259"/>
      <c r="S95" s="1259"/>
      <c r="T95" s="1259"/>
      <c r="U95" s="1259"/>
      <c r="V95" s="1220">
        <v>6829</v>
      </c>
      <c r="W95" s="1181"/>
      <c r="X95" s="1220">
        <v>6829</v>
      </c>
      <c r="Y95" s="1086"/>
      <c r="Z95" s="1548"/>
      <c r="AA95" s="1197">
        <v>0</v>
      </c>
      <c r="AB95" s="1197">
        <v>0</v>
      </c>
      <c r="AC95" s="1196">
        <v>0</v>
      </c>
      <c r="AD95" s="1173"/>
      <c r="AE95" s="1182"/>
    </row>
    <row r="96" spans="1:31" ht="24.75" customHeight="1">
      <c r="A96" s="1278" t="s">
        <v>267</v>
      </c>
      <c r="B96" s="1085" t="s">
        <v>247</v>
      </c>
      <c r="C96" s="1279">
        <v>46188</v>
      </c>
      <c r="D96" s="628"/>
      <c r="E96" s="1279"/>
      <c r="F96" s="1278"/>
      <c r="G96" s="1204"/>
      <c r="H96" s="1217">
        <v>61</v>
      </c>
      <c r="I96" s="644" t="s">
        <v>54</v>
      </c>
      <c r="J96" s="1205" t="s">
        <v>103</v>
      </c>
      <c r="K96" s="1205" t="s">
        <v>85</v>
      </c>
      <c r="L96" s="1279"/>
      <c r="M96" s="1209" t="s">
        <v>74</v>
      </c>
      <c r="N96" s="1422"/>
      <c r="O96" s="1209" t="s">
        <v>74</v>
      </c>
      <c r="P96" s="1199" t="s">
        <v>75</v>
      </c>
      <c r="Q96" s="1547"/>
      <c r="R96" s="1259"/>
      <c r="S96" s="1259"/>
      <c r="T96" s="1259"/>
      <c r="U96" s="1259"/>
      <c r="V96" s="1220">
        <v>6157</v>
      </c>
      <c r="W96" s="1181"/>
      <c r="X96" s="1220">
        <v>6157</v>
      </c>
      <c r="Y96" s="1086"/>
      <c r="Z96" s="1548"/>
      <c r="AA96" s="1197">
        <v>0</v>
      </c>
      <c r="AB96" s="1197">
        <v>0</v>
      </c>
      <c r="AC96" s="1196">
        <v>0</v>
      </c>
      <c r="AD96" s="1173"/>
      <c r="AE96" s="1182"/>
    </row>
    <row r="97" spans="1:31" ht="24.75" customHeight="1">
      <c r="A97" s="1278" t="s">
        <v>268</v>
      </c>
      <c r="B97" s="1085" t="s">
        <v>247</v>
      </c>
      <c r="C97" s="1279">
        <v>46188</v>
      </c>
      <c r="D97" s="628"/>
      <c r="E97" s="1279"/>
      <c r="F97" s="1278"/>
      <c r="G97" s="1204"/>
      <c r="H97" s="1217">
        <v>89</v>
      </c>
      <c r="I97" s="644" t="s">
        <v>54</v>
      </c>
      <c r="J97" s="1205" t="s">
        <v>103</v>
      </c>
      <c r="K97" s="1205" t="s">
        <v>85</v>
      </c>
      <c r="L97" s="1279"/>
      <c r="M97" s="1209" t="s">
        <v>74</v>
      </c>
      <c r="N97" s="1422"/>
      <c r="O97" s="1209" t="s">
        <v>74</v>
      </c>
      <c r="P97" s="1199" t="s">
        <v>75</v>
      </c>
      <c r="Q97" s="1547"/>
      <c r="R97" s="1259"/>
      <c r="S97" s="1259"/>
      <c r="T97" s="1259"/>
      <c r="U97" s="1259"/>
      <c r="V97" s="1220">
        <v>9537</v>
      </c>
      <c r="W97" s="1181"/>
      <c r="X97" s="1220">
        <v>9537</v>
      </c>
      <c r="Y97" s="1086"/>
      <c r="Z97" s="1548"/>
      <c r="AA97" s="1197">
        <v>0</v>
      </c>
      <c r="AB97" s="1197">
        <v>0</v>
      </c>
      <c r="AC97" s="1196">
        <v>0</v>
      </c>
      <c r="AD97" s="1173"/>
      <c r="AE97" s="1182"/>
    </row>
    <row r="98" spans="1:31" ht="24.75" customHeight="1">
      <c r="A98" s="1278" t="s">
        <v>269</v>
      </c>
      <c r="B98" s="1085" t="s">
        <v>247</v>
      </c>
      <c r="C98" s="1279">
        <v>46188</v>
      </c>
      <c r="D98" s="628"/>
      <c r="E98" s="1279"/>
      <c r="F98" s="1278"/>
      <c r="G98" s="1204"/>
      <c r="H98" s="1217">
        <v>87</v>
      </c>
      <c r="I98" s="644" t="s">
        <v>54</v>
      </c>
      <c r="J98" s="1205" t="s">
        <v>103</v>
      </c>
      <c r="K98" s="1205" t="s">
        <v>85</v>
      </c>
      <c r="L98" s="1279"/>
      <c r="M98" s="1209" t="s">
        <v>74</v>
      </c>
      <c r="N98" s="1422"/>
      <c r="O98" s="1209" t="s">
        <v>74</v>
      </c>
      <c r="P98" s="1199" t="s">
        <v>75</v>
      </c>
      <c r="Q98" s="1547"/>
      <c r="R98" s="1259"/>
      <c r="S98" s="1259"/>
      <c r="T98" s="1259"/>
      <c r="U98" s="1259"/>
      <c r="V98" s="1220">
        <v>6796</v>
      </c>
      <c r="W98" s="1181"/>
      <c r="X98" s="1220">
        <v>6796</v>
      </c>
      <c r="Y98" s="1086"/>
      <c r="Z98" s="1548"/>
      <c r="AA98" s="1197">
        <v>0</v>
      </c>
      <c r="AB98" s="1197">
        <v>0</v>
      </c>
      <c r="AC98" s="1196">
        <v>0</v>
      </c>
      <c r="AD98" s="1173"/>
      <c r="AE98" s="1182"/>
    </row>
    <row r="99" spans="1:31" ht="24.75" customHeight="1">
      <c r="A99" s="1278" t="s">
        <v>270</v>
      </c>
      <c r="B99" s="1085" t="s">
        <v>247</v>
      </c>
      <c r="C99" s="1279">
        <v>46188</v>
      </c>
      <c r="D99" s="628"/>
      <c r="E99" s="1279"/>
      <c r="F99" s="1278"/>
      <c r="G99" s="1204"/>
      <c r="H99" s="1217">
        <v>76</v>
      </c>
      <c r="I99" s="644" t="s">
        <v>54</v>
      </c>
      <c r="J99" s="1205" t="s">
        <v>103</v>
      </c>
      <c r="K99" s="1205" t="s">
        <v>85</v>
      </c>
      <c r="L99" s="1279"/>
      <c r="M99" s="1209" t="s">
        <v>74</v>
      </c>
      <c r="N99" s="1422"/>
      <c r="O99" s="1209" t="s">
        <v>74</v>
      </c>
      <c r="P99" s="1199" t="s">
        <v>75</v>
      </c>
      <c r="Q99" s="1547"/>
      <c r="R99" s="1259"/>
      <c r="S99" s="1259"/>
      <c r="T99" s="1259"/>
      <c r="U99" s="1259"/>
      <c r="V99" s="1220">
        <v>6149</v>
      </c>
      <c r="W99" s="1181"/>
      <c r="X99" s="1220">
        <v>6149</v>
      </c>
      <c r="Y99" s="1086"/>
      <c r="Z99" s="1548"/>
      <c r="AA99" s="1197">
        <v>0</v>
      </c>
      <c r="AB99" s="1197">
        <v>0</v>
      </c>
      <c r="AC99" s="1196">
        <v>0</v>
      </c>
      <c r="AD99" s="1173"/>
      <c r="AE99" s="1182"/>
    </row>
    <row r="100" spans="1:31" ht="24.75" customHeight="1">
      <c r="A100" s="1278" t="s">
        <v>271</v>
      </c>
      <c r="B100" s="1085" t="s">
        <v>247</v>
      </c>
      <c r="C100" s="1279">
        <v>46188</v>
      </c>
      <c r="D100" s="628"/>
      <c r="E100" s="1279"/>
      <c r="F100" s="1278"/>
      <c r="G100" s="1204"/>
      <c r="H100" s="1217">
        <v>89</v>
      </c>
      <c r="I100" s="644" t="s">
        <v>54</v>
      </c>
      <c r="J100" s="1205" t="s">
        <v>103</v>
      </c>
      <c r="K100" s="1205" t="s">
        <v>85</v>
      </c>
      <c r="L100" s="1279"/>
      <c r="M100" s="1209" t="s">
        <v>74</v>
      </c>
      <c r="N100" s="1422"/>
      <c r="O100" s="1209" t="s">
        <v>74</v>
      </c>
      <c r="P100" s="1199" t="s">
        <v>75</v>
      </c>
      <c r="Q100" s="1547"/>
      <c r="R100" s="1259"/>
      <c r="S100" s="1259"/>
      <c r="T100" s="1259"/>
      <c r="U100" s="1259"/>
      <c r="V100" s="1220">
        <v>6284</v>
      </c>
      <c r="W100" s="1181"/>
      <c r="X100" s="1220">
        <v>6284</v>
      </c>
      <c r="Y100" s="1086"/>
      <c r="Z100" s="1548"/>
      <c r="AA100" s="1197">
        <v>0</v>
      </c>
      <c r="AB100" s="1197">
        <v>0</v>
      </c>
      <c r="AC100" s="1196">
        <v>0</v>
      </c>
      <c r="AD100" s="1173"/>
      <c r="AE100" s="1182"/>
    </row>
    <row r="101" spans="1:31" ht="24.75" customHeight="1">
      <c r="A101" s="1278" t="s">
        <v>272</v>
      </c>
      <c r="B101" s="1085" t="s">
        <v>247</v>
      </c>
      <c r="C101" s="1279">
        <v>46188</v>
      </c>
      <c r="D101" s="628"/>
      <c r="E101" s="1279"/>
      <c r="F101" s="1278"/>
      <c r="G101" s="1204"/>
      <c r="H101" s="1217">
        <v>85</v>
      </c>
      <c r="I101" s="644" t="s">
        <v>54</v>
      </c>
      <c r="J101" s="1205" t="s">
        <v>103</v>
      </c>
      <c r="K101" s="1205" t="s">
        <v>85</v>
      </c>
      <c r="L101" s="1279"/>
      <c r="M101" s="1209" t="s">
        <v>74</v>
      </c>
      <c r="N101" s="1422"/>
      <c r="O101" s="1209" t="s">
        <v>74</v>
      </c>
      <c r="P101" s="1199" t="s">
        <v>75</v>
      </c>
      <c r="Q101" s="1547"/>
      <c r="R101" s="1259"/>
      <c r="S101" s="1259"/>
      <c r="T101" s="1259"/>
      <c r="U101" s="1259"/>
      <c r="V101" s="1220">
        <v>7743</v>
      </c>
      <c r="W101" s="1181"/>
      <c r="X101" s="1220">
        <v>7743</v>
      </c>
      <c r="Y101" s="1086"/>
      <c r="Z101" s="1548"/>
      <c r="AA101" s="1197">
        <v>0</v>
      </c>
      <c r="AB101" s="1197">
        <v>0</v>
      </c>
      <c r="AC101" s="1196">
        <v>0</v>
      </c>
      <c r="AD101" s="1173"/>
      <c r="AE101" s="1182"/>
    </row>
    <row r="102" spans="1:31" ht="24.75" customHeight="1">
      <c r="A102" s="1278" t="s">
        <v>273</v>
      </c>
      <c r="B102" s="1085" t="s">
        <v>247</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47"/>
      <c r="R102" s="1259"/>
      <c r="S102" s="1259"/>
      <c r="T102" s="1259"/>
      <c r="U102" s="1259"/>
      <c r="V102" s="1220">
        <v>6932</v>
      </c>
      <c r="W102" s="1181"/>
      <c r="X102" s="1220">
        <v>6932</v>
      </c>
      <c r="Y102" s="1086"/>
      <c r="Z102" s="1548"/>
      <c r="AA102" s="1197">
        <v>0</v>
      </c>
      <c r="AB102" s="1197">
        <v>0</v>
      </c>
      <c r="AC102" s="1196">
        <v>0</v>
      </c>
      <c r="AD102" s="1173"/>
      <c r="AE102" s="1182"/>
    </row>
    <row r="103" spans="1:31" ht="24.75" customHeight="1">
      <c r="A103" s="1278" t="s">
        <v>274</v>
      </c>
      <c r="B103" s="1085" t="s">
        <v>247</v>
      </c>
      <c r="C103" s="1279">
        <v>46127</v>
      </c>
      <c r="D103" s="628"/>
      <c r="E103" s="1279"/>
      <c r="F103" s="1278"/>
      <c r="G103" s="1204"/>
      <c r="H103" s="1217">
        <v>87</v>
      </c>
      <c r="I103" s="644" t="s">
        <v>54</v>
      </c>
      <c r="J103" s="1205" t="s">
        <v>103</v>
      </c>
      <c r="K103" s="1205" t="s">
        <v>85</v>
      </c>
      <c r="L103" s="1279"/>
      <c r="M103" s="1209" t="s">
        <v>74</v>
      </c>
      <c r="N103" s="1422"/>
      <c r="O103" s="1209" t="s">
        <v>74</v>
      </c>
      <c r="P103" s="1199" t="s">
        <v>75</v>
      </c>
      <c r="Q103" s="1547"/>
      <c r="R103" s="1259"/>
      <c r="S103" s="1259"/>
      <c r="T103" s="1259"/>
      <c r="U103" s="1259"/>
      <c r="V103" s="1220">
        <v>6213</v>
      </c>
      <c r="W103" s="1181"/>
      <c r="X103" s="1220">
        <v>6213</v>
      </c>
      <c r="Y103" s="1086"/>
      <c r="Z103" s="1548"/>
      <c r="AA103" s="1197">
        <v>0</v>
      </c>
      <c r="AB103" s="1197">
        <v>0</v>
      </c>
      <c r="AC103" s="1196">
        <v>0</v>
      </c>
      <c r="AD103" s="1173"/>
      <c r="AE103" s="1182"/>
    </row>
    <row r="104" spans="1:31" ht="24.75" customHeight="1">
      <c r="A104" s="1278" t="s">
        <v>275</v>
      </c>
      <c r="B104" s="1085" t="s">
        <v>247</v>
      </c>
      <c r="C104" s="1279">
        <v>46127</v>
      </c>
      <c r="D104" s="628"/>
      <c r="E104" s="1279"/>
      <c r="F104" s="1278"/>
      <c r="G104" s="1204"/>
      <c r="H104" s="1217">
        <v>52</v>
      </c>
      <c r="I104" s="644" t="s">
        <v>54</v>
      </c>
      <c r="J104" s="1205" t="s">
        <v>103</v>
      </c>
      <c r="K104" s="1205" t="s">
        <v>85</v>
      </c>
      <c r="L104" s="1279"/>
      <c r="M104" s="1209" t="s">
        <v>74</v>
      </c>
      <c r="N104" s="1422"/>
      <c r="O104" s="1209" t="s">
        <v>74</v>
      </c>
      <c r="P104" s="1199" t="s">
        <v>75</v>
      </c>
      <c r="Q104" s="1547"/>
      <c r="R104" s="1259"/>
      <c r="S104" s="1259"/>
      <c r="T104" s="1259"/>
      <c r="U104" s="1259"/>
      <c r="V104" s="1220">
        <v>4339</v>
      </c>
      <c r="W104" s="1181"/>
      <c r="X104" s="1220">
        <v>4339</v>
      </c>
      <c r="Y104" s="1086"/>
      <c r="Z104" s="1548"/>
      <c r="AA104" s="1197">
        <v>0</v>
      </c>
      <c r="AB104" s="1197">
        <v>0</v>
      </c>
      <c r="AC104" s="1196">
        <v>0</v>
      </c>
      <c r="AD104" s="1173"/>
      <c r="AE104" s="1182"/>
    </row>
    <row r="105" spans="1:31" ht="24.75" customHeight="1">
      <c r="A105" s="1278" t="s">
        <v>276</v>
      </c>
      <c r="B105" s="1085" t="s">
        <v>247</v>
      </c>
      <c r="C105" s="1279">
        <v>46127</v>
      </c>
      <c r="D105" s="628"/>
      <c r="E105" s="1279"/>
      <c r="F105" s="1278"/>
      <c r="G105" s="1204"/>
      <c r="H105" s="1217">
        <v>48</v>
      </c>
      <c r="I105" s="644" t="s">
        <v>54</v>
      </c>
      <c r="J105" s="1205" t="s">
        <v>103</v>
      </c>
      <c r="K105" s="1205" t="s">
        <v>85</v>
      </c>
      <c r="L105" s="1279"/>
      <c r="M105" s="1209" t="s">
        <v>74</v>
      </c>
      <c r="N105" s="1422"/>
      <c r="O105" s="1209" t="s">
        <v>74</v>
      </c>
      <c r="P105" s="1199" t="s">
        <v>75</v>
      </c>
      <c r="Q105" s="1547"/>
      <c r="R105" s="1259"/>
      <c r="S105" s="1259"/>
      <c r="T105" s="1259"/>
      <c r="U105" s="1259"/>
      <c r="V105" s="1220">
        <v>3940</v>
      </c>
      <c r="W105" s="1181"/>
      <c r="X105" s="1220">
        <v>3940</v>
      </c>
      <c r="Y105" s="1086"/>
      <c r="Z105" s="1548"/>
      <c r="AA105" s="1197">
        <v>0</v>
      </c>
      <c r="AB105" s="1197">
        <v>0</v>
      </c>
      <c r="AC105" s="1196">
        <v>0</v>
      </c>
      <c r="AD105" s="1173"/>
      <c r="AE105" s="1182"/>
    </row>
    <row r="106" spans="1:31" ht="24.75" customHeight="1">
      <c r="A106" s="1278" t="s">
        <v>277</v>
      </c>
      <c r="B106" s="1085" t="s">
        <v>247</v>
      </c>
      <c r="C106" s="1279">
        <v>46218</v>
      </c>
      <c r="D106" s="628"/>
      <c r="E106" s="1279"/>
      <c r="F106" s="1278"/>
      <c r="G106" s="1204"/>
      <c r="H106" s="1217">
        <v>88</v>
      </c>
      <c r="I106" s="644" t="s">
        <v>54</v>
      </c>
      <c r="J106" s="1205" t="s">
        <v>103</v>
      </c>
      <c r="K106" s="1205" t="s">
        <v>85</v>
      </c>
      <c r="L106" s="1279"/>
      <c r="M106" s="1209" t="s">
        <v>74</v>
      </c>
      <c r="N106" s="1422"/>
      <c r="O106" s="1209" t="s">
        <v>74</v>
      </c>
      <c r="P106" s="1199" t="s">
        <v>75</v>
      </c>
      <c r="Q106" s="1547"/>
      <c r="R106" s="1259"/>
      <c r="S106" s="1259"/>
      <c r="T106" s="1259"/>
      <c r="U106" s="1259"/>
      <c r="V106" s="1220">
        <v>6855</v>
      </c>
      <c r="W106" s="1181"/>
      <c r="X106" s="1220">
        <v>6855</v>
      </c>
      <c r="Y106" s="1086"/>
      <c r="Z106" s="1548"/>
      <c r="AA106" s="1197">
        <v>0</v>
      </c>
      <c r="AB106" s="1197">
        <v>0</v>
      </c>
      <c r="AC106" s="1196">
        <v>0</v>
      </c>
      <c r="AD106" s="1173"/>
      <c r="AE106" s="1182"/>
    </row>
    <row r="107" spans="1:31" ht="24.75" customHeight="1">
      <c r="A107" s="1278" t="s">
        <v>278</v>
      </c>
      <c r="B107" s="1085" t="s">
        <v>247</v>
      </c>
      <c r="C107" s="1279">
        <v>46127</v>
      </c>
      <c r="D107" s="628"/>
      <c r="E107" s="1279"/>
      <c r="F107" s="1278"/>
      <c r="G107" s="1204"/>
      <c r="H107" s="1217">
        <v>90</v>
      </c>
      <c r="I107" s="644" t="s">
        <v>54</v>
      </c>
      <c r="J107" s="1205" t="s">
        <v>103</v>
      </c>
      <c r="K107" s="1205" t="s">
        <v>85</v>
      </c>
      <c r="L107" s="1279"/>
      <c r="M107" s="1209" t="s">
        <v>74</v>
      </c>
      <c r="N107" s="1422"/>
      <c r="O107" s="1209" t="s">
        <v>74</v>
      </c>
      <c r="P107" s="1199" t="s">
        <v>75</v>
      </c>
      <c r="Q107" s="1547"/>
      <c r="R107" s="1259"/>
      <c r="S107" s="1259"/>
      <c r="T107" s="1259"/>
      <c r="U107" s="1259"/>
      <c r="V107" s="1220">
        <v>7147</v>
      </c>
      <c r="W107" s="1181"/>
      <c r="X107" s="1220">
        <v>7147</v>
      </c>
      <c r="Y107" s="1086"/>
      <c r="Z107" s="1548"/>
      <c r="AA107" s="1197">
        <v>0</v>
      </c>
      <c r="AB107" s="1197">
        <v>0</v>
      </c>
      <c r="AC107" s="1196">
        <v>0</v>
      </c>
      <c r="AD107" s="1173"/>
      <c r="AE107" s="1182"/>
    </row>
    <row r="108" spans="1:31" ht="24.75" customHeight="1">
      <c r="A108" s="1278" t="s">
        <v>279</v>
      </c>
      <c r="B108" s="1085" t="s">
        <v>247</v>
      </c>
      <c r="C108" s="1279">
        <v>46127</v>
      </c>
      <c r="D108" s="628"/>
      <c r="E108" s="1279"/>
      <c r="F108" s="1278"/>
      <c r="G108" s="1204"/>
      <c r="H108" s="1217">
        <v>83</v>
      </c>
      <c r="I108" s="644" t="s">
        <v>54</v>
      </c>
      <c r="J108" s="1205" t="s">
        <v>103</v>
      </c>
      <c r="K108" s="1205" t="s">
        <v>85</v>
      </c>
      <c r="L108" s="1279"/>
      <c r="M108" s="1209" t="s">
        <v>74</v>
      </c>
      <c r="N108" s="1422"/>
      <c r="O108" s="1209" t="s">
        <v>74</v>
      </c>
      <c r="P108" s="1199" t="s">
        <v>75</v>
      </c>
      <c r="Q108" s="1547"/>
      <c r="R108" s="1259"/>
      <c r="S108" s="1259"/>
      <c r="T108" s="1259"/>
      <c r="U108" s="1259"/>
      <c r="V108" s="1220">
        <v>6376</v>
      </c>
      <c r="W108" s="1181"/>
      <c r="X108" s="1220">
        <v>6376</v>
      </c>
      <c r="Y108" s="1086"/>
      <c r="Z108" s="1548"/>
      <c r="AA108" s="1197">
        <v>0</v>
      </c>
      <c r="AB108" s="1197">
        <v>0</v>
      </c>
      <c r="AC108" s="1196">
        <v>0</v>
      </c>
      <c r="AD108" s="1173"/>
      <c r="AE108" s="1182"/>
    </row>
    <row r="109" spans="1:31" ht="24.75" customHeight="1">
      <c r="A109" s="1278" t="s">
        <v>280</v>
      </c>
      <c r="B109" s="1085" t="s">
        <v>247</v>
      </c>
      <c r="C109" s="1279">
        <v>46248</v>
      </c>
      <c r="D109" s="628"/>
      <c r="E109" s="1279"/>
      <c r="F109" s="1278"/>
      <c r="G109" s="1204"/>
      <c r="H109" s="1217">
        <v>63</v>
      </c>
      <c r="I109" s="644" t="s">
        <v>54</v>
      </c>
      <c r="J109" s="1205" t="s">
        <v>103</v>
      </c>
      <c r="K109" s="1205" t="s">
        <v>85</v>
      </c>
      <c r="L109" s="1279"/>
      <c r="M109" s="1209" t="s">
        <v>74</v>
      </c>
      <c r="N109" s="1422"/>
      <c r="O109" s="1209" t="s">
        <v>74</v>
      </c>
      <c r="P109" s="1199" t="s">
        <v>75</v>
      </c>
      <c r="Q109" s="1547"/>
      <c r="R109" s="1259"/>
      <c r="S109" s="1259"/>
      <c r="T109" s="1259"/>
      <c r="U109" s="1259"/>
      <c r="V109" s="1220">
        <v>4784</v>
      </c>
      <c r="W109" s="1181"/>
      <c r="X109" s="1220">
        <v>4784</v>
      </c>
      <c r="Y109" s="1086"/>
      <c r="Z109" s="1548"/>
      <c r="AA109" s="1197">
        <v>0</v>
      </c>
      <c r="AB109" s="1197">
        <v>0</v>
      </c>
      <c r="AC109" s="1196">
        <v>0</v>
      </c>
      <c r="AD109" s="1173"/>
      <c r="AE109" s="1182"/>
    </row>
    <row r="110" spans="1:31" ht="24.75" customHeight="1">
      <c r="A110" s="1278" t="s">
        <v>281</v>
      </c>
      <c r="B110" s="1085" t="s">
        <v>247</v>
      </c>
      <c r="C110" s="1279">
        <v>46248</v>
      </c>
      <c r="D110" s="628"/>
      <c r="E110" s="1279"/>
      <c r="F110" s="1278"/>
      <c r="G110" s="1204"/>
      <c r="H110" s="1217">
        <v>86</v>
      </c>
      <c r="I110" s="644" t="s">
        <v>54</v>
      </c>
      <c r="J110" s="1205" t="s">
        <v>103</v>
      </c>
      <c r="K110" s="1205" t="s">
        <v>85</v>
      </c>
      <c r="L110" s="1279"/>
      <c r="M110" s="1209" t="s">
        <v>74</v>
      </c>
      <c r="N110" s="1422"/>
      <c r="O110" s="1209" t="s">
        <v>74</v>
      </c>
      <c r="P110" s="1199" t="s">
        <v>75</v>
      </c>
      <c r="Q110" s="1547"/>
      <c r="R110" s="1259"/>
      <c r="S110" s="1259"/>
      <c r="T110" s="1259"/>
      <c r="U110" s="1259"/>
      <c r="V110" s="1220">
        <v>6387</v>
      </c>
      <c r="W110" s="1181"/>
      <c r="X110" s="1220">
        <v>6387</v>
      </c>
      <c r="Y110" s="1086"/>
      <c r="Z110" s="1548"/>
      <c r="AA110" s="1197">
        <v>0</v>
      </c>
      <c r="AB110" s="1197">
        <v>0</v>
      </c>
      <c r="AC110" s="1196">
        <v>0</v>
      </c>
      <c r="AD110" s="1173"/>
      <c r="AE110" s="1182"/>
    </row>
    <row r="111" spans="1:31" ht="24.75" customHeight="1">
      <c r="A111" s="1278" t="s">
        <v>282</v>
      </c>
      <c r="B111" s="1085" t="s">
        <v>247</v>
      </c>
      <c r="C111" s="1279">
        <v>46280</v>
      </c>
      <c r="D111" s="628"/>
      <c r="E111" s="1279"/>
      <c r="F111" s="1278"/>
      <c r="G111" s="1204"/>
      <c r="H111" s="1217">
        <v>81</v>
      </c>
      <c r="I111" s="644" t="s">
        <v>54</v>
      </c>
      <c r="J111" s="1205" t="s">
        <v>103</v>
      </c>
      <c r="K111" s="1205" t="s">
        <v>85</v>
      </c>
      <c r="L111" s="1279"/>
      <c r="M111" s="1209" t="s">
        <v>74</v>
      </c>
      <c r="N111" s="1422"/>
      <c r="O111" s="1209" t="s">
        <v>74</v>
      </c>
      <c r="P111" s="1199" t="s">
        <v>75</v>
      </c>
      <c r="Q111" s="1547"/>
      <c r="R111" s="1259"/>
      <c r="S111" s="1259"/>
      <c r="T111" s="1259"/>
      <c r="U111" s="1259"/>
      <c r="V111" s="1220">
        <v>6372</v>
      </c>
      <c r="W111" s="1181"/>
      <c r="X111" s="1220">
        <v>6372</v>
      </c>
      <c r="Y111" s="1086"/>
      <c r="Z111" s="1548"/>
      <c r="AA111" s="1197">
        <v>0</v>
      </c>
      <c r="AB111" s="1197">
        <v>0</v>
      </c>
      <c r="AC111" s="1196">
        <v>0</v>
      </c>
      <c r="AD111" s="1173"/>
      <c r="AE111" s="1182"/>
    </row>
    <row r="112" spans="1:31" ht="24.75" customHeight="1">
      <c r="A112" s="1278" t="s">
        <v>283</v>
      </c>
      <c r="B112" s="1085" t="s">
        <v>247</v>
      </c>
      <c r="C112" s="1279">
        <v>46157</v>
      </c>
      <c r="D112" s="628"/>
      <c r="E112" s="1279"/>
      <c r="F112" s="1278"/>
      <c r="G112" s="1204"/>
      <c r="H112" s="1217">
        <v>77</v>
      </c>
      <c r="I112" s="644" t="s">
        <v>54</v>
      </c>
      <c r="J112" s="1205" t="s">
        <v>103</v>
      </c>
      <c r="K112" s="1205" t="s">
        <v>85</v>
      </c>
      <c r="L112" s="1279"/>
      <c r="M112" s="1209" t="s">
        <v>74</v>
      </c>
      <c r="N112" s="1422"/>
      <c r="O112" s="1209" t="s">
        <v>74</v>
      </c>
      <c r="P112" s="1199" t="s">
        <v>75</v>
      </c>
      <c r="Q112" s="1547"/>
      <c r="R112" s="1259"/>
      <c r="S112" s="1259"/>
      <c r="T112" s="1259"/>
      <c r="U112" s="1259"/>
      <c r="V112" s="1220">
        <v>5363</v>
      </c>
      <c r="W112" s="1181"/>
      <c r="X112" s="1220">
        <v>5363</v>
      </c>
      <c r="Y112" s="1086"/>
      <c r="Z112" s="1548"/>
      <c r="AA112" s="1197">
        <v>0</v>
      </c>
      <c r="AB112" s="1197">
        <v>0</v>
      </c>
      <c r="AC112" s="1196">
        <v>0</v>
      </c>
      <c r="AD112" s="1173"/>
      <c r="AE112" s="1182"/>
    </row>
    <row r="113" spans="1:31" ht="24.75" customHeight="1">
      <c r="A113" s="1278" t="s">
        <v>284</v>
      </c>
      <c r="B113" s="1085" t="s">
        <v>247</v>
      </c>
      <c r="C113" s="1279">
        <v>46281</v>
      </c>
      <c r="D113" s="628"/>
      <c r="E113" s="1279"/>
      <c r="F113" s="1278"/>
      <c r="G113" s="1204"/>
      <c r="H113" s="1217">
        <v>67</v>
      </c>
      <c r="I113" s="644" t="s">
        <v>54</v>
      </c>
      <c r="J113" s="1205" t="s">
        <v>103</v>
      </c>
      <c r="K113" s="1205" t="s">
        <v>85</v>
      </c>
      <c r="L113" s="1279"/>
      <c r="M113" s="1209" t="s">
        <v>74</v>
      </c>
      <c r="N113" s="1422"/>
      <c r="O113" s="1209" t="s">
        <v>74</v>
      </c>
      <c r="P113" s="1199" t="s">
        <v>75</v>
      </c>
      <c r="Q113" s="1547"/>
      <c r="R113" s="1259"/>
      <c r="S113" s="1259"/>
      <c r="T113" s="1259"/>
      <c r="U113" s="1259"/>
      <c r="V113" s="1220">
        <v>5199</v>
      </c>
      <c r="W113" s="1181"/>
      <c r="X113" s="1220">
        <v>5199</v>
      </c>
      <c r="Y113" s="1086"/>
      <c r="Z113" s="1548"/>
      <c r="AA113" s="1197">
        <v>0</v>
      </c>
      <c r="AB113" s="1197">
        <v>0</v>
      </c>
      <c r="AC113" s="1196">
        <v>0</v>
      </c>
      <c r="AD113" s="1173"/>
      <c r="AE113" s="1182"/>
    </row>
    <row r="114" spans="1:31" ht="24.75" customHeight="1">
      <c r="A114" s="1278" t="s">
        <v>285</v>
      </c>
      <c r="B114" s="1085" t="s">
        <v>247</v>
      </c>
      <c r="C114" s="1279">
        <v>46310</v>
      </c>
      <c r="D114" s="628"/>
      <c r="E114" s="1279"/>
      <c r="F114" s="1278"/>
      <c r="G114" s="1204"/>
      <c r="H114" s="1217">
        <v>90</v>
      </c>
      <c r="I114" s="644" t="s">
        <v>54</v>
      </c>
      <c r="J114" s="1205" t="s">
        <v>103</v>
      </c>
      <c r="K114" s="1205" t="s">
        <v>85</v>
      </c>
      <c r="L114" s="1279"/>
      <c r="M114" s="1209" t="s">
        <v>74</v>
      </c>
      <c r="N114" s="1422"/>
      <c r="O114" s="1209" t="s">
        <v>74</v>
      </c>
      <c r="P114" s="1199" t="s">
        <v>75</v>
      </c>
      <c r="Q114" s="1547"/>
      <c r="R114" s="1259"/>
      <c r="S114" s="1259"/>
      <c r="T114" s="1259"/>
      <c r="U114" s="1259"/>
      <c r="V114" s="1220">
        <v>9771</v>
      </c>
      <c r="W114" s="1181"/>
      <c r="X114" s="1220">
        <v>9771</v>
      </c>
      <c r="Y114" s="1086"/>
      <c r="Z114" s="1548"/>
      <c r="AA114" s="1197">
        <v>0</v>
      </c>
      <c r="AB114" s="1197">
        <v>0</v>
      </c>
      <c r="AC114" s="1196">
        <v>0</v>
      </c>
      <c r="AD114" s="1173"/>
      <c r="AE114" s="1182"/>
    </row>
    <row r="115" spans="1:31" ht="24.75" customHeight="1">
      <c r="A115" s="1278" t="s">
        <v>286</v>
      </c>
      <c r="B115" s="1085" t="s">
        <v>247</v>
      </c>
      <c r="C115" s="1279">
        <v>46372</v>
      </c>
      <c r="D115" s="628"/>
      <c r="E115" s="1279"/>
      <c r="F115" s="1278"/>
      <c r="G115" s="1204"/>
      <c r="H115" s="1217">
        <v>90</v>
      </c>
      <c r="I115" s="644" t="s">
        <v>54</v>
      </c>
      <c r="J115" s="1205" t="s">
        <v>103</v>
      </c>
      <c r="K115" s="1205" t="s">
        <v>85</v>
      </c>
      <c r="L115" s="1279"/>
      <c r="M115" s="1209" t="s">
        <v>74</v>
      </c>
      <c r="N115" s="1422"/>
      <c r="O115" s="1209" t="s">
        <v>74</v>
      </c>
      <c r="P115" s="1199" t="s">
        <v>75</v>
      </c>
      <c r="Q115" s="1547"/>
      <c r="R115" s="1259"/>
      <c r="S115" s="1259"/>
      <c r="T115" s="1259"/>
      <c r="U115" s="1259"/>
      <c r="V115" s="1220">
        <v>9562</v>
      </c>
      <c r="W115" s="1181"/>
      <c r="X115" s="1220">
        <v>9562</v>
      </c>
      <c r="Y115" s="1086"/>
      <c r="Z115" s="1548"/>
      <c r="AA115" s="1197">
        <v>0</v>
      </c>
      <c r="AB115" s="1197">
        <v>0</v>
      </c>
      <c r="AC115" s="1196">
        <v>0</v>
      </c>
      <c r="AD115" s="1173"/>
      <c r="AE115" s="1182"/>
    </row>
    <row r="116" spans="1:31" ht="24.75" customHeight="1">
      <c r="A116" s="1278" t="s">
        <v>287</v>
      </c>
      <c r="B116" s="1085" t="s">
        <v>247</v>
      </c>
      <c r="C116" s="1279">
        <v>46372</v>
      </c>
      <c r="D116" s="628"/>
      <c r="E116" s="1279"/>
      <c r="F116" s="1278"/>
      <c r="G116" s="1204"/>
      <c r="H116" s="1217">
        <v>87</v>
      </c>
      <c r="I116" s="644" t="s">
        <v>54</v>
      </c>
      <c r="J116" s="1205" t="s">
        <v>103</v>
      </c>
      <c r="K116" s="1205" t="s">
        <v>85</v>
      </c>
      <c r="L116" s="1279"/>
      <c r="M116" s="1209" t="s">
        <v>74</v>
      </c>
      <c r="N116" s="1422"/>
      <c r="O116" s="1209" t="s">
        <v>74</v>
      </c>
      <c r="P116" s="1199" t="s">
        <v>75</v>
      </c>
      <c r="Q116" s="1547"/>
      <c r="R116" s="1259"/>
      <c r="S116" s="1259"/>
      <c r="T116" s="1259"/>
      <c r="U116" s="1259"/>
      <c r="V116" s="1220">
        <v>6309</v>
      </c>
      <c r="W116" s="1181"/>
      <c r="X116" s="1220">
        <v>6309</v>
      </c>
      <c r="Y116" s="1086"/>
      <c r="Z116" s="1548"/>
      <c r="AA116" s="1197">
        <v>0</v>
      </c>
      <c r="AB116" s="1197">
        <v>0</v>
      </c>
      <c r="AC116" s="1196">
        <v>0</v>
      </c>
      <c r="AD116" s="1173"/>
      <c r="AE116" s="1182"/>
    </row>
    <row r="117" spans="1:31" ht="24.75" customHeight="1">
      <c r="A117" s="1278" t="s">
        <v>288</v>
      </c>
      <c r="B117" s="1085" t="s">
        <v>247</v>
      </c>
      <c r="C117" s="1279">
        <v>46340</v>
      </c>
      <c r="D117" s="628"/>
      <c r="E117" s="1279"/>
      <c r="F117" s="1278"/>
      <c r="G117" s="1204"/>
      <c r="H117" s="1217">
        <v>90</v>
      </c>
      <c r="I117" s="644" t="s">
        <v>54</v>
      </c>
      <c r="J117" s="1205" t="s">
        <v>103</v>
      </c>
      <c r="K117" s="1205" t="s">
        <v>85</v>
      </c>
      <c r="L117" s="1279"/>
      <c r="M117" s="1209" t="s">
        <v>74</v>
      </c>
      <c r="N117" s="1422"/>
      <c r="O117" s="1209" t="s">
        <v>74</v>
      </c>
      <c r="P117" s="1199" t="s">
        <v>75</v>
      </c>
      <c r="Q117" s="1547"/>
      <c r="R117" s="1259"/>
      <c r="S117" s="1259"/>
      <c r="T117" s="1259"/>
      <c r="U117" s="1259"/>
      <c r="V117" s="1220">
        <v>10260</v>
      </c>
      <c r="W117" s="1181"/>
      <c r="X117" s="1220">
        <v>10260</v>
      </c>
      <c r="Y117" s="1086"/>
      <c r="Z117" s="1548"/>
      <c r="AA117" s="1197">
        <v>0</v>
      </c>
      <c r="AB117" s="1197">
        <v>0</v>
      </c>
      <c r="AC117" s="1196">
        <v>0</v>
      </c>
      <c r="AD117" s="1173"/>
      <c r="AE117" s="1182"/>
    </row>
    <row r="118" spans="1:31" ht="24.75" customHeight="1">
      <c r="A118" s="1278" t="s">
        <v>289</v>
      </c>
      <c r="B118" s="1085" t="s">
        <v>247</v>
      </c>
      <c r="C118" s="1279">
        <v>46340</v>
      </c>
      <c r="D118" s="628"/>
      <c r="E118" s="1279"/>
      <c r="F118" s="1278"/>
      <c r="G118" s="1204"/>
      <c r="H118" s="1217">
        <v>89</v>
      </c>
      <c r="I118" s="644" t="s">
        <v>54</v>
      </c>
      <c r="J118" s="1205" t="s">
        <v>103</v>
      </c>
      <c r="K118" s="1205" t="s">
        <v>85</v>
      </c>
      <c r="L118" s="1279"/>
      <c r="M118" s="1209" t="s">
        <v>74</v>
      </c>
      <c r="N118" s="1422"/>
      <c r="O118" s="1209" t="s">
        <v>74</v>
      </c>
      <c r="P118" s="1199" t="s">
        <v>75</v>
      </c>
      <c r="Q118" s="1547"/>
      <c r="R118" s="1259"/>
      <c r="S118" s="1259"/>
      <c r="T118" s="1259"/>
      <c r="U118" s="1259"/>
      <c r="V118" s="1220">
        <v>10080</v>
      </c>
      <c r="W118" s="1181"/>
      <c r="X118" s="1220">
        <v>10080</v>
      </c>
      <c r="Y118" s="1086"/>
      <c r="Z118" s="1548"/>
      <c r="AA118" s="1197">
        <v>0</v>
      </c>
      <c r="AB118" s="1197">
        <v>0</v>
      </c>
      <c r="AC118" s="1196">
        <v>0</v>
      </c>
      <c r="AD118" s="1173"/>
      <c r="AE118" s="1182"/>
    </row>
    <row r="119" spans="1:31" ht="24.75" customHeight="1">
      <c r="A119" s="1278" t="s">
        <v>290</v>
      </c>
      <c r="B119" s="1085" t="s">
        <v>247</v>
      </c>
      <c r="C119" s="1279">
        <v>46340</v>
      </c>
      <c r="D119" s="628"/>
      <c r="E119" s="1279"/>
      <c r="F119" s="1278"/>
      <c r="G119" s="1204"/>
      <c r="H119" s="1217">
        <v>76</v>
      </c>
      <c r="I119" s="644" t="s">
        <v>54</v>
      </c>
      <c r="J119" s="1205" t="s">
        <v>103</v>
      </c>
      <c r="K119" s="1205" t="s">
        <v>85</v>
      </c>
      <c r="L119" s="1279"/>
      <c r="M119" s="1209" t="s">
        <v>74</v>
      </c>
      <c r="N119" s="1422"/>
      <c r="O119" s="1209" t="s">
        <v>74</v>
      </c>
      <c r="P119" s="1199" t="s">
        <v>75</v>
      </c>
      <c r="Q119" s="1547"/>
      <c r="R119" s="1259"/>
      <c r="S119" s="1259"/>
      <c r="T119" s="1259"/>
      <c r="U119" s="1259"/>
      <c r="V119" s="1220">
        <v>6859</v>
      </c>
      <c r="W119" s="1181"/>
      <c r="X119" s="1220">
        <v>6859</v>
      </c>
      <c r="Y119" s="1086"/>
      <c r="Z119" s="1548"/>
      <c r="AA119" s="1197">
        <v>0</v>
      </c>
      <c r="AB119" s="1197">
        <v>0</v>
      </c>
      <c r="AC119" s="1196">
        <v>0</v>
      </c>
      <c r="AD119" s="1173"/>
      <c r="AE119" s="1182"/>
    </row>
    <row r="120" spans="1:31" ht="24.75" customHeight="1">
      <c r="A120" s="1278" t="s">
        <v>291</v>
      </c>
      <c r="B120" s="1085" t="s">
        <v>247</v>
      </c>
      <c r="C120" s="1279">
        <v>46340</v>
      </c>
      <c r="D120" s="628"/>
      <c r="E120" s="1279"/>
      <c r="F120" s="1278"/>
      <c r="G120" s="1204"/>
      <c r="H120" s="1217">
        <v>84</v>
      </c>
      <c r="I120" s="644" t="s">
        <v>54</v>
      </c>
      <c r="J120" s="1205" t="s">
        <v>103</v>
      </c>
      <c r="K120" s="1205" t="s">
        <v>85</v>
      </c>
      <c r="L120" s="1279"/>
      <c r="M120" s="1209" t="s">
        <v>74</v>
      </c>
      <c r="N120" s="1422"/>
      <c r="O120" s="1209" t="s">
        <v>74</v>
      </c>
      <c r="P120" s="1199" t="s">
        <v>75</v>
      </c>
      <c r="Q120" s="1547"/>
      <c r="R120" s="1259"/>
      <c r="S120" s="1259"/>
      <c r="T120" s="1259"/>
      <c r="U120" s="1259"/>
      <c r="V120" s="1220">
        <v>5873</v>
      </c>
      <c r="W120" s="1181"/>
      <c r="X120" s="1220">
        <v>5873</v>
      </c>
      <c r="Y120" s="1086"/>
      <c r="Z120" s="1548"/>
      <c r="AA120" s="1197">
        <v>0</v>
      </c>
      <c r="AB120" s="1197">
        <v>0</v>
      </c>
      <c r="AC120" s="1196">
        <v>0</v>
      </c>
      <c r="AD120" s="1173"/>
      <c r="AE120" s="1182"/>
    </row>
    <row r="121" spans="1:31" ht="24.75" customHeight="1">
      <c r="A121" s="1278" t="s">
        <v>292</v>
      </c>
      <c r="B121" s="1085" t="s">
        <v>247</v>
      </c>
      <c r="C121" s="1279">
        <v>46340</v>
      </c>
      <c r="D121" s="628"/>
      <c r="E121" s="1279"/>
      <c r="F121" s="1278"/>
      <c r="G121" s="1204"/>
      <c r="H121" s="1217">
        <v>55</v>
      </c>
      <c r="I121" s="644" t="s">
        <v>54</v>
      </c>
      <c r="J121" s="1205" t="s">
        <v>103</v>
      </c>
      <c r="K121" s="1205" t="s">
        <v>85</v>
      </c>
      <c r="L121" s="1279"/>
      <c r="M121" s="1209" t="s">
        <v>74</v>
      </c>
      <c r="N121" s="1422"/>
      <c r="O121" s="1209" t="s">
        <v>74</v>
      </c>
      <c r="P121" s="1199" t="s">
        <v>75</v>
      </c>
      <c r="Q121" s="1547"/>
      <c r="R121" s="1259"/>
      <c r="S121" s="1259"/>
      <c r="T121" s="1259"/>
      <c r="U121" s="1259"/>
      <c r="V121" s="1220">
        <v>4945</v>
      </c>
      <c r="W121" s="1181"/>
      <c r="X121" s="1220">
        <v>4945</v>
      </c>
      <c r="Y121" s="1086"/>
      <c r="Z121" s="1548"/>
      <c r="AA121" s="1197">
        <v>0</v>
      </c>
      <c r="AB121" s="1197">
        <v>0</v>
      </c>
      <c r="AC121" s="1196">
        <v>0</v>
      </c>
      <c r="AD121" s="1173"/>
      <c r="AE121" s="1182"/>
    </row>
    <row r="122" spans="1:31" ht="24.75" customHeight="1">
      <c r="A122" s="1278" t="s">
        <v>293</v>
      </c>
      <c r="B122" s="1085" t="s">
        <v>247</v>
      </c>
      <c r="C122" s="1279">
        <v>46248</v>
      </c>
      <c r="D122" s="628"/>
      <c r="E122" s="1279"/>
      <c r="F122" s="1278"/>
      <c r="G122" s="1204"/>
      <c r="H122" s="1217">
        <v>54</v>
      </c>
      <c r="I122" s="644" t="s">
        <v>54</v>
      </c>
      <c r="J122" s="1205" t="s">
        <v>103</v>
      </c>
      <c r="K122" s="1205" t="s">
        <v>85</v>
      </c>
      <c r="L122" s="1279"/>
      <c r="M122" s="1209" t="s">
        <v>74</v>
      </c>
      <c r="N122" s="1422"/>
      <c r="O122" s="1209" t="s">
        <v>74</v>
      </c>
      <c r="P122" s="1199" t="s">
        <v>75</v>
      </c>
      <c r="Q122" s="1547"/>
      <c r="R122" s="1259"/>
      <c r="S122" s="1259"/>
      <c r="T122" s="1259"/>
      <c r="U122" s="1259"/>
      <c r="V122" s="1220">
        <v>4275</v>
      </c>
      <c r="W122" s="1181"/>
      <c r="X122" s="1220">
        <v>4275</v>
      </c>
      <c r="Y122" s="1086"/>
      <c r="Z122" s="1548"/>
      <c r="AA122" s="1197">
        <v>0</v>
      </c>
      <c r="AB122" s="1197">
        <v>0</v>
      </c>
      <c r="AC122" s="1196">
        <v>0</v>
      </c>
      <c r="AD122" s="1173"/>
      <c r="AE122" s="1182"/>
    </row>
    <row r="123" spans="1:31" ht="24.75" customHeight="1">
      <c r="A123" s="1278" t="s">
        <v>294</v>
      </c>
      <c r="B123" s="1085" t="s">
        <v>247</v>
      </c>
      <c r="C123" s="1279">
        <v>46102</v>
      </c>
      <c r="D123" s="628"/>
      <c r="E123" s="1279"/>
      <c r="F123" s="1278"/>
      <c r="G123" s="1204"/>
      <c r="H123" s="1217">
        <v>88</v>
      </c>
      <c r="I123" s="644" t="s">
        <v>54</v>
      </c>
      <c r="J123" s="1205" t="s">
        <v>103</v>
      </c>
      <c r="K123" s="1205" t="s">
        <v>85</v>
      </c>
      <c r="L123" s="1279"/>
      <c r="M123" s="1209" t="s">
        <v>74</v>
      </c>
      <c r="N123" s="1422"/>
      <c r="O123" s="1209" t="s">
        <v>74</v>
      </c>
      <c r="P123" s="1199" t="s">
        <v>75</v>
      </c>
      <c r="Q123" s="1547"/>
      <c r="R123" s="1259"/>
      <c r="S123" s="1259"/>
      <c r="T123" s="1259"/>
      <c r="U123" s="1259"/>
      <c r="V123" s="1220">
        <v>6378</v>
      </c>
      <c r="W123" s="1181"/>
      <c r="X123" s="1220">
        <v>6378</v>
      </c>
      <c r="Y123" s="1086"/>
      <c r="Z123" s="1548"/>
      <c r="AA123" s="1197">
        <v>0</v>
      </c>
      <c r="AB123" s="1197">
        <v>0</v>
      </c>
      <c r="AC123" s="1196">
        <v>0</v>
      </c>
      <c r="AD123" s="1173"/>
      <c r="AE123" s="1182"/>
    </row>
    <row r="124" spans="1:31" ht="24.75" customHeight="1">
      <c r="A124" s="1278" t="s">
        <v>295</v>
      </c>
      <c r="B124" s="1085" t="s">
        <v>247</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47"/>
      <c r="R124" s="1259"/>
      <c r="S124" s="1259"/>
      <c r="T124" s="1259"/>
      <c r="U124" s="1259"/>
      <c r="V124" s="1220">
        <v>7373</v>
      </c>
      <c r="W124" s="1181"/>
      <c r="X124" s="1220">
        <v>7373</v>
      </c>
      <c r="Y124" s="1086"/>
      <c r="Z124" s="1548"/>
      <c r="AA124" s="1197">
        <v>0</v>
      </c>
      <c r="AB124" s="1197">
        <v>0</v>
      </c>
      <c r="AC124" s="1196">
        <v>0</v>
      </c>
      <c r="AD124" s="1173"/>
      <c r="AE124" s="1182"/>
    </row>
    <row r="125" spans="1:31" ht="24.75" customHeight="1">
      <c r="A125" s="1278" t="s">
        <v>296</v>
      </c>
      <c r="B125" s="1085" t="s">
        <v>247</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47"/>
      <c r="R125" s="1259"/>
      <c r="S125" s="1259"/>
      <c r="T125" s="1259"/>
      <c r="U125" s="1259"/>
      <c r="V125" s="1220">
        <v>5781</v>
      </c>
      <c r="W125" s="1181"/>
      <c r="X125" s="1220">
        <v>5781</v>
      </c>
      <c r="Y125" s="1086"/>
      <c r="Z125" s="1548"/>
      <c r="AA125" s="1197">
        <v>0</v>
      </c>
      <c r="AB125" s="1197">
        <v>0</v>
      </c>
      <c r="AC125" s="1196">
        <v>0</v>
      </c>
      <c r="AD125" s="1173"/>
      <c r="AE125" s="1182"/>
    </row>
    <row r="126" spans="1:31" ht="24.75" customHeight="1">
      <c r="A126" s="1278" t="s">
        <v>297</v>
      </c>
      <c r="B126" s="1085" t="s">
        <v>247</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47"/>
      <c r="R126" s="1259"/>
      <c r="S126" s="1259"/>
      <c r="T126" s="1259"/>
      <c r="U126" s="1259"/>
      <c r="V126" s="1220">
        <v>9051</v>
      </c>
      <c r="W126" s="1181"/>
      <c r="X126" s="1220">
        <v>9051</v>
      </c>
      <c r="Y126" s="1086"/>
      <c r="Z126" s="1548"/>
      <c r="AA126" s="1197">
        <v>0</v>
      </c>
      <c r="AB126" s="1197">
        <v>0</v>
      </c>
      <c r="AC126" s="1196">
        <v>0</v>
      </c>
      <c r="AD126" s="1173"/>
      <c r="AE126" s="1182"/>
    </row>
    <row r="127" spans="1:31" ht="24.75" customHeight="1">
      <c r="A127" s="1278" t="s">
        <v>298</v>
      </c>
      <c r="B127" s="1085" t="s">
        <v>247</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47"/>
      <c r="R127" s="1259"/>
      <c r="S127" s="1259"/>
      <c r="T127" s="1259"/>
      <c r="U127" s="1259"/>
      <c r="V127" s="1220">
        <v>7261</v>
      </c>
      <c r="W127" s="1181"/>
      <c r="X127" s="1220">
        <v>7261</v>
      </c>
      <c r="Y127" s="1086"/>
      <c r="Z127" s="1548"/>
      <c r="AA127" s="1197">
        <v>0</v>
      </c>
      <c r="AB127" s="1197">
        <v>0</v>
      </c>
      <c r="AC127" s="1196">
        <v>0</v>
      </c>
      <c r="AD127" s="1173"/>
      <c r="AE127" s="1182"/>
    </row>
    <row r="128" spans="1:31" ht="24.75" customHeight="1">
      <c r="A128" s="1278" t="s">
        <v>299</v>
      </c>
      <c r="B128" s="1085" t="s">
        <v>247</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47"/>
      <c r="R128" s="1259"/>
      <c r="S128" s="1259"/>
      <c r="T128" s="1259"/>
      <c r="U128" s="1259"/>
      <c r="V128" s="1220">
        <v>9638</v>
      </c>
      <c r="W128" s="1181"/>
      <c r="X128" s="1220">
        <v>9638</v>
      </c>
      <c r="Y128" s="1086"/>
      <c r="Z128" s="1548"/>
      <c r="AA128" s="1197">
        <v>0</v>
      </c>
      <c r="AB128" s="1197">
        <v>0</v>
      </c>
      <c r="AC128" s="1196">
        <v>0</v>
      </c>
      <c r="AD128" s="1173"/>
      <c r="AE128" s="1182"/>
    </row>
    <row r="129" spans="1:31" ht="24.75" customHeight="1">
      <c r="A129" s="1278" t="s">
        <v>300</v>
      </c>
      <c r="B129" s="1085" t="s">
        <v>247</v>
      </c>
      <c r="C129" s="1279">
        <v>46102</v>
      </c>
      <c r="D129" s="628"/>
      <c r="E129" s="1279"/>
      <c r="F129" s="1278"/>
      <c r="G129" s="1204"/>
      <c r="H129" s="1217">
        <v>0</v>
      </c>
      <c r="I129" s="644" t="s">
        <v>54</v>
      </c>
      <c r="J129" s="1205" t="s">
        <v>103</v>
      </c>
      <c r="K129" s="1205" t="s">
        <v>85</v>
      </c>
      <c r="L129" s="1279"/>
      <c r="M129" s="1209" t="s">
        <v>74</v>
      </c>
      <c r="N129" s="1422"/>
      <c r="O129" s="1209" t="s">
        <v>74</v>
      </c>
      <c r="P129" s="1199" t="s">
        <v>75</v>
      </c>
      <c r="Q129" s="1547"/>
      <c r="R129" s="1259"/>
      <c r="S129" s="1259"/>
      <c r="T129" s="1259"/>
      <c r="U129" s="1259"/>
      <c r="V129" s="1220">
        <v>8746</v>
      </c>
      <c r="W129" s="1181"/>
      <c r="X129" s="1220">
        <v>8746</v>
      </c>
      <c r="Y129" s="1086"/>
      <c r="Z129" s="1548"/>
      <c r="AA129" s="1197">
        <v>0</v>
      </c>
      <c r="AB129" s="1197">
        <v>0</v>
      </c>
      <c r="AC129" s="1196">
        <v>0</v>
      </c>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47"/>
      <c r="R130" s="1259"/>
      <c r="S130" s="1259"/>
      <c r="T130" s="1259"/>
      <c r="U130" s="1259"/>
      <c r="V130" s="1414"/>
      <c r="W130" s="1181"/>
      <c r="X130" s="1414"/>
      <c r="Y130" s="1086"/>
      <c r="Z130" s="1548"/>
      <c r="AA130" s="1561"/>
      <c r="AB130" s="1561"/>
      <c r="AC130" s="1415"/>
      <c r="AD130" s="1173"/>
      <c r="AE130" s="1182"/>
    </row>
    <row r="131" spans="1:31" ht="24.75" customHeight="1">
      <c r="A131" s="1278"/>
      <c r="B131" s="1085"/>
      <c r="C131" s="1279"/>
      <c r="D131" s="628"/>
      <c r="E131" s="1279"/>
      <c r="F131" s="1278"/>
      <c r="G131" s="1204"/>
      <c r="H131" s="1423"/>
      <c r="I131" s="644"/>
      <c r="J131" s="1423"/>
      <c r="K131" s="1425"/>
      <c r="L131" s="1279"/>
      <c r="M131" s="1423"/>
      <c r="N131" s="1424"/>
      <c r="O131" s="1423"/>
      <c r="P131" s="1416"/>
      <c r="Q131" s="1547"/>
      <c r="R131" s="1259"/>
      <c r="S131" s="1259"/>
      <c r="T131" s="1259"/>
      <c r="U131" s="1259"/>
      <c r="V131" s="1414"/>
      <c r="W131" s="1181"/>
      <c r="X131" s="1414"/>
      <c r="Y131" s="1086"/>
      <c r="Z131" s="1548"/>
      <c r="AA131" s="1561"/>
      <c r="AB131" s="1561"/>
      <c r="AC131" s="1415"/>
      <c r="AD131" s="1173"/>
      <c r="AE131" s="1182"/>
    </row>
    <row r="132" spans="1:31" ht="24.75" customHeight="1">
      <c r="A132" s="1215" t="s">
        <v>301</v>
      </c>
      <c r="B132" s="1215" t="s">
        <v>20</v>
      </c>
      <c r="C132" s="1215" t="s">
        <v>21</v>
      </c>
      <c r="D132" s="1215" t="s">
        <v>22</v>
      </c>
      <c r="E132" s="1215" t="s">
        <v>23</v>
      </c>
      <c r="F132" s="1215" t="s">
        <v>24</v>
      </c>
      <c r="G132" s="1215" t="s">
        <v>25</v>
      </c>
      <c r="H132" s="1215" t="s">
        <v>26</v>
      </c>
      <c r="I132" s="1215" t="s">
        <v>27</v>
      </c>
      <c r="J132" s="1215" t="s">
        <v>28</v>
      </c>
      <c r="K132" s="1215" t="s">
        <v>29</v>
      </c>
      <c r="L132" s="1215" t="s">
        <v>30</v>
      </c>
      <c r="M132" s="1215" t="s">
        <v>31</v>
      </c>
      <c r="N132" s="1275" t="s">
        <v>32</v>
      </c>
      <c r="O132" s="1215" t="s">
        <v>33</v>
      </c>
      <c r="P132" s="1281" t="s">
        <v>34</v>
      </c>
      <c r="Q132" s="1216" t="s">
        <v>35</v>
      </c>
      <c r="R132" s="1216" t="s">
        <v>36</v>
      </c>
      <c r="S132" s="1216" t="s">
        <v>37</v>
      </c>
      <c r="T132" s="1216" t="s">
        <v>38</v>
      </c>
      <c r="U132" s="1216" t="s">
        <v>39</v>
      </c>
      <c r="V132" s="1216" t="s">
        <v>40</v>
      </c>
      <c r="W132" s="1216" t="s">
        <v>41</v>
      </c>
      <c r="X132" s="1216" t="s">
        <v>42</v>
      </c>
      <c r="Y132" s="1216" t="s">
        <v>43</v>
      </c>
      <c r="Z132" s="1216" t="s">
        <v>44</v>
      </c>
      <c r="AA132" s="1252" t="s">
        <v>45</v>
      </c>
      <c r="AB132" s="1216" t="s">
        <v>46</v>
      </c>
      <c r="AC132" s="1216" t="s">
        <v>47</v>
      </c>
      <c r="AD132" s="1253" t="s">
        <v>48</v>
      </c>
      <c r="AE132" s="1182"/>
    </row>
    <row r="133" spans="1:31" ht="24.75" customHeight="1">
      <c r="A133" s="1204" t="s">
        <v>302</v>
      </c>
      <c r="B133" s="1085" t="s">
        <v>303</v>
      </c>
      <c r="C133" s="1203">
        <v>46112</v>
      </c>
      <c r="D133" s="628" t="s">
        <v>304</v>
      </c>
      <c r="E133" s="1203">
        <v>46029</v>
      </c>
      <c r="F133" s="1204" t="s">
        <v>305</v>
      </c>
      <c r="G133" s="1204"/>
      <c r="H133" s="1217">
        <v>53</v>
      </c>
      <c r="I133" s="637" t="s">
        <v>54</v>
      </c>
      <c r="J133" s="1209" t="s">
        <v>55</v>
      </c>
      <c r="K133" s="1218"/>
      <c r="L133" s="1203"/>
      <c r="M133" s="1209" t="s">
        <v>56</v>
      </c>
      <c r="N133" s="1276">
        <v>51528.05</v>
      </c>
      <c r="O133" s="1209" t="s">
        <v>56</v>
      </c>
      <c r="P133" s="1187" t="s">
        <v>75</v>
      </c>
      <c r="Q133" s="1171">
        <v>45659</v>
      </c>
      <c r="R133" s="1211"/>
      <c r="S133" s="1211"/>
      <c r="T133" s="1211"/>
      <c r="U133" s="1211"/>
      <c r="V133" s="1220">
        <v>4005</v>
      </c>
      <c r="W133" s="1181"/>
      <c r="X133" s="1220">
        <v>4005</v>
      </c>
      <c r="Y133" s="1086">
        <f t="shared" ref="Y133:Y144" si="7">IFERROR($W133/$V133, 0)</f>
        <v>0</v>
      </c>
      <c r="Z133" s="1129"/>
      <c r="AA133" s="1197">
        <v>0</v>
      </c>
      <c r="AB133" s="1197">
        <v>0</v>
      </c>
      <c r="AC133" s="1196">
        <v>0</v>
      </c>
      <c r="AD133" s="1173" t="s">
        <v>306</v>
      </c>
      <c r="AE133" s="1182"/>
    </row>
    <row r="134" spans="1:31" ht="24.75" customHeight="1">
      <c r="A134" s="1204" t="s">
        <v>307</v>
      </c>
      <c r="B134" s="1085" t="s">
        <v>303</v>
      </c>
      <c r="C134" s="1203">
        <v>46112</v>
      </c>
      <c r="D134" s="628"/>
      <c r="E134" s="1203"/>
      <c r="F134" s="1204"/>
      <c r="G134" s="1204"/>
      <c r="H134" s="1217">
        <v>55</v>
      </c>
      <c r="I134" s="637" t="s">
        <v>54</v>
      </c>
      <c r="J134" s="1209" t="s">
        <v>55</v>
      </c>
      <c r="K134" s="1218"/>
      <c r="L134" s="1203"/>
      <c r="M134" s="1209" t="s">
        <v>56</v>
      </c>
      <c r="N134" s="1276">
        <v>55435.9</v>
      </c>
      <c r="O134" s="1209" t="s">
        <v>56</v>
      </c>
      <c r="P134" s="1187" t="s">
        <v>75</v>
      </c>
      <c r="Q134" s="1171"/>
      <c r="R134" s="1211"/>
      <c r="S134" s="1211"/>
      <c r="T134" s="1211"/>
      <c r="U134" s="1211"/>
      <c r="V134" s="1220">
        <v>4571</v>
      </c>
      <c r="W134" s="1254"/>
      <c r="X134" s="1220">
        <v>4571</v>
      </c>
      <c r="Y134" s="841">
        <f t="shared" si="7"/>
        <v>0</v>
      </c>
      <c r="Z134" s="1171"/>
      <c r="AA134" s="1197">
        <v>0</v>
      </c>
      <c r="AB134" s="1197">
        <v>0</v>
      </c>
      <c r="AC134" s="1196">
        <v>0</v>
      </c>
      <c r="AD134" s="1173" t="s">
        <v>308</v>
      </c>
      <c r="AE134" s="1182"/>
    </row>
    <row r="135" spans="1:31" ht="24.75" customHeight="1">
      <c r="A135" s="1204" t="s">
        <v>309</v>
      </c>
      <c r="B135" s="1085" t="s">
        <v>303</v>
      </c>
      <c r="C135" s="1203">
        <v>46112</v>
      </c>
      <c r="D135" s="628"/>
      <c r="E135" s="1203"/>
      <c r="F135" s="1204"/>
      <c r="G135" s="1204"/>
      <c r="H135" s="1205">
        <v>71</v>
      </c>
      <c r="I135" s="637" t="s">
        <v>54</v>
      </c>
      <c r="J135" s="1209" t="s">
        <v>55</v>
      </c>
      <c r="K135" s="1218"/>
      <c r="L135" s="1203"/>
      <c r="M135" s="1209" t="s">
        <v>56</v>
      </c>
      <c r="N135" s="1273">
        <v>74320.899999999994</v>
      </c>
      <c r="O135" s="1209" t="s">
        <v>56</v>
      </c>
      <c r="P135" s="1187" t="s">
        <v>75</v>
      </c>
      <c r="Q135" s="1224"/>
      <c r="R135" s="1211"/>
      <c r="S135" s="1211"/>
      <c r="T135" s="1211"/>
      <c r="U135" s="1211"/>
      <c r="V135" s="1181">
        <v>5990</v>
      </c>
      <c r="W135" s="1254"/>
      <c r="X135" s="1181">
        <v>5990</v>
      </c>
      <c r="Y135" s="841">
        <f t="shared" si="7"/>
        <v>0</v>
      </c>
      <c r="Z135" s="1171"/>
      <c r="AA135" s="1197">
        <v>0</v>
      </c>
      <c r="AB135" s="1197">
        <v>0</v>
      </c>
      <c r="AC135" s="1196">
        <v>0</v>
      </c>
      <c r="AD135" s="1173" t="s">
        <v>308</v>
      </c>
      <c r="AE135" s="1182"/>
    </row>
    <row r="136" spans="1:31" ht="24.75" customHeight="1">
      <c r="A136" s="1204" t="s">
        <v>310</v>
      </c>
      <c r="B136" s="1085" t="s">
        <v>303</v>
      </c>
      <c r="C136" s="1203">
        <v>46112</v>
      </c>
      <c r="D136" s="628"/>
      <c r="E136" s="1203"/>
      <c r="F136" s="1204"/>
      <c r="G136" s="1204"/>
      <c r="H136" s="1205">
        <v>88</v>
      </c>
      <c r="I136" s="637" t="s">
        <v>54</v>
      </c>
      <c r="J136" s="1209" t="s">
        <v>55</v>
      </c>
      <c r="K136" s="1218"/>
      <c r="L136" s="1203"/>
      <c r="M136" s="1209" t="s">
        <v>56</v>
      </c>
      <c r="N136" s="1273">
        <v>88069</v>
      </c>
      <c r="O136" s="1209" t="s">
        <v>56</v>
      </c>
      <c r="P136" s="1187" t="s">
        <v>75</v>
      </c>
      <c r="Q136" s="1224"/>
      <c r="R136" s="1211"/>
      <c r="S136" s="1211"/>
      <c r="T136" s="1211"/>
      <c r="U136" s="1211"/>
      <c r="V136" s="1181">
        <v>7242</v>
      </c>
      <c r="W136" s="1254"/>
      <c r="X136" s="1181">
        <v>7242</v>
      </c>
      <c r="Y136" s="841">
        <f t="shared" si="7"/>
        <v>0</v>
      </c>
      <c r="Z136" s="1171"/>
      <c r="AA136" s="1197">
        <v>0</v>
      </c>
      <c r="AB136" s="1197">
        <v>0</v>
      </c>
      <c r="AC136" s="1196">
        <v>0</v>
      </c>
      <c r="AD136" s="1173" t="s">
        <v>308</v>
      </c>
      <c r="AE136" s="1182"/>
    </row>
    <row r="137" spans="1:31" ht="24.75" customHeight="1">
      <c r="A137" s="1204" t="s">
        <v>311</v>
      </c>
      <c r="B137" s="1085" t="s">
        <v>303</v>
      </c>
      <c r="C137" s="1203">
        <v>46081</v>
      </c>
      <c r="D137" s="628" t="s">
        <v>304</v>
      </c>
      <c r="E137" s="1203">
        <v>46029</v>
      </c>
      <c r="F137" s="1204" t="s">
        <v>305</v>
      </c>
      <c r="G137" s="1204"/>
      <c r="H137" s="1205">
        <v>73</v>
      </c>
      <c r="I137" s="637" t="s">
        <v>54</v>
      </c>
      <c r="J137" s="1209" t="s">
        <v>55</v>
      </c>
      <c r="K137" s="1206"/>
      <c r="L137" s="1207"/>
      <c r="M137" s="1209" t="s">
        <v>74</v>
      </c>
      <c r="N137" s="1273"/>
      <c r="O137" s="1209" t="s">
        <v>56</v>
      </c>
      <c r="P137" s="1187" t="s">
        <v>75</v>
      </c>
      <c r="Q137" s="1171">
        <v>45659</v>
      </c>
      <c r="R137" s="1211"/>
      <c r="S137" s="1211"/>
      <c r="T137" s="1211"/>
      <c r="U137" s="1211"/>
      <c r="V137" s="1181">
        <v>7660</v>
      </c>
      <c r="W137" s="1254"/>
      <c r="X137" s="1181">
        <v>7660</v>
      </c>
      <c r="Y137" s="841">
        <f t="shared" si="7"/>
        <v>0</v>
      </c>
      <c r="Z137" s="1129"/>
      <c r="AA137" s="1197">
        <v>0</v>
      </c>
      <c r="AB137" s="1197">
        <v>0</v>
      </c>
      <c r="AC137" s="1196">
        <v>0</v>
      </c>
      <c r="AD137" s="1173" t="s">
        <v>306</v>
      </c>
      <c r="AE137" s="1182"/>
    </row>
    <row r="138" spans="1:31" ht="24.75" customHeight="1">
      <c r="A138" s="1204" t="s">
        <v>312</v>
      </c>
      <c r="B138" s="1085" t="s">
        <v>303</v>
      </c>
      <c r="C138" s="1203">
        <v>46112</v>
      </c>
      <c r="D138" s="628"/>
      <c r="E138" s="1203"/>
      <c r="F138" s="1204"/>
      <c r="G138" s="1204"/>
      <c r="H138" s="1205">
        <v>87</v>
      </c>
      <c r="I138" s="637" t="s">
        <v>54</v>
      </c>
      <c r="J138" s="1209" t="s">
        <v>55</v>
      </c>
      <c r="K138" s="1206"/>
      <c r="L138" s="1207"/>
      <c r="M138" s="1209" t="s">
        <v>56</v>
      </c>
      <c r="N138" s="1277">
        <v>108458.4</v>
      </c>
      <c r="O138" s="1209" t="s">
        <v>56</v>
      </c>
      <c r="P138" s="1187" t="s">
        <v>75</v>
      </c>
      <c r="Q138" s="1224"/>
      <c r="R138" s="1211"/>
      <c r="S138" s="1211"/>
      <c r="T138" s="1211"/>
      <c r="U138" s="1211"/>
      <c r="V138" s="1181">
        <v>8596</v>
      </c>
      <c r="W138" s="1254"/>
      <c r="X138" s="1181">
        <v>8596</v>
      </c>
      <c r="Y138" s="841">
        <f t="shared" si="7"/>
        <v>0</v>
      </c>
      <c r="Z138" s="1171"/>
      <c r="AA138" s="1197">
        <v>0</v>
      </c>
      <c r="AB138" s="1197">
        <v>0</v>
      </c>
      <c r="AC138" s="1196">
        <v>0</v>
      </c>
      <c r="AD138" s="1173" t="s">
        <v>306</v>
      </c>
      <c r="AE138" s="1182"/>
    </row>
    <row r="139" spans="1:31" ht="24.75" customHeight="1">
      <c r="A139" s="1204" t="s">
        <v>313</v>
      </c>
      <c r="B139" s="1085" t="s">
        <v>303</v>
      </c>
      <c r="C139" s="1203">
        <v>46112</v>
      </c>
      <c r="D139" s="628"/>
      <c r="E139" s="1203"/>
      <c r="F139" s="1204"/>
      <c r="G139" s="1204"/>
      <c r="H139" s="1205">
        <v>70</v>
      </c>
      <c r="I139" s="637" t="s">
        <v>54</v>
      </c>
      <c r="J139" s="1209" t="s">
        <v>55</v>
      </c>
      <c r="K139" s="1206"/>
      <c r="L139" s="1207"/>
      <c r="M139" s="1209" t="s">
        <v>56</v>
      </c>
      <c r="N139" s="1277">
        <v>70105.25</v>
      </c>
      <c r="O139" s="1209" t="s">
        <v>56</v>
      </c>
      <c r="P139" s="1187" t="s">
        <v>75</v>
      </c>
      <c r="Q139" s="1224"/>
      <c r="R139" s="1211"/>
      <c r="S139" s="1211"/>
      <c r="T139" s="1211"/>
      <c r="U139" s="1211"/>
      <c r="V139" s="1181">
        <v>5648</v>
      </c>
      <c r="W139" s="1254"/>
      <c r="X139" s="1181">
        <v>5648</v>
      </c>
      <c r="Y139" s="841">
        <f t="shared" si="7"/>
        <v>0</v>
      </c>
      <c r="Z139" s="1129"/>
      <c r="AA139" s="1197">
        <v>0</v>
      </c>
      <c r="AB139" s="1197">
        <v>0</v>
      </c>
      <c r="AC139" s="1196">
        <v>0</v>
      </c>
      <c r="AD139" s="1173" t="s">
        <v>314</v>
      </c>
      <c r="AE139" s="1182"/>
    </row>
    <row r="140" spans="1:31" ht="24.75" customHeight="1">
      <c r="A140" s="1204" t="s">
        <v>315</v>
      </c>
      <c r="B140" s="1085" t="s">
        <v>303</v>
      </c>
      <c r="C140" s="1203">
        <v>46112</v>
      </c>
      <c r="D140" s="628"/>
      <c r="E140" s="1203"/>
      <c r="F140" s="1204"/>
      <c r="G140" s="1204"/>
      <c r="H140" s="1205">
        <v>77</v>
      </c>
      <c r="I140" s="637" t="s">
        <v>54</v>
      </c>
      <c r="J140" s="1209" t="s">
        <v>55</v>
      </c>
      <c r="K140" s="1206"/>
      <c r="L140" s="1207"/>
      <c r="M140" s="1209" t="s">
        <v>56</v>
      </c>
      <c r="N140" s="1273">
        <v>78047.350000000006</v>
      </c>
      <c r="O140" s="1209" t="s">
        <v>56</v>
      </c>
      <c r="P140" s="1187" t="s">
        <v>75</v>
      </c>
      <c r="Q140" s="1224"/>
      <c r="R140" s="1211"/>
      <c r="S140" s="1211"/>
      <c r="T140" s="1211"/>
      <c r="U140" s="1211"/>
      <c r="V140" s="1181">
        <v>6238</v>
      </c>
      <c r="W140" s="1254"/>
      <c r="X140" s="1181">
        <v>6238</v>
      </c>
      <c r="Y140" s="841">
        <f t="shared" si="7"/>
        <v>0</v>
      </c>
      <c r="Z140" s="1129"/>
      <c r="AA140" s="1197">
        <v>0</v>
      </c>
      <c r="AB140" s="1197">
        <v>0</v>
      </c>
      <c r="AC140" s="1196">
        <v>0</v>
      </c>
      <c r="AD140" s="1173" t="s">
        <v>314</v>
      </c>
      <c r="AE140" s="1182"/>
    </row>
    <row r="141" spans="1:31" ht="24.75" customHeight="1">
      <c r="A141" s="1204" t="s">
        <v>316</v>
      </c>
      <c r="B141" s="1085" t="s">
        <v>303</v>
      </c>
      <c r="C141" s="1203">
        <v>46112</v>
      </c>
      <c r="D141" s="628"/>
      <c r="E141" s="1203"/>
      <c r="F141" s="1204"/>
      <c r="G141" s="1204"/>
      <c r="H141" s="1205">
        <v>52</v>
      </c>
      <c r="I141" s="637" t="s">
        <v>54</v>
      </c>
      <c r="J141" s="1209" t="s">
        <v>55</v>
      </c>
      <c r="K141" s="1206"/>
      <c r="L141" s="1207"/>
      <c r="M141" s="1209" t="s">
        <v>56</v>
      </c>
      <c r="N141" s="1273">
        <v>91411.65</v>
      </c>
      <c r="O141" s="1209" t="s">
        <v>56</v>
      </c>
      <c r="P141" s="1187" t="s">
        <v>75</v>
      </c>
      <c r="Q141" s="1224"/>
      <c r="R141" s="1211"/>
      <c r="S141" s="1211"/>
      <c r="T141" s="1211"/>
      <c r="U141" s="1211"/>
      <c r="V141" s="1181">
        <v>5926</v>
      </c>
      <c r="W141" s="1254"/>
      <c r="X141" s="1181">
        <v>5926</v>
      </c>
      <c r="Y141" s="841">
        <f t="shared" si="7"/>
        <v>0</v>
      </c>
      <c r="Z141" s="1171"/>
      <c r="AA141" s="1197">
        <v>0</v>
      </c>
      <c r="AB141" s="1197">
        <v>0</v>
      </c>
      <c r="AC141" s="1196">
        <v>0</v>
      </c>
      <c r="AD141" s="1173" t="s">
        <v>308</v>
      </c>
      <c r="AE141" s="1182"/>
    </row>
    <row r="142" spans="1:31" ht="24.75" customHeight="1">
      <c r="A142" s="1278" t="s">
        <v>317</v>
      </c>
      <c r="B142" s="1085" t="s">
        <v>303</v>
      </c>
      <c r="C142" s="1203">
        <v>46112</v>
      </c>
      <c r="D142" s="628"/>
      <c r="E142" s="1279"/>
      <c r="F142" s="1278"/>
      <c r="G142" s="1204"/>
      <c r="H142" s="1205">
        <v>81</v>
      </c>
      <c r="I142" s="637" t="s">
        <v>54</v>
      </c>
      <c r="J142" s="1209" t="s">
        <v>55</v>
      </c>
      <c r="K142" s="1280"/>
      <c r="L142" s="1279"/>
      <c r="M142" s="1209" t="s">
        <v>56</v>
      </c>
      <c r="N142" s="1273">
        <v>105892.05</v>
      </c>
      <c r="O142" s="1209" t="s">
        <v>56</v>
      </c>
      <c r="P142" s="1187" t="s">
        <v>75</v>
      </c>
      <c r="Q142" s="1547"/>
      <c r="R142" s="1259"/>
      <c r="S142" s="1259"/>
      <c r="T142" s="1259"/>
      <c r="U142" s="1259"/>
      <c r="V142" s="1181">
        <v>8641</v>
      </c>
      <c r="W142" s="1559"/>
      <c r="X142" s="1181">
        <v>8641</v>
      </c>
      <c r="Y142" s="841">
        <f t="shared" si="7"/>
        <v>0</v>
      </c>
      <c r="Z142" s="1260"/>
      <c r="AA142" s="1197">
        <v>0</v>
      </c>
      <c r="AB142" s="1197">
        <v>0</v>
      </c>
      <c r="AC142" s="1196">
        <v>0</v>
      </c>
      <c r="AD142" s="1173" t="s">
        <v>308</v>
      </c>
      <c r="AE142" s="1182"/>
    </row>
    <row r="143" spans="1:31" ht="24.75" customHeight="1">
      <c r="A143" s="1278" t="s">
        <v>318</v>
      </c>
      <c r="B143" s="1085" t="s">
        <v>303</v>
      </c>
      <c r="C143" s="1203">
        <v>46112</v>
      </c>
      <c r="D143" s="628"/>
      <c r="E143" s="1279"/>
      <c r="F143" s="1278"/>
      <c r="G143" s="1204"/>
      <c r="H143" s="1205">
        <v>79</v>
      </c>
      <c r="I143" s="637" t="s">
        <v>54</v>
      </c>
      <c r="J143" s="1209" t="s">
        <v>55</v>
      </c>
      <c r="K143" s="1280"/>
      <c r="L143" s="1279"/>
      <c r="M143" s="1209" t="s">
        <v>56</v>
      </c>
      <c r="N143" s="1273">
        <v>88420</v>
      </c>
      <c r="O143" s="1209" t="s">
        <v>56</v>
      </c>
      <c r="P143" s="1187" t="s">
        <v>75</v>
      </c>
      <c r="Q143" s="1562"/>
      <c r="R143" s="1261"/>
      <c r="S143" s="1261"/>
      <c r="T143" s="1261"/>
      <c r="U143" s="1261"/>
      <c r="V143" s="1263">
        <v>7502</v>
      </c>
      <c r="W143" s="1563"/>
      <c r="X143" s="1263">
        <v>7502</v>
      </c>
      <c r="Y143" s="848">
        <f t="shared" si="7"/>
        <v>0</v>
      </c>
      <c r="Z143" s="1262"/>
      <c r="AA143" s="1197">
        <v>0</v>
      </c>
      <c r="AB143" s="1197">
        <v>0</v>
      </c>
      <c r="AC143" s="1196">
        <v>0</v>
      </c>
      <c r="AD143" s="1173" t="s">
        <v>308</v>
      </c>
      <c r="AE143" s="1182"/>
    </row>
    <row r="144" spans="1:31" ht="24.75" customHeight="1">
      <c r="A144" s="1278" t="s">
        <v>319</v>
      </c>
      <c r="B144" s="1085" t="s">
        <v>303</v>
      </c>
      <c r="C144" s="1203">
        <v>46081</v>
      </c>
      <c r="D144" s="628" t="s">
        <v>304</v>
      </c>
      <c r="E144" s="1203">
        <v>46029</v>
      </c>
      <c r="F144" s="1278" t="s">
        <v>305</v>
      </c>
      <c r="G144" s="1204"/>
      <c r="H144" s="1205">
        <v>0</v>
      </c>
      <c r="I144" s="637" t="s">
        <v>54</v>
      </c>
      <c r="J144" s="1209" t="s">
        <v>55</v>
      </c>
      <c r="K144" s="1280"/>
      <c r="L144" s="1279"/>
      <c r="M144" s="1209" t="s">
        <v>74</v>
      </c>
      <c r="N144" s="1273"/>
      <c r="O144" s="1209" t="s">
        <v>56</v>
      </c>
      <c r="P144" s="1187" t="s">
        <v>75</v>
      </c>
      <c r="Q144" s="1171">
        <v>45659</v>
      </c>
      <c r="R144" s="1261"/>
      <c r="S144" s="1261"/>
      <c r="T144" s="1261"/>
      <c r="U144" s="1261"/>
      <c r="V144" s="1263">
        <v>3682</v>
      </c>
      <c r="W144" s="1563"/>
      <c r="X144" s="1263">
        <v>3682</v>
      </c>
      <c r="Y144" s="848">
        <f t="shared" si="7"/>
        <v>0</v>
      </c>
      <c r="Z144" s="1262"/>
      <c r="AA144" s="1197">
        <v>0</v>
      </c>
      <c r="AB144" s="1197">
        <v>0</v>
      </c>
      <c r="AC144" s="1196">
        <v>0</v>
      </c>
      <c r="AD144" s="1173" t="s">
        <v>320</v>
      </c>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89"/>
      <c r="B147" s="1290"/>
      <c r="C147" s="1290"/>
      <c r="D147" s="1290"/>
      <c r="E147" s="1290"/>
      <c r="F147" s="1289"/>
      <c r="G147" s="1289"/>
      <c r="H147" s="1290"/>
      <c r="I147" s="1290"/>
      <c r="J147" s="1290"/>
      <c r="K147" s="1290"/>
      <c r="L147" s="1289"/>
      <c r="M147" s="1290"/>
      <c r="N147" s="1402"/>
      <c r="O147" s="1290"/>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182"/>
      <c r="AE150" s="1182"/>
    </row>
    <row r="151" spans="1:31" ht="24.75" customHeight="1">
      <c r="A151" s="1204"/>
      <c r="B151" s="1206"/>
      <c r="C151" s="1206"/>
      <c r="D151" s="1206"/>
      <c r="E151" s="1206"/>
      <c r="F151" s="1204"/>
      <c r="G151" s="1204"/>
      <c r="H151" s="1206"/>
      <c r="I151" s="1206"/>
      <c r="J151" s="1206"/>
      <c r="K151" s="1206"/>
      <c r="L151" s="1204"/>
      <c r="M151" s="1206"/>
      <c r="N151" s="1274"/>
      <c r="O151" s="1206"/>
      <c r="P151" s="1282"/>
      <c r="Q151" s="1184"/>
      <c r="R151" s="1184"/>
      <c r="S151" s="1184"/>
      <c r="T151" s="1184"/>
      <c r="U151" s="1184"/>
      <c r="V151" s="1249"/>
      <c r="W151" s="1184"/>
      <c r="X151" s="1184"/>
      <c r="Y151" s="1184"/>
      <c r="Z151" s="1184"/>
      <c r="AA151" s="1184"/>
      <c r="AB151" s="1184"/>
      <c r="AC151" s="1184"/>
      <c r="AD151" s="1251"/>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24.75" customHeight="1">
      <c r="A179" s="1204"/>
      <c r="B179" s="1206"/>
      <c r="C179" s="1206"/>
      <c r="D179" s="1206"/>
      <c r="E179" s="1206"/>
      <c r="F179" s="1204"/>
      <c r="G179" s="1204"/>
      <c r="H179" s="1206"/>
      <c r="I179" s="1206"/>
      <c r="J179" s="1206"/>
      <c r="K179" s="1206"/>
      <c r="L179" s="1204"/>
      <c r="M179" s="1206"/>
      <c r="N179" s="1274"/>
      <c r="O179" s="1206"/>
      <c r="P179" s="1182"/>
    </row>
    <row r="180" spans="1:16" ht="15" customHeight="1">
      <c r="A180" s="1249"/>
      <c r="B180" s="1184"/>
      <c r="C180" s="1184"/>
      <c r="D180" s="1184"/>
      <c r="E180" s="1184"/>
      <c r="F180" s="1249"/>
      <c r="G180" s="1249"/>
      <c r="H180" s="1184"/>
      <c r="I180" s="1184"/>
      <c r="J180" s="1184"/>
      <c r="K180" s="1184"/>
      <c r="L180" s="1249"/>
      <c r="M180" s="1184"/>
      <c r="N180" s="1250"/>
      <c r="O180" s="1184"/>
    </row>
  </sheetData>
  <sortState xmlns:xlrd2="http://schemas.microsoft.com/office/spreadsheetml/2017/richdata2" ref="A2:AD41">
    <sortCondition descending="1" ref="B2:B41"/>
  </sortState>
  <dataValidations count="7">
    <dataValidation allowBlank="1" showInputMessage="1" showErrorMessage="1" sqref="D70 D133:D144 L137:L1048576 R135:U1048576 Q135:Q136 Q138:Q143 Q145:Q1048576 Q2:U3 D72:D73 L12:L36 Q12:U36 Q72:U74 L72:L74 Q5:U10 L2:L10 D76:D131 L38:L70 Q38:U70" xr:uid="{1D31F93E-3D68-4310-94BF-578ADAD65882}"/>
    <dataValidation type="list" allowBlank="1" showInputMessage="1" showErrorMessage="1" sqref="J50 J133:J144 J12:J36 J67:J70 J38:J42 J72:J73 J2:J10 J57:J63 J76:J131" xr:uid="{5598570D-D2DE-4A6E-ABB1-14F4B3480632}">
      <formula1>"Received, Pending, Not Required"</formula1>
    </dataValidation>
    <dataValidation type="list" allowBlank="1" showInputMessage="1" showErrorMessage="1" sqref="I50 I54 I133:I1048576 I22:I36 I38:I42 I67:I70 I72:I74 I3:I10 I57:I63 I76:I129" xr:uid="{BDA55F74-4FDA-49CF-8062-F3046665EBCB}">
      <formula1>"On Track, In Jeopardy, Completed on Track, Completed, Completed -Missed TSD"</formula1>
    </dataValidation>
    <dataValidation type="list" allowBlank="1" showInputMessage="1" showErrorMessage="1" sqref="I43:I49 I55:I56 I64:I66 I12:I21 I2 I51:I53" xr:uid="{B676ED09-FB47-4D85-B41D-60012AA8BA0B}">
      <formula1>"On Track, In Jeopardy, Completed on Track, Completed, Completed -Missed TSD, On Hold Per Tillman"</formula1>
    </dataValidation>
    <dataValidation type="list" allowBlank="1" showInputMessage="1" showErrorMessage="1" sqref="K137:K1048576 K12:K36 K38:K41 K72:K74 K2:K10 K43:K70 K76:K129" xr:uid="{E79CFDF7-5B00-4092-B572-9E33744A1925}">
      <formula1>"Pending Locates,Permits, SOW Pending, NTP Pending, Materials, Reassigned, Door Tags"</formula1>
    </dataValidation>
    <dataValidation type="list" allowBlank="1" showInputMessage="1" showErrorMessage="1" sqref="P133:P1048576 P12:P36 P72:P74 P2:P10 P38:P70 P76:P129"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9"/>
  <sheetViews>
    <sheetView zoomScale="80" zoomScaleNormal="80" workbookViewId="0">
      <pane xSplit="1" topLeftCell="AC7" activePane="topRight" state="frozen"/>
      <selection pane="topRight" activeCell="AD11" sqref="AD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321</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322</v>
      </c>
      <c r="B2" s="798" t="s">
        <v>164</v>
      </c>
      <c r="C2" s="458">
        <v>45960</v>
      </c>
      <c r="D2" s="458" t="s">
        <v>323</v>
      </c>
      <c r="E2" s="458">
        <v>45897</v>
      </c>
      <c r="F2" s="456" t="s">
        <v>205</v>
      </c>
      <c r="G2" s="659"/>
      <c r="H2" s="460">
        <v>0</v>
      </c>
      <c r="I2" s="638" t="s">
        <v>159</v>
      </c>
      <c r="J2" s="460" t="s">
        <v>55</v>
      </c>
      <c r="K2" s="460"/>
      <c r="L2" s="458">
        <v>45891</v>
      </c>
      <c r="M2" s="460" t="s">
        <v>56</v>
      </c>
      <c r="N2" s="875">
        <v>184994.5</v>
      </c>
      <c r="O2" s="460" t="s">
        <v>56</v>
      </c>
      <c r="P2" s="608" t="s">
        <v>160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324</v>
      </c>
    </row>
    <row r="3" spans="1:30" ht="39.75" customHeight="1">
      <c r="A3" s="888" t="s">
        <v>325</v>
      </c>
      <c r="B3" s="798" t="s">
        <v>164</v>
      </c>
      <c r="C3" s="458">
        <v>45960</v>
      </c>
      <c r="D3" s="458" t="s">
        <v>326</v>
      </c>
      <c r="E3" s="458">
        <v>45909</v>
      </c>
      <c r="F3" s="458" t="s">
        <v>165</v>
      </c>
      <c r="G3" s="659"/>
      <c r="H3" s="460">
        <v>0</v>
      </c>
      <c r="I3" s="460" t="s">
        <v>159</v>
      </c>
      <c r="J3" s="460" t="s">
        <v>55</v>
      </c>
      <c r="K3" s="460"/>
      <c r="L3" s="458">
        <v>45905</v>
      </c>
      <c r="M3" s="460" t="s">
        <v>56</v>
      </c>
      <c r="N3" s="875">
        <v>98170.1</v>
      </c>
      <c r="O3" s="460" t="s">
        <v>56</v>
      </c>
      <c r="P3" s="608" t="s">
        <v>160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327</v>
      </c>
    </row>
    <row r="4" spans="1:30" ht="39.75" customHeight="1">
      <c r="A4" s="888" t="s">
        <v>328</v>
      </c>
      <c r="B4" s="798" t="s">
        <v>164</v>
      </c>
      <c r="C4" s="458">
        <v>45960</v>
      </c>
      <c r="D4" s="458" t="s">
        <v>111</v>
      </c>
      <c r="E4" s="458">
        <v>45905</v>
      </c>
      <c r="F4" s="458" t="s">
        <v>165</v>
      </c>
      <c r="G4" s="659"/>
      <c r="H4" s="460">
        <v>0</v>
      </c>
      <c r="I4" s="638" t="s">
        <v>159</v>
      </c>
      <c r="J4" s="460" t="s">
        <v>55</v>
      </c>
      <c r="K4" s="469"/>
      <c r="L4" s="369">
        <v>45943</v>
      </c>
      <c r="M4" s="1042" t="s">
        <v>56</v>
      </c>
      <c r="N4" s="875">
        <v>2167.3000000000002</v>
      </c>
      <c r="O4" s="460" t="s">
        <v>56</v>
      </c>
      <c r="P4" s="608" t="s">
        <v>160</v>
      </c>
      <c r="Q4" s="462">
        <v>45908</v>
      </c>
      <c r="R4" s="462"/>
      <c r="S4" s="462"/>
      <c r="T4" s="462"/>
      <c r="U4" s="462"/>
      <c r="V4" s="408">
        <v>158</v>
      </c>
      <c r="W4" s="565">
        <v>429</v>
      </c>
      <c r="X4" s="106">
        <f>SUM(V4-W4)</f>
        <v>-271</v>
      </c>
      <c r="Y4" s="634">
        <f>IFERROR($W4/$V4, 0)</f>
        <v>2.7151898734177213</v>
      </c>
      <c r="Z4" s="72" t="s">
        <v>329</v>
      </c>
      <c r="AA4" s="350">
        <v>0</v>
      </c>
      <c r="AB4" s="350">
        <v>0</v>
      </c>
      <c r="AC4" s="41">
        <v>0</v>
      </c>
      <c r="AD4" s="1358" t="s">
        <v>330</v>
      </c>
    </row>
    <row r="5" spans="1:30" ht="39.75" customHeight="1">
      <c r="A5" s="809" t="s">
        <v>331</v>
      </c>
      <c r="B5" s="798" t="s">
        <v>164</v>
      </c>
      <c r="C5" s="458">
        <v>45991</v>
      </c>
      <c r="D5" s="467" t="s">
        <v>172</v>
      </c>
      <c r="E5" s="467">
        <v>45950</v>
      </c>
      <c r="F5" s="466" t="s">
        <v>173</v>
      </c>
      <c r="G5" s="795"/>
      <c r="H5" s="799">
        <v>82</v>
      </c>
      <c r="I5" s="796" t="s">
        <v>159</v>
      </c>
      <c r="J5" s="799" t="s">
        <v>55</v>
      </c>
      <c r="K5" s="477"/>
      <c r="L5" s="51">
        <v>45902</v>
      </c>
      <c r="M5" s="1043" t="s">
        <v>56</v>
      </c>
      <c r="N5" s="1428">
        <v>87830</v>
      </c>
      <c r="O5" s="796" t="s">
        <v>56</v>
      </c>
      <c r="P5" s="608" t="s">
        <v>160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332</v>
      </c>
    </row>
    <row r="6" spans="1:30" ht="39.75" customHeight="1">
      <c r="A6" s="888" t="s">
        <v>333</v>
      </c>
      <c r="B6" s="798" t="s">
        <v>164</v>
      </c>
      <c r="C6" s="458">
        <v>45989</v>
      </c>
      <c r="D6" s="467" t="s">
        <v>172</v>
      </c>
      <c r="E6" s="467">
        <v>45964</v>
      </c>
      <c r="F6" s="466" t="s">
        <v>173</v>
      </c>
      <c r="G6" s="795" t="s">
        <v>334</v>
      </c>
      <c r="H6" s="799">
        <v>74</v>
      </c>
      <c r="I6" s="460" t="s">
        <v>159</v>
      </c>
      <c r="J6" s="460" t="s">
        <v>55</v>
      </c>
      <c r="K6" s="460"/>
      <c r="L6" s="51">
        <v>45932</v>
      </c>
      <c r="M6" s="1043" t="s">
        <v>56</v>
      </c>
      <c r="N6" s="800">
        <v>47064</v>
      </c>
      <c r="O6" s="796" t="s">
        <v>56</v>
      </c>
      <c r="P6" s="608" t="s">
        <v>160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335</v>
      </c>
    </row>
    <row r="7" spans="1:30" ht="39.75" customHeight="1">
      <c r="A7" s="809" t="s">
        <v>336</v>
      </c>
      <c r="B7" s="798" t="s">
        <v>164</v>
      </c>
      <c r="C7" s="458">
        <v>45960</v>
      </c>
      <c r="D7" s="467" t="s">
        <v>172</v>
      </c>
      <c r="E7" s="467">
        <v>45930</v>
      </c>
      <c r="F7" s="466" t="s">
        <v>173</v>
      </c>
      <c r="G7" s="795"/>
      <c r="H7" s="799">
        <v>80</v>
      </c>
      <c r="I7" s="796" t="s">
        <v>159</v>
      </c>
      <c r="J7" s="799" t="s">
        <v>55</v>
      </c>
      <c r="K7" s="796"/>
      <c r="L7" s="803">
        <v>45902</v>
      </c>
      <c r="M7" s="637" t="s">
        <v>56</v>
      </c>
      <c r="N7" s="1429">
        <v>90173</v>
      </c>
      <c r="O7" s="1043" t="s">
        <v>56</v>
      </c>
      <c r="P7" s="608" t="s">
        <v>160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332</v>
      </c>
    </row>
    <row r="8" spans="1:30" ht="39.75" customHeight="1">
      <c r="A8" s="1190" t="s">
        <v>337</v>
      </c>
      <c r="B8" s="798" t="s">
        <v>164</v>
      </c>
      <c r="C8" s="1131">
        <v>45999</v>
      </c>
      <c r="D8" s="1142" t="s">
        <v>204</v>
      </c>
      <c r="E8" s="1142">
        <v>45964</v>
      </c>
      <c r="F8" s="1143" t="s">
        <v>205</v>
      </c>
      <c r="G8" s="1142" t="s">
        <v>338</v>
      </c>
      <c r="H8" s="799">
        <v>81</v>
      </c>
      <c r="I8" s="1133" t="s">
        <v>159</v>
      </c>
      <c r="J8" s="1133" t="s">
        <v>55</v>
      </c>
      <c r="K8" s="796"/>
      <c r="L8" s="1142" t="s">
        <v>339</v>
      </c>
      <c r="M8" s="637" t="s">
        <v>56</v>
      </c>
      <c r="N8" s="1430">
        <v>68962</v>
      </c>
      <c r="O8" s="1043" t="s">
        <v>56</v>
      </c>
      <c r="P8" s="1191" t="s">
        <v>160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340</v>
      </c>
    </row>
    <row r="9" spans="1:30" ht="39.75" customHeight="1">
      <c r="A9" s="888" t="s">
        <v>341</v>
      </c>
      <c r="B9" s="798" t="s">
        <v>164</v>
      </c>
      <c r="C9" s="458">
        <v>45960</v>
      </c>
      <c r="D9" s="467" t="s">
        <v>204</v>
      </c>
      <c r="E9" s="467">
        <v>45950</v>
      </c>
      <c r="F9" s="466" t="s">
        <v>205</v>
      </c>
      <c r="G9" s="795"/>
      <c r="H9" s="799">
        <v>80</v>
      </c>
      <c r="I9" s="796" t="s">
        <v>159</v>
      </c>
      <c r="J9" s="799" t="s">
        <v>55</v>
      </c>
      <c r="K9" s="796"/>
      <c r="L9" s="1044">
        <v>45905</v>
      </c>
      <c r="M9" s="1431" t="s">
        <v>56</v>
      </c>
      <c r="N9" s="1432">
        <v>66674.3</v>
      </c>
      <c r="O9" s="796" t="s">
        <v>56</v>
      </c>
      <c r="P9" s="608" t="s">
        <v>160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342</v>
      </c>
    </row>
    <row r="10" spans="1:30" ht="39.75" customHeight="1">
      <c r="A10" s="888" t="s">
        <v>343</v>
      </c>
      <c r="B10" s="798" t="s">
        <v>164</v>
      </c>
      <c r="C10" s="458">
        <v>45960</v>
      </c>
      <c r="D10" s="467" t="s">
        <v>204</v>
      </c>
      <c r="E10" s="467">
        <v>45937</v>
      </c>
      <c r="F10" s="466" t="s">
        <v>205</v>
      </c>
      <c r="G10" s="795"/>
      <c r="H10" s="799">
        <v>82</v>
      </c>
      <c r="I10" s="796" t="s">
        <v>159</v>
      </c>
      <c r="J10" s="799" t="s">
        <v>55</v>
      </c>
      <c r="K10" s="460"/>
      <c r="L10" s="467">
        <v>45903</v>
      </c>
      <c r="M10" s="796" t="s">
        <v>56</v>
      </c>
      <c r="N10" s="1428">
        <v>93666.75</v>
      </c>
      <c r="O10" s="796" t="s">
        <v>56</v>
      </c>
      <c r="P10" s="608" t="s">
        <v>160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332</v>
      </c>
    </row>
    <row r="11" spans="1:30" ht="39.75" customHeight="1">
      <c r="A11" s="1190" t="s">
        <v>344</v>
      </c>
      <c r="B11" s="798" t="s">
        <v>164</v>
      </c>
      <c r="C11" s="1131">
        <v>46040</v>
      </c>
      <c r="D11" s="1143" t="s">
        <v>345</v>
      </c>
      <c r="E11" s="1142">
        <v>45867</v>
      </c>
      <c r="F11" s="1143" t="s">
        <v>205</v>
      </c>
      <c r="G11" s="1143" t="s">
        <v>346</v>
      </c>
      <c r="H11" s="1144">
        <v>0</v>
      </c>
      <c r="I11" s="796" t="s">
        <v>159</v>
      </c>
      <c r="J11" s="1144" t="s">
        <v>55</v>
      </c>
      <c r="K11" s="460"/>
      <c r="L11" s="1142" t="s">
        <v>339</v>
      </c>
      <c r="M11" s="1144" t="s">
        <v>56</v>
      </c>
      <c r="N11" s="1155">
        <v>144972.5</v>
      </c>
      <c r="O11" s="1144" t="s">
        <v>56</v>
      </c>
      <c r="P11" s="1191" t="s">
        <v>160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347</v>
      </c>
    </row>
    <row r="12" spans="1:30" ht="39.75" customHeight="1">
      <c r="A12" s="1190" t="s">
        <v>348</v>
      </c>
      <c r="B12" s="798" t="s">
        <v>164</v>
      </c>
      <c r="C12" s="1142">
        <v>46011</v>
      </c>
      <c r="D12" s="1143" t="s">
        <v>204</v>
      </c>
      <c r="E12" s="1142">
        <v>45923</v>
      </c>
      <c r="F12" s="1143" t="s">
        <v>205</v>
      </c>
      <c r="G12" s="1143" t="s">
        <v>349</v>
      </c>
      <c r="H12" s="1144">
        <v>0</v>
      </c>
      <c r="I12" s="796" t="s">
        <v>159</v>
      </c>
      <c r="J12" s="1144" t="s">
        <v>55</v>
      </c>
      <c r="K12" s="460"/>
      <c r="L12" s="1142" t="s">
        <v>339</v>
      </c>
      <c r="M12" s="1144" t="s">
        <v>56</v>
      </c>
      <c r="N12" s="1155">
        <v>139581.6</v>
      </c>
      <c r="O12" s="1144" t="s">
        <v>56</v>
      </c>
      <c r="P12" s="1191" t="s">
        <v>160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350</v>
      </c>
    </row>
    <row r="13" spans="1:30" ht="39.75" customHeight="1">
      <c r="A13" s="888" t="s">
        <v>351</v>
      </c>
      <c r="B13" s="481" t="s">
        <v>164</v>
      </c>
      <c r="C13" s="458">
        <v>45991</v>
      </c>
      <c r="D13" s="466" t="s">
        <v>352</v>
      </c>
      <c r="E13" s="467">
        <v>45716</v>
      </c>
      <c r="F13" s="466" t="s">
        <v>173</v>
      </c>
      <c r="G13" s="468" t="s">
        <v>353</v>
      </c>
      <c r="H13" s="469">
        <v>44</v>
      </c>
      <c r="I13" s="474" t="s">
        <v>159</v>
      </c>
      <c r="J13" s="469" t="s">
        <v>55</v>
      </c>
      <c r="K13" s="469"/>
      <c r="L13" s="467">
        <v>45716</v>
      </c>
      <c r="M13" s="469" t="s">
        <v>56</v>
      </c>
      <c r="N13" s="938">
        <v>57973.5</v>
      </c>
      <c r="O13" s="469" t="s">
        <v>56</v>
      </c>
      <c r="P13" s="608" t="s">
        <v>160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354</v>
      </c>
      <c r="B14" s="798" t="s">
        <v>164</v>
      </c>
      <c r="C14" s="458">
        <v>45991</v>
      </c>
      <c r="D14" s="466" t="s">
        <v>172</v>
      </c>
      <c r="E14" s="467">
        <v>45880</v>
      </c>
      <c r="F14" s="466" t="s">
        <v>173</v>
      </c>
      <c r="G14" s="792" t="s">
        <v>355</v>
      </c>
      <c r="H14" s="469">
        <v>57</v>
      </c>
      <c r="I14" s="796" t="s">
        <v>159</v>
      </c>
      <c r="J14" s="469" t="s">
        <v>55</v>
      </c>
      <c r="K14" s="477"/>
      <c r="L14" s="467">
        <v>45863</v>
      </c>
      <c r="M14" s="469" t="s">
        <v>56</v>
      </c>
      <c r="N14" s="938">
        <v>49223.7</v>
      </c>
      <c r="O14" s="469" t="s">
        <v>56</v>
      </c>
      <c r="P14" s="608" t="s">
        <v>160</v>
      </c>
      <c r="Q14" s="470">
        <v>45863</v>
      </c>
      <c r="R14" s="470"/>
      <c r="S14" s="470"/>
      <c r="T14" s="470"/>
      <c r="U14" s="470"/>
      <c r="V14" s="463">
        <v>3394</v>
      </c>
      <c r="W14" s="497">
        <v>3394</v>
      </c>
      <c r="X14" s="463">
        <f t="shared" si="2"/>
        <v>0</v>
      </c>
      <c r="Y14" s="639">
        <f t="shared" si="3"/>
        <v>1</v>
      </c>
      <c r="Z14" s="470">
        <v>45916</v>
      </c>
      <c r="AA14" s="350">
        <v>1</v>
      </c>
      <c r="AB14" s="350">
        <v>1</v>
      </c>
      <c r="AC14" s="41">
        <v>0</v>
      </c>
      <c r="AD14" s="1358" t="s">
        <v>356</v>
      </c>
    </row>
    <row r="15" spans="1:30" ht="39.75" customHeight="1">
      <c r="A15" s="888" t="s">
        <v>357</v>
      </c>
      <c r="B15" s="798" t="s">
        <v>164</v>
      </c>
      <c r="C15" s="458">
        <v>45991</v>
      </c>
      <c r="D15" s="466" t="s">
        <v>172</v>
      </c>
      <c r="E15" s="467">
        <v>45880</v>
      </c>
      <c r="F15" s="466" t="s">
        <v>173</v>
      </c>
      <c r="G15" s="792" t="s">
        <v>358</v>
      </c>
      <c r="H15" s="469">
        <v>75</v>
      </c>
      <c r="I15" s="796" t="s">
        <v>159</v>
      </c>
      <c r="J15" s="469" t="s">
        <v>55</v>
      </c>
      <c r="K15" s="477"/>
      <c r="L15" s="467">
        <v>45879</v>
      </c>
      <c r="M15" s="469" t="s">
        <v>56</v>
      </c>
      <c r="N15" s="938">
        <v>68151.75</v>
      </c>
      <c r="O15" s="469" t="s">
        <v>56</v>
      </c>
      <c r="P15" s="608" t="s">
        <v>160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359</v>
      </c>
      <c r="B16" s="798" t="s">
        <v>164</v>
      </c>
      <c r="C16" s="458">
        <v>45960</v>
      </c>
      <c r="D16" s="466" t="s">
        <v>204</v>
      </c>
      <c r="E16" s="467">
        <v>45966</v>
      </c>
      <c r="F16" s="466" t="s">
        <v>205</v>
      </c>
      <c r="G16" s="792"/>
      <c r="H16" s="469">
        <v>0</v>
      </c>
      <c r="I16" s="796" t="s">
        <v>159</v>
      </c>
      <c r="J16" s="469" t="s">
        <v>55</v>
      </c>
      <c r="K16" s="477"/>
      <c r="L16" s="467" t="s">
        <v>339</v>
      </c>
      <c r="M16" s="469" t="s">
        <v>56</v>
      </c>
      <c r="N16" s="938">
        <v>29960</v>
      </c>
      <c r="O16" s="469" t="s">
        <v>56</v>
      </c>
      <c r="P16" s="608" t="s">
        <v>160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360</v>
      </c>
    </row>
    <row r="17" spans="1:30" ht="39.75" customHeight="1">
      <c r="A17" s="1256" t="s">
        <v>361</v>
      </c>
      <c r="B17" s="798" t="s">
        <v>164</v>
      </c>
      <c r="C17" s="458" t="s">
        <v>362</v>
      </c>
      <c r="D17" s="466" t="s">
        <v>111</v>
      </c>
      <c r="E17" s="467">
        <v>45964</v>
      </c>
      <c r="F17" s="466" t="s">
        <v>363</v>
      </c>
      <c r="G17" s="792"/>
      <c r="H17" s="469">
        <v>0</v>
      </c>
      <c r="I17" s="460" t="s">
        <v>159</v>
      </c>
      <c r="J17" s="469" t="s">
        <v>55</v>
      </c>
      <c r="K17" s="460"/>
      <c r="L17" s="467" t="s">
        <v>339</v>
      </c>
      <c r="M17" s="469" t="s">
        <v>56</v>
      </c>
      <c r="N17" s="938">
        <v>2670.65</v>
      </c>
      <c r="O17" s="469" t="s">
        <v>56</v>
      </c>
      <c r="P17" s="608" t="s">
        <v>160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364</v>
      </c>
    </row>
    <row r="18" spans="1:30" ht="39.75" customHeight="1">
      <c r="A18" s="1190" t="s">
        <v>365</v>
      </c>
      <c r="B18" s="798" t="s">
        <v>164</v>
      </c>
      <c r="C18" s="1131">
        <v>46040</v>
      </c>
      <c r="D18" s="1143" t="s">
        <v>172</v>
      </c>
      <c r="E18" s="1142">
        <v>46042</v>
      </c>
      <c r="F18" s="1143" t="s">
        <v>205</v>
      </c>
      <c r="G18" s="1143"/>
      <c r="H18" s="1144">
        <v>0</v>
      </c>
      <c r="I18" s="796" t="s">
        <v>159</v>
      </c>
      <c r="J18" s="1144" t="s">
        <v>55</v>
      </c>
      <c r="K18" s="460"/>
      <c r="L18" s="1142" t="s">
        <v>339</v>
      </c>
      <c r="M18" s="1144" t="s">
        <v>56</v>
      </c>
      <c r="N18" s="1155">
        <v>45312.55</v>
      </c>
      <c r="O18" s="1144" t="s">
        <v>56</v>
      </c>
      <c r="P18" s="1191" t="s">
        <v>160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366</v>
      </c>
    </row>
    <row r="19" spans="1:30" ht="39.75" customHeight="1">
      <c r="A19" s="1190" t="s">
        <v>367</v>
      </c>
      <c r="B19" s="798" t="s">
        <v>164</v>
      </c>
      <c r="C19" s="1241">
        <v>46053</v>
      </c>
      <c r="D19" s="1242" t="s">
        <v>368</v>
      </c>
      <c r="E19" s="1243">
        <v>46030</v>
      </c>
      <c r="F19" s="466" t="s">
        <v>205</v>
      </c>
      <c r="G19" s="1143"/>
      <c r="H19" s="1144">
        <v>0</v>
      </c>
      <c r="I19" s="638" t="s">
        <v>159</v>
      </c>
      <c r="J19" s="1550" t="s">
        <v>55</v>
      </c>
      <c r="K19" s="1550"/>
      <c r="L19" s="467" t="s">
        <v>339</v>
      </c>
      <c r="M19" s="469" t="s">
        <v>56</v>
      </c>
      <c r="N19" s="1551">
        <v>1035</v>
      </c>
      <c r="O19" s="1144" t="s">
        <v>56</v>
      </c>
      <c r="P19" s="1191" t="s">
        <v>160</v>
      </c>
      <c r="Q19" s="1552">
        <v>46030</v>
      </c>
      <c r="R19" s="1237"/>
      <c r="S19" s="1237"/>
      <c r="T19" s="1237"/>
      <c r="U19" s="1237"/>
      <c r="V19" s="1553">
        <v>0</v>
      </c>
      <c r="W19" s="1564">
        <v>0</v>
      </c>
      <c r="X19" s="1554">
        <f>SUM(V19-W19)</f>
        <v>0</v>
      </c>
      <c r="Y19" s="639">
        <v>1</v>
      </c>
      <c r="Z19" s="1552">
        <v>46030</v>
      </c>
      <c r="AA19" s="1139">
        <v>0</v>
      </c>
      <c r="AB19" s="1139">
        <v>0</v>
      </c>
      <c r="AC19" s="1148">
        <v>0</v>
      </c>
      <c r="AD19" s="1361" t="s">
        <v>369</v>
      </c>
    </row>
    <row r="20" spans="1:30" ht="39.75" customHeight="1">
      <c r="A20" s="1190" t="s">
        <v>370</v>
      </c>
      <c r="B20" s="798" t="s">
        <v>164</v>
      </c>
      <c r="C20" s="1131">
        <v>46040</v>
      </c>
      <c r="D20" s="1143" t="s">
        <v>371</v>
      </c>
      <c r="E20" s="1142">
        <v>46034</v>
      </c>
      <c r="F20" s="1143" t="s">
        <v>205</v>
      </c>
      <c r="G20" s="1143"/>
      <c r="H20" s="1144">
        <v>76</v>
      </c>
      <c r="I20" s="796" t="s">
        <v>159</v>
      </c>
      <c r="J20" s="799" t="s">
        <v>55</v>
      </c>
      <c r="K20" s="1550"/>
      <c r="L20" s="1142">
        <v>46036</v>
      </c>
      <c r="M20" s="1144" t="s">
        <v>56</v>
      </c>
      <c r="N20" s="1155">
        <v>64325</v>
      </c>
      <c r="O20" s="1144" t="s">
        <v>56</v>
      </c>
      <c r="P20" s="1191" t="s">
        <v>160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372</v>
      </c>
    </row>
    <row r="21" spans="1:30" ht="39.75" customHeight="1">
      <c r="A21" s="1352" t="s">
        <v>373</v>
      </c>
      <c r="B21" s="798" t="s">
        <v>164</v>
      </c>
      <c r="C21" s="1131">
        <v>46040</v>
      </c>
      <c r="D21" s="1242" t="s">
        <v>374</v>
      </c>
      <c r="E21" s="1243">
        <v>46027</v>
      </c>
      <c r="F21" s="1242" t="s">
        <v>205</v>
      </c>
      <c r="G21" s="1143"/>
      <c r="H21" s="1549">
        <v>109</v>
      </c>
      <c r="I21" s="796" t="s">
        <v>159</v>
      </c>
      <c r="J21" s="799" t="s">
        <v>55</v>
      </c>
      <c r="K21" s="1550"/>
      <c r="L21" s="1243">
        <v>45663</v>
      </c>
      <c r="M21" s="1144" t="s">
        <v>56</v>
      </c>
      <c r="N21" s="1551">
        <v>123587.5</v>
      </c>
      <c r="O21" s="1549" t="s">
        <v>56</v>
      </c>
      <c r="P21" s="1565" t="s">
        <v>160</v>
      </c>
      <c r="Q21" s="1552">
        <v>46008</v>
      </c>
      <c r="R21" s="1552"/>
      <c r="S21" s="1552"/>
      <c r="T21" s="1552"/>
      <c r="U21" s="1552"/>
      <c r="V21" s="1553">
        <v>6825</v>
      </c>
      <c r="W21" s="1564">
        <v>6575</v>
      </c>
      <c r="X21" s="1554">
        <f>SUM(V21-W21)</f>
        <v>250</v>
      </c>
      <c r="Y21" s="639">
        <f>IFERROR($W21/$V21, 0)</f>
        <v>0.96336996336996339</v>
      </c>
      <c r="Z21" s="1552">
        <v>46034</v>
      </c>
      <c r="AA21" s="1139">
        <v>0</v>
      </c>
      <c r="AB21" s="1139">
        <v>0</v>
      </c>
      <c r="AC21" s="1148">
        <v>0</v>
      </c>
      <c r="AD21" s="1140" t="s">
        <v>375</v>
      </c>
    </row>
    <row r="22" spans="1:30" ht="39.75" customHeight="1">
      <c r="A22" s="888" t="s">
        <v>376</v>
      </c>
      <c r="B22" s="798" t="s">
        <v>232</v>
      </c>
      <c r="C22" s="458">
        <v>46006</v>
      </c>
      <c r="D22" s="466" t="s">
        <v>204</v>
      </c>
      <c r="E22" s="467">
        <v>45987</v>
      </c>
      <c r="F22" s="466" t="s">
        <v>173</v>
      </c>
      <c r="G22" s="792" t="s">
        <v>377</v>
      </c>
      <c r="H22" s="469">
        <v>35</v>
      </c>
      <c r="I22" s="796" t="s">
        <v>159</v>
      </c>
      <c r="J22" s="469" t="s">
        <v>55</v>
      </c>
      <c r="K22" s="460"/>
      <c r="L22" s="467" t="s">
        <v>339</v>
      </c>
      <c r="M22" s="469" t="s">
        <v>56</v>
      </c>
      <c r="N22" s="938">
        <v>35942</v>
      </c>
      <c r="O22" s="469" t="s">
        <v>56</v>
      </c>
      <c r="P22" s="608" t="s">
        <v>160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378</v>
      </c>
    </row>
    <row r="23" spans="1:30" ht="39.75" customHeight="1">
      <c r="A23" s="1190" t="s">
        <v>379</v>
      </c>
      <c r="B23" s="798" t="s">
        <v>232</v>
      </c>
      <c r="C23" s="1131">
        <v>46006</v>
      </c>
      <c r="D23" s="1143" t="s">
        <v>204</v>
      </c>
      <c r="E23" s="1142">
        <v>45987</v>
      </c>
      <c r="F23" s="1143" t="s">
        <v>173</v>
      </c>
      <c r="G23" s="1143" t="s">
        <v>380</v>
      </c>
      <c r="H23" s="1144">
        <v>30</v>
      </c>
      <c r="I23" s="796" t="s">
        <v>159</v>
      </c>
      <c r="J23" s="799" t="s">
        <v>55</v>
      </c>
      <c r="K23" s="1133"/>
      <c r="L23" s="467" t="s">
        <v>339</v>
      </c>
      <c r="M23" s="1144" t="s">
        <v>56</v>
      </c>
      <c r="N23" s="1433">
        <v>31387.05</v>
      </c>
      <c r="O23" s="1144" t="s">
        <v>56</v>
      </c>
      <c r="P23" s="1191" t="s">
        <v>160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381</v>
      </c>
    </row>
    <row r="24" spans="1:30" ht="39.75" customHeight="1">
      <c r="A24" s="888" t="s">
        <v>382</v>
      </c>
      <c r="B24" s="481" t="s">
        <v>232</v>
      </c>
      <c r="C24" s="458">
        <v>46006</v>
      </c>
      <c r="D24" s="466" t="s">
        <v>204</v>
      </c>
      <c r="E24" s="467">
        <v>45975</v>
      </c>
      <c r="F24" s="466" t="s">
        <v>173</v>
      </c>
      <c r="G24" s="468" t="s">
        <v>383</v>
      </c>
      <c r="H24" s="469">
        <v>86</v>
      </c>
      <c r="I24" s="796" t="s">
        <v>159</v>
      </c>
      <c r="J24" s="799" t="s">
        <v>55</v>
      </c>
      <c r="K24" s="460"/>
      <c r="L24" s="467" t="s">
        <v>339</v>
      </c>
      <c r="M24" s="469" t="s">
        <v>56</v>
      </c>
      <c r="N24" s="938">
        <v>111432</v>
      </c>
      <c r="O24" s="469" t="s">
        <v>56</v>
      </c>
      <c r="P24" s="608" t="s">
        <v>160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384</v>
      </c>
    </row>
    <row r="25" spans="1:30" ht="39.75" customHeight="1">
      <c r="A25" s="1190" t="s">
        <v>385</v>
      </c>
      <c r="B25" s="798" t="s">
        <v>232</v>
      </c>
      <c r="C25" s="1131">
        <v>46040</v>
      </c>
      <c r="D25" s="1143" t="s">
        <v>204</v>
      </c>
      <c r="E25" s="1142">
        <v>46031</v>
      </c>
      <c r="F25" s="1143" t="s">
        <v>173</v>
      </c>
      <c r="G25" s="1143" t="s">
        <v>386</v>
      </c>
      <c r="H25" s="1144">
        <v>73</v>
      </c>
      <c r="I25" s="796" t="s">
        <v>159</v>
      </c>
      <c r="J25" s="799" t="s">
        <v>55</v>
      </c>
      <c r="K25" s="1133"/>
      <c r="L25" s="467" t="s">
        <v>339</v>
      </c>
      <c r="M25" s="1144" t="s">
        <v>56</v>
      </c>
      <c r="N25" s="1155">
        <v>77814</v>
      </c>
      <c r="O25" s="1144" t="s">
        <v>56</v>
      </c>
      <c r="P25" s="1191" t="s">
        <v>160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387</v>
      </c>
    </row>
    <row r="26" spans="1:30" ht="39.75" customHeight="1">
      <c r="A26" s="1190" t="s">
        <v>388</v>
      </c>
      <c r="B26" s="798" t="s">
        <v>232</v>
      </c>
      <c r="C26" s="1131">
        <v>46081</v>
      </c>
      <c r="D26" s="1143" t="s">
        <v>111</v>
      </c>
      <c r="E26" s="1142">
        <v>46001</v>
      </c>
      <c r="F26" s="1143" t="s">
        <v>173</v>
      </c>
      <c r="G26" s="1143" t="s">
        <v>389</v>
      </c>
      <c r="H26" s="1144">
        <v>80</v>
      </c>
      <c r="I26" s="796" t="s">
        <v>159</v>
      </c>
      <c r="J26" s="799" t="s">
        <v>55</v>
      </c>
      <c r="K26" s="1133"/>
      <c r="L26" s="1142">
        <v>46021</v>
      </c>
      <c r="M26" s="1144" t="s">
        <v>56</v>
      </c>
      <c r="N26" s="1155">
        <v>65843.5</v>
      </c>
      <c r="O26" s="1144" t="s">
        <v>56</v>
      </c>
      <c r="P26" s="1191" t="s">
        <v>160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390</v>
      </c>
    </row>
    <row r="27" spans="1:30" ht="39.75" customHeight="1">
      <c r="A27" s="1190" t="s">
        <v>391</v>
      </c>
      <c r="B27" s="798" t="s">
        <v>232</v>
      </c>
      <c r="C27" s="1131">
        <v>46081</v>
      </c>
      <c r="D27" s="1143" t="s">
        <v>204</v>
      </c>
      <c r="E27" s="1142">
        <v>46043</v>
      </c>
      <c r="F27" s="1143" t="s">
        <v>173</v>
      </c>
      <c r="G27" s="1143" t="s">
        <v>392</v>
      </c>
      <c r="H27" s="1144">
        <v>61</v>
      </c>
      <c r="I27" s="796" t="s">
        <v>159</v>
      </c>
      <c r="J27" s="1144" t="s">
        <v>55</v>
      </c>
      <c r="K27" s="1133"/>
      <c r="L27" s="1142">
        <v>46038</v>
      </c>
      <c r="M27" s="1144" t="s">
        <v>56</v>
      </c>
      <c r="N27" s="1155">
        <v>56650</v>
      </c>
      <c r="O27" s="1144" t="s">
        <v>56</v>
      </c>
      <c r="P27" s="1191" t="s">
        <v>160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393</v>
      </c>
    </row>
    <row r="28" spans="1:30" ht="39.75" customHeight="1">
      <c r="A28" s="888" t="s">
        <v>394</v>
      </c>
      <c r="B28" s="481" t="s">
        <v>232</v>
      </c>
      <c r="C28" s="458">
        <v>46053</v>
      </c>
      <c r="D28" s="466" t="s">
        <v>204</v>
      </c>
      <c r="E28" s="467">
        <v>45964</v>
      </c>
      <c r="F28" s="466" t="s">
        <v>173</v>
      </c>
      <c r="G28" s="468"/>
      <c r="H28" s="469">
        <v>82</v>
      </c>
      <c r="I28" s="796" t="s">
        <v>159</v>
      </c>
      <c r="J28" s="469" t="s">
        <v>55</v>
      </c>
      <c r="K28" s="460"/>
      <c r="L28" s="467" t="s">
        <v>339</v>
      </c>
      <c r="M28" s="469" t="s">
        <v>56</v>
      </c>
      <c r="N28" s="938">
        <v>101871</v>
      </c>
      <c r="O28" s="469" t="s">
        <v>56</v>
      </c>
      <c r="P28" s="608" t="s">
        <v>160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395</v>
      </c>
    </row>
    <row r="29" spans="1:30" ht="39.75" customHeight="1">
      <c r="A29" s="888" t="s">
        <v>396</v>
      </c>
      <c r="B29" s="481" t="s">
        <v>232</v>
      </c>
      <c r="C29" s="458">
        <v>46053</v>
      </c>
      <c r="D29" s="466" t="s">
        <v>204</v>
      </c>
      <c r="E29" s="467">
        <v>45974</v>
      </c>
      <c r="F29" s="466" t="s">
        <v>173</v>
      </c>
      <c r="G29" s="468" t="s">
        <v>397</v>
      </c>
      <c r="H29" s="469">
        <v>77</v>
      </c>
      <c r="I29" s="796" t="s">
        <v>159</v>
      </c>
      <c r="J29" s="469" t="s">
        <v>55</v>
      </c>
      <c r="K29" s="460"/>
      <c r="L29" s="467">
        <v>45965</v>
      </c>
      <c r="M29" s="469" t="s">
        <v>56</v>
      </c>
      <c r="N29" s="938">
        <v>90786</v>
      </c>
      <c r="O29" s="469" t="s">
        <v>56</v>
      </c>
      <c r="P29" s="608" t="s">
        <v>160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395</v>
      </c>
    </row>
    <row r="30" spans="1:30" ht="39.75" customHeight="1">
      <c r="A30" s="888" t="s">
        <v>398</v>
      </c>
      <c r="B30" s="481" t="s">
        <v>232</v>
      </c>
      <c r="C30" s="458">
        <v>46006</v>
      </c>
      <c r="D30" s="466" t="s">
        <v>204</v>
      </c>
      <c r="E30" s="467">
        <v>45980</v>
      </c>
      <c r="F30" s="466" t="s">
        <v>173</v>
      </c>
      <c r="G30" s="792" t="s">
        <v>399</v>
      </c>
      <c r="H30" s="469">
        <v>75</v>
      </c>
      <c r="I30" s="796" t="s">
        <v>159</v>
      </c>
      <c r="J30" s="469" t="s">
        <v>55</v>
      </c>
      <c r="K30" s="460"/>
      <c r="L30" s="467" t="s">
        <v>339</v>
      </c>
      <c r="M30" s="469" t="s">
        <v>56</v>
      </c>
      <c r="N30" s="938">
        <v>82330</v>
      </c>
      <c r="O30" s="469" t="s">
        <v>56</v>
      </c>
      <c r="P30" s="608" t="s">
        <v>160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378</v>
      </c>
    </row>
    <row r="31" spans="1:30" ht="39.75" customHeight="1">
      <c r="A31" s="1299" t="s">
        <v>400</v>
      </c>
      <c r="B31" s="964" t="s">
        <v>232</v>
      </c>
      <c r="C31" s="1131">
        <v>46040</v>
      </c>
      <c r="D31" s="1143" t="s">
        <v>204</v>
      </c>
      <c r="E31" s="1142">
        <v>45996</v>
      </c>
      <c r="F31" s="1143" t="s">
        <v>173</v>
      </c>
      <c r="G31" s="1143" t="s">
        <v>401</v>
      </c>
      <c r="H31" s="1144">
        <v>78</v>
      </c>
      <c r="I31" s="796" t="s">
        <v>159</v>
      </c>
      <c r="J31" s="1144" t="s">
        <v>55</v>
      </c>
      <c r="K31" s="1133"/>
      <c r="L31" s="467" t="s">
        <v>339</v>
      </c>
      <c r="M31" s="1144" t="s">
        <v>56</v>
      </c>
      <c r="N31" s="1155">
        <v>84477</v>
      </c>
      <c r="O31" s="1144" t="s">
        <v>56</v>
      </c>
      <c r="P31" s="1191" t="s">
        <v>160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378</v>
      </c>
    </row>
    <row r="32" spans="1:30" ht="39.75" customHeight="1">
      <c r="A32" s="888" t="s">
        <v>402</v>
      </c>
      <c r="B32" s="456" t="s">
        <v>81</v>
      </c>
      <c r="C32" s="467">
        <v>45976</v>
      </c>
      <c r="D32" s="458" t="s">
        <v>115</v>
      </c>
      <c r="E32" s="458">
        <v>45959</v>
      </c>
      <c r="F32" s="456" t="s">
        <v>403</v>
      </c>
      <c r="G32" s="659"/>
      <c r="H32" s="460">
        <v>69</v>
      </c>
      <c r="I32" s="638" t="s">
        <v>159</v>
      </c>
      <c r="J32" s="460" t="s">
        <v>55</v>
      </c>
      <c r="K32" s="460"/>
      <c r="L32" s="458">
        <v>45962</v>
      </c>
      <c r="M32" s="460" t="s">
        <v>56</v>
      </c>
      <c r="N32" s="875">
        <v>37418</v>
      </c>
      <c r="O32" s="460" t="s">
        <v>56</v>
      </c>
      <c r="P32" s="608" t="s">
        <v>160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404</v>
      </c>
    </row>
    <row r="33" spans="1:30" ht="39.75" customHeight="1">
      <c r="A33" s="888" t="s">
        <v>405</v>
      </c>
      <c r="B33" s="456" t="s">
        <v>81</v>
      </c>
      <c r="C33" s="458">
        <v>45991</v>
      </c>
      <c r="D33" s="458" t="s">
        <v>115</v>
      </c>
      <c r="E33" s="458">
        <v>45966</v>
      </c>
      <c r="F33" s="456" t="s">
        <v>83</v>
      </c>
      <c r="G33" s="659" t="s">
        <v>406</v>
      </c>
      <c r="H33" s="460">
        <v>83</v>
      </c>
      <c r="I33" s="638" t="s">
        <v>159</v>
      </c>
      <c r="J33" s="460" t="s">
        <v>55</v>
      </c>
      <c r="K33" s="460"/>
      <c r="L33" s="458">
        <v>45969</v>
      </c>
      <c r="M33" s="460" t="s">
        <v>56</v>
      </c>
      <c r="N33" s="875">
        <v>66402</v>
      </c>
      <c r="O33" s="460" t="s">
        <v>56</v>
      </c>
      <c r="P33" s="608" t="s">
        <v>160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407</v>
      </c>
    </row>
    <row r="34" spans="1:30" ht="39.75" customHeight="1">
      <c r="A34" s="888" t="s">
        <v>408</v>
      </c>
      <c r="B34" s="456" t="s">
        <v>81</v>
      </c>
      <c r="C34" s="458">
        <v>46001</v>
      </c>
      <c r="D34" s="458" t="s">
        <v>115</v>
      </c>
      <c r="E34" s="458">
        <v>45966</v>
      </c>
      <c r="F34" s="456" t="s">
        <v>83</v>
      </c>
      <c r="G34" s="659" t="s">
        <v>409</v>
      </c>
      <c r="H34" s="460">
        <v>77</v>
      </c>
      <c r="I34" s="638" t="s">
        <v>159</v>
      </c>
      <c r="J34" s="460" t="s">
        <v>55</v>
      </c>
      <c r="K34" s="460"/>
      <c r="L34" s="458">
        <v>45967</v>
      </c>
      <c r="M34" s="460" t="s">
        <v>56</v>
      </c>
      <c r="N34" s="875">
        <v>63997.35</v>
      </c>
      <c r="O34" s="460" t="s">
        <v>56</v>
      </c>
      <c r="P34" s="608" t="s">
        <v>160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410</v>
      </c>
    </row>
    <row r="35" spans="1:30" ht="39.75" customHeight="1">
      <c r="A35" s="1352" t="s">
        <v>411</v>
      </c>
      <c r="B35" s="1319" t="s">
        <v>81</v>
      </c>
      <c r="C35" s="1241">
        <v>45959</v>
      </c>
      <c r="D35" s="1241" t="s">
        <v>115</v>
      </c>
      <c r="E35" s="1241">
        <v>45961</v>
      </c>
      <c r="F35" s="1319" t="s">
        <v>88</v>
      </c>
      <c r="G35" s="1132"/>
      <c r="H35" s="1550">
        <v>0</v>
      </c>
      <c r="I35" s="638" t="s">
        <v>159</v>
      </c>
      <c r="J35" s="1550" t="s">
        <v>55</v>
      </c>
      <c r="K35" s="1550"/>
      <c r="L35" s="1241" t="s">
        <v>117</v>
      </c>
      <c r="M35" s="1550" t="s">
        <v>56</v>
      </c>
      <c r="N35" s="1566">
        <v>15670.45</v>
      </c>
      <c r="O35" s="1550" t="s">
        <v>56</v>
      </c>
      <c r="P35" s="1565" t="s">
        <v>160</v>
      </c>
      <c r="Q35" s="1567">
        <v>46031</v>
      </c>
      <c r="R35" s="1567"/>
      <c r="S35" s="1567"/>
      <c r="T35" s="1567"/>
      <c r="U35" s="1567"/>
      <c r="V35" s="756">
        <v>1202</v>
      </c>
      <c r="W35" s="1192">
        <v>1208</v>
      </c>
      <c r="X35" s="1554">
        <f>SUM(V35-W35)</f>
        <v>-6</v>
      </c>
      <c r="Y35" s="639">
        <v>1</v>
      </c>
      <c r="Z35" s="1147">
        <v>46035</v>
      </c>
      <c r="AA35" s="350">
        <v>1</v>
      </c>
      <c r="AB35" s="1568">
        <v>0</v>
      </c>
      <c r="AC35" s="1554">
        <v>0</v>
      </c>
      <c r="AD35" s="1361" t="s">
        <v>412</v>
      </c>
    </row>
    <row r="36" spans="1:30" ht="39.75" customHeight="1">
      <c r="A36" s="1190" t="s">
        <v>413</v>
      </c>
      <c r="B36" s="1132" t="s">
        <v>81</v>
      </c>
      <c r="C36" s="1131">
        <v>45675</v>
      </c>
      <c r="D36" s="1131" t="s">
        <v>115</v>
      </c>
      <c r="E36" s="1131">
        <v>46006</v>
      </c>
      <c r="F36" s="1132" t="s">
        <v>88</v>
      </c>
      <c r="G36" s="1132"/>
      <c r="H36" s="1133">
        <v>0</v>
      </c>
      <c r="I36" s="1133" t="s">
        <v>159</v>
      </c>
      <c r="J36" s="1133" t="s">
        <v>55</v>
      </c>
      <c r="K36" s="1133"/>
      <c r="L36" s="1131">
        <v>46006</v>
      </c>
      <c r="M36" s="1133" t="s">
        <v>56</v>
      </c>
      <c r="N36" s="1134">
        <v>45512.75</v>
      </c>
      <c r="O36" s="1133" t="s">
        <v>56</v>
      </c>
      <c r="P36" s="1191" t="s">
        <v>160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414</v>
      </c>
    </row>
    <row r="37" spans="1:30" ht="39.75" customHeight="1">
      <c r="A37" s="888" t="s">
        <v>415</v>
      </c>
      <c r="B37" s="456" t="s">
        <v>81</v>
      </c>
      <c r="C37" s="458">
        <v>46021</v>
      </c>
      <c r="D37" s="456" t="s">
        <v>416</v>
      </c>
      <c r="E37" s="458" t="s">
        <v>339</v>
      </c>
      <c r="F37" s="456" t="s">
        <v>88</v>
      </c>
      <c r="G37" s="459" t="s">
        <v>417</v>
      </c>
      <c r="H37" s="460">
        <v>0</v>
      </c>
      <c r="I37" s="460" t="s">
        <v>159</v>
      </c>
      <c r="J37" s="460" t="s">
        <v>55</v>
      </c>
      <c r="K37" s="460"/>
      <c r="L37" s="458" t="s">
        <v>117</v>
      </c>
      <c r="M37" s="460" t="s">
        <v>56</v>
      </c>
      <c r="N37" s="875">
        <v>1931.75</v>
      </c>
      <c r="O37" s="460" t="s">
        <v>56</v>
      </c>
      <c r="P37" s="1006" t="s">
        <v>160</v>
      </c>
      <c r="Q37" s="124"/>
      <c r="R37" s="631"/>
      <c r="S37" s="462"/>
      <c r="T37" s="462"/>
      <c r="U37" s="462"/>
      <c r="V37" s="408">
        <v>0</v>
      </c>
      <c r="W37" s="565">
        <v>0</v>
      </c>
      <c r="X37" s="463">
        <f>SUM(V37-W37)</f>
        <v>0</v>
      </c>
      <c r="Y37" s="639">
        <f t="shared" ref="Y37:Y84" si="13">IFERROR($W37/$V37, 0)</f>
        <v>0</v>
      </c>
      <c r="Z37" s="470">
        <v>45996</v>
      </c>
      <c r="AA37" s="350">
        <v>0</v>
      </c>
      <c r="AB37" s="350">
        <v>1</v>
      </c>
      <c r="AC37" s="463">
        <v>0</v>
      </c>
      <c r="AD37" s="1358" t="s">
        <v>418</v>
      </c>
    </row>
    <row r="38" spans="1:30" ht="39.75" customHeight="1">
      <c r="A38" s="888" t="s">
        <v>419</v>
      </c>
      <c r="B38" s="658" t="s">
        <v>81</v>
      </c>
      <c r="C38" s="467">
        <v>45991</v>
      </c>
      <c r="D38" s="456" t="s">
        <v>420</v>
      </c>
      <c r="E38" s="458">
        <v>45936</v>
      </c>
      <c r="F38" s="456" t="s">
        <v>83</v>
      </c>
      <c r="G38" s="659"/>
      <c r="H38" s="460">
        <v>0</v>
      </c>
      <c r="I38" s="460" t="s">
        <v>159</v>
      </c>
      <c r="J38" s="460" t="s">
        <v>55</v>
      </c>
      <c r="K38" s="460"/>
      <c r="L38" s="458" t="s">
        <v>117</v>
      </c>
      <c r="M38" s="460" t="s">
        <v>56</v>
      </c>
      <c r="N38" s="875">
        <v>74164.05</v>
      </c>
      <c r="O38" s="460" t="s">
        <v>56</v>
      </c>
      <c r="P38" s="1006" t="s">
        <v>160</v>
      </c>
      <c r="Q38" s="124">
        <v>45939</v>
      </c>
      <c r="R38" s="631"/>
      <c r="S38" s="462"/>
      <c r="T38" s="462"/>
      <c r="U38" s="462"/>
      <c r="V38" s="408">
        <v>5613</v>
      </c>
      <c r="W38" s="565">
        <v>5774</v>
      </c>
      <c r="X38" s="463">
        <f t="shared" ref="X38:X83" si="14">SUM(V38-W38)</f>
        <v>-161</v>
      </c>
      <c r="Y38" s="639">
        <f t="shared" si="13"/>
        <v>1.0286834135043648</v>
      </c>
      <c r="Z38" s="470">
        <v>45960</v>
      </c>
      <c r="AA38" s="350">
        <v>1</v>
      </c>
      <c r="AB38" s="350">
        <v>1</v>
      </c>
      <c r="AC38" s="463">
        <v>0</v>
      </c>
      <c r="AD38" s="1358" t="s">
        <v>421</v>
      </c>
    </row>
    <row r="39" spans="1:30" ht="39.75" customHeight="1">
      <c r="A39" s="1190" t="s">
        <v>422</v>
      </c>
      <c r="B39" s="658" t="s">
        <v>81</v>
      </c>
      <c r="C39" s="1131">
        <v>46020</v>
      </c>
      <c r="D39" s="1131" t="s">
        <v>423</v>
      </c>
      <c r="E39" s="1131">
        <v>45978</v>
      </c>
      <c r="F39" s="1132" t="s">
        <v>88</v>
      </c>
      <c r="G39" s="1132" t="s">
        <v>424</v>
      </c>
      <c r="H39" s="1133">
        <v>197</v>
      </c>
      <c r="I39" s="638" t="s">
        <v>159</v>
      </c>
      <c r="J39" s="1133" t="s">
        <v>68</v>
      </c>
      <c r="K39" s="460"/>
      <c r="L39" s="1131">
        <v>45978</v>
      </c>
      <c r="M39" s="1133" t="s">
        <v>56</v>
      </c>
      <c r="N39" s="1434">
        <v>87807.5</v>
      </c>
      <c r="O39" s="1133" t="s">
        <v>56</v>
      </c>
      <c r="P39" s="1191" t="s">
        <v>160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425</v>
      </c>
    </row>
    <row r="40" spans="1:30" ht="39.75" customHeight="1">
      <c r="A40" s="1351" t="s">
        <v>426</v>
      </c>
      <c r="B40" s="1201" t="s">
        <v>427</v>
      </c>
      <c r="C40" s="1279">
        <v>46052</v>
      </c>
      <c r="D40" s="1268" t="s">
        <v>115</v>
      </c>
      <c r="E40" s="1202">
        <v>46027</v>
      </c>
      <c r="F40" s="1286" t="s">
        <v>403</v>
      </c>
      <c r="G40" s="1204"/>
      <c r="H40" s="52">
        <v>85</v>
      </c>
      <c r="I40" s="637" t="s">
        <v>159</v>
      </c>
      <c r="J40" s="1209" t="s">
        <v>55</v>
      </c>
      <c r="K40" s="1288"/>
      <c r="L40" s="1202">
        <v>46027</v>
      </c>
      <c r="M40" s="1144" t="s">
        <v>56</v>
      </c>
      <c r="N40" s="1222">
        <v>73334</v>
      </c>
      <c r="O40" s="1272" t="s">
        <v>56</v>
      </c>
      <c r="P40" s="1223" t="s">
        <v>160</v>
      </c>
      <c r="Q40" s="1171">
        <v>46027</v>
      </c>
      <c r="R40" s="1368"/>
      <c r="S40" s="1259"/>
      <c r="T40" s="1292"/>
      <c r="U40" s="1171">
        <v>46052</v>
      </c>
      <c r="V40" s="31">
        <v>5860</v>
      </c>
      <c r="W40" s="1569">
        <v>5829</v>
      </c>
      <c r="X40" s="1294">
        <f t="shared" ref="X40:X47" si="15">SUM(V40-W40)</f>
        <v>31</v>
      </c>
      <c r="Y40" s="1086">
        <f t="shared" si="13"/>
        <v>0.99470989761092155</v>
      </c>
      <c r="Z40" s="1547">
        <v>46034</v>
      </c>
      <c r="AA40" s="350">
        <v>1</v>
      </c>
      <c r="AB40" s="350">
        <v>1</v>
      </c>
      <c r="AC40" s="1196">
        <v>0</v>
      </c>
      <c r="AD40" s="1173" t="s">
        <v>428</v>
      </c>
    </row>
    <row r="41" spans="1:30" ht="39.75" customHeight="1">
      <c r="A41" s="1351" t="s">
        <v>429</v>
      </c>
      <c r="B41" s="1201" t="s">
        <v>427</v>
      </c>
      <c r="C41" s="1279">
        <v>46052</v>
      </c>
      <c r="D41" s="1268" t="s">
        <v>115</v>
      </c>
      <c r="E41" s="1202">
        <v>46027</v>
      </c>
      <c r="F41" s="1286" t="s">
        <v>403</v>
      </c>
      <c r="G41" s="1204"/>
      <c r="H41" s="52">
        <v>81</v>
      </c>
      <c r="I41" s="637" t="s">
        <v>159</v>
      </c>
      <c r="J41" s="1209" t="s">
        <v>55</v>
      </c>
      <c r="K41" s="1288"/>
      <c r="L41" s="1202">
        <v>46027</v>
      </c>
      <c r="M41" s="1144" t="s">
        <v>56</v>
      </c>
      <c r="N41" s="1222">
        <v>73885</v>
      </c>
      <c r="O41" s="1272" t="s">
        <v>56</v>
      </c>
      <c r="P41" s="1223" t="s">
        <v>160</v>
      </c>
      <c r="Q41" s="1171">
        <v>46027</v>
      </c>
      <c r="R41" s="1368"/>
      <c r="S41" s="1259"/>
      <c r="T41" s="1292"/>
      <c r="U41" s="1171">
        <v>46052</v>
      </c>
      <c r="V41" s="31">
        <v>6021</v>
      </c>
      <c r="W41" s="1569">
        <v>6080</v>
      </c>
      <c r="X41" s="1294">
        <f t="shared" si="15"/>
        <v>-59</v>
      </c>
      <c r="Y41" s="1086">
        <f t="shared" si="13"/>
        <v>1.0097990367048664</v>
      </c>
      <c r="Z41" s="1547">
        <v>46035</v>
      </c>
      <c r="AA41" s="350">
        <v>1</v>
      </c>
      <c r="AB41" s="350">
        <v>1</v>
      </c>
      <c r="AC41" s="1196">
        <v>0</v>
      </c>
      <c r="AD41" s="1173" t="s">
        <v>430</v>
      </c>
    </row>
    <row r="42" spans="1:30" ht="39.75" customHeight="1">
      <c r="A42" s="1351" t="s">
        <v>431</v>
      </c>
      <c r="B42" s="1201" t="s">
        <v>427</v>
      </c>
      <c r="C42" s="1279">
        <v>46052</v>
      </c>
      <c r="D42" s="1268" t="s">
        <v>115</v>
      </c>
      <c r="E42" s="1202">
        <v>46027</v>
      </c>
      <c r="F42" s="1286" t="s">
        <v>403</v>
      </c>
      <c r="G42" s="1204"/>
      <c r="H42" s="52">
        <v>87</v>
      </c>
      <c r="I42" s="637" t="s">
        <v>159</v>
      </c>
      <c r="J42" s="1209" t="s">
        <v>55</v>
      </c>
      <c r="K42" s="1288"/>
      <c r="L42" s="1202">
        <v>46027</v>
      </c>
      <c r="M42" s="1144" t="s">
        <v>56</v>
      </c>
      <c r="N42" s="1222">
        <v>78025</v>
      </c>
      <c r="O42" s="1272" t="s">
        <v>56</v>
      </c>
      <c r="P42" s="1223" t="s">
        <v>160</v>
      </c>
      <c r="Q42" s="1171">
        <v>46027</v>
      </c>
      <c r="R42" s="1225"/>
      <c r="S42" s="1211"/>
      <c r="T42" s="1291"/>
      <c r="U42" s="1171">
        <v>46052</v>
      </c>
      <c r="V42" s="31">
        <v>6432</v>
      </c>
      <c r="W42" s="1226">
        <v>6309</v>
      </c>
      <c r="X42" s="1294">
        <f>SUM(V42-W42)</f>
        <v>123</v>
      </c>
      <c r="Y42" s="1086">
        <f>IFERROR($W42/$V42, 0)</f>
        <v>0.98087686567164178</v>
      </c>
      <c r="Z42" s="1171">
        <v>46035</v>
      </c>
      <c r="AA42" s="1197">
        <v>1</v>
      </c>
      <c r="AB42" s="1197">
        <v>1</v>
      </c>
      <c r="AC42" s="1196">
        <v>2048</v>
      </c>
      <c r="AD42" s="1173" t="s">
        <v>432</v>
      </c>
    </row>
    <row r="43" spans="1:30" ht="39.75" customHeight="1">
      <c r="A43" s="1351" t="s">
        <v>433</v>
      </c>
      <c r="B43" s="1201" t="s">
        <v>427</v>
      </c>
      <c r="C43" s="1279">
        <v>46052</v>
      </c>
      <c r="D43" s="1268" t="s">
        <v>115</v>
      </c>
      <c r="E43" s="1202">
        <v>46027</v>
      </c>
      <c r="F43" s="1286" t="s">
        <v>403</v>
      </c>
      <c r="G43" s="1204"/>
      <c r="H43" s="52">
        <v>90</v>
      </c>
      <c r="I43" s="637" t="s">
        <v>159</v>
      </c>
      <c r="J43" s="1209" t="s">
        <v>55</v>
      </c>
      <c r="K43" s="1288"/>
      <c r="L43" s="1202">
        <v>46027</v>
      </c>
      <c r="M43" s="1144" t="s">
        <v>56</v>
      </c>
      <c r="N43" s="1222">
        <v>88362</v>
      </c>
      <c r="O43" s="1272" t="s">
        <v>56</v>
      </c>
      <c r="P43" s="1223" t="s">
        <v>160</v>
      </c>
      <c r="Q43" s="1171">
        <v>46027</v>
      </c>
      <c r="R43" s="1225"/>
      <c r="S43" s="1211"/>
      <c r="T43" s="1291"/>
      <c r="U43" s="1211"/>
      <c r="V43" s="31">
        <v>7145</v>
      </c>
      <c r="W43" s="1401">
        <v>7093</v>
      </c>
      <c r="X43" s="1181">
        <f>SUM(V43-W43)</f>
        <v>52</v>
      </c>
      <c r="Y43" s="841">
        <f>IFERROR($W43/$V43, 0)</f>
        <v>0.99272218334499651</v>
      </c>
      <c r="Z43" s="1171">
        <v>46036</v>
      </c>
      <c r="AA43" s="1197">
        <v>1</v>
      </c>
      <c r="AB43" s="1197">
        <v>1</v>
      </c>
      <c r="AC43" s="1196">
        <v>0</v>
      </c>
      <c r="AD43" s="1173" t="s">
        <v>434</v>
      </c>
    </row>
    <row r="44" spans="1:30" ht="39.75" customHeight="1">
      <c r="A44" s="1351" t="s">
        <v>435</v>
      </c>
      <c r="B44" s="1201" t="s">
        <v>427</v>
      </c>
      <c r="C44" s="1279">
        <v>46052</v>
      </c>
      <c r="D44" s="1268" t="s">
        <v>115</v>
      </c>
      <c r="E44" s="1202">
        <v>46027</v>
      </c>
      <c r="F44" s="1286" t="s">
        <v>403</v>
      </c>
      <c r="G44" s="1204"/>
      <c r="H44" s="52">
        <v>68</v>
      </c>
      <c r="I44" s="637" t="s">
        <v>159</v>
      </c>
      <c r="J44" s="1209" t="s">
        <v>55</v>
      </c>
      <c r="K44" s="1288"/>
      <c r="L44" s="1202">
        <v>46027</v>
      </c>
      <c r="M44" s="1144" t="s">
        <v>56</v>
      </c>
      <c r="N44" s="1222">
        <v>59114.5</v>
      </c>
      <c r="O44" s="1272" t="s">
        <v>56</v>
      </c>
      <c r="P44" s="1223" t="s">
        <v>160</v>
      </c>
      <c r="Q44" s="1171">
        <v>46027</v>
      </c>
      <c r="R44" s="1368"/>
      <c r="S44" s="1259"/>
      <c r="T44" s="1292"/>
      <c r="U44" s="1171">
        <v>46052</v>
      </c>
      <c r="V44" s="31">
        <v>4836</v>
      </c>
      <c r="W44" s="1569">
        <v>4810</v>
      </c>
      <c r="X44" s="1295">
        <f t="shared" si="15"/>
        <v>26</v>
      </c>
      <c r="Y44" s="1284">
        <f t="shared" si="13"/>
        <v>0.9946236559139785</v>
      </c>
      <c r="Z44" s="1562">
        <v>46036</v>
      </c>
      <c r="AA44" s="350">
        <v>1</v>
      </c>
      <c r="AB44" s="350">
        <v>1</v>
      </c>
      <c r="AC44" s="1196">
        <v>404</v>
      </c>
      <c r="AD44" s="1173" t="s">
        <v>436</v>
      </c>
    </row>
    <row r="45" spans="1:30" ht="39.75" customHeight="1">
      <c r="A45" s="1387" t="s">
        <v>437</v>
      </c>
      <c r="B45" s="1201" t="s">
        <v>427</v>
      </c>
      <c r="C45" s="1279">
        <v>46052</v>
      </c>
      <c r="D45" s="1268" t="s">
        <v>115</v>
      </c>
      <c r="E45" s="1283">
        <v>46027</v>
      </c>
      <c r="F45" s="1285" t="s">
        <v>403</v>
      </c>
      <c r="G45" s="1204"/>
      <c r="H45" s="52">
        <v>90</v>
      </c>
      <c r="I45" s="637" t="s">
        <v>159</v>
      </c>
      <c r="J45" s="1209" t="s">
        <v>55</v>
      </c>
      <c r="K45" s="1380"/>
      <c r="L45" s="1202">
        <v>46027</v>
      </c>
      <c r="M45" s="1144" t="s">
        <v>56</v>
      </c>
      <c r="N45" s="1134">
        <v>86984</v>
      </c>
      <c r="O45" s="1272" t="s">
        <v>56</v>
      </c>
      <c r="P45" s="1223" t="s">
        <v>160</v>
      </c>
      <c r="Q45" s="1171">
        <v>46027</v>
      </c>
      <c r="R45" s="1369"/>
      <c r="S45" s="1261"/>
      <c r="T45" s="1293"/>
      <c r="U45" s="1389"/>
      <c r="V45" s="31">
        <v>7341</v>
      </c>
      <c r="W45" s="1570">
        <v>7151</v>
      </c>
      <c r="X45" s="1181">
        <f t="shared" si="15"/>
        <v>190</v>
      </c>
      <c r="Y45" s="841">
        <f t="shared" si="13"/>
        <v>0.97411796757934888</v>
      </c>
      <c r="Z45" s="1547">
        <v>46037</v>
      </c>
      <c r="AA45" s="350">
        <v>1</v>
      </c>
      <c r="AB45" s="350">
        <v>1</v>
      </c>
      <c r="AC45" s="1196">
        <v>1916</v>
      </c>
      <c r="AD45" s="1173" t="s">
        <v>438</v>
      </c>
    </row>
    <row r="46" spans="1:30" ht="39.75" customHeight="1">
      <c r="A46" s="1387" t="s">
        <v>439</v>
      </c>
      <c r="B46" s="1201" t="s">
        <v>427</v>
      </c>
      <c r="C46" s="1279">
        <v>46052</v>
      </c>
      <c r="D46" s="1268" t="s">
        <v>115</v>
      </c>
      <c r="E46" s="1283">
        <v>46027</v>
      </c>
      <c r="F46" s="1132" t="s">
        <v>120</v>
      </c>
      <c r="G46" s="1204"/>
      <c r="H46" s="1205">
        <v>0</v>
      </c>
      <c r="I46" s="637" t="s">
        <v>159</v>
      </c>
      <c r="J46" s="1209" t="s">
        <v>55</v>
      </c>
      <c r="K46" s="1380"/>
      <c r="L46" s="1202">
        <v>46027</v>
      </c>
      <c r="M46" s="1144" t="s">
        <v>56</v>
      </c>
      <c r="N46" s="1134">
        <v>54261.05</v>
      </c>
      <c r="O46" s="1272" t="s">
        <v>56</v>
      </c>
      <c r="P46" s="1223" t="s">
        <v>160</v>
      </c>
      <c r="Q46" s="1171">
        <v>46027</v>
      </c>
      <c r="R46" s="1390"/>
      <c r="S46" s="1296"/>
      <c r="T46" s="1170"/>
      <c r="U46" s="1211"/>
      <c r="V46" s="31">
        <v>4022</v>
      </c>
      <c r="W46" s="1226">
        <v>4019</v>
      </c>
      <c r="X46" s="1350">
        <f>SUM(V46-W46)</f>
        <v>3</v>
      </c>
      <c r="Y46" s="1284">
        <f>IFERROR($W46/$V46, 0)</f>
        <v>0.99925410243659873</v>
      </c>
      <c r="Z46" s="1391">
        <v>46037</v>
      </c>
      <c r="AA46" s="1197">
        <v>1</v>
      </c>
      <c r="AB46" s="1197">
        <v>0</v>
      </c>
      <c r="AC46" s="1196">
        <v>6116</v>
      </c>
      <c r="AD46" s="1173" t="s">
        <v>440</v>
      </c>
    </row>
    <row r="47" spans="1:30" ht="39.75" customHeight="1">
      <c r="A47" s="1351" t="s">
        <v>441</v>
      </c>
      <c r="B47" s="1201" t="s">
        <v>427</v>
      </c>
      <c r="C47" s="1279">
        <v>46052</v>
      </c>
      <c r="D47" s="1268" t="s">
        <v>115</v>
      </c>
      <c r="E47" s="1202">
        <v>46027</v>
      </c>
      <c r="F47" s="1132" t="s">
        <v>120</v>
      </c>
      <c r="G47" s="1204"/>
      <c r="H47" s="1205">
        <v>0</v>
      </c>
      <c r="I47" s="637" t="s">
        <v>159</v>
      </c>
      <c r="J47" s="1209" t="s">
        <v>55</v>
      </c>
      <c r="K47" s="1380"/>
      <c r="L47" s="1202">
        <v>46027</v>
      </c>
      <c r="M47" s="1144" t="s">
        <v>56</v>
      </c>
      <c r="N47" s="1222">
        <v>18078.28</v>
      </c>
      <c r="O47" s="1272" t="s">
        <v>56</v>
      </c>
      <c r="P47" s="1223" t="s">
        <v>160</v>
      </c>
      <c r="Q47" s="1171">
        <v>46027</v>
      </c>
      <c r="R47" s="1368"/>
      <c r="S47" s="1259"/>
      <c r="T47" s="1292"/>
      <c r="U47" s="1259"/>
      <c r="V47" s="31">
        <v>1284</v>
      </c>
      <c r="W47" s="1570">
        <v>1277</v>
      </c>
      <c r="X47" s="1181">
        <f t="shared" si="15"/>
        <v>7</v>
      </c>
      <c r="Y47" s="841">
        <f t="shared" si="13"/>
        <v>0.99454828660436134</v>
      </c>
      <c r="Z47" s="1547">
        <v>46042</v>
      </c>
      <c r="AA47" s="1197">
        <v>1</v>
      </c>
      <c r="AB47" s="1197">
        <v>0</v>
      </c>
      <c r="AC47" s="1196">
        <v>2058</v>
      </c>
      <c r="AD47" s="1173" t="s">
        <v>442</v>
      </c>
    </row>
    <row r="48" spans="1:30" ht="39.75" customHeight="1">
      <c r="A48" s="1084" t="s">
        <v>443</v>
      </c>
      <c r="B48" s="1085" t="s">
        <v>427</v>
      </c>
      <c r="C48" s="369">
        <v>46019</v>
      </c>
      <c r="D48" s="926" t="s">
        <v>115</v>
      </c>
      <c r="E48" s="369">
        <v>45959</v>
      </c>
      <c r="F48" s="368" t="s">
        <v>444</v>
      </c>
      <c r="G48" s="648" t="s">
        <v>445</v>
      </c>
      <c r="H48" s="1010">
        <v>89</v>
      </c>
      <c r="I48" s="927" t="s">
        <v>159</v>
      </c>
      <c r="J48" s="928" t="s">
        <v>55</v>
      </c>
      <c r="K48" s="460"/>
      <c r="L48" s="369">
        <v>45964</v>
      </c>
      <c r="M48" s="928" t="s">
        <v>56</v>
      </c>
      <c r="N48" s="1011">
        <v>62937.05</v>
      </c>
      <c r="O48" s="52" t="s">
        <v>56</v>
      </c>
      <c r="P48" s="1013" t="s">
        <v>160</v>
      </c>
      <c r="Q48" s="124">
        <v>45964</v>
      </c>
      <c r="R48" s="630"/>
      <c r="S48" s="630"/>
      <c r="T48" s="630"/>
      <c r="U48" s="124">
        <v>46002</v>
      </c>
      <c r="V48" s="958">
        <v>8523</v>
      </c>
      <c r="W48" s="1339">
        <v>8457</v>
      </c>
      <c r="X48" s="958">
        <f>SUM(V48-W48)</f>
        <v>66</v>
      </c>
      <c r="Y48" s="841">
        <f>IFERROR($W48/$V48, 0)</f>
        <v>0.99225624780007038</v>
      </c>
      <c r="Z48" s="193">
        <v>45966</v>
      </c>
      <c r="AA48" s="350">
        <v>1</v>
      </c>
      <c r="AB48" s="350">
        <v>1</v>
      </c>
      <c r="AC48" s="463">
        <v>0</v>
      </c>
      <c r="AD48" s="1364" t="s">
        <v>446</v>
      </c>
    </row>
    <row r="49" spans="1:30" ht="39.75" customHeight="1">
      <c r="A49" s="1221" t="s">
        <v>447</v>
      </c>
      <c r="B49" s="1085" t="s">
        <v>427</v>
      </c>
      <c r="C49" s="1279">
        <v>46052</v>
      </c>
      <c r="D49" s="926" t="s">
        <v>115</v>
      </c>
      <c r="E49" s="1203">
        <v>45959</v>
      </c>
      <c r="F49" s="1204" t="s">
        <v>444</v>
      </c>
      <c r="G49" s="1204" t="s">
        <v>448</v>
      </c>
      <c r="H49" s="1217">
        <v>83</v>
      </c>
      <c r="I49" s="927" t="s">
        <v>159</v>
      </c>
      <c r="J49" s="1193" t="s">
        <v>55</v>
      </c>
      <c r="K49" s="460"/>
      <c r="L49" s="1203" t="s">
        <v>339</v>
      </c>
      <c r="M49" s="1193" t="s">
        <v>56</v>
      </c>
      <c r="N49" s="1219">
        <v>45545.15</v>
      </c>
      <c r="O49" s="1209" t="s">
        <v>56</v>
      </c>
      <c r="P49" s="1223" t="s">
        <v>160</v>
      </c>
      <c r="Q49" s="1171">
        <v>45946</v>
      </c>
      <c r="R49" s="1389"/>
      <c r="S49" s="1389"/>
      <c r="T49" s="1389"/>
      <c r="U49" s="1389"/>
      <c r="V49" s="1220">
        <v>5827</v>
      </c>
      <c r="W49" s="1226">
        <v>5827</v>
      </c>
      <c r="X49" s="1220">
        <f>SUM(V49-W49)</f>
        <v>0</v>
      </c>
      <c r="Y49" s="1086">
        <f t="shared" ref="Y49" si="16">IFERROR($W49/$V49, 0)</f>
        <v>1</v>
      </c>
      <c r="Z49" s="1171">
        <v>45965</v>
      </c>
      <c r="AA49" s="350">
        <v>1</v>
      </c>
      <c r="AB49" s="350">
        <v>1</v>
      </c>
      <c r="AC49" s="1196">
        <v>0</v>
      </c>
      <c r="AD49" s="1173" t="s">
        <v>449</v>
      </c>
    </row>
    <row r="50" spans="1:30" ht="39.75" customHeight="1">
      <c r="A50" s="1027" t="s">
        <v>450</v>
      </c>
      <c r="B50" s="930" t="s">
        <v>427</v>
      </c>
      <c r="C50" s="458">
        <v>46045</v>
      </c>
      <c r="D50" s="623" t="s">
        <v>115</v>
      </c>
      <c r="E50" s="458"/>
      <c r="F50" s="456"/>
      <c r="G50" s="459"/>
      <c r="H50" s="1018">
        <v>77</v>
      </c>
      <c r="I50" s="796" t="s">
        <v>159</v>
      </c>
      <c r="J50" s="469" t="s">
        <v>55</v>
      </c>
      <c r="K50" s="1019"/>
      <c r="L50" s="467" t="s">
        <v>339</v>
      </c>
      <c r="M50" s="469" t="s">
        <v>56</v>
      </c>
      <c r="N50" s="1435">
        <v>4046.5</v>
      </c>
      <c r="O50" s="469" t="s">
        <v>56</v>
      </c>
      <c r="P50" s="608" t="s">
        <v>160</v>
      </c>
      <c r="Q50" s="462" t="s">
        <v>339</v>
      </c>
      <c r="R50" s="536"/>
      <c r="S50" s="536"/>
      <c r="T50" s="536"/>
      <c r="U50" s="462">
        <v>45999</v>
      </c>
      <c r="V50" s="1023">
        <v>5136</v>
      </c>
      <c r="W50" s="609">
        <v>5136</v>
      </c>
      <c r="X50" s="958">
        <f t="shared" si="14"/>
        <v>0</v>
      </c>
      <c r="Y50" s="71">
        <f t="shared" si="13"/>
        <v>1</v>
      </c>
      <c r="Z50" s="631">
        <v>45964</v>
      </c>
      <c r="AA50" s="350">
        <v>1</v>
      </c>
      <c r="AB50" s="350">
        <v>1</v>
      </c>
      <c r="AC50" s="41">
        <v>0</v>
      </c>
      <c r="AD50" s="1360" t="s">
        <v>451</v>
      </c>
    </row>
    <row r="51" spans="1:30" ht="39.75" customHeight="1">
      <c r="A51" s="1015" t="s">
        <v>452</v>
      </c>
      <c r="B51" s="930" t="s">
        <v>427</v>
      </c>
      <c r="C51" s="458">
        <v>46045</v>
      </c>
      <c r="D51" s="623" t="s">
        <v>115</v>
      </c>
      <c r="E51" s="458">
        <v>45959</v>
      </c>
      <c r="F51" s="456" t="s">
        <v>444</v>
      </c>
      <c r="G51" s="459" t="s">
        <v>453</v>
      </c>
      <c r="H51" s="1018">
        <v>78</v>
      </c>
      <c r="I51" s="796" t="s">
        <v>159</v>
      </c>
      <c r="J51" s="469" t="s">
        <v>55</v>
      </c>
      <c r="K51" s="1019"/>
      <c r="L51" s="458">
        <v>45964</v>
      </c>
      <c r="M51" s="469" t="s">
        <v>56</v>
      </c>
      <c r="N51" s="1435">
        <v>170</v>
      </c>
      <c r="O51" s="469" t="s">
        <v>56</v>
      </c>
      <c r="P51" s="608" t="s">
        <v>160</v>
      </c>
      <c r="Q51" s="462">
        <v>45964</v>
      </c>
      <c r="R51" s="536"/>
      <c r="S51" s="536"/>
      <c r="T51" s="536"/>
      <c r="U51" s="462">
        <v>45999</v>
      </c>
      <c r="V51" s="1023">
        <v>7522</v>
      </c>
      <c r="W51" s="609">
        <v>7522</v>
      </c>
      <c r="X51" s="958">
        <f t="shared" si="14"/>
        <v>0</v>
      </c>
      <c r="Y51" s="71">
        <f t="shared" si="13"/>
        <v>1</v>
      </c>
      <c r="Z51" s="631">
        <v>45964</v>
      </c>
      <c r="AA51" s="350">
        <v>1</v>
      </c>
      <c r="AB51" s="350">
        <v>1</v>
      </c>
      <c r="AC51" s="41">
        <v>0</v>
      </c>
      <c r="AD51" s="1361" t="s">
        <v>454</v>
      </c>
    </row>
    <row r="52" spans="1:30" ht="39.75" customHeight="1">
      <c r="A52" s="1014" t="s">
        <v>455</v>
      </c>
      <c r="B52" s="441" t="s">
        <v>427</v>
      </c>
      <c r="C52" s="369">
        <v>46045</v>
      </c>
      <c r="D52" s="926" t="s">
        <v>115</v>
      </c>
      <c r="E52" s="369"/>
      <c r="F52" s="368"/>
      <c r="G52" s="618"/>
      <c r="H52" s="1010">
        <v>88</v>
      </c>
      <c r="I52" s="927" t="s">
        <v>159</v>
      </c>
      <c r="J52" s="928" t="s">
        <v>55</v>
      </c>
      <c r="K52" s="956"/>
      <c r="L52" s="467" t="s">
        <v>339</v>
      </c>
      <c r="M52" s="928" t="s">
        <v>56</v>
      </c>
      <c r="N52" s="1011">
        <v>5668</v>
      </c>
      <c r="O52" s="52" t="s">
        <v>56</v>
      </c>
      <c r="P52" s="1013" t="s">
        <v>160</v>
      </c>
      <c r="Q52" s="462" t="s">
        <v>339</v>
      </c>
      <c r="R52" s="630"/>
      <c r="S52" s="630"/>
      <c r="T52" s="630"/>
      <c r="U52" s="462">
        <v>45999</v>
      </c>
      <c r="V52" s="958">
        <v>6646</v>
      </c>
      <c r="W52" s="959">
        <v>6623</v>
      </c>
      <c r="X52" s="1313">
        <f t="shared" si="14"/>
        <v>23</v>
      </c>
      <c r="Y52" s="836">
        <f t="shared" si="13"/>
        <v>0.99653927174240142</v>
      </c>
      <c r="Z52" s="124">
        <v>45964</v>
      </c>
      <c r="AA52" s="350">
        <v>1</v>
      </c>
      <c r="AB52" s="350">
        <v>1</v>
      </c>
      <c r="AC52" s="41">
        <v>0</v>
      </c>
      <c r="AD52" s="1364" t="s">
        <v>456</v>
      </c>
    </row>
    <row r="53" spans="1:30" ht="39.75" customHeight="1">
      <c r="A53" s="1014" t="s">
        <v>457</v>
      </c>
      <c r="B53" s="441" t="s">
        <v>427</v>
      </c>
      <c r="C53" s="369">
        <v>46045</v>
      </c>
      <c r="D53" s="926" t="s">
        <v>115</v>
      </c>
      <c r="E53" s="369"/>
      <c r="F53" s="368"/>
      <c r="G53" s="618"/>
      <c r="H53" s="1010">
        <v>30</v>
      </c>
      <c r="I53" s="927" t="s">
        <v>159</v>
      </c>
      <c r="J53" s="928" t="s">
        <v>55</v>
      </c>
      <c r="K53" s="956"/>
      <c r="L53" s="467" t="s">
        <v>339</v>
      </c>
      <c r="M53" s="928" t="s">
        <v>56</v>
      </c>
      <c r="N53" s="1011">
        <v>170</v>
      </c>
      <c r="O53" s="52" t="s">
        <v>56</v>
      </c>
      <c r="P53" s="1013" t="s">
        <v>160</v>
      </c>
      <c r="Q53" s="462" t="s">
        <v>339</v>
      </c>
      <c r="R53" s="630"/>
      <c r="S53" s="630"/>
      <c r="T53" s="630"/>
      <c r="U53" s="124">
        <v>46002</v>
      </c>
      <c r="V53" s="958">
        <v>2136</v>
      </c>
      <c r="W53" s="959">
        <v>2136</v>
      </c>
      <c r="X53" s="958">
        <f t="shared" si="14"/>
        <v>0</v>
      </c>
      <c r="Y53" s="836">
        <f t="shared" si="13"/>
        <v>1</v>
      </c>
      <c r="Z53" s="124">
        <v>45964</v>
      </c>
      <c r="AA53" s="350">
        <v>1</v>
      </c>
      <c r="AB53" s="350">
        <v>0</v>
      </c>
      <c r="AC53" s="41">
        <v>0</v>
      </c>
      <c r="AD53" s="1364" t="s">
        <v>456</v>
      </c>
    </row>
    <row r="54" spans="1:30" ht="39.75" customHeight="1">
      <c r="A54" s="1221" t="s">
        <v>458</v>
      </c>
      <c r="B54" s="1085" t="s">
        <v>427</v>
      </c>
      <c r="C54" s="1279">
        <v>46052</v>
      </c>
      <c r="D54" s="926" t="s">
        <v>115</v>
      </c>
      <c r="E54" s="1203">
        <v>45993</v>
      </c>
      <c r="F54" s="1204" t="s">
        <v>120</v>
      </c>
      <c r="G54" s="1204" t="s">
        <v>459</v>
      </c>
      <c r="H54" s="1217">
        <v>89</v>
      </c>
      <c r="I54" s="927" t="s">
        <v>159</v>
      </c>
      <c r="J54" s="1193" t="s">
        <v>55</v>
      </c>
      <c r="K54" s="956"/>
      <c r="L54" s="1203">
        <v>45993</v>
      </c>
      <c r="M54" s="1193" t="s">
        <v>56</v>
      </c>
      <c r="N54" s="1219">
        <v>93349.5</v>
      </c>
      <c r="O54" s="1209" t="s">
        <v>56</v>
      </c>
      <c r="P54" s="1255" t="s">
        <v>160</v>
      </c>
      <c r="Q54" s="1171">
        <v>45993</v>
      </c>
      <c r="R54" s="1211"/>
      <c r="S54" s="1211"/>
      <c r="T54" s="1211"/>
      <c r="U54" s="1171">
        <v>46048</v>
      </c>
      <c r="V54" s="1220">
        <v>7828</v>
      </c>
      <c r="W54" s="1226">
        <v>7828</v>
      </c>
      <c r="X54" s="1220">
        <f>SUM(V54-W54)</f>
        <v>0</v>
      </c>
      <c r="Y54" s="1086">
        <f>IFERROR($W54/$V54, 0)</f>
        <v>1</v>
      </c>
      <c r="Z54" s="1171">
        <v>45994</v>
      </c>
      <c r="AA54" s="350">
        <v>1</v>
      </c>
      <c r="AB54" s="1197">
        <v>1</v>
      </c>
      <c r="AC54" s="1196">
        <v>0</v>
      </c>
      <c r="AD54" s="1173" t="s">
        <v>460</v>
      </c>
    </row>
    <row r="55" spans="1:30" ht="39.75" customHeight="1">
      <c r="A55" s="1014" t="s">
        <v>461</v>
      </c>
      <c r="B55" s="441" t="s">
        <v>427</v>
      </c>
      <c r="C55" s="369">
        <v>46045</v>
      </c>
      <c r="D55" s="926" t="s">
        <v>115</v>
      </c>
      <c r="E55" s="369">
        <v>45959</v>
      </c>
      <c r="F55" s="368" t="s">
        <v>120</v>
      </c>
      <c r="G55" s="618"/>
      <c r="H55" s="370">
        <v>89</v>
      </c>
      <c r="I55" s="927" t="s">
        <v>159</v>
      </c>
      <c r="J55" s="928" t="s">
        <v>55</v>
      </c>
      <c r="K55" s="629"/>
      <c r="L55" s="51">
        <v>45964</v>
      </c>
      <c r="M55" s="52" t="s">
        <v>56</v>
      </c>
      <c r="N55" s="806">
        <v>84750.5</v>
      </c>
      <c r="O55" s="52" t="s">
        <v>56</v>
      </c>
      <c r="P55" s="1013" t="s">
        <v>160</v>
      </c>
      <c r="Q55" s="54">
        <v>45964</v>
      </c>
      <c r="R55" s="630"/>
      <c r="S55" s="630"/>
      <c r="T55" s="630"/>
      <c r="U55" s="124">
        <v>46034</v>
      </c>
      <c r="V55" s="106">
        <v>6935</v>
      </c>
      <c r="W55" s="959">
        <v>6942</v>
      </c>
      <c r="X55" s="106">
        <f t="shared" si="14"/>
        <v>-7</v>
      </c>
      <c r="Y55" s="933">
        <f t="shared" si="13"/>
        <v>1.0010093727469358</v>
      </c>
      <c r="Z55" s="124">
        <v>45973</v>
      </c>
      <c r="AA55" s="350">
        <v>1</v>
      </c>
      <c r="AB55" s="350">
        <v>1</v>
      </c>
      <c r="AC55" s="41">
        <v>0</v>
      </c>
      <c r="AD55" s="1364" t="s">
        <v>462</v>
      </c>
    </row>
    <row r="56" spans="1:30" ht="39.75" customHeight="1">
      <c r="A56" s="1014" t="s">
        <v>463</v>
      </c>
      <c r="B56" s="441" t="s">
        <v>427</v>
      </c>
      <c r="C56" s="369">
        <v>45989</v>
      </c>
      <c r="D56" s="926" t="s">
        <v>115</v>
      </c>
      <c r="E56" s="369">
        <v>45959</v>
      </c>
      <c r="F56" s="368" t="s">
        <v>120</v>
      </c>
      <c r="G56" s="618" t="s">
        <v>464</v>
      </c>
      <c r="H56" s="370">
        <v>59</v>
      </c>
      <c r="I56" s="927" t="s">
        <v>159</v>
      </c>
      <c r="J56" s="928" t="s">
        <v>55</v>
      </c>
      <c r="K56" s="629"/>
      <c r="L56" s="51">
        <v>45964</v>
      </c>
      <c r="M56" s="928" t="s">
        <v>56</v>
      </c>
      <c r="N56" s="806">
        <v>65066.5</v>
      </c>
      <c r="O56" s="52" t="s">
        <v>56</v>
      </c>
      <c r="P56" s="1013" t="s">
        <v>160</v>
      </c>
      <c r="Q56" s="54">
        <v>45964</v>
      </c>
      <c r="R56" s="950"/>
      <c r="S56" s="630"/>
      <c r="T56" s="630"/>
      <c r="U56" s="124">
        <v>46034</v>
      </c>
      <c r="V56" s="106">
        <v>5421</v>
      </c>
      <c r="W56" s="959">
        <v>5466</v>
      </c>
      <c r="X56" s="463">
        <f t="shared" si="14"/>
        <v>-45</v>
      </c>
      <c r="Y56" s="836">
        <f t="shared" si="13"/>
        <v>1.0083010514665192</v>
      </c>
      <c r="Z56" s="124">
        <v>45985</v>
      </c>
      <c r="AA56" s="350">
        <v>1</v>
      </c>
      <c r="AB56" s="350">
        <v>1</v>
      </c>
      <c r="AC56" s="929">
        <v>0</v>
      </c>
      <c r="AD56" s="1364" t="s">
        <v>465</v>
      </c>
    </row>
    <row r="57" spans="1:30" ht="39.75" customHeight="1">
      <c r="A57" s="1014" t="s">
        <v>466</v>
      </c>
      <c r="B57" s="441" t="s">
        <v>427</v>
      </c>
      <c r="C57" s="369">
        <v>46010</v>
      </c>
      <c r="D57" s="926" t="s">
        <v>115</v>
      </c>
      <c r="E57" s="369">
        <v>45959</v>
      </c>
      <c r="F57" s="368" t="s">
        <v>120</v>
      </c>
      <c r="G57" s="618" t="s">
        <v>467</v>
      </c>
      <c r="H57" s="370">
        <v>89</v>
      </c>
      <c r="I57" s="927" t="s">
        <v>159</v>
      </c>
      <c r="J57" s="928" t="s">
        <v>55</v>
      </c>
      <c r="K57" s="629"/>
      <c r="L57" s="51">
        <v>45964</v>
      </c>
      <c r="M57" s="928" t="s">
        <v>56</v>
      </c>
      <c r="N57" s="806">
        <v>81602</v>
      </c>
      <c r="O57" s="52" t="s">
        <v>56</v>
      </c>
      <c r="P57" s="1013" t="s">
        <v>160</v>
      </c>
      <c r="Q57" s="54">
        <v>45964</v>
      </c>
      <c r="R57" s="950"/>
      <c r="S57" s="630"/>
      <c r="T57" s="630"/>
      <c r="U57" s="124">
        <v>46034</v>
      </c>
      <c r="V57" s="106">
        <v>6752</v>
      </c>
      <c r="W57" s="959">
        <v>6737</v>
      </c>
      <c r="X57" s="463">
        <f t="shared" si="14"/>
        <v>15</v>
      </c>
      <c r="Y57" s="836">
        <f t="shared" si="13"/>
        <v>0.99777843601895733</v>
      </c>
      <c r="Z57" s="124">
        <v>45992</v>
      </c>
      <c r="AA57" s="350">
        <v>1</v>
      </c>
      <c r="AB57" s="350">
        <v>1</v>
      </c>
      <c r="AC57" s="929">
        <v>2728</v>
      </c>
      <c r="AD57" s="1364" t="s">
        <v>468</v>
      </c>
    </row>
    <row r="58" spans="1:30" ht="39.75" customHeight="1">
      <c r="A58" s="1014" t="s">
        <v>469</v>
      </c>
      <c r="B58" s="441" t="s">
        <v>427</v>
      </c>
      <c r="C58" s="369">
        <v>46045</v>
      </c>
      <c r="D58" s="926" t="s">
        <v>115</v>
      </c>
      <c r="E58" s="369">
        <v>45959</v>
      </c>
      <c r="F58" s="368" t="s">
        <v>120</v>
      </c>
      <c r="G58" s="618"/>
      <c r="H58" s="370">
        <v>88</v>
      </c>
      <c r="I58" s="927" t="s">
        <v>159</v>
      </c>
      <c r="J58" s="928" t="s">
        <v>55</v>
      </c>
      <c r="K58" s="629"/>
      <c r="L58" s="51">
        <v>45961</v>
      </c>
      <c r="M58" s="52" t="s">
        <v>56</v>
      </c>
      <c r="N58" s="806">
        <v>88231.9</v>
      </c>
      <c r="O58" s="52" t="s">
        <v>56</v>
      </c>
      <c r="P58" s="1013" t="s">
        <v>160</v>
      </c>
      <c r="Q58" s="54">
        <v>45961</v>
      </c>
      <c r="R58" s="630"/>
      <c r="S58" s="630"/>
      <c r="T58" s="630"/>
      <c r="U58" s="124">
        <v>46024</v>
      </c>
      <c r="V58" s="106">
        <v>7274</v>
      </c>
      <c r="W58" s="959">
        <v>7274</v>
      </c>
      <c r="X58" s="106">
        <f t="shared" si="14"/>
        <v>0</v>
      </c>
      <c r="Y58" s="836">
        <f t="shared" si="13"/>
        <v>1</v>
      </c>
      <c r="Z58" s="124">
        <v>45968</v>
      </c>
      <c r="AA58" s="350">
        <v>1</v>
      </c>
      <c r="AB58" s="350">
        <v>1</v>
      </c>
      <c r="AC58" s="41">
        <v>1231</v>
      </c>
      <c r="AD58" s="1364" t="s">
        <v>470</v>
      </c>
    </row>
    <row r="59" spans="1:30" ht="39.75" customHeight="1">
      <c r="A59" s="1014" t="s">
        <v>471</v>
      </c>
      <c r="B59" s="441" t="s">
        <v>427</v>
      </c>
      <c r="C59" s="369">
        <v>45989</v>
      </c>
      <c r="D59" s="926" t="s">
        <v>115</v>
      </c>
      <c r="E59" s="369">
        <v>45959</v>
      </c>
      <c r="F59" s="368" t="s">
        <v>120</v>
      </c>
      <c r="G59" s="618" t="s">
        <v>472</v>
      </c>
      <c r="H59" s="370">
        <v>87</v>
      </c>
      <c r="I59" s="927" t="s">
        <v>159</v>
      </c>
      <c r="J59" s="928" t="s">
        <v>55</v>
      </c>
      <c r="K59" s="629"/>
      <c r="L59" s="51">
        <v>45964</v>
      </c>
      <c r="M59" s="928" t="s">
        <v>56</v>
      </c>
      <c r="N59" s="806">
        <v>93578</v>
      </c>
      <c r="O59" s="52" t="s">
        <v>56</v>
      </c>
      <c r="P59" s="1013" t="s">
        <v>160</v>
      </c>
      <c r="Q59" s="54">
        <v>45964</v>
      </c>
      <c r="R59" s="950"/>
      <c r="S59" s="630"/>
      <c r="T59" s="630"/>
      <c r="U59" s="124">
        <v>46024</v>
      </c>
      <c r="V59" s="106">
        <v>7782</v>
      </c>
      <c r="W59" s="959">
        <v>7782</v>
      </c>
      <c r="X59" s="463">
        <f t="shared" si="14"/>
        <v>0</v>
      </c>
      <c r="Y59" s="836">
        <f t="shared" si="13"/>
        <v>1</v>
      </c>
      <c r="Z59" s="124">
        <v>45975</v>
      </c>
      <c r="AA59" s="350">
        <v>1</v>
      </c>
      <c r="AB59" s="350">
        <v>1</v>
      </c>
      <c r="AC59" s="929">
        <v>0</v>
      </c>
      <c r="AD59" s="1364" t="s">
        <v>473</v>
      </c>
    </row>
    <row r="60" spans="1:30" ht="39.75" customHeight="1">
      <c r="A60" s="1014" t="s">
        <v>474</v>
      </c>
      <c r="B60" s="441" t="s">
        <v>427</v>
      </c>
      <c r="C60" s="369">
        <v>46045</v>
      </c>
      <c r="D60" s="926" t="s">
        <v>115</v>
      </c>
      <c r="E60" s="369">
        <v>45959</v>
      </c>
      <c r="F60" s="368" t="s">
        <v>120</v>
      </c>
      <c r="G60" s="618"/>
      <c r="H60" s="370">
        <v>90</v>
      </c>
      <c r="I60" s="927" t="s">
        <v>159</v>
      </c>
      <c r="J60" s="928" t="s">
        <v>55</v>
      </c>
      <c r="K60" s="629"/>
      <c r="L60" s="51">
        <v>45964</v>
      </c>
      <c r="M60" s="52" t="s">
        <v>56</v>
      </c>
      <c r="N60" s="806">
        <v>84896</v>
      </c>
      <c r="O60" s="52" t="s">
        <v>56</v>
      </c>
      <c r="P60" s="1013" t="s">
        <v>160</v>
      </c>
      <c r="Q60" s="54">
        <v>45964</v>
      </c>
      <c r="R60" s="630"/>
      <c r="S60" s="630"/>
      <c r="T60" s="630"/>
      <c r="U60" s="124">
        <v>46024</v>
      </c>
      <c r="V60" s="106">
        <v>7060</v>
      </c>
      <c r="W60" s="959">
        <v>7060</v>
      </c>
      <c r="X60" s="106">
        <f t="shared" si="14"/>
        <v>0</v>
      </c>
      <c r="Y60" s="836">
        <f t="shared" si="13"/>
        <v>1</v>
      </c>
      <c r="Z60" s="124">
        <v>45973</v>
      </c>
      <c r="AA60" s="350">
        <v>1</v>
      </c>
      <c r="AB60" s="350">
        <v>1</v>
      </c>
      <c r="AC60" s="41">
        <v>0</v>
      </c>
      <c r="AD60" s="1364" t="s">
        <v>475</v>
      </c>
    </row>
    <row r="61" spans="1:30" ht="39.75" customHeight="1">
      <c r="A61" s="1221" t="s">
        <v>476</v>
      </c>
      <c r="B61" s="1085" t="s">
        <v>427</v>
      </c>
      <c r="C61" s="1203">
        <v>46019</v>
      </c>
      <c r="D61" s="926" t="s">
        <v>115</v>
      </c>
      <c r="E61" s="1203">
        <v>45959</v>
      </c>
      <c r="F61" s="1204" t="s">
        <v>120</v>
      </c>
      <c r="G61" s="1204" t="s">
        <v>477</v>
      </c>
      <c r="H61" s="1205">
        <v>90</v>
      </c>
      <c r="I61" s="927" t="s">
        <v>159</v>
      </c>
      <c r="J61" s="1193" t="s">
        <v>55</v>
      </c>
      <c r="K61" s="629"/>
      <c r="L61" s="1207">
        <v>45961</v>
      </c>
      <c r="M61" s="1193" t="s">
        <v>56</v>
      </c>
      <c r="N61" s="1222">
        <v>91897</v>
      </c>
      <c r="O61" s="1209" t="s">
        <v>56</v>
      </c>
      <c r="P61" s="1223" t="s">
        <v>160</v>
      </c>
      <c r="Q61" s="1224">
        <v>45961</v>
      </c>
      <c r="R61" s="1225"/>
      <c r="S61" s="1211"/>
      <c r="T61" s="1211"/>
      <c r="U61" s="124">
        <v>46034</v>
      </c>
      <c r="V61" s="1181">
        <v>7457</v>
      </c>
      <c r="W61" s="1226">
        <v>7468</v>
      </c>
      <c r="X61" s="1137">
        <f>SUM(V61-W61)</f>
        <v>-11</v>
      </c>
      <c r="Y61" s="1086">
        <f>IFERROR($W61/$V61, 0)</f>
        <v>1.0014751240445219</v>
      </c>
      <c r="Z61" s="1171">
        <v>45974</v>
      </c>
      <c r="AA61" s="350">
        <v>1</v>
      </c>
      <c r="AB61" s="350">
        <v>1</v>
      </c>
      <c r="AC61" s="1196">
        <v>0</v>
      </c>
      <c r="AD61" s="1364" t="s">
        <v>478</v>
      </c>
    </row>
    <row r="62" spans="1:30" ht="39.75" customHeight="1">
      <c r="A62" s="1014" t="s">
        <v>479</v>
      </c>
      <c r="B62" s="441" t="s">
        <v>427</v>
      </c>
      <c r="C62" s="369">
        <v>45989</v>
      </c>
      <c r="D62" s="926" t="s">
        <v>115</v>
      </c>
      <c r="E62" s="369">
        <v>45959</v>
      </c>
      <c r="F62" s="368" t="s">
        <v>120</v>
      </c>
      <c r="G62" s="618" t="s">
        <v>480</v>
      </c>
      <c r="H62" s="370">
        <v>90</v>
      </c>
      <c r="I62" s="927" t="s">
        <v>159</v>
      </c>
      <c r="J62" s="928" t="s">
        <v>55</v>
      </c>
      <c r="K62" s="629"/>
      <c r="L62" s="51">
        <v>45964</v>
      </c>
      <c r="M62" s="928" t="s">
        <v>56</v>
      </c>
      <c r="N62" s="806">
        <v>96685</v>
      </c>
      <c r="O62" s="52" t="s">
        <v>56</v>
      </c>
      <c r="P62" s="1013" t="s">
        <v>160</v>
      </c>
      <c r="Q62" s="54">
        <v>45964</v>
      </c>
      <c r="R62" s="950"/>
      <c r="S62" s="630"/>
      <c r="T62" s="630"/>
      <c r="U62" s="124">
        <v>46024</v>
      </c>
      <c r="V62" s="106">
        <v>7926</v>
      </c>
      <c r="W62" s="959">
        <v>7926</v>
      </c>
      <c r="X62" s="463">
        <f t="shared" si="14"/>
        <v>0</v>
      </c>
      <c r="Y62" s="836">
        <f t="shared" si="13"/>
        <v>1</v>
      </c>
      <c r="Z62" s="124">
        <v>45981</v>
      </c>
      <c r="AA62" s="350">
        <v>1</v>
      </c>
      <c r="AB62" s="350">
        <v>1</v>
      </c>
      <c r="AC62" s="929">
        <v>0</v>
      </c>
      <c r="AD62" s="1364" t="s">
        <v>481</v>
      </c>
    </row>
    <row r="63" spans="1:30" ht="39.75" customHeight="1">
      <c r="A63" s="1221" t="s">
        <v>482</v>
      </c>
      <c r="B63" s="1085" t="s">
        <v>427</v>
      </c>
      <c r="C63" s="1203">
        <v>46019</v>
      </c>
      <c r="D63" s="926" t="s">
        <v>115</v>
      </c>
      <c r="E63" s="1203">
        <v>45959</v>
      </c>
      <c r="F63" s="1204" t="s">
        <v>120</v>
      </c>
      <c r="G63" s="1204" t="s">
        <v>483</v>
      </c>
      <c r="H63" s="1205">
        <v>90</v>
      </c>
      <c r="I63" s="927" t="s">
        <v>159</v>
      </c>
      <c r="J63" s="1193" t="s">
        <v>55</v>
      </c>
      <c r="K63" s="1206"/>
      <c r="L63" s="1207">
        <v>45964</v>
      </c>
      <c r="M63" s="1193" t="s">
        <v>56</v>
      </c>
      <c r="N63" s="1222">
        <v>85815</v>
      </c>
      <c r="O63" s="1209" t="s">
        <v>56</v>
      </c>
      <c r="P63" s="1223" t="s">
        <v>160</v>
      </c>
      <c r="Q63" s="1224">
        <v>45964</v>
      </c>
      <c r="R63" s="1225"/>
      <c r="S63" s="1211"/>
      <c r="T63" s="1211"/>
      <c r="U63" s="124">
        <v>46024</v>
      </c>
      <c r="V63" s="1181">
        <v>6981</v>
      </c>
      <c r="W63" s="1226">
        <v>6991</v>
      </c>
      <c r="X63" s="1137">
        <f>SUM(V63-W63)</f>
        <v>-10</v>
      </c>
      <c r="Y63" s="1086">
        <f t="shared" si="13"/>
        <v>1.0014324595330182</v>
      </c>
      <c r="Z63" s="1171">
        <v>45981</v>
      </c>
      <c r="AA63" s="350">
        <v>1</v>
      </c>
      <c r="AB63" s="350">
        <v>1</v>
      </c>
      <c r="AC63" s="1196">
        <v>0</v>
      </c>
      <c r="AD63" s="1364" t="s">
        <v>484</v>
      </c>
    </row>
    <row r="64" spans="1:30" ht="39.75" customHeight="1">
      <c r="A64" s="1014" t="s">
        <v>485</v>
      </c>
      <c r="B64" s="441" t="s">
        <v>427</v>
      </c>
      <c r="C64" s="369">
        <v>46021</v>
      </c>
      <c r="D64" s="926" t="s">
        <v>115</v>
      </c>
      <c r="E64" s="369">
        <v>45959</v>
      </c>
      <c r="F64" s="368" t="s">
        <v>120</v>
      </c>
      <c r="G64" s="618" t="s">
        <v>486</v>
      </c>
      <c r="H64" s="370">
        <v>89</v>
      </c>
      <c r="I64" s="927" t="s">
        <v>159</v>
      </c>
      <c r="J64" s="928" t="s">
        <v>55</v>
      </c>
      <c r="K64" s="629"/>
      <c r="L64" s="51">
        <v>45961</v>
      </c>
      <c r="M64" s="928" t="s">
        <v>56</v>
      </c>
      <c r="N64" s="806">
        <v>83615</v>
      </c>
      <c r="O64" s="52" t="s">
        <v>56</v>
      </c>
      <c r="P64" s="1013" t="s">
        <v>160</v>
      </c>
      <c r="Q64" s="54">
        <v>45961</v>
      </c>
      <c r="R64" s="950"/>
      <c r="S64" s="630"/>
      <c r="T64" s="630"/>
      <c r="U64" s="1171">
        <v>46048</v>
      </c>
      <c r="V64" s="106">
        <v>7010</v>
      </c>
      <c r="W64" s="959">
        <v>7010</v>
      </c>
      <c r="X64" s="463">
        <f t="shared" si="14"/>
        <v>0</v>
      </c>
      <c r="Y64" s="836">
        <f t="shared" si="13"/>
        <v>1</v>
      </c>
      <c r="Z64" s="124">
        <v>45986</v>
      </c>
      <c r="AA64" s="350">
        <v>1</v>
      </c>
      <c r="AB64" s="350">
        <v>1</v>
      </c>
      <c r="AC64" s="929">
        <v>1090</v>
      </c>
      <c r="AD64" s="1364" t="s">
        <v>487</v>
      </c>
    </row>
    <row r="65" spans="1:30" ht="39.75" customHeight="1">
      <c r="A65" s="1221" t="s">
        <v>488</v>
      </c>
      <c r="B65" s="1085" t="s">
        <v>427</v>
      </c>
      <c r="C65" s="1203">
        <v>46021</v>
      </c>
      <c r="D65" s="926" t="s">
        <v>115</v>
      </c>
      <c r="E65" s="1203">
        <v>45959</v>
      </c>
      <c r="F65" s="1204" t="s">
        <v>120</v>
      </c>
      <c r="G65" s="1204" t="s">
        <v>489</v>
      </c>
      <c r="H65" s="1205">
        <v>88</v>
      </c>
      <c r="I65" s="927" t="s">
        <v>159</v>
      </c>
      <c r="J65" s="1193" t="s">
        <v>55</v>
      </c>
      <c r="K65" s="629"/>
      <c r="L65" s="1207">
        <v>45964</v>
      </c>
      <c r="M65" s="1193" t="s">
        <v>56</v>
      </c>
      <c r="N65" s="1222">
        <v>78736.5</v>
      </c>
      <c r="O65" s="1209" t="s">
        <v>56</v>
      </c>
      <c r="P65" s="1223" t="s">
        <v>160</v>
      </c>
      <c r="Q65" s="1224">
        <v>45964</v>
      </c>
      <c r="R65" s="1225"/>
      <c r="S65" s="1211"/>
      <c r="T65" s="1211"/>
      <c r="U65" s="1171">
        <v>46048</v>
      </c>
      <c r="V65" s="1181">
        <v>6403</v>
      </c>
      <c r="W65" s="1226">
        <v>6432</v>
      </c>
      <c r="X65" s="1137">
        <f>SUM(V65-W65)</f>
        <v>-29</v>
      </c>
      <c r="Y65" s="1086">
        <f>IFERROR($W65/$V65, 0)</f>
        <v>1.004529126971732</v>
      </c>
      <c r="Z65" s="1171">
        <v>46000</v>
      </c>
      <c r="AA65" s="350">
        <v>1</v>
      </c>
      <c r="AB65" s="350">
        <v>1</v>
      </c>
      <c r="AC65" s="1196">
        <v>0</v>
      </c>
      <c r="AD65" s="1364" t="s">
        <v>490</v>
      </c>
    </row>
    <row r="66" spans="1:30" ht="39.75" customHeight="1">
      <c r="A66" s="1221" t="s">
        <v>491</v>
      </c>
      <c r="B66" s="1085" t="s">
        <v>427</v>
      </c>
      <c r="C66" s="1203">
        <v>46021</v>
      </c>
      <c r="D66" s="926" t="s">
        <v>115</v>
      </c>
      <c r="E66" s="1203">
        <v>45959</v>
      </c>
      <c r="F66" s="1204" t="s">
        <v>120</v>
      </c>
      <c r="G66" s="1204" t="s">
        <v>492</v>
      </c>
      <c r="H66" s="1205">
        <v>86</v>
      </c>
      <c r="I66" s="927" t="s">
        <v>159</v>
      </c>
      <c r="J66" s="1193" t="s">
        <v>55</v>
      </c>
      <c r="K66" s="629"/>
      <c r="L66" s="1207">
        <v>45964</v>
      </c>
      <c r="M66" s="1193" t="s">
        <v>56</v>
      </c>
      <c r="N66" s="1222">
        <v>80698</v>
      </c>
      <c r="O66" s="1209" t="s">
        <v>56</v>
      </c>
      <c r="P66" s="1223" t="s">
        <v>160</v>
      </c>
      <c r="Q66" s="1224">
        <v>45964</v>
      </c>
      <c r="R66" s="1225"/>
      <c r="S66" s="1211"/>
      <c r="T66" s="1211"/>
      <c r="U66" s="1211"/>
      <c r="V66" s="1181">
        <v>6739</v>
      </c>
      <c r="W66" s="1226">
        <v>6773</v>
      </c>
      <c r="X66" s="1137">
        <f>SUM(V66-W66)</f>
        <v>-34</v>
      </c>
      <c r="Y66" s="1086">
        <f t="shared" ref="Y66:Y67" si="17">IFERROR($W66/$V66, 0)</f>
        <v>1.0050452589404957</v>
      </c>
      <c r="Z66" s="1171">
        <v>46008</v>
      </c>
      <c r="AA66" s="350">
        <v>1</v>
      </c>
      <c r="AB66" s="350">
        <v>1</v>
      </c>
      <c r="AC66" s="1196">
        <v>1907</v>
      </c>
      <c r="AD66" s="1364" t="s">
        <v>493</v>
      </c>
    </row>
    <row r="67" spans="1:30" ht="39.75" customHeight="1">
      <c r="A67" s="1221" t="s">
        <v>494</v>
      </c>
      <c r="B67" s="1085" t="s">
        <v>427</v>
      </c>
      <c r="C67" s="1279">
        <v>46052</v>
      </c>
      <c r="D67" s="926" t="s">
        <v>115</v>
      </c>
      <c r="E67" s="1203">
        <v>45959</v>
      </c>
      <c r="F67" s="1204" t="s">
        <v>120</v>
      </c>
      <c r="G67" s="1204" t="s">
        <v>495</v>
      </c>
      <c r="H67" s="1205">
        <v>87</v>
      </c>
      <c r="I67" s="927" t="s">
        <v>159</v>
      </c>
      <c r="J67" s="1193" t="s">
        <v>55</v>
      </c>
      <c r="K67" s="629"/>
      <c r="L67" s="1207">
        <v>45964</v>
      </c>
      <c r="M67" s="1193" t="s">
        <v>56</v>
      </c>
      <c r="N67" s="1222">
        <v>79552</v>
      </c>
      <c r="O67" s="1209" t="s">
        <v>56</v>
      </c>
      <c r="P67" s="1223" t="s">
        <v>160</v>
      </c>
      <c r="Q67" s="1224">
        <v>45964</v>
      </c>
      <c r="R67" s="1389"/>
      <c r="S67" s="1389"/>
      <c r="T67" s="1389"/>
      <c r="U67" s="1389"/>
      <c r="V67" s="1181">
        <v>6577</v>
      </c>
      <c r="W67" s="1226">
        <v>6529</v>
      </c>
      <c r="X67" s="1137">
        <f>SUM(V67-W67)</f>
        <v>48</v>
      </c>
      <c r="Y67" s="1086">
        <f t="shared" si="17"/>
        <v>0.99270183974456438</v>
      </c>
      <c r="Z67" s="1171">
        <v>46000</v>
      </c>
      <c r="AA67" s="1197">
        <v>1</v>
      </c>
      <c r="AB67" s="1197">
        <v>1</v>
      </c>
      <c r="AC67" s="1196">
        <v>2562</v>
      </c>
      <c r="AD67" s="1173" t="s">
        <v>496</v>
      </c>
    </row>
    <row r="68" spans="1:30" ht="39.75" customHeight="1">
      <c r="A68" s="1221" t="s">
        <v>497</v>
      </c>
      <c r="B68" s="1085" t="s">
        <v>427</v>
      </c>
      <c r="C68" s="1203">
        <v>46021</v>
      </c>
      <c r="D68" s="926" t="s">
        <v>115</v>
      </c>
      <c r="E68" s="1203">
        <v>45959</v>
      </c>
      <c r="F68" s="1204" t="s">
        <v>120</v>
      </c>
      <c r="G68" s="1204" t="s">
        <v>498</v>
      </c>
      <c r="H68" s="1205">
        <v>85</v>
      </c>
      <c r="I68" s="927" t="s">
        <v>159</v>
      </c>
      <c r="J68" s="1193" t="s">
        <v>55</v>
      </c>
      <c r="K68" s="629"/>
      <c r="L68" s="1207">
        <v>45964</v>
      </c>
      <c r="M68" s="1193" t="s">
        <v>56</v>
      </c>
      <c r="N68" s="1222">
        <v>84770</v>
      </c>
      <c r="O68" s="1209" t="s">
        <v>56</v>
      </c>
      <c r="P68" s="1223" t="s">
        <v>160</v>
      </c>
      <c r="Q68" s="1224">
        <v>45964</v>
      </c>
      <c r="R68" s="1225"/>
      <c r="S68" s="1211"/>
      <c r="T68" s="1211"/>
      <c r="U68" s="1171">
        <v>46048</v>
      </c>
      <c r="V68" s="1181">
        <v>6965</v>
      </c>
      <c r="W68" s="1226">
        <v>7129</v>
      </c>
      <c r="X68" s="1137">
        <f>SUM(V68-W68)</f>
        <v>-164</v>
      </c>
      <c r="Y68" s="1086">
        <f>IFERROR($W68/$V68, 0)</f>
        <v>1.0235463029432879</v>
      </c>
      <c r="Z68" s="1171">
        <v>45999</v>
      </c>
      <c r="AA68" s="350">
        <v>1</v>
      </c>
      <c r="AB68" s="350">
        <v>1</v>
      </c>
      <c r="AC68" s="1196">
        <v>0</v>
      </c>
      <c r="AD68" s="1364" t="s">
        <v>499</v>
      </c>
    </row>
    <row r="69" spans="1:30" ht="39.75" customHeight="1">
      <c r="A69" s="1221" t="s">
        <v>500</v>
      </c>
      <c r="B69" s="1085" t="s">
        <v>427</v>
      </c>
      <c r="C69" s="1203">
        <v>46019</v>
      </c>
      <c r="D69" s="926" t="s">
        <v>115</v>
      </c>
      <c r="E69" s="1203">
        <v>45959</v>
      </c>
      <c r="F69" s="1204" t="s">
        <v>120</v>
      </c>
      <c r="G69" s="1204" t="s">
        <v>501</v>
      </c>
      <c r="H69" s="1205">
        <v>87</v>
      </c>
      <c r="I69" s="927" t="s">
        <v>159</v>
      </c>
      <c r="J69" s="1193" t="s">
        <v>55</v>
      </c>
      <c r="K69" s="1206"/>
      <c r="L69" s="1207">
        <v>45964</v>
      </c>
      <c r="M69" s="1193" t="s">
        <v>56</v>
      </c>
      <c r="N69" s="1222">
        <v>87875</v>
      </c>
      <c r="O69" s="1209" t="s">
        <v>56</v>
      </c>
      <c r="P69" s="1223" t="s">
        <v>160</v>
      </c>
      <c r="Q69" s="1224">
        <v>45964</v>
      </c>
      <c r="R69" s="1225"/>
      <c r="S69" s="1211"/>
      <c r="T69" s="1211"/>
      <c r="U69" s="124">
        <v>46034</v>
      </c>
      <c r="V69" s="1181">
        <v>7319</v>
      </c>
      <c r="W69" s="1226">
        <v>7319</v>
      </c>
      <c r="X69" s="1137">
        <f>SUM(V69-W69)</f>
        <v>0</v>
      </c>
      <c r="Y69" s="1086">
        <f t="shared" ref="Y69:Y76" si="18">IFERROR($W69/$V69, 0)</f>
        <v>1</v>
      </c>
      <c r="Z69" s="1171">
        <v>46000</v>
      </c>
      <c r="AA69" s="350">
        <v>1</v>
      </c>
      <c r="AB69" s="350">
        <v>1</v>
      </c>
      <c r="AC69" s="1196">
        <v>1565</v>
      </c>
      <c r="AD69" s="1364" t="s">
        <v>502</v>
      </c>
    </row>
    <row r="70" spans="1:30" ht="39.75" customHeight="1">
      <c r="A70" s="1221" t="s">
        <v>503</v>
      </c>
      <c r="B70" s="1085" t="s">
        <v>427</v>
      </c>
      <c r="C70" s="1279">
        <v>46052</v>
      </c>
      <c r="D70" s="926" t="s">
        <v>115</v>
      </c>
      <c r="E70" s="1203">
        <v>45987</v>
      </c>
      <c r="F70" s="1204" t="s">
        <v>120</v>
      </c>
      <c r="G70" s="1204" t="s">
        <v>504</v>
      </c>
      <c r="H70" s="1205">
        <v>85</v>
      </c>
      <c r="I70" s="927" t="s">
        <v>159</v>
      </c>
      <c r="J70" s="1193" t="s">
        <v>55</v>
      </c>
      <c r="K70" s="1206"/>
      <c r="L70" s="1207">
        <v>45987</v>
      </c>
      <c r="M70" s="1193" t="s">
        <v>56</v>
      </c>
      <c r="N70" s="1222">
        <v>84092.5</v>
      </c>
      <c r="O70" s="1209" t="s">
        <v>56</v>
      </c>
      <c r="P70" s="1255" t="s">
        <v>160</v>
      </c>
      <c r="Q70" s="1224">
        <v>45987</v>
      </c>
      <c r="R70" s="1389"/>
      <c r="S70" s="1389"/>
      <c r="T70" s="1389"/>
      <c r="U70" s="1389"/>
      <c r="V70" s="1181">
        <v>6897</v>
      </c>
      <c r="W70" s="1226">
        <v>6897</v>
      </c>
      <c r="X70" s="1181">
        <f>SUM(V70-W70)</f>
        <v>0</v>
      </c>
      <c r="Y70" s="1086">
        <f t="shared" si="18"/>
        <v>1</v>
      </c>
      <c r="Z70" s="1171">
        <v>46009</v>
      </c>
      <c r="AA70" s="350">
        <v>1</v>
      </c>
      <c r="AB70" s="350">
        <v>1</v>
      </c>
      <c r="AC70" s="1196">
        <v>939</v>
      </c>
      <c r="AD70" s="1173" t="s">
        <v>505</v>
      </c>
    </row>
    <row r="71" spans="1:30" ht="39.75" customHeight="1">
      <c r="A71" s="1221" t="s">
        <v>506</v>
      </c>
      <c r="B71" s="1085" t="s">
        <v>427</v>
      </c>
      <c r="C71" s="1279">
        <v>46052</v>
      </c>
      <c r="D71" s="926" t="s">
        <v>115</v>
      </c>
      <c r="E71" s="1203">
        <v>45987</v>
      </c>
      <c r="F71" s="1204" t="s">
        <v>120</v>
      </c>
      <c r="G71" s="1204" t="s">
        <v>507</v>
      </c>
      <c r="H71" s="1205">
        <v>76</v>
      </c>
      <c r="I71" s="927" t="s">
        <v>159</v>
      </c>
      <c r="J71" s="1193" t="s">
        <v>55</v>
      </c>
      <c r="K71" s="1206"/>
      <c r="L71" s="1207">
        <v>45987</v>
      </c>
      <c r="M71" s="1193" t="s">
        <v>56</v>
      </c>
      <c r="N71" s="1222">
        <v>74892.5</v>
      </c>
      <c r="O71" s="1209" t="s">
        <v>56</v>
      </c>
      <c r="P71" s="1255" t="s">
        <v>160</v>
      </c>
      <c r="Q71" s="1224">
        <v>45987</v>
      </c>
      <c r="R71" s="1211"/>
      <c r="S71" s="1211"/>
      <c r="T71" s="1211"/>
      <c r="U71" s="1171">
        <v>46052</v>
      </c>
      <c r="V71" s="1181">
        <v>6218</v>
      </c>
      <c r="W71" s="1226">
        <v>6250</v>
      </c>
      <c r="X71" s="1181">
        <f>SUM(V71-W71)</f>
        <v>-32</v>
      </c>
      <c r="Y71" s="1086">
        <f t="shared" si="18"/>
        <v>1.0051463493084594</v>
      </c>
      <c r="Z71" s="1171">
        <v>46386</v>
      </c>
      <c r="AA71" s="350">
        <v>1</v>
      </c>
      <c r="AB71" s="350">
        <v>1</v>
      </c>
      <c r="AC71" s="1196">
        <v>0</v>
      </c>
      <c r="AD71" s="1173" t="s">
        <v>508</v>
      </c>
    </row>
    <row r="72" spans="1:30" ht="39.75" customHeight="1">
      <c r="A72" s="1221" t="s">
        <v>509</v>
      </c>
      <c r="B72" s="1085" t="s">
        <v>427</v>
      </c>
      <c r="C72" s="1279">
        <v>46052</v>
      </c>
      <c r="D72" s="926" t="s">
        <v>115</v>
      </c>
      <c r="E72" s="1203">
        <v>45987</v>
      </c>
      <c r="F72" s="1204" t="s">
        <v>120</v>
      </c>
      <c r="G72" s="1269" t="s">
        <v>510</v>
      </c>
      <c r="H72" s="1270">
        <v>86</v>
      </c>
      <c r="I72" s="796" t="s">
        <v>159</v>
      </c>
      <c r="J72" s="1144" t="s">
        <v>55</v>
      </c>
      <c r="K72" s="1287"/>
      <c r="L72" s="1207">
        <v>45987</v>
      </c>
      <c r="M72" s="1193" t="s">
        <v>56</v>
      </c>
      <c r="N72" s="1222">
        <v>90841</v>
      </c>
      <c r="O72" s="1209" t="s">
        <v>56</v>
      </c>
      <c r="P72" s="1255" t="s">
        <v>160</v>
      </c>
      <c r="Q72" s="1370">
        <v>45987</v>
      </c>
      <c r="R72" s="1211"/>
      <c r="S72" s="1211"/>
      <c r="T72" s="1211"/>
      <c r="U72" s="1211"/>
      <c r="V72" s="1181">
        <v>7491</v>
      </c>
      <c r="W72" s="1226">
        <v>7491</v>
      </c>
      <c r="X72" s="1181">
        <f>SUM(V72-W72)</f>
        <v>0</v>
      </c>
      <c r="Y72" s="1086">
        <f t="shared" si="18"/>
        <v>1</v>
      </c>
      <c r="Z72" s="1171">
        <v>46009</v>
      </c>
      <c r="AA72" s="1197">
        <v>1</v>
      </c>
      <c r="AB72" s="1197">
        <v>1</v>
      </c>
      <c r="AC72" s="1196">
        <v>0</v>
      </c>
      <c r="AD72" s="1173" t="s">
        <v>511</v>
      </c>
    </row>
    <row r="73" spans="1:30" ht="39.75" customHeight="1">
      <c r="A73" s="1221" t="s">
        <v>512</v>
      </c>
      <c r="B73" s="1085" t="s">
        <v>427</v>
      </c>
      <c r="C73" s="1279">
        <v>46052</v>
      </c>
      <c r="D73" s="926" t="s">
        <v>115</v>
      </c>
      <c r="E73" s="1203">
        <v>45987</v>
      </c>
      <c r="F73" s="1285" t="s">
        <v>120</v>
      </c>
      <c r="G73" s="1204" t="s">
        <v>513</v>
      </c>
      <c r="H73" s="1205">
        <v>78</v>
      </c>
      <c r="I73" s="637" t="s">
        <v>159</v>
      </c>
      <c r="J73" s="1209" t="s">
        <v>55</v>
      </c>
      <c r="K73" s="1287"/>
      <c r="L73" s="1207">
        <v>45987</v>
      </c>
      <c r="M73" s="1193" t="s">
        <v>56</v>
      </c>
      <c r="N73" s="1222">
        <v>60606.5</v>
      </c>
      <c r="O73" s="1209" t="s">
        <v>56</v>
      </c>
      <c r="P73" s="1255" t="s">
        <v>160</v>
      </c>
      <c r="Q73" s="1224">
        <v>45987</v>
      </c>
      <c r="R73" s="1211"/>
      <c r="S73" s="1211"/>
      <c r="T73" s="1211"/>
      <c r="U73" s="1171">
        <v>46052</v>
      </c>
      <c r="V73" s="1263">
        <v>5456</v>
      </c>
      <c r="W73" s="1226">
        <v>5441</v>
      </c>
      <c r="X73" s="1181">
        <f>SUM(V73-W73)</f>
        <v>15</v>
      </c>
      <c r="Y73" s="1086">
        <f t="shared" si="18"/>
        <v>0.99725073313782986</v>
      </c>
      <c r="Z73" s="1171">
        <v>46028</v>
      </c>
      <c r="AA73" s="350">
        <v>1</v>
      </c>
      <c r="AB73" s="350">
        <v>1</v>
      </c>
      <c r="AC73" s="1196">
        <v>0</v>
      </c>
      <c r="AD73" s="1173" t="s">
        <v>514</v>
      </c>
    </row>
    <row r="74" spans="1:30" ht="39.75" customHeight="1">
      <c r="A74" s="1400" t="s">
        <v>515</v>
      </c>
      <c r="B74" s="1201" t="s">
        <v>427</v>
      </c>
      <c r="C74" s="1279">
        <v>46052</v>
      </c>
      <c r="D74" s="1268" t="s">
        <v>115</v>
      </c>
      <c r="E74" s="1202">
        <v>45987</v>
      </c>
      <c r="F74" s="1132" t="s">
        <v>120</v>
      </c>
      <c r="G74" s="1204" t="s">
        <v>516</v>
      </c>
      <c r="H74" s="1205">
        <v>73</v>
      </c>
      <c r="I74" s="637" t="s">
        <v>159</v>
      </c>
      <c r="J74" s="1209" t="s">
        <v>55</v>
      </c>
      <c r="K74" s="1287"/>
      <c r="L74" s="1271">
        <v>45987</v>
      </c>
      <c r="M74" s="1144" t="s">
        <v>56</v>
      </c>
      <c r="N74" s="1134">
        <v>71371</v>
      </c>
      <c r="O74" s="1272" t="s">
        <v>56</v>
      </c>
      <c r="P74" s="1223" t="s">
        <v>160</v>
      </c>
      <c r="Q74" s="1224">
        <v>45987</v>
      </c>
      <c r="R74" s="1225"/>
      <c r="S74" s="1211"/>
      <c r="T74" s="1291"/>
      <c r="U74" s="1171">
        <v>46052</v>
      </c>
      <c r="V74" s="1181">
        <v>5810</v>
      </c>
      <c r="W74" s="1226">
        <v>5686</v>
      </c>
      <c r="X74" s="1294">
        <f>SUM(V74-W74)</f>
        <v>124</v>
      </c>
      <c r="Y74" s="1086">
        <f t="shared" si="18"/>
        <v>0.97865748709122202</v>
      </c>
      <c r="Z74" s="1171">
        <v>46030</v>
      </c>
      <c r="AA74" s="1197">
        <v>1</v>
      </c>
      <c r="AB74" s="1197">
        <v>1</v>
      </c>
      <c r="AC74" s="1196">
        <v>0</v>
      </c>
      <c r="AD74" s="1173" t="s">
        <v>517</v>
      </c>
    </row>
    <row r="75" spans="1:30" ht="39.75" customHeight="1">
      <c r="A75" s="1221" t="s">
        <v>518</v>
      </c>
      <c r="B75" s="1085" t="s">
        <v>427</v>
      </c>
      <c r="C75" s="1203">
        <v>46019</v>
      </c>
      <c r="D75" s="926" t="s">
        <v>115</v>
      </c>
      <c r="E75" s="1203">
        <v>45959</v>
      </c>
      <c r="F75" s="1204" t="s">
        <v>120</v>
      </c>
      <c r="G75" s="1204" t="s">
        <v>519</v>
      </c>
      <c r="H75" s="1205">
        <v>0</v>
      </c>
      <c r="I75" s="927" t="s">
        <v>159</v>
      </c>
      <c r="J75" s="1193" t="s">
        <v>55</v>
      </c>
      <c r="K75" s="1206"/>
      <c r="L75" s="1207">
        <v>45961</v>
      </c>
      <c r="M75" s="1193" t="s">
        <v>56</v>
      </c>
      <c r="N75" s="1222">
        <v>64985.65</v>
      </c>
      <c r="O75" s="1209" t="s">
        <v>56</v>
      </c>
      <c r="P75" s="1255" t="s">
        <v>160</v>
      </c>
      <c r="Q75" s="1224">
        <v>45964</v>
      </c>
      <c r="R75" s="1211"/>
      <c r="S75" s="1211"/>
      <c r="T75" s="1211"/>
      <c r="U75" s="1171">
        <v>46040</v>
      </c>
      <c r="V75" s="1181">
        <v>5155</v>
      </c>
      <c r="W75" s="1226">
        <v>5155</v>
      </c>
      <c r="X75" s="1181">
        <f>SUM(V75-W75)</f>
        <v>0</v>
      </c>
      <c r="Y75" s="1086">
        <f t="shared" si="18"/>
        <v>1</v>
      </c>
      <c r="Z75" s="1171">
        <v>45992</v>
      </c>
      <c r="AA75" s="1197">
        <v>1</v>
      </c>
      <c r="AB75" s="1197">
        <v>0</v>
      </c>
      <c r="AC75" s="1196">
        <v>0</v>
      </c>
      <c r="AD75" s="1364" t="s">
        <v>520</v>
      </c>
    </row>
    <row r="76" spans="1:30" ht="39.75" customHeight="1">
      <c r="A76" s="1221" t="s">
        <v>521</v>
      </c>
      <c r="B76" s="1085" t="s">
        <v>427</v>
      </c>
      <c r="C76" s="1203">
        <v>46019</v>
      </c>
      <c r="D76" s="926" t="s">
        <v>115</v>
      </c>
      <c r="E76" s="1203">
        <v>45959</v>
      </c>
      <c r="F76" s="1204" t="s">
        <v>120</v>
      </c>
      <c r="G76" s="1204" t="s">
        <v>522</v>
      </c>
      <c r="H76" s="1205">
        <v>0</v>
      </c>
      <c r="I76" s="927" t="s">
        <v>159</v>
      </c>
      <c r="J76" s="1193" t="s">
        <v>55</v>
      </c>
      <c r="K76" s="1206"/>
      <c r="L76" s="1207">
        <v>45961</v>
      </c>
      <c r="M76" s="1193" t="s">
        <v>56</v>
      </c>
      <c r="N76" s="1222">
        <v>54043.5</v>
      </c>
      <c r="O76" s="1209" t="s">
        <v>56</v>
      </c>
      <c r="P76" s="1223" t="s">
        <v>160</v>
      </c>
      <c r="Q76" s="1224">
        <v>45961</v>
      </c>
      <c r="R76" s="1225"/>
      <c r="S76" s="1211"/>
      <c r="T76" s="1211"/>
      <c r="U76" s="1171">
        <v>46040</v>
      </c>
      <c r="V76" s="1181">
        <v>4140</v>
      </c>
      <c r="W76" s="1226">
        <v>4140</v>
      </c>
      <c r="X76" s="1137">
        <f>SUM(V76-W76)</f>
        <v>0</v>
      </c>
      <c r="Y76" s="1086">
        <f t="shared" si="18"/>
        <v>1</v>
      </c>
      <c r="Z76" s="1171">
        <v>45974</v>
      </c>
      <c r="AA76" s="1197">
        <v>1</v>
      </c>
      <c r="AB76" s="1197">
        <v>0</v>
      </c>
      <c r="AC76" s="1196">
        <v>0</v>
      </c>
      <c r="AD76" s="1364" t="s">
        <v>523</v>
      </c>
    </row>
    <row r="77" spans="1:30" ht="39.75" customHeight="1">
      <c r="A77" s="1016" t="s">
        <v>524</v>
      </c>
      <c r="B77" s="757" t="s">
        <v>50</v>
      </c>
      <c r="C77" s="852">
        <v>45991</v>
      </c>
      <c r="D77" s="1029" t="s">
        <v>111</v>
      </c>
      <c r="E77" s="57">
        <v>45743</v>
      </c>
      <c r="F77" s="740" t="s">
        <v>52</v>
      </c>
      <c r="G77" s="758" t="s">
        <v>525</v>
      </c>
      <c r="H77" s="744">
        <v>69</v>
      </c>
      <c r="I77" s="638" t="s">
        <v>159</v>
      </c>
      <c r="J77" s="460" t="s">
        <v>55</v>
      </c>
      <c r="K77" s="866"/>
      <c r="L77" s="51">
        <v>45741</v>
      </c>
      <c r="M77" s="370" t="s">
        <v>56</v>
      </c>
      <c r="N77" s="806">
        <v>67734.5</v>
      </c>
      <c r="O77" s="370" t="s">
        <v>56</v>
      </c>
      <c r="P77" s="1013" t="s">
        <v>160</v>
      </c>
      <c r="Q77" s="54">
        <v>45744</v>
      </c>
      <c r="R77" s="54"/>
      <c r="S77" s="54"/>
      <c r="T77" s="54"/>
      <c r="U77" s="54"/>
      <c r="V77" s="31">
        <v>4822</v>
      </c>
      <c r="W77" s="959">
        <v>4958</v>
      </c>
      <c r="X77" s="106">
        <f t="shared" si="14"/>
        <v>-136</v>
      </c>
      <c r="Y77" s="933">
        <f t="shared" si="13"/>
        <v>1.0282040647034425</v>
      </c>
      <c r="Z77" s="54">
        <v>45784</v>
      </c>
      <c r="AA77" s="350">
        <v>0</v>
      </c>
      <c r="AB77" s="350">
        <v>0</v>
      </c>
      <c r="AC77" s="624">
        <v>0</v>
      </c>
      <c r="AD77" s="1248" t="s">
        <v>526</v>
      </c>
    </row>
    <row r="78" spans="1:30" ht="39.75" customHeight="1">
      <c r="A78" s="1190" t="s">
        <v>527</v>
      </c>
      <c r="B78" s="791" t="s">
        <v>50</v>
      </c>
      <c r="C78" s="1131">
        <v>46008</v>
      </c>
      <c r="D78" s="1131" t="s">
        <v>528</v>
      </c>
      <c r="E78" s="1142">
        <v>45743</v>
      </c>
      <c r="F78" s="1143" t="s">
        <v>52</v>
      </c>
      <c r="G78" s="1143" t="s">
        <v>529</v>
      </c>
      <c r="H78" s="1144">
        <v>54</v>
      </c>
      <c r="I78" s="638" t="s">
        <v>159</v>
      </c>
      <c r="J78" s="1133" t="s">
        <v>55</v>
      </c>
      <c r="K78" s="1145"/>
      <c r="L78" s="1142">
        <v>45741</v>
      </c>
      <c r="M78" s="1133" t="s">
        <v>56</v>
      </c>
      <c r="N78" s="1155">
        <v>45215.5</v>
      </c>
      <c r="O78" s="1133" t="s">
        <v>56</v>
      </c>
      <c r="P78" s="1354" t="s">
        <v>160</v>
      </c>
      <c r="Q78" s="1147">
        <v>45744</v>
      </c>
      <c r="R78" s="1147"/>
      <c r="S78" s="1147"/>
      <c r="T78" s="1147"/>
      <c r="U78" s="1147"/>
      <c r="V78" s="1156">
        <v>3796</v>
      </c>
      <c r="W78" s="1192">
        <v>3706</v>
      </c>
      <c r="X78" s="1137">
        <f t="shared" si="14"/>
        <v>90</v>
      </c>
      <c r="Y78" s="639">
        <f t="shared" si="13"/>
        <v>0.97629083245521597</v>
      </c>
      <c r="Z78" s="1149">
        <v>45996</v>
      </c>
      <c r="AA78" s="1139">
        <v>0</v>
      </c>
      <c r="AB78" s="1139">
        <v>0</v>
      </c>
      <c r="AC78" s="624">
        <v>0</v>
      </c>
      <c r="AD78" s="1365" t="s">
        <v>530</v>
      </c>
    </row>
    <row r="79" spans="1:30" ht="39.75" customHeight="1">
      <c r="A79" s="1016" t="s">
        <v>531</v>
      </c>
      <c r="B79" s="739" t="s">
        <v>50</v>
      </c>
      <c r="C79" s="852">
        <v>45991</v>
      </c>
      <c r="D79" s="1017" t="s">
        <v>532</v>
      </c>
      <c r="E79" s="741">
        <v>45735</v>
      </c>
      <c r="F79" s="740" t="s">
        <v>52</v>
      </c>
      <c r="G79" s="743" t="s">
        <v>533</v>
      </c>
      <c r="H79" s="744">
        <v>70</v>
      </c>
      <c r="I79" s="461" t="s">
        <v>159</v>
      </c>
      <c r="J79" s="469" t="s">
        <v>55</v>
      </c>
      <c r="K79" s="52"/>
      <c r="L79" s="369">
        <v>45716</v>
      </c>
      <c r="M79" s="52" t="s">
        <v>56</v>
      </c>
      <c r="N79" s="1020">
        <v>56262.5</v>
      </c>
      <c r="O79" s="52" t="s">
        <v>56</v>
      </c>
      <c r="P79" s="1013" t="s">
        <v>160</v>
      </c>
      <c r="Q79" s="54">
        <v>45744</v>
      </c>
      <c r="R79" s="54">
        <v>45917</v>
      </c>
      <c r="S79" s="54">
        <v>45930</v>
      </c>
      <c r="T79" s="54"/>
      <c r="U79" s="54"/>
      <c r="V79" s="31">
        <v>4870</v>
      </c>
      <c r="W79" s="959">
        <v>5044</v>
      </c>
      <c r="X79" s="106">
        <f t="shared" si="14"/>
        <v>-174</v>
      </c>
      <c r="Y79" s="933">
        <f t="shared" si="13"/>
        <v>1.0357289527720739</v>
      </c>
      <c r="Z79" s="54">
        <v>45754</v>
      </c>
      <c r="AA79" s="350">
        <v>0</v>
      </c>
      <c r="AB79" s="350">
        <v>0</v>
      </c>
      <c r="AC79" s="41">
        <v>0</v>
      </c>
      <c r="AD79" s="1366" t="s">
        <v>534</v>
      </c>
    </row>
    <row r="80" spans="1:30" ht="39.75" customHeight="1">
      <c r="A80" s="888" t="s">
        <v>535</v>
      </c>
      <c r="B80" s="791" t="s">
        <v>50</v>
      </c>
      <c r="C80" s="458">
        <v>45991</v>
      </c>
      <c r="D80" s="458" t="s">
        <v>111</v>
      </c>
      <c r="E80" s="467">
        <v>45748</v>
      </c>
      <c r="F80" s="466" t="s">
        <v>52</v>
      </c>
      <c r="G80" s="792" t="s">
        <v>536</v>
      </c>
      <c r="H80" s="469">
        <v>0</v>
      </c>
      <c r="I80" s="469" t="s">
        <v>159</v>
      </c>
      <c r="J80" s="460" t="s">
        <v>55</v>
      </c>
      <c r="K80" s="793"/>
      <c r="L80" s="467">
        <v>45741</v>
      </c>
      <c r="M80" s="460" t="s">
        <v>56</v>
      </c>
      <c r="N80" s="938">
        <v>17203.45</v>
      </c>
      <c r="O80" s="460" t="s">
        <v>56</v>
      </c>
      <c r="P80" s="925" t="s">
        <v>160</v>
      </c>
      <c r="Q80" s="470">
        <v>45742</v>
      </c>
      <c r="R80" s="470"/>
      <c r="S80" s="470"/>
      <c r="T80" s="470"/>
      <c r="U80" s="470"/>
      <c r="V80" s="41">
        <v>1157</v>
      </c>
      <c r="W80" s="609">
        <v>1181</v>
      </c>
      <c r="X80" s="463">
        <f>SUM(V80-W80)</f>
        <v>-24</v>
      </c>
      <c r="Y80" s="639">
        <f>IFERROR($W80/$V80, 0)</f>
        <v>1.0207433016421781</v>
      </c>
      <c r="Z80" s="470">
        <v>45925</v>
      </c>
      <c r="AA80" s="350">
        <v>0</v>
      </c>
      <c r="AB80" s="350">
        <v>0</v>
      </c>
      <c r="AC80" s="624">
        <v>0</v>
      </c>
      <c r="AD80" s="1367" t="s">
        <v>537</v>
      </c>
    </row>
    <row r="81" spans="1:30" ht="39.75" customHeight="1">
      <c r="A81" s="1190" t="s">
        <v>538</v>
      </c>
      <c r="B81" s="791" t="s">
        <v>50</v>
      </c>
      <c r="C81" s="1131">
        <v>46048</v>
      </c>
      <c r="D81" s="1131" t="s">
        <v>528</v>
      </c>
      <c r="E81" s="1142">
        <v>45748</v>
      </c>
      <c r="F81" s="794" t="s">
        <v>52</v>
      </c>
      <c r="G81" s="1143" t="s">
        <v>539</v>
      </c>
      <c r="H81" s="1144">
        <v>0</v>
      </c>
      <c r="I81" s="1144" t="s">
        <v>159</v>
      </c>
      <c r="J81" s="1133" t="s">
        <v>55</v>
      </c>
      <c r="K81" s="793"/>
      <c r="L81" s="1142">
        <v>45742</v>
      </c>
      <c r="M81" s="1133" t="s">
        <v>56</v>
      </c>
      <c r="N81" s="1155">
        <v>13442.35</v>
      </c>
      <c r="O81" s="1133" t="s">
        <v>56</v>
      </c>
      <c r="P81" s="1353" t="s">
        <v>160</v>
      </c>
      <c r="Q81" s="1147">
        <v>46027</v>
      </c>
      <c r="R81" s="1147"/>
      <c r="S81" s="1147"/>
      <c r="T81" s="1147"/>
      <c r="U81" s="1147"/>
      <c r="V81" s="1138">
        <v>831</v>
      </c>
      <c r="W81" s="1386">
        <v>863</v>
      </c>
      <c r="X81" s="1137">
        <f t="shared" ref="X81" si="19">SUM(V81-W81)</f>
        <v>-32</v>
      </c>
      <c r="Y81" s="639">
        <f t="shared" ref="Y81" si="20">IFERROR($W81/$V81, 0)</f>
        <v>1.0385078219013237</v>
      </c>
      <c r="Z81" s="1147">
        <v>46034</v>
      </c>
      <c r="AA81" s="1139">
        <v>0</v>
      </c>
      <c r="AB81" s="1139">
        <v>0</v>
      </c>
      <c r="AC81" s="624">
        <v>0</v>
      </c>
      <c r="AD81" s="1388" t="s">
        <v>540</v>
      </c>
    </row>
    <row r="82" spans="1:30" ht="39.75" customHeight="1">
      <c r="A82" s="1016" t="s">
        <v>541</v>
      </c>
      <c r="B82" s="757" t="s">
        <v>50</v>
      </c>
      <c r="C82" s="852">
        <v>45991</v>
      </c>
      <c r="D82" s="1029" t="s">
        <v>111</v>
      </c>
      <c r="E82" s="57">
        <v>45779</v>
      </c>
      <c r="F82" s="740" t="s">
        <v>52</v>
      </c>
      <c r="G82" s="758" t="s">
        <v>542</v>
      </c>
      <c r="H82" s="744">
        <v>0</v>
      </c>
      <c r="I82" s="469" t="s">
        <v>159</v>
      </c>
      <c r="J82" s="460" t="s">
        <v>55</v>
      </c>
      <c r="K82" s="866"/>
      <c r="L82" s="51">
        <v>45742</v>
      </c>
      <c r="M82" s="872" t="s">
        <v>56</v>
      </c>
      <c r="N82" s="1020">
        <v>23800.25</v>
      </c>
      <c r="O82" s="370" t="s">
        <v>56</v>
      </c>
      <c r="P82" s="1013" t="s">
        <v>160</v>
      </c>
      <c r="Q82" s="54">
        <v>45743</v>
      </c>
      <c r="R82" s="195"/>
      <c r="S82" s="54"/>
      <c r="T82" s="54"/>
      <c r="U82" s="54"/>
      <c r="V82" s="31">
        <v>1697</v>
      </c>
      <c r="W82" s="959">
        <v>1815</v>
      </c>
      <c r="X82" s="463">
        <f t="shared" si="14"/>
        <v>-118</v>
      </c>
      <c r="Y82" s="827">
        <f t="shared" si="13"/>
        <v>1.0695344725987035</v>
      </c>
      <c r="Z82" s="54">
        <v>45791</v>
      </c>
      <c r="AA82" s="584">
        <v>1</v>
      </c>
      <c r="AB82" s="584">
        <v>0</v>
      </c>
      <c r="AC82" s="1031">
        <v>0</v>
      </c>
      <c r="AD82" s="1366" t="s">
        <v>543</v>
      </c>
    </row>
    <row r="83" spans="1:30" ht="39.75" customHeight="1">
      <c r="A83" s="1190" t="s">
        <v>544</v>
      </c>
      <c r="B83" s="791" t="s">
        <v>50</v>
      </c>
      <c r="C83" s="1131">
        <v>46044</v>
      </c>
      <c r="D83" s="1131" t="s">
        <v>111</v>
      </c>
      <c r="E83" s="1142">
        <v>45700</v>
      </c>
      <c r="F83" s="1142" t="s">
        <v>52</v>
      </c>
      <c r="G83" s="1142" t="s">
        <v>545</v>
      </c>
      <c r="H83" s="1144">
        <v>0</v>
      </c>
      <c r="I83" s="1144" t="s">
        <v>159</v>
      </c>
      <c r="J83" s="1144" t="s">
        <v>55</v>
      </c>
      <c r="K83" s="1144"/>
      <c r="L83" s="1142">
        <v>45700</v>
      </c>
      <c r="M83" s="1144" t="s">
        <v>56</v>
      </c>
      <c r="N83" s="1155">
        <v>19745.25</v>
      </c>
      <c r="O83" s="1144" t="s">
        <v>56</v>
      </c>
      <c r="P83" s="1353" t="s">
        <v>160</v>
      </c>
      <c r="Q83" s="1147">
        <v>45696</v>
      </c>
      <c r="R83" s="1147"/>
      <c r="S83" s="1147"/>
      <c r="T83" s="1147"/>
      <c r="U83" s="1147"/>
      <c r="V83" s="1148">
        <v>1534</v>
      </c>
      <c r="W83" s="1192">
        <v>1571</v>
      </c>
      <c r="X83" s="1137">
        <f t="shared" si="14"/>
        <v>-37</v>
      </c>
      <c r="Y83" s="639">
        <f t="shared" si="13"/>
        <v>1.0241199478487615</v>
      </c>
      <c r="Z83" s="1147">
        <v>45736</v>
      </c>
      <c r="AA83" s="1139">
        <v>0</v>
      </c>
      <c r="AB83" s="1139">
        <v>0</v>
      </c>
      <c r="AC83" s="783">
        <v>0</v>
      </c>
      <c r="AD83" s="1365" t="s">
        <v>546</v>
      </c>
    </row>
    <row r="84" spans="1:30" ht="39.75" customHeight="1">
      <c r="A84" s="1190" t="s">
        <v>547</v>
      </c>
      <c r="B84" s="791" t="s">
        <v>50</v>
      </c>
      <c r="C84" s="1131">
        <v>46218</v>
      </c>
      <c r="D84" s="1131" t="s">
        <v>548</v>
      </c>
      <c r="E84" s="51" t="s">
        <v>339</v>
      </c>
      <c r="F84" s="1143" t="s">
        <v>52</v>
      </c>
      <c r="G84" s="1143" t="s">
        <v>549</v>
      </c>
      <c r="H84" s="1144">
        <v>380</v>
      </c>
      <c r="I84" s="638" t="s">
        <v>159</v>
      </c>
      <c r="J84" s="1133" t="s">
        <v>68</v>
      </c>
      <c r="K84" s="1165"/>
      <c r="L84" s="1142">
        <v>45964</v>
      </c>
      <c r="M84" s="1144" t="s">
        <v>56</v>
      </c>
      <c r="N84" s="1155">
        <v>117414</v>
      </c>
      <c r="O84" s="1144" t="s">
        <v>56</v>
      </c>
      <c r="P84" s="1191" t="s">
        <v>160</v>
      </c>
      <c r="Q84" s="1147">
        <v>45964</v>
      </c>
      <c r="R84" s="1147"/>
      <c r="S84" s="1147"/>
      <c r="T84" s="1147"/>
      <c r="U84" s="1147"/>
      <c r="V84" s="1148">
        <v>9181</v>
      </c>
      <c r="W84" s="1192">
        <v>9179</v>
      </c>
      <c r="X84" s="1137">
        <f>SUM(V84-W84)</f>
        <v>2</v>
      </c>
      <c r="Y84" s="828">
        <f t="shared" si="13"/>
        <v>0.99978215880623023</v>
      </c>
      <c r="Z84" s="1136">
        <v>45992</v>
      </c>
      <c r="AA84" s="1139">
        <v>1</v>
      </c>
      <c r="AB84" s="1139">
        <v>0</v>
      </c>
      <c r="AC84" s="624">
        <v>0</v>
      </c>
      <c r="AD84" s="1358" t="s">
        <v>550</v>
      </c>
    </row>
    <row r="85" spans="1:30" ht="39.75" customHeight="1"/>
    <row r="86" spans="1:30" ht="39.75" customHeight="1"/>
    <row r="87" spans="1:30" ht="39.75" customHeight="1"/>
    <row r="88" spans="1:30" ht="39.75" customHeight="1"/>
    <row r="89"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6:K57 K59 K62:K76 K1:K5 K78 K80:K84 K16:K51" xr:uid="{1F77D159-87F8-4334-B8DB-1D98E9EF8F0C}">
      <formula1>"Pending Locates,Permits, SOW Pending, NTP Pending, Materials, Reassigned, Door Tags"</formula1>
    </dataValidation>
    <dataValidation type="list" allowBlank="1" showInputMessage="1" showErrorMessage="1" sqref="I83 I20:I21 I11:I12 I23:I26 I32:I35" xr:uid="{FF75A226-FC7F-404C-911A-49986724D48A}">
      <formula1>"On Track, In Jeopardy, Completed on Track, Completed, Completed -Missed TSD, On Hold Per Tillman"</formula1>
    </dataValidation>
    <dataValidation type="list" allowBlank="1" showInputMessage="1" showErrorMessage="1" sqref="I27:I31 I84 I36:I82 I22 I2:I19" xr:uid="{FAE40925-7EC8-4626-B635-D815FEB73FF5}">
      <formula1>"On Track, In Jeopardy, Completed on Track, Completed, Completed -Missed TSD"</formula1>
    </dataValidation>
    <dataValidation type="list" allowBlank="1" showInputMessage="1" showErrorMessage="1" sqref="J6 J2:J4 J8:J16 J18:J19 J22 J27:J84" xr:uid="{ECCD296E-320E-42DF-8A21-19E7E0361B1B}">
      <formula1>"Received, Pending, Not Required"</formula1>
    </dataValidation>
    <dataValidation allowBlank="1" showInputMessage="1" showErrorMessage="1" sqref="L56:L57 L59 Q59:T59 L78 E83:E84 Q56:T57 D82 R50:U51 U52 L50:L53 L80:L84 D79 Q78:U78 Q82:U84 Q50:Q53 U66:U67 Q61:T70 D52:D77 L61:L76 Q71:U76 D40:D49 R40:U47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321</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164</v>
      </c>
      <c r="C2" s="458">
        <v>45960</v>
      </c>
      <c r="D2" s="458" t="s">
        <v>172</v>
      </c>
      <c r="E2" s="458">
        <v>45852</v>
      </c>
      <c r="F2" s="623" t="s">
        <v>173</v>
      </c>
      <c r="G2" s="659" t="s">
        <v>552</v>
      </c>
      <c r="H2" s="460">
        <v>0</v>
      </c>
      <c r="I2" s="460" t="s">
        <v>159</v>
      </c>
      <c r="J2" s="460" t="s">
        <v>55</v>
      </c>
      <c r="K2" s="460"/>
      <c r="L2" s="458">
        <v>45852</v>
      </c>
      <c r="M2" s="460" t="s">
        <v>56</v>
      </c>
      <c r="N2" s="529">
        <v>42837.2</v>
      </c>
      <c r="O2" s="460" t="s">
        <v>56</v>
      </c>
      <c r="P2" s="774" t="s">
        <v>160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164</v>
      </c>
      <c r="C3" s="870">
        <v>45999</v>
      </c>
      <c r="D3" s="874" t="s">
        <v>111</v>
      </c>
      <c r="E3" s="936">
        <v>45975</v>
      </c>
      <c r="F3" s="874" t="s">
        <v>165</v>
      </c>
      <c r="G3" s="941" t="s">
        <v>555</v>
      </c>
      <c r="H3" s="928">
        <v>0</v>
      </c>
      <c r="I3" s="873" t="s">
        <v>159</v>
      </c>
      <c r="J3" s="872" t="s">
        <v>55</v>
      </c>
      <c r="K3" s="872"/>
      <c r="L3" s="51">
        <v>45960</v>
      </c>
      <c r="M3" s="1317" t="s">
        <v>56</v>
      </c>
      <c r="N3" s="938">
        <v>4911.8999999999996</v>
      </c>
      <c r="O3" s="928" t="s">
        <v>56</v>
      </c>
      <c r="P3" s="876" t="s">
        <v>160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164</v>
      </c>
      <c r="C4" s="467">
        <v>45807</v>
      </c>
      <c r="D4" s="456" t="s">
        <v>558</v>
      </c>
      <c r="E4" s="466" t="s">
        <v>339</v>
      </c>
      <c r="F4" s="456" t="s">
        <v>173</v>
      </c>
      <c r="G4" s="792" t="s">
        <v>559</v>
      </c>
      <c r="H4" s="460">
        <v>84</v>
      </c>
      <c r="I4" s="796" t="s">
        <v>159</v>
      </c>
      <c r="J4" s="469" t="s">
        <v>55</v>
      </c>
      <c r="K4" s="811"/>
      <c r="L4" s="458">
        <v>45716</v>
      </c>
      <c r="M4" s="469" t="s">
        <v>56</v>
      </c>
      <c r="N4" s="529">
        <v>2812.95</v>
      </c>
      <c r="O4" s="469" t="s">
        <v>56</v>
      </c>
      <c r="P4" s="774" t="s">
        <v>160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164</v>
      </c>
      <c r="C5" s="458">
        <v>45991</v>
      </c>
      <c r="D5" s="466" t="s">
        <v>352</v>
      </c>
      <c r="E5" s="467">
        <v>45866</v>
      </c>
      <c r="F5" s="466" t="s">
        <v>173</v>
      </c>
      <c r="G5" s="468" t="s">
        <v>561</v>
      </c>
      <c r="H5" s="469">
        <v>0</v>
      </c>
      <c r="I5" s="474" t="s">
        <v>159</v>
      </c>
      <c r="J5" s="469" t="s">
        <v>55</v>
      </c>
      <c r="K5" s="477"/>
      <c r="L5" s="467">
        <v>45863</v>
      </c>
      <c r="M5" s="469" t="s">
        <v>56</v>
      </c>
      <c r="N5" s="530">
        <v>143407.25</v>
      </c>
      <c r="O5" s="469" t="s">
        <v>56</v>
      </c>
      <c r="P5" s="774" t="s">
        <v>160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164</v>
      </c>
      <c r="C6" s="458">
        <v>45991</v>
      </c>
      <c r="D6" s="466" t="s">
        <v>111</v>
      </c>
      <c r="E6" s="467">
        <v>45880</v>
      </c>
      <c r="F6" s="466" t="s">
        <v>165</v>
      </c>
      <c r="G6" s="468" t="s">
        <v>563</v>
      </c>
      <c r="H6" s="469">
        <v>0</v>
      </c>
      <c r="I6" s="474" t="s">
        <v>159</v>
      </c>
      <c r="J6" s="469" t="s">
        <v>55</v>
      </c>
      <c r="K6" s="477"/>
      <c r="L6" s="467">
        <v>45881</v>
      </c>
      <c r="M6" s="469" t="s">
        <v>56</v>
      </c>
      <c r="N6" s="530">
        <v>4815.6499999999996</v>
      </c>
      <c r="O6" s="469" t="s">
        <v>56</v>
      </c>
      <c r="P6" s="774" t="s">
        <v>160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164</v>
      </c>
      <c r="C7" s="802">
        <v>45955</v>
      </c>
      <c r="D7" s="803" t="s">
        <v>115</v>
      </c>
      <c r="E7" s="803">
        <v>45919</v>
      </c>
      <c r="F7" s="803" t="s">
        <v>205</v>
      </c>
      <c r="G7" s="804" t="s">
        <v>566</v>
      </c>
      <c r="H7" s="387">
        <v>0</v>
      </c>
      <c r="I7" s="805" t="s">
        <v>159</v>
      </c>
      <c r="J7" s="387" t="s">
        <v>55</v>
      </c>
      <c r="K7" s="387"/>
      <c r="L7" s="803" t="s">
        <v>339</v>
      </c>
      <c r="M7" s="387" t="s">
        <v>56</v>
      </c>
      <c r="N7" s="806">
        <v>4646.75</v>
      </c>
      <c r="O7" s="387" t="s">
        <v>74</v>
      </c>
      <c r="P7" s="876" t="s">
        <v>160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159</v>
      </c>
      <c r="J8" s="460" t="s">
        <v>55</v>
      </c>
      <c r="K8" s="460"/>
      <c r="L8" s="467">
        <v>45918</v>
      </c>
      <c r="M8" s="469" t="s">
        <v>56</v>
      </c>
      <c r="N8" s="530">
        <v>9611.9500000000007</v>
      </c>
      <c r="O8" s="469" t="s">
        <v>56</v>
      </c>
      <c r="P8" s="774" t="s">
        <v>160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159</v>
      </c>
      <c r="J9" s="1133" t="s">
        <v>55</v>
      </c>
      <c r="K9" s="1133"/>
      <c r="L9" s="1131">
        <v>45994</v>
      </c>
      <c r="M9" s="1144" t="s">
        <v>56</v>
      </c>
      <c r="N9" s="1134">
        <v>42150</v>
      </c>
      <c r="O9" s="1144" t="s">
        <v>56</v>
      </c>
      <c r="P9" s="1266" t="s">
        <v>160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159</v>
      </c>
      <c r="J10" s="469" t="s">
        <v>55</v>
      </c>
      <c r="K10" s="477"/>
      <c r="L10" s="467">
        <v>45888</v>
      </c>
      <c r="M10" s="469" t="s">
        <v>56</v>
      </c>
      <c r="N10" s="530">
        <v>53902</v>
      </c>
      <c r="O10" s="469" t="s">
        <v>56</v>
      </c>
      <c r="P10" s="774" t="s">
        <v>160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159</v>
      </c>
      <c r="J11" s="460" t="s">
        <v>55</v>
      </c>
      <c r="K11" s="460"/>
      <c r="L11" s="458">
        <v>45897</v>
      </c>
      <c r="M11" s="460" t="s">
        <v>56</v>
      </c>
      <c r="N11" s="529">
        <v>44896.1</v>
      </c>
      <c r="O11" s="460" t="s">
        <v>56</v>
      </c>
      <c r="P11" s="774" t="s">
        <v>160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159</v>
      </c>
      <c r="J12" s="460" t="s">
        <v>55</v>
      </c>
      <c r="K12" s="460"/>
      <c r="L12" s="458">
        <v>45903</v>
      </c>
      <c r="M12" s="460" t="s">
        <v>56</v>
      </c>
      <c r="N12" s="529">
        <v>59116.7</v>
      </c>
      <c r="O12" s="460" t="s">
        <v>56</v>
      </c>
      <c r="P12" s="774" t="s">
        <v>160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159</v>
      </c>
      <c r="J13" s="1133" t="s">
        <v>55</v>
      </c>
      <c r="K13" s="1133"/>
      <c r="L13" s="1131">
        <v>45936</v>
      </c>
      <c r="M13" s="1133" t="s">
        <v>56</v>
      </c>
      <c r="N13" s="1134">
        <v>38192</v>
      </c>
      <c r="O13" s="1133" t="s">
        <v>56</v>
      </c>
      <c r="P13" s="1266" t="s">
        <v>160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159</v>
      </c>
      <c r="J14" s="460" t="s">
        <v>55</v>
      </c>
      <c r="K14" s="460"/>
      <c r="L14" s="458">
        <v>45903</v>
      </c>
      <c r="M14" s="460" t="s">
        <v>56</v>
      </c>
      <c r="N14" s="529">
        <v>40406</v>
      </c>
      <c r="O14" s="460" t="s">
        <v>56</v>
      </c>
      <c r="P14" s="774" t="s">
        <v>160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159</v>
      </c>
      <c r="J15" s="1133" t="s">
        <v>55</v>
      </c>
      <c r="K15" s="1133"/>
      <c r="L15" s="1131">
        <v>45936</v>
      </c>
      <c r="M15" s="1133" t="s">
        <v>56</v>
      </c>
      <c r="N15" s="1134">
        <v>37755.599999999999</v>
      </c>
      <c r="O15" s="1133" t="s">
        <v>56</v>
      </c>
      <c r="P15" s="1266" t="s">
        <v>160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159</v>
      </c>
      <c r="J16" s="1133" t="s">
        <v>55</v>
      </c>
      <c r="K16" s="1133"/>
      <c r="L16" s="1131">
        <v>45972</v>
      </c>
      <c r="M16" s="1133" t="s">
        <v>56</v>
      </c>
      <c r="N16" s="1134">
        <v>27615.5</v>
      </c>
      <c r="O16" s="1133" t="s">
        <v>56</v>
      </c>
      <c r="P16" s="1266" t="s">
        <v>160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159</v>
      </c>
      <c r="J17" s="1133" t="s">
        <v>55</v>
      </c>
      <c r="K17" s="460"/>
      <c r="L17" s="1131">
        <v>45999</v>
      </c>
      <c r="M17" s="1133" t="s">
        <v>56</v>
      </c>
      <c r="N17" s="1134">
        <v>74384</v>
      </c>
      <c r="O17" s="1133" t="s">
        <v>56</v>
      </c>
      <c r="P17" s="1266" t="s">
        <v>160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159</v>
      </c>
      <c r="J18" s="460" t="s">
        <v>55</v>
      </c>
      <c r="K18" s="460"/>
      <c r="L18" s="458">
        <v>45979</v>
      </c>
      <c r="M18" s="460" t="s">
        <v>56</v>
      </c>
      <c r="N18" s="529">
        <v>29683</v>
      </c>
      <c r="O18" s="460" t="s">
        <v>56</v>
      </c>
      <c r="P18" s="774" t="s">
        <v>160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159</v>
      </c>
      <c r="J19" s="460" t="s">
        <v>55</v>
      </c>
      <c r="K19" s="460"/>
      <c r="L19" s="458">
        <v>45933</v>
      </c>
      <c r="M19" s="460" t="s">
        <v>56</v>
      </c>
      <c r="N19" s="529">
        <v>26026</v>
      </c>
      <c r="O19" s="460" t="s">
        <v>56</v>
      </c>
      <c r="P19" s="774" t="s">
        <v>160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159</v>
      </c>
      <c r="J20" s="460" t="s">
        <v>55</v>
      </c>
      <c r="K20" s="460"/>
      <c r="L20" s="458">
        <v>45912</v>
      </c>
      <c r="M20" s="460" t="s">
        <v>56</v>
      </c>
      <c r="N20" s="529">
        <v>82621.149999999994</v>
      </c>
      <c r="O20" s="460" t="s">
        <v>56</v>
      </c>
      <c r="P20" s="774" t="s">
        <v>160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159</v>
      </c>
      <c r="J21" s="460" t="s">
        <v>55</v>
      </c>
      <c r="K21" s="460"/>
      <c r="L21" s="458">
        <v>45933</v>
      </c>
      <c r="M21" s="460" t="s">
        <v>56</v>
      </c>
      <c r="N21" s="529">
        <v>29646</v>
      </c>
      <c r="O21" s="460" t="s">
        <v>56</v>
      </c>
      <c r="P21" s="774" t="s">
        <v>160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159</v>
      </c>
      <c r="J22" s="460" t="s">
        <v>55</v>
      </c>
      <c r="K22" s="460"/>
      <c r="L22" s="458">
        <v>45933</v>
      </c>
      <c r="M22" s="460" t="s">
        <v>56</v>
      </c>
      <c r="N22" s="529">
        <v>45014</v>
      </c>
      <c r="O22" s="460" t="s">
        <v>56</v>
      </c>
      <c r="P22" s="774" t="s">
        <v>160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159</v>
      </c>
      <c r="J23" s="460" t="s">
        <v>55</v>
      </c>
      <c r="K23" s="460"/>
      <c r="L23" s="458">
        <v>45936</v>
      </c>
      <c r="M23" s="460" t="s">
        <v>56</v>
      </c>
      <c r="N23" s="529">
        <v>38796</v>
      </c>
      <c r="O23" s="460" t="s">
        <v>56</v>
      </c>
      <c r="P23" s="774" t="s">
        <v>160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159</v>
      </c>
      <c r="J24" s="460" t="s">
        <v>55</v>
      </c>
      <c r="K24" s="460"/>
      <c r="L24" s="458">
        <v>45962</v>
      </c>
      <c r="M24" s="460" t="s">
        <v>56</v>
      </c>
      <c r="N24" s="529">
        <v>35050</v>
      </c>
      <c r="O24" s="460" t="s">
        <v>56</v>
      </c>
      <c r="P24" s="774" t="s">
        <v>160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159</v>
      </c>
      <c r="J25" s="460" t="s">
        <v>55</v>
      </c>
      <c r="K25" s="460"/>
      <c r="L25" s="458">
        <v>45954</v>
      </c>
      <c r="M25" s="460" t="s">
        <v>56</v>
      </c>
      <c r="N25" s="529">
        <v>54228.7</v>
      </c>
      <c r="O25" s="460" t="s">
        <v>56</v>
      </c>
      <c r="P25" s="774" t="s">
        <v>160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159</v>
      </c>
      <c r="J26" s="460" t="s">
        <v>55</v>
      </c>
      <c r="K26" s="460"/>
      <c r="L26" s="458">
        <v>45936</v>
      </c>
      <c r="M26" s="460" t="s">
        <v>56</v>
      </c>
      <c r="N26" s="529">
        <v>96748</v>
      </c>
      <c r="O26" s="460" t="s">
        <v>56</v>
      </c>
      <c r="P26" s="812" t="s">
        <v>160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159</v>
      </c>
      <c r="J27" s="460" t="s">
        <v>55</v>
      </c>
      <c r="K27" s="460"/>
      <c r="L27" s="458">
        <v>45969</v>
      </c>
      <c r="M27" s="460" t="s">
        <v>56</v>
      </c>
      <c r="N27" s="529">
        <v>75672.100000000006</v>
      </c>
      <c r="O27" s="460" t="s">
        <v>56</v>
      </c>
      <c r="P27" s="1087" t="s">
        <v>160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159</v>
      </c>
      <c r="J28" s="460" t="s">
        <v>55</v>
      </c>
      <c r="K28" s="460"/>
      <c r="L28" s="458">
        <v>45967</v>
      </c>
      <c r="M28" s="460" t="s">
        <v>56</v>
      </c>
      <c r="N28" s="529">
        <v>76565.850000000006</v>
      </c>
      <c r="O28" s="460" t="s">
        <v>56</v>
      </c>
      <c r="P28" s="1087" t="s">
        <v>160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159</v>
      </c>
      <c r="J29" s="460" t="s">
        <v>55</v>
      </c>
      <c r="K29" s="460"/>
      <c r="L29" s="458">
        <v>45967</v>
      </c>
      <c r="M29" s="460" t="s">
        <v>56</v>
      </c>
      <c r="N29" s="529">
        <v>60620</v>
      </c>
      <c r="O29" s="460" t="s">
        <v>56</v>
      </c>
      <c r="P29" s="1303" t="s">
        <v>160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159</v>
      </c>
      <c r="J30" s="1133" t="s">
        <v>55</v>
      </c>
      <c r="K30" s="1133"/>
      <c r="L30" s="1131">
        <v>45965</v>
      </c>
      <c r="M30" s="1133" t="s">
        <v>56</v>
      </c>
      <c r="N30" s="1134">
        <v>18021.7</v>
      </c>
      <c r="O30" s="1133" t="s">
        <v>56</v>
      </c>
      <c r="P30" s="1266" t="s">
        <v>160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159</v>
      </c>
      <c r="J31" s="1133" t="s">
        <v>55</v>
      </c>
      <c r="K31" s="1133"/>
      <c r="L31" s="1131">
        <v>45965</v>
      </c>
      <c r="M31" s="1133" t="s">
        <v>56</v>
      </c>
      <c r="N31" s="1134">
        <v>20705</v>
      </c>
      <c r="O31" s="1133" t="s">
        <v>56</v>
      </c>
      <c r="P31" s="1266" t="s">
        <v>160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159</v>
      </c>
      <c r="J32" s="460" t="s">
        <v>55</v>
      </c>
      <c r="K32" s="460"/>
      <c r="L32" s="458">
        <v>45968</v>
      </c>
      <c r="M32" s="460" t="s">
        <v>56</v>
      </c>
      <c r="N32" s="529">
        <v>12840.7</v>
      </c>
      <c r="O32" s="460" t="s">
        <v>56</v>
      </c>
      <c r="P32" s="774" t="s">
        <v>160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159</v>
      </c>
      <c r="J33" s="1133" t="s">
        <v>55</v>
      </c>
      <c r="K33" s="460"/>
      <c r="L33" s="1131" t="s">
        <v>117</v>
      </c>
      <c r="M33" s="1133" t="s">
        <v>56</v>
      </c>
      <c r="N33" s="1134">
        <v>23475.5</v>
      </c>
      <c r="O33" s="1185" t="s">
        <v>56</v>
      </c>
      <c r="P33" s="1309" t="s">
        <v>160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159</v>
      </c>
      <c r="J34" s="1133" t="s">
        <v>55</v>
      </c>
      <c r="K34" s="1133"/>
      <c r="L34" s="1131" t="s">
        <v>117</v>
      </c>
      <c r="M34" s="1133" t="s">
        <v>56</v>
      </c>
      <c r="N34" s="1134">
        <v>11500.3</v>
      </c>
      <c r="O34" s="1185" t="s">
        <v>56</v>
      </c>
      <c r="P34" s="1309" t="s">
        <v>160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159</v>
      </c>
      <c r="J35" s="460" t="s">
        <v>55</v>
      </c>
      <c r="K35" s="460"/>
      <c r="L35" s="458" t="s">
        <v>117</v>
      </c>
      <c r="M35" s="460" t="s">
        <v>56</v>
      </c>
      <c r="N35" s="529">
        <v>51970</v>
      </c>
      <c r="O35" s="87" t="s">
        <v>56</v>
      </c>
      <c r="P35" s="1310" t="s">
        <v>160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159</v>
      </c>
      <c r="J36" s="460" t="s">
        <v>55</v>
      </c>
      <c r="K36" s="460"/>
      <c r="L36" s="458" t="s">
        <v>117</v>
      </c>
      <c r="M36" s="460" t="s">
        <v>56</v>
      </c>
      <c r="N36" s="529">
        <v>39221.800000000003</v>
      </c>
      <c r="O36" s="1308" t="s">
        <v>56</v>
      </c>
      <c r="P36" s="1239" t="s">
        <v>160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159</v>
      </c>
      <c r="J37" s="460" t="s">
        <v>68</v>
      </c>
      <c r="K37" s="460"/>
      <c r="L37" s="458">
        <v>45953</v>
      </c>
      <c r="M37" s="460" t="s">
        <v>56</v>
      </c>
      <c r="N37" s="529">
        <v>168480.8</v>
      </c>
      <c r="O37" s="460" t="s">
        <v>56</v>
      </c>
      <c r="P37" s="774" t="s">
        <v>160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159</v>
      </c>
      <c r="J38" s="460" t="s">
        <v>68</v>
      </c>
      <c r="K38" s="460"/>
      <c r="L38" s="456" t="s">
        <v>160</v>
      </c>
      <c r="M38" s="460" t="s">
        <v>56</v>
      </c>
      <c r="N38" s="529">
        <v>30892</v>
      </c>
      <c r="O38" s="460" t="s">
        <v>56</v>
      </c>
      <c r="P38" s="774" t="s">
        <v>160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423</v>
      </c>
      <c r="E39" s="458">
        <v>45936</v>
      </c>
      <c r="F39" s="456" t="s">
        <v>83</v>
      </c>
      <c r="G39" s="459"/>
      <c r="H39" s="460">
        <v>157</v>
      </c>
      <c r="I39" s="638" t="s">
        <v>159</v>
      </c>
      <c r="J39" s="460" t="s">
        <v>68</v>
      </c>
      <c r="K39" s="460"/>
      <c r="L39" s="458">
        <v>45943</v>
      </c>
      <c r="M39" s="460" t="s">
        <v>56</v>
      </c>
      <c r="N39" s="529">
        <v>64059.5</v>
      </c>
      <c r="O39" s="460" t="s">
        <v>56</v>
      </c>
      <c r="P39" s="826" t="s">
        <v>160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160</v>
      </c>
      <c r="M40" s="374" t="s">
        <v>56</v>
      </c>
      <c r="N40" s="1020">
        <v>64790.5</v>
      </c>
      <c r="O40" s="374" t="s">
        <v>56</v>
      </c>
      <c r="P40" s="1038" t="s">
        <v>160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204</v>
      </c>
      <c r="E41" s="458">
        <v>45927</v>
      </c>
      <c r="F41" s="456" t="s">
        <v>657</v>
      </c>
      <c r="G41" s="659" t="s">
        <v>658</v>
      </c>
      <c r="H41" s="460">
        <v>86</v>
      </c>
      <c r="I41" s="638" t="s">
        <v>159</v>
      </c>
      <c r="J41" s="460" t="s">
        <v>55</v>
      </c>
      <c r="K41" s="469"/>
      <c r="L41" s="458">
        <v>45917</v>
      </c>
      <c r="M41" s="460" t="s">
        <v>56</v>
      </c>
      <c r="N41" s="529">
        <v>45500</v>
      </c>
      <c r="O41" s="460" t="s">
        <v>56</v>
      </c>
      <c r="P41" s="774" t="s">
        <v>160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159</v>
      </c>
      <c r="J42" s="460" t="s">
        <v>55</v>
      </c>
      <c r="K42" s="793"/>
      <c r="L42" s="467">
        <v>45741</v>
      </c>
      <c r="M42" s="460" t="s">
        <v>56</v>
      </c>
      <c r="N42" s="530">
        <v>67735.5</v>
      </c>
      <c r="O42" s="460" t="s">
        <v>56</v>
      </c>
      <c r="P42" s="774" t="s">
        <v>160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160</v>
      </c>
      <c r="J43" s="796" t="s">
        <v>55</v>
      </c>
      <c r="K43" s="796"/>
      <c r="L43" s="794">
        <v>45705</v>
      </c>
      <c r="M43" s="796" t="s">
        <v>56</v>
      </c>
      <c r="N43" s="817">
        <v>1295</v>
      </c>
      <c r="O43" s="796" t="s">
        <v>56</v>
      </c>
      <c r="P43" s="774" t="s">
        <v>160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159</v>
      </c>
      <c r="J44" s="460" t="s">
        <v>68</v>
      </c>
      <c r="K44" s="796"/>
      <c r="L44" s="794">
        <v>46303</v>
      </c>
      <c r="M44" s="824" t="s">
        <v>56</v>
      </c>
      <c r="N44" s="1020">
        <v>86136</v>
      </c>
      <c r="O44" s="824" t="s">
        <v>56</v>
      </c>
      <c r="P44" s="826" t="s">
        <v>160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159</v>
      </c>
      <c r="J45" s="460" t="s">
        <v>68</v>
      </c>
      <c r="K45" s="744"/>
      <c r="L45" s="57" t="s">
        <v>339</v>
      </c>
      <c r="M45" s="928" t="s">
        <v>56</v>
      </c>
      <c r="N45" s="1020">
        <v>42766.5</v>
      </c>
      <c r="O45" s="52" t="s">
        <v>56</v>
      </c>
      <c r="P45" s="1038" t="s">
        <v>160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160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321</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164</v>
      </c>
      <c r="C2" s="458">
        <v>45868</v>
      </c>
      <c r="D2" s="466" t="s">
        <v>558</v>
      </c>
      <c r="E2" s="467">
        <v>45716</v>
      </c>
      <c r="F2" s="466" t="s">
        <v>173</v>
      </c>
      <c r="G2" s="1440" t="s">
        <v>676</v>
      </c>
      <c r="H2" s="469">
        <v>0</v>
      </c>
      <c r="I2" s="796" t="s">
        <v>159</v>
      </c>
      <c r="J2" s="469" t="s">
        <v>55</v>
      </c>
      <c r="K2" s="458">
        <v>45716</v>
      </c>
      <c r="L2" s="469" t="s">
        <v>56</v>
      </c>
      <c r="M2" s="746">
        <v>64932.55</v>
      </c>
      <c r="N2" s="1336">
        <v>69110.8</v>
      </c>
      <c r="O2" s="469" t="s">
        <v>56</v>
      </c>
      <c r="P2" s="87" t="s">
        <v>160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164</v>
      </c>
      <c r="C3" s="458">
        <v>45991</v>
      </c>
      <c r="D3" s="467" t="s">
        <v>352</v>
      </c>
      <c r="E3" s="794">
        <v>45707</v>
      </c>
      <c r="F3" s="466" t="s">
        <v>173</v>
      </c>
      <c r="G3" s="816" t="s">
        <v>663</v>
      </c>
      <c r="H3" s="796">
        <v>0</v>
      </c>
      <c r="I3" s="796" t="s">
        <v>159</v>
      </c>
      <c r="J3" s="796" t="s">
        <v>55</v>
      </c>
      <c r="K3" s="467">
        <v>45708</v>
      </c>
      <c r="L3" s="796" t="s">
        <v>56</v>
      </c>
      <c r="M3" s="1335">
        <v>87944.4</v>
      </c>
      <c r="N3" s="1336">
        <v>99159.12</v>
      </c>
      <c r="O3" s="796" t="s">
        <v>56</v>
      </c>
      <c r="P3" s="754" t="s">
        <v>160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164</v>
      </c>
      <c r="C4" s="51">
        <v>45807</v>
      </c>
      <c r="D4" s="51" t="s">
        <v>681</v>
      </c>
      <c r="E4" s="51">
        <v>45706</v>
      </c>
      <c r="F4" s="50" t="s">
        <v>173</v>
      </c>
      <c r="G4" s="376" t="s">
        <v>682</v>
      </c>
      <c r="H4" s="52">
        <v>56</v>
      </c>
      <c r="I4" s="374" t="s">
        <v>159</v>
      </c>
      <c r="J4" s="52" t="s">
        <v>55</v>
      </c>
      <c r="K4" s="51">
        <v>45701</v>
      </c>
      <c r="L4" s="374" t="s">
        <v>56</v>
      </c>
      <c r="M4" s="418">
        <v>55089</v>
      </c>
      <c r="N4" s="538">
        <v>57509</v>
      </c>
      <c r="O4" s="738" t="s">
        <v>56</v>
      </c>
      <c r="P4" s="370" t="s">
        <v>160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164</v>
      </c>
      <c r="C5" s="458">
        <v>45991</v>
      </c>
      <c r="D5" s="466" t="s">
        <v>685</v>
      </c>
      <c r="E5" s="467">
        <v>45716</v>
      </c>
      <c r="F5" s="466" t="s">
        <v>165</v>
      </c>
      <c r="G5" s="468" t="s">
        <v>686</v>
      </c>
      <c r="H5" s="469">
        <v>31</v>
      </c>
      <c r="I5" s="474" t="s">
        <v>159</v>
      </c>
      <c r="J5" s="469" t="s">
        <v>55</v>
      </c>
      <c r="K5" s="458">
        <v>45716</v>
      </c>
      <c r="L5" s="469" t="s">
        <v>56</v>
      </c>
      <c r="M5" s="746">
        <v>28777</v>
      </c>
      <c r="N5" s="538">
        <v>28496.799999999999</v>
      </c>
      <c r="O5" s="469" t="s">
        <v>56</v>
      </c>
      <c r="P5" s="754" t="s">
        <v>160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164</v>
      </c>
      <c r="C6" s="369">
        <v>45991</v>
      </c>
      <c r="D6" s="50" t="s">
        <v>688</v>
      </c>
      <c r="E6" s="51">
        <v>45735</v>
      </c>
      <c r="F6" s="50" t="s">
        <v>173</v>
      </c>
      <c r="G6" s="373" t="s">
        <v>689</v>
      </c>
      <c r="H6" s="52">
        <v>0</v>
      </c>
      <c r="I6" s="52" t="s">
        <v>159</v>
      </c>
      <c r="J6" s="52" t="s">
        <v>55</v>
      </c>
      <c r="K6" s="595">
        <v>45718</v>
      </c>
      <c r="L6" s="52" t="s">
        <v>56</v>
      </c>
      <c r="M6" s="418">
        <v>200394.1</v>
      </c>
      <c r="N6" s="418">
        <v>209003.94</v>
      </c>
      <c r="O6" s="52" t="s">
        <v>56</v>
      </c>
      <c r="P6" s="428" t="s">
        <v>160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159</v>
      </c>
      <c r="J7" s="52" t="s">
        <v>55</v>
      </c>
      <c r="K7" s="51">
        <v>45708</v>
      </c>
      <c r="L7" s="52" t="s">
        <v>56</v>
      </c>
      <c r="M7" s="418">
        <v>62460.45</v>
      </c>
      <c r="N7" s="538">
        <v>61491.05</v>
      </c>
      <c r="O7" s="52" t="s">
        <v>56</v>
      </c>
      <c r="P7" s="52" t="s">
        <v>160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159</v>
      </c>
      <c r="J8" s="370" t="s">
        <v>55</v>
      </c>
      <c r="K8" s="369">
        <v>45735</v>
      </c>
      <c r="L8" s="370" t="s">
        <v>56</v>
      </c>
      <c r="M8" s="421">
        <v>15690.1</v>
      </c>
      <c r="N8" s="538">
        <v>16153.75</v>
      </c>
      <c r="O8" s="370" t="s">
        <v>56</v>
      </c>
      <c r="P8" s="370" t="s">
        <v>160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159</v>
      </c>
      <c r="J9" s="370" t="s">
        <v>55</v>
      </c>
      <c r="K9" s="369">
        <v>45793</v>
      </c>
      <c r="L9" s="370" t="s">
        <v>56</v>
      </c>
      <c r="M9" s="421">
        <v>104070.8</v>
      </c>
      <c r="N9" s="418">
        <v>106593.55</v>
      </c>
      <c r="O9" s="370" t="s">
        <v>56</v>
      </c>
      <c r="P9" s="428" t="s">
        <v>160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159</v>
      </c>
      <c r="J10" s="370" t="s">
        <v>55</v>
      </c>
      <c r="K10" s="369">
        <v>45782</v>
      </c>
      <c r="L10" s="370" t="s">
        <v>56</v>
      </c>
      <c r="M10" s="421">
        <v>119135.3</v>
      </c>
      <c r="N10" s="418">
        <v>121256.65</v>
      </c>
      <c r="O10" s="370" t="s">
        <v>56</v>
      </c>
      <c r="P10" s="370" t="s">
        <v>160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159</v>
      </c>
      <c r="J11" s="52" t="s">
        <v>55</v>
      </c>
      <c r="K11" s="50" t="s">
        <v>160</v>
      </c>
      <c r="L11" s="52" t="s">
        <v>56</v>
      </c>
      <c r="M11" s="418">
        <v>12601.45</v>
      </c>
      <c r="N11" s="538">
        <v>13008.1</v>
      </c>
      <c r="O11" s="52" t="s">
        <v>56</v>
      </c>
      <c r="P11" s="52" t="s">
        <v>160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159</v>
      </c>
      <c r="J12" s="52" t="s">
        <v>55</v>
      </c>
      <c r="K12" s="369">
        <v>45826</v>
      </c>
      <c r="L12" s="370" t="s">
        <v>56</v>
      </c>
      <c r="M12" s="421">
        <v>144886</v>
      </c>
      <c r="N12" s="418">
        <v>138688</v>
      </c>
      <c r="O12" s="370" t="s">
        <v>56</v>
      </c>
      <c r="P12" s="428" t="s">
        <v>160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160</v>
      </c>
      <c r="L13" s="644" t="s">
        <v>56</v>
      </c>
      <c r="M13" s="421">
        <v>47461.5</v>
      </c>
      <c r="N13" s="553">
        <v>45340</v>
      </c>
      <c r="O13" s="644" t="s">
        <v>56</v>
      </c>
      <c r="P13" s="370" t="s">
        <v>160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160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160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159</v>
      </c>
      <c r="J16" s="52" t="s">
        <v>55</v>
      </c>
      <c r="K16" s="642">
        <v>45756</v>
      </c>
      <c r="L16" s="52" t="s">
        <v>56</v>
      </c>
      <c r="M16" s="418">
        <v>67171.5</v>
      </c>
      <c r="N16" s="538">
        <v>64739</v>
      </c>
      <c r="O16" s="52" t="s">
        <v>56</v>
      </c>
      <c r="P16" s="52" t="s">
        <v>160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159</v>
      </c>
      <c r="J17" s="52" t="s">
        <v>55</v>
      </c>
      <c r="K17" s="51">
        <v>45749</v>
      </c>
      <c r="L17" s="52" t="s">
        <v>56</v>
      </c>
      <c r="M17" s="418">
        <v>72492</v>
      </c>
      <c r="N17" s="538">
        <v>73087.5</v>
      </c>
      <c r="O17" s="52" t="s">
        <v>56</v>
      </c>
      <c r="P17" s="52" t="s">
        <v>160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159</v>
      </c>
      <c r="J18" s="52" t="s">
        <v>55</v>
      </c>
      <c r="K18" s="51">
        <v>45750</v>
      </c>
      <c r="L18" s="52" t="s">
        <v>56</v>
      </c>
      <c r="M18" s="418">
        <v>51295</v>
      </c>
      <c r="N18" s="538">
        <v>51485.5</v>
      </c>
      <c r="O18" s="52" t="s">
        <v>56</v>
      </c>
      <c r="P18" s="52" t="s">
        <v>160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159</v>
      </c>
      <c r="J19" s="52" t="s">
        <v>55</v>
      </c>
      <c r="K19" s="50" t="s">
        <v>160</v>
      </c>
      <c r="L19" s="637" t="s">
        <v>56</v>
      </c>
      <c r="M19" s="418">
        <v>26617</v>
      </c>
      <c r="N19" s="554">
        <v>25405</v>
      </c>
      <c r="O19" s="637" t="s">
        <v>56</v>
      </c>
      <c r="P19" s="52" t="s">
        <v>160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160</v>
      </c>
      <c r="L20" s="637" t="s">
        <v>56</v>
      </c>
      <c r="M20" s="418">
        <v>72118</v>
      </c>
      <c r="N20" s="650">
        <v>70778</v>
      </c>
      <c r="O20" s="637" t="s">
        <v>56</v>
      </c>
      <c r="P20" s="52" t="s">
        <v>160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160</v>
      </c>
      <c r="L21" s="637" t="s">
        <v>56</v>
      </c>
      <c r="M21" s="418">
        <v>69288</v>
      </c>
      <c r="N21" s="554">
        <v>70664</v>
      </c>
      <c r="O21" s="637" t="s">
        <v>56</v>
      </c>
      <c r="P21" s="52" t="s">
        <v>160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160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160</v>
      </c>
      <c r="L23" s="637" t="s">
        <v>56</v>
      </c>
      <c r="M23" s="418">
        <v>83754</v>
      </c>
      <c r="N23" s="554">
        <v>80572.5</v>
      </c>
      <c r="O23" s="637" t="s">
        <v>56</v>
      </c>
      <c r="P23" s="52" t="s">
        <v>160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160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159</v>
      </c>
      <c r="J25" s="52" t="s">
        <v>55</v>
      </c>
      <c r="K25" s="51">
        <v>45733</v>
      </c>
      <c r="L25" s="52" t="s">
        <v>56</v>
      </c>
      <c r="M25" s="418">
        <v>50824.5</v>
      </c>
      <c r="N25" s="554">
        <v>50928.5</v>
      </c>
      <c r="O25" s="52" t="s">
        <v>56</v>
      </c>
      <c r="P25" s="52" t="s">
        <v>160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159</v>
      </c>
      <c r="J26" s="52" t="s">
        <v>55</v>
      </c>
      <c r="K26" s="51">
        <v>45737</v>
      </c>
      <c r="L26" s="52" t="s">
        <v>56</v>
      </c>
      <c r="M26" s="418">
        <v>83462</v>
      </c>
      <c r="N26" s="554">
        <v>83033</v>
      </c>
      <c r="O26" s="52" t="s">
        <v>56</v>
      </c>
      <c r="P26" s="52" t="s">
        <v>160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160</v>
      </c>
      <c r="L27" s="52" t="s">
        <v>56</v>
      </c>
      <c r="M27" s="418">
        <v>47414</v>
      </c>
      <c r="N27" s="554">
        <v>45744</v>
      </c>
      <c r="O27" s="52" t="s">
        <v>56</v>
      </c>
      <c r="P27" s="52" t="s">
        <v>160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159</v>
      </c>
      <c r="J28" s="52" t="s">
        <v>55</v>
      </c>
      <c r="K28" s="51">
        <v>45736</v>
      </c>
      <c r="L28" s="52" t="s">
        <v>56</v>
      </c>
      <c r="M28" s="418">
        <v>59562.5</v>
      </c>
      <c r="N28" s="554">
        <v>52525.5</v>
      </c>
      <c r="O28" s="52" t="s">
        <v>56</v>
      </c>
      <c r="P28" s="52" t="s">
        <v>160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159</v>
      </c>
      <c r="J29" s="52" t="s">
        <v>55</v>
      </c>
      <c r="K29" s="51">
        <v>45735</v>
      </c>
      <c r="L29" s="52" t="s">
        <v>56</v>
      </c>
      <c r="M29" s="418">
        <v>41187</v>
      </c>
      <c r="N29" s="554">
        <v>39597.5</v>
      </c>
      <c r="O29" s="52" t="s">
        <v>56</v>
      </c>
      <c r="P29" s="52" t="s">
        <v>160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159</v>
      </c>
      <c r="J30" s="52" t="s">
        <v>55</v>
      </c>
      <c r="K30" s="50" t="s">
        <v>160</v>
      </c>
      <c r="L30" s="52" t="s">
        <v>56</v>
      </c>
      <c r="M30" s="418">
        <v>14497.5</v>
      </c>
      <c r="N30" s="554">
        <v>14042</v>
      </c>
      <c r="O30" s="52" t="s">
        <v>56</v>
      </c>
      <c r="P30" s="52" t="s">
        <v>160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159</v>
      </c>
      <c r="J31" s="370" t="s">
        <v>55</v>
      </c>
      <c r="K31" s="369">
        <v>45840</v>
      </c>
      <c r="L31" s="370" t="s">
        <v>56</v>
      </c>
      <c r="M31" s="421">
        <v>10430.549999999999</v>
      </c>
      <c r="N31" s="418">
        <v>37639.800000000003</v>
      </c>
      <c r="O31" s="370" t="s">
        <v>56</v>
      </c>
      <c r="P31" s="1297" t="s">
        <v>160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159</v>
      </c>
      <c r="J32" s="370" t="s">
        <v>55</v>
      </c>
      <c r="K32" s="369">
        <v>45912</v>
      </c>
      <c r="L32" s="370" t="s">
        <v>56</v>
      </c>
      <c r="M32" s="421">
        <v>60115.95</v>
      </c>
      <c r="N32" s="418">
        <v>58210</v>
      </c>
      <c r="O32" s="370" t="s">
        <v>56</v>
      </c>
      <c r="P32" s="996" t="s">
        <v>160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159</v>
      </c>
      <c r="J33" s="370" t="s">
        <v>55</v>
      </c>
      <c r="K33" s="369">
        <v>45847</v>
      </c>
      <c r="L33" s="370" t="s">
        <v>56</v>
      </c>
      <c r="M33" s="421">
        <v>71310.899999999994</v>
      </c>
      <c r="N33" s="418">
        <v>62984.35</v>
      </c>
      <c r="O33" s="370" t="s">
        <v>56</v>
      </c>
      <c r="P33" s="428" t="s">
        <v>160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159</v>
      </c>
      <c r="J34" s="370" t="s">
        <v>55</v>
      </c>
      <c r="K34" s="369">
        <v>45840</v>
      </c>
      <c r="L34" s="370" t="s">
        <v>56</v>
      </c>
      <c r="M34" s="421">
        <v>53605.2</v>
      </c>
      <c r="N34" s="418">
        <v>52185.2</v>
      </c>
      <c r="O34" s="370" t="s">
        <v>56</v>
      </c>
      <c r="P34" s="428" t="s">
        <v>160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159</v>
      </c>
      <c r="J35" s="370" t="s">
        <v>55</v>
      </c>
      <c r="K35" s="369">
        <v>45833</v>
      </c>
      <c r="L35" s="370" t="s">
        <v>56</v>
      </c>
      <c r="M35" s="421">
        <v>32940.449999999997</v>
      </c>
      <c r="N35" s="418">
        <v>43258.2</v>
      </c>
      <c r="O35" s="370" t="s">
        <v>56</v>
      </c>
      <c r="P35" s="989" t="s">
        <v>160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159</v>
      </c>
      <c r="J36" s="370" t="s">
        <v>55</v>
      </c>
      <c r="K36" s="369">
        <v>45840</v>
      </c>
      <c r="L36" s="370" t="s">
        <v>56</v>
      </c>
      <c r="M36" s="421">
        <v>23404.75</v>
      </c>
      <c r="N36" s="418">
        <v>18702.400000000001</v>
      </c>
      <c r="O36" s="370" t="s">
        <v>56</v>
      </c>
      <c r="P36" s="996" t="s">
        <v>160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159</v>
      </c>
      <c r="J37" s="370" t="s">
        <v>55</v>
      </c>
      <c r="K37" s="369">
        <v>45887</v>
      </c>
      <c r="L37" s="370" t="s">
        <v>56</v>
      </c>
      <c r="M37" s="421">
        <v>37930</v>
      </c>
      <c r="N37" s="418">
        <v>38208</v>
      </c>
      <c r="O37" s="370" t="s">
        <v>56</v>
      </c>
      <c r="P37" s="989" t="s">
        <v>160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159</v>
      </c>
      <c r="J38" s="52" t="s">
        <v>55</v>
      </c>
      <c r="K38" s="51">
        <v>45762</v>
      </c>
      <c r="L38" s="52" t="s">
        <v>56</v>
      </c>
      <c r="M38" s="418">
        <v>62502</v>
      </c>
      <c r="N38" s="538">
        <v>59129.5</v>
      </c>
      <c r="O38" s="52" t="s">
        <v>56</v>
      </c>
      <c r="P38" s="52" t="s">
        <v>160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159</v>
      </c>
      <c r="J39" s="52" t="s">
        <v>55</v>
      </c>
      <c r="K39" s="51">
        <v>45762</v>
      </c>
      <c r="L39" s="52" t="s">
        <v>56</v>
      </c>
      <c r="M39" s="418">
        <v>70705.5</v>
      </c>
      <c r="N39" s="538">
        <v>67666</v>
      </c>
      <c r="O39" s="52" t="s">
        <v>56</v>
      </c>
      <c r="P39" s="52" t="s">
        <v>160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159</v>
      </c>
      <c r="J40" s="52" t="s">
        <v>55</v>
      </c>
      <c r="K40" s="51">
        <v>45762</v>
      </c>
      <c r="L40" s="52" t="s">
        <v>56</v>
      </c>
      <c r="M40" s="418">
        <v>66004.5</v>
      </c>
      <c r="N40" s="538">
        <v>64943.5</v>
      </c>
      <c r="O40" s="52" t="s">
        <v>56</v>
      </c>
      <c r="P40" s="52" t="s">
        <v>160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159</v>
      </c>
      <c r="J41" s="370" t="s">
        <v>55</v>
      </c>
      <c r="K41" s="369">
        <v>45790</v>
      </c>
      <c r="L41" s="370" t="s">
        <v>56</v>
      </c>
      <c r="M41" s="421">
        <v>57237</v>
      </c>
      <c r="N41" s="552">
        <v>55777</v>
      </c>
      <c r="O41" s="52" t="s">
        <v>56</v>
      </c>
      <c r="P41" s="370" t="s">
        <v>160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160</v>
      </c>
      <c r="J42" s="116" t="s">
        <v>55</v>
      </c>
      <c r="K42" s="498">
        <v>45673</v>
      </c>
      <c r="L42" s="493" t="s">
        <v>56</v>
      </c>
      <c r="M42" s="745">
        <v>24886.5</v>
      </c>
      <c r="N42" s="775">
        <v>7262</v>
      </c>
      <c r="O42" s="493" t="s">
        <v>56</v>
      </c>
      <c r="P42" s="781" t="s">
        <v>160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159</v>
      </c>
      <c r="J43" s="872" t="s">
        <v>55</v>
      </c>
      <c r="K43" s="369">
        <v>45848</v>
      </c>
      <c r="L43" s="370" t="s">
        <v>56</v>
      </c>
      <c r="M43" s="949">
        <v>23436.55</v>
      </c>
      <c r="N43" s="418">
        <v>15484.65</v>
      </c>
      <c r="O43" s="370" t="s">
        <v>56</v>
      </c>
      <c r="P43" s="996" t="s">
        <v>160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159</v>
      </c>
      <c r="J44" s="1097" t="s">
        <v>55</v>
      </c>
      <c r="K44" s="51" t="s">
        <v>339</v>
      </c>
      <c r="L44" s="370" t="s">
        <v>56</v>
      </c>
      <c r="M44" s="421">
        <v>1343</v>
      </c>
      <c r="N44" s="1099">
        <v>2310</v>
      </c>
      <c r="O44" s="370" t="s">
        <v>56</v>
      </c>
      <c r="P44" s="996" t="s">
        <v>160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159</v>
      </c>
      <c r="J45" s="460" t="s">
        <v>55</v>
      </c>
      <c r="K45" s="467">
        <v>45902</v>
      </c>
      <c r="L45" s="460" t="s">
        <v>56</v>
      </c>
      <c r="M45" s="949">
        <v>5604.6</v>
      </c>
      <c r="N45" s="538">
        <v>7746.35</v>
      </c>
      <c r="O45" s="460" t="s">
        <v>56</v>
      </c>
      <c r="P45" s="476" t="s">
        <v>160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159</v>
      </c>
      <c r="J46" s="913" t="s">
        <v>55</v>
      </c>
      <c r="K46" s="900">
        <v>45870</v>
      </c>
      <c r="L46" s="913" t="s">
        <v>56</v>
      </c>
      <c r="M46" s="915">
        <v>49307.5</v>
      </c>
      <c r="N46" s="418">
        <v>47409</v>
      </c>
      <c r="O46" s="913" t="s">
        <v>56</v>
      </c>
      <c r="P46" s="1115" t="s">
        <v>160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159</v>
      </c>
      <c r="J47" s="370" t="s">
        <v>55</v>
      </c>
      <c r="K47" s="369">
        <v>45705</v>
      </c>
      <c r="L47" s="370" t="s">
        <v>56</v>
      </c>
      <c r="M47" s="421">
        <v>88491.8</v>
      </c>
      <c r="N47" s="418">
        <v>85791.25</v>
      </c>
      <c r="O47" s="370" t="s">
        <v>56</v>
      </c>
      <c r="P47" s="370" t="s">
        <v>160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159</v>
      </c>
      <c r="J48" s="913" t="s">
        <v>55</v>
      </c>
      <c r="K48" s="900">
        <v>45870</v>
      </c>
      <c r="L48" s="913" t="s">
        <v>56</v>
      </c>
      <c r="M48" s="915">
        <v>12886.4</v>
      </c>
      <c r="N48" s="1099">
        <v>18418.349999999999</v>
      </c>
      <c r="O48" s="913" t="s">
        <v>56</v>
      </c>
      <c r="P48" s="1116" t="s">
        <v>160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159</v>
      </c>
      <c r="J49" s="760" t="s">
        <v>55</v>
      </c>
      <c r="K49" s="369">
        <v>45882</v>
      </c>
      <c r="L49" s="370" t="s">
        <v>56</v>
      </c>
      <c r="M49" s="421">
        <v>13056.5</v>
      </c>
      <c r="N49" s="620">
        <v>15624.85</v>
      </c>
      <c r="O49" s="370" t="s">
        <v>56</v>
      </c>
      <c r="P49" s="428" t="s">
        <v>160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159</v>
      </c>
      <c r="J50" s="460" t="s">
        <v>55</v>
      </c>
      <c r="K50" s="458">
        <v>45790</v>
      </c>
      <c r="L50" s="460" t="s">
        <v>56</v>
      </c>
      <c r="M50" s="949">
        <v>63283</v>
      </c>
      <c r="N50" s="538">
        <v>84546.7</v>
      </c>
      <c r="O50" s="460" t="s">
        <v>56</v>
      </c>
      <c r="P50" s="754" t="s">
        <v>160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159</v>
      </c>
      <c r="J51" s="1097" t="s">
        <v>55</v>
      </c>
      <c r="K51" s="900">
        <v>45868</v>
      </c>
      <c r="L51" s="913" t="s">
        <v>56</v>
      </c>
      <c r="M51" s="915">
        <v>14179.65</v>
      </c>
      <c r="N51" s="1099">
        <v>15936.8</v>
      </c>
      <c r="O51" s="913" t="s">
        <v>56</v>
      </c>
      <c r="P51" s="1115" t="s">
        <v>160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159</v>
      </c>
      <c r="J52" s="469" t="s">
        <v>55</v>
      </c>
      <c r="K52" s="498">
        <v>45838</v>
      </c>
      <c r="L52" s="974" t="s">
        <v>56</v>
      </c>
      <c r="M52" s="746">
        <v>72566</v>
      </c>
      <c r="N52" s="418">
        <v>9904.1</v>
      </c>
      <c r="O52" s="469" t="s">
        <v>56</v>
      </c>
      <c r="P52" s="754" t="s">
        <v>160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159</v>
      </c>
      <c r="J53" s="1108" t="s">
        <v>55</v>
      </c>
      <c r="K53" s="870">
        <v>45902</v>
      </c>
      <c r="L53" s="872" t="s">
        <v>56</v>
      </c>
      <c r="M53" s="1105">
        <v>3067.9</v>
      </c>
      <c r="N53" s="1099">
        <v>8729.7000000000007</v>
      </c>
      <c r="O53" s="872" t="s">
        <v>56</v>
      </c>
      <c r="P53" s="983" t="s">
        <v>160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159</v>
      </c>
      <c r="J54" s="872" t="s">
        <v>55</v>
      </c>
      <c r="K54" s="369">
        <v>45848</v>
      </c>
      <c r="L54" s="370" t="s">
        <v>56</v>
      </c>
      <c r="M54" s="421">
        <v>1206</v>
      </c>
      <c r="N54" s="418">
        <v>1195</v>
      </c>
      <c r="O54" s="370" t="s">
        <v>56</v>
      </c>
      <c r="P54" s="996" t="s">
        <v>160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159</v>
      </c>
      <c r="J55" s="872" t="s">
        <v>55</v>
      </c>
      <c r="K55" s="870" t="s">
        <v>339</v>
      </c>
      <c r="L55" s="872" t="s">
        <v>56</v>
      </c>
      <c r="M55" s="1105">
        <v>18903.7</v>
      </c>
      <c r="N55" s="418">
        <v>7007.75</v>
      </c>
      <c r="O55" s="872" t="s">
        <v>56</v>
      </c>
      <c r="P55" s="983" t="s">
        <v>160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159</v>
      </c>
      <c r="J56" s="491" t="s">
        <v>55</v>
      </c>
      <c r="K56" s="492" t="s">
        <v>815</v>
      </c>
      <c r="L56" s="491" t="s">
        <v>56</v>
      </c>
      <c r="M56" s="860">
        <v>21888.65</v>
      </c>
      <c r="N56" s="418">
        <v>21950.85</v>
      </c>
      <c r="O56" s="491" t="s">
        <v>56</v>
      </c>
      <c r="P56" s="1036" t="s">
        <v>160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160</v>
      </c>
      <c r="J57" s="52" t="s">
        <v>55</v>
      </c>
      <c r="K57" s="50" t="s">
        <v>160</v>
      </c>
      <c r="L57" s="52" t="s">
        <v>56</v>
      </c>
      <c r="M57" s="418">
        <v>3425.55</v>
      </c>
      <c r="N57" s="538">
        <v>7741.4</v>
      </c>
      <c r="O57" s="52" t="s">
        <v>56</v>
      </c>
      <c r="P57" s="52" t="s">
        <v>160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159</v>
      </c>
      <c r="J58" s="370" t="s">
        <v>55</v>
      </c>
      <c r="K58" s="368" t="s">
        <v>160</v>
      </c>
      <c r="L58" s="370" t="s">
        <v>56</v>
      </c>
      <c r="M58" s="421">
        <v>3707.3</v>
      </c>
      <c r="N58" s="418">
        <v>8209.69</v>
      </c>
      <c r="O58" s="370" t="s">
        <v>56</v>
      </c>
      <c r="P58" s="370" t="s">
        <v>160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160</v>
      </c>
      <c r="L59" s="52" t="s">
        <v>56</v>
      </c>
      <c r="M59" s="418">
        <v>21648.75</v>
      </c>
      <c r="N59" s="538">
        <v>35235</v>
      </c>
      <c r="O59" s="52" t="s">
        <v>56</v>
      </c>
      <c r="P59" s="52" t="s">
        <v>160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159</v>
      </c>
      <c r="J60" s="760" t="s">
        <v>55</v>
      </c>
      <c r="K60" s="492">
        <v>45817</v>
      </c>
      <c r="L60" s="491" t="s">
        <v>56</v>
      </c>
      <c r="M60" s="860">
        <v>75953</v>
      </c>
      <c r="N60" s="920">
        <v>61562</v>
      </c>
      <c r="O60" s="491" t="s">
        <v>56</v>
      </c>
      <c r="P60" s="1235" t="s">
        <v>160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159</v>
      </c>
      <c r="J61" s="52" t="s">
        <v>55</v>
      </c>
      <c r="K61" s="51">
        <v>45716</v>
      </c>
      <c r="L61" s="52" t="s">
        <v>56</v>
      </c>
      <c r="M61" s="418">
        <v>64727</v>
      </c>
      <c r="N61" s="538">
        <v>68203</v>
      </c>
      <c r="O61" s="52" t="s">
        <v>56</v>
      </c>
      <c r="P61" s="370" t="s">
        <v>160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160</v>
      </c>
      <c r="J62" s="52" t="s">
        <v>55</v>
      </c>
      <c r="K62" s="51">
        <v>45728</v>
      </c>
      <c r="L62" s="52" t="s">
        <v>56</v>
      </c>
      <c r="M62" s="418">
        <v>88033.5</v>
      </c>
      <c r="N62" s="538">
        <v>88045.5</v>
      </c>
      <c r="O62" s="52" t="s">
        <v>56</v>
      </c>
      <c r="P62" s="52" t="s">
        <v>160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160</v>
      </c>
      <c r="J63" s="52" t="s">
        <v>55</v>
      </c>
      <c r="K63" s="51">
        <v>45728</v>
      </c>
      <c r="L63" s="52" t="s">
        <v>56</v>
      </c>
      <c r="M63" s="418">
        <v>82979.5</v>
      </c>
      <c r="N63" s="538">
        <v>78032</v>
      </c>
      <c r="O63" s="52" t="s">
        <v>56</v>
      </c>
      <c r="P63" s="370" t="s">
        <v>160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159</v>
      </c>
      <c r="J64" s="469" t="s">
        <v>55</v>
      </c>
      <c r="K64" s="467">
        <v>45728</v>
      </c>
      <c r="L64" s="469" t="s">
        <v>56</v>
      </c>
      <c r="M64" s="746">
        <v>60843.5</v>
      </c>
      <c r="N64" s="538">
        <v>59355.5</v>
      </c>
      <c r="O64" s="469" t="s">
        <v>56</v>
      </c>
      <c r="P64" s="754" t="s">
        <v>160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160</v>
      </c>
      <c r="J65" s="52" t="s">
        <v>55</v>
      </c>
      <c r="K65" s="51">
        <v>45716</v>
      </c>
      <c r="L65" s="52" t="s">
        <v>56</v>
      </c>
      <c r="M65" s="418">
        <v>74446</v>
      </c>
      <c r="N65" s="552">
        <v>73894</v>
      </c>
      <c r="O65" s="52" t="s">
        <v>56</v>
      </c>
      <c r="P65" s="370" t="s">
        <v>160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160</v>
      </c>
      <c r="J66" s="52" t="s">
        <v>55</v>
      </c>
      <c r="K66" s="595">
        <v>45716</v>
      </c>
      <c r="L66" s="52" t="s">
        <v>56</v>
      </c>
      <c r="M66" s="651">
        <v>84935.5</v>
      </c>
      <c r="N66" s="553">
        <v>81445</v>
      </c>
      <c r="O66" s="52" t="s">
        <v>56</v>
      </c>
      <c r="P66" s="370" t="s">
        <v>160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159</v>
      </c>
      <c r="J67" s="493" t="s">
        <v>55</v>
      </c>
      <c r="K67" s="500">
        <v>45714</v>
      </c>
      <c r="L67" s="493" t="s">
        <v>56</v>
      </c>
      <c r="M67" s="1337">
        <v>94170.5</v>
      </c>
      <c r="N67" s="1336">
        <v>90860.5</v>
      </c>
      <c r="O67" s="493" t="s">
        <v>56</v>
      </c>
      <c r="P67" s="1036" t="s">
        <v>160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159</v>
      </c>
      <c r="J68" s="637" t="s">
        <v>55</v>
      </c>
      <c r="K68" s="635">
        <v>45692</v>
      </c>
      <c r="L68" s="637" t="s">
        <v>56</v>
      </c>
      <c r="M68" s="640">
        <v>90302</v>
      </c>
      <c r="N68" s="418">
        <v>98764.5</v>
      </c>
      <c r="O68" s="637" t="s">
        <v>56</v>
      </c>
      <c r="P68" s="370" t="s">
        <v>160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159</v>
      </c>
      <c r="J69" s="493" t="s">
        <v>55</v>
      </c>
      <c r="K69" s="500">
        <v>45695</v>
      </c>
      <c r="L69" s="493" t="s">
        <v>56</v>
      </c>
      <c r="M69" s="1333">
        <v>89698.5</v>
      </c>
      <c r="N69" s="538">
        <v>86876.5</v>
      </c>
      <c r="O69" s="493" t="s">
        <v>56</v>
      </c>
      <c r="P69" s="1036" t="s">
        <v>160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159</v>
      </c>
      <c r="J70" s="374" t="s">
        <v>55</v>
      </c>
      <c r="K70" s="375">
        <v>45698</v>
      </c>
      <c r="L70" s="374" t="s">
        <v>56</v>
      </c>
      <c r="M70" s="621">
        <v>71361</v>
      </c>
      <c r="N70" s="538">
        <v>72125</v>
      </c>
      <c r="O70" s="374" t="s">
        <v>56</v>
      </c>
      <c r="P70" s="52" t="s">
        <v>160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159</v>
      </c>
      <c r="J71" s="796" t="s">
        <v>55</v>
      </c>
      <c r="K71" s="794">
        <v>45686</v>
      </c>
      <c r="L71" s="796" t="s">
        <v>56</v>
      </c>
      <c r="M71" s="1335">
        <v>61924</v>
      </c>
      <c r="N71" s="538">
        <v>61494</v>
      </c>
      <c r="O71" s="796" t="s">
        <v>56</v>
      </c>
      <c r="P71" s="754" t="s">
        <v>160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159</v>
      </c>
      <c r="J72" s="374" t="s">
        <v>55</v>
      </c>
      <c r="K72" s="375">
        <v>45700</v>
      </c>
      <c r="L72" s="374" t="s">
        <v>56</v>
      </c>
      <c r="M72" s="621">
        <v>76139.5</v>
      </c>
      <c r="N72" s="552">
        <v>79581.5</v>
      </c>
      <c r="O72" s="374" t="s">
        <v>56</v>
      </c>
      <c r="P72" s="370" t="s">
        <v>160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159</v>
      </c>
      <c r="J73" s="374" t="s">
        <v>55</v>
      </c>
      <c r="K73" s="375">
        <v>45699</v>
      </c>
      <c r="L73" s="374" t="s">
        <v>56</v>
      </c>
      <c r="M73" s="621">
        <v>73583.5</v>
      </c>
      <c r="N73" s="538">
        <v>84066</v>
      </c>
      <c r="O73" s="738" t="s">
        <v>56</v>
      </c>
      <c r="P73" s="370" t="s">
        <v>160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159</v>
      </c>
      <c r="J74" s="796" t="s">
        <v>55</v>
      </c>
      <c r="K74" s="794">
        <v>45698</v>
      </c>
      <c r="L74" s="796" t="s">
        <v>56</v>
      </c>
      <c r="M74" s="1335">
        <v>63402.5</v>
      </c>
      <c r="N74" s="538">
        <v>62670.5</v>
      </c>
      <c r="O74" s="796" t="s">
        <v>56</v>
      </c>
      <c r="P74" s="754" t="s">
        <v>160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160</v>
      </c>
      <c r="L75" s="374" t="s">
        <v>56</v>
      </c>
      <c r="M75" s="621">
        <v>51958</v>
      </c>
      <c r="N75" s="538">
        <v>20330.259999999998</v>
      </c>
      <c r="O75" s="374" t="s">
        <v>56</v>
      </c>
      <c r="P75" s="52" t="s">
        <v>160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160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165</v>
      </c>
      <c r="G77" s="636" t="s">
        <v>876</v>
      </c>
      <c r="H77" s="52">
        <v>86</v>
      </c>
      <c r="I77" s="637" t="s">
        <v>654</v>
      </c>
      <c r="J77" s="52" t="s">
        <v>55</v>
      </c>
      <c r="K77" s="368" t="s">
        <v>160</v>
      </c>
      <c r="L77" s="637" t="s">
        <v>56</v>
      </c>
      <c r="M77" s="418">
        <v>82480.5</v>
      </c>
      <c r="N77" s="418">
        <v>77870.5</v>
      </c>
      <c r="O77" s="637" t="s">
        <v>56</v>
      </c>
      <c r="P77" s="370" t="s">
        <v>160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160</v>
      </c>
      <c r="L78" s="873" t="s">
        <v>56</v>
      </c>
      <c r="M78" s="421">
        <v>43130</v>
      </c>
      <c r="N78" s="418">
        <v>43560</v>
      </c>
      <c r="O78" s="644" t="s">
        <v>56</v>
      </c>
      <c r="P78" s="996" t="s">
        <v>160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160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159</v>
      </c>
      <c r="J80" s="370" t="s">
        <v>55</v>
      </c>
      <c r="K80" s="51">
        <v>45741</v>
      </c>
      <c r="L80" s="370" t="s">
        <v>56</v>
      </c>
      <c r="M80" s="418">
        <v>74508.5</v>
      </c>
      <c r="N80" s="538">
        <v>75008.5</v>
      </c>
      <c r="O80" s="370" t="s">
        <v>56</v>
      </c>
      <c r="P80" s="370" t="s">
        <v>160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165</v>
      </c>
      <c r="G81" s="373" t="s">
        <v>890</v>
      </c>
      <c r="H81" s="52">
        <v>88</v>
      </c>
      <c r="I81" s="374" t="s">
        <v>159</v>
      </c>
      <c r="J81" s="52" t="s">
        <v>55</v>
      </c>
      <c r="K81" s="51">
        <v>45741</v>
      </c>
      <c r="L81" s="52" t="s">
        <v>56</v>
      </c>
      <c r="M81" s="418">
        <v>73070.5</v>
      </c>
      <c r="N81" s="538">
        <v>72678</v>
      </c>
      <c r="O81" s="52" t="s">
        <v>56</v>
      </c>
      <c r="P81" s="52" t="s">
        <v>160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159</v>
      </c>
      <c r="J82" s="872" t="s">
        <v>55</v>
      </c>
      <c r="K82" s="936">
        <v>45741</v>
      </c>
      <c r="L82" s="872" t="s">
        <v>56</v>
      </c>
      <c r="M82" s="418">
        <v>49071</v>
      </c>
      <c r="N82" s="418">
        <v>51376.61</v>
      </c>
      <c r="O82" s="370" t="s">
        <v>56</v>
      </c>
      <c r="P82" s="996" t="s">
        <v>160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165</v>
      </c>
      <c r="G83" s="636" t="s">
        <v>895</v>
      </c>
      <c r="H83" s="52">
        <v>73</v>
      </c>
      <c r="I83" s="644" t="s">
        <v>654</v>
      </c>
      <c r="J83" s="52" t="s">
        <v>55</v>
      </c>
      <c r="K83" s="51">
        <v>45698</v>
      </c>
      <c r="L83" s="637" t="s">
        <v>56</v>
      </c>
      <c r="M83" s="418">
        <v>60575.5</v>
      </c>
      <c r="N83" s="538">
        <v>59352</v>
      </c>
      <c r="O83" s="637" t="s">
        <v>56</v>
      </c>
      <c r="P83" s="370" t="s">
        <v>160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165</v>
      </c>
      <c r="G84" s="556" t="s">
        <v>898</v>
      </c>
      <c r="H84" s="52">
        <v>65</v>
      </c>
      <c r="I84" s="374" t="s">
        <v>654</v>
      </c>
      <c r="J84" s="52" t="s">
        <v>55</v>
      </c>
      <c r="K84" s="51">
        <v>45698</v>
      </c>
      <c r="L84" s="374" t="s">
        <v>56</v>
      </c>
      <c r="M84" s="418">
        <v>65001</v>
      </c>
      <c r="N84" s="553">
        <v>68269</v>
      </c>
      <c r="O84" s="374" t="s">
        <v>56</v>
      </c>
      <c r="P84" s="370" t="s">
        <v>160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159</v>
      </c>
      <c r="J85" s="370" t="s">
        <v>55</v>
      </c>
      <c r="K85" s="51">
        <v>45741</v>
      </c>
      <c r="L85" s="370" t="s">
        <v>56</v>
      </c>
      <c r="M85" s="418">
        <v>62104</v>
      </c>
      <c r="N85" s="553">
        <v>64186</v>
      </c>
      <c r="O85" s="370" t="s">
        <v>56</v>
      </c>
      <c r="P85" s="370" t="s">
        <v>160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159</v>
      </c>
      <c r="J86" s="370" t="s">
        <v>55</v>
      </c>
      <c r="K86" s="51">
        <v>45741</v>
      </c>
      <c r="L86" s="370" t="s">
        <v>56</v>
      </c>
      <c r="M86" s="418">
        <v>63756.5</v>
      </c>
      <c r="N86" s="553">
        <v>64902.5</v>
      </c>
      <c r="O86" s="370" t="s">
        <v>56</v>
      </c>
      <c r="P86" s="370" t="s">
        <v>160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159</v>
      </c>
      <c r="J87" s="52" t="s">
        <v>55</v>
      </c>
      <c r="K87" s="51">
        <v>45741</v>
      </c>
      <c r="L87" s="52" t="s">
        <v>56</v>
      </c>
      <c r="M87" s="418">
        <v>67840.5</v>
      </c>
      <c r="N87" s="538">
        <v>66607.5</v>
      </c>
      <c r="O87" s="52" t="s">
        <v>56</v>
      </c>
      <c r="P87" s="52" t="s">
        <v>160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165</v>
      </c>
      <c r="G88" s="373" t="s">
        <v>906</v>
      </c>
      <c r="H88" s="52">
        <v>69</v>
      </c>
      <c r="I88" s="52" t="s">
        <v>159</v>
      </c>
      <c r="J88" s="52" t="s">
        <v>55</v>
      </c>
      <c r="K88" s="51">
        <v>45757</v>
      </c>
      <c r="L88" s="52" t="s">
        <v>56</v>
      </c>
      <c r="M88" s="418">
        <v>53906.75</v>
      </c>
      <c r="N88" s="538">
        <v>54578.5</v>
      </c>
      <c r="O88" s="52" t="s">
        <v>56</v>
      </c>
      <c r="P88" s="52" t="s">
        <v>160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159</v>
      </c>
      <c r="J89" s="370" t="s">
        <v>55</v>
      </c>
      <c r="K89" s="369">
        <v>45757</v>
      </c>
      <c r="L89" s="370" t="s">
        <v>56</v>
      </c>
      <c r="M89" s="421">
        <v>47432.5</v>
      </c>
      <c r="N89" s="538">
        <v>54385.09</v>
      </c>
      <c r="O89" s="370" t="s">
        <v>56</v>
      </c>
      <c r="P89" s="370" t="s">
        <v>160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160</v>
      </c>
      <c r="J90" s="52" t="s">
        <v>55</v>
      </c>
      <c r="K90" s="51">
        <v>45757</v>
      </c>
      <c r="L90" s="52" t="s">
        <v>56</v>
      </c>
      <c r="M90" s="418">
        <v>62383</v>
      </c>
      <c r="N90" s="538">
        <v>61939</v>
      </c>
      <c r="O90" s="52" t="s">
        <v>56</v>
      </c>
      <c r="P90" s="52" t="s">
        <v>160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160</v>
      </c>
      <c r="J91" s="370" t="s">
        <v>55</v>
      </c>
      <c r="K91" s="369">
        <v>45757</v>
      </c>
      <c r="L91" s="370" t="s">
        <v>56</v>
      </c>
      <c r="M91" s="421">
        <v>80443.5</v>
      </c>
      <c r="N91" s="538">
        <v>81941</v>
      </c>
      <c r="O91" s="370" t="s">
        <v>56</v>
      </c>
      <c r="P91" s="370" t="s">
        <v>160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159</v>
      </c>
      <c r="J92" s="370" t="s">
        <v>55</v>
      </c>
      <c r="K92" s="369">
        <v>45757</v>
      </c>
      <c r="L92" s="370" t="s">
        <v>56</v>
      </c>
      <c r="M92" s="421">
        <v>68736.5</v>
      </c>
      <c r="N92" s="538">
        <v>68249</v>
      </c>
      <c r="O92" s="370" t="s">
        <v>56</v>
      </c>
      <c r="P92" s="370" t="s">
        <v>160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159</v>
      </c>
      <c r="J93" s="370" t="s">
        <v>55</v>
      </c>
      <c r="K93" s="51">
        <v>45741</v>
      </c>
      <c r="L93" s="370" t="s">
        <v>56</v>
      </c>
      <c r="M93" s="418">
        <v>73491.5</v>
      </c>
      <c r="N93" s="552">
        <v>202651</v>
      </c>
      <c r="O93" s="370" t="s">
        <v>56</v>
      </c>
      <c r="P93" s="370" t="s">
        <v>160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159</v>
      </c>
      <c r="J94" s="370" t="s">
        <v>55</v>
      </c>
      <c r="K94" s="369">
        <v>45757</v>
      </c>
      <c r="L94" s="387" t="s">
        <v>56</v>
      </c>
      <c r="M94" s="421">
        <v>78331</v>
      </c>
      <c r="N94" s="418">
        <v>82072.25</v>
      </c>
      <c r="O94" s="370" t="s">
        <v>56</v>
      </c>
      <c r="P94" s="428" t="s">
        <v>160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159</v>
      </c>
      <c r="J95" s="370" t="s">
        <v>55</v>
      </c>
      <c r="K95" s="51">
        <v>45741</v>
      </c>
      <c r="L95" s="370" t="s">
        <v>56</v>
      </c>
      <c r="M95" s="418">
        <v>74961</v>
      </c>
      <c r="N95" s="418">
        <v>77123</v>
      </c>
      <c r="O95" s="370" t="s">
        <v>56</v>
      </c>
      <c r="P95" s="370" t="s">
        <v>160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159</v>
      </c>
      <c r="J96" s="370" t="s">
        <v>55</v>
      </c>
      <c r="K96" s="51">
        <v>45741</v>
      </c>
      <c r="L96" s="370" t="s">
        <v>56</v>
      </c>
      <c r="M96" s="418">
        <v>70235</v>
      </c>
      <c r="N96" s="552">
        <v>134171.5</v>
      </c>
      <c r="O96" s="370" t="s">
        <v>56</v>
      </c>
      <c r="P96" s="370" t="s">
        <v>160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160</v>
      </c>
      <c r="L97" s="637" t="s">
        <v>56</v>
      </c>
      <c r="M97" s="418">
        <v>60625.5</v>
      </c>
      <c r="N97" s="538">
        <v>59084</v>
      </c>
      <c r="O97" s="637" t="s">
        <v>56</v>
      </c>
      <c r="P97" s="52" t="s">
        <v>160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159</v>
      </c>
      <c r="J98" s="52" t="s">
        <v>55</v>
      </c>
      <c r="K98" s="51">
        <v>45721</v>
      </c>
      <c r="L98" s="52" t="s">
        <v>56</v>
      </c>
      <c r="M98" s="575">
        <v>79507</v>
      </c>
      <c r="N98" s="538">
        <v>86709.5</v>
      </c>
      <c r="O98" s="52" t="s">
        <v>56</v>
      </c>
      <c r="P98" s="52" t="s">
        <v>160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160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159</v>
      </c>
      <c r="J100" s="52" t="s">
        <v>55</v>
      </c>
      <c r="K100" s="51">
        <v>45716</v>
      </c>
      <c r="L100" s="52" t="s">
        <v>56</v>
      </c>
      <c r="M100" s="418">
        <v>64609</v>
      </c>
      <c r="N100" s="552">
        <v>76965</v>
      </c>
      <c r="O100" s="52" t="s">
        <v>56</v>
      </c>
      <c r="P100" s="370" t="s">
        <v>160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165</v>
      </c>
      <c r="G101" s="376" t="s">
        <v>938</v>
      </c>
      <c r="H101" s="52">
        <v>64</v>
      </c>
      <c r="I101" s="374" t="s">
        <v>159</v>
      </c>
      <c r="J101" s="52" t="s">
        <v>55</v>
      </c>
      <c r="K101" s="51">
        <v>45701</v>
      </c>
      <c r="L101" s="374" t="s">
        <v>56</v>
      </c>
      <c r="M101" s="418">
        <v>48609</v>
      </c>
      <c r="N101" s="538">
        <v>48682.5</v>
      </c>
      <c r="O101" s="738" t="s">
        <v>56</v>
      </c>
      <c r="P101" s="370" t="s">
        <v>160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159</v>
      </c>
      <c r="J102" s="52" t="s">
        <v>55</v>
      </c>
      <c r="K102" s="51">
        <v>45698</v>
      </c>
      <c r="L102" s="637" t="s">
        <v>56</v>
      </c>
      <c r="M102" s="418">
        <v>52222</v>
      </c>
      <c r="N102" s="538">
        <v>51838</v>
      </c>
      <c r="O102" s="637" t="s">
        <v>56</v>
      </c>
      <c r="P102" s="52" t="s">
        <v>160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159</v>
      </c>
      <c r="J103" s="52" t="s">
        <v>55</v>
      </c>
      <c r="K103" s="51">
        <v>45698</v>
      </c>
      <c r="L103" s="1121" t="s">
        <v>56</v>
      </c>
      <c r="M103" s="418">
        <v>67892.5</v>
      </c>
      <c r="N103" s="418">
        <v>65771.429999999993</v>
      </c>
      <c r="O103" s="637" t="s">
        <v>56</v>
      </c>
      <c r="P103" s="349" t="s">
        <v>160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160</v>
      </c>
      <c r="J104" s="52" t="s">
        <v>55</v>
      </c>
      <c r="K104" s="51">
        <v>45716</v>
      </c>
      <c r="L104" s="52" t="s">
        <v>56</v>
      </c>
      <c r="M104" s="575">
        <v>67463</v>
      </c>
      <c r="N104" s="538">
        <v>69992</v>
      </c>
      <c r="O104" s="52" t="s">
        <v>56</v>
      </c>
      <c r="P104" s="52" t="s">
        <v>160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160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165</v>
      </c>
      <c r="G106" s="763" t="s">
        <v>951</v>
      </c>
      <c r="H106" s="744">
        <v>85</v>
      </c>
      <c r="I106" s="750" t="s">
        <v>159</v>
      </c>
      <c r="J106" s="744" t="s">
        <v>55</v>
      </c>
      <c r="K106" s="57">
        <v>45707</v>
      </c>
      <c r="L106" s="744" t="s">
        <v>56</v>
      </c>
      <c r="M106" s="418" t="s">
        <v>952</v>
      </c>
      <c r="N106" s="553">
        <v>67080</v>
      </c>
      <c r="O106" s="52" t="s">
        <v>56</v>
      </c>
      <c r="P106" s="996" t="s">
        <v>160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159</v>
      </c>
      <c r="J107" s="760" t="s">
        <v>55</v>
      </c>
      <c r="K107" s="57">
        <v>45741</v>
      </c>
      <c r="L107" s="760" t="s">
        <v>56</v>
      </c>
      <c r="M107" s="418">
        <v>79069.5</v>
      </c>
      <c r="N107" s="552">
        <v>73300</v>
      </c>
      <c r="O107" s="370" t="s">
        <v>56</v>
      </c>
      <c r="P107" s="428" t="s">
        <v>160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159</v>
      </c>
      <c r="J108" s="760" t="s">
        <v>55</v>
      </c>
      <c r="K108" s="57">
        <v>45741</v>
      </c>
      <c r="L108" s="760" t="s">
        <v>56</v>
      </c>
      <c r="M108" s="418">
        <v>16398</v>
      </c>
      <c r="N108" s="538">
        <v>15664</v>
      </c>
      <c r="O108" s="370" t="s">
        <v>56</v>
      </c>
      <c r="P108" s="989" t="s">
        <v>160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159</v>
      </c>
      <c r="J109" s="760" t="s">
        <v>55</v>
      </c>
      <c r="K109" s="485">
        <v>45741</v>
      </c>
      <c r="L109" s="491" t="s">
        <v>56</v>
      </c>
      <c r="M109" s="745">
        <v>75396.5</v>
      </c>
      <c r="N109" s="620">
        <v>75756.5</v>
      </c>
      <c r="O109" s="491" t="s">
        <v>56</v>
      </c>
      <c r="P109" s="1235" t="s">
        <v>160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165</v>
      </c>
      <c r="G110" s="795" t="s">
        <v>961</v>
      </c>
      <c r="H110" s="469">
        <v>90</v>
      </c>
      <c r="I110" s="638" t="s">
        <v>159</v>
      </c>
      <c r="J110" s="469" t="s">
        <v>55</v>
      </c>
      <c r="K110" s="467">
        <v>45698</v>
      </c>
      <c r="L110" s="796" t="s">
        <v>56</v>
      </c>
      <c r="M110" s="746">
        <v>68216.5</v>
      </c>
      <c r="N110" s="620">
        <v>65624.5</v>
      </c>
      <c r="O110" s="796" t="s">
        <v>56</v>
      </c>
      <c r="P110" s="983" t="s">
        <v>160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165</v>
      </c>
      <c r="G111" s="763" t="s">
        <v>964</v>
      </c>
      <c r="H111" s="744">
        <v>78</v>
      </c>
      <c r="I111" s="759" t="s">
        <v>160</v>
      </c>
      <c r="J111" s="744" t="s">
        <v>55</v>
      </c>
      <c r="K111" s="57">
        <v>45708</v>
      </c>
      <c r="L111" s="744" t="s">
        <v>56</v>
      </c>
      <c r="M111" s="620">
        <v>56854</v>
      </c>
      <c r="N111" s="775">
        <v>62254</v>
      </c>
      <c r="O111" s="744" t="s">
        <v>56</v>
      </c>
      <c r="P111" s="744" t="s">
        <v>160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165</v>
      </c>
      <c r="G112" s="987" t="s">
        <v>966</v>
      </c>
      <c r="H112" s="76">
        <v>87</v>
      </c>
      <c r="I112" s="103" t="s">
        <v>160</v>
      </c>
      <c r="J112" s="76" t="s">
        <v>55</v>
      </c>
      <c r="K112" s="77">
        <v>45708</v>
      </c>
      <c r="L112" s="103" t="s">
        <v>56</v>
      </c>
      <c r="M112" s="779">
        <v>73639</v>
      </c>
      <c r="N112" s="995">
        <v>73025</v>
      </c>
      <c r="O112" s="103" t="s">
        <v>56</v>
      </c>
      <c r="P112" s="105" t="s">
        <v>160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160</v>
      </c>
      <c r="J113" s="76" t="s">
        <v>55</v>
      </c>
      <c r="K113" s="77">
        <v>45698</v>
      </c>
      <c r="L113" s="103" t="s">
        <v>56</v>
      </c>
      <c r="M113" s="779">
        <v>54861</v>
      </c>
      <c r="N113" s="780">
        <v>55197</v>
      </c>
      <c r="O113" s="103" t="s">
        <v>56</v>
      </c>
      <c r="P113" s="76" t="s">
        <v>160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160</v>
      </c>
      <c r="J114" s="469" t="s">
        <v>55</v>
      </c>
      <c r="K114" s="467">
        <v>45699</v>
      </c>
      <c r="L114" s="474" t="s">
        <v>56</v>
      </c>
      <c r="M114" s="746">
        <v>72566</v>
      </c>
      <c r="N114" s="418">
        <v>83382</v>
      </c>
      <c r="O114" s="474" t="s">
        <v>56</v>
      </c>
      <c r="P114" s="754" t="s">
        <v>160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159</v>
      </c>
      <c r="J115" s="744" t="s">
        <v>55</v>
      </c>
      <c r="K115" s="57">
        <v>45735</v>
      </c>
      <c r="L115" s="744" t="s">
        <v>56</v>
      </c>
      <c r="M115" s="620">
        <v>41285</v>
      </c>
      <c r="N115" s="775">
        <v>40484</v>
      </c>
      <c r="O115" s="744" t="s">
        <v>56</v>
      </c>
      <c r="P115" s="760" t="s">
        <v>160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160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160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160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339</v>
      </c>
      <c r="F119" s="741" t="s">
        <v>983</v>
      </c>
      <c r="G119" s="772" t="s">
        <v>984</v>
      </c>
      <c r="H119" s="750">
        <v>0</v>
      </c>
      <c r="I119" s="750" t="s">
        <v>159</v>
      </c>
      <c r="J119" s="750" t="s">
        <v>55</v>
      </c>
      <c r="K119" s="858" t="s">
        <v>160</v>
      </c>
      <c r="L119" s="750" t="s">
        <v>56</v>
      </c>
      <c r="M119" s="856">
        <v>289634.75</v>
      </c>
      <c r="N119" s="775">
        <v>296306.83</v>
      </c>
      <c r="O119" s="857" t="s">
        <v>56</v>
      </c>
      <c r="P119" s="760" t="s">
        <v>160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159</v>
      </c>
      <c r="J120" s="744" t="s">
        <v>55</v>
      </c>
      <c r="K120" s="467">
        <v>45741</v>
      </c>
      <c r="L120" s="460" t="s">
        <v>56</v>
      </c>
      <c r="M120" s="746">
        <v>47849</v>
      </c>
      <c r="N120" s="620">
        <v>51778</v>
      </c>
      <c r="O120" s="460" t="s">
        <v>56</v>
      </c>
      <c r="P120" s="754" t="s">
        <v>160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159</v>
      </c>
      <c r="J121" s="744" t="s">
        <v>55</v>
      </c>
      <c r="K121" s="467" t="s">
        <v>339</v>
      </c>
      <c r="L121" s="796" t="s">
        <v>56</v>
      </c>
      <c r="M121" s="746">
        <v>1594</v>
      </c>
      <c r="N121" s="620">
        <v>1187.5</v>
      </c>
      <c r="O121" s="796" t="s">
        <v>56</v>
      </c>
      <c r="P121" s="754" t="s">
        <v>160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159</v>
      </c>
      <c r="J122" s="52" t="s">
        <v>55</v>
      </c>
      <c r="K122" s="51" t="s">
        <v>339</v>
      </c>
      <c r="L122" s="469" t="s">
        <v>56</v>
      </c>
      <c r="M122" s="1327">
        <v>170</v>
      </c>
      <c r="N122" s="418">
        <v>588.79999999999995</v>
      </c>
      <c r="O122" s="469" t="s">
        <v>56</v>
      </c>
      <c r="P122" s="1371" t="s">
        <v>160</v>
      </c>
      <c r="Q122" s="462" t="s">
        <v>339</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159</v>
      </c>
      <c r="J123" s="52" t="s">
        <v>55</v>
      </c>
      <c r="K123" s="51" t="s">
        <v>339</v>
      </c>
      <c r="L123" s="52" t="s">
        <v>56</v>
      </c>
      <c r="M123" s="1349">
        <v>26696</v>
      </c>
      <c r="N123" s="418">
        <v>499.4</v>
      </c>
      <c r="O123" s="52" t="s">
        <v>56</v>
      </c>
      <c r="P123" s="370" t="s">
        <v>160</v>
      </c>
      <c r="Q123" s="193" t="s">
        <v>339</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159</v>
      </c>
      <c r="J124" s="469" t="s">
        <v>55</v>
      </c>
      <c r="K124" s="467" t="s">
        <v>339</v>
      </c>
      <c r="L124" s="469" t="s">
        <v>56</v>
      </c>
      <c r="M124" s="1327">
        <v>170</v>
      </c>
      <c r="N124" s="418">
        <v>948</v>
      </c>
      <c r="O124" s="469" t="s">
        <v>56</v>
      </c>
      <c r="P124" s="1372" t="s">
        <v>160</v>
      </c>
      <c r="Q124" s="124" t="s">
        <v>339</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321</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164</v>
      </c>
      <c r="C131" s="51">
        <v>45711</v>
      </c>
      <c r="D131" s="50" t="s">
        <v>115</v>
      </c>
      <c r="E131" s="51">
        <v>45707</v>
      </c>
      <c r="F131" s="50" t="s">
        <v>1002</v>
      </c>
      <c r="G131" s="373" t="s">
        <v>1003</v>
      </c>
      <c r="H131" s="52">
        <v>0</v>
      </c>
      <c r="I131" s="374" t="s">
        <v>159</v>
      </c>
      <c r="J131" s="52" t="s">
        <v>55</v>
      </c>
      <c r="K131" s="51">
        <v>45701</v>
      </c>
      <c r="L131" s="52" t="s">
        <v>56</v>
      </c>
      <c r="M131" s="418">
        <v>111163</v>
      </c>
      <c r="N131" s="712"/>
      <c r="O131" s="52" t="s">
        <v>56</v>
      </c>
      <c r="P131" s="570" t="s">
        <v>160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164</v>
      </c>
      <c r="C132" s="458">
        <v>45960</v>
      </c>
      <c r="D132" s="466" t="s">
        <v>204</v>
      </c>
      <c r="E132" s="467">
        <v>45944</v>
      </c>
      <c r="F132" s="466" t="s">
        <v>205</v>
      </c>
      <c r="G132" s="792"/>
      <c r="H132" s="469">
        <v>0</v>
      </c>
      <c r="I132" s="796" t="s">
        <v>159</v>
      </c>
      <c r="J132" s="469" t="s">
        <v>55</v>
      </c>
      <c r="K132" s="467" t="s">
        <v>339</v>
      </c>
      <c r="L132" s="469" t="s">
        <v>56</v>
      </c>
      <c r="M132" s="530">
        <v>50539.6</v>
      </c>
      <c r="N132" s="712"/>
      <c r="O132" s="469" t="s">
        <v>56</v>
      </c>
      <c r="P132" s="722" t="s">
        <v>160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159</v>
      </c>
      <c r="J133" s="370" t="s">
        <v>68</v>
      </c>
      <c r="K133" s="369">
        <v>45874</v>
      </c>
      <c r="L133" s="370" t="s">
        <v>56</v>
      </c>
      <c r="M133" s="421">
        <v>11894.25</v>
      </c>
      <c r="N133" s="96"/>
      <c r="O133" s="370" t="s">
        <v>56</v>
      </c>
      <c r="P133" s="571" t="s">
        <v>160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159</v>
      </c>
      <c r="J134" s="460" t="s">
        <v>55</v>
      </c>
      <c r="K134" s="458">
        <v>45786</v>
      </c>
      <c r="L134" s="460" t="s">
        <v>56</v>
      </c>
      <c r="M134" s="949">
        <v>133172.15</v>
      </c>
      <c r="N134" s="712"/>
      <c r="O134" s="460" t="s">
        <v>56</v>
      </c>
      <c r="P134" s="722" t="s">
        <v>160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159</v>
      </c>
      <c r="J135" s="52" t="s">
        <v>55</v>
      </c>
      <c r="K135" s="51">
        <v>45918</v>
      </c>
      <c r="L135" s="370" t="s">
        <v>56</v>
      </c>
      <c r="M135" s="421">
        <v>10840.25</v>
      </c>
      <c r="N135" s="712"/>
      <c r="O135" s="370" t="s">
        <v>56</v>
      </c>
      <c r="P135" s="716" t="s">
        <v>160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159</v>
      </c>
      <c r="J136" s="52" t="s">
        <v>55</v>
      </c>
      <c r="K136" s="369">
        <v>45853</v>
      </c>
      <c r="L136" s="374" t="s">
        <v>56</v>
      </c>
      <c r="M136" s="421">
        <v>60849.9</v>
      </c>
      <c r="N136" s="96"/>
      <c r="O136" s="374" t="s">
        <v>56</v>
      </c>
      <c r="P136" s="716" t="s">
        <v>160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159</v>
      </c>
      <c r="J137" s="460" t="s">
        <v>55</v>
      </c>
      <c r="K137" s="458">
        <v>45793</v>
      </c>
      <c r="L137" s="460" t="s">
        <v>56</v>
      </c>
      <c r="M137" s="949">
        <v>53589.8</v>
      </c>
      <c r="N137" s="96"/>
      <c r="O137" s="460" t="s">
        <v>56</v>
      </c>
      <c r="P137" s="722" t="s">
        <v>160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159</v>
      </c>
      <c r="J138" s="52" t="s">
        <v>55</v>
      </c>
      <c r="K138" s="369">
        <v>45884</v>
      </c>
      <c r="L138" s="370" t="s">
        <v>56</v>
      </c>
      <c r="M138" s="421">
        <v>67441</v>
      </c>
      <c r="N138" s="96"/>
      <c r="O138" s="370" t="s">
        <v>56</v>
      </c>
      <c r="P138" s="716" t="s">
        <v>160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159</v>
      </c>
      <c r="J139" s="370" t="s">
        <v>55</v>
      </c>
      <c r="K139" s="369">
        <v>45797</v>
      </c>
      <c r="L139" s="370" t="s">
        <v>56</v>
      </c>
      <c r="M139" s="421">
        <v>43097.65</v>
      </c>
      <c r="N139" s="712"/>
      <c r="O139" s="370" t="s">
        <v>56</v>
      </c>
      <c r="P139" s="716" t="s">
        <v>160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159</v>
      </c>
      <c r="J140" s="469" t="s">
        <v>55</v>
      </c>
      <c r="K140" s="458">
        <v>45880</v>
      </c>
      <c r="L140" s="460" t="s">
        <v>56</v>
      </c>
      <c r="M140" s="949">
        <v>56807.95</v>
      </c>
      <c r="N140" s="712"/>
      <c r="O140" s="460" t="s">
        <v>56</v>
      </c>
      <c r="P140" s="722" t="s">
        <v>160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159</v>
      </c>
      <c r="J141" s="370" t="s">
        <v>55</v>
      </c>
      <c r="K141" s="369">
        <v>45882</v>
      </c>
      <c r="L141" s="370" t="s">
        <v>56</v>
      </c>
      <c r="M141" s="421">
        <v>59869.5</v>
      </c>
      <c r="N141" s="712"/>
      <c r="O141" s="370" t="s">
        <v>56</v>
      </c>
      <c r="P141" s="571" t="s">
        <v>160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159</v>
      </c>
      <c r="J142" s="370" t="s">
        <v>55</v>
      </c>
      <c r="K142" s="369">
        <v>45897</v>
      </c>
      <c r="L142" s="370" t="s">
        <v>56</v>
      </c>
      <c r="M142" s="421">
        <v>50874.95</v>
      </c>
      <c r="N142" s="712"/>
      <c r="O142" s="370" t="s">
        <v>56</v>
      </c>
      <c r="P142" s="579" t="s">
        <v>160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159</v>
      </c>
      <c r="J143" s="370" t="s">
        <v>55</v>
      </c>
      <c r="K143" s="369">
        <v>45903</v>
      </c>
      <c r="L143" s="370" t="s">
        <v>56</v>
      </c>
      <c r="M143" s="421">
        <v>27186</v>
      </c>
      <c r="N143" s="712"/>
      <c r="O143" s="370" t="s">
        <v>56</v>
      </c>
      <c r="P143" s="716" t="s">
        <v>160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159</v>
      </c>
      <c r="J144" s="52" t="s">
        <v>55</v>
      </c>
      <c r="K144" s="369">
        <v>45887</v>
      </c>
      <c r="L144" s="370" t="s">
        <v>56</v>
      </c>
      <c r="M144" s="421">
        <v>69889</v>
      </c>
      <c r="N144" s="96"/>
      <c r="O144" s="370" t="s">
        <v>56</v>
      </c>
      <c r="P144" s="571" t="s">
        <v>160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159</v>
      </c>
      <c r="J145" s="52" t="s">
        <v>55</v>
      </c>
      <c r="K145" s="369">
        <v>45887</v>
      </c>
      <c r="L145" s="370" t="s">
        <v>56</v>
      </c>
      <c r="M145" s="421">
        <v>52110</v>
      </c>
      <c r="N145" s="712"/>
      <c r="O145" s="370" t="s">
        <v>56</v>
      </c>
      <c r="P145" s="571" t="s">
        <v>160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159</v>
      </c>
      <c r="J146" s="52" t="s">
        <v>55</v>
      </c>
      <c r="K146" s="369">
        <v>45897</v>
      </c>
      <c r="L146" s="370" t="s">
        <v>56</v>
      </c>
      <c r="M146" s="421">
        <v>52204</v>
      </c>
      <c r="N146" s="712"/>
      <c r="O146" s="370" t="s">
        <v>56</v>
      </c>
      <c r="P146" s="716" t="s">
        <v>160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159</v>
      </c>
      <c r="J147" s="1133" t="s">
        <v>55</v>
      </c>
      <c r="K147" s="1131">
        <v>46006</v>
      </c>
      <c r="L147" s="1133" t="s">
        <v>56</v>
      </c>
      <c r="M147" s="1377">
        <v>20891</v>
      </c>
      <c r="N147" s="712"/>
      <c r="O147" s="1133" t="s">
        <v>56</v>
      </c>
      <c r="P147" s="1378" t="s">
        <v>160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159</v>
      </c>
      <c r="J148" s="52" t="s">
        <v>55</v>
      </c>
      <c r="K148" s="369">
        <v>45912</v>
      </c>
      <c r="L148" s="370" t="s">
        <v>56</v>
      </c>
      <c r="M148" s="421">
        <v>47676</v>
      </c>
      <c r="N148" s="712"/>
      <c r="O148" s="370" t="s">
        <v>56</v>
      </c>
      <c r="P148" s="716" t="s">
        <v>160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159</v>
      </c>
      <c r="J149" s="52" t="s">
        <v>55</v>
      </c>
      <c r="K149" s="369">
        <v>45933</v>
      </c>
      <c r="L149" s="370" t="s">
        <v>56</v>
      </c>
      <c r="M149" s="421">
        <v>44697.599999999999</v>
      </c>
      <c r="N149" s="712"/>
      <c r="O149" s="370" t="s">
        <v>56</v>
      </c>
      <c r="P149" s="716" t="s">
        <v>160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159</v>
      </c>
      <c r="J150" s="52" t="s">
        <v>55</v>
      </c>
      <c r="K150" s="369">
        <v>45933</v>
      </c>
      <c r="L150" s="370" t="s">
        <v>56</v>
      </c>
      <c r="M150" s="421">
        <v>58864</v>
      </c>
      <c r="N150" s="712"/>
      <c r="O150" s="370" t="s">
        <v>56</v>
      </c>
      <c r="P150" s="716" t="s">
        <v>160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159</v>
      </c>
      <c r="J151" s="1133" t="s">
        <v>55</v>
      </c>
      <c r="K151" s="1131">
        <v>46027</v>
      </c>
      <c r="L151" s="1133" t="s">
        <v>56</v>
      </c>
      <c r="M151" s="1377">
        <v>38323.550000000003</v>
      </c>
      <c r="N151" s="712"/>
      <c r="O151" s="1133" t="s">
        <v>56</v>
      </c>
      <c r="P151" s="1378" t="s">
        <v>160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159</v>
      </c>
      <c r="J152" s="1133" t="s">
        <v>55</v>
      </c>
      <c r="K152" s="1131">
        <v>46027</v>
      </c>
      <c r="L152" s="1133" t="s">
        <v>56</v>
      </c>
      <c r="M152" s="1377">
        <v>63322.45</v>
      </c>
      <c r="N152" s="712"/>
      <c r="O152" s="1133" t="s">
        <v>56</v>
      </c>
      <c r="P152" s="1378" t="s">
        <v>160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9"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159</v>
      </c>
      <c r="J153" s="1133" t="s">
        <v>55</v>
      </c>
      <c r="K153" s="1131">
        <v>46021</v>
      </c>
      <c r="L153" s="1133" t="s">
        <v>56</v>
      </c>
      <c r="M153" s="1377">
        <v>77109.5</v>
      </c>
      <c r="N153" s="712"/>
      <c r="O153" s="1133" t="s">
        <v>56</v>
      </c>
      <c r="P153" s="1378" t="s">
        <v>160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159</v>
      </c>
      <c r="J154" s="1133" t="s">
        <v>55</v>
      </c>
      <c r="K154" s="1131">
        <v>46021</v>
      </c>
      <c r="L154" s="1133" t="s">
        <v>56</v>
      </c>
      <c r="M154" s="1377">
        <v>58952.88</v>
      </c>
      <c r="N154" s="712"/>
      <c r="O154" s="1133" t="s">
        <v>56</v>
      </c>
      <c r="P154" s="1378" t="s">
        <v>160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159</v>
      </c>
      <c r="J155" s="1133" t="s">
        <v>55</v>
      </c>
      <c r="K155" s="1131">
        <v>46027</v>
      </c>
      <c r="L155" s="1133" t="s">
        <v>56</v>
      </c>
      <c r="M155" s="1134">
        <v>41834.75</v>
      </c>
      <c r="N155" s="712"/>
      <c r="O155" s="1133" t="s">
        <v>56</v>
      </c>
      <c r="P155" s="1378" t="s">
        <v>160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40">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159</v>
      </c>
      <c r="J156" s="52" t="s">
        <v>55</v>
      </c>
      <c r="K156" s="369">
        <v>45902</v>
      </c>
      <c r="L156" s="370" t="s">
        <v>56</v>
      </c>
      <c r="M156" s="421">
        <v>12695</v>
      </c>
      <c r="N156" s="712"/>
      <c r="O156" s="370" t="s">
        <v>56</v>
      </c>
      <c r="P156" s="716" t="s">
        <v>160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159</v>
      </c>
      <c r="J157" s="913" t="s">
        <v>55</v>
      </c>
      <c r="K157" s="1112">
        <v>45821</v>
      </c>
      <c r="L157" s="979" t="s">
        <v>56</v>
      </c>
      <c r="M157" s="915">
        <v>23436.55</v>
      </c>
      <c r="N157" s="712"/>
      <c r="O157" s="979" t="s">
        <v>56</v>
      </c>
      <c r="P157" s="736" t="s">
        <v>160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159</v>
      </c>
      <c r="J158" s="913" t="s">
        <v>55</v>
      </c>
      <c r="K158" s="900">
        <v>45876</v>
      </c>
      <c r="L158" s="913" t="s">
        <v>56</v>
      </c>
      <c r="M158" s="915">
        <v>1462.85</v>
      </c>
      <c r="N158" s="96"/>
      <c r="O158" s="913" t="s">
        <v>56</v>
      </c>
      <c r="P158" s="736" t="s">
        <v>160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159</v>
      </c>
      <c r="J159" s="760" t="s">
        <v>55</v>
      </c>
      <c r="K159" s="369">
        <v>45882</v>
      </c>
      <c r="L159" s="370" t="s">
        <v>56</v>
      </c>
      <c r="M159" s="421">
        <v>13056.5</v>
      </c>
      <c r="N159" s="753"/>
      <c r="O159" s="370" t="s">
        <v>56</v>
      </c>
      <c r="P159" s="571" t="s">
        <v>160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159</v>
      </c>
      <c r="J160" s="760" t="s">
        <v>55</v>
      </c>
      <c r="K160" s="458">
        <v>45853</v>
      </c>
      <c r="L160" s="460" t="s">
        <v>56</v>
      </c>
      <c r="M160" s="949">
        <v>68216.5</v>
      </c>
      <c r="N160" s="747"/>
      <c r="O160" s="460" t="s">
        <v>56</v>
      </c>
      <c r="P160" s="722" t="s">
        <v>160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159</v>
      </c>
      <c r="J161" s="52" t="s">
        <v>55</v>
      </c>
      <c r="K161" s="369">
        <v>45936</v>
      </c>
      <c r="L161" s="370" t="s">
        <v>56</v>
      </c>
      <c r="M161" s="421">
        <v>4235.8</v>
      </c>
      <c r="N161" s="712"/>
      <c r="O161" s="370" t="s">
        <v>56</v>
      </c>
      <c r="P161" s="571" t="s">
        <v>160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159</v>
      </c>
      <c r="J162" s="460" t="s">
        <v>68</v>
      </c>
      <c r="K162" s="458">
        <v>45937</v>
      </c>
      <c r="L162" s="460" t="s">
        <v>56</v>
      </c>
      <c r="M162" s="949">
        <v>210533.1</v>
      </c>
      <c r="N162" s="712"/>
      <c r="O162" s="460" t="s">
        <v>56</v>
      </c>
      <c r="P162" s="722" t="s">
        <v>160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159</v>
      </c>
      <c r="J163" s="460" t="s">
        <v>68</v>
      </c>
      <c r="K163" s="458">
        <v>45905</v>
      </c>
      <c r="L163" s="460" t="s">
        <v>56</v>
      </c>
      <c r="M163" s="949">
        <v>145985.5</v>
      </c>
      <c r="N163" s="712"/>
      <c r="O163" s="460" t="s">
        <v>56</v>
      </c>
      <c r="P163" s="1436" t="s">
        <v>160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159</v>
      </c>
      <c r="J164" s="744" t="s">
        <v>68</v>
      </c>
      <c r="K164" s="458">
        <v>45876</v>
      </c>
      <c r="L164" s="460" t="s">
        <v>56</v>
      </c>
      <c r="M164" s="949">
        <v>124980</v>
      </c>
      <c r="N164" s="753"/>
      <c r="O164" s="460" t="s">
        <v>56</v>
      </c>
      <c r="P164" s="722" t="s">
        <v>160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159</v>
      </c>
      <c r="J165" s="744" t="s">
        <v>55</v>
      </c>
      <c r="K165" s="492">
        <v>45716</v>
      </c>
      <c r="L165" s="116" t="s">
        <v>56</v>
      </c>
      <c r="M165" s="745">
        <v>45321.5</v>
      </c>
      <c r="N165" s="753"/>
      <c r="O165" s="116" t="s">
        <v>56</v>
      </c>
      <c r="P165" s="735" t="s">
        <v>160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159</v>
      </c>
      <c r="J166" s="760" t="s">
        <v>55</v>
      </c>
      <c r="K166" s="969">
        <v>45741</v>
      </c>
      <c r="L166" s="824" t="s">
        <v>56</v>
      </c>
      <c r="M166" s="970">
        <v>41813</v>
      </c>
      <c r="N166" s="753"/>
      <c r="O166" s="824" t="s">
        <v>56</v>
      </c>
      <c r="P166" s="962" t="s">
        <v>160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159</v>
      </c>
      <c r="J167" s="744" t="s">
        <v>55</v>
      </c>
      <c r="K167" s="485">
        <v>45698</v>
      </c>
      <c r="L167" s="493" t="s">
        <v>56</v>
      </c>
      <c r="M167" s="745">
        <v>71979</v>
      </c>
      <c r="N167" s="747"/>
      <c r="O167" s="493" t="s">
        <v>56</v>
      </c>
      <c r="P167" s="752" t="s">
        <v>160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160</v>
      </c>
      <c r="J168" s="469" t="s">
        <v>55</v>
      </c>
      <c r="K168" s="467">
        <v>45712</v>
      </c>
      <c r="L168" s="469" t="s">
        <v>56</v>
      </c>
      <c r="M168" s="746">
        <v>14262</v>
      </c>
      <c r="N168" s="712"/>
      <c r="O168" s="469" t="s">
        <v>56</v>
      </c>
      <c r="P168" s="722" t="s">
        <v>160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165</v>
      </c>
      <c r="G169" s="743" t="s">
        <v>1096</v>
      </c>
      <c r="H169" s="744">
        <v>0</v>
      </c>
      <c r="I169" s="744" t="s">
        <v>159</v>
      </c>
      <c r="J169" s="744" t="s">
        <v>55</v>
      </c>
      <c r="K169" s="467">
        <v>45714</v>
      </c>
      <c r="L169" s="469" t="s">
        <v>56</v>
      </c>
      <c r="M169" s="746">
        <v>93462.85</v>
      </c>
      <c r="N169" s="747"/>
      <c r="O169" s="469" t="s">
        <v>56</v>
      </c>
      <c r="P169" s="722" t="s">
        <v>160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159</v>
      </c>
      <c r="J170" s="744" t="s">
        <v>55</v>
      </c>
      <c r="K170" s="466" t="s">
        <v>339</v>
      </c>
      <c r="L170" s="460" t="s">
        <v>56</v>
      </c>
      <c r="M170" s="949">
        <v>4397.6499999999996</v>
      </c>
      <c r="N170" s="747"/>
      <c r="O170" s="460" t="s">
        <v>56</v>
      </c>
      <c r="P170" s="722" t="s">
        <v>160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159</v>
      </c>
      <c r="J171" s="744" t="s">
        <v>55</v>
      </c>
      <c r="K171" s="467" t="s">
        <v>339</v>
      </c>
      <c r="L171" s="469" t="s">
        <v>56</v>
      </c>
      <c r="M171" s="1327">
        <v>29180.45</v>
      </c>
      <c r="N171" s="747"/>
      <c r="O171" s="469" t="s">
        <v>56</v>
      </c>
      <c r="P171" s="722" t="s">
        <v>160</v>
      </c>
      <c r="Q171" s="124" t="s">
        <v>339</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159</v>
      </c>
      <c r="J172" s="928" t="s">
        <v>55</v>
      </c>
      <c r="K172" s="467" t="s">
        <v>339</v>
      </c>
      <c r="L172" s="928" t="s">
        <v>56</v>
      </c>
      <c r="M172" s="1328">
        <v>25891</v>
      </c>
      <c r="N172" s="712"/>
      <c r="O172" s="52" t="s">
        <v>56</v>
      </c>
      <c r="P172" s="1329" t="s">
        <v>160</v>
      </c>
      <c r="Q172" s="124" t="s">
        <v>339</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159</v>
      </c>
      <c r="J173" s="744" t="s">
        <v>55</v>
      </c>
      <c r="K173" s="467" t="s">
        <v>339</v>
      </c>
      <c r="L173" s="928" t="s">
        <v>56</v>
      </c>
      <c r="M173" s="1328">
        <v>170</v>
      </c>
      <c r="N173" s="747"/>
      <c r="O173" s="52" t="s">
        <v>56</v>
      </c>
      <c r="P173" s="1329" t="s">
        <v>160</v>
      </c>
      <c r="Q173" s="951" t="s">
        <v>339</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159</v>
      </c>
      <c r="J174" s="744" t="s">
        <v>55</v>
      </c>
      <c r="K174" s="467" t="s">
        <v>339</v>
      </c>
      <c r="L174" s="928" t="s">
        <v>56</v>
      </c>
      <c r="M174" s="1328">
        <v>30788</v>
      </c>
      <c r="N174" s="747"/>
      <c r="O174" s="52" t="s">
        <v>56</v>
      </c>
      <c r="P174" s="1329" t="s">
        <v>160</v>
      </c>
      <c r="Q174" s="462" t="s">
        <v>339</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403</v>
      </c>
      <c r="G175" s="1445"/>
      <c r="H175" s="744">
        <v>68</v>
      </c>
      <c r="I175" s="759" t="s">
        <v>159</v>
      </c>
      <c r="J175" s="1272" t="s">
        <v>55</v>
      </c>
      <c r="K175" s="1202">
        <v>46027</v>
      </c>
      <c r="L175" s="1144" t="s">
        <v>56</v>
      </c>
      <c r="M175" s="1447">
        <v>68608</v>
      </c>
      <c r="N175" s="747"/>
      <c r="O175" s="1272" t="s">
        <v>56</v>
      </c>
      <c r="P175" s="1448" t="s">
        <v>160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321</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164</v>
      </c>
      <c r="C180" s="467">
        <v>45807</v>
      </c>
      <c r="D180" s="456" t="s">
        <v>416</v>
      </c>
      <c r="E180" s="466" t="s">
        <v>339</v>
      </c>
      <c r="F180" s="456" t="s">
        <v>873</v>
      </c>
      <c r="G180" s="659" t="s">
        <v>686</v>
      </c>
      <c r="H180" s="460">
        <v>60</v>
      </c>
      <c r="I180" s="796" t="s">
        <v>159</v>
      </c>
      <c r="J180" s="469" t="s">
        <v>68</v>
      </c>
      <c r="K180" s="811"/>
      <c r="L180" s="458">
        <v>45716</v>
      </c>
      <c r="M180" s="469" t="s">
        <v>56</v>
      </c>
      <c r="N180" s="529">
        <v>2075.6999999999998</v>
      </c>
      <c r="O180" s="469" t="s">
        <v>56</v>
      </c>
      <c r="P180" s="882" t="s">
        <v>160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164</v>
      </c>
      <c r="C181" s="467">
        <v>45807</v>
      </c>
      <c r="D181" s="466" t="s">
        <v>416</v>
      </c>
      <c r="E181" s="466" t="s">
        <v>339</v>
      </c>
      <c r="F181" s="466" t="s">
        <v>873</v>
      </c>
      <c r="G181" s="792" t="s">
        <v>1113</v>
      </c>
      <c r="H181" s="469">
        <v>79</v>
      </c>
      <c r="I181" s="796" t="s">
        <v>159</v>
      </c>
      <c r="J181" s="469" t="s">
        <v>68</v>
      </c>
      <c r="K181" s="477"/>
      <c r="L181" s="458">
        <v>45716</v>
      </c>
      <c r="M181" s="469" t="s">
        <v>56</v>
      </c>
      <c r="N181" s="530">
        <v>2947.5</v>
      </c>
      <c r="O181" s="469" t="s">
        <v>56</v>
      </c>
      <c r="P181" s="883" t="s">
        <v>160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164</v>
      </c>
      <c r="C182" s="467">
        <v>45807</v>
      </c>
      <c r="D182" s="466" t="s">
        <v>416</v>
      </c>
      <c r="E182" s="466" t="s">
        <v>339</v>
      </c>
      <c r="F182" s="466" t="s">
        <v>873</v>
      </c>
      <c r="G182" s="792" t="s">
        <v>1115</v>
      </c>
      <c r="H182" s="469">
        <v>83</v>
      </c>
      <c r="I182" s="796" t="s">
        <v>159</v>
      </c>
      <c r="J182" s="469" t="s">
        <v>68</v>
      </c>
      <c r="K182" s="477"/>
      <c r="L182" s="458">
        <v>45716</v>
      </c>
      <c r="M182" s="469" t="s">
        <v>56</v>
      </c>
      <c r="N182" s="530">
        <v>2908.95</v>
      </c>
      <c r="O182" s="469" t="s">
        <v>56</v>
      </c>
      <c r="P182" s="883" t="s">
        <v>160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416</v>
      </c>
      <c r="E183" s="466" t="s">
        <v>339</v>
      </c>
      <c r="F183" s="466" t="s">
        <v>134</v>
      </c>
      <c r="G183" s="792" t="s">
        <v>1117</v>
      </c>
      <c r="H183" s="469">
        <v>68</v>
      </c>
      <c r="I183" s="469" t="s">
        <v>160</v>
      </c>
      <c r="J183" s="469" t="s">
        <v>68</v>
      </c>
      <c r="K183" s="469"/>
      <c r="L183" s="797">
        <v>45716</v>
      </c>
      <c r="M183" s="469" t="s">
        <v>56</v>
      </c>
      <c r="N183" s="530">
        <v>1134</v>
      </c>
      <c r="O183" s="469" t="s">
        <v>56</v>
      </c>
      <c r="P183" s="884" t="s">
        <v>160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416</v>
      </c>
      <c r="E184" s="466" t="s">
        <v>339</v>
      </c>
      <c r="F184" s="466" t="s">
        <v>134</v>
      </c>
      <c r="G184" s="814" t="s">
        <v>1119</v>
      </c>
      <c r="H184" s="469">
        <v>38</v>
      </c>
      <c r="I184" s="469" t="s">
        <v>160</v>
      </c>
      <c r="J184" s="469" t="s">
        <v>68</v>
      </c>
      <c r="K184" s="477"/>
      <c r="L184" s="458">
        <v>45716</v>
      </c>
      <c r="M184" s="469" t="s">
        <v>56</v>
      </c>
      <c r="N184" s="530">
        <v>870</v>
      </c>
      <c r="O184" s="469" t="s">
        <v>56</v>
      </c>
      <c r="P184" s="884" t="s">
        <v>160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159</v>
      </c>
      <c r="J185" s="469" t="s">
        <v>55</v>
      </c>
      <c r="K185" s="469"/>
      <c r="L185" s="797">
        <v>45716</v>
      </c>
      <c r="M185" s="796" t="s">
        <v>56</v>
      </c>
      <c r="N185" s="530">
        <v>2025.6</v>
      </c>
      <c r="O185" s="796" t="s">
        <v>56</v>
      </c>
      <c r="P185" s="884" t="s">
        <v>160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416</v>
      </c>
      <c r="E186" s="467">
        <v>45715</v>
      </c>
      <c r="F186" s="466" t="s">
        <v>134</v>
      </c>
      <c r="G186" s="792" t="s">
        <v>1125</v>
      </c>
      <c r="H186" s="469">
        <v>84</v>
      </c>
      <c r="I186" s="469" t="s">
        <v>160</v>
      </c>
      <c r="J186" s="469" t="s">
        <v>68</v>
      </c>
      <c r="K186" s="469"/>
      <c r="L186" s="467">
        <v>45715</v>
      </c>
      <c r="M186" s="469" t="s">
        <v>56</v>
      </c>
      <c r="N186" s="530">
        <v>3801.75</v>
      </c>
      <c r="O186" s="469" t="s">
        <v>56</v>
      </c>
      <c r="P186" s="884" t="s">
        <v>160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160</v>
      </c>
      <c r="J189" s="872" t="s">
        <v>68</v>
      </c>
      <c r="K189" s="869"/>
      <c r="L189" s="874" t="s">
        <v>68</v>
      </c>
      <c r="M189" s="872" t="s">
        <v>74</v>
      </c>
      <c r="N189" s="875">
        <v>0</v>
      </c>
      <c r="O189" s="872" t="s">
        <v>74</v>
      </c>
      <c r="P189" s="876" t="s">
        <v>160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160</v>
      </c>
      <c r="J190" s="824" t="s">
        <v>68</v>
      </c>
      <c r="K190" s="829"/>
      <c r="L190" s="831" t="s">
        <v>68</v>
      </c>
      <c r="M190" s="824" t="s">
        <v>74</v>
      </c>
      <c r="N190" s="825">
        <v>0</v>
      </c>
      <c r="O190" s="824" t="s">
        <v>74</v>
      </c>
      <c r="P190" s="826" t="s">
        <v>160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351</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351</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351</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351</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351</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344</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344</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351</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344</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351</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322</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351</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354</v>
      </c>
      <c r="C753">
        <v>251</v>
      </c>
      <c r="D753">
        <v>253</v>
      </c>
      <c r="E753">
        <v>1076</v>
      </c>
      <c r="G753">
        <v>1580</v>
      </c>
    </row>
    <row r="754" spans="1:7">
      <c r="A754" t="s">
        <v>322</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351</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344</v>
      </c>
      <c r="D767">
        <v>362</v>
      </c>
      <c r="E767">
        <v>399</v>
      </c>
      <c r="G767">
        <v>761</v>
      </c>
    </row>
    <row r="768" spans="1:7">
      <c r="A768" t="s">
        <v>1039</v>
      </c>
    </row>
    <row r="769" spans="1:7">
      <c r="A769" t="s">
        <v>1029</v>
      </c>
    </row>
    <row r="770" spans="1:7">
      <c r="A770" t="s">
        <v>354</v>
      </c>
      <c r="C770">
        <v>120</v>
      </c>
      <c r="D770">
        <v>190</v>
      </c>
      <c r="G770">
        <v>310</v>
      </c>
    </row>
    <row r="771" spans="1:7">
      <c r="A771" t="s">
        <v>322</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357</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351</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354</v>
      </c>
      <c r="B794">
        <v>479</v>
      </c>
      <c r="E794">
        <v>170</v>
      </c>
      <c r="G794">
        <v>649</v>
      </c>
    </row>
    <row r="795" spans="1:7">
      <c r="A795" t="s">
        <v>322</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357</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354</v>
      </c>
      <c r="E818">
        <v>725</v>
      </c>
      <c r="G818">
        <v>725</v>
      </c>
    </row>
    <row r="819" spans="1:7">
      <c r="A819" t="s">
        <v>322</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357</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325</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344</v>
      </c>
      <c r="E838">
        <v>170</v>
      </c>
      <c r="G838">
        <v>170</v>
      </c>
    </row>
    <row r="839" spans="1:7">
      <c r="A839" t="s">
        <v>322</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328</v>
      </c>
      <c r="B847">
        <v>60</v>
      </c>
      <c r="C847">
        <v>219</v>
      </c>
      <c r="G847">
        <v>279</v>
      </c>
    </row>
    <row r="848" spans="1:7">
      <c r="A848" t="s">
        <v>1075</v>
      </c>
      <c r="D848">
        <v>240</v>
      </c>
      <c r="G848">
        <v>240</v>
      </c>
    </row>
    <row r="849" spans="1:7">
      <c r="A849" t="s">
        <v>1194</v>
      </c>
      <c r="C849">
        <v>1603</v>
      </c>
      <c r="D849">
        <v>791</v>
      </c>
      <c r="E849">
        <v>2803</v>
      </c>
      <c r="G849">
        <v>5197</v>
      </c>
    </row>
    <row r="850" spans="1:7">
      <c r="A850" t="s">
        <v>336</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343</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336</v>
      </c>
      <c r="B867">
        <v>1100</v>
      </c>
      <c r="C867">
        <v>527</v>
      </c>
      <c r="D867">
        <v>553</v>
      </c>
      <c r="G867">
        <v>2180</v>
      </c>
    </row>
    <row r="868" spans="1:7">
      <c r="A868" t="s">
        <v>607</v>
      </c>
      <c r="C868">
        <v>230</v>
      </c>
      <c r="G868">
        <v>230</v>
      </c>
    </row>
    <row r="869" spans="1:7">
      <c r="A869" t="s">
        <v>1046</v>
      </c>
      <c r="B869">
        <v>853</v>
      </c>
      <c r="G869">
        <v>853</v>
      </c>
    </row>
    <row r="870" spans="1:7">
      <c r="A870" t="s">
        <v>343</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341</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344</v>
      </c>
    </row>
    <row r="885" spans="1:7">
      <c r="A885" t="s">
        <v>322</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336</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341</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331</v>
      </c>
      <c r="D899">
        <v>3179</v>
      </c>
      <c r="G899">
        <v>3179</v>
      </c>
    </row>
    <row r="900" spans="1:7">
      <c r="A900" t="s">
        <v>638</v>
      </c>
      <c r="E900">
        <v>978</v>
      </c>
      <c r="G900">
        <v>978</v>
      </c>
    </row>
    <row r="901" spans="1:7">
      <c r="A901" t="s">
        <v>419</v>
      </c>
      <c r="E901">
        <v>502</v>
      </c>
      <c r="G901">
        <v>502</v>
      </c>
    </row>
    <row r="902" spans="1:7">
      <c r="A902" t="s">
        <v>179</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322</v>
      </c>
    </row>
    <row r="911" spans="1:7">
      <c r="A911" t="s">
        <v>357</v>
      </c>
      <c r="F911">
        <v>569</v>
      </c>
      <c r="G911">
        <v>569</v>
      </c>
    </row>
    <row r="912" spans="1:7">
      <c r="A912" t="s">
        <v>665</v>
      </c>
    </row>
    <row r="913" spans="1:7">
      <c r="A913" t="s">
        <v>328</v>
      </c>
      <c r="D913">
        <v>150</v>
      </c>
      <c r="G913">
        <v>150</v>
      </c>
    </row>
    <row r="914" spans="1:7">
      <c r="A914" t="s">
        <v>343</v>
      </c>
    </row>
    <row r="915" spans="1:7">
      <c r="A915" t="s">
        <v>613</v>
      </c>
      <c r="B915">
        <v>701</v>
      </c>
      <c r="G915">
        <v>701</v>
      </c>
    </row>
    <row r="916" spans="1:7">
      <c r="A916" t="s">
        <v>1004</v>
      </c>
      <c r="B916">
        <v>463</v>
      </c>
      <c r="C916">
        <v>633</v>
      </c>
      <c r="D916">
        <v>625</v>
      </c>
      <c r="G916">
        <v>1721</v>
      </c>
    </row>
    <row r="917" spans="1:7">
      <c r="A917" t="s">
        <v>341</v>
      </c>
    </row>
    <row r="918" spans="1:7">
      <c r="A918" t="s">
        <v>331</v>
      </c>
      <c r="B918">
        <v>882</v>
      </c>
      <c r="C918">
        <v>1072</v>
      </c>
      <c r="D918">
        <v>1034</v>
      </c>
      <c r="E918">
        <v>209</v>
      </c>
      <c r="G918">
        <v>3197</v>
      </c>
    </row>
    <row r="919" spans="1:7">
      <c r="A919" t="s">
        <v>638</v>
      </c>
      <c r="B919">
        <v>1420</v>
      </c>
      <c r="C919">
        <v>990</v>
      </c>
      <c r="D919">
        <v>549</v>
      </c>
      <c r="G919">
        <v>2959</v>
      </c>
    </row>
    <row r="920" spans="1:7">
      <c r="A920" t="s">
        <v>419</v>
      </c>
      <c r="B920">
        <v>259</v>
      </c>
      <c r="C920">
        <v>1087</v>
      </c>
      <c r="D920">
        <v>2206</v>
      </c>
      <c r="E920">
        <v>453</v>
      </c>
      <c r="G920">
        <v>4005</v>
      </c>
    </row>
    <row r="921" spans="1:7">
      <c r="A921" t="s">
        <v>179</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361</v>
      </c>
      <c r="B924">
        <v>207</v>
      </c>
      <c r="G924">
        <v>207</v>
      </c>
    </row>
    <row r="925" spans="1:7">
      <c r="A925" t="s">
        <v>669</v>
      </c>
      <c r="C925">
        <v>1691</v>
      </c>
      <c r="D925">
        <v>1998</v>
      </c>
      <c r="E925">
        <v>760</v>
      </c>
      <c r="F925">
        <v>3975</v>
      </c>
      <c r="G925">
        <v>8424</v>
      </c>
    </row>
    <row r="926" spans="1:7">
      <c r="A926" t="s">
        <v>641</v>
      </c>
      <c r="D926">
        <v>1031</v>
      </c>
      <c r="G926">
        <v>1031</v>
      </c>
    </row>
    <row r="927" spans="1:7">
      <c r="A927" t="s">
        <v>359</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325</v>
      </c>
    </row>
    <row r="940" spans="1:7">
      <c r="A940" t="s">
        <v>665</v>
      </c>
      <c r="B940">
        <v>560</v>
      </c>
      <c r="G940">
        <v>560</v>
      </c>
    </row>
    <row r="941" spans="1:7">
      <c r="A941" t="s">
        <v>343</v>
      </c>
    </row>
    <row r="942" spans="1:7">
      <c r="A942" t="s">
        <v>613</v>
      </c>
      <c r="B942">
        <v>138</v>
      </c>
      <c r="G942">
        <v>138</v>
      </c>
    </row>
    <row r="943" spans="1:7">
      <c r="A943" t="s">
        <v>341</v>
      </c>
    </row>
    <row r="944" spans="1:7">
      <c r="A944" t="s">
        <v>331</v>
      </c>
      <c r="B944">
        <v>96</v>
      </c>
      <c r="G944">
        <v>96</v>
      </c>
    </row>
    <row r="945" spans="1:7">
      <c r="A945" t="s">
        <v>638</v>
      </c>
      <c r="B945">
        <v>632</v>
      </c>
      <c r="G945">
        <v>632</v>
      </c>
    </row>
    <row r="946" spans="1:7">
      <c r="A946" t="s">
        <v>419</v>
      </c>
      <c r="B946">
        <v>558</v>
      </c>
      <c r="G946">
        <v>558</v>
      </c>
    </row>
    <row r="947" spans="1:7">
      <c r="A947" t="s">
        <v>179</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333</v>
      </c>
      <c r="B951">
        <v>435</v>
      </c>
      <c r="E951">
        <v>1123</v>
      </c>
      <c r="G951">
        <v>1558</v>
      </c>
    </row>
    <row r="952" spans="1:7">
      <c r="A952" t="s">
        <v>402</v>
      </c>
      <c r="D952">
        <v>1580</v>
      </c>
      <c r="E952">
        <v>1258</v>
      </c>
      <c r="G952">
        <v>2838</v>
      </c>
    </row>
    <row r="953" spans="1:7">
      <c r="A953" t="s">
        <v>609</v>
      </c>
      <c r="D953">
        <v>877</v>
      </c>
      <c r="E953">
        <v>814</v>
      </c>
      <c r="G953">
        <v>1691</v>
      </c>
    </row>
    <row r="954" spans="1:7">
      <c r="A954" t="s">
        <v>168</v>
      </c>
      <c r="D954">
        <v>711</v>
      </c>
      <c r="E954">
        <v>325</v>
      </c>
      <c r="F954">
        <v>430</v>
      </c>
      <c r="G954">
        <v>1466</v>
      </c>
    </row>
    <row r="955" spans="1:7">
      <c r="A955" t="s">
        <v>394</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344</v>
      </c>
      <c r="B969">
        <v>446</v>
      </c>
      <c r="C969">
        <v>120</v>
      </c>
      <c r="D969">
        <v>550</v>
      </c>
      <c r="G969">
        <v>1116</v>
      </c>
    </row>
    <row r="970" spans="1:7">
      <c r="A970" t="s">
        <v>665</v>
      </c>
      <c r="C970">
        <v>17</v>
      </c>
      <c r="G970">
        <v>17</v>
      </c>
    </row>
    <row r="971" spans="1:7">
      <c r="A971" t="s">
        <v>613</v>
      </c>
    </row>
    <row r="972" spans="1:7">
      <c r="A972" t="s">
        <v>419</v>
      </c>
      <c r="B972">
        <v>127</v>
      </c>
      <c r="G972">
        <v>127</v>
      </c>
    </row>
    <row r="973" spans="1:7">
      <c r="A973" t="s">
        <v>179</v>
      </c>
      <c r="B973">
        <v>420</v>
      </c>
      <c r="G973">
        <v>420</v>
      </c>
    </row>
    <row r="974" spans="1:7">
      <c r="A974" t="s">
        <v>641</v>
      </c>
    </row>
    <row r="975" spans="1:7">
      <c r="A975" t="s">
        <v>333</v>
      </c>
      <c r="C975">
        <v>1917</v>
      </c>
      <c r="E975">
        <v>272</v>
      </c>
      <c r="G975">
        <v>2189</v>
      </c>
    </row>
    <row r="976" spans="1:7">
      <c r="A976" t="s">
        <v>609</v>
      </c>
      <c r="B976">
        <v>956</v>
      </c>
      <c r="G976">
        <v>956</v>
      </c>
    </row>
    <row r="977" spans="1:7">
      <c r="A977" t="s">
        <v>168</v>
      </c>
      <c r="E977">
        <v>195</v>
      </c>
      <c r="G977">
        <v>195</v>
      </c>
    </row>
    <row r="978" spans="1:7">
      <c r="A978" t="s">
        <v>394</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405</v>
      </c>
      <c r="C987">
        <v>1679</v>
      </c>
      <c r="D987">
        <v>1429</v>
      </c>
      <c r="E987">
        <v>1624</v>
      </c>
      <c r="G987">
        <v>4732</v>
      </c>
    </row>
    <row r="988" spans="1:7">
      <c r="A988" t="s">
        <v>396</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398</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325</v>
      </c>
    </row>
    <row r="1008" spans="1:7">
      <c r="A1008" t="s">
        <v>1004</v>
      </c>
    </row>
    <row r="1009" spans="1:7">
      <c r="A1009" t="s">
        <v>341</v>
      </c>
    </row>
    <row r="1010" spans="1:7">
      <c r="A1010" t="s">
        <v>331</v>
      </c>
    </row>
    <row r="1011" spans="1:7">
      <c r="A1011" t="s">
        <v>179</v>
      </c>
      <c r="D1011">
        <v>426</v>
      </c>
      <c r="G1011">
        <v>426</v>
      </c>
    </row>
    <row r="1012" spans="1:7">
      <c r="A1012" t="s">
        <v>359</v>
      </c>
    </row>
    <row r="1013" spans="1:7">
      <c r="A1013" t="s">
        <v>452</v>
      </c>
    </row>
    <row r="1014" spans="1:7">
      <c r="A1014" t="s">
        <v>447</v>
      </c>
      <c r="C1014">
        <v>1175</v>
      </c>
      <c r="G1014">
        <v>1175</v>
      </c>
    </row>
    <row r="1015" spans="1:7">
      <c r="A1015" t="s">
        <v>443</v>
      </c>
      <c r="C1015">
        <v>996</v>
      </c>
      <c r="G1015">
        <v>996</v>
      </c>
    </row>
    <row r="1016" spans="1:7">
      <c r="A1016" t="s">
        <v>333</v>
      </c>
      <c r="B1016">
        <v>900</v>
      </c>
      <c r="G1016">
        <v>900</v>
      </c>
    </row>
    <row r="1017" spans="1:7">
      <c r="A1017" t="s">
        <v>402</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405</v>
      </c>
      <c r="B1022">
        <v>572</v>
      </c>
      <c r="G1022">
        <v>572</v>
      </c>
    </row>
    <row r="1023" spans="1:7">
      <c r="A1023" t="s">
        <v>1202</v>
      </c>
      <c r="B1023">
        <v>1718</v>
      </c>
      <c r="C1023">
        <v>2478</v>
      </c>
      <c r="D1023">
        <v>1567</v>
      </c>
      <c r="G1023">
        <v>5763</v>
      </c>
    </row>
    <row r="1024" spans="1:7">
      <c r="A1024" t="s">
        <v>479</v>
      </c>
      <c r="C1024">
        <v>3411</v>
      </c>
      <c r="G1024">
        <v>3411</v>
      </c>
    </row>
    <row r="1025" spans="1:7">
      <c r="A1025" t="s">
        <v>157</v>
      </c>
      <c r="B1025">
        <v>82</v>
      </c>
      <c r="G1025">
        <v>82</v>
      </c>
    </row>
    <row r="1026" spans="1:7">
      <c r="A1026" t="s">
        <v>482</v>
      </c>
      <c r="C1026">
        <v>3311</v>
      </c>
      <c r="G1026">
        <v>3311</v>
      </c>
    </row>
    <row r="1027" spans="1:7">
      <c r="A1027" t="s">
        <v>450</v>
      </c>
    </row>
    <row r="1028" spans="1:7">
      <c r="A1028" t="s">
        <v>398</v>
      </c>
      <c r="C1028">
        <v>2568</v>
      </c>
      <c r="G1028">
        <v>2568</v>
      </c>
    </row>
    <row r="1029" spans="1:7">
      <c r="A1029" t="s">
        <v>630</v>
      </c>
      <c r="B1029">
        <v>286</v>
      </c>
      <c r="C1029">
        <v>357</v>
      </c>
      <c r="D1029">
        <v>331</v>
      </c>
      <c r="G1029">
        <v>974</v>
      </c>
    </row>
    <row r="1030" spans="1:7">
      <c r="A1030" t="s">
        <v>382</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398</v>
      </c>
      <c r="E1059">
        <v>489</v>
      </c>
      <c r="F1059">
        <v>2020</v>
      </c>
      <c r="G1059">
        <v>2509</v>
      </c>
    </row>
    <row r="1060" spans="1:7">
      <c r="A1060" t="s">
        <v>382</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408</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398</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408</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376</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379</v>
      </c>
      <c r="D1100">
        <v>817</v>
      </c>
      <c r="E1100">
        <v>1820</v>
      </c>
      <c r="G1100">
        <v>2637</v>
      </c>
    </row>
    <row r="1101" spans="1:7">
      <c r="A1101" t="s">
        <v>581</v>
      </c>
      <c r="E1101">
        <v>1351</v>
      </c>
      <c r="G1101">
        <v>1351</v>
      </c>
    </row>
    <row r="1102" spans="1:7">
      <c r="A1102" t="s">
        <v>388</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388</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171</v>
      </c>
      <c r="C1129">
        <v>890</v>
      </c>
      <c r="D1129">
        <v>1810</v>
      </c>
      <c r="E1129">
        <v>967</v>
      </c>
      <c r="G1129">
        <v>3667</v>
      </c>
    </row>
    <row r="1130" spans="1:7">
      <c r="A1130" t="s">
        <v>400</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388</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408</v>
      </c>
    </row>
    <row r="1166" spans="1:7">
      <c r="A1166" t="s">
        <v>458</v>
      </c>
      <c r="B1166">
        <v>738</v>
      </c>
      <c r="C1166">
        <v>466</v>
      </c>
      <c r="G1166">
        <v>1204</v>
      </c>
    </row>
    <row r="1167" spans="1:7">
      <c r="A1167" t="s">
        <v>500</v>
      </c>
      <c r="B1167">
        <v>0</v>
      </c>
      <c r="G1167">
        <v>0</v>
      </c>
    </row>
    <row r="1168" spans="1:7">
      <c r="A1168" t="s">
        <v>388</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359</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348</v>
      </c>
      <c r="B1189">
        <v>1105</v>
      </c>
      <c r="C1189">
        <v>942</v>
      </c>
      <c r="D1189">
        <v>2151</v>
      </c>
      <c r="E1189">
        <v>1926</v>
      </c>
      <c r="F1189">
        <v>1000</v>
      </c>
      <c r="G1189">
        <v>7124</v>
      </c>
    </row>
    <row r="1190" spans="1:7">
      <c r="A1190" t="s">
        <v>413</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223</v>
      </c>
      <c r="F1196">
        <v>0</v>
      </c>
      <c r="G1196">
        <v>0</v>
      </c>
    </row>
    <row r="1197" spans="1:7">
      <c r="A1197" t="s">
        <v>385</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344</v>
      </c>
      <c r="D1206">
        <v>1200</v>
      </c>
      <c r="E1206">
        <v>445</v>
      </c>
      <c r="F1206">
        <v>686</v>
      </c>
      <c r="G1206">
        <v>2331</v>
      </c>
    </row>
    <row r="1207" spans="1:7">
      <c r="A1207" t="s">
        <v>562</v>
      </c>
    </row>
    <row r="1208" spans="1:7">
      <c r="A1208" t="s">
        <v>325</v>
      </c>
    </row>
    <row r="1209" spans="1:7">
      <c r="A1209" t="s">
        <v>361</v>
      </c>
    </row>
    <row r="1210" spans="1:7">
      <c r="A1210" t="s">
        <v>494</v>
      </c>
    </row>
    <row r="1211" spans="1:7">
      <c r="A1211" t="s">
        <v>348</v>
      </c>
      <c r="B1211">
        <v>1812</v>
      </c>
      <c r="C1211">
        <v>1838</v>
      </c>
      <c r="E1211">
        <v>0</v>
      </c>
      <c r="G1211">
        <v>3650</v>
      </c>
    </row>
    <row r="1212" spans="1:7">
      <c r="A1212" t="s">
        <v>413</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385</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422</v>
      </c>
    </row>
    <row r="1222" spans="1:7">
      <c r="A1222" t="s">
        <v>411</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373</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344</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413</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231</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236</v>
      </c>
      <c r="D1256">
        <v>2000</v>
      </c>
      <c r="E1256">
        <v>970</v>
      </c>
      <c r="G1256">
        <v>2970</v>
      </c>
    </row>
    <row r="1257" spans="1:7">
      <c r="A1257" t="s">
        <v>337</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344</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348</v>
      </c>
      <c r="D1268">
        <v>149</v>
      </c>
      <c r="G1268">
        <v>149</v>
      </c>
    </row>
    <row r="1269" spans="1:7">
      <c r="A1269" t="s">
        <v>413</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337</v>
      </c>
      <c r="B1287">
        <v>1530</v>
      </c>
      <c r="C1287">
        <v>388</v>
      </c>
      <c r="E1287">
        <v>470</v>
      </c>
      <c r="G1287">
        <v>2388</v>
      </c>
    </row>
    <row r="1288" spans="1:7">
      <c r="A1288" t="s">
        <v>1062</v>
      </c>
      <c r="C1288">
        <v>1758</v>
      </c>
      <c r="D1288">
        <v>1363</v>
      </c>
      <c r="G1288">
        <v>3121</v>
      </c>
    </row>
    <row r="1289" spans="1:7">
      <c r="A1289" t="s">
        <v>365</v>
      </c>
      <c r="D1289">
        <v>881</v>
      </c>
      <c r="E1289">
        <v>1143</v>
      </c>
      <c r="G1289">
        <v>2024</v>
      </c>
    </row>
    <row r="1290" spans="1:7">
      <c r="A1290" t="s">
        <v>391</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344</v>
      </c>
      <c r="B1296">
        <v>859</v>
      </c>
      <c r="G1296">
        <v>859</v>
      </c>
    </row>
    <row r="1297" spans="1:7">
      <c r="A1297" t="s">
        <v>1184</v>
      </c>
      <c r="B1297">
        <v>251</v>
      </c>
      <c r="G1297">
        <v>251</v>
      </c>
    </row>
    <row r="1298" spans="1:7">
      <c r="A1298" t="s">
        <v>179</v>
      </c>
    </row>
    <row r="1299" spans="1:7">
      <c r="A1299" t="s">
        <v>494</v>
      </c>
      <c r="E1299">
        <v>253</v>
      </c>
      <c r="G1299">
        <v>253</v>
      </c>
    </row>
    <row r="1300" spans="1:7">
      <c r="A1300" t="s">
        <v>348</v>
      </c>
    </row>
    <row r="1301" spans="1:7">
      <c r="A1301" t="s">
        <v>538</v>
      </c>
    </row>
    <row r="1302" spans="1:7">
      <c r="A1302" t="s">
        <v>1211</v>
      </c>
    </row>
    <row r="1303" spans="1:7">
      <c r="A1303" t="s">
        <v>1212</v>
      </c>
    </row>
    <row r="1304" spans="1:7">
      <c r="A1304" t="s">
        <v>231</v>
      </c>
      <c r="D1304">
        <v>1809</v>
      </c>
      <c r="E1304">
        <v>696</v>
      </c>
      <c r="G1304">
        <v>2505</v>
      </c>
    </row>
    <row r="1305" spans="1:7">
      <c r="A1305" t="s">
        <v>1059</v>
      </c>
      <c r="B1305">
        <v>505</v>
      </c>
      <c r="G1305">
        <v>505</v>
      </c>
    </row>
    <row r="1306" spans="1:7">
      <c r="A1306" t="s">
        <v>1056</v>
      </c>
    </row>
    <row r="1307" spans="1:7">
      <c r="A1307" t="s">
        <v>1062</v>
      </c>
    </row>
    <row r="1308" spans="1:7">
      <c r="A1308" t="s">
        <v>365</v>
      </c>
      <c r="C1308">
        <v>363</v>
      </c>
      <c r="D1308">
        <v>933</v>
      </c>
      <c r="E1308">
        <v>363</v>
      </c>
      <c r="G1308">
        <v>1659</v>
      </c>
    </row>
    <row r="1309" spans="1:7">
      <c r="A1309" t="s">
        <v>391</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workbookViewId="0">
      <pane ySplit="1" topLeftCell="A2637" activePane="bottomLeft" state="frozen"/>
      <selection pane="bottomLeft" activeCell="A2655" sqref="A2655:F265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2" t="s">
        <v>1132</v>
      </c>
      <c r="B1" s="1453" t="s">
        <v>1135</v>
      </c>
      <c r="C1" s="1455" t="s">
        <v>1129</v>
      </c>
      <c r="D1" s="247" t="s">
        <v>1213</v>
      </c>
      <c r="E1" s="248" t="s">
        <v>1214</v>
      </c>
      <c r="F1" s="247" t="s">
        <v>1215</v>
      </c>
      <c r="G1" s="299" t="s">
        <v>1134</v>
      </c>
    </row>
    <row r="2" spans="1:7" ht="15.75">
      <c r="A2" s="1489" t="s">
        <v>875</v>
      </c>
      <c r="B2" s="1490" t="s">
        <v>652</v>
      </c>
      <c r="C2" s="152">
        <v>45698</v>
      </c>
      <c r="D2" s="141">
        <v>2677</v>
      </c>
      <c r="E2" s="141"/>
      <c r="F2" s="141"/>
      <c r="G2" t="str">
        <f>TEXT(C2,"mmmm")</f>
        <v>February</v>
      </c>
    </row>
    <row r="3" spans="1:7" ht="15.75">
      <c r="A3" s="117" t="s">
        <v>881</v>
      </c>
      <c r="B3" s="242" t="s">
        <v>1141</v>
      </c>
      <c r="C3" s="1456">
        <v>45698</v>
      </c>
      <c r="D3" s="151"/>
      <c r="E3" s="151"/>
      <c r="F3" s="141" t="s">
        <v>1216</v>
      </c>
      <c r="G3" t="str">
        <f t="shared" ref="G3:G66" si="0">TEXT(C3,"mmmm")</f>
        <v>February</v>
      </c>
    </row>
    <row r="4" spans="1:7" ht="15.75">
      <c r="A4" s="1489" t="s">
        <v>871</v>
      </c>
      <c r="B4" s="301" t="s">
        <v>1217</v>
      </c>
      <c r="C4" s="152">
        <v>45699</v>
      </c>
      <c r="D4" s="141">
        <v>202</v>
      </c>
      <c r="E4" s="141"/>
      <c r="F4" s="141"/>
      <c r="G4" t="str">
        <f t="shared" si="0"/>
        <v>February</v>
      </c>
    </row>
    <row r="5" spans="1:7" ht="15.75">
      <c r="A5" s="117" t="s">
        <v>881</v>
      </c>
      <c r="B5" s="242" t="s">
        <v>1141</v>
      </c>
      <c r="C5" s="1456">
        <v>45699</v>
      </c>
      <c r="D5" s="141">
        <v>241</v>
      </c>
      <c r="E5" s="141"/>
      <c r="F5" s="141"/>
      <c r="G5" t="str">
        <f t="shared" si="0"/>
        <v>February</v>
      </c>
    </row>
    <row r="6" spans="1:7" ht="15.75">
      <c r="A6" s="1491" t="s">
        <v>982</v>
      </c>
      <c r="B6" s="1492" t="s">
        <v>670</v>
      </c>
      <c r="C6" s="152">
        <v>45699</v>
      </c>
      <c r="D6" s="141">
        <v>1990</v>
      </c>
      <c r="E6" s="141"/>
      <c r="F6" s="141"/>
      <c r="G6" t="str">
        <f t="shared" si="0"/>
        <v>February</v>
      </c>
    </row>
    <row r="7" spans="1:7" ht="15.75">
      <c r="A7" s="1461" t="s">
        <v>726</v>
      </c>
      <c r="B7" s="1462" t="s">
        <v>1218</v>
      </c>
      <c r="C7" s="152">
        <v>45699</v>
      </c>
      <c r="D7" s="141">
        <v>534</v>
      </c>
      <c r="E7" s="141"/>
      <c r="F7" s="141"/>
      <c r="G7" t="str">
        <f t="shared" si="0"/>
        <v>February</v>
      </c>
    </row>
    <row r="8" spans="1:7" ht="15.75">
      <c r="A8" s="117" t="s">
        <v>881</v>
      </c>
      <c r="B8" s="242" t="s">
        <v>1141</v>
      </c>
      <c r="C8" s="1456">
        <v>45700</v>
      </c>
      <c r="D8" s="141">
        <v>366</v>
      </c>
      <c r="E8" s="141"/>
      <c r="F8" s="141"/>
      <c r="G8" t="str">
        <f t="shared" si="0"/>
        <v>February</v>
      </c>
    </row>
    <row r="9" spans="1:7" ht="15.75">
      <c r="A9" s="1493" t="s">
        <v>982</v>
      </c>
      <c r="B9" s="1494"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3" t="s">
        <v>861</v>
      </c>
      <c r="B11" s="1460" t="s">
        <v>115</v>
      </c>
      <c r="C11" s="152">
        <v>45700</v>
      </c>
      <c r="D11" s="141">
        <v>1426</v>
      </c>
      <c r="E11" s="141"/>
      <c r="F11" s="141"/>
      <c r="G11" t="str">
        <f t="shared" si="0"/>
        <v>February</v>
      </c>
    </row>
    <row r="12" spans="1:7" ht="15.75">
      <c r="A12" s="117" t="s">
        <v>881</v>
      </c>
      <c r="B12" s="242" t="s">
        <v>1141</v>
      </c>
      <c r="C12" s="1456">
        <v>45701</v>
      </c>
      <c r="D12" s="134">
        <v>202</v>
      </c>
      <c r="E12" s="134"/>
      <c r="F12" s="141"/>
      <c r="G12" t="str">
        <f t="shared" si="0"/>
        <v>February</v>
      </c>
    </row>
    <row r="13" spans="1:7" ht="15.75">
      <c r="A13" s="117" t="s">
        <v>722</v>
      </c>
      <c r="B13" s="242" t="s">
        <v>1141</v>
      </c>
      <c r="C13" s="1456">
        <v>45701</v>
      </c>
      <c r="D13" s="134">
        <v>106</v>
      </c>
      <c r="E13" s="134"/>
      <c r="F13" s="141"/>
      <c r="G13" t="str">
        <f t="shared" si="0"/>
        <v>February</v>
      </c>
    </row>
    <row r="14" spans="1:7" ht="15.75">
      <c r="A14" s="1491" t="s">
        <v>726</v>
      </c>
      <c r="B14" s="1494" t="s">
        <v>1218</v>
      </c>
      <c r="C14" s="152">
        <v>45701</v>
      </c>
      <c r="D14" s="134">
        <v>886</v>
      </c>
      <c r="E14" s="134"/>
      <c r="F14" s="141"/>
      <c r="G14" t="str">
        <f t="shared" si="0"/>
        <v>February</v>
      </c>
    </row>
    <row r="15" spans="1:7" ht="15.75">
      <c r="A15" s="1459" t="s">
        <v>861</v>
      </c>
      <c r="B15" s="1460" t="s">
        <v>115</v>
      </c>
      <c r="C15" s="152">
        <v>45701</v>
      </c>
      <c r="D15" s="143">
        <v>1190</v>
      </c>
      <c r="E15" s="143"/>
      <c r="F15" s="142"/>
      <c r="G15" t="str">
        <f t="shared" si="0"/>
        <v>February</v>
      </c>
    </row>
    <row r="16" spans="1:7" ht="15.75">
      <c r="A16" s="117" t="s">
        <v>881</v>
      </c>
      <c r="B16" s="242" t="s">
        <v>1141</v>
      </c>
      <c r="C16" s="1456">
        <v>45702</v>
      </c>
      <c r="D16" s="143">
        <v>120</v>
      </c>
      <c r="E16" s="143"/>
      <c r="F16" s="142"/>
      <c r="G16" t="str">
        <f t="shared" si="0"/>
        <v>February</v>
      </c>
    </row>
    <row r="17" spans="1:7" ht="15.75">
      <c r="A17" s="1491" t="s">
        <v>726</v>
      </c>
      <c r="B17" s="1494" t="s">
        <v>1218</v>
      </c>
      <c r="C17" s="152">
        <v>45702</v>
      </c>
      <c r="D17" s="143">
        <v>202</v>
      </c>
      <c r="E17" s="143"/>
      <c r="F17" s="142"/>
      <c r="G17" t="str">
        <f t="shared" si="0"/>
        <v>February</v>
      </c>
    </row>
    <row r="18" spans="1:7" ht="15.75">
      <c r="A18" s="1459" t="s">
        <v>861</v>
      </c>
      <c r="B18" s="1460" t="s">
        <v>115</v>
      </c>
      <c r="C18" s="152">
        <v>45702</v>
      </c>
      <c r="D18" s="143">
        <v>23</v>
      </c>
      <c r="E18" s="143"/>
      <c r="F18" s="143"/>
      <c r="G18" t="str">
        <f t="shared" si="0"/>
        <v>February</v>
      </c>
    </row>
    <row r="19" spans="1:7" ht="15.75">
      <c r="A19" s="117" t="s">
        <v>858</v>
      </c>
      <c r="B19" s="243" t="s">
        <v>573</v>
      </c>
      <c r="C19" s="1456">
        <v>45702</v>
      </c>
      <c r="D19" s="117">
        <v>1049</v>
      </c>
      <c r="E19" s="117"/>
      <c r="F19" s="118"/>
      <c r="G19" t="str">
        <f t="shared" si="0"/>
        <v>February</v>
      </c>
    </row>
    <row r="20" spans="1:7" ht="15.75">
      <c r="A20" s="1491" t="s">
        <v>881</v>
      </c>
      <c r="B20" s="1492" t="s">
        <v>1141</v>
      </c>
      <c r="C20" s="1457">
        <v>45705</v>
      </c>
      <c r="D20" s="134">
        <v>283</v>
      </c>
      <c r="E20" s="134"/>
      <c r="F20" s="118"/>
      <c r="G20" t="str">
        <f t="shared" si="0"/>
        <v>February</v>
      </c>
    </row>
    <row r="21" spans="1:7">
      <c r="A21" s="1491" t="s">
        <v>726</v>
      </c>
      <c r="B21" s="1494"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9" t="s">
        <v>875</v>
      </c>
      <c r="B28" s="1464" t="s">
        <v>652</v>
      </c>
      <c r="C28" s="153">
        <v>45707</v>
      </c>
      <c r="D28" s="117">
        <v>1319</v>
      </c>
      <c r="E28" s="117"/>
      <c r="F28" s="118"/>
      <c r="G28" t="str">
        <f t="shared" si="0"/>
        <v>February</v>
      </c>
    </row>
    <row r="29" spans="1:7" ht="15.75">
      <c r="A29" s="117" t="s">
        <v>881</v>
      </c>
      <c r="B29" s="242" t="s">
        <v>1141</v>
      </c>
      <c r="C29" s="1457">
        <v>45707</v>
      </c>
      <c r="D29" s="117">
        <v>732</v>
      </c>
      <c r="E29" s="117"/>
      <c r="F29" s="118"/>
      <c r="G29" t="str">
        <f t="shared" si="0"/>
        <v>February</v>
      </c>
    </row>
    <row r="30" spans="1:7">
      <c r="A30" s="1491" t="s">
        <v>726</v>
      </c>
      <c r="B30" s="1494"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9" t="s">
        <v>871</v>
      </c>
      <c r="B34" s="302" t="s">
        <v>1217</v>
      </c>
      <c r="C34" s="153">
        <v>45708</v>
      </c>
      <c r="D34" s="117">
        <v>23</v>
      </c>
      <c r="E34" s="117"/>
      <c r="F34" s="118" t="s">
        <v>1223</v>
      </c>
      <c r="G34" t="str">
        <f t="shared" si="0"/>
        <v>February</v>
      </c>
    </row>
    <row r="35" spans="1:7" ht="15.75">
      <c r="A35" s="117" t="s">
        <v>881</v>
      </c>
      <c r="B35" s="242" t="s">
        <v>1141</v>
      </c>
      <c r="C35" s="1457">
        <v>45708</v>
      </c>
      <c r="D35" s="117">
        <v>309</v>
      </c>
      <c r="E35" s="117"/>
      <c r="F35" s="118" t="s">
        <v>1224</v>
      </c>
      <c r="G35" t="str">
        <f t="shared" si="0"/>
        <v>February</v>
      </c>
    </row>
    <row r="36" spans="1:7">
      <c r="A36" s="1489" t="s">
        <v>726</v>
      </c>
      <c r="B36" s="1498" t="s">
        <v>1218</v>
      </c>
      <c r="C36" s="153">
        <v>45708</v>
      </c>
      <c r="D36" s="117">
        <v>424</v>
      </c>
      <c r="E36" s="117"/>
      <c r="F36" s="118"/>
      <c r="G36" t="str">
        <f t="shared" si="0"/>
        <v>February</v>
      </c>
    </row>
    <row r="37" spans="1:7">
      <c r="A37" s="117" t="s">
        <v>858</v>
      </c>
      <c r="B37" s="243" t="s">
        <v>573</v>
      </c>
      <c r="C37" s="1457">
        <v>45708</v>
      </c>
      <c r="D37" s="117">
        <v>547</v>
      </c>
      <c r="E37" s="117"/>
      <c r="F37" s="118" t="s">
        <v>1225</v>
      </c>
      <c r="G37" t="str">
        <f t="shared" si="0"/>
        <v>February</v>
      </c>
    </row>
    <row r="38" spans="1:7">
      <c r="A38" s="1491"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9" t="s">
        <v>651</v>
      </c>
      <c r="B45" s="1464" t="s">
        <v>652</v>
      </c>
      <c r="C45" s="153">
        <v>45709</v>
      </c>
      <c r="D45" s="117"/>
      <c r="E45" s="117"/>
      <c r="F45" s="118" t="s">
        <v>1228</v>
      </c>
      <c r="G45" t="str">
        <f t="shared" si="0"/>
        <v>February</v>
      </c>
    </row>
    <row r="46" spans="1:7" ht="15.75">
      <c r="A46" s="117" t="s">
        <v>722</v>
      </c>
      <c r="B46" s="242" t="s">
        <v>1141</v>
      </c>
      <c r="C46" s="1457">
        <v>45709</v>
      </c>
      <c r="D46" s="117">
        <v>21</v>
      </c>
      <c r="E46" s="117"/>
      <c r="F46" s="118" t="s">
        <v>1225</v>
      </c>
      <c r="G46" t="str">
        <f t="shared" si="0"/>
        <v>February</v>
      </c>
    </row>
    <row r="47" spans="1:7">
      <c r="A47" s="1491" t="s">
        <v>726</v>
      </c>
      <c r="B47" s="1494" t="s">
        <v>1218</v>
      </c>
      <c r="C47" s="153">
        <v>45709</v>
      </c>
      <c r="D47" s="117">
        <v>19</v>
      </c>
      <c r="E47" s="117"/>
      <c r="F47" s="118" t="s">
        <v>1229</v>
      </c>
      <c r="G47" t="str">
        <f t="shared" si="0"/>
        <v>February</v>
      </c>
    </row>
    <row r="48" spans="1:7" ht="15.75">
      <c r="A48" s="1459" t="s">
        <v>861</v>
      </c>
      <c r="B48" s="1460" t="s">
        <v>115</v>
      </c>
      <c r="C48" s="153">
        <v>45709</v>
      </c>
      <c r="D48" s="117">
        <v>823</v>
      </c>
      <c r="E48" s="117"/>
      <c r="F48" s="118" t="s">
        <v>1225</v>
      </c>
      <c r="G48" t="str">
        <f t="shared" si="0"/>
        <v>February</v>
      </c>
    </row>
    <row r="49" spans="1:7">
      <c r="A49" s="117" t="s">
        <v>858</v>
      </c>
      <c r="B49" s="243" t="s">
        <v>573</v>
      </c>
      <c r="C49" s="1457">
        <v>45709</v>
      </c>
      <c r="D49" s="117">
        <v>792</v>
      </c>
      <c r="E49" s="117"/>
      <c r="F49" s="118" t="s">
        <v>1225</v>
      </c>
      <c r="G49" t="str">
        <f t="shared" si="0"/>
        <v>February</v>
      </c>
    </row>
    <row r="50" spans="1:7">
      <c r="A50" s="1491"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9" t="s">
        <v>851</v>
      </c>
      <c r="B55" s="1464" t="s">
        <v>845</v>
      </c>
      <c r="C55" s="153">
        <v>45709</v>
      </c>
      <c r="D55" s="117">
        <v>2989</v>
      </c>
      <c r="E55" s="117"/>
      <c r="F55" s="118"/>
      <c r="G55" t="str">
        <f t="shared" si="0"/>
        <v>February</v>
      </c>
    </row>
    <row r="56" spans="1:7" ht="15.75">
      <c r="A56" s="117" t="s">
        <v>881</v>
      </c>
      <c r="B56" s="242" t="s">
        <v>1141</v>
      </c>
      <c r="C56" s="1457">
        <v>45712</v>
      </c>
      <c r="D56" s="117">
        <v>73</v>
      </c>
      <c r="E56" s="117"/>
      <c r="F56" s="118"/>
      <c r="G56" t="str">
        <f t="shared" si="0"/>
        <v>February</v>
      </c>
    </row>
    <row r="57" spans="1:7">
      <c r="A57" s="1491" t="s">
        <v>707</v>
      </c>
      <c r="B57" s="1495"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9" t="s">
        <v>651</v>
      </c>
      <c r="B62" s="1462" t="s">
        <v>652</v>
      </c>
      <c r="C62" s="153">
        <v>45713</v>
      </c>
      <c r="D62" s="117"/>
      <c r="E62" s="117"/>
      <c r="F62" s="118"/>
      <c r="G62" t="str">
        <f t="shared" si="0"/>
        <v>February</v>
      </c>
    </row>
    <row r="63" spans="1:7" ht="15.75">
      <c r="A63" s="117" t="s">
        <v>982</v>
      </c>
      <c r="B63" s="242" t="s">
        <v>1141</v>
      </c>
      <c r="C63" s="1457">
        <v>45713</v>
      </c>
      <c r="D63" s="117">
        <v>74</v>
      </c>
      <c r="E63" s="117"/>
      <c r="F63" s="118"/>
      <c r="G63" t="str">
        <f t="shared" si="0"/>
        <v>February</v>
      </c>
    </row>
    <row r="64" spans="1:7">
      <c r="A64" s="1491" t="s">
        <v>821</v>
      </c>
      <c r="B64" s="1494" t="s">
        <v>720</v>
      </c>
      <c r="C64" s="153">
        <v>45713</v>
      </c>
      <c r="D64" s="117"/>
      <c r="E64" s="117"/>
      <c r="F64" s="118"/>
      <c r="G64" t="str">
        <f t="shared" si="0"/>
        <v>February</v>
      </c>
    </row>
    <row r="65" spans="1:7">
      <c r="A65" s="1459" t="s">
        <v>719</v>
      </c>
      <c r="B65" s="1462" t="s">
        <v>720</v>
      </c>
      <c r="C65" s="153">
        <v>45713</v>
      </c>
      <c r="D65" s="117"/>
      <c r="E65" s="117"/>
      <c r="F65" s="118"/>
      <c r="G65" t="str">
        <f t="shared" si="0"/>
        <v>February</v>
      </c>
    </row>
    <row r="66" spans="1:7" ht="15.75">
      <c r="A66" s="117" t="s">
        <v>722</v>
      </c>
      <c r="B66" s="242" t="s">
        <v>1141</v>
      </c>
      <c r="C66" s="1457">
        <v>45713</v>
      </c>
      <c r="D66" s="117"/>
      <c r="E66" s="117"/>
      <c r="F66" s="118"/>
      <c r="G66" t="str">
        <f t="shared" si="0"/>
        <v>February</v>
      </c>
    </row>
    <row r="67" spans="1:7" ht="15.75">
      <c r="A67" s="1491" t="s">
        <v>724</v>
      </c>
      <c r="B67" s="1492"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9" t="s">
        <v>861</v>
      </c>
      <c r="B71" s="1460" t="s">
        <v>115</v>
      </c>
      <c r="C71" s="153">
        <v>45713</v>
      </c>
      <c r="D71" s="117"/>
      <c r="E71" s="117"/>
      <c r="F71" s="118"/>
      <c r="G71" t="str">
        <f t="shared" si="1"/>
        <v>February</v>
      </c>
    </row>
    <row r="72" spans="1:7">
      <c r="A72" s="117" t="s">
        <v>858</v>
      </c>
      <c r="B72" s="243" t="s">
        <v>573</v>
      </c>
      <c r="C72" s="1457">
        <v>45713</v>
      </c>
      <c r="D72" s="117">
        <v>1277</v>
      </c>
      <c r="E72" s="117"/>
      <c r="F72" s="118" t="s">
        <v>1233</v>
      </c>
      <c r="G72" t="str">
        <f t="shared" si="1"/>
        <v>February</v>
      </c>
    </row>
    <row r="73" spans="1:7">
      <c r="A73" s="1491"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9" t="s">
        <v>875</v>
      </c>
      <c r="B84" s="1462" t="s">
        <v>652</v>
      </c>
      <c r="C84" s="153">
        <v>45714</v>
      </c>
      <c r="D84" s="117"/>
      <c r="E84" s="117"/>
      <c r="F84" s="118"/>
      <c r="G84" t="str">
        <f t="shared" si="1"/>
        <v>February</v>
      </c>
    </row>
    <row r="85" spans="1:7" ht="15.75">
      <c r="A85" s="117" t="s">
        <v>881</v>
      </c>
      <c r="B85" s="242" t="s">
        <v>1141</v>
      </c>
      <c r="C85" s="1457">
        <v>45714</v>
      </c>
      <c r="D85" s="117">
        <v>25</v>
      </c>
      <c r="E85" s="117"/>
      <c r="F85" s="118"/>
      <c r="G85" t="str">
        <f t="shared" si="1"/>
        <v>February</v>
      </c>
    </row>
    <row r="86" spans="1:7">
      <c r="A86" s="1491" t="s">
        <v>927</v>
      </c>
      <c r="B86" s="340" t="s">
        <v>836</v>
      </c>
      <c r="C86" s="153">
        <v>45714</v>
      </c>
      <c r="D86" s="117"/>
      <c r="E86" s="117"/>
      <c r="F86" s="118"/>
      <c r="G86" t="str">
        <f t="shared" si="1"/>
        <v>February</v>
      </c>
    </row>
    <row r="87" spans="1:7">
      <c r="A87" s="1459" t="s">
        <v>651</v>
      </c>
      <c r="B87" s="1462" t="s">
        <v>652</v>
      </c>
      <c r="C87" s="153">
        <v>45714</v>
      </c>
      <c r="D87" s="117"/>
      <c r="E87" s="117"/>
      <c r="F87" s="118"/>
      <c r="G87" t="str">
        <f t="shared" si="1"/>
        <v>February</v>
      </c>
    </row>
    <row r="88" spans="1:7" ht="15.75">
      <c r="A88" s="117" t="s">
        <v>982</v>
      </c>
      <c r="B88" s="242" t="s">
        <v>1141</v>
      </c>
      <c r="C88" s="1457">
        <v>45714</v>
      </c>
      <c r="D88" s="117">
        <v>671</v>
      </c>
      <c r="E88" s="117"/>
      <c r="F88" s="118"/>
      <c r="G88" t="str">
        <f t="shared" si="1"/>
        <v>February</v>
      </c>
    </row>
    <row r="89" spans="1:7">
      <c r="A89" s="1491" t="s">
        <v>821</v>
      </c>
      <c r="B89" s="1494" t="s">
        <v>720</v>
      </c>
      <c r="C89" s="153">
        <v>45714</v>
      </c>
      <c r="D89" s="117"/>
      <c r="E89" s="117"/>
      <c r="F89" s="118"/>
      <c r="G89" t="str">
        <f t="shared" si="1"/>
        <v>February</v>
      </c>
    </row>
    <row r="90" spans="1:7">
      <c r="A90" s="1459" t="s">
        <v>719</v>
      </c>
      <c r="B90" s="1462" t="s">
        <v>720</v>
      </c>
      <c r="C90" s="153">
        <v>45714</v>
      </c>
      <c r="D90" s="117"/>
      <c r="E90" s="117"/>
      <c r="F90" s="118"/>
      <c r="G90" t="str">
        <f t="shared" si="1"/>
        <v>February</v>
      </c>
    </row>
    <row r="91" spans="1:7" ht="15.75">
      <c r="A91" s="117" t="s">
        <v>722</v>
      </c>
      <c r="B91" s="242" t="s">
        <v>1141</v>
      </c>
      <c r="C91" s="1457">
        <v>45714</v>
      </c>
      <c r="D91" s="117"/>
      <c r="E91" s="117"/>
      <c r="F91" s="118"/>
      <c r="G91" t="str">
        <f t="shared" si="1"/>
        <v>February</v>
      </c>
    </row>
    <row r="92" spans="1:7" ht="15.75">
      <c r="A92" s="1491" t="s">
        <v>724</v>
      </c>
      <c r="B92" s="1492"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9" t="s">
        <v>861</v>
      </c>
      <c r="B96" s="1460" t="s">
        <v>115</v>
      </c>
      <c r="C96" s="153">
        <v>45714</v>
      </c>
      <c r="D96" s="117"/>
      <c r="E96" s="117"/>
      <c r="F96" s="118"/>
      <c r="G96" t="str">
        <f t="shared" si="1"/>
        <v>February</v>
      </c>
    </row>
    <row r="97" spans="1:7">
      <c r="A97" s="117" t="s">
        <v>858</v>
      </c>
      <c r="B97" s="243" t="s">
        <v>573</v>
      </c>
      <c r="C97" s="1457">
        <v>45714</v>
      </c>
      <c r="D97" s="117">
        <v>1721</v>
      </c>
      <c r="E97" s="117"/>
      <c r="F97" s="118" t="s">
        <v>1237</v>
      </c>
      <c r="G97" t="str">
        <f t="shared" si="1"/>
        <v>February</v>
      </c>
    </row>
    <row r="98" spans="1:7">
      <c r="A98" s="1491"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9" t="s">
        <v>875</v>
      </c>
      <c r="B115" s="1462" t="s">
        <v>652</v>
      </c>
      <c r="C115" s="122">
        <v>45715</v>
      </c>
      <c r="D115" s="118"/>
      <c r="E115" s="118"/>
      <c r="F115" s="118"/>
      <c r="G115" t="str">
        <f t="shared" si="1"/>
        <v>February</v>
      </c>
    </row>
    <row r="116" spans="1:7" ht="15.75">
      <c r="A116" s="117" t="s">
        <v>881</v>
      </c>
      <c r="B116" s="242" t="s">
        <v>1141</v>
      </c>
      <c r="C116" s="1458">
        <v>45715</v>
      </c>
      <c r="D116" s="118"/>
      <c r="E116" s="118"/>
      <c r="F116" s="134" t="s">
        <v>1240</v>
      </c>
      <c r="G116" t="str">
        <f t="shared" si="1"/>
        <v>February</v>
      </c>
    </row>
    <row r="117" spans="1:7">
      <c r="A117" s="1491" t="s">
        <v>927</v>
      </c>
      <c r="B117" s="340" t="s">
        <v>836</v>
      </c>
      <c r="C117" s="122">
        <v>45715</v>
      </c>
      <c r="D117" s="118">
        <v>437</v>
      </c>
      <c r="E117" s="118"/>
      <c r="F117" s="118" t="s">
        <v>1241</v>
      </c>
      <c r="G117" t="str">
        <f t="shared" si="1"/>
        <v>February</v>
      </c>
    </row>
    <row r="118" spans="1:7">
      <c r="A118" s="1459" t="s">
        <v>651</v>
      </c>
      <c r="B118" s="1462" t="s">
        <v>652</v>
      </c>
      <c r="C118" s="122">
        <v>45715</v>
      </c>
      <c r="D118" s="118"/>
      <c r="E118" s="118"/>
      <c r="F118" s="118"/>
      <c r="G118" t="str">
        <f t="shared" si="1"/>
        <v>February</v>
      </c>
    </row>
    <row r="119" spans="1:7" ht="15.75">
      <c r="A119" s="117" t="s">
        <v>982</v>
      </c>
      <c r="B119" s="242" t="s">
        <v>1141</v>
      </c>
      <c r="C119" s="1458">
        <v>45715</v>
      </c>
      <c r="D119" s="118"/>
      <c r="E119" s="118"/>
      <c r="F119" s="118"/>
      <c r="G119" t="str">
        <f t="shared" si="1"/>
        <v>February</v>
      </c>
    </row>
    <row r="120" spans="1:7">
      <c r="A120" s="1491" t="s">
        <v>821</v>
      </c>
      <c r="B120" s="1494" t="s">
        <v>720</v>
      </c>
      <c r="C120" s="122">
        <v>45715</v>
      </c>
      <c r="D120" s="118"/>
      <c r="E120" s="118"/>
      <c r="F120" s="118"/>
      <c r="G120" t="str">
        <f t="shared" si="1"/>
        <v>February</v>
      </c>
    </row>
    <row r="121" spans="1:7">
      <c r="A121" s="1459" t="s">
        <v>719</v>
      </c>
      <c r="B121" s="1462" t="s">
        <v>720</v>
      </c>
      <c r="C121" s="122">
        <v>45715</v>
      </c>
      <c r="D121" s="118"/>
      <c r="E121" s="118"/>
      <c r="F121" s="118"/>
      <c r="G121" t="str">
        <f t="shared" si="1"/>
        <v>February</v>
      </c>
    </row>
    <row r="122" spans="1:7" ht="15.75">
      <c r="A122" s="117" t="s">
        <v>722</v>
      </c>
      <c r="B122" s="242" t="s">
        <v>1141</v>
      </c>
      <c r="C122" s="1458">
        <v>45715</v>
      </c>
      <c r="D122" s="118"/>
      <c r="E122" s="118"/>
      <c r="F122" s="134" t="s">
        <v>1242</v>
      </c>
      <c r="G122" t="str">
        <f t="shared" si="1"/>
        <v>February</v>
      </c>
    </row>
    <row r="123" spans="1:7" ht="15.75">
      <c r="A123" s="1491" t="s">
        <v>724</v>
      </c>
      <c r="B123" s="1492"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9" t="s">
        <v>861</v>
      </c>
      <c r="B127" s="1460" t="s">
        <v>115</v>
      </c>
      <c r="C127" s="122">
        <v>45715</v>
      </c>
      <c r="D127" s="118">
        <v>1422</v>
      </c>
      <c r="E127" s="118"/>
      <c r="F127" s="134" t="s">
        <v>1232</v>
      </c>
      <c r="G127" t="str">
        <f t="shared" si="1"/>
        <v>February</v>
      </c>
    </row>
    <row r="128" spans="1:7">
      <c r="A128" s="117" t="s">
        <v>858</v>
      </c>
      <c r="B128" s="243" t="s">
        <v>573</v>
      </c>
      <c r="C128" s="1458">
        <v>45715</v>
      </c>
      <c r="D128" s="118">
        <v>670</v>
      </c>
      <c r="E128" s="118"/>
      <c r="F128" s="134" t="s">
        <v>1216</v>
      </c>
      <c r="G128" t="str">
        <f t="shared" si="1"/>
        <v>February</v>
      </c>
    </row>
    <row r="129" spans="1:7">
      <c r="A129" s="1491"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9" t="s">
        <v>875</v>
      </c>
      <c r="B146" s="1462" t="s">
        <v>652</v>
      </c>
      <c r="C146" s="122">
        <v>45716</v>
      </c>
      <c r="D146" s="123" t="s">
        <v>1243</v>
      </c>
      <c r="E146" s="123"/>
      <c r="F146" s="118"/>
      <c r="G146" t="str">
        <f t="shared" si="2"/>
        <v>February</v>
      </c>
    </row>
    <row r="147" spans="1:7" ht="15.75">
      <c r="A147" s="117" t="s">
        <v>881</v>
      </c>
      <c r="B147" s="242" t="s">
        <v>1141</v>
      </c>
      <c r="C147" s="1458">
        <v>45716</v>
      </c>
      <c r="D147" s="123"/>
      <c r="E147" s="123"/>
      <c r="F147" s="123" t="s">
        <v>1240</v>
      </c>
      <c r="G147" t="str">
        <f t="shared" si="2"/>
        <v>February</v>
      </c>
    </row>
    <row r="148" spans="1:7">
      <c r="A148" s="1491" t="s">
        <v>927</v>
      </c>
      <c r="B148" s="340" t="s">
        <v>836</v>
      </c>
      <c r="C148" s="122">
        <v>45716</v>
      </c>
      <c r="D148" s="123" t="s">
        <v>1243</v>
      </c>
      <c r="E148" s="123"/>
      <c r="F148" s="118"/>
      <c r="G148" t="str">
        <f t="shared" si="2"/>
        <v>February</v>
      </c>
    </row>
    <row r="149" spans="1:7">
      <c r="A149" s="1459" t="s">
        <v>651</v>
      </c>
      <c r="B149" s="1462" t="s">
        <v>652</v>
      </c>
      <c r="C149" s="122">
        <v>45716</v>
      </c>
      <c r="D149" s="123" t="s">
        <v>1243</v>
      </c>
      <c r="E149" s="123"/>
      <c r="F149" s="118"/>
      <c r="G149" t="str">
        <f t="shared" si="2"/>
        <v>February</v>
      </c>
    </row>
    <row r="150" spans="1:7" ht="15.75">
      <c r="A150" s="117" t="s">
        <v>982</v>
      </c>
      <c r="B150" s="242" t="s">
        <v>1141</v>
      </c>
      <c r="C150" s="1458">
        <v>45716</v>
      </c>
      <c r="D150" s="123" t="s">
        <v>1243</v>
      </c>
      <c r="E150" s="123"/>
      <c r="F150" s="118"/>
      <c r="G150" t="str">
        <f t="shared" si="2"/>
        <v>February</v>
      </c>
    </row>
    <row r="151" spans="1:7">
      <c r="A151" s="1491" t="s">
        <v>821</v>
      </c>
      <c r="B151" s="1494" t="s">
        <v>720</v>
      </c>
      <c r="C151" s="122">
        <v>45716</v>
      </c>
      <c r="D151" s="123" t="s">
        <v>1243</v>
      </c>
      <c r="E151" s="123"/>
      <c r="F151" s="118"/>
      <c r="G151" t="str">
        <f t="shared" si="2"/>
        <v>February</v>
      </c>
    </row>
    <row r="152" spans="1:7">
      <c r="A152" s="1459" t="s">
        <v>719</v>
      </c>
      <c r="B152" s="1462" t="s">
        <v>720</v>
      </c>
      <c r="C152" s="122">
        <v>45716</v>
      </c>
      <c r="D152" s="123" t="s">
        <v>1243</v>
      </c>
      <c r="E152" s="123"/>
      <c r="F152" s="118"/>
      <c r="G152" t="str">
        <f t="shared" si="2"/>
        <v>February</v>
      </c>
    </row>
    <row r="153" spans="1:7" ht="15.75">
      <c r="A153" s="117" t="s">
        <v>722</v>
      </c>
      <c r="B153" s="242" t="s">
        <v>1141</v>
      </c>
      <c r="C153" s="1458">
        <v>45716</v>
      </c>
      <c r="D153" s="123">
        <v>3</v>
      </c>
      <c r="E153" s="123"/>
      <c r="F153" s="109" t="s">
        <v>1245</v>
      </c>
      <c r="G153" t="str">
        <f t="shared" si="2"/>
        <v>February</v>
      </c>
    </row>
    <row r="154" spans="1:7" ht="15.75">
      <c r="A154" s="1491" t="s">
        <v>724</v>
      </c>
      <c r="B154" s="1492"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9" t="s">
        <v>861</v>
      </c>
      <c r="B158" s="1460" t="s">
        <v>115</v>
      </c>
      <c r="C158" s="122">
        <v>45716</v>
      </c>
      <c r="D158" s="123">
        <v>946</v>
      </c>
      <c r="E158" s="123"/>
      <c r="F158" s="109" t="s">
        <v>1225</v>
      </c>
      <c r="G158" t="str">
        <f t="shared" si="2"/>
        <v>February</v>
      </c>
    </row>
    <row r="159" spans="1:7">
      <c r="A159" s="117" t="s">
        <v>858</v>
      </c>
      <c r="B159" s="243" t="s">
        <v>573</v>
      </c>
      <c r="C159" s="1458">
        <v>45716</v>
      </c>
      <c r="D159" s="123" t="s">
        <v>1243</v>
      </c>
      <c r="E159" s="123"/>
      <c r="F159" s="118"/>
      <c r="G159" t="str">
        <f t="shared" si="2"/>
        <v>February</v>
      </c>
    </row>
    <row r="160" spans="1:7">
      <c r="A160" s="1491"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9" t="s">
        <v>875</v>
      </c>
      <c r="B177" s="1462" t="s">
        <v>652</v>
      </c>
      <c r="C177" s="122">
        <v>45719</v>
      </c>
      <c r="D177" s="123" t="s">
        <v>1243</v>
      </c>
      <c r="E177" s="123"/>
      <c r="F177" s="118"/>
      <c r="G177" t="str">
        <f t="shared" si="2"/>
        <v>March</v>
      </c>
    </row>
    <row r="178" spans="1:7" ht="15.75">
      <c r="A178" s="117" t="s">
        <v>881</v>
      </c>
      <c r="B178" s="242" t="s">
        <v>1141</v>
      </c>
      <c r="C178" s="1458">
        <v>45719</v>
      </c>
      <c r="D178" s="123" t="s">
        <v>1243</v>
      </c>
      <c r="E178" s="123"/>
      <c r="F178" s="118"/>
      <c r="G178" t="str">
        <f t="shared" si="2"/>
        <v>March</v>
      </c>
    </row>
    <row r="179" spans="1:7">
      <c r="A179" s="1491" t="s">
        <v>927</v>
      </c>
      <c r="B179" s="340" t="s">
        <v>836</v>
      </c>
      <c r="C179" s="122">
        <v>45719</v>
      </c>
      <c r="D179" s="123" t="s">
        <v>1243</v>
      </c>
      <c r="E179" s="123"/>
      <c r="F179" s="118"/>
      <c r="G179" t="str">
        <f t="shared" si="2"/>
        <v>March</v>
      </c>
    </row>
    <row r="180" spans="1:7">
      <c r="A180" s="1459" t="s">
        <v>651</v>
      </c>
      <c r="B180" s="1462" t="s">
        <v>652</v>
      </c>
      <c r="C180" s="122">
        <v>45719</v>
      </c>
      <c r="D180" s="123" t="s">
        <v>1243</v>
      </c>
      <c r="E180" s="123"/>
      <c r="F180" s="118"/>
      <c r="G180" t="str">
        <f t="shared" si="2"/>
        <v>March</v>
      </c>
    </row>
    <row r="181" spans="1:7" ht="15.75">
      <c r="A181" s="117" t="s">
        <v>982</v>
      </c>
      <c r="B181" s="242" t="s">
        <v>1141</v>
      </c>
      <c r="C181" s="1458">
        <v>45719</v>
      </c>
      <c r="D181" s="123">
        <v>363</v>
      </c>
      <c r="E181" s="123"/>
      <c r="F181" s="118"/>
      <c r="G181" t="str">
        <f t="shared" si="2"/>
        <v>March</v>
      </c>
    </row>
    <row r="182" spans="1:7">
      <c r="A182" s="1491" t="s">
        <v>821</v>
      </c>
      <c r="B182" s="1494" t="s">
        <v>720</v>
      </c>
      <c r="C182" s="122">
        <v>45719</v>
      </c>
      <c r="D182" s="123" t="s">
        <v>1243</v>
      </c>
      <c r="E182" s="123"/>
      <c r="F182" s="118"/>
      <c r="G182" t="str">
        <f t="shared" si="2"/>
        <v>March</v>
      </c>
    </row>
    <row r="183" spans="1:7">
      <c r="A183" s="1459" t="s">
        <v>719</v>
      </c>
      <c r="B183" s="1462" t="s">
        <v>720</v>
      </c>
      <c r="C183" s="122">
        <v>45719</v>
      </c>
      <c r="D183" s="123" t="s">
        <v>1243</v>
      </c>
      <c r="E183" s="123"/>
      <c r="F183" s="118"/>
      <c r="G183" t="str">
        <f t="shared" si="2"/>
        <v>March</v>
      </c>
    </row>
    <row r="184" spans="1:7" ht="15.75">
      <c r="A184" s="117" t="s">
        <v>722</v>
      </c>
      <c r="B184" s="242" t="s">
        <v>1141</v>
      </c>
      <c r="C184" s="1458">
        <v>45719</v>
      </c>
      <c r="D184" s="123" t="s">
        <v>1243</v>
      </c>
      <c r="E184" s="123"/>
      <c r="F184" s="118"/>
      <c r="G184" t="str">
        <f t="shared" si="2"/>
        <v>March</v>
      </c>
    </row>
    <row r="185" spans="1:7" ht="15.75">
      <c r="A185" s="1491" t="s">
        <v>724</v>
      </c>
      <c r="B185" s="1492"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9" t="s">
        <v>861</v>
      </c>
      <c r="B189" s="1460" t="s">
        <v>115</v>
      </c>
      <c r="C189" s="122">
        <v>45719</v>
      </c>
      <c r="D189" s="123" t="s">
        <v>1243</v>
      </c>
      <c r="E189" s="123"/>
      <c r="F189" s="118"/>
      <c r="G189" t="str">
        <f t="shared" si="2"/>
        <v>March</v>
      </c>
    </row>
    <row r="190" spans="1:7">
      <c r="A190" s="117" t="s">
        <v>858</v>
      </c>
      <c r="B190" s="243" t="s">
        <v>573</v>
      </c>
      <c r="C190" s="1458">
        <v>45719</v>
      </c>
      <c r="D190" s="123" t="s">
        <v>1243</v>
      </c>
      <c r="E190" s="123"/>
      <c r="F190" s="118"/>
      <c r="G190" t="str">
        <f t="shared" si="2"/>
        <v>March</v>
      </c>
    </row>
    <row r="191" spans="1:7">
      <c r="A191" s="1491"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9" t="s">
        <v>871</v>
      </c>
      <c r="B210" s="302" t="s">
        <v>1217</v>
      </c>
      <c r="C210" s="122">
        <v>45720</v>
      </c>
      <c r="D210" s="123" t="s">
        <v>1243</v>
      </c>
      <c r="E210" s="123"/>
      <c r="F210" s="118"/>
      <c r="G210" t="str">
        <f t="shared" si="3"/>
        <v>March</v>
      </c>
      <c r="H210" s="132"/>
    </row>
    <row r="211" spans="1:8" ht="15.75">
      <c r="A211" s="117" t="s">
        <v>881</v>
      </c>
      <c r="B211" s="242" t="s">
        <v>1141</v>
      </c>
      <c r="C211" s="1458">
        <v>45720</v>
      </c>
      <c r="D211" s="123">
        <v>414</v>
      </c>
      <c r="E211" s="123"/>
      <c r="F211" s="118"/>
      <c r="G211" t="str">
        <f t="shared" si="3"/>
        <v>March</v>
      </c>
    </row>
    <row r="212" spans="1:8" ht="15.75">
      <c r="A212" s="117" t="s">
        <v>982</v>
      </c>
      <c r="B212" s="242" t="s">
        <v>1141</v>
      </c>
      <c r="C212" s="1458">
        <v>45720</v>
      </c>
      <c r="D212" s="123">
        <v>171</v>
      </c>
      <c r="E212" s="123"/>
      <c r="F212" s="118"/>
      <c r="G212" t="str">
        <f t="shared" si="3"/>
        <v>March</v>
      </c>
    </row>
    <row r="213" spans="1:8">
      <c r="A213" s="1489" t="s">
        <v>726</v>
      </c>
      <c r="B213" s="1498" t="s">
        <v>1218</v>
      </c>
      <c r="C213" s="122">
        <v>45720</v>
      </c>
      <c r="D213" s="123"/>
      <c r="E213" s="123"/>
      <c r="F213" s="123" t="s">
        <v>1250</v>
      </c>
      <c r="G213" t="str">
        <f t="shared" si="3"/>
        <v>March</v>
      </c>
    </row>
    <row r="214" spans="1:8">
      <c r="A214" s="117" t="s">
        <v>858</v>
      </c>
      <c r="B214" s="243" t="s">
        <v>573</v>
      </c>
      <c r="C214" s="1458">
        <v>45720</v>
      </c>
      <c r="D214" s="123"/>
      <c r="E214" s="123"/>
      <c r="F214" s="134" t="s">
        <v>1251</v>
      </c>
      <c r="G214" t="str">
        <f t="shared" si="3"/>
        <v>March</v>
      </c>
    </row>
    <row r="215" spans="1:8">
      <c r="A215" s="1491"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9" t="s">
        <v>960</v>
      </c>
      <c r="B223" s="1465" t="s">
        <v>937</v>
      </c>
      <c r="C223" s="122">
        <v>45720</v>
      </c>
      <c r="D223" s="123" t="s">
        <v>1243</v>
      </c>
      <c r="E223" s="123"/>
      <c r="F223" s="118"/>
      <c r="G223" t="str">
        <f t="shared" si="3"/>
        <v>March</v>
      </c>
    </row>
    <row r="224" spans="1:8" ht="15.75">
      <c r="A224" s="117" t="s">
        <v>1146</v>
      </c>
      <c r="B224" s="242" t="s">
        <v>1141</v>
      </c>
      <c r="C224" s="1458">
        <v>45720</v>
      </c>
      <c r="D224" s="123">
        <v>285</v>
      </c>
      <c r="E224" s="123"/>
      <c r="F224" s="118"/>
      <c r="G224" t="str">
        <f t="shared" si="3"/>
        <v>March</v>
      </c>
    </row>
    <row r="225" spans="1:7">
      <c r="A225" s="1491" t="s">
        <v>871</v>
      </c>
      <c r="B225" s="300" t="s">
        <v>1217</v>
      </c>
      <c r="C225" s="122">
        <v>45721</v>
      </c>
      <c r="D225" s="123">
        <v>0</v>
      </c>
      <c r="E225" s="123"/>
      <c r="F225" s="118"/>
      <c r="G225" t="str">
        <f t="shared" si="3"/>
        <v>March</v>
      </c>
    </row>
    <row r="226" spans="1:7">
      <c r="A226" s="1459" t="s">
        <v>875</v>
      </c>
      <c r="B226" s="1462" t="s">
        <v>652</v>
      </c>
      <c r="C226" s="122">
        <v>45721</v>
      </c>
      <c r="D226" s="123">
        <v>0</v>
      </c>
      <c r="E226" s="123"/>
      <c r="F226" s="118"/>
      <c r="G226" t="str">
        <f t="shared" si="3"/>
        <v>March</v>
      </c>
    </row>
    <row r="227" spans="1:7" ht="15.75">
      <c r="A227" s="117" t="s">
        <v>881</v>
      </c>
      <c r="B227" s="242" t="s">
        <v>1141</v>
      </c>
      <c r="C227" s="1458">
        <v>45721</v>
      </c>
      <c r="D227" s="123">
        <v>367</v>
      </c>
      <c r="E227" s="123"/>
      <c r="F227" s="118"/>
      <c r="G227" t="str">
        <f t="shared" si="3"/>
        <v>March</v>
      </c>
    </row>
    <row r="228" spans="1:7">
      <c r="A228" s="1491" t="s">
        <v>927</v>
      </c>
      <c r="B228" s="340" t="s">
        <v>836</v>
      </c>
      <c r="C228" s="122">
        <v>45721</v>
      </c>
      <c r="D228" s="123">
        <v>0</v>
      </c>
      <c r="E228" s="123"/>
      <c r="F228" s="118"/>
      <c r="G228" t="str">
        <f t="shared" si="3"/>
        <v>March</v>
      </c>
    </row>
    <row r="229" spans="1:7">
      <c r="A229" s="1459" t="s">
        <v>651</v>
      </c>
      <c r="B229" s="1462" t="s">
        <v>652</v>
      </c>
      <c r="C229" s="122">
        <v>45721</v>
      </c>
      <c r="D229" s="123">
        <v>0</v>
      </c>
      <c r="E229" s="123"/>
      <c r="F229" s="118"/>
      <c r="G229" t="str">
        <f t="shared" si="3"/>
        <v>March</v>
      </c>
    </row>
    <row r="230" spans="1:7" ht="15.75">
      <c r="A230" s="117" t="s">
        <v>982</v>
      </c>
      <c r="B230" s="242" t="s">
        <v>1141</v>
      </c>
      <c r="C230" s="1458">
        <v>45721</v>
      </c>
      <c r="D230" s="123">
        <v>0</v>
      </c>
      <c r="E230" s="123"/>
      <c r="F230" s="118"/>
      <c r="G230" t="str">
        <f t="shared" si="3"/>
        <v>March</v>
      </c>
    </row>
    <row r="231" spans="1:7">
      <c r="A231" s="1491" t="s">
        <v>821</v>
      </c>
      <c r="B231" s="1494" t="s">
        <v>720</v>
      </c>
      <c r="C231" s="122">
        <v>45721</v>
      </c>
      <c r="D231" s="123">
        <v>0</v>
      </c>
      <c r="E231" s="123"/>
      <c r="F231" s="118"/>
      <c r="G231" t="str">
        <f t="shared" si="3"/>
        <v>March</v>
      </c>
    </row>
    <row r="232" spans="1:7">
      <c r="A232" s="1459" t="s">
        <v>719</v>
      </c>
      <c r="B232" s="1462" t="s">
        <v>720</v>
      </c>
      <c r="C232" s="122">
        <v>45721</v>
      </c>
      <c r="D232" s="123">
        <v>0</v>
      </c>
      <c r="E232" s="123"/>
      <c r="F232" s="118"/>
      <c r="G232" t="str">
        <f t="shared" si="3"/>
        <v>March</v>
      </c>
    </row>
    <row r="233" spans="1:7" ht="15.75">
      <c r="A233" s="117" t="s">
        <v>722</v>
      </c>
      <c r="B233" s="242" t="s">
        <v>1141</v>
      </c>
      <c r="C233" s="1458">
        <v>45721</v>
      </c>
      <c r="D233" s="123">
        <v>0</v>
      </c>
      <c r="E233" s="123"/>
      <c r="F233" s="123" t="s">
        <v>1254</v>
      </c>
      <c r="G233" t="str">
        <f t="shared" si="3"/>
        <v>March</v>
      </c>
    </row>
    <row r="234" spans="1:7" ht="15.75">
      <c r="A234" s="1491" t="s">
        <v>724</v>
      </c>
      <c r="B234" s="1492"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9" t="s">
        <v>861</v>
      </c>
      <c r="B238" s="1460" t="s">
        <v>115</v>
      </c>
      <c r="C238" s="122">
        <v>45721</v>
      </c>
      <c r="D238" s="123">
        <v>0</v>
      </c>
      <c r="E238" s="123"/>
      <c r="F238" s="118"/>
      <c r="G238" t="str">
        <f t="shared" si="3"/>
        <v>March</v>
      </c>
    </row>
    <row r="239" spans="1:7">
      <c r="A239" s="117" t="s">
        <v>858</v>
      </c>
      <c r="B239" s="243" t="s">
        <v>573</v>
      </c>
      <c r="C239" s="1458">
        <v>45721</v>
      </c>
      <c r="D239" s="123">
        <v>0</v>
      </c>
      <c r="E239" s="123"/>
      <c r="F239" s="118"/>
      <c r="G239" t="str">
        <f t="shared" si="3"/>
        <v>March</v>
      </c>
    </row>
    <row r="240" spans="1:7">
      <c r="A240" s="1491"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9" t="s">
        <v>960</v>
      </c>
      <c r="B258" s="1465" t="s">
        <v>937</v>
      </c>
      <c r="C258" s="122">
        <v>45721</v>
      </c>
      <c r="D258" s="123">
        <v>0</v>
      </c>
      <c r="E258" s="123"/>
      <c r="F258" s="118"/>
      <c r="G258" t="str">
        <f t="shared" si="3"/>
        <v>March</v>
      </c>
    </row>
    <row r="259" spans="1:7" ht="15.75">
      <c r="A259" s="118" t="s">
        <v>690</v>
      </c>
      <c r="B259" s="242" t="s">
        <v>1141</v>
      </c>
      <c r="C259" s="1458">
        <v>45721</v>
      </c>
      <c r="D259" s="123">
        <v>617</v>
      </c>
      <c r="E259" s="123"/>
      <c r="F259" s="118"/>
      <c r="G259" t="str">
        <f t="shared" ref="G259:G322" si="4">TEXT(C259,"mmmm")</f>
        <v>March</v>
      </c>
    </row>
    <row r="260" spans="1:7" ht="15.75">
      <c r="A260" s="1496" t="s">
        <v>969</v>
      </c>
      <c r="B260" s="1490" t="s">
        <v>115</v>
      </c>
      <c r="C260" s="122">
        <v>45721</v>
      </c>
      <c r="D260" s="123">
        <v>700</v>
      </c>
      <c r="E260" s="123"/>
      <c r="F260" s="109" t="s">
        <v>1225</v>
      </c>
      <c r="G260" t="str">
        <f t="shared" si="4"/>
        <v>March</v>
      </c>
    </row>
    <row r="261" spans="1:7" ht="15.75">
      <c r="A261" s="118" t="s">
        <v>787</v>
      </c>
      <c r="B261" s="242" t="s">
        <v>1141</v>
      </c>
      <c r="C261" s="1458">
        <v>45721</v>
      </c>
      <c r="D261" s="123">
        <v>200</v>
      </c>
      <c r="E261" s="123"/>
      <c r="F261" s="118"/>
      <c r="G261" t="str">
        <f t="shared" si="4"/>
        <v>March</v>
      </c>
    </row>
    <row r="262" spans="1:7">
      <c r="A262" s="1491" t="s">
        <v>871</v>
      </c>
      <c r="B262" s="300" t="s">
        <v>1217</v>
      </c>
      <c r="C262" s="122">
        <v>45722</v>
      </c>
      <c r="D262" s="134">
        <v>0</v>
      </c>
      <c r="E262" s="134"/>
      <c r="F262" s="118"/>
      <c r="G262" t="str">
        <f t="shared" si="4"/>
        <v>March</v>
      </c>
    </row>
    <row r="263" spans="1:7">
      <c r="A263" s="1459" t="s">
        <v>875</v>
      </c>
      <c r="B263" s="1462" t="s">
        <v>652</v>
      </c>
      <c r="C263" s="122">
        <v>45722</v>
      </c>
      <c r="D263" s="134">
        <v>0</v>
      </c>
      <c r="E263" s="134"/>
      <c r="F263" s="118"/>
      <c r="G263" t="str">
        <f t="shared" si="4"/>
        <v>March</v>
      </c>
    </row>
    <row r="264" spans="1:7" ht="15.75">
      <c r="A264" s="117" t="s">
        <v>881</v>
      </c>
      <c r="B264" s="242" t="s">
        <v>1141</v>
      </c>
      <c r="C264" s="1458">
        <v>45722</v>
      </c>
      <c r="D264" s="134">
        <v>245</v>
      </c>
      <c r="E264" s="134"/>
      <c r="F264" s="109" t="s">
        <v>1232</v>
      </c>
      <c r="G264" t="str">
        <f t="shared" si="4"/>
        <v>March</v>
      </c>
    </row>
    <row r="265" spans="1:7">
      <c r="A265" s="1491" t="s">
        <v>927</v>
      </c>
      <c r="B265" s="340" t="s">
        <v>836</v>
      </c>
      <c r="C265" s="122">
        <v>45722</v>
      </c>
      <c r="D265" s="134">
        <v>0</v>
      </c>
      <c r="E265" s="134"/>
      <c r="F265" s="118"/>
      <c r="G265" t="str">
        <f t="shared" si="4"/>
        <v>March</v>
      </c>
    </row>
    <row r="266" spans="1:7">
      <c r="A266" s="1459" t="s">
        <v>651</v>
      </c>
      <c r="B266" s="1462" t="s">
        <v>652</v>
      </c>
      <c r="C266" s="122">
        <v>45722</v>
      </c>
      <c r="D266" s="134">
        <v>0</v>
      </c>
      <c r="E266" s="134"/>
      <c r="F266" s="118"/>
      <c r="G266" t="str">
        <f t="shared" si="4"/>
        <v>March</v>
      </c>
    </row>
    <row r="267" spans="1:7" ht="15.75">
      <c r="A267" s="117" t="s">
        <v>982</v>
      </c>
      <c r="B267" s="242" t="s">
        <v>1141</v>
      </c>
      <c r="C267" s="1458">
        <v>45722</v>
      </c>
      <c r="D267" s="134">
        <v>397</v>
      </c>
      <c r="E267" s="134"/>
      <c r="F267" s="109" t="s">
        <v>1261</v>
      </c>
      <c r="G267" t="str">
        <f t="shared" si="4"/>
        <v>March</v>
      </c>
    </row>
    <row r="268" spans="1:7">
      <c r="A268" s="1491" t="s">
        <v>731</v>
      </c>
      <c r="B268" s="1494" t="s">
        <v>720</v>
      </c>
      <c r="C268" s="122">
        <v>45722</v>
      </c>
      <c r="D268" s="134">
        <v>0</v>
      </c>
      <c r="E268" s="134"/>
      <c r="F268" s="118"/>
      <c r="G268" t="str">
        <f t="shared" si="4"/>
        <v>March</v>
      </c>
    </row>
    <row r="269" spans="1:7">
      <c r="A269" s="1459" t="s">
        <v>719</v>
      </c>
      <c r="B269" s="1462" t="s">
        <v>720</v>
      </c>
      <c r="C269" s="122">
        <v>45722</v>
      </c>
      <c r="D269" s="134">
        <v>0</v>
      </c>
      <c r="E269" s="134"/>
      <c r="F269" s="118"/>
      <c r="G269" t="str">
        <f t="shared" si="4"/>
        <v>March</v>
      </c>
    </row>
    <row r="270" spans="1:7" ht="15.75">
      <c r="A270" s="117" t="s">
        <v>722</v>
      </c>
      <c r="B270" s="242" t="s">
        <v>1141</v>
      </c>
      <c r="C270" s="1458">
        <v>45722</v>
      </c>
      <c r="D270" s="134">
        <v>0</v>
      </c>
      <c r="E270" s="134"/>
      <c r="F270" s="118"/>
      <c r="G270" t="str">
        <f t="shared" si="4"/>
        <v>March</v>
      </c>
    </row>
    <row r="271" spans="1:7" ht="15.75">
      <c r="A271" s="1491" t="s">
        <v>724</v>
      </c>
      <c r="B271" s="1492"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9" t="s">
        <v>861</v>
      </c>
      <c r="B275" s="1460" t="s">
        <v>115</v>
      </c>
      <c r="C275" s="122">
        <v>45722</v>
      </c>
      <c r="D275" s="134">
        <v>0</v>
      </c>
      <c r="E275" s="134"/>
      <c r="F275" s="118"/>
      <c r="G275" t="str">
        <f t="shared" si="4"/>
        <v>March</v>
      </c>
    </row>
    <row r="276" spans="1:7">
      <c r="A276" s="117" t="s">
        <v>858</v>
      </c>
      <c r="B276" s="243" t="s">
        <v>573</v>
      </c>
      <c r="C276" s="1458">
        <v>45722</v>
      </c>
      <c r="D276" s="134">
        <v>0</v>
      </c>
      <c r="E276" s="134"/>
      <c r="F276" s="118"/>
      <c r="G276" t="str">
        <f t="shared" si="4"/>
        <v>March</v>
      </c>
    </row>
    <row r="277" spans="1:7">
      <c r="A277" s="1491"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9" t="s">
        <v>960</v>
      </c>
      <c r="B295" s="1465" t="s">
        <v>937</v>
      </c>
      <c r="C295" s="122">
        <v>45722</v>
      </c>
      <c r="D295" s="134">
        <v>0</v>
      </c>
      <c r="E295" s="134"/>
      <c r="F295" s="118"/>
      <c r="G295" t="str">
        <f t="shared" si="4"/>
        <v>March</v>
      </c>
    </row>
    <row r="296" spans="1:7" ht="15.75">
      <c r="A296" s="118" t="s">
        <v>690</v>
      </c>
      <c r="B296" s="242" t="s">
        <v>1141</v>
      </c>
      <c r="C296" s="1458">
        <v>45722</v>
      </c>
      <c r="D296" s="134">
        <v>286</v>
      </c>
      <c r="E296" s="134"/>
      <c r="F296" s="118"/>
      <c r="G296" t="str">
        <f t="shared" si="4"/>
        <v>March</v>
      </c>
    </row>
    <row r="297" spans="1:7" ht="15.75">
      <c r="A297" s="1496" t="s">
        <v>969</v>
      </c>
      <c r="B297" s="1490" t="s">
        <v>115</v>
      </c>
      <c r="C297" s="122">
        <v>45722</v>
      </c>
      <c r="D297" s="151">
        <v>1590</v>
      </c>
      <c r="E297" s="151"/>
      <c r="F297" s="134" t="s">
        <v>1222</v>
      </c>
      <c r="G297" t="str">
        <f t="shared" si="4"/>
        <v>March</v>
      </c>
    </row>
    <row r="298" spans="1:7" ht="15.75">
      <c r="A298" s="118" t="s">
        <v>787</v>
      </c>
      <c r="B298" s="242" t="s">
        <v>1141</v>
      </c>
      <c r="C298" s="1458">
        <v>45722</v>
      </c>
      <c r="D298" s="134">
        <v>489</v>
      </c>
      <c r="E298" s="134"/>
      <c r="F298" s="134" t="s">
        <v>1263</v>
      </c>
      <c r="G298" t="str">
        <f t="shared" si="4"/>
        <v>March</v>
      </c>
    </row>
    <row r="299" spans="1:7">
      <c r="A299" s="1497"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9" t="s">
        <v>875</v>
      </c>
      <c r="B303" s="1462"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1" t="s">
        <v>927</v>
      </c>
      <c r="B305" s="340" t="s">
        <v>836</v>
      </c>
      <c r="C305" s="56">
        <v>45723</v>
      </c>
      <c r="D305" s="134">
        <v>0</v>
      </c>
      <c r="E305" s="134"/>
      <c r="G305" t="str">
        <f t="shared" si="4"/>
        <v>March</v>
      </c>
    </row>
    <row r="306" spans="1:7">
      <c r="A306" s="1459" t="s">
        <v>651</v>
      </c>
      <c r="B306" s="1462"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1" t="s">
        <v>821</v>
      </c>
      <c r="B308" s="1494" t="s">
        <v>720</v>
      </c>
      <c r="C308" s="56">
        <v>45723</v>
      </c>
      <c r="D308" s="134">
        <v>0</v>
      </c>
      <c r="E308" s="134"/>
      <c r="G308" t="str">
        <f t="shared" si="4"/>
        <v>March</v>
      </c>
    </row>
    <row r="309" spans="1:7">
      <c r="A309" s="1459" t="s">
        <v>719</v>
      </c>
      <c r="B309" s="1462"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1" t="s">
        <v>724</v>
      </c>
      <c r="B311" s="1492"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9" t="s">
        <v>861</v>
      </c>
      <c r="B315" s="1460"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1"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9" t="s">
        <v>960</v>
      </c>
      <c r="B335" s="1465"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6" t="s">
        <v>969</v>
      </c>
      <c r="B337" s="1490"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7"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6" t="s">
        <v>897</v>
      </c>
      <c r="B341" s="1465"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1" t="s">
        <v>871</v>
      </c>
      <c r="B343" s="300" t="s">
        <v>1217</v>
      </c>
      <c r="C343" s="56">
        <v>45726</v>
      </c>
      <c r="D343" s="134">
        <v>0</v>
      </c>
      <c r="E343" s="134"/>
      <c r="G343" t="str">
        <f t="shared" si="5"/>
        <v>March</v>
      </c>
    </row>
    <row r="344" spans="1:7">
      <c r="A344" s="1459" t="s">
        <v>875</v>
      </c>
      <c r="B344" s="1462"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1" t="s">
        <v>927</v>
      </c>
      <c r="B346" s="340" t="s">
        <v>836</v>
      </c>
      <c r="C346" s="56">
        <v>45726</v>
      </c>
      <c r="D346" s="134">
        <v>0</v>
      </c>
      <c r="E346" s="134"/>
      <c r="G346" t="str">
        <f t="shared" si="5"/>
        <v>March</v>
      </c>
    </row>
    <row r="347" spans="1:7">
      <c r="A347" s="1459" t="s">
        <v>651</v>
      </c>
      <c r="B347" s="1462"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1" t="s">
        <v>821</v>
      </c>
      <c r="B349" s="1494" t="s">
        <v>720</v>
      </c>
      <c r="C349" s="56">
        <v>45726</v>
      </c>
      <c r="D349" s="134">
        <v>0</v>
      </c>
      <c r="E349" s="134"/>
      <c r="G349" t="str">
        <f t="shared" si="5"/>
        <v>March</v>
      </c>
    </row>
    <row r="350" spans="1:7">
      <c r="A350" s="1459" t="s">
        <v>719</v>
      </c>
      <c r="B350" s="1462"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1" t="s">
        <v>724</v>
      </c>
      <c r="B352" s="1492"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9" t="s">
        <v>861</v>
      </c>
      <c r="B356" s="1460"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1"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9" t="s">
        <v>960</v>
      </c>
      <c r="B376" s="1465"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6" t="s">
        <v>969</v>
      </c>
      <c r="B378" s="1490"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7"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6" t="s">
        <v>897</v>
      </c>
      <c r="B382" s="1465"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1" t="s">
        <v>871</v>
      </c>
      <c r="B384" s="300" t="s">
        <v>1217</v>
      </c>
      <c r="C384" s="56">
        <v>45727</v>
      </c>
      <c r="D384" s="123">
        <v>3</v>
      </c>
      <c r="E384" s="123"/>
      <c r="F384" s="109" t="s">
        <v>1236</v>
      </c>
      <c r="G384" t="str">
        <f t="shared" si="5"/>
        <v>March</v>
      </c>
    </row>
    <row r="385" spans="1:7">
      <c r="A385" s="1459" t="s">
        <v>875</v>
      </c>
      <c r="B385" s="1462"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1" t="s">
        <v>927</v>
      </c>
      <c r="B387" s="340" t="s">
        <v>836</v>
      </c>
      <c r="C387" s="56">
        <v>45727</v>
      </c>
      <c r="D387" s="123">
        <v>0</v>
      </c>
      <c r="E387" s="123"/>
      <c r="G387" t="str">
        <f t="shared" ref="G387:G450" si="6">TEXT(C387,"mmmm")</f>
        <v>March</v>
      </c>
    </row>
    <row r="388" spans="1:7">
      <c r="A388" s="1459" t="s">
        <v>651</v>
      </c>
      <c r="B388" s="1462"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1" t="s">
        <v>821</v>
      </c>
      <c r="B390" s="1494" t="s">
        <v>720</v>
      </c>
      <c r="C390" s="56">
        <v>45727</v>
      </c>
      <c r="D390" s="123">
        <v>0</v>
      </c>
      <c r="E390" s="123"/>
      <c r="G390" t="str">
        <f t="shared" si="6"/>
        <v>March</v>
      </c>
    </row>
    <row r="391" spans="1:7">
      <c r="A391" s="1459" t="s">
        <v>719</v>
      </c>
      <c r="B391" s="1462"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1" t="s">
        <v>724</v>
      </c>
      <c r="B393" s="1492"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9" t="s">
        <v>861</v>
      </c>
      <c r="B397" s="1460"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1"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9" t="s">
        <v>960</v>
      </c>
      <c r="B417" s="1465"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6" t="s">
        <v>969</v>
      </c>
      <c r="B419" s="1490"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7"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6" t="s">
        <v>897</v>
      </c>
      <c r="B423" s="1465"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7" t="s">
        <v>737</v>
      </c>
      <c r="B425" s="1492"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9" t="s">
        <v>875</v>
      </c>
      <c r="B431" s="1462"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1" t="s">
        <v>927</v>
      </c>
      <c r="B433" s="340" t="s">
        <v>836</v>
      </c>
      <c r="C433" s="56">
        <v>45728</v>
      </c>
      <c r="D433" s="123" t="s">
        <v>1243</v>
      </c>
      <c r="E433" s="123"/>
      <c r="G433" t="str">
        <f t="shared" si="6"/>
        <v>March</v>
      </c>
    </row>
    <row r="434" spans="1:7">
      <c r="A434" s="1459" t="s">
        <v>651</v>
      </c>
      <c r="B434" s="1462"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1" t="s">
        <v>821</v>
      </c>
      <c r="B436" s="1494" t="s">
        <v>720</v>
      </c>
      <c r="C436" s="56">
        <v>45728</v>
      </c>
      <c r="D436" s="123" t="s">
        <v>1277</v>
      </c>
      <c r="E436" s="123"/>
      <c r="G436" t="str">
        <f t="shared" si="6"/>
        <v>March</v>
      </c>
    </row>
    <row r="437" spans="1:7">
      <c r="A437" s="1459" t="s">
        <v>719</v>
      </c>
      <c r="B437" s="1462"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1" t="s">
        <v>724</v>
      </c>
      <c r="B439" s="1492"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9" t="s">
        <v>861</v>
      </c>
      <c r="B443" s="1460"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1"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9" t="s">
        <v>960</v>
      </c>
      <c r="B463" s="1465"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6" t="s">
        <v>969</v>
      </c>
      <c r="B465" s="1490"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7"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6" t="s">
        <v>897</v>
      </c>
      <c r="B469" s="1465"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7" t="s">
        <v>737</v>
      </c>
      <c r="B471" s="1492"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6"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7" t="s">
        <v>731</v>
      </c>
      <c r="B479" s="1492"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9" t="s">
        <v>875</v>
      </c>
      <c r="B481" s="1462"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1" t="s">
        <v>927</v>
      </c>
      <c r="B483" s="340" t="s">
        <v>836</v>
      </c>
      <c r="C483" s="56">
        <v>45729</v>
      </c>
      <c r="D483" s="123"/>
      <c r="E483" s="123"/>
      <c r="G483" t="str">
        <f t="shared" si="7"/>
        <v>March</v>
      </c>
    </row>
    <row r="484" spans="1:7">
      <c r="A484" s="1459" t="s">
        <v>651</v>
      </c>
      <c r="B484" s="1462"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1" t="s">
        <v>821</v>
      </c>
      <c r="B486" s="1494" t="s">
        <v>720</v>
      </c>
      <c r="C486" s="56">
        <v>45729</v>
      </c>
      <c r="D486" s="123"/>
      <c r="E486" s="123"/>
      <c r="G486" t="str">
        <f t="shared" si="7"/>
        <v>March</v>
      </c>
    </row>
    <row r="487" spans="1:7">
      <c r="A487" s="1459" t="s">
        <v>719</v>
      </c>
      <c r="B487" s="1462"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1" t="s">
        <v>724</v>
      </c>
      <c r="B489" s="1492"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9" t="s">
        <v>861</v>
      </c>
      <c r="B493" s="1460"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1"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9" t="s">
        <v>960</v>
      </c>
      <c r="B513" s="1465"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6" t="s">
        <v>969</v>
      </c>
      <c r="B515" s="1490"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7"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6" t="s">
        <v>897</v>
      </c>
      <c r="B519" s="1465"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7" t="s">
        <v>737</v>
      </c>
      <c r="B521" s="1492"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6"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7" t="s">
        <v>731</v>
      </c>
      <c r="B529" s="1492"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9" t="s">
        <v>875</v>
      </c>
      <c r="B532" s="1462"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1" t="s">
        <v>927</v>
      </c>
      <c r="B534" s="340" t="s">
        <v>836</v>
      </c>
      <c r="C534" s="56">
        <v>45730</v>
      </c>
      <c r="D534" s="123"/>
      <c r="E534" s="123"/>
      <c r="F534" s="123" t="s">
        <v>1243</v>
      </c>
      <c r="G534" t="str">
        <f t="shared" si="8"/>
        <v>March</v>
      </c>
    </row>
    <row r="535" spans="1:7">
      <c r="A535" s="1459" t="s">
        <v>651</v>
      </c>
      <c r="B535" s="1462"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1" t="s">
        <v>821</v>
      </c>
      <c r="B537" s="1494" t="s">
        <v>720</v>
      </c>
      <c r="C537" s="56">
        <v>45730</v>
      </c>
      <c r="D537" s="123"/>
      <c r="E537" s="123"/>
      <c r="F537" s="123" t="s">
        <v>1243</v>
      </c>
      <c r="G537" t="str">
        <f t="shared" si="8"/>
        <v>March</v>
      </c>
    </row>
    <row r="538" spans="1:7">
      <c r="A538" s="1459" t="s">
        <v>719</v>
      </c>
      <c r="B538" s="1462"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1" t="s">
        <v>724</v>
      </c>
      <c r="B540" s="1492"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9" t="s">
        <v>861</v>
      </c>
      <c r="B544" s="1460"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1"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9" t="s">
        <v>960</v>
      </c>
      <c r="B564" s="1465"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6" t="s">
        <v>969</v>
      </c>
      <c r="B566" s="1490"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7"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6" t="s">
        <v>897</v>
      </c>
      <c r="B570" s="1465"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7" t="s">
        <v>737</v>
      </c>
      <c r="B572" s="1492"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6"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7" t="s">
        <v>731</v>
      </c>
      <c r="B580" s="1492"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9"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9" t="s">
        <v>651</v>
      </c>
      <c r="B584" s="1498"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1" t="s">
        <v>774</v>
      </c>
      <c r="B586" s="1494"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9" t="s">
        <v>960</v>
      </c>
      <c r="B599" s="1465"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6" t="s">
        <v>969</v>
      </c>
      <c r="B601" s="1490"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7" t="s">
        <v>709</v>
      </c>
      <c r="B603" s="1492" t="s">
        <v>115</v>
      </c>
      <c r="C603" s="56">
        <v>45733</v>
      </c>
      <c r="E603" s="43"/>
      <c r="F603" s="123" t="s">
        <v>1243</v>
      </c>
      <c r="G603" t="str">
        <f t="shared" si="9"/>
        <v>March</v>
      </c>
    </row>
    <row r="604" spans="1:7">
      <c r="A604" s="1466" t="s">
        <v>897</v>
      </c>
      <c r="B604" s="1465"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7" t="s">
        <v>737</v>
      </c>
      <c r="B606" s="1492"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6"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7" t="s">
        <v>731</v>
      </c>
      <c r="B613" s="1492"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9"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1" t="s">
        <v>894</v>
      </c>
      <c r="B619" s="1494"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6" t="s">
        <v>969</v>
      </c>
      <c r="B622" s="1460"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6" t="s">
        <v>1095</v>
      </c>
      <c r="B624" s="1503"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1"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5"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9"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5"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9" t="s">
        <v>1149</v>
      </c>
      <c r="B640" s="1494"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5" t="s">
        <v>974</v>
      </c>
      <c r="B645" s="1465"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500" t="s">
        <v>967</v>
      </c>
      <c r="B647" s="1500"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500" t="s">
        <v>929</v>
      </c>
      <c r="B649" s="1500"/>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9" t="s">
        <v>965</v>
      </c>
      <c r="B651" s="1499"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5"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500" t="s">
        <v>967</v>
      </c>
      <c r="B658" s="1503"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500"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9"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5"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500" t="s">
        <v>967</v>
      </c>
      <c r="B667" s="1503"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500" t="s">
        <v>929</v>
      </c>
      <c r="B669" s="1503"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9" t="s">
        <v>897</v>
      </c>
      <c r="B671" s="1318" t="s">
        <v>889</v>
      </c>
      <c r="C671" s="56">
        <v>45737</v>
      </c>
      <c r="D671" s="123"/>
      <c r="E671" s="43"/>
      <c r="F671" s="123" t="s">
        <v>1319</v>
      </c>
      <c r="G671" t="str">
        <f t="shared" si="10"/>
        <v>March</v>
      </c>
    </row>
    <row r="672" spans="1:7">
      <c r="A672" s="1465"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60"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2" t="s">
        <v>115</v>
      </c>
      <c r="C706" s="56">
        <v>45741</v>
      </c>
      <c r="D706" s="155">
        <v>1740</v>
      </c>
      <c r="E706" s="43"/>
      <c r="G706" t="str">
        <f t="shared" si="10"/>
        <v>March</v>
      </c>
    </row>
    <row r="707" spans="1:7">
      <c r="A707" s="134" t="s">
        <v>351</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5"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2" t="s">
        <v>115</v>
      </c>
      <c r="C725" s="56">
        <v>45742</v>
      </c>
      <c r="D725" s="209">
        <v>2934</v>
      </c>
      <c r="E725" s="43"/>
      <c r="F725" s="109" t="s">
        <v>1354</v>
      </c>
      <c r="G725" t="str">
        <f t="shared" si="11"/>
        <v>March</v>
      </c>
    </row>
    <row r="726" spans="1:7">
      <c r="A726" s="134" t="s">
        <v>351</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2" t="s">
        <v>115</v>
      </c>
      <c r="C758" s="56">
        <v>45744</v>
      </c>
      <c r="D758" s="210"/>
      <c r="E758" s="43"/>
      <c r="F758" s="210" t="s">
        <v>1364</v>
      </c>
      <c r="G758" t="str">
        <f t="shared" si="11"/>
        <v>March</v>
      </c>
    </row>
    <row r="759" spans="1:13">
      <c r="A759" s="134" t="s">
        <v>351</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2" t="s">
        <v>115</v>
      </c>
      <c r="C775" s="56">
        <v>45747</v>
      </c>
      <c r="D775" s="141">
        <v>418</v>
      </c>
      <c r="E775" s="43"/>
      <c r="G775" t="str">
        <f t="shared" si="12"/>
        <v>March</v>
      </c>
      <c r="H775" s="250"/>
      <c r="I775" s="250"/>
      <c r="J775" s="250"/>
      <c r="K775" s="164"/>
    </row>
    <row r="776" spans="1:11">
      <c r="A776" s="134" t="s">
        <v>351</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2"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351</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2"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351</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2"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2"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2"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2"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90"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2"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2"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2"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2"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60"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60"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2"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60"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60"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2"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60"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2"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60"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60"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60"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60"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60"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60"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2"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2"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60"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2"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90"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2"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2"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60"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2"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60"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2"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60"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2"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1"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2"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2"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2"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60"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60"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60"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352</v>
      </c>
      <c r="C1297" s="56">
        <v>45834</v>
      </c>
      <c r="E1297" s="317">
        <v>6183</v>
      </c>
      <c r="F1297" s="43" t="s">
        <v>1616</v>
      </c>
    </row>
    <row r="1298" spans="1:7" ht="15.75">
      <c r="A1298" s="302" t="s">
        <v>1165</v>
      </c>
      <c r="B1298" s="1460"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352</v>
      </c>
      <c r="C1317" s="56">
        <v>45841</v>
      </c>
      <c r="E1317" s="317">
        <v>5776</v>
      </c>
      <c r="F1317" s="397" t="s">
        <v>1624</v>
      </c>
    </row>
    <row r="1318" spans="1:7">
      <c r="A1318" s="1467"/>
      <c r="B1318" s="1468"/>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352</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2" t="s">
        <v>115</v>
      </c>
      <c r="C1324" s="56">
        <v>45846</v>
      </c>
      <c r="D1324" s="43">
        <v>827</v>
      </c>
      <c r="F1324" s="43" t="s">
        <v>1627</v>
      </c>
      <c r="G1324" t="s">
        <v>1620</v>
      </c>
    </row>
    <row r="1325" spans="1:7">
      <c r="A1325" s="1469" t="s">
        <v>704</v>
      </c>
      <c r="B1325" s="1470"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70" t="s">
        <v>684</v>
      </c>
      <c r="B1327" s="1503"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4" t="s">
        <v>678</v>
      </c>
      <c r="B1331" s="1503" t="s">
        <v>352</v>
      </c>
      <c r="C1331" s="56">
        <v>45849</v>
      </c>
      <c r="D1331" s="43">
        <v>198</v>
      </c>
      <c r="G1331" t="s">
        <v>1620</v>
      </c>
    </row>
    <row r="1332" spans="1:7" ht="15.75">
      <c r="A1332" s="245" t="s">
        <v>802</v>
      </c>
      <c r="B1332" s="242" t="s">
        <v>1141</v>
      </c>
      <c r="C1332" s="306">
        <v>45852</v>
      </c>
      <c r="F1332" s="43" t="s">
        <v>1287</v>
      </c>
      <c r="G1332" t="s">
        <v>1620</v>
      </c>
    </row>
    <row r="1333" spans="1:7">
      <c r="A1333" s="1504" t="s">
        <v>678</v>
      </c>
      <c r="B1333" s="1503" t="s">
        <v>352</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351</v>
      </c>
      <c r="B1337" s="788" t="s">
        <v>352</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351</v>
      </c>
      <c r="B1343" s="313" t="s">
        <v>352</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60"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351</v>
      </c>
      <c r="B1354" s="788" t="s">
        <v>352</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351</v>
      </c>
      <c r="B1361" s="1318" t="s">
        <v>352</v>
      </c>
      <c r="C1361" s="56">
        <v>45860</v>
      </c>
      <c r="D1361" s="43">
        <v>318</v>
      </c>
      <c r="G1361" t="s">
        <v>1620</v>
      </c>
    </row>
    <row r="1362" spans="1:7">
      <c r="A1362" s="366" t="s">
        <v>1180</v>
      </c>
      <c r="B1362" s="788" t="s">
        <v>352</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1" t="s">
        <v>678</v>
      </c>
      <c r="B1370" s="788" t="s">
        <v>352</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352</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5" t="s">
        <v>678</v>
      </c>
      <c r="B1386" s="1503" t="s">
        <v>352</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60" t="s">
        <v>1141</v>
      </c>
      <c r="C1390" s="306">
        <v>45866</v>
      </c>
      <c r="F1390" s="304" t="s">
        <v>1418</v>
      </c>
      <c r="G1390" t="s">
        <v>1620</v>
      </c>
    </row>
    <row r="1391" spans="1:7">
      <c r="A1391" s="141" t="s">
        <v>704</v>
      </c>
      <c r="B1391" s="243" t="s">
        <v>573</v>
      </c>
      <c r="C1391" s="306">
        <v>45866</v>
      </c>
      <c r="D1391" s="155">
        <v>1181</v>
      </c>
      <c r="G1391" t="s">
        <v>1620</v>
      </c>
    </row>
    <row r="1392" spans="1:7">
      <c r="A1392" s="1505" t="s">
        <v>678</v>
      </c>
      <c r="B1392" s="1503" t="s">
        <v>352</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2" t="s">
        <v>753</v>
      </c>
      <c r="B1395" s="1473" t="s">
        <v>115</v>
      </c>
      <c r="C1395" s="56">
        <v>45867</v>
      </c>
      <c r="D1395" s="155">
        <v>1004</v>
      </c>
      <c r="F1395" s="43" t="s">
        <v>1653</v>
      </c>
      <c r="G1395" t="s">
        <v>1620</v>
      </c>
    </row>
    <row r="1396" spans="1:7" ht="15.75">
      <c r="A1396" s="424" t="s">
        <v>1072</v>
      </c>
      <c r="B1396" s="1460"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374</v>
      </c>
      <c r="C1401" s="56">
        <v>45868</v>
      </c>
      <c r="E1401" s="317">
        <v>6067</v>
      </c>
      <c r="G1401" t="s">
        <v>1620</v>
      </c>
    </row>
    <row r="1402" spans="1:7">
      <c r="A1402" s="891" t="s">
        <v>551</v>
      </c>
      <c r="B1402" s="313" t="s">
        <v>352</v>
      </c>
      <c r="C1402" s="56">
        <v>45868</v>
      </c>
      <c r="D1402" s="43">
        <v>314</v>
      </c>
      <c r="G1402" t="s">
        <v>1620</v>
      </c>
    </row>
    <row r="1403" spans="1:7" ht="15.75">
      <c r="A1403" s="302" t="s">
        <v>858</v>
      </c>
      <c r="B1403" s="1460"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374</v>
      </c>
      <c r="C1406" s="56">
        <v>45869</v>
      </c>
      <c r="E1406" s="317">
        <v>2691</v>
      </c>
      <c r="G1406" t="s">
        <v>1620</v>
      </c>
    </row>
    <row r="1407" spans="1:7">
      <c r="A1407" s="341" t="s">
        <v>560</v>
      </c>
      <c r="B1407" s="788" t="s">
        <v>352</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6" t="s">
        <v>704</v>
      </c>
      <c r="B1410" s="311" t="s">
        <v>374</v>
      </c>
      <c r="C1410" s="56">
        <v>45870</v>
      </c>
      <c r="F1410" s="43" t="s">
        <v>1659</v>
      </c>
      <c r="G1410" t="s">
        <v>1657</v>
      </c>
    </row>
    <row r="1411" spans="1:7">
      <c r="A1411" s="134" t="s">
        <v>560</v>
      </c>
      <c r="B1411" s="157" t="s">
        <v>352</v>
      </c>
      <c r="C1411" s="56">
        <v>45870</v>
      </c>
      <c r="D1411" s="155">
        <v>1377</v>
      </c>
      <c r="G1411" t="s">
        <v>1657</v>
      </c>
    </row>
    <row r="1412" spans="1:7">
      <c r="A1412" s="600" t="s">
        <v>704</v>
      </c>
      <c r="B1412" s="307" t="s">
        <v>374</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352</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352</v>
      </c>
      <c r="C1418" s="56">
        <v>45875</v>
      </c>
      <c r="D1418" s="43">
        <v>840</v>
      </c>
      <c r="G1418" t="s">
        <v>1657</v>
      </c>
    </row>
    <row r="1419" spans="1:7">
      <c r="A1419" s="141" t="s">
        <v>551</v>
      </c>
      <c r="B1419" s="534" t="s">
        <v>352</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374</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352</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352</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352</v>
      </c>
      <c r="C1430" s="56">
        <v>45880</v>
      </c>
      <c r="D1430" s="43">
        <v>571</v>
      </c>
      <c r="G1430" t="s">
        <v>1657</v>
      </c>
    </row>
    <row r="1431" spans="1:7" ht="15.75">
      <c r="A1431" s="88" t="s">
        <v>1160</v>
      </c>
      <c r="B1431" s="242" t="s">
        <v>1141</v>
      </c>
      <c r="C1431" s="306">
        <v>45881</v>
      </c>
      <c r="D1431" s="43">
        <v>35</v>
      </c>
      <c r="G1431" t="s">
        <v>1657</v>
      </c>
    </row>
    <row r="1432" spans="1:7">
      <c r="A1432" s="1507" t="s">
        <v>784</v>
      </c>
      <c r="B1432" s="1508"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351</v>
      </c>
      <c r="B1435" s="307" t="s">
        <v>352</v>
      </c>
      <c r="C1435" s="56">
        <v>45881</v>
      </c>
      <c r="D1435" s="43">
        <v>319</v>
      </c>
      <c r="G1435" t="s">
        <v>1657</v>
      </c>
    </row>
    <row r="1436" spans="1:7">
      <c r="A1436" s="535" t="s">
        <v>560</v>
      </c>
      <c r="B1436" s="307" t="s">
        <v>352</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70"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352</v>
      </c>
      <c r="C1443" s="56">
        <v>45882</v>
      </c>
      <c r="D1443" s="43">
        <v>540</v>
      </c>
      <c r="G1443" t="s">
        <v>1657</v>
      </c>
    </row>
    <row r="1444" spans="1:7" ht="15.75">
      <c r="A1444" s="88" t="s">
        <v>1160</v>
      </c>
      <c r="B1444" s="242" t="s">
        <v>1141</v>
      </c>
      <c r="C1444" s="306">
        <v>45883</v>
      </c>
      <c r="D1444" s="43">
        <v>144</v>
      </c>
      <c r="G1444" t="s">
        <v>1657</v>
      </c>
    </row>
    <row r="1445" spans="1:7">
      <c r="A1445" s="1507" t="s">
        <v>1181</v>
      </c>
      <c r="B1445" s="1508"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352</v>
      </c>
      <c r="C1447" s="56">
        <v>45883</v>
      </c>
      <c r="D1447" s="43">
        <v>554</v>
      </c>
      <c r="G1447" t="s">
        <v>1657</v>
      </c>
    </row>
    <row r="1448" spans="1:7" ht="15.75">
      <c r="A1448" s="43" t="s">
        <v>344</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374</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374</v>
      </c>
      <c r="C1452" s="56">
        <v>45884</v>
      </c>
      <c r="E1452" s="317">
        <v>1297</v>
      </c>
      <c r="F1452" s="43" t="s">
        <v>1666</v>
      </c>
      <c r="G1452" t="s">
        <v>1657</v>
      </c>
    </row>
    <row r="1453" spans="1:7">
      <c r="A1453" s="533" t="s">
        <v>560</v>
      </c>
      <c r="B1453" s="332" t="s">
        <v>352</v>
      </c>
      <c r="C1453" s="56">
        <v>45884</v>
      </c>
      <c r="D1453" s="43">
        <v>89</v>
      </c>
      <c r="G1453" t="s">
        <v>1657</v>
      </c>
    </row>
    <row r="1454" spans="1:7" ht="15.75">
      <c r="A1454" s="141" t="s">
        <v>344</v>
      </c>
      <c r="B1454" s="242" t="s">
        <v>1141</v>
      </c>
      <c r="C1454" s="306">
        <v>45884</v>
      </c>
      <c r="D1454" s="43">
        <v>391</v>
      </c>
      <c r="G1454" t="s">
        <v>1657</v>
      </c>
    </row>
    <row r="1455" spans="1:7" ht="15.75">
      <c r="A1455" s="134" t="s">
        <v>1160</v>
      </c>
      <c r="B1455" s="242" t="s">
        <v>1141</v>
      </c>
      <c r="C1455" s="306">
        <v>45887</v>
      </c>
      <c r="D1455" s="43">
        <v>141</v>
      </c>
      <c r="G1455" t="s">
        <v>1657</v>
      </c>
    </row>
    <row r="1456" spans="1:7">
      <c r="A1456" s="1507" t="s">
        <v>784</v>
      </c>
      <c r="B1456" s="1508" t="s">
        <v>374</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374</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352</v>
      </c>
      <c r="C1460" s="56">
        <v>45887</v>
      </c>
      <c r="D1460" s="43">
        <v>377</v>
      </c>
      <c r="G1460" t="s">
        <v>1657</v>
      </c>
    </row>
    <row r="1461" spans="1:7" ht="15.75">
      <c r="A1461" s="141" t="s">
        <v>344</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352</v>
      </c>
      <c r="C1466" s="56">
        <v>45888</v>
      </c>
      <c r="D1466" s="43">
        <v>408</v>
      </c>
      <c r="F1466" s="115"/>
      <c r="G1466" t="s">
        <v>1657</v>
      </c>
    </row>
    <row r="1467" spans="1:7" ht="15.75">
      <c r="A1467" s="134" t="s">
        <v>684</v>
      </c>
      <c r="B1467" s="242" t="s">
        <v>1141</v>
      </c>
      <c r="C1467" s="306">
        <v>45888</v>
      </c>
      <c r="F1467" s="141" t="s">
        <v>1671</v>
      </c>
      <c r="G1467" t="s">
        <v>1657</v>
      </c>
    </row>
    <row r="1468" spans="1:7">
      <c r="A1468" s="1470" t="s">
        <v>551</v>
      </c>
      <c r="B1468" s="713" t="s">
        <v>352</v>
      </c>
      <c r="C1468" s="56">
        <v>45888</v>
      </c>
      <c r="D1468" s="43">
        <v>430</v>
      </c>
      <c r="F1468" s="169"/>
      <c r="G1468" t="s">
        <v>1657</v>
      </c>
    </row>
    <row r="1469" spans="1:7" ht="15.75">
      <c r="A1469" s="1451" t="s">
        <v>1160</v>
      </c>
      <c r="B1469" s="1460" t="s">
        <v>1141</v>
      </c>
      <c r="C1469" s="306">
        <v>45889</v>
      </c>
      <c r="D1469" s="43">
        <v>181</v>
      </c>
      <c r="G1469" t="s">
        <v>1657</v>
      </c>
    </row>
    <row r="1470" spans="1:7">
      <c r="A1470" s="88" t="s">
        <v>531</v>
      </c>
      <c r="B1470" s="243" t="s">
        <v>573</v>
      </c>
      <c r="C1470" s="306">
        <v>45889</v>
      </c>
      <c r="F1470" s="316" t="s">
        <v>1633</v>
      </c>
      <c r="G1470" t="s">
        <v>1657</v>
      </c>
    </row>
    <row r="1471" spans="1:7">
      <c r="A1471" s="1507" t="s">
        <v>1183</v>
      </c>
      <c r="B1471" s="1508"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352</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1" t="s">
        <v>1160</v>
      </c>
      <c r="B1476" s="1460" t="s">
        <v>1141</v>
      </c>
      <c r="C1476" s="306">
        <v>45890</v>
      </c>
      <c r="D1476" s="43">
        <v>82</v>
      </c>
      <c r="G1476" t="s">
        <v>1657</v>
      </c>
    </row>
    <row r="1477" spans="1:7">
      <c r="A1477" s="88" t="s">
        <v>531</v>
      </c>
      <c r="B1477" s="243" t="s">
        <v>573</v>
      </c>
      <c r="C1477" s="306">
        <v>45890</v>
      </c>
      <c r="F1477" s="43" t="s">
        <v>1420</v>
      </c>
      <c r="G1477" t="s">
        <v>1657</v>
      </c>
    </row>
    <row r="1478" spans="1:7">
      <c r="A1478" s="1507" t="s">
        <v>1183</v>
      </c>
      <c r="B1478" s="1508"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374</v>
      </c>
      <c r="C1481" s="56">
        <v>45890</v>
      </c>
      <c r="E1481" s="317">
        <v>1109</v>
      </c>
      <c r="F1481" s="43" t="s">
        <v>1673</v>
      </c>
      <c r="G1481" t="s">
        <v>1657</v>
      </c>
    </row>
    <row r="1482" spans="1:7">
      <c r="A1482" s="533" t="s">
        <v>560</v>
      </c>
      <c r="B1482" s="332" t="s">
        <v>352</v>
      </c>
      <c r="C1482" s="56">
        <v>45890</v>
      </c>
      <c r="D1482" s="155">
        <v>1022</v>
      </c>
      <c r="G1482" t="s">
        <v>1657</v>
      </c>
    </row>
    <row r="1483" spans="1:7" ht="15.75">
      <c r="A1483" s="134" t="s">
        <v>684</v>
      </c>
      <c r="B1483" s="242" t="s">
        <v>1141</v>
      </c>
      <c r="C1483" s="306">
        <v>45890</v>
      </c>
      <c r="D1483" s="43">
        <v>231</v>
      </c>
      <c r="G1483" t="s">
        <v>1657</v>
      </c>
    </row>
    <row r="1484" spans="1:7" ht="15.75">
      <c r="A1484" s="1451" t="s">
        <v>1160</v>
      </c>
      <c r="B1484" s="1460" t="s">
        <v>1141</v>
      </c>
      <c r="C1484" s="306">
        <v>45891</v>
      </c>
      <c r="D1484" s="43">
        <v>96</v>
      </c>
      <c r="G1484" t="s">
        <v>1657</v>
      </c>
    </row>
    <row r="1485" spans="1:7">
      <c r="A1485" s="88" t="s">
        <v>1184</v>
      </c>
      <c r="B1485" s="243" t="s">
        <v>573</v>
      </c>
      <c r="C1485" s="306">
        <v>45891</v>
      </c>
      <c r="D1485" s="43">
        <v>878</v>
      </c>
      <c r="F1485" s="43" t="s">
        <v>1674</v>
      </c>
      <c r="G1485" t="s">
        <v>1657</v>
      </c>
    </row>
    <row r="1486" spans="1:7">
      <c r="A1486" s="1507" t="s">
        <v>1183</v>
      </c>
      <c r="B1486" s="1508"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352</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1" t="s">
        <v>1160</v>
      </c>
      <c r="B1490" s="1460" t="s">
        <v>1141</v>
      </c>
      <c r="C1490" s="306">
        <v>45894</v>
      </c>
      <c r="D1490" s="43">
        <v>20</v>
      </c>
      <c r="F1490" s="307"/>
      <c r="G1490" t="s">
        <v>1657</v>
      </c>
    </row>
    <row r="1491" spans="1:7">
      <c r="A1491" s="88" t="s">
        <v>1184</v>
      </c>
      <c r="B1491" s="243" t="s">
        <v>573</v>
      </c>
      <c r="C1491" s="306">
        <v>45894</v>
      </c>
      <c r="D1491" s="43">
        <v>715</v>
      </c>
      <c r="G1491" t="s">
        <v>1657</v>
      </c>
    </row>
    <row r="1492" spans="1:7">
      <c r="A1492" s="1507" t="s">
        <v>1183</v>
      </c>
      <c r="B1492" s="1508"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352</v>
      </c>
      <c r="C1495" s="56">
        <v>45894</v>
      </c>
      <c r="D1495" s="43">
        <v>639</v>
      </c>
      <c r="G1495" t="s">
        <v>1657</v>
      </c>
    </row>
    <row r="1496" spans="1:7" ht="15.75">
      <c r="A1496" s="134" t="s">
        <v>684</v>
      </c>
      <c r="B1496" s="242" t="s">
        <v>1141</v>
      </c>
      <c r="C1496" s="306">
        <v>45894</v>
      </c>
      <c r="D1496" s="43">
        <v>503</v>
      </c>
      <c r="G1496" t="s">
        <v>1657</v>
      </c>
    </row>
    <row r="1497" spans="1:7" ht="15.75">
      <c r="A1497" s="1451" t="s">
        <v>1160</v>
      </c>
      <c r="B1497" s="1460"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7" t="s">
        <v>1183</v>
      </c>
      <c r="B1499" s="1508"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352</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2"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344</v>
      </c>
      <c r="B1511" s="242" t="s">
        <v>1141</v>
      </c>
      <c r="C1511" s="306">
        <v>45896</v>
      </c>
      <c r="D1511" s="43">
        <v>400</v>
      </c>
      <c r="G1511" t="s">
        <v>1657</v>
      </c>
    </row>
    <row r="1512" spans="1:7">
      <c r="A1512" s="610" t="s">
        <v>351</v>
      </c>
      <c r="B1512" s="343" t="s">
        <v>352</v>
      </c>
      <c r="C1512" s="56">
        <v>45896</v>
      </c>
      <c r="D1512" s="43">
        <v>358</v>
      </c>
      <c r="F1512" s="43" t="s">
        <v>1685</v>
      </c>
      <c r="G1512" t="s">
        <v>1657</v>
      </c>
    </row>
    <row r="1513" spans="1:7">
      <c r="A1513" s="1474" t="s">
        <v>678</v>
      </c>
      <c r="B1513" s="302" t="s">
        <v>352</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6"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352</v>
      </c>
      <c r="C1518" s="56">
        <v>45897</v>
      </c>
      <c r="F1518" s="43" t="s">
        <v>1282</v>
      </c>
      <c r="G1518" t="s">
        <v>1657</v>
      </c>
    </row>
    <row r="1519" spans="1:7" ht="15.75">
      <c r="A1519" s="134" t="s">
        <v>344</v>
      </c>
      <c r="B1519" s="242" t="s">
        <v>1141</v>
      </c>
      <c r="C1519" s="306">
        <v>45897</v>
      </c>
      <c r="D1519" s="43">
        <v>320</v>
      </c>
      <c r="G1519" t="s">
        <v>1657</v>
      </c>
    </row>
    <row r="1520" spans="1:7">
      <c r="A1520" s="610" t="s">
        <v>351</v>
      </c>
      <c r="B1520" s="344" t="s">
        <v>352</v>
      </c>
      <c r="C1520" s="56">
        <v>45897</v>
      </c>
      <c r="F1520" s="307" t="s">
        <v>1420</v>
      </c>
      <c r="G1520" t="s">
        <v>1657</v>
      </c>
    </row>
    <row r="1521" spans="1:7">
      <c r="A1521" s="1471" t="s">
        <v>678</v>
      </c>
      <c r="B1521" s="343" t="s">
        <v>352</v>
      </c>
      <c r="C1521" s="56">
        <v>45897</v>
      </c>
      <c r="F1521" s="307" t="s">
        <v>1420</v>
      </c>
      <c r="G1521" t="s">
        <v>1657</v>
      </c>
    </row>
    <row r="1522" spans="1:7" ht="15.75">
      <c r="A1522" s="891" t="s">
        <v>1160</v>
      </c>
      <c r="B1522" s="1460"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3" t="s">
        <v>678</v>
      </c>
      <c r="B1524" s="713" t="s">
        <v>352</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352</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70" t="s">
        <v>678</v>
      </c>
      <c r="B1532" s="713" t="s">
        <v>352</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9"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4" t="s">
        <v>745</v>
      </c>
      <c r="B1538" s="1492"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352</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4" t="s">
        <v>745</v>
      </c>
      <c r="B1545" s="242" t="s">
        <v>1141</v>
      </c>
      <c r="C1545" s="306">
        <v>45904</v>
      </c>
      <c r="E1545" s="139">
        <v>800</v>
      </c>
      <c r="G1545" t="s">
        <v>1693</v>
      </c>
    </row>
    <row r="1546" spans="1:7" ht="15.75">
      <c r="A1546" s="245" t="s">
        <v>351</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70" t="s">
        <v>1023</v>
      </c>
      <c r="B1550" s="1510" t="s">
        <v>115</v>
      </c>
      <c r="C1550" s="56">
        <v>45905</v>
      </c>
      <c r="D1550" s="43">
        <v>128</v>
      </c>
      <c r="E1550" s="139">
        <v>2000</v>
      </c>
      <c r="F1550" s="43" t="s">
        <v>1709</v>
      </c>
      <c r="G1550" t="s">
        <v>1693</v>
      </c>
    </row>
    <row r="1551" spans="1:7" ht="15.75">
      <c r="A1551" s="366" t="s">
        <v>1033</v>
      </c>
      <c r="B1551" s="1460" t="s">
        <v>1141</v>
      </c>
      <c r="C1551" s="306">
        <v>45905</v>
      </c>
      <c r="E1551" s="317">
        <v>2062</v>
      </c>
      <c r="G1551" t="s">
        <v>1693</v>
      </c>
    </row>
    <row r="1552" spans="1:7">
      <c r="A1552" s="422" t="s">
        <v>572</v>
      </c>
      <c r="B1552" s="243" t="s">
        <v>573</v>
      </c>
      <c r="C1552" s="306">
        <v>45908</v>
      </c>
      <c r="D1552" s="43">
        <v>254</v>
      </c>
      <c r="F1552" s="43" t="s">
        <v>1710</v>
      </c>
      <c r="G1552" t="s">
        <v>1693</v>
      </c>
    </row>
    <row r="1553" spans="1:7">
      <c r="A1553" s="1518" t="s">
        <v>1183</v>
      </c>
      <c r="B1553" s="1511" t="s">
        <v>115</v>
      </c>
      <c r="C1553" s="56">
        <v>45908</v>
      </c>
      <c r="D1553" s="155">
        <v>2498</v>
      </c>
      <c r="G1553" t="s">
        <v>1693</v>
      </c>
    </row>
    <row r="1554" spans="1:7">
      <c r="A1554" s="148" t="s">
        <v>1018</v>
      </c>
      <c r="B1554" s="1476"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8" t="s">
        <v>1183</v>
      </c>
      <c r="B1556" s="1511" t="s">
        <v>115</v>
      </c>
      <c r="C1556" s="56">
        <v>45909</v>
      </c>
      <c r="D1556" s="155">
        <v>1192</v>
      </c>
      <c r="F1556" s="43" t="s">
        <v>1713</v>
      </c>
      <c r="G1556" t="s">
        <v>1693</v>
      </c>
    </row>
    <row r="1557" spans="1:7">
      <c r="A1557" s="148" t="s">
        <v>805</v>
      </c>
      <c r="B1557" s="1476" t="s">
        <v>115</v>
      </c>
      <c r="C1557" s="56">
        <v>45909</v>
      </c>
      <c r="D1557" s="43">
        <v>329</v>
      </c>
      <c r="G1557" t="s">
        <v>1693</v>
      </c>
    </row>
    <row r="1558" spans="1:7" ht="15.75">
      <c r="A1558" s="1451" t="s">
        <v>1165</v>
      </c>
      <c r="B1558" s="1460" t="s">
        <v>1141</v>
      </c>
      <c r="C1558" s="306">
        <v>45910</v>
      </c>
      <c r="D1558" s="43">
        <v>299</v>
      </c>
      <c r="G1558" t="s">
        <v>1693</v>
      </c>
    </row>
    <row r="1559" spans="1:7">
      <c r="A1559" s="422" t="s">
        <v>572</v>
      </c>
      <c r="B1559" s="243" t="s">
        <v>573</v>
      </c>
      <c r="C1559" s="306">
        <v>45910</v>
      </c>
      <c r="D1559" s="43">
        <v>611</v>
      </c>
      <c r="F1559" s="43" t="s">
        <v>1714</v>
      </c>
      <c r="G1559" t="s">
        <v>1693</v>
      </c>
    </row>
    <row r="1560" spans="1:7">
      <c r="A1560" s="1518" t="s">
        <v>1183</v>
      </c>
      <c r="B1560" s="1535"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1" t="s">
        <v>115</v>
      </c>
      <c r="C1562" s="56">
        <v>45910</v>
      </c>
      <c r="D1562" s="43">
        <v>740</v>
      </c>
      <c r="F1562" s="43" t="s">
        <v>1715</v>
      </c>
      <c r="G1562" t="s">
        <v>1693</v>
      </c>
    </row>
    <row r="1563" spans="1:7">
      <c r="A1563" s="610" t="s">
        <v>322</v>
      </c>
      <c r="B1563" s="918" t="s">
        <v>323</v>
      </c>
      <c r="C1563" s="56">
        <v>45910</v>
      </c>
      <c r="D1563" s="43">
        <v>307</v>
      </c>
      <c r="G1563" t="s">
        <v>1693</v>
      </c>
    </row>
    <row r="1564" spans="1:7" ht="15.75">
      <c r="A1564" s="157" t="s">
        <v>562</v>
      </c>
      <c r="B1564" s="242" t="s">
        <v>1141</v>
      </c>
      <c r="C1564" s="306">
        <v>45910</v>
      </c>
      <c r="F1564" s="43" t="s">
        <v>1420</v>
      </c>
      <c r="G1564" t="s">
        <v>1693</v>
      </c>
    </row>
    <row r="1565" spans="1:7" ht="15.75">
      <c r="A1565" s="1451" t="s">
        <v>1165</v>
      </c>
      <c r="B1565" s="1460"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2"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322</v>
      </c>
      <c r="B1570" s="1470" t="s">
        <v>323</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322</v>
      </c>
      <c r="B1574" s="1470" t="s">
        <v>323</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2"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322</v>
      </c>
      <c r="B1579" s="1470" t="s">
        <v>323</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2"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3" t="s">
        <v>115</v>
      </c>
      <c r="C1584" s="56">
        <v>45916</v>
      </c>
      <c r="D1584" s="155">
        <v>1808</v>
      </c>
      <c r="F1584" s="710"/>
      <c r="G1584" t="s">
        <v>1693</v>
      </c>
    </row>
    <row r="1585" spans="1:7">
      <c r="A1585" s="891" t="s">
        <v>322</v>
      </c>
      <c r="B1585" s="366" t="s">
        <v>323</v>
      </c>
      <c r="C1585" s="56">
        <v>45916</v>
      </c>
      <c r="F1585" s="710" t="s">
        <v>1270</v>
      </c>
      <c r="G1585" t="s">
        <v>1693</v>
      </c>
    </row>
    <row r="1586" spans="1:7" ht="15.75">
      <c r="A1586" s="157" t="s">
        <v>351</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354</v>
      </c>
      <c r="B1588" s="301" t="s">
        <v>172</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322</v>
      </c>
      <c r="B1593" s="141" t="s">
        <v>323</v>
      </c>
      <c r="C1593" s="56">
        <v>45917</v>
      </c>
      <c r="D1593" s="43">
        <v>863</v>
      </c>
      <c r="F1593" s="710"/>
      <c r="G1593" t="s">
        <v>1693</v>
      </c>
    </row>
    <row r="1594" spans="1:7">
      <c r="A1594" s="714" t="s">
        <v>354</v>
      </c>
      <c r="B1594" s="301" t="s">
        <v>172</v>
      </c>
      <c r="C1594" s="56">
        <v>45917</v>
      </c>
      <c r="D1594" s="43">
        <v>253</v>
      </c>
      <c r="F1594" s="710"/>
      <c r="G1594" t="s">
        <v>1693</v>
      </c>
    </row>
    <row r="1595" spans="1:7" ht="15.75">
      <c r="A1595" s="134" t="s">
        <v>351</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3"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322</v>
      </c>
      <c r="B1603" s="245" t="s">
        <v>323</v>
      </c>
      <c r="C1603" s="56">
        <v>45918</v>
      </c>
      <c r="D1603" s="43">
        <v>499</v>
      </c>
      <c r="F1603" s="710"/>
      <c r="G1603" t="s">
        <v>1693</v>
      </c>
    </row>
    <row r="1604" spans="1:7">
      <c r="A1604" s="902" t="s">
        <v>354</v>
      </c>
      <c r="B1604" s="302" t="s">
        <v>172</v>
      </c>
      <c r="C1604" s="56">
        <v>45918</v>
      </c>
      <c r="D1604" s="155">
        <v>1076</v>
      </c>
      <c r="F1604" s="710"/>
      <c r="G1604" t="s">
        <v>1693</v>
      </c>
    </row>
    <row r="1605" spans="1:7" ht="15.75">
      <c r="A1605" s="157" t="s">
        <v>351</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322</v>
      </c>
      <c r="B1608" s="391" t="s">
        <v>323</v>
      </c>
      <c r="C1608" s="56">
        <v>45919</v>
      </c>
      <c r="D1608" s="43">
        <v>475</v>
      </c>
      <c r="F1608" s="710"/>
      <c r="G1608" t="s">
        <v>1693</v>
      </c>
    </row>
    <row r="1609" spans="1:7">
      <c r="A1609" s="627" t="s">
        <v>354</v>
      </c>
      <c r="B1609" s="141" t="s">
        <v>172</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423</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322</v>
      </c>
      <c r="B1616" s="300" t="s">
        <v>323</v>
      </c>
      <c r="C1616" s="56">
        <v>45922</v>
      </c>
      <c r="D1616" s="43">
        <v>839</v>
      </c>
      <c r="F1616" s="710"/>
      <c r="G1616" t="s">
        <v>1693</v>
      </c>
    </row>
    <row r="1617" spans="1:7">
      <c r="A1617" s="714" t="s">
        <v>354</v>
      </c>
      <c r="B1617" s="301" t="s">
        <v>172</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4" t="s">
        <v>1188</v>
      </c>
      <c r="B1621" s="1066" t="s">
        <v>423</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7"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322</v>
      </c>
      <c r="B1625" s="391" t="s">
        <v>323</v>
      </c>
      <c r="C1625" s="56">
        <v>45923</v>
      </c>
      <c r="F1625" s="728" t="s">
        <v>1738</v>
      </c>
      <c r="G1625" t="s">
        <v>1693</v>
      </c>
    </row>
    <row r="1626" spans="1:7">
      <c r="A1626" s="902" t="s">
        <v>354</v>
      </c>
      <c r="B1626" s="905" t="s">
        <v>172</v>
      </c>
      <c r="C1626" s="56">
        <v>45923</v>
      </c>
      <c r="D1626" s="43">
        <v>120</v>
      </c>
      <c r="F1626" s="69"/>
      <c r="G1626" t="s">
        <v>1693</v>
      </c>
    </row>
    <row r="1627" spans="1:7" ht="15.75">
      <c r="A1627" s="157" t="s">
        <v>351</v>
      </c>
      <c r="B1627" s="242" t="s">
        <v>1141</v>
      </c>
      <c r="C1627" s="306">
        <v>45923</v>
      </c>
      <c r="F1627" s="141" t="s">
        <v>1613</v>
      </c>
      <c r="G1627" t="s">
        <v>1693</v>
      </c>
    </row>
    <row r="1628" spans="1:7">
      <c r="A1628" s="1515" t="s">
        <v>1189</v>
      </c>
      <c r="B1628" s="1469"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4" t="s">
        <v>1188</v>
      </c>
      <c r="B1630" s="300" t="s">
        <v>423</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6"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322</v>
      </c>
      <c r="B1636" s="391" t="s">
        <v>323</v>
      </c>
      <c r="C1636" s="339">
        <v>45924</v>
      </c>
      <c r="D1636" s="43">
        <v>616</v>
      </c>
      <c r="F1636" s="91"/>
      <c r="G1636" t="s">
        <v>1693</v>
      </c>
    </row>
    <row r="1637" spans="1:7">
      <c r="A1637" s="902" t="s">
        <v>354</v>
      </c>
      <c r="B1637" s="905" t="s">
        <v>172</v>
      </c>
      <c r="C1637" s="56">
        <v>45924</v>
      </c>
      <c r="D1637" s="43">
        <v>190</v>
      </c>
      <c r="F1637" s="69"/>
      <c r="G1637" t="s">
        <v>1693</v>
      </c>
    </row>
    <row r="1638" spans="1:7" ht="15.75">
      <c r="A1638" s="157" t="s">
        <v>344</v>
      </c>
      <c r="B1638" s="242" t="s">
        <v>1141</v>
      </c>
      <c r="C1638" s="306">
        <v>45924</v>
      </c>
      <c r="D1638" s="43">
        <v>362</v>
      </c>
      <c r="F1638" s="30"/>
      <c r="G1638" t="s">
        <v>1693</v>
      </c>
    </row>
    <row r="1639" spans="1:7">
      <c r="A1639" s="1515" t="s">
        <v>1189</v>
      </c>
      <c r="B1639" s="1469" t="s">
        <v>914</v>
      </c>
      <c r="C1639" s="56">
        <v>45924</v>
      </c>
      <c r="F1639" s="307" t="s">
        <v>1743</v>
      </c>
      <c r="G1639" t="s">
        <v>1693</v>
      </c>
    </row>
    <row r="1640" spans="1:7">
      <c r="A1640" s="751" t="s">
        <v>551</v>
      </c>
      <c r="B1640" s="909" t="s">
        <v>172</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4" t="s">
        <v>1188</v>
      </c>
      <c r="B1646" s="300" t="s">
        <v>423</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7"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7" t="s">
        <v>1190</v>
      </c>
      <c r="B1650" s="300" t="s">
        <v>1217</v>
      </c>
      <c r="C1650" s="56">
        <v>45925</v>
      </c>
      <c r="F1650" s="307" t="s">
        <v>1746</v>
      </c>
      <c r="G1650" t="s">
        <v>1693</v>
      </c>
    </row>
    <row r="1651" spans="1:7">
      <c r="A1651" s="724" t="s">
        <v>322</v>
      </c>
      <c r="B1651" s="245" t="s">
        <v>323</v>
      </c>
      <c r="C1651" s="56">
        <v>45925</v>
      </c>
      <c r="D1651" s="43">
        <v>969</v>
      </c>
      <c r="G1651" t="s">
        <v>1693</v>
      </c>
    </row>
    <row r="1652" spans="1:7">
      <c r="A1652" s="902" t="s">
        <v>354</v>
      </c>
      <c r="B1652" s="905" t="s">
        <v>172</v>
      </c>
      <c r="C1652" s="56">
        <v>45925</v>
      </c>
      <c r="F1652" s="141" t="s">
        <v>1287</v>
      </c>
      <c r="G1652" t="s">
        <v>1693</v>
      </c>
    </row>
    <row r="1653" spans="1:7" ht="15.75">
      <c r="A1653" s="157" t="s">
        <v>344</v>
      </c>
      <c r="B1653" s="242" t="s">
        <v>1141</v>
      </c>
      <c r="C1653" s="306">
        <v>45925</v>
      </c>
      <c r="D1653" s="43">
        <v>399</v>
      </c>
      <c r="G1653" t="s">
        <v>1693</v>
      </c>
    </row>
    <row r="1654" spans="1:7">
      <c r="A1654" s="1515" t="s">
        <v>1189</v>
      </c>
      <c r="B1654" s="1469" t="s">
        <v>914</v>
      </c>
      <c r="C1654" s="56">
        <v>45925</v>
      </c>
      <c r="F1654" s="307" t="s">
        <v>1747</v>
      </c>
      <c r="G1654" t="s">
        <v>1693</v>
      </c>
    </row>
    <row r="1655" spans="1:7">
      <c r="A1655" s="314" t="s">
        <v>1188</v>
      </c>
      <c r="B1655" s="141" t="s">
        <v>423</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323</v>
      </c>
      <c r="C1657" s="56">
        <v>45926</v>
      </c>
      <c r="D1657" s="43">
        <v>300</v>
      </c>
      <c r="G1657" t="s">
        <v>1693</v>
      </c>
    </row>
    <row r="1658" spans="1:7">
      <c r="A1658" s="300" t="s">
        <v>1190</v>
      </c>
      <c r="B1658" s="715" t="s">
        <v>1748</v>
      </c>
      <c r="C1658" s="56">
        <v>45926</v>
      </c>
      <c r="D1658" s="43">
        <v>364</v>
      </c>
      <c r="G1658" t="s">
        <v>1693</v>
      </c>
    </row>
    <row r="1659" spans="1:7">
      <c r="A1659" s="134" t="s">
        <v>322</v>
      </c>
      <c r="B1659" s="141" t="s">
        <v>323</v>
      </c>
      <c r="C1659" s="56">
        <v>45926</v>
      </c>
      <c r="D1659" s="43">
        <v>552</v>
      </c>
      <c r="G1659" t="s">
        <v>1693</v>
      </c>
    </row>
    <row r="1660" spans="1:7">
      <c r="A1660" s="714" t="s">
        <v>357</v>
      </c>
      <c r="B1660" s="301" t="s">
        <v>172</v>
      </c>
      <c r="C1660" s="56">
        <v>45926</v>
      </c>
      <c r="D1660" s="43">
        <v>551</v>
      </c>
      <c r="G1660" t="s">
        <v>1693</v>
      </c>
    </row>
    <row r="1661" spans="1:7" ht="15.75">
      <c r="A1661" s="134" t="s">
        <v>344</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322</v>
      </c>
      <c r="B1669" s="141" t="s">
        <v>323</v>
      </c>
      <c r="C1669" s="56">
        <v>45929</v>
      </c>
      <c r="D1669" s="155">
        <v>1375</v>
      </c>
      <c r="G1669" t="s">
        <v>1693</v>
      </c>
    </row>
    <row r="1670" spans="1:7">
      <c r="A1670" s="714" t="s">
        <v>351</v>
      </c>
      <c r="B1670" s="301" t="s">
        <v>172</v>
      </c>
      <c r="C1670" s="56">
        <v>45929</v>
      </c>
      <c r="F1670" s="141" t="s">
        <v>1613</v>
      </c>
      <c r="G1670" t="s">
        <v>1693</v>
      </c>
    </row>
    <row r="1671" spans="1:7" ht="15.75">
      <c r="A1671" s="141" t="s">
        <v>1189</v>
      </c>
      <c r="B1671" s="242" t="s">
        <v>1141</v>
      </c>
      <c r="C1671" s="306">
        <v>45929</v>
      </c>
      <c r="D1671" s="155">
        <v>1418</v>
      </c>
      <c r="G1671" t="s">
        <v>1693</v>
      </c>
    </row>
    <row r="1672" spans="1:7">
      <c r="A1672" s="169" t="s">
        <v>354</v>
      </c>
      <c r="B1672" s="344" t="s">
        <v>172</v>
      </c>
      <c r="C1672" s="56">
        <v>45929</v>
      </c>
      <c r="D1672" s="43">
        <v>479</v>
      </c>
      <c r="G1672" t="s">
        <v>1693</v>
      </c>
    </row>
    <row r="1673" spans="1:7">
      <c r="A1673" s="43" t="s">
        <v>357</v>
      </c>
      <c r="B1673" s="314" t="s">
        <v>172</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2" t="s">
        <v>204</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322</v>
      </c>
      <c r="B1682" s="301" t="s">
        <v>323</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357</v>
      </c>
      <c r="B1685" s="344" t="s">
        <v>172</v>
      </c>
      <c r="C1685" s="56">
        <v>45930</v>
      </c>
      <c r="D1685" s="43">
        <v>251</v>
      </c>
      <c r="G1685" t="s">
        <v>1693</v>
      </c>
    </row>
    <row r="1686" spans="1:7">
      <c r="A1686" s="534" t="s">
        <v>551</v>
      </c>
      <c r="B1686" s="343" t="s">
        <v>172</v>
      </c>
      <c r="C1686" s="56">
        <v>45930</v>
      </c>
      <c r="D1686" s="43">
        <v>665</v>
      </c>
      <c r="G1686" t="s">
        <v>1693</v>
      </c>
    </row>
    <row r="1687" spans="1:7" ht="15.75">
      <c r="A1687" s="88" t="s">
        <v>1165</v>
      </c>
      <c r="B1687" s="242" t="s">
        <v>1141</v>
      </c>
      <c r="C1687" s="306">
        <v>45931</v>
      </c>
      <c r="D1687" s="43">
        <v>201</v>
      </c>
      <c r="G1687" t="s">
        <v>1756</v>
      </c>
    </row>
    <row r="1688" spans="1:7">
      <c r="A1688" s="327" t="s">
        <v>656</v>
      </c>
      <c r="B1688" s="1502" t="s">
        <v>204</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322</v>
      </c>
      <c r="B1693" s="141" t="s">
        <v>323</v>
      </c>
      <c r="C1693" s="56">
        <v>45931</v>
      </c>
      <c r="D1693" s="43">
        <v>312</v>
      </c>
      <c r="G1693" t="s">
        <v>1756</v>
      </c>
    </row>
    <row r="1694" spans="1:7">
      <c r="A1694" s="535" t="s">
        <v>551</v>
      </c>
      <c r="B1694" s="141" t="s">
        <v>172</v>
      </c>
      <c r="C1694" s="56">
        <v>45931</v>
      </c>
      <c r="D1694" s="43">
        <v>753</v>
      </c>
      <c r="G1694" t="s">
        <v>1756</v>
      </c>
    </row>
    <row r="1695" spans="1:7">
      <c r="A1695" s="301" t="s">
        <v>357</v>
      </c>
      <c r="B1695" s="343" t="s">
        <v>172</v>
      </c>
      <c r="C1695" s="56">
        <v>45931</v>
      </c>
      <c r="D1695" s="43">
        <v>224</v>
      </c>
      <c r="G1695" t="s">
        <v>1756</v>
      </c>
    </row>
    <row r="1696" spans="1:7" ht="15.75">
      <c r="A1696" s="134" t="s">
        <v>541</v>
      </c>
      <c r="B1696" s="242" t="s">
        <v>1141</v>
      </c>
      <c r="C1696" s="306">
        <v>45932</v>
      </c>
      <c r="D1696" s="43">
        <v>450</v>
      </c>
      <c r="G1696" t="s">
        <v>1756</v>
      </c>
    </row>
    <row r="1697" spans="1:7">
      <c r="A1697" s="320" t="s">
        <v>656</v>
      </c>
      <c r="B1697" s="1502" t="s">
        <v>204</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322</v>
      </c>
      <c r="B1703" s="302" t="s">
        <v>323</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172</v>
      </c>
      <c r="C1705" s="56">
        <v>45932</v>
      </c>
      <c r="D1705" s="43">
        <v>305</v>
      </c>
      <c r="G1705" t="s">
        <v>1756</v>
      </c>
    </row>
    <row r="1706" spans="1:7">
      <c r="A1706" s="301" t="s">
        <v>357</v>
      </c>
      <c r="B1706" s="343" t="s">
        <v>172</v>
      </c>
      <c r="C1706" s="56">
        <v>45932</v>
      </c>
      <c r="D1706" s="43">
        <v>789</v>
      </c>
      <c r="F1706" s="43" t="s">
        <v>1762</v>
      </c>
      <c r="G1706" t="s">
        <v>1756</v>
      </c>
    </row>
    <row r="1707" spans="1:7">
      <c r="A1707" s="302" t="s">
        <v>354</v>
      </c>
      <c r="B1707" s="302" t="s">
        <v>172</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2" t="s">
        <v>204</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322</v>
      </c>
      <c r="B1713" s="302" t="s">
        <v>323</v>
      </c>
      <c r="C1713" s="56">
        <v>45933</v>
      </c>
      <c r="D1713" s="43">
        <v>617</v>
      </c>
      <c r="G1713" t="s">
        <v>1756</v>
      </c>
    </row>
    <row r="1714" spans="1:7" ht="15.75">
      <c r="A1714" s="141" t="s">
        <v>1189</v>
      </c>
      <c r="B1714" s="242" t="s">
        <v>1141</v>
      </c>
      <c r="C1714" s="306">
        <v>45933</v>
      </c>
      <c r="D1714" s="43">
        <v>486</v>
      </c>
      <c r="G1714" t="s">
        <v>1756</v>
      </c>
    </row>
    <row r="1715" spans="1:7">
      <c r="A1715" s="301" t="s">
        <v>357</v>
      </c>
      <c r="B1715" s="300" t="s">
        <v>172</v>
      </c>
      <c r="C1715" s="56">
        <v>45933</v>
      </c>
      <c r="F1715" s="43" t="s">
        <v>1765</v>
      </c>
      <c r="G1715" t="s">
        <v>1756</v>
      </c>
    </row>
    <row r="1716" spans="1:7">
      <c r="A1716" s="302" t="s">
        <v>354</v>
      </c>
      <c r="B1716" s="302" t="s">
        <v>172</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2" t="s">
        <v>204</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322</v>
      </c>
      <c r="B1724" s="141" t="s">
        <v>323</v>
      </c>
      <c r="C1724" s="56">
        <v>45936</v>
      </c>
      <c r="D1724" s="43">
        <v>768</v>
      </c>
      <c r="G1724" t="s">
        <v>1756</v>
      </c>
    </row>
    <row r="1725" spans="1:7">
      <c r="A1725" s="301" t="s">
        <v>1189</v>
      </c>
      <c r="B1725" s="301" t="s">
        <v>914</v>
      </c>
      <c r="C1725" s="56">
        <v>45936</v>
      </c>
      <c r="D1725" s="43">
        <v>225</v>
      </c>
      <c r="G1725" t="s">
        <v>1756</v>
      </c>
    </row>
    <row r="1726" spans="1:7">
      <c r="A1726" s="533" t="s">
        <v>551</v>
      </c>
      <c r="B1726" s="302" t="s">
        <v>172</v>
      </c>
      <c r="C1726" s="56">
        <v>45936</v>
      </c>
      <c r="F1726" s="332" t="s">
        <v>1420</v>
      </c>
      <c r="G1726" t="s">
        <v>1756</v>
      </c>
    </row>
    <row r="1727" spans="1:7">
      <c r="A1727" s="332" t="s">
        <v>357</v>
      </c>
      <c r="B1727" s="332" t="s">
        <v>172</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322</v>
      </c>
      <c r="B1734" s="141" t="s">
        <v>323</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357</v>
      </c>
      <c r="B1737" s="301" t="s">
        <v>172</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2" t="s">
        <v>204</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357</v>
      </c>
      <c r="B1748" s="313" t="s">
        <v>172</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8" t="s">
        <v>114</v>
      </c>
      <c r="B1751" s="1518"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8"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322</v>
      </c>
      <c r="B1755" s="1470" t="s">
        <v>323</v>
      </c>
      <c r="C1755" s="56">
        <v>45939</v>
      </c>
      <c r="F1755" s="43" t="s">
        <v>1635</v>
      </c>
      <c r="G1755" t="s">
        <v>1756</v>
      </c>
    </row>
    <row r="1756" spans="1:7" ht="15.75">
      <c r="A1756" s="600" t="s">
        <v>1189</v>
      </c>
      <c r="B1756" s="242" t="s">
        <v>1141</v>
      </c>
      <c r="C1756" s="306">
        <v>45939</v>
      </c>
      <c r="D1756" s="43">
        <v>508</v>
      </c>
      <c r="G1756" t="s">
        <v>1756</v>
      </c>
    </row>
    <row r="1757" spans="1:7">
      <c r="A1757" s="1515" t="s">
        <v>1189</v>
      </c>
      <c r="B1757" s="1033" t="s">
        <v>914</v>
      </c>
      <c r="C1757" s="56">
        <v>45939</v>
      </c>
      <c r="F1757" s="600" t="s">
        <v>1287</v>
      </c>
      <c r="G1757" t="s">
        <v>1756</v>
      </c>
    </row>
    <row r="1758" spans="1:7">
      <c r="A1758" s="115" t="s">
        <v>357</v>
      </c>
      <c r="B1758" s="313" t="s">
        <v>172</v>
      </c>
      <c r="C1758" s="56">
        <v>45939</v>
      </c>
      <c r="D1758" s="43">
        <v>369</v>
      </c>
      <c r="G1758" t="s">
        <v>1756</v>
      </c>
    </row>
    <row r="1759" spans="1:7">
      <c r="A1759" s="115" t="s">
        <v>354</v>
      </c>
      <c r="B1759" s="313" t="s">
        <v>172</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325</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328</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336</v>
      </c>
      <c r="B1786" s="713" t="s">
        <v>172</v>
      </c>
      <c r="C1786" s="56">
        <v>45944</v>
      </c>
      <c r="D1786" s="43">
        <v>927</v>
      </c>
      <c r="F1786" s="43" t="s">
        <v>1763</v>
      </c>
      <c r="G1786" t="s">
        <v>1756</v>
      </c>
    </row>
    <row r="1787" spans="1:7" ht="15.75">
      <c r="A1787" s="245" t="s">
        <v>328</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322</v>
      </c>
      <c r="B1794" s="242" t="s">
        <v>1141</v>
      </c>
      <c r="C1794" s="306">
        <v>45945</v>
      </c>
      <c r="D1794" s="43">
        <v>986</v>
      </c>
      <c r="G1794" t="s">
        <v>1756</v>
      </c>
    </row>
    <row r="1795" spans="1:7">
      <c r="A1795" s="301" t="s">
        <v>343</v>
      </c>
      <c r="B1795" s="343" t="s">
        <v>1788</v>
      </c>
      <c r="C1795" s="56">
        <v>45945</v>
      </c>
      <c r="D1795" s="155">
        <v>1457</v>
      </c>
      <c r="F1795" s="43" t="s">
        <v>1789</v>
      </c>
      <c r="G1795" t="s">
        <v>1756</v>
      </c>
    </row>
    <row r="1796" spans="1:7">
      <c r="A1796" s="332" t="s">
        <v>336</v>
      </c>
      <c r="B1796" s="332" t="s">
        <v>172</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9"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344</v>
      </c>
      <c r="B1804" s="242" t="s">
        <v>1141</v>
      </c>
      <c r="C1804" s="306">
        <v>45946</v>
      </c>
      <c r="D1804" s="43">
        <v>170</v>
      </c>
      <c r="G1804" t="s">
        <v>1756</v>
      </c>
    </row>
    <row r="1805" spans="1:7">
      <c r="A1805" s="300" t="s">
        <v>343</v>
      </c>
      <c r="B1805" s="300" t="s">
        <v>1788</v>
      </c>
      <c r="C1805" s="306">
        <v>45946</v>
      </c>
      <c r="D1805" s="155">
        <v>1142</v>
      </c>
      <c r="F1805" s="43" t="s">
        <v>1794</v>
      </c>
      <c r="G1805" t="s">
        <v>1756</v>
      </c>
    </row>
    <row r="1806" spans="1:7">
      <c r="A1806" s="301" t="s">
        <v>336</v>
      </c>
      <c r="B1806" s="301" t="s">
        <v>172</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20"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343</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9"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343</v>
      </c>
      <c r="B1820" s="903" t="s">
        <v>1788</v>
      </c>
      <c r="C1820" s="56">
        <v>45950</v>
      </c>
      <c r="D1820" s="155">
        <v>1186</v>
      </c>
      <c r="F1820" s="43" t="s">
        <v>1638</v>
      </c>
      <c r="G1820" t="s">
        <v>1756</v>
      </c>
    </row>
    <row r="1821" spans="1:7">
      <c r="A1821" s="1395" t="s">
        <v>336</v>
      </c>
      <c r="B1821" s="1395" t="s">
        <v>172</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1" t="s">
        <v>343</v>
      </c>
      <c r="B1829" s="318" t="s">
        <v>1788</v>
      </c>
      <c r="C1829" s="56">
        <v>45951</v>
      </c>
      <c r="D1829" s="155">
        <v>1564</v>
      </c>
      <c r="F1829" s="43" t="s">
        <v>1806</v>
      </c>
      <c r="G1829" t="s">
        <v>1756</v>
      </c>
    </row>
    <row r="1830" spans="1:7">
      <c r="A1830" s="43" t="s">
        <v>336</v>
      </c>
      <c r="B1830" s="141" t="s">
        <v>172</v>
      </c>
      <c r="C1830" s="56">
        <v>45951</v>
      </c>
      <c r="D1830" s="43">
        <v>527</v>
      </c>
      <c r="F1830" s="43" t="s">
        <v>1795</v>
      </c>
      <c r="G1830" t="s">
        <v>1756</v>
      </c>
    </row>
    <row r="1831" spans="1:7">
      <c r="A1831" s="564" t="s">
        <v>1004</v>
      </c>
      <c r="B1831" s="1480"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1"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6" t="s">
        <v>343</v>
      </c>
      <c r="B1838" s="1033" t="s">
        <v>1788</v>
      </c>
      <c r="C1838" s="56">
        <v>45952</v>
      </c>
      <c r="D1838" s="155">
        <v>1012</v>
      </c>
      <c r="F1838" s="43" t="s">
        <v>1812</v>
      </c>
      <c r="G1838" t="s">
        <v>1756</v>
      </c>
    </row>
    <row r="1839" spans="1:7">
      <c r="A1839" s="43" t="s">
        <v>336</v>
      </c>
      <c r="B1839" s="314" t="s">
        <v>172</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2"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2"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6" t="s">
        <v>343</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1" t="s">
        <v>341</v>
      </c>
      <c r="B1858" s="1485"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374</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344</v>
      </c>
      <c r="B1869" s="242" t="s">
        <v>1141</v>
      </c>
      <c r="C1869" s="306">
        <v>45957</v>
      </c>
      <c r="F1869" s="316" t="s">
        <v>1660</v>
      </c>
      <c r="G1869" t="s">
        <v>1756</v>
      </c>
    </row>
    <row r="1870" spans="1:7">
      <c r="A1870" s="1506" t="s">
        <v>341</v>
      </c>
      <c r="B1870" s="1033" t="s">
        <v>1788</v>
      </c>
      <c r="C1870" s="56">
        <v>45957</v>
      </c>
      <c r="D1870" s="155">
        <v>1323</v>
      </c>
      <c r="F1870" s="43" t="s">
        <v>1831</v>
      </c>
      <c r="G1870" t="s">
        <v>1756</v>
      </c>
    </row>
    <row r="1871" spans="1:7">
      <c r="A1871" s="115" t="s">
        <v>336</v>
      </c>
      <c r="B1871" s="313" t="s">
        <v>172</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374</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2"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6" t="s">
        <v>341</v>
      </c>
      <c r="B1883" s="1033" t="s">
        <v>1788</v>
      </c>
      <c r="C1883" s="56">
        <v>45958</v>
      </c>
      <c r="D1883" s="155">
        <v>1516</v>
      </c>
      <c r="F1883" s="43" t="s">
        <v>1838</v>
      </c>
      <c r="G1883" t="s">
        <v>1756</v>
      </c>
    </row>
    <row r="1884" spans="1:7">
      <c r="A1884" s="43" t="s">
        <v>336</v>
      </c>
      <c r="B1884" s="314" t="s">
        <v>172</v>
      </c>
      <c r="C1884" s="56">
        <v>45958</v>
      </c>
      <c r="D1884" s="155">
        <v>1224</v>
      </c>
      <c r="G1884" t="s">
        <v>1756</v>
      </c>
    </row>
    <row r="1885" spans="1:7">
      <c r="A1885" s="115" t="s">
        <v>336</v>
      </c>
      <c r="B1885" s="1067" t="s">
        <v>172</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374</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341</v>
      </c>
      <c r="B1894" s="161" t="s">
        <v>1788</v>
      </c>
      <c r="C1894" s="56">
        <v>45959</v>
      </c>
      <c r="D1894" s="43">
        <v>790</v>
      </c>
      <c r="F1894" s="43" t="s">
        <v>1845</v>
      </c>
      <c r="G1894" t="s">
        <v>1756</v>
      </c>
    </row>
    <row r="1895" spans="1:7">
      <c r="A1895" s="43" t="s">
        <v>336</v>
      </c>
      <c r="B1895" s="632" t="s">
        <v>172</v>
      </c>
      <c r="C1895" s="56">
        <v>45959</v>
      </c>
      <c r="D1895" s="43">
        <v>343</v>
      </c>
      <c r="G1895" t="s">
        <v>1756</v>
      </c>
    </row>
    <row r="1896" spans="1:7">
      <c r="A1896" s="148" t="s">
        <v>331</v>
      </c>
      <c r="B1896" s="115" t="s">
        <v>172</v>
      </c>
      <c r="C1896" s="56">
        <v>45959</v>
      </c>
      <c r="D1896" s="155">
        <v>3179</v>
      </c>
      <c r="G1896" t="s">
        <v>1756</v>
      </c>
    </row>
    <row r="1897" spans="1:7" ht="15.75">
      <c r="A1897" s="141" t="s">
        <v>322</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374</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3" t="s">
        <v>638</v>
      </c>
      <c r="B1906" s="318" t="s">
        <v>115</v>
      </c>
      <c r="C1906" s="56">
        <v>45960</v>
      </c>
      <c r="D1906" s="43">
        <v>978</v>
      </c>
      <c r="G1906" t="s">
        <v>1756</v>
      </c>
    </row>
    <row r="1907" spans="1:7" ht="15.75">
      <c r="A1907" s="43" t="s">
        <v>419</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336</v>
      </c>
      <c r="B1910" s="314" t="s">
        <v>172</v>
      </c>
      <c r="C1910" s="56">
        <v>45960</v>
      </c>
      <c r="E1910" s="249"/>
      <c r="F1910" s="598" t="s">
        <v>1456</v>
      </c>
      <c r="G1910" t="s">
        <v>1756</v>
      </c>
    </row>
    <row r="1911" spans="1:7">
      <c r="A1911" s="600" t="s">
        <v>341</v>
      </c>
      <c r="B1911" s="161" t="s">
        <v>1788</v>
      </c>
      <c r="C1911" s="56">
        <v>45960</v>
      </c>
      <c r="D1911" s="43">
        <v>930</v>
      </c>
      <c r="F1911" s="43" t="s">
        <v>1760</v>
      </c>
      <c r="G1911" t="s">
        <v>1756</v>
      </c>
    </row>
    <row r="1912" spans="1:7">
      <c r="A1912" s="366" t="s">
        <v>179</v>
      </c>
      <c r="B1912" s="788" t="s">
        <v>1856</v>
      </c>
      <c r="C1912" s="56">
        <v>45960</v>
      </c>
      <c r="D1912" s="43">
        <v>346</v>
      </c>
      <c r="G1912" t="s">
        <v>1756</v>
      </c>
    </row>
    <row r="1913" spans="1:7" ht="15.75">
      <c r="A1913" s="245" t="s">
        <v>322</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1" t="s">
        <v>665</v>
      </c>
      <c r="B1916" s="366" t="s">
        <v>1840</v>
      </c>
      <c r="C1916" s="56">
        <v>45961</v>
      </c>
      <c r="D1916" s="43">
        <v>955</v>
      </c>
      <c r="F1916" s="43" t="s">
        <v>1859</v>
      </c>
      <c r="G1916" t="s">
        <v>1756</v>
      </c>
    </row>
    <row r="1917" spans="1:7">
      <c r="A1917" s="69" t="s">
        <v>1195</v>
      </c>
      <c r="B1917" s="157" t="s">
        <v>374</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6" t="s">
        <v>341</v>
      </c>
      <c r="B1923" s="1033" t="s">
        <v>1788</v>
      </c>
      <c r="C1923" s="56">
        <v>45961</v>
      </c>
      <c r="D1923" s="43">
        <v>408</v>
      </c>
      <c r="F1923" s="43" t="s">
        <v>1861</v>
      </c>
      <c r="G1923" t="s">
        <v>1756</v>
      </c>
    </row>
    <row r="1924" spans="1:7">
      <c r="A1924" s="43" t="s">
        <v>179</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419</v>
      </c>
      <c r="B1932" s="242" t="s">
        <v>1141</v>
      </c>
      <c r="C1932" s="306">
        <v>45964</v>
      </c>
      <c r="D1932" s="43">
        <v>259</v>
      </c>
      <c r="G1932" t="s">
        <v>1863</v>
      </c>
    </row>
    <row r="1933" spans="1:7">
      <c r="A1933" s="300" t="s">
        <v>1004</v>
      </c>
      <c r="B1933" s="344" t="s">
        <v>1788</v>
      </c>
      <c r="C1933" s="56">
        <v>45964</v>
      </c>
      <c r="D1933" s="43">
        <v>463</v>
      </c>
      <c r="G1933" t="s">
        <v>1863</v>
      </c>
    </row>
    <row r="1934" spans="1:7">
      <c r="A1934" s="301" t="s">
        <v>331</v>
      </c>
      <c r="B1934" s="301" t="s">
        <v>172</v>
      </c>
      <c r="C1934" s="56">
        <v>45964</v>
      </c>
      <c r="D1934" s="43">
        <v>882</v>
      </c>
      <c r="F1934" s="43" t="s">
        <v>1865</v>
      </c>
      <c r="G1934" t="s">
        <v>1863</v>
      </c>
    </row>
    <row r="1935" spans="1:7" ht="15.75">
      <c r="A1935" s="141" t="s">
        <v>322</v>
      </c>
      <c r="B1935" s="242" t="s">
        <v>1141</v>
      </c>
      <c r="C1935" s="306">
        <v>45964</v>
      </c>
      <c r="F1935" s="43" t="s">
        <v>1609</v>
      </c>
      <c r="G1935" t="s">
        <v>1863</v>
      </c>
    </row>
    <row r="1936" spans="1:7">
      <c r="A1936" s="300" t="s">
        <v>322</v>
      </c>
      <c r="B1936" s="344" t="s">
        <v>1866</v>
      </c>
      <c r="C1936" s="56">
        <v>45964</v>
      </c>
      <c r="E1936" s="317">
        <v>3846</v>
      </c>
      <c r="F1936" s="43" t="s">
        <v>1867</v>
      </c>
      <c r="G1936" t="s">
        <v>1863</v>
      </c>
    </row>
    <row r="1937" spans="1:7">
      <c r="A1937" s="302" t="s">
        <v>322</v>
      </c>
      <c r="B1937" s="343" t="s">
        <v>323</v>
      </c>
      <c r="C1937" s="56">
        <v>45964</v>
      </c>
      <c r="F1937" s="886" t="s">
        <v>1868</v>
      </c>
      <c r="G1937" t="s">
        <v>1863</v>
      </c>
    </row>
    <row r="1938" spans="1:7" ht="15.75">
      <c r="A1938" s="141" t="s">
        <v>361</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20" t="s">
        <v>665</v>
      </c>
      <c r="B1941" s="908" t="s">
        <v>1840</v>
      </c>
      <c r="C1941" s="56">
        <v>45965</v>
      </c>
      <c r="F1941" s="887" t="s">
        <v>1525</v>
      </c>
      <c r="G1941" t="s">
        <v>1863</v>
      </c>
    </row>
    <row r="1942" spans="1:7">
      <c r="A1942" s="69" t="s">
        <v>669</v>
      </c>
      <c r="B1942" s="69" t="s">
        <v>374</v>
      </c>
      <c r="C1942" s="306">
        <v>45965</v>
      </c>
      <c r="D1942" s="43">
        <v>363</v>
      </c>
      <c r="G1942" t="s">
        <v>1863</v>
      </c>
    </row>
    <row r="1943" spans="1:7">
      <c r="A1943" s="564" t="s">
        <v>669</v>
      </c>
      <c r="B1943" s="564" t="s">
        <v>204</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419</v>
      </c>
      <c r="B1947" s="302" t="s">
        <v>1217</v>
      </c>
      <c r="C1947" s="56">
        <v>45965</v>
      </c>
      <c r="D1947" s="43">
        <v>817</v>
      </c>
      <c r="G1947" t="s">
        <v>1863</v>
      </c>
    </row>
    <row r="1948" spans="1:7" ht="15.75">
      <c r="A1948" s="43" t="s">
        <v>419</v>
      </c>
      <c r="B1948" s="242" t="s">
        <v>1141</v>
      </c>
      <c r="C1948" s="306">
        <v>45965</v>
      </c>
      <c r="D1948" s="43">
        <v>270</v>
      </c>
      <c r="G1948" t="s">
        <v>1863</v>
      </c>
    </row>
    <row r="1949" spans="1:7">
      <c r="A1949" s="1506" t="s">
        <v>1004</v>
      </c>
      <c r="B1949" s="169" t="s">
        <v>1788</v>
      </c>
      <c r="C1949" s="56">
        <v>45965</v>
      </c>
      <c r="D1949" s="43">
        <v>633</v>
      </c>
      <c r="G1949" t="s">
        <v>1863</v>
      </c>
    </row>
    <row r="1950" spans="1:7">
      <c r="A1950" s="43" t="s">
        <v>179</v>
      </c>
      <c r="B1950" s="141" t="s">
        <v>1862</v>
      </c>
      <c r="C1950" s="56">
        <v>45965</v>
      </c>
      <c r="D1950" s="43">
        <v>379</v>
      </c>
      <c r="F1950" s="43" t="s">
        <v>1871</v>
      </c>
      <c r="G1950" t="s">
        <v>1863</v>
      </c>
    </row>
    <row r="1951" spans="1:7">
      <c r="A1951" s="148" t="s">
        <v>331</v>
      </c>
      <c r="B1951" s="43" t="s">
        <v>172</v>
      </c>
      <c r="C1951" s="56">
        <v>45965</v>
      </c>
      <c r="D1951" s="155">
        <v>1072</v>
      </c>
      <c r="F1951" s="43" t="s">
        <v>1872</v>
      </c>
      <c r="G1951" t="s">
        <v>1863</v>
      </c>
    </row>
    <row r="1952" spans="1:7">
      <c r="A1952" s="1007" t="s">
        <v>343</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374</v>
      </c>
      <c r="C1956" s="306">
        <v>45966</v>
      </c>
      <c r="D1956" s="155">
        <v>1113</v>
      </c>
      <c r="E1956" s="249"/>
      <c r="F1956" s="169"/>
      <c r="G1956" t="s">
        <v>1863</v>
      </c>
    </row>
    <row r="1957" spans="1:7">
      <c r="A1957" s="311" t="s">
        <v>669</v>
      </c>
      <c r="B1957" s="311" t="s">
        <v>204</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419</v>
      </c>
      <c r="B1960" s="302" t="s">
        <v>1217</v>
      </c>
      <c r="C1960" s="56">
        <v>45966</v>
      </c>
      <c r="D1960" s="155">
        <v>1377</v>
      </c>
      <c r="G1960" t="s">
        <v>1863</v>
      </c>
    </row>
    <row r="1961" spans="1:7" ht="15.75">
      <c r="A1961" s="141" t="s">
        <v>419</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179</v>
      </c>
      <c r="B1964" s="300" t="s">
        <v>1862</v>
      </c>
      <c r="C1964" s="56">
        <v>45966</v>
      </c>
      <c r="D1964" s="43">
        <v>208</v>
      </c>
      <c r="F1964" s="43" t="s">
        <v>1224</v>
      </c>
      <c r="G1964" t="s">
        <v>1863</v>
      </c>
    </row>
    <row r="1965" spans="1:7">
      <c r="A1965" s="301" t="s">
        <v>331</v>
      </c>
      <c r="B1965" s="301" t="s">
        <v>172</v>
      </c>
      <c r="C1965" s="56">
        <v>45966</v>
      </c>
      <c r="D1965" s="155">
        <v>1034</v>
      </c>
      <c r="G1965" t="s">
        <v>1863</v>
      </c>
    </row>
    <row r="1966" spans="1:7" ht="15.75">
      <c r="A1966" s="141" t="s">
        <v>328</v>
      </c>
      <c r="B1966" s="242" t="s">
        <v>1141</v>
      </c>
      <c r="C1966" s="306">
        <v>45966</v>
      </c>
      <c r="D1966" s="43">
        <v>150</v>
      </c>
      <c r="G1966" t="s">
        <v>1863</v>
      </c>
    </row>
    <row r="1967" spans="1:7">
      <c r="A1967" s="391" t="s">
        <v>322</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374</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419</v>
      </c>
      <c r="B1974" s="302" t="s">
        <v>1217</v>
      </c>
      <c r="C1974" s="56">
        <v>45967</v>
      </c>
      <c r="D1974" s="43">
        <v>183</v>
      </c>
      <c r="G1974" t="s">
        <v>1863</v>
      </c>
    </row>
    <row r="1975" spans="1:7" ht="15.75">
      <c r="A1975" s="43" t="s">
        <v>419</v>
      </c>
      <c r="B1975" s="242" t="s">
        <v>1141</v>
      </c>
      <c r="C1975" s="306">
        <v>45967</v>
      </c>
      <c r="D1975" s="43">
        <v>270</v>
      </c>
      <c r="G1975" t="s">
        <v>1863</v>
      </c>
    </row>
    <row r="1976" spans="1:7">
      <c r="A1976" s="1506" t="s">
        <v>1004</v>
      </c>
      <c r="B1976" s="169" t="s">
        <v>1866</v>
      </c>
      <c r="C1976" s="56">
        <v>45967</v>
      </c>
      <c r="E1976" s="317">
        <v>5200</v>
      </c>
      <c r="F1976" s="43" t="s">
        <v>1880</v>
      </c>
      <c r="G1976" t="s">
        <v>1863</v>
      </c>
    </row>
    <row r="1977" spans="1:7">
      <c r="A1977" s="43" t="s">
        <v>179</v>
      </c>
      <c r="B1977" s="141" t="s">
        <v>1862</v>
      </c>
      <c r="C1977" s="56">
        <v>45967</v>
      </c>
      <c r="F1977" s="381" t="s">
        <v>1881</v>
      </c>
      <c r="G1977" t="s">
        <v>1863</v>
      </c>
    </row>
    <row r="1978" spans="1:7">
      <c r="A1978" s="148" t="s">
        <v>331</v>
      </c>
      <c r="B1978" s="43" t="s">
        <v>172</v>
      </c>
      <c r="C1978" s="56">
        <v>45967</v>
      </c>
      <c r="D1978" s="43">
        <v>209</v>
      </c>
      <c r="G1978" t="s">
        <v>1863</v>
      </c>
    </row>
    <row r="1979" spans="1:7">
      <c r="A1979" s="600" t="s">
        <v>359</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374</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419</v>
      </c>
      <c r="B1984" s="302" t="s">
        <v>1217</v>
      </c>
      <c r="C1984" s="56">
        <v>45968</v>
      </c>
      <c r="G1984" t="s">
        <v>1863</v>
      </c>
    </row>
    <row r="1985" spans="1:7" ht="15.75">
      <c r="A1985" s="141" t="s">
        <v>359</v>
      </c>
      <c r="B1985" s="242" t="s">
        <v>1141</v>
      </c>
      <c r="C1985" s="306">
        <v>45968</v>
      </c>
      <c r="D1985" s="43">
        <v>350</v>
      </c>
      <c r="G1985" t="s">
        <v>1863</v>
      </c>
    </row>
    <row r="1986" spans="1:7">
      <c r="A1986" s="300" t="s">
        <v>359</v>
      </c>
      <c r="B1986" s="1066" t="s">
        <v>1788</v>
      </c>
      <c r="C1986" s="56">
        <v>45968</v>
      </c>
      <c r="D1986" s="43">
        <v>913</v>
      </c>
      <c r="F1986" s="43" t="s">
        <v>1304</v>
      </c>
      <c r="G1986" t="s">
        <v>1863</v>
      </c>
    </row>
    <row r="1987" spans="1:7">
      <c r="A1987" s="43" t="s">
        <v>179</v>
      </c>
      <c r="B1987" s="141" t="s">
        <v>1862</v>
      </c>
      <c r="C1987" s="56">
        <v>45968</v>
      </c>
      <c r="F1987" s="381" t="s">
        <v>1881</v>
      </c>
      <c r="G1987" t="s">
        <v>1863</v>
      </c>
    </row>
    <row r="1988" spans="1:7">
      <c r="A1988" s="245" t="s">
        <v>341</v>
      </c>
      <c r="B1988" s="725" t="s">
        <v>1788</v>
      </c>
      <c r="C1988" s="56">
        <v>45968</v>
      </c>
      <c r="F1988" s="307" t="s">
        <v>1525</v>
      </c>
      <c r="G1988" t="s">
        <v>1863</v>
      </c>
    </row>
    <row r="1989" spans="1:7">
      <c r="A1989" s="245" t="s">
        <v>357</v>
      </c>
      <c r="B1989" s="43" t="s">
        <v>172</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419</v>
      </c>
      <c r="B1992" s="242" t="s">
        <v>1141</v>
      </c>
      <c r="C1992" s="306">
        <v>45971</v>
      </c>
      <c r="D1992" s="43">
        <v>558</v>
      </c>
      <c r="G1992" t="s">
        <v>1863</v>
      </c>
    </row>
    <row r="1993" spans="1:7">
      <c r="A1993" s="311" t="s">
        <v>419</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423</v>
      </c>
      <c r="C1997" s="56">
        <v>45971</v>
      </c>
      <c r="D1997" s="43">
        <v>748</v>
      </c>
      <c r="G1997" t="s">
        <v>1863</v>
      </c>
    </row>
    <row r="1998" spans="1:7">
      <c r="A1998" s="141" t="s">
        <v>331</v>
      </c>
      <c r="B1998" s="770" t="s">
        <v>172</v>
      </c>
      <c r="C1998" s="56">
        <v>45971</v>
      </c>
      <c r="D1998" s="43">
        <v>96</v>
      </c>
      <c r="G1998" t="s">
        <v>1863</v>
      </c>
    </row>
    <row r="1999" spans="1:7">
      <c r="A1999" s="300" t="s">
        <v>179</v>
      </c>
      <c r="B1999" s="344" t="s">
        <v>1862</v>
      </c>
      <c r="C1999" s="56">
        <v>45971</v>
      </c>
      <c r="D1999" s="43">
        <v>562</v>
      </c>
      <c r="G1999" t="s">
        <v>1863</v>
      </c>
    </row>
    <row r="2000" spans="1:7">
      <c r="A2000" s="141" t="s">
        <v>333</v>
      </c>
      <c r="B2000" s="770" t="s">
        <v>172</v>
      </c>
      <c r="C2000" s="56">
        <v>45971</v>
      </c>
      <c r="D2000" s="43">
        <v>435</v>
      </c>
      <c r="F2000" s="43" t="s">
        <v>1884</v>
      </c>
      <c r="G2000" t="s">
        <v>1863</v>
      </c>
    </row>
    <row r="2001" spans="1:7">
      <c r="A2001" s="1484"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423</v>
      </c>
      <c r="C2003" s="56">
        <v>45972</v>
      </c>
      <c r="D2003" s="155">
        <v>1062</v>
      </c>
      <c r="F2003" s="43" t="s">
        <v>1886</v>
      </c>
      <c r="G2003" t="s">
        <v>1863</v>
      </c>
    </row>
    <row r="2004" spans="1:7" ht="15.75">
      <c r="A2004" s="141" t="s">
        <v>343</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419</v>
      </c>
      <c r="B2007" s="242" t="s">
        <v>1141</v>
      </c>
      <c r="C2007" s="306">
        <v>45973</v>
      </c>
      <c r="F2007" s="307" t="s">
        <v>1585</v>
      </c>
      <c r="G2007" t="s">
        <v>1863</v>
      </c>
    </row>
    <row r="2008" spans="1:7">
      <c r="A2008" s="169" t="s">
        <v>402</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168</v>
      </c>
      <c r="B2013" s="242" t="s">
        <v>1141</v>
      </c>
      <c r="C2013" s="306">
        <v>45973</v>
      </c>
      <c r="D2013" s="43">
        <v>711</v>
      </c>
      <c r="F2013" s="43" t="s">
        <v>1270</v>
      </c>
      <c r="G2013" t="s">
        <v>1863</v>
      </c>
    </row>
    <row r="2014" spans="1:7">
      <c r="A2014" s="564" t="s">
        <v>341</v>
      </c>
      <c r="B2014" s="169" t="s">
        <v>1788</v>
      </c>
      <c r="C2014" s="56">
        <v>45973</v>
      </c>
      <c r="F2014" s="307" t="s">
        <v>1891</v>
      </c>
      <c r="G2014" t="s">
        <v>1863</v>
      </c>
    </row>
    <row r="2015" spans="1:7">
      <c r="A2015" s="600" t="s">
        <v>394</v>
      </c>
      <c r="B2015" s="43" t="s">
        <v>1788</v>
      </c>
      <c r="C2015" s="56">
        <v>45973</v>
      </c>
      <c r="D2015" s="155">
        <v>1486</v>
      </c>
      <c r="F2015" s="43" t="s">
        <v>1892</v>
      </c>
      <c r="G2015" t="s">
        <v>1863</v>
      </c>
    </row>
    <row r="2016" spans="1:7">
      <c r="A2016" s="600" t="s">
        <v>179</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419</v>
      </c>
      <c r="B2020" s="242" t="s">
        <v>1141</v>
      </c>
      <c r="C2020" s="306">
        <v>45974</v>
      </c>
      <c r="F2020" s="43" t="s">
        <v>1646</v>
      </c>
      <c r="G2020" t="s">
        <v>1863</v>
      </c>
    </row>
    <row r="2021" spans="1:7">
      <c r="A2021" s="169" t="s">
        <v>402</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168</v>
      </c>
      <c r="B2023" s="242" t="s">
        <v>1141</v>
      </c>
      <c r="C2023" s="306">
        <v>45974</v>
      </c>
      <c r="D2023" s="43">
        <v>325</v>
      </c>
      <c r="G2023" t="s">
        <v>1863</v>
      </c>
    </row>
    <row r="2024" spans="1:7" ht="15.75">
      <c r="A2024" s="43" t="s">
        <v>168</v>
      </c>
      <c r="B2024" s="242" t="s">
        <v>1141</v>
      </c>
      <c r="C2024" s="306">
        <v>45974</v>
      </c>
      <c r="F2024" s="43" t="s">
        <v>1304</v>
      </c>
      <c r="G2024" t="s">
        <v>1863</v>
      </c>
    </row>
    <row r="2025" spans="1:7">
      <c r="A2025" s="564" t="s">
        <v>179</v>
      </c>
      <c r="B2025" s="169" t="s">
        <v>1856</v>
      </c>
      <c r="C2025" s="56">
        <v>45974</v>
      </c>
      <c r="D2025" s="43">
        <v>606</v>
      </c>
      <c r="G2025" t="s">
        <v>1863</v>
      </c>
    </row>
    <row r="2026" spans="1:7">
      <c r="A2026" s="1007" t="s">
        <v>333</v>
      </c>
      <c r="B2026" s="1008" t="s">
        <v>172</v>
      </c>
      <c r="C2026" s="56">
        <v>45974</v>
      </c>
      <c r="D2026" s="155">
        <v>1123</v>
      </c>
      <c r="F2026" s="43" t="s">
        <v>1895</v>
      </c>
      <c r="G2026" t="s">
        <v>1863</v>
      </c>
    </row>
    <row r="2027" spans="1:7">
      <c r="A2027" s="709" t="s">
        <v>394</v>
      </c>
      <c r="B2027" s="115" t="s">
        <v>1788</v>
      </c>
      <c r="C2027" s="56">
        <v>45974</v>
      </c>
      <c r="D2027" s="155">
        <v>2912</v>
      </c>
      <c r="G2027" t="s">
        <v>1863</v>
      </c>
    </row>
    <row r="2028" spans="1:7" ht="15.75">
      <c r="A2028" s="600" t="s">
        <v>325</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419</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423</v>
      </c>
      <c r="C2035" s="56">
        <v>45975</v>
      </c>
      <c r="D2035" s="43">
        <v>1505</v>
      </c>
      <c r="E2035" s="249"/>
      <c r="F2035" s="169" t="s">
        <v>1897</v>
      </c>
      <c r="G2035" t="s">
        <v>1863</v>
      </c>
    </row>
    <row r="2036" spans="1:7" ht="15.75">
      <c r="A2036" s="141" t="s">
        <v>168</v>
      </c>
      <c r="B2036" s="242" t="s">
        <v>1141</v>
      </c>
      <c r="C2036" s="306">
        <v>45975</v>
      </c>
      <c r="D2036" s="43">
        <v>430</v>
      </c>
      <c r="G2036" t="s">
        <v>1863</v>
      </c>
    </row>
    <row r="2037" spans="1:7">
      <c r="A2037" s="301" t="s">
        <v>179</v>
      </c>
      <c r="B2037" s="169" t="s">
        <v>1856</v>
      </c>
      <c r="C2037" s="56">
        <v>45975</v>
      </c>
      <c r="D2037" s="43">
        <v>322</v>
      </c>
      <c r="G2037" t="s">
        <v>1863</v>
      </c>
    </row>
    <row r="2038" spans="1:7">
      <c r="A2038" s="332" t="s">
        <v>394</v>
      </c>
      <c r="B2038" s="713" t="s">
        <v>1788</v>
      </c>
      <c r="C2038" s="56">
        <v>45975</v>
      </c>
      <c r="D2038" s="155">
        <v>2125</v>
      </c>
      <c r="G2038" t="s">
        <v>1863</v>
      </c>
    </row>
    <row r="2039" spans="1:7" ht="15.75">
      <c r="A2039" s="141" t="s">
        <v>419</v>
      </c>
      <c r="B2039" s="242" t="s">
        <v>1141</v>
      </c>
      <c r="C2039" s="306">
        <v>45978</v>
      </c>
      <c r="D2039" s="43">
        <v>127</v>
      </c>
      <c r="G2039" t="s">
        <v>1863</v>
      </c>
    </row>
    <row r="2040" spans="1:7" ht="15.75">
      <c r="A2040" s="141" t="s">
        <v>419</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423</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344</v>
      </c>
      <c r="B2046" s="242" t="s">
        <v>1141</v>
      </c>
      <c r="C2046" s="306">
        <v>45978</v>
      </c>
      <c r="D2046" s="43">
        <v>176</v>
      </c>
      <c r="G2046" t="s">
        <v>1863</v>
      </c>
    </row>
    <row r="2047" spans="1:7" ht="15.75">
      <c r="A2047" s="141" t="s">
        <v>344</v>
      </c>
      <c r="B2047" s="242" t="s">
        <v>1141</v>
      </c>
      <c r="C2047" s="306">
        <v>45978</v>
      </c>
      <c r="D2047" s="43">
        <v>270</v>
      </c>
      <c r="G2047" t="s">
        <v>1863</v>
      </c>
    </row>
    <row r="2048" spans="1:7">
      <c r="A2048" s="300" t="s">
        <v>179</v>
      </c>
      <c r="B2048" s="169" t="s">
        <v>1856</v>
      </c>
      <c r="C2048" s="56">
        <v>45978</v>
      </c>
      <c r="D2048" s="43">
        <v>420</v>
      </c>
      <c r="G2048" t="s">
        <v>1863</v>
      </c>
    </row>
    <row r="2049" spans="1:7">
      <c r="A2049" s="300" t="s">
        <v>394</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405</v>
      </c>
      <c r="B2057" s="43" t="s">
        <v>115</v>
      </c>
      <c r="C2057" s="56">
        <v>45979</v>
      </c>
      <c r="D2057" s="155">
        <v>1679</v>
      </c>
      <c r="F2057" s="43" t="s">
        <v>1901</v>
      </c>
      <c r="G2057" t="s">
        <v>1863</v>
      </c>
    </row>
    <row r="2058" spans="1:7">
      <c r="A2058" s="43" t="s">
        <v>1199</v>
      </c>
      <c r="B2058" s="43" t="s">
        <v>423</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344</v>
      </c>
      <c r="B2061" s="242" t="s">
        <v>1141</v>
      </c>
      <c r="C2061" s="306">
        <v>45979</v>
      </c>
      <c r="D2061" s="43">
        <v>120</v>
      </c>
      <c r="F2061" s="69"/>
      <c r="G2061" t="s">
        <v>1863</v>
      </c>
    </row>
    <row r="2062" spans="1:7">
      <c r="A2062" s="1506" t="s">
        <v>333</v>
      </c>
      <c r="B2062" s="953" t="s">
        <v>172</v>
      </c>
      <c r="C2062" s="56">
        <v>45979</v>
      </c>
      <c r="D2062" s="155">
        <v>1917</v>
      </c>
      <c r="F2062" s="69"/>
      <c r="G2062" t="s">
        <v>1863</v>
      </c>
    </row>
    <row r="2063" spans="1:7">
      <c r="A2063" s="43" t="s">
        <v>396</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374</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405</v>
      </c>
      <c r="B2069" s="300" t="s">
        <v>115</v>
      </c>
      <c r="C2069" s="56">
        <v>45980</v>
      </c>
      <c r="D2069" s="317">
        <v>1429</v>
      </c>
      <c r="E2069" s="43"/>
      <c r="F2069" s="69" t="s">
        <v>1907</v>
      </c>
      <c r="G2069" t="s">
        <v>1863</v>
      </c>
    </row>
    <row r="2070" spans="1:7">
      <c r="A2070" s="301" t="s">
        <v>1199</v>
      </c>
      <c r="B2070" s="300" t="s">
        <v>423</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344</v>
      </c>
      <c r="B2073" s="242" t="s">
        <v>1141</v>
      </c>
      <c r="C2073" s="306">
        <v>45980</v>
      </c>
      <c r="D2073" s="43">
        <v>550</v>
      </c>
      <c r="F2073" s="69"/>
      <c r="G2073" t="s">
        <v>1863</v>
      </c>
    </row>
    <row r="2074" spans="1:7">
      <c r="A2074" s="301" t="s">
        <v>396</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374</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405</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168</v>
      </c>
      <c r="B2081" s="242" t="s">
        <v>1141</v>
      </c>
      <c r="C2081" s="306">
        <v>45981</v>
      </c>
      <c r="D2081" s="43">
        <v>195</v>
      </c>
      <c r="F2081" s="69" t="s">
        <v>1913</v>
      </c>
      <c r="G2081" t="s">
        <v>1863</v>
      </c>
    </row>
    <row r="2082" spans="1:7" ht="15.75">
      <c r="A2082" s="141" t="s">
        <v>344</v>
      </c>
      <c r="B2082" s="242" t="s">
        <v>1141</v>
      </c>
      <c r="C2082" s="306">
        <v>45981</v>
      </c>
      <c r="F2082" s="69" t="s">
        <v>1914</v>
      </c>
      <c r="G2082" t="s">
        <v>1863</v>
      </c>
    </row>
    <row r="2083" spans="1:7">
      <c r="A2083" s="300" t="s">
        <v>333</v>
      </c>
      <c r="B2083" s="953" t="s">
        <v>172</v>
      </c>
      <c r="C2083" s="56">
        <v>45981</v>
      </c>
      <c r="D2083" s="43">
        <v>272</v>
      </c>
      <c r="F2083" s="69"/>
      <c r="G2083" t="s">
        <v>1863</v>
      </c>
    </row>
    <row r="2084" spans="1:7">
      <c r="A2084" s="43" t="s">
        <v>394</v>
      </c>
      <c r="B2084" s="43" t="s">
        <v>1788</v>
      </c>
      <c r="C2084" s="56">
        <v>45982</v>
      </c>
      <c r="E2084" s="249"/>
      <c r="F2084" s="307" t="s">
        <v>1915</v>
      </c>
      <c r="G2084" t="s">
        <v>1863</v>
      </c>
    </row>
    <row r="2085" spans="1:7">
      <c r="A2085" s="300" t="s">
        <v>396</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80" t="s">
        <v>374</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396</v>
      </c>
      <c r="B2095" s="169" t="s">
        <v>1788</v>
      </c>
      <c r="C2095" s="56">
        <v>45982</v>
      </c>
      <c r="D2095" s="43">
        <v>789</v>
      </c>
      <c r="E2095" s="249"/>
      <c r="F2095" s="91" t="s">
        <v>1918</v>
      </c>
      <c r="G2095" t="s">
        <v>1863</v>
      </c>
    </row>
    <row r="2096" spans="1:7">
      <c r="A2096" s="43" t="s">
        <v>398</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374</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157</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405</v>
      </c>
      <c r="B2113" s="1485"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402</v>
      </c>
      <c r="B2116" s="242" t="s">
        <v>1141</v>
      </c>
      <c r="C2116" s="306">
        <v>45985</v>
      </c>
      <c r="D2116" s="139"/>
      <c r="E2116" s="43">
        <v>719</v>
      </c>
      <c r="F2116" s="69"/>
      <c r="G2116" t="s">
        <v>1863</v>
      </c>
    </row>
    <row r="2117" spans="1:7">
      <c r="A2117" s="301" t="s">
        <v>333</v>
      </c>
      <c r="B2117" s="344" t="s">
        <v>172</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359</v>
      </c>
      <c r="B2119" s="245" t="s">
        <v>1788</v>
      </c>
      <c r="C2119" s="56">
        <v>45985</v>
      </c>
      <c r="D2119" s="139"/>
      <c r="E2119" s="43"/>
      <c r="F2119" s="1032" t="s">
        <v>1927</v>
      </c>
      <c r="G2119" t="s">
        <v>1863</v>
      </c>
    </row>
    <row r="2120" spans="1:7">
      <c r="A2120" s="43" t="s">
        <v>341</v>
      </c>
      <c r="B2120" s="245" t="s">
        <v>1788</v>
      </c>
      <c r="C2120" s="56">
        <v>45985</v>
      </c>
      <c r="D2120" s="139"/>
      <c r="E2120" s="43"/>
      <c r="F2120" s="1032" t="s">
        <v>1928</v>
      </c>
      <c r="G2120" t="s">
        <v>1863</v>
      </c>
    </row>
    <row r="2121" spans="1:7">
      <c r="A2121" s="115" t="s">
        <v>382</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374</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423</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359</v>
      </c>
      <c r="B2132" s="245" t="s">
        <v>1788</v>
      </c>
      <c r="C2132" s="56">
        <v>45986</v>
      </c>
      <c r="D2132" s="139"/>
      <c r="E2132" s="43"/>
      <c r="F2132" s="725" t="s">
        <v>1932</v>
      </c>
      <c r="G2132" t="s">
        <v>1863</v>
      </c>
    </row>
    <row r="2133" spans="1:7">
      <c r="A2133" s="43" t="s">
        <v>341</v>
      </c>
      <c r="B2133" s="245" t="s">
        <v>1788</v>
      </c>
      <c r="C2133" s="56">
        <v>45986</v>
      </c>
      <c r="D2133" s="139"/>
      <c r="E2133" s="43"/>
      <c r="F2133" s="725" t="s">
        <v>1932</v>
      </c>
      <c r="G2133" t="s">
        <v>1863</v>
      </c>
    </row>
    <row r="2134" spans="1:7">
      <c r="A2134" s="43" t="s">
        <v>398</v>
      </c>
      <c r="B2134" s="43" t="s">
        <v>1788</v>
      </c>
      <c r="C2134" s="56">
        <v>45986</v>
      </c>
      <c r="D2134" s="317">
        <v>2568</v>
      </c>
      <c r="E2134" s="43"/>
      <c r="G2134" t="s">
        <v>1863</v>
      </c>
    </row>
    <row r="2135" spans="1:7">
      <c r="A2135" s="43" t="s">
        <v>382</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374</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423</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359</v>
      </c>
      <c r="B2152" s="141" t="s">
        <v>1788</v>
      </c>
      <c r="C2152" s="56">
        <v>45987</v>
      </c>
      <c r="D2152" s="139"/>
      <c r="E2152" s="43"/>
      <c r="F2152" s="725" t="s">
        <v>1932</v>
      </c>
      <c r="G2152" t="s">
        <v>1863</v>
      </c>
    </row>
    <row r="2153" spans="1:7">
      <c r="A2153" s="301" t="s">
        <v>341</v>
      </c>
      <c r="B2153" s="301" t="s">
        <v>1788</v>
      </c>
      <c r="C2153" s="331">
        <v>45987</v>
      </c>
      <c r="D2153" s="139"/>
      <c r="E2153" s="43"/>
      <c r="F2153" s="725" t="s">
        <v>1932</v>
      </c>
      <c r="G2153" t="s">
        <v>1863</v>
      </c>
    </row>
    <row r="2154" spans="1:7">
      <c r="A2154" s="141" t="s">
        <v>331</v>
      </c>
      <c r="B2154" s="141" t="s">
        <v>172</v>
      </c>
      <c r="C2154" s="56">
        <v>45987</v>
      </c>
      <c r="D2154" s="415"/>
      <c r="E2154" s="43"/>
      <c r="F2154" s="141" t="s">
        <v>1932</v>
      </c>
      <c r="G2154" t="s">
        <v>1863</v>
      </c>
    </row>
    <row r="2155" spans="1:7">
      <c r="A2155" s="141" t="s">
        <v>179</v>
      </c>
      <c r="B2155" s="141" t="s">
        <v>1856</v>
      </c>
      <c r="C2155" s="56">
        <v>45987</v>
      </c>
      <c r="D2155" s="161">
        <v>426</v>
      </c>
      <c r="E2155" s="249"/>
      <c r="F2155" s="169"/>
      <c r="G2155" t="s">
        <v>1863</v>
      </c>
    </row>
    <row r="2156" spans="1:7">
      <c r="A2156" s="141" t="s">
        <v>333</v>
      </c>
      <c r="B2156" s="141" t="s">
        <v>172</v>
      </c>
      <c r="C2156" s="56">
        <v>45987</v>
      </c>
      <c r="D2156" s="415"/>
      <c r="E2156" s="43"/>
      <c r="F2156" s="141" t="s">
        <v>1932</v>
      </c>
      <c r="G2156" t="s">
        <v>1863</v>
      </c>
    </row>
    <row r="2157" spans="1:7">
      <c r="A2157" s="302" t="s">
        <v>325</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3"/>
      <c r="B2170" s="1524"/>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374</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423</v>
      </c>
      <c r="C2179" s="56">
        <v>45992</v>
      </c>
      <c r="D2179" s="43">
        <v>600</v>
      </c>
      <c r="G2179" t="s">
        <v>1943</v>
      </c>
    </row>
    <row r="2180" spans="1:7">
      <c r="A2180" s="141" t="s">
        <v>382</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374</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423</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374</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423</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382</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374</v>
      </c>
      <c r="C2211" s="56">
        <v>45995</v>
      </c>
      <c r="D2211" s="43">
        <v>756</v>
      </c>
      <c r="G2211" t="s">
        <v>1943</v>
      </c>
    </row>
    <row r="2212" spans="1:7">
      <c r="A2212" s="311" t="s">
        <v>669</v>
      </c>
      <c r="B2212" s="311" t="s">
        <v>1748</v>
      </c>
      <c r="C2212" s="56">
        <v>45995</v>
      </c>
      <c r="F2212" s="307" t="s">
        <v>1960</v>
      </c>
      <c r="G2212" t="s">
        <v>1943</v>
      </c>
    </row>
    <row r="2213" spans="1:7">
      <c r="A2213" s="302" t="s">
        <v>408</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382</v>
      </c>
      <c r="B2218" s="300" t="s">
        <v>1788</v>
      </c>
      <c r="C2218" s="56">
        <v>45995</v>
      </c>
      <c r="D2218" s="155">
        <v>1316</v>
      </c>
      <c r="G2218" t="s">
        <v>1943</v>
      </c>
    </row>
    <row r="2219" spans="1:7">
      <c r="A2219" s="141" t="s">
        <v>398</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374</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423</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398</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374</v>
      </c>
      <c r="C2237" s="56">
        <v>45999</v>
      </c>
      <c r="D2237" s="155">
        <v>1283</v>
      </c>
      <c r="G2237" t="s">
        <v>1943</v>
      </c>
    </row>
    <row r="2238" spans="1:7" ht="15.75">
      <c r="A2238" s="69" t="s">
        <v>1176</v>
      </c>
      <c r="B2238" s="242" t="s">
        <v>1141</v>
      </c>
      <c r="C2238" s="306">
        <v>45999</v>
      </c>
      <c r="D2238" s="43">
        <v>237</v>
      </c>
      <c r="F2238" s="43" t="s">
        <v>1973</v>
      </c>
      <c r="G2238" t="s">
        <v>1943</v>
      </c>
    </row>
    <row r="2239" spans="1:7">
      <c r="A2239" s="1470" t="s">
        <v>1207</v>
      </c>
      <c r="B2239" s="1525" t="s">
        <v>423</v>
      </c>
      <c r="C2239" s="56">
        <v>45999</v>
      </c>
      <c r="D2239" s="43">
        <v>640</v>
      </c>
      <c r="F2239" s="43" t="s">
        <v>1974</v>
      </c>
      <c r="G2239" t="s">
        <v>1943</v>
      </c>
    </row>
    <row r="2240" spans="1:7" ht="15.75">
      <c r="A2240" s="1244" t="s">
        <v>618</v>
      </c>
      <c r="B2240" s="1460"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6" t="s">
        <v>408</v>
      </c>
      <c r="B2242" s="1526"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398</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374</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70" t="s">
        <v>1207</v>
      </c>
      <c r="B2252" s="1525" t="s">
        <v>423</v>
      </c>
      <c r="C2252" s="56">
        <v>46000</v>
      </c>
      <c r="D2252" s="43">
        <v>541</v>
      </c>
      <c r="F2252" s="43" t="s">
        <v>1983</v>
      </c>
      <c r="G2252" t="s">
        <v>1943</v>
      </c>
    </row>
    <row r="2253" spans="1:7">
      <c r="A2253" s="1244" t="s">
        <v>408</v>
      </c>
      <c r="B2253" s="366" t="s">
        <v>115</v>
      </c>
      <c r="C2253" s="306">
        <v>46000</v>
      </c>
      <c r="D2253" s="155">
        <v>1325</v>
      </c>
      <c r="F2253" s="43" t="s">
        <v>1935</v>
      </c>
      <c r="G2253" t="s">
        <v>1943</v>
      </c>
    </row>
    <row r="2254" spans="1:7" ht="15.75">
      <c r="A2254" s="1244" t="s">
        <v>596</v>
      </c>
      <c r="B2254" s="1460"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6" t="s">
        <v>1209</v>
      </c>
      <c r="B2256" s="1492" t="s">
        <v>1141</v>
      </c>
      <c r="C2256" s="306">
        <v>46000</v>
      </c>
      <c r="E2256" s="317">
        <v>3493</v>
      </c>
      <c r="G2256" t="s">
        <v>1943</v>
      </c>
    </row>
    <row r="2257" spans="1:7">
      <c r="A2257" s="169" t="s">
        <v>376</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374</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423</v>
      </c>
      <c r="C2267" s="56">
        <v>46001</v>
      </c>
      <c r="D2267" s="43">
        <v>330</v>
      </c>
      <c r="F2267" s="43" t="s">
        <v>1795</v>
      </c>
      <c r="G2267" t="s">
        <v>1943</v>
      </c>
    </row>
    <row r="2268" spans="1:7">
      <c r="A2268" s="755" t="s">
        <v>408</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2" t="s">
        <v>1141</v>
      </c>
      <c r="C2270" s="306">
        <v>46001</v>
      </c>
      <c r="E2270" s="317">
        <v>1685</v>
      </c>
      <c r="G2270" t="s">
        <v>1943</v>
      </c>
    </row>
    <row r="2271" spans="1:7">
      <c r="A2271" s="1066" t="s">
        <v>376</v>
      </c>
      <c r="B2271" s="1066" t="s">
        <v>1788</v>
      </c>
      <c r="C2271" s="56">
        <v>46001</v>
      </c>
      <c r="D2271" s="155">
        <v>1177</v>
      </c>
      <c r="F2271" s="43" t="s">
        <v>1991</v>
      </c>
      <c r="G2271" t="s">
        <v>1943</v>
      </c>
    </row>
    <row r="2272" spans="1:7">
      <c r="A2272" s="725" t="s">
        <v>379</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5"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374</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423</v>
      </c>
      <c r="C2284" s="56">
        <v>46002</v>
      </c>
      <c r="D2284" s="43">
        <v>520</v>
      </c>
      <c r="G2284" t="s">
        <v>1943</v>
      </c>
    </row>
    <row r="2285" spans="1:7">
      <c r="A2285" s="1081" t="s">
        <v>581</v>
      </c>
      <c r="B2285" s="243" t="s">
        <v>573</v>
      </c>
      <c r="C2285" s="306">
        <v>46002</v>
      </c>
      <c r="D2285" s="155">
        <v>1351</v>
      </c>
      <c r="F2285" s="43" t="s">
        <v>1998</v>
      </c>
      <c r="G2285" t="s">
        <v>1943</v>
      </c>
    </row>
    <row r="2286" spans="1:7">
      <c r="A2286" s="169" t="s">
        <v>379</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374</v>
      </c>
      <c r="C2295" s="56">
        <v>46003</v>
      </c>
      <c r="F2295" s="728" t="s">
        <v>2003</v>
      </c>
      <c r="G2295" t="s">
        <v>1943</v>
      </c>
    </row>
    <row r="2296" spans="1:7">
      <c r="A2296" s="751" t="s">
        <v>1207</v>
      </c>
      <c r="B2296" s="751" t="s">
        <v>423</v>
      </c>
      <c r="C2296" s="56">
        <v>46003</v>
      </c>
      <c r="D2296" s="43">
        <v>550</v>
      </c>
      <c r="F2296" s="43" t="s">
        <v>2004</v>
      </c>
      <c r="G2296" t="s">
        <v>1943</v>
      </c>
    </row>
    <row r="2297" spans="1:7" ht="15.75">
      <c r="A2297" s="725" t="s">
        <v>388</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374</v>
      </c>
      <c r="C2304" s="56">
        <v>46006</v>
      </c>
      <c r="F2304" s="728" t="s">
        <v>1443</v>
      </c>
      <c r="G2304" t="s">
        <v>1943</v>
      </c>
    </row>
    <row r="2305" spans="1:7">
      <c r="A2305" s="366" t="s">
        <v>1207</v>
      </c>
      <c r="B2305" s="1078" t="s">
        <v>423</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400</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423</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6"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171</v>
      </c>
      <c r="B2321" s="366" t="s">
        <v>172</v>
      </c>
      <c r="C2321" s="56">
        <v>46007</v>
      </c>
      <c r="D2321" s="43">
        <v>890</v>
      </c>
      <c r="F2321" s="43" t="s">
        <v>2020</v>
      </c>
      <c r="G2321" t="s">
        <v>1943</v>
      </c>
    </row>
    <row r="2322" spans="1:7" ht="15.75">
      <c r="A2322" s="43" t="s">
        <v>388</v>
      </c>
      <c r="B2322" s="242" t="s">
        <v>1141</v>
      </c>
      <c r="C2322" s="306">
        <v>46007</v>
      </c>
      <c r="D2322" s="155">
        <v>1164</v>
      </c>
      <c r="G2322" t="s">
        <v>1943</v>
      </c>
    </row>
    <row r="2323" spans="1:7">
      <c r="A2323" s="564" t="s">
        <v>400</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374</v>
      </c>
      <c r="C2328" s="56">
        <v>46008</v>
      </c>
      <c r="D2328" s="43">
        <v>467</v>
      </c>
      <c r="G2328" t="s">
        <v>1943</v>
      </c>
    </row>
    <row r="2329" spans="1:7">
      <c r="A2329" s="148" t="s">
        <v>669</v>
      </c>
      <c r="B2329" s="115" t="s">
        <v>1748</v>
      </c>
      <c r="C2329" s="56">
        <v>46008</v>
      </c>
      <c r="F2329" s="887" t="s">
        <v>2024</v>
      </c>
      <c r="G2329" t="s">
        <v>1943</v>
      </c>
    </row>
    <row r="2330" spans="1:7">
      <c r="A2330" s="148" t="s">
        <v>669</v>
      </c>
      <c r="B2330" s="148" t="s">
        <v>374</v>
      </c>
      <c r="C2330" s="56">
        <v>46008</v>
      </c>
      <c r="F2330" s="1245" t="s">
        <v>2002</v>
      </c>
      <c r="G2330" t="s">
        <v>1943</v>
      </c>
    </row>
    <row r="2331" spans="1:7">
      <c r="A2331" s="366" t="s">
        <v>1207</v>
      </c>
      <c r="B2331" s="1078" t="s">
        <v>423</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6"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9" t="s">
        <v>171</v>
      </c>
      <c r="B2336" s="1470" t="s">
        <v>172</v>
      </c>
      <c r="C2336" s="56">
        <v>46008</v>
      </c>
      <c r="D2336" s="155">
        <v>1810</v>
      </c>
      <c r="F2336" s="43" t="s">
        <v>2029</v>
      </c>
      <c r="G2336" t="s">
        <v>1943</v>
      </c>
    </row>
    <row r="2337" spans="1:7" ht="15.75">
      <c r="A2337" s="43" t="s">
        <v>388</v>
      </c>
      <c r="B2337" s="242" t="s">
        <v>1141</v>
      </c>
      <c r="C2337" s="306">
        <v>46008</v>
      </c>
      <c r="D2337" s="43">
        <v>308</v>
      </c>
      <c r="F2337" s="43" t="s">
        <v>2030</v>
      </c>
      <c r="G2337" t="s">
        <v>1943</v>
      </c>
    </row>
    <row r="2338" spans="1:7">
      <c r="A2338" s="564" t="s">
        <v>400</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374</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374</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423</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388</v>
      </c>
      <c r="B2358" s="242" t="s">
        <v>1141</v>
      </c>
      <c r="C2358" s="306">
        <v>46009</v>
      </c>
      <c r="D2358" s="43">
        <v>892</v>
      </c>
      <c r="F2358" s="43" t="s">
        <v>2034</v>
      </c>
      <c r="G2358" t="s">
        <v>1943</v>
      </c>
    </row>
    <row r="2359" spans="1:7">
      <c r="A2359" s="301" t="s">
        <v>400</v>
      </c>
      <c r="B2359" s="301" t="s">
        <v>1788</v>
      </c>
      <c r="C2359" s="306">
        <v>46009</v>
      </c>
      <c r="D2359" s="155">
        <v>1704</v>
      </c>
      <c r="F2359" s="43" t="s">
        <v>2035</v>
      </c>
      <c r="G2359" t="s">
        <v>1943</v>
      </c>
    </row>
    <row r="2360" spans="1:7" ht="15.75">
      <c r="A2360" s="141" t="s">
        <v>171</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374</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374</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423</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388</v>
      </c>
      <c r="B2378" s="1492" t="s">
        <v>1141</v>
      </c>
      <c r="C2378" s="306">
        <v>46010</v>
      </c>
      <c r="D2378" s="43">
        <v>366</v>
      </c>
      <c r="F2378" s="43" t="s">
        <v>2042</v>
      </c>
      <c r="G2378" t="s">
        <v>1943</v>
      </c>
    </row>
    <row r="2379" spans="1:7">
      <c r="A2379" s="564" t="s">
        <v>400</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374</v>
      </c>
      <c r="C2388" s="56">
        <v>46013</v>
      </c>
      <c r="D2388" s="139"/>
      <c r="E2388" s="43"/>
      <c r="F2388" s="154" t="s">
        <v>1522</v>
      </c>
      <c r="G2388" t="s">
        <v>1943</v>
      </c>
    </row>
    <row r="2389" spans="1:7">
      <c r="A2389" s="307" t="s">
        <v>1207</v>
      </c>
      <c r="B2389" s="307" t="s">
        <v>423</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388</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423</v>
      </c>
      <c r="C2400" s="56">
        <v>46014</v>
      </c>
      <c r="F2400" s="43" t="s">
        <v>1730</v>
      </c>
      <c r="G2400" t="s">
        <v>1943</v>
      </c>
    </row>
    <row r="2401" spans="1:7">
      <c r="A2401" s="773" t="s">
        <v>633</v>
      </c>
      <c r="B2401" s="955" t="s">
        <v>115</v>
      </c>
      <c r="C2401" s="56">
        <v>46014</v>
      </c>
      <c r="F2401" s="332" t="s">
        <v>1604</v>
      </c>
      <c r="G2401" t="s">
        <v>1943</v>
      </c>
    </row>
    <row r="2402" spans="1:7">
      <c r="A2402" s="1486"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7" t="s">
        <v>115</v>
      </c>
      <c r="C2404" s="56">
        <v>46014</v>
      </c>
      <c r="E2404" s="317">
        <v>14727</v>
      </c>
      <c r="F2404" s="422" t="s">
        <v>2049</v>
      </c>
      <c r="G2404" t="s">
        <v>1943</v>
      </c>
    </row>
    <row r="2405" spans="1:7">
      <c r="A2405" s="366" t="s">
        <v>509</v>
      </c>
      <c r="B2405" s="1487"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8"/>
      <c r="B2408" s="1529"/>
      <c r="C2408" s="56">
        <v>46016</v>
      </c>
      <c r="G2408" t="s">
        <v>1943</v>
      </c>
    </row>
    <row r="2409" spans="1:7">
      <c r="A2409" s="366"/>
      <c r="B2409" s="1487"/>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408</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388</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8"/>
      <c r="B2431" s="1529"/>
      <c r="C2431" s="56">
        <v>46023</v>
      </c>
      <c r="D2431" s="43">
        <v>0</v>
      </c>
      <c r="E2431" s="43"/>
      <c r="G2431" t="s">
        <v>2055</v>
      </c>
    </row>
    <row r="2432" spans="1:7">
      <c r="C2432" s="56">
        <v>46024</v>
      </c>
      <c r="D2432" s="43">
        <v>0</v>
      </c>
      <c r="E2432" s="43"/>
      <c r="G2432" t="s">
        <v>2055</v>
      </c>
    </row>
    <row r="2433" spans="1:7">
      <c r="A2433" s="366" t="s">
        <v>413</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348</v>
      </c>
      <c r="B2435" s="1318" t="s">
        <v>204</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348</v>
      </c>
      <c r="B2442" s="788" t="s">
        <v>204</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70" t="s">
        <v>413</v>
      </c>
      <c r="B2444" s="1503"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348</v>
      </c>
      <c r="B2450" s="157" t="s">
        <v>204</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348</v>
      </c>
      <c r="B2456" s="157" t="s">
        <v>204</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359</v>
      </c>
      <c r="B2458" s="157" t="s">
        <v>2062</v>
      </c>
      <c r="C2458" s="56">
        <v>46030</v>
      </c>
      <c r="D2458" s="1331"/>
      <c r="E2458" s="1331">
        <v>2706</v>
      </c>
      <c r="F2458" s="1343"/>
      <c r="G2458" t="s">
        <v>2055</v>
      </c>
    </row>
    <row r="2459" spans="1:7">
      <c r="A2459" s="245" t="s">
        <v>359</v>
      </c>
      <c r="B2459" s="157" t="s">
        <v>2062</v>
      </c>
      <c r="C2459" s="56">
        <v>46031</v>
      </c>
      <c r="D2459" s="88">
        <v>0</v>
      </c>
      <c r="E2459" s="88"/>
      <c r="F2459" s="1345" t="s">
        <v>2063</v>
      </c>
      <c r="G2459" t="s">
        <v>2055</v>
      </c>
    </row>
    <row r="2460" spans="1:7">
      <c r="A2460" s="245" t="s">
        <v>223</v>
      </c>
      <c r="B2460" s="157" t="s">
        <v>2062</v>
      </c>
      <c r="C2460" s="56">
        <v>46031</v>
      </c>
      <c r="D2460" s="88">
        <v>0</v>
      </c>
      <c r="E2460" s="88"/>
      <c r="F2460" s="1343" t="s">
        <v>1270</v>
      </c>
      <c r="G2460" t="s">
        <v>2055</v>
      </c>
    </row>
    <row r="2461" spans="1:7">
      <c r="A2461" s="245" t="s">
        <v>348</v>
      </c>
      <c r="B2461" s="157" t="s">
        <v>204</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385</v>
      </c>
      <c r="B2466" s="157" t="s">
        <v>204</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361</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373</v>
      </c>
      <c r="B2475" s="157" t="s">
        <v>374</v>
      </c>
      <c r="C2475" s="56">
        <v>46034</v>
      </c>
      <c r="D2475" s="88">
        <v>607</v>
      </c>
      <c r="E2475" s="88"/>
      <c r="F2475" s="1345"/>
      <c r="G2475" t="s">
        <v>2055</v>
      </c>
    </row>
    <row r="2476" spans="1:7">
      <c r="A2476" s="245" t="s">
        <v>348</v>
      </c>
      <c r="B2476" s="157" t="s">
        <v>204</v>
      </c>
      <c r="C2476" s="56">
        <v>46034</v>
      </c>
      <c r="D2476" s="1331">
        <v>1812</v>
      </c>
      <c r="E2476" s="88"/>
      <c r="F2476" s="1345"/>
      <c r="G2476" t="s">
        <v>2055</v>
      </c>
    </row>
    <row r="2477" spans="1:7">
      <c r="A2477" s="245" t="s">
        <v>413</v>
      </c>
      <c r="B2477" s="157" t="s">
        <v>115</v>
      </c>
      <c r="C2477" s="56">
        <v>46034</v>
      </c>
      <c r="D2477" s="1331">
        <v>1314</v>
      </c>
      <c r="E2477" s="88"/>
      <c r="F2477" s="1345" t="s">
        <v>1645</v>
      </c>
      <c r="G2477" t="s">
        <v>2055</v>
      </c>
    </row>
    <row r="2478" spans="1:7">
      <c r="A2478" s="366" t="s">
        <v>385</v>
      </c>
      <c r="B2478" s="788" t="s">
        <v>204</v>
      </c>
      <c r="C2478" s="56">
        <v>46034</v>
      </c>
      <c r="D2478" s="88">
        <v>926</v>
      </c>
      <c r="E2478" s="88"/>
      <c r="F2478" s="1345" t="s">
        <v>2066</v>
      </c>
      <c r="G2478" t="s">
        <v>2055</v>
      </c>
    </row>
    <row r="2479" spans="1:7" ht="15.75">
      <c r="A2479" s="245" t="s">
        <v>422</v>
      </c>
      <c r="B2479" s="242" t="s">
        <v>1141</v>
      </c>
      <c r="C2479" s="306">
        <v>46035</v>
      </c>
      <c r="D2479" s="88"/>
      <c r="E2479" s="1331">
        <v>2112</v>
      </c>
      <c r="F2479" s="1345"/>
      <c r="G2479" t="s">
        <v>2055</v>
      </c>
    </row>
    <row r="2480" spans="1:7">
      <c r="A2480" s="391" t="s">
        <v>411</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348</v>
      </c>
      <c r="B2487" s="1318" t="s">
        <v>204</v>
      </c>
      <c r="C2487" s="56">
        <v>46035</v>
      </c>
      <c r="D2487" s="1331">
        <v>1838</v>
      </c>
      <c r="E2487" s="88"/>
      <c r="F2487" s="1343"/>
      <c r="G2487" t="s">
        <v>2055</v>
      </c>
    </row>
    <row r="2488" spans="1:7">
      <c r="A2488" s="245" t="s">
        <v>325</v>
      </c>
      <c r="B2488" s="157" t="s">
        <v>2069</v>
      </c>
      <c r="C2488" s="56">
        <v>46035</v>
      </c>
      <c r="D2488" s="88"/>
      <c r="E2488" s="1331">
        <v>5312</v>
      </c>
      <c r="F2488" s="1345" t="s">
        <v>2070</v>
      </c>
      <c r="G2488" t="s">
        <v>2055</v>
      </c>
    </row>
    <row r="2489" spans="1:7">
      <c r="A2489" s="245" t="s">
        <v>373</v>
      </c>
      <c r="B2489" s="157" t="s">
        <v>374</v>
      </c>
      <c r="C2489" s="56">
        <v>46035</v>
      </c>
      <c r="D2489" s="88">
        <v>662</v>
      </c>
      <c r="E2489" s="88"/>
      <c r="F2489" s="1345"/>
      <c r="G2489" t="s">
        <v>2055</v>
      </c>
    </row>
    <row r="2490" spans="1:7">
      <c r="A2490" s="366" t="s">
        <v>385</v>
      </c>
      <c r="B2490" s="788" t="s">
        <v>204</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373</v>
      </c>
      <c r="B2496" s="157" t="s">
        <v>374</v>
      </c>
      <c r="C2496" s="56">
        <v>46036</v>
      </c>
      <c r="D2496" s="88">
        <v>877</v>
      </c>
      <c r="E2496" s="43"/>
      <c r="F2496" s="1345" t="s">
        <v>2073</v>
      </c>
      <c r="G2496" t="s">
        <v>2055</v>
      </c>
    </row>
    <row r="2497" spans="1:7">
      <c r="A2497" s="245" t="s">
        <v>344</v>
      </c>
      <c r="B2497" s="157" t="s">
        <v>204</v>
      </c>
      <c r="C2497" s="56">
        <v>46036</v>
      </c>
      <c r="D2497" s="1331">
        <v>1200</v>
      </c>
      <c r="E2497" s="43"/>
      <c r="F2497" s="1345"/>
      <c r="G2497" t="s">
        <v>2055</v>
      </c>
    </row>
    <row r="2498" spans="1:7">
      <c r="A2498" s="245" t="s">
        <v>385</v>
      </c>
      <c r="B2498" s="157" t="s">
        <v>204</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344</v>
      </c>
      <c r="B2509" s="157" t="s">
        <v>204</v>
      </c>
      <c r="C2509" s="56">
        <v>46037</v>
      </c>
      <c r="D2509" s="88">
        <v>445</v>
      </c>
      <c r="E2509" s="43"/>
      <c r="F2509" s="1345"/>
      <c r="G2509" t="s">
        <v>2055</v>
      </c>
    </row>
    <row r="2510" spans="1:7">
      <c r="A2510" s="245" t="s">
        <v>373</v>
      </c>
      <c r="B2510" s="157" t="s">
        <v>374</v>
      </c>
      <c r="C2510" s="56">
        <v>46037</v>
      </c>
      <c r="D2510" s="88">
        <v>499</v>
      </c>
      <c r="E2510" s="43"/>
      <c r="F2510" s="1345" t="s">
        <v>2079</v>
      </c>
      <c r="G2510" t="s">
        <v>2055</v>
      </c>
    </row>
    <row r="2511" spans="1:7">
      <c r="A2511" s="366" t="s">
        <v>385</v>
      </c>
      <c r="B2511" s="788" t="s">
        <v>204</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348</v>
      </c>
      <c r="B2513" s="1318" t="s">
        <v>204</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373</v>
      </c>
      <c r="B2517" s="157" t="s">
        <v>374</v>
      </c>
      <c r="C2517" s="56">
        <v>46038</v>
      </c>
      <c r="D2517" s="88">
        <v>186</v>
      </c>
      <c r="F2517" s="1345" t="s">
        <v>2076</v>
      </c>
      <c r="G2517" t="s">
        <v>2055</v>
      </c>
    </row>
    <row r="2518" spans="1:7">
      <c r="A2518" s="245" t="s">
        <v>344</v>
      </c>
      <c r="B2518" s="157" t="s">
        <v>204</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70" t="s">
        <v>385</v>
      </c>
      <c r="B2522" s="1503" t="s">
        <v>204</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344</v>
      </c>
      <c r="B2527" s="307" t="s">
        <v>204</v>
      </c>
      <c r="C2527" s="56">
        <v>46042</v>
      </c>
      <c r="D2527" s="43">
        <v>0</v>
      </c>
      <c r="F2527" s="307" t="s">
        <v>1881</v>
      </c>
      <c r="G2527" t="s">
        <v>2055</v>
      </c>
    </row>
    <row r="2528" spans="1:7">
      <c r="A2528" s="311" t="s">
        <v>1211</v>
      </c>
      <c r="B2528" s="311" t="s">
        <v>374</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231</v>
      </c>
      <c r="B2530" s="311" t="s">
        <v>204</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374</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3" t="s">
        <v>115</v>
      </c>
      <c r="C2538" s="56">
        <v>46043</v>
      </c>
      <c r="D2538" s="43">
        <v>867</v>
      </c>
      <c r="F2538" s="1343" t="s">
        <v>2087</v>
      </c>
      <c r="G2538" t="s">
        <v>2055</v>
      </c>
    </row>
    <row r="2539" spans="1:7" ht="15.75">
      <c r="A2539" s="141" t="s">
        <v>413</v>
      </c>
      <c r="B2539" s="242" t="s">
        <v>1141</v>
      </c>
      <c r="C2539" s="306">
        <v>46043</v>
      </c>
      <c r="E2539" s="317">
        <v>3507</v>
      </c>
      <c r="F2539" s="1343" t="s">
        <v>2088</v>
      </c>
      <c r="G2539" t="s">
        <v>2055</v>
      </c>
    </row>
    <row r="2540" spans="1:7">
      <c r="A2540" s="311" t="s">
        <v>1211</v>
      </c>
      <c r="B2540" s="311" t="s">
        <v>374</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231</v>
      </c>
      <c r="B2542" s="311" t="s">
        <v>204</v>
      </c>
      <c r="C2542" s="56">
        <v>46043</v>
      </c>
      <c r="D2542" s="155">
        <v>408</v>
      </c>
      <c r="F2542" s="1343"/>
      <c r="G2542" t="s">
        <v>2055</v>
      </c>
    </row>
    <row r="2543" spans="1:7">
      <c r="A2543" s="311" t="s">
        <v>236</v>
      </c>
      <c r="B2543" s="311" t="s">
        <v>204</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374</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3"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374</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337</v>
      </c>
      <c r="B2554" s="311" t="s">
        <v>204</v>
      </c>
      <c r="C2554" s="56">
        <v>46044</v>
      </c>
      <c r="D2554" s="155">
        <v>2031</v>
      </c>
      <c r="F2554" s="1343" t="s">
        <v>2095</v>
      </c>
      <c r="G2554" t="s">
        <v>2055</v>
      </c>
    </row>
    <row r="2555" spans="1:7">
      <c r="A2555" s="311" t="s">
        <v>236</v>
      </c>
      <c r="B2555" s="311" t="s">
        <v>204</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374</v>
      </c>
      <c r="C2559" s="56">
        <v>46045</v>
      </c>
      <c r="D2559" s="43">
        <v>274</v>
      </c>
      <c r="F2559" s="1343"/>
      <c r="G2559" t="s">
        <v>2055</v>
      </c>
    </row>
    <row r="2560" spans="1:7">
      <c r="A2560" s="307" t="s">
        <v>1211</v>
      </c>
      <c r="B2560" s="307" t="s">
        <v>374</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337</v>
      </c>
      <c r="B2562" s="311" t="s">
        <v>204</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374</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413</v>
      </c>
      <c r="B2571" s="242" t="s">
        <v>1141</v>
      </c>
      <c r="C2571" s="306">
        <v>46048</v>
      </c>
      <c r="E2571" s="139">
        <v>313</v>
      </c>
      <c r="F2571" s="1343" t="s">
        <v>2104</v>
      </c>
      <c r="G2571" t="s">
        <v>2055</v>
      </c>
    </row>
    <row r="2572" spans="1:7">
      <c r="A2572" s="903" t="s">
        <v>1211</v>
      </c>
      <c r="B2572" s="903" t="s">
        <v>374</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337</v>
      </c>
      <c r="B2574" s="903" t="s">
        <v>204</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374</v>
      </c>
      <c r="C2577" s="331">
        <v>46049</v>
      </c>
      <c r="D2577" s="115">
        <v>343</v>
      </c>
      <c r="E2577" s="201"/>
      <c r="F2577" s="115"/>
      <c r="G2577" t="s">
        <v>2055</v>
      </c>
    </row>
    <row r="2578" spans="1:7">
      <c r="A2578" s="905" t="s">
        <v>337</v>
      </c>
      <c r="B2578" s="905" t="s">
        <v>204</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3"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374</v>
      </c>
      <c r="C2583" s="56">
        <v>46049</v>
      </c>
      <c r="D2583" s="43">
        <v>647</v>
      </c>
      <c r="F2583" s="43" t="s">
        <v>2112</v>
      </c>
      <c r="G2583" t="s">
        <v>2055</v>
      </c>
    </row>
    <row r="2584" spans="1:7">
      <c r="A2584" s="903" t="s">
        <v>1212</v>
      </c>
      <c r="B2584" s="903" t="s">
        <v>1815</v>
      </c>
      <c r="C2584" s="56">
        <v>46049</v>
      </c>
      <c r="D2584" s="43">
        <v>843</v>
      </c>
      <c r="G2584" t="s">
        <v>2055</v>
      </c>
    </row>
    <row r="2585" spans="1:7">
      <c r="A2585" s="903" t="s">
        <v>344</v>
      </c>
      <c r="B2585" s="903" t="s">
        <v>204</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374</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374</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344</v>
      </c>
      <c r="B2598" s="725" t="s">
        <v>204</v>
      </c>
      <c r="C2598" s="56">
        <v>46050</v>
      </c>
      <c r="D2598" s="201">
        <v>324</v>
      </c>
      <c r="E2598" s="43"/>
      <c r="F2598" s="725" t="s">
        <v>1604</v>
      </c>
      <c r="G2598" t="s">
        <v>2055</v>
      </c>
    </row>
    <row r="2599" spans="1:7">
      <c r="A2599" s="134" t="s">
        <v>348</v>
      </c>
      <c r="B2599" s="141" t="s">
        <v>204</v>
      </c>
      <c r="C2599" s="56">
        <v>46050</v>
      </c>
      <c r="D2599" s="43">
        <v>149</v>
      </c>
      <c r="E2599" s="169"/>
      <c r="F2599" s="169"/>
      <c r="G2599" t="s">
        <v>2055</v>
      </c>
    </row>
    <row r="2600" spans="1:7">
      <c r="A2600" s="891" t="s">
        <v>365</v>
      </c>
      <c r="B2600" s="302" t="s">
        <v>172</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3"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374</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374</v>
      </c>
      <c r="C2609" s="56">
        <v>46051</v>
      </c>
      <c r="D2609" s="43">
        <v>222</v>
      </c>
      <c r="G2609" t="s">
        <v>2055</v>
      </c>
    </row>
    <row r="2610" spans="1:7">
      <c r="A2610" s="311" t="s">
        <v>1212</v>
      </c>
      <c r="B2610" s="311" t="s">
        <v>1815</v>
      </c>
      <c r="C2610" s="56">
        <v>46051</v>
      </c>
      <c r="D2610" s="43">
        <v>410</v>
      </c>
      <c r="F2610" s="43" t="s">
        <v>2120</v>
      </c>
      <c r="G2610" t="s">
        <v>2055</v>
      </c>
    </row>
    <row r="2611" spans="1:7">
      <c r="A2611" s="1396" t="s">
        <v>344</v>
      </c>
      <c r="B2611" s="713" t="s">
        <v>204</v>
      </c>
      <c r="C2611" s="56">
        <v>46051</v>
      </c>
      <c r="D2611" s="43">
        <v>838</v>
      </c>
      <c r="G2611" t="s">
        <v>2055</v>
      </c>
    </row>
    <row r="2612" spans="1:7">
      <c r="A2612" s="134" t="s">
        <v>365</v>
      </c>
      <c r="B2612" s="141" t="s">
        <v>172</v>
      </c>
      <c r="C2612" s="1399">
        <v>46051</v>
      </c>
      <c r="D2612" s="1392">
        <v>1143</v>
      </c>
      <c r="E2612" s="201"/>
      <c r="F2612" s="115"/>
      <c r="G2612" t="s">
        <v>2055</v>
      </c>
    </row>
    <row r="2613" spans="1:7">
      <c r="A2613" s="134" t="s">
        <v>391</v>
      </c>
      <c r="B2613" s="141" t="s">
        <v>204</v>
      </c>
      <c r="C2613" s="306">
        <v>46051</v>
      </c>
      <c r="D2613" s="155">
        <v>1468</v>
      </c>
      <c r="E2613" s="43"/>
      <c r="F2613" s="43" t="s">
        <v>2121</v>
      </c>
      <c r="G2613" t="s">
        <v>2055</v>
      </c>
    </row>
    <row r="2614" spans="1:7">
      <c r="A2614" s="134" t="s">
        <v>337</v>
      </c>
      <c r="B2614" s="141" t="s">
        <v>204</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30" t="s">
        <v>506</v>
      </c>
      <c r="B2618" s="1318" t="s">
        <v>115</v>
      </c>
      <c r="C2618" s="56">
        <v>46051</v>
      </c>
      <c r="F2618" s="43" t="s">
        <v>2122</v>
      </c>
      <c r="G2618" t="s">
        <v>2055</v>
      </c>
    </row>
    <row r="2619" spans="1:7">
      <c r="A2619" s="307" t="s">
        <v>1211</v>
      </c>
      <c r="B2619" s="307" t="s">
        <v>374</v>
      </c>
      <c r="C2619" s="56">
        <v>46052</v>
      </c>
      <c r="F2619" s="307" t="s">
        <v>1708</v>
      </c>
      <c r="G2619" t="s">
        <v>2055</v>
      </c>
    </row>
    <row r="2620" spans="1:7">
      <c r="A2620" s="311" t="s">
        <v>1212</v>
      </c>
      <c r="B2620" s="311" t="s">
        <v>1815</v>
      </c>
      <c r="C2620" s="56">
        <v>46052</v>
      </c>
      <c r="F2620" s="307" t="s">
        <v>2123</v>
      </c>
      <c r="G2620" t="s">
        <v>2055</v>
      </c>
    </row>
    <row r="2621" spans="1:7">
      <c r="A2621" s="599" t="s">
        <v>365</v>
      </c>
      <c r="B2621" s="311" t="s">
        <v>172</v>
      </c>
      <c r="C2621" s="56">
        <v>46052</v>
      </c>
      <c r="F2621" s="311" t="s">
        <v>2124</v>
      </c>
      <c r="G2621" t="s">
        <v>2055</v>
      </c>
    </row>
    <row r="2622" spans="1:7">
      <c r="A2622" s="599" t="s">
        <v>391</v>
      </c>
      <c r="B2622" s="311" t="s">
        <v>204</v>
      </c>
      <c r="C2622" s="56">
        <v>46052</v>
      </c>
      <c r="D2622" s="155">
        <v>1637</v>
      </c>
      <c r="F2622" s="43" t="s">
        <v>2125</v>
      </c>
      <c r="G2622" t="s">
        <v>2055</v>
      </c>
    </row>
    <row r="2623" spans="1:7">
      <c r="A2623" s="1396" t="s">
        <v>344</v>
      </c>
      <c r="B2623" s="713" t="s">
        <v>204</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374</v>
      </c>
      <c r="C2625" s="56">
        <v>46055</v>
      </c>
      <c r="D2625" s="43">
        <v>251</v>
      </c>
      <c r="E2625" s="43"/>
      <c r="F2625" s="43" t="s">
        <v>1224</v>
      </c>
      <c r="G2625" t="s">
        <v>1137</v>
      </c>
    </row>
    <row r="2626" spans="1:7" ht="15.75">
      <c r="A2626" s="302" t="s">
        <v>538</v>
      </c>
      <c r="B2626" s="1460"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2"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374</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365</v>
      </c>
      <c r="B2632" s="141" t="s">
        <v>172</v>
      </c>
      <c r="C2632" s="56">
        <v>46055</v>
      </c>
      <c r="E2632" s="43"/>
      <c r="F2632" s="725" t="s">
        <v>1834</v>
      </c>
      <c r="G2632" t="s">
        <v>1137</v>
      </c>
    </row>
    <row r="2633" spans="1:7">
      <c r="A2633" s="245" t="s">
        <v>348</v>
      </c>
      <c r="B2633" s="157" t="s">
        <v>2062</v>
      </c>
      <c r="C2633" s="56">
        <v>46055</v>
      </c>
      <c r="E2633" s="155">
        <v>13102</v>
      </c>
      <c r="F2633" s="43" t="s">
        <v>2128</v>
      </c>
      <c r="G2633" t="s">
        <v>1137</v>
      </c>
    </row>
    <row r="2634" spans="1:7">
      <c r="A2634" s="245" t="s">
        <v>344</v>
      </c>
      <c r="B2634" s="725" t="s">
        <v>204</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374</v>
      </c>
      <c r="C2637" s="56">
        <v>46056</v>
      </c>
      <c r="E2637" s="43"/>
      <c r="F2637" s="773" t="s">
        <v>1443</v>
      </c>
      <c r="G2637" t="s">
        <v>1137</v>
      </c>
    </row>
    <row r="2638" spans="1:7">
      <c r="A2638" s="891" t="s">
        <v>365</v>
      </c>
      <c r="B2638" s="302" t="s">
        <v>172</v>
      </c>
      <c r="C2638" s="56">
        <v>46056</v>
      </c>
      <c r="D2638" s="43">
        <v>363</v>
      </c>
      <c r="E2638" s="43"/>
      <c r="G2638" t="s">
        <v>1137</v>
      </c>
    </row>
    <row r="2639" spans="1:7" ht="15.75">
      <c r="A2639" s="134" t="s">
        <v>179</v>
      </c>
      <c r="B2639" s="242" t="s">
        <v>1141</v>
      </c>
      <c r="C2639" s="306">
        <v>46056</v>
      </c>
      <c r="E2639" s="43"/>
      <c r="F2639" s="141" t="s">
        <v>1443</v>
      </c>
      <c r="G2639" t="s">
        <v>1137</v>
      </c>
    </row>
    <row r="2640" spans="1:7">
      <c r="A2640" s="300" t="s">
        <v>391</v>
      </c>
      <c r="B2640" s="1318" t="s">
        <v>204</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374</v>
      </c>
      <c r="C2644" s="339">
        <v>46057</v>
      </c>
      <c r="D2644" s="169"/>
      <c r="E2644" s="249"/>
      <c r="F2644" s="773" t="s">
        <v>2133</v>
      </c>
      <c r="G2644" t="s">
        <v>1137</v>
      </c>
    </row>
    <row r="2645" spans="1:7">
      <c r="A2645" s="599" t="s">
        <v>365</v>
      </c>
      <c r="B2645" s="311" t="s">
        <v>172</v>
      </c>
      <c r="C2645" s="339">
        <v>46057</v>
      </c>
      <c r="D2645" s="169">
        <v>933</v>
      </c>
      <c r="E2645" s="249"/>
      <c r="F2645" s="169"/>
      <c r="G2645" t="s">
        <v>1137</v>
      </c>
    </row>
    <row r="2646" spans="1:7">
      <c r="A2646" s="1488" t="s">
        <v>231</v>
      </c>
      <c r="B2646" s="788" t="s">
        <v>204</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3"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344</v>
      </c>
      <c r="B2651" s="157" t="s">
        <v>2062</v>
      </c>
      <c r="C2651" s="56">
        <v>46058</v>
      </c>
      <c r="E2651" s="317">
        <v>9106</v>
      </c>
      <c r="F2651" s="43" t="s">
        <v>2137</v>
      </c>
      <c r="G2651" t="s">
        <v>1137</v>
      </c>
    </row>
    <row r="2652" spans="1:7">
      <c r="A2652" s="599" t="s">
        <v>365</v>
      </c>
      <c r="B2652" s="311" t="s">
        <v>172</v>
      </c>
      <c r="C2652" s="56">
        <v>46058</v>
      </c>
      <c r="D2652" s="43">
        <v>363</v>
      </c>
      <c r="G2652" t="s">
        <v>1137</v>
      </c>
    </row>
    <row r="2653" spans="1:7">
      <c r="A2653" s="599" t="s">
        <v>231</v>
      </c>
      <c r="B2653" s="311" t="s">
        <v>204</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1525</v>
      </c>
      <c r="G2655" t="s">
        <v>1137</v>
      </c>
    </row>
    <row r="2656" spans="1:7">
      <c r="A2656" s="1537" t="s">
        <v>110</v>
      </c>
      <c r="B2656" s="903" t="s">
        <v>1141</v>
      </c>
      <c r="C2656" s="56">
        <v>46059</v>
      </c>
      <c r="F2656" s="903" t="s">
        <v>2139</v>
      </c>
      <c r="G2656" t="s">
        <v>1137</v>
      </c>
    </row>
    <row r="2657" spans="1:7">
      <c r="A2657" s="1538" t="s">
        <v>365</v>
      </c>
      <c r="B2657" s="728" t="s">
        <v>172</v>
      </c>
      <c r="C2657" s="56">
        <v>46059</v>
      </c>
      <c r="G2657" t="s">
        <v>1137</v>
      </c>
    </row>
    <row r="2658" spans="1:7">
      <c r="A2658" s="1537" t="s">
        <v>231</v>
      </c>
      <c r="B2658" s="903" t="s">
        <v>204</v>
      </c>
      <c r="C2658" s="56">
        <v>46059</v>
      </c>
      <c r="G2658" t="s">
        <v>1137</v>
      </c>
    </row>
    <row r="2659" spans="1:7">
      <c r="A2659" s="1537" t="s">
        <v>391</v>
      </c>
      <c r="B2659" s="903" t="s">
        <v>204</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1"/>
      <c r="B1" s="1541"/>
      <c r="C1" s="1541"/>
      <c r="D1" s="1541"/>
      <c r="E1" s="1541"/>
      <c r="F1" s="1541"/>
      <c r="G1" s="1541"/>
      <c r="H1" s="1541"/>
      <c r="I1" s="1541"/>
      <c r="J1" s="1"/>
      <c r="K1" s="1"/>
      <c r="L1" s="1"/>
      <c r="M1" s="1"/>
      <c r="N1" s="1"/>
      <c r="O1" s="1"/>
      <c r="P1" s="1542" t="s">
        <v>34</v>
      </c>
      <c r="Q1" s="1542"/>
      <c r="R1" s="1542"/>
      <c r="S1" s="1542"/>
      <c r="T1" s="1542"/>
      <c r="U1" s="1542"/>
      <c r="V1" s="1542"/>
      <c r="W1" s="1542"/>
      <c r="X1" s="1542"/>
      <c r="Y1" s="1542"/>
      <c r="Z1" s="1542"/>
      <c r="AA1" s="1542"/>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321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165</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165</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165</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243</v>
      </c>
      <c r="C8" s="16">
        <v>45748</v>
      </c>
      <c r="D8" s="16" t="s">
        <v>2150</v>
      </c>
      <c r="E8" s="94" t="s">
        <v>339</v>
      </c>
      <c r="F8" s="95" t="s">
        <v>339</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339</v>
      </c>
      <c r="F25" s="57" t="s">
        <v>339</v>
      </c>
      <c r="G25" s="51"/>
      <c r="H25" s="52">
        <v>61</v>
      </c>
      <c r="I25" s="52"/>
      <c r="J25" s="52" t="s">
        <v>103</v>
      </c>
      <c r="K25" s="52"/>
      <c r="L25" s="50" t="s">
        <v>339</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164</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164</v>
      </c>
      <c r="C3" s="666">
        <v>45742</v>
      </c>
      <c r="D3" s="667" t="s">
        <v>676</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103</v>
      </c>
      <c r="W3" s="79"/>
      <c r="X3" s="69" t="s">
        <v>103</v>
      </c>
      <c r="Y3" t="e">
        <f>VLOOKUP(A3,#REF!,2,FALSE)</f>
        <v>#REF!</v>
      </c>
    </row>
    <row r="4" spans="1:25">
      <c r="A4" s="360" t="s">
        <v>2211</v>
      </c>
      <c r="B4" s="399" t="s">
        <v>164</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164</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164</v>
      </c>
      <c r="C6" s="400">
        <v>45747</v>
      </c>
      <c r="D6" s="670" t="s">
        <v>682</v>
      </c>
      <c r="E6" s="190"/>
      <c r="F6" s="137"/>
      <c r="G6" s="137"/>
      <c r="H6" s="185">
        <v>56</v>
      </c>
      <c r="I6" s="181"/>
      <c r="J6" s="188" t="s">
        <v>56</v>
      </c>
      <c r="K6" s="188" t="s">
        <v>56</v>
      </c>
      <c r="L6" s="185" t="s">
        <v>55</v>
      </c>
      <c r="M6" s="195">
        <v>45701</v>
      </c>
      <c r="N6" s="30" t="s">
        <v>160</v>
      </c>
      <c r="O6" s="351">
        <v>45718</v>
      </c>
      <c r="P6" s="30" t="s">
        <v>160</v>
      </c>
      <c r="Q6" s="329" t="s">
        <v>160</v>
      </c>
      <c r="R6" s="43" t="s">
        <v>2213</v>
      </c>
      <c r="S6" s="43" t="s">
        <v>160</v>
      </c>
      <c r="T6" s="43" t="s">
        <v>160</v>
      </c>
      <c r="U6" s="157" t="s">
        <v>160</v>
      </c>
      <c r="V6" s="69" t="s">
        <v>103</v>
      </c>
      <c r="W6" s="79"/>
      <c r="X6" s="69" t="s">
        <v>103</v>
      </c>
      <c r="Y6" t="e">
        <f>VLOOKUP(A6,#REF!,2,FALSE)</f>
        <v>#REF!</v>
      </c>
    </row>
    <row r="7" spans="1:25">
      <c r="A7" s="379" t="s">
        <v>1110</v>
      </c>
      <c r="B7" s="663" t="s">
        <v>164</v>
      </c>
      <c r="C7" s="380">
        <v>45742</v>
      </c>
      <c r="D7" s="403" t="s">
        <v>686</v>
      </c>
      <c r="E7" s="510"/>
      <c r="F7" s="511"/>
      <c r="G7" s="511"/>
      <c r="H7" s="179">
        <v>60</v>
      </c>
      <c r="I7" s="181"/>
      <c r="J7" s="185" t="s">
        <v>56</v>
      </c>
      <c r="K7" s="185" t="s">
        <v>56</v>
      </c>
      <c r="L7" s="185" t="s">
        <v>55</v>
      </c>
      <c r="M7" s="193">
        <v>45716</v>
      </c>
      <c r="N7" s="30" t="s">
        <v>160</v>
      </c>
      <c r="O7" s="79" t="s">
        <v>160</v>
      </c>
      <c r="P7" s="30" t="s">
        <v>160</v>
      </c>
      <c r="Q7" s="329" t="s">
        <v>160</v>
      </c>
      <c r="R7" s="43" t="s">
        <v>2213</v>
      </c>
      <c r="S7" s="43" t="s">
        <v>160</v>
      </c>
      <c r="T7" s="43" t="s">
        <v>160</v>
      </c>
      <c r="U7" s="43" t="s">
        <v>160</v>
      </c>
      <c r="V7" s="69" t="s">
        <v>103</v>
      </c>
      <c r="W7" s="30"/>
      <c r="X7" s="69" t="s">
        <v>103</v>
      </c>
      <c r="Y7" t="e">
        <f>VLOOKUP(A7,#REF!,2,FALSE)</f>
        <v>#REF!</v>
      </c>
    </row>
    <row r="8" spans="1:25">
      <c r="A8" s="175" t="s">
        <v>557</v>
      </c>
      <c r="B8" s="180" t="s">
        <v>164</v>
      </c>
      <c r="C8" s="176">
        <v>45742</v>
      </c>
      <c r="D8" s="185" t="s">
        <v>2214</v>
      </c>
      <c r="E8" s="120"/>
      <c r="F8" s="108"/>
      <c r="G8" s="108"/>
      <c r="H8" s="179">
        <v>84</v>
      </c>
      <c r="I8" s="181"/>
      <c r="J8" s="185" t="s">
        <v>56</v>
      </c>
      <c r="K8" s="185" t="s">
        <v>56</v>
      </c>
      <c r="L8" s="185" t="s">
        <v>55</v>
      </c>
      <c r="M8" s="193">
        <v>45716</v>
      </c>
      <c r="N8" s="30" t="s">
        <v>160</v>
      </c>
      <c r="O8" s="30" t="s">
        <v>160</v>
      </c>
      <c r="P8" s="688" t="s">
        <v>160</v>
      </c>
      <c r="Q8" s="69" t="s">
        <v>160</v>
      </c>
      <c r="R8" s="43" t="s">
        <v>2213</v>
      </c>
      <c r="S8" s="43" t="s">
        <v>160</v>
      </c>
      <c r="T8" s="43" t="s">
        <v>160</v>
      </c>
      <c r="U8" s="43" t="s">
        <v>160</v>
      </c>
      <c r="V8" s="69" t="s">
        <v>103</v>
      </c>
      <c r="W8" s="30"/>
      <c r="X8" s="69" t="s">
        <v>103</v>
      </c>
      <c r="Y8" t="e">
        <f>VLOOKUP(A8,#REF!,2,FALSE)</f>
        <v>#REF!</v>
      </c>
    </row>
    <row r="9" spans="1:25">
      <c r="A9" s="175" t="s">
        <v>1112</v>
      </c>
      <c r="B9" s="180" t="s">
        <v>164</v>
      </c>
      <c r="C9" s="176">
        <v>45742</v>
      </c>
      <c r="D9" s="507" t="s">
        <v>559</v>
      </c>
      <c r="E9" s="191"/>
      <c r="F9" s="138"/>
      <c r="G9" s="138"/>
      <c r="H9" s="185">
        <v>79</v>
      </c>
      <c r="I9" s="181"/>
      <c r="J9" s="185" t="s">
        <v>56</v>
      </c>
      <c r="K9" s="185" t="s">
        <v>56</v>
      </c>
      <c r="L9" s="185" t="s">
        <v>55</v>
      </c>
      <c r="M9" s="193">
        <v>45716</v>
      </c>
      <c r="N9" s="119" t="s">
        <v>160</v>
      </c>
      <c r="O9" s="54">
        <v>45718</v>
      </c>
      <c r="P9" s="119" t="s">
        <v>160</v>
      </c>
      <c r="Q9" s="69" t="s">
        <v>160</v>
      </c>
      <c r="R9" s="43" t="s">
        <v>2213</v>
      </c>
      <c r="S9" s="43" t="s">
        <v>160</v>
      </c>
      <c r="T9" s="43" t="s">
        <v>160</v>
      </c>
      <c r="U9" s="43" t="s">
        <v>160</v>
      </c>
      <c r="V9" s="69" t="s">
        <v>103</v>
      </c>
      <c r="W9" s="30"/>
      <c r="X9" s="69" t="s">
        <v>103</v>
      </c>
      <c r="Y9" t="e">
        <f>VLOOKUP(A9,#REF!,2,FALSE)</f>
        <v>#REF!</v>
      </c>
    </row>
    <row r="10" spans="1:25">
      <c r="A10" s="175" t="s">
        <v>1114</v>
      </c>
      <c r="B10" s="180" t="s">
        <v>164</v>
      </c>
      <c r="C10" s="310">
        <v>45742</v>
      </c>
      <c r="D10" s="402" t="s">
        <v>1113</v>
      </c>
      <c r="E10" s="191"/>
      <c r="F10" s="138"/>
      <c r="G10" s="138"/>
      <c r="H10" s="185">
        <v>83</v>
      </c>
      <c r="I10" s="181"/>
      <c r="J10" s="185" t="s">
        <v>56</v>
      </c>
      <c r="K10" s="185" t="s">
        <v>56</v>
      </c>
      <c r="L10" s="185" t="s">
        <v>55</v>
      </c>
      <c r="M10" s="193">
        <v>45716</v>
      </c>
      <c r="N10" s="30" t="s">
        <v>160</v>
      </c>
      <c r="O10" s="30" t="s">
        <v>160</v>
      </c>
      <c r="P10" s="30" t="s">
        <v>160</v>
      </c>
      <c r="Q10" s="43" t="s">
        <v>160</v>
      </c>
      <c r="R10" s="43" t="s">
        <v>2213</v>
      </c>
      <c r="S10" s="43" t="s">
        <v>160</v>
      </c>
      <c r="T10" s="43" t="s">
        <v>160</v>
      </c>
      <c r="U10" s="161" t="s">
        <v>160</v>
      </c>
      <c r="V10" s="329" t="s">
        <v>103</v>
      </c>
      <c r="W10" s="30"/>
      <c r="X10" s="69" t="s">
        <v>103</v>
      </c>
      <c r="Y10" t="e">
        <f>VLOOKUP(A10,#REF!,2,FALSE)</f>
        <v>#REF!</v>
      </c>
    </row>
    <row r="11" spans="1:25">
      <c r="A11" s="181" t="s">
        <v>684</v>
      </c>
      <c r="B11" s="414" t="s">
        <v>164</v>
      </c>
      <c r="C11" s="176">
        <v>45991</v>
      </c>
      <c r="D11" s="521" t="s">
        <v>686</v>
      </c>
      <c r="E11" s="120">
        <v>31</v>
      </c>
      <c r="F11" s="108"/>
      <c r="G11" s="108"/>
      <c r="H11" s="185">
        <v>31</v>
      </c>
      <c r="I11" s="181"/>
      <c r="J11" s="185" t="s">
        <v>56</v>
      </c>
      <c r="K11" s="185" t="s">
        <v>56</v>
      </c>
      <c r="L11" s="185" t="s">
        <v>55</v>
      </c>
      <c r="M11" s="195">
        <v>45716</v>
      </c>
      <c r="N11" s="30" t="s">
        <v>57</v>
      </c>
      <c r="O11" s="54">
        <v>45716</v>
      </c>
      <c r="P11" s="87" t="s">
        <v>160</v>
      </c>
      <c r="Q11" s="69" t="s">
        <v>160</v>
      </c>
      <c r="R11" s="43" t="s">
        <v>2213</v>
      </c>
      <c r="S11" s="43" t="s">
        <v>160</v>
      </c>
      <c r="T11" s="43" t="s">
        <v>160</v>
      </c>
      <c r="U11" s="329" t="s">
        <v>103</v>
      </c>
      <c r="V11" s="69" t="s">
        <v>103</v>
      </c>
      <c r="W11" s="30"/>
      <c r="X11" s="43"/>
    </row>
    <row r="12" spans="1:25">
      <c r="A12" s="175" t="s">
        <v>351</v>
      </c>
      <c r="B12" s="180" t="s">
        <v>164</v>
      </c>
      <c r="C12" s="176">
        <v>45772</v>
      </c>
      <c r="D12" s="199" t="s">
        <v>686</v>
      </c>
      <c r="E12" s="191"/>
      <c r="F12" s="138"/>
      <c r="G12" s="138"/>
      <c r="H12" s="185">
        <v>31</v>
      </c>
      <c r="I12" s="181"/>
      <c r="J12" s="185" t="s">
        <v>56</v>
      </c>
      <c r="K12" s="185" t="s">
        <v>56</v>
      </c>
      <c r="L12" s="185" t="s">
        <v>55</v>
      </c>
      <c r="M12" s="193">
        <v>45716</v>
      </c>
      <c r="N12" s="30" t="s">
        <v>57</v>
      </c>
      <c r="O12" s="54">
        <v>45716</v>
      </c>
      <c r="P12" s="87" t="s">
        <v>160</v>
      </c>
      <c r="Q12" s="69" t="s">
        <v>160</v>
      </c>
      <c r="R12" s="43" t="s">
        <v>2213</v>
      </c>
      <c r="S12" s="43" t="s">
        <v>160</v>
      </c>
      <c r="T12" s="43" t="s">
        <v>160</v>
      </c>
      <c r="U12" s="69" t="s">
        <v>103</v>
      </c>
      <c r="V12" s="69" t="s">
        <v>103</v>
      </c>
      <c r="W12" s="30"/>
      <c r="X12" s="69" t="s">
        <v>103</v>
      </c>
      <c r="Y12" t="e">
        <f>VLOOKUP(A12,#REF!,2,FALSE)</f>
        <v>#REF!</v>
      </c>
    </row>
    <row r="13" spans="1:25">
      <c r="A13" s="178" t="s">
        <v>344</v>
      </c>
      <c r="B13" s="180" t="s">
        <v>164</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354</v>
      </c>
      <c r="B14" s="180" t="s">
        <v>164</v>
      </c>
      <c r="C14" s="177">
        <v>45991</v>
      </c>
      <c r="D14" s="402" t="s">
        <v>355</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164</v>
      </c>
      <c r="C15" s="310">
        <v>45711</v>
      </c>
      <c r="D15" s="616" t="s">
        <v>1003</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2216</v>
      </c>
      <c r="Y15" t="e">
        <f>VLOOKUP(A15,#REF!,2,FALSE)</f>
        <v>#REF!</v>
      </c>
    </row>
    <row r="16" spans="1:25">
      <c r="A16" s="175" t="s">
        <v>687</v>
      </c>
      <c r="B16" s="180" t="s">
        <v>164</v>
      </c>
      <c r="C16" s="310">
        <v>45742</v>
      </c>
      <c r="D16" s="676" t="s">
        <v>689</v>
      </c>
      <c r="E16" s="191"/>
      <c r="F16" s="138"/>
      <c r="G16" s="138"/>
      <c r="H16" s="185">
        <v>0</v>
      </c>
      <c r="I16" s="181"/>
      <c r="J16" s="185" t="s">
        <v>56</v>
      </c>
      <c r="K16" s="185" t="s">
        <v>56</v>
      </c>
      <c r="L16" s="185" t="s">
        <v>55</v>
      </c>
      <c r="M16" s="195" t="s">
        <v>2217</v>
      </c>
      <c r="N16" s="30" t="s">
        <v>160</v>
      </c>
      <c r="O16" s="54" t="s">
        <v>2217</v>
      </c>
      <c r="P16" s="30" t="s">
        <v>160</v>
      </c>
      <c r="Q16" s="69" t="s">
        <v>160</v>
      </c>
      <c r="R16" s="43" t="s">
        <v>160</v>
      </c>
      <c r="S16" s="43" t="s">
        <v>68</v>
      </c>
      <c r="T16" s="43" t="s">
        <v>160</v>
      </c>
      <c r="U16" s="69" t="s">
        <v>103</v>
      </c>
      <c r="V16" s="69" t="s">
        <v>103</v>
      </c>
      <c r="W16" s="30"/>
      <c r="X16" s="69" t="s">
        <v>103</v>
      </c>
      <c r="Y16" t="e">
        <f>VLOOKUP(A16,#REF!,2,FALSE)</f>
        <v>#REF!</v>
      </c>
    </row>
    <row r="17" spans="1:25">
      <c r="A17" s="178" t="s">
        <v>560</v>
      </c>
      <c r="B17" s="180" t="s">
        <v>164</v>
      </c>
      <c r="C17" s="177">
        <v>45991</v>
      </c>
      <c r="D17" s="690" t="s">
        <v>561</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103</v>
      </c>
      <c r="V17" s="69" t="s">
        <v>103</v>
      </c>
      <c r="W17" s="30"/>
      <c r="X17" s="43"/>
    </row>
    <row r="18" spans="1:25">
      <c r="A18" s="178" t="s">
        <v>562</v>
      </c>
      <c r="B18" s="180" t="s">
        <v>164</v>
      </c>
      <c r="C18" s="401">
        <v>45991</v>
      </c>
      <c r="D18" s="402" t="s">
        <v>563</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707</v>
      </c>
      <c r="B29" s="175" t="s">
        <v>81</v>
      </c>
      <c r="C29" s="176">
        <v>45711</v>
      </c>
      <c r="D29" s="199" t="s">
        <v>353</v>
      </c>
      <c r="E29" s="678"/>
      <c r="F29" s="682"/>
      <c r="G29" s="682"/>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160</v>
      </c>
      <c r="O31" s="54">
        <v>45707</v>
      </c>
      <c r="P31" s="87" t="s">
        <v>160</v>
      </c>
      <c r="Q31" s="43" t="s">
        <v>160</v>
      </c>
      <c r="R31" s="43" t="s">
        <v>2213</v>
      </c>
      <c r="S31" s="43" t="s">
        <v>160</v>
      </c>
      <c r="T31" s="139" t="s">
        <v>160</v>
      </c>
      <c r="U31" s="115" t="s">
        <v>160</v>
      </c>
      <c r="V31" s="69" t="s">
        <v>160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160</v>
      </c>
      <c r="O32" s="54">
        <v>45756</v>
      </c>
      <c r="P32" s="30" t="s">
        <v>160</v>
      </c>
      <c r="Q32" s="69" t="s">
        <v>160</v>
      </c>
      <c r="R32" s="69" t="s">
        <v>2213</v>
      </c>
      <c r="S32" s="43" t="s">
        <v>160</v>
      </c>
      <c r="T32" s="139" t="s">
        <v>160</v>
      </c>
      <c r="U32" s="43" t="s">
        <v>160</v>
      </c>
      <c r="V32" s="69" t="s">
        <v>160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160</v>
      </c>
      <c r="O33" s="124">
        <v>45749</v>
      </c>
      <c r="P33" s="30" t="s">
        <v>160</v>
      </c>
      <c r="Q33" s="69" t="s">
        <v>160</v>
      </c>
      <c r="R33" s="69" t="s">
        <v>2213</v>
      </c>
      <c r="S33" s="43" t="s">
        <v>160</v>
      </c>
      <c r="T33" s="139" t="s">
        <v>160</v>
      </c>
      <c r="U33" s="43" t="s">
        <v>160</v>
      </c>
      <c r="V33" s="329" t="s">
        <v>160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160</v>
      </c>
      <c r="O34" s="124">
        <v>45750</v>
      </c>
      <c r="P34" s="30" t="s">
        <v>160</v>
      </c>
      <c r="Q34" s="69" t="s">
        <v>160</v>
      </c>
      <c r="R34" s="69" t="s">
        <v>2213</v>
      </c>
      <c r="S34" s="43" t="s">
        <v>160</v>
      </c>
      <c r="T34" s="139" t="s">
        <v>160</v>
      </c>
      <c r="U34" s="43" t="s">
        <v>160</v>
      </c>
      <c r="V34" s="396" t="s">
        <v>160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160</v>
      </c>
      <c r="O35" s="124">
        <v>45659</v>
      </c>
      <c r="P35" s="87" t="s">
        <v>160</v>
      </c>
      <c r="Q35" s="43" t="s">
        <v>160</v>
      </c>
      <c r="R35" s="43" t="s">
        <v>2213</v>
      </c>
      <c r="S35" s="43" t="s">
        <v>160</v>
      </c>
      <c r="T35" s="139" t="s">
        <v>160</v>
      </c>
      <c r="U35" s="169" t="s">
        <v>160</v>
      </c>
      <c r="V35" s="69" t="s">
        <v>160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160</v>
      </c>
      <c r="O36" s="124">
        <v>45659</v>
      </c>
      <c r="P36" s="87" t="s">
        <v>160</v>
      </c>
      <c r="Q36" s="43" t="s">
        <v>160</v>
      </c>
      <c r="R36" s="43" t="s">
        <v>2213</v>
      </c>
      <c r="S36" s="43" t="s">
        <v>160</v>
      </c>
      <c r="T36" s="139" t="s">
        <v>160</v>
      </c>
      <c r="U36" s="43" t="s">
        <v>160</v>
      </c>
      <c r="V36" s="69" t="s">
        <v>160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160</v>
      </c>
      <c r="N37" s="30" t="s">
        <v>160</v>
      </c>
      <c r="O37" s="124">
        <v>45672</v>
      </c>
      <c r="P37" s="30" t="s">
        <v>160</v>
      </c>
      <c r="Q37" s="43" t="s">
        <v>160</v>
      </c>
      <c r="R37" s="43" t="s">
        <v>2213</v>
      </c>
      <c r="S37" s="43" t="s">
        <v>160</v>
      </c>
      <c r="T37" s="43" t="s">
        <v>160</v>
      </c>
      <c r="U37" s="169" t="s">
        <v>160</v>
      </c>
      <c r="V37" s="69" t="s">
        <v>160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160</v>
      </c>
      <c r="O38" s="124">
        <v>45673</v>
      </c>
      <c r="P38" s="30" t="s">
        <v>160</v>
      </c>
      <c r="Q38" s="43" t="s">
        <v>160</v>
      </c>
      <c r="R38" s="43" t="s">
        <v>2213</v>
      </c>
      <c r="S38" s="43" t="s">
        <v>160</v>
      </c>
      <c r="T38" s="43" t="s">
        <v>160</v>
      </c>
      <c r="U38" s="169" t="s">
        <v>160</v>
      </c>
      <c r="V38" s="69" t="s">
        <v>160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160</v>
      </c>
      <c r="N39" s="30" t="s">
        <v>160</v>
      </c>
      <c r="O39" s="124">
        <v>45672</v>
      </c>
      <c r="P39" s="30" t="s">
        <v>160</v>
      </c>
      <c r="Q39" s="43" t="s">
        <v>160</v>
      </c>
      <c r="R39" s="43" t="s">
        <v>2213</v>
      </c>
      <c r="S39" s="43" t="s">
        <v>160</v>
      </c>
      <c r="T39" s="43" t="s">
        <v>160</v>
      </c>
      <c r="U39" s="169" t="s">
        <v>160</v>
      </c>
      <c r="V39" s="69" t="s">
        <v>160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160</v>
      </c>
      <c r="O56" s="54">
        <v>45887</v>
      </c>
      <c r="P56" s="323" t="s">
        <v>160</v>
      </c>
      <c r="Q56" s="43" t="s">
        <v>160</v>
      </c>
      <c r="R56" s="43" t="s">
        <v>160</v>
      </c>
      <c r="S56" s="43" t="s">
        <v>160</v>
      </c>
      <c r="T56" s="43" t="s">
        <v>160</v>
      </c>
      <c r="U56" s="43" t="s">
        <v>160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160</v>
      </c>
      <c r="O57" s="124">
        <v>45783</v>
      </c>
      <c r="P57" s="323" t="s">
        <v>160</v>
      </c>
      <c r="Q57" s="43" t="s">
        <v>160</v>
      </c>
      <c r="R57" s="43" t="s">
        <v>2213</v>
      </c>
      <c r="S57" s="43" t="s">
        <v>160</v>
      </c>
      <c r="T57" s="43" t="s">
        <v>160</v>
      </c>
      <c r="U57" s="43" t="s">
        <v>160</v>
      </c>
      <c r="V57" s="69" t="s">
        <v>160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160</v>
      </c>
      <c r="O58" s="54">
        <v>45776</v>
      </c>
      <c r="P58" s="323" t="s">
        <v>160</v>
      </c>
      <c r="Q58" s="43" t="s">
        <v>160</v>
      </c>
      <c r="R58" s="43" t="s">
        <v>2213</v>
      </c>
      <c r="S58" s="43" t="s">
        <v>160</v>
      </c>
      <c r="T58" s="43" t="s">
        <v>160</v>
      </c>
      <c r="U58" s="43" t="s">
        <v>160</v>
      </c>
      <c r="V58" s="329" t="s">
        <v>160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160</v>
      </c>
      <c r="O59" s="30" t="s">
        <v>2195</v>
      </c>
      <c r="P59" s="323" t="s">
        <v>160</v>
      </c>
      <c r="Q59" s="43" t="s">
        <v>160</v>
      </c>
      <c r="R59" s="43" t="s">
        <v>2213</v>
      </c>
      <c r="S59" s="43" t="s">
        <v>160</v>
      </c>
      <c r="T59" s="43" t="s">
        <v>160</v>
      </c>
      <c r="U59" s="43" t="s">
        <v>160</v>
      </c>
      <c r="V59" s="329" t="s">
        <v>160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160</v>
      </c>
      <c r="O60" s="54">
        <v>45812</v>
      </c>
      <c r="P60" s="323" t="s">
        <v>160</v>
      </c>
      <c r="Q60" s="43" t="s">
        <v>160</v>
      </c>
      <c r="R60" s="43" t="s">
        <v>2213</v>
      </c>
      <c r="S60" s="43" t="s">
        <v>160</v>
      </c>
      <c r="T60" s="43" t="s">
        <v>160</v>
      </c>
      <c r="U60" s="43" t="s">
        <v>160</v>
      </c>
      <c r="V60" s="329" t="s">
        <v>160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160</v>
      </c>
      <c r="N61" s="87" t="s">
        <v>160</v>
      </c>
      <c r="O61" s="124">
        <v>45673</v>
      </c>
      <c r="P61" s="323" t="s">
        <v>160</v>
      </c>
      <c r="Q61" s="43" t="s">
        <v>160</v>
      </c>
      <c r="R61" s="69" t="s">
        <v>57</v>
      </c>
      <c r="S61" s="43" t="s">
        <v>68</v>
      </c>
      <c r="T61" s="43" t="s">
        <v>160</v>
      </c>
      <c r="U61" s="161" t="s">
        <v>160</v>
      </c>
      <c r="V61" s="69" t="s">
        <v>160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160</v>
      </c>
      <c r="O62" s="54">
        <v>45848</v>
      </c>
      <c r="P62" s="323" t="s">
        <v>160</v>
      </c>
      <c r="Q62" s="43" t="s">
        <v>160</v>
      </c>
      <c r="R62" s="43" t="s">
        <v>160</v>
      </c>
      <c r="S62" s="43" t="s">
        <v>68</v>
      </c>
      <c r="T62" s="43" t="s">
        <v>160</v>
      </c>
      <c r="U62" s="43" t="s">
        <v>160</v>
      </c>
      <c r="V62" s="43" t="s">
        <v>160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160</v>
      </c>
      <c r="O63" s="54">
        <v>45882</v>
      </c>
      <c r="P63" s="323" t="s">
        <v>160</v>
      </c>
      <c r="Q63" s="43" t="s">
        <v>160</v>
      </c>
      <c r="R63" s="43" t="s">
        <v>160</v>
      </c>
      <c r="S63" s="43" t="s">
        <v>68</v>
      </c>
      <c r="T63" s="43" t="s">
        <v>160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160</v>
      </c>
      <c r="O64" s="54">
        <v>45884</v>
      </c>
      <c r="P64" s="323"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160</v>
      </c>
      <c r="O65" s="54">
        <v>45824</v>
      </c>
      <c r="P65" s="323" t="s">
        <v>160</v>
      </c>
      <c r="Q65" s="43" t="s">
        <v>160</v>
      </c>
      <c r="R65" s="43" t="s">
        <v>160</v>
      </c>
      <c r="S65" s="43" t="s">
        <v>68</v>
      </c>
      <c r="T65" s="43" t="s">
        <v>160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160</v>
      </c>
      <c r="O66" s="124">
        <v>45817</v>
      </c>
      <c r="P66" s="323" t="s">
        <v>160</v>
      </c>
      <c r="Q66" s="157" t="s">
        <v>160</v>
      </c>
      <c r="R66" s="43" t="s">
        <v>160</v>
      </c>
      <c r="S66" s="43" t="s">
        <v>68</v>
      </c>
      <c r="T66" s="43" t="s">
        <v>160</v>
      </c>
      <c r="U66" s="43" t="s">
        <v>160</v>
      </c>
      <c r="V66" s="43" t="s">
        <v>160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160</v>
      </c>
      <c r="O67" s="54">
        <v>45876</v>
      </c>
      <c r="P67" s="323" t="s">
        <v>160</v>
      </c>
      <c r="Q67" s="157" t="s">
        <v>160</v>
      </c>
      <c r="R67" s="157" t="s">
        <v>160</v>
      </c>
      <c r="S67" s="43" t="s">
        <v>68</v>
      </c>
      <c r="T67" s="43" t="s">
        <v>160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160</v>
      </c>
      <c r="N68" s="87" t="s">
        <v>160</v>
      </c>
      <c r="O68" s="87" t="s">
        <v>160</v>
      </c>
      <c r="P68" s="323" t="s">
        <v>160</v>
      </c>
      <c r="Q68" s="43" t="s">
        <v>160</v>
      </c>
      <c r="R68" s="43" t="s">
        <v>160</v>
      </c>
      <c r="S68" s="43" t="s">
        <v>68</v>
      </c>
      <c r="T68" s="43" t="s">
        <v>160</v>
      </c>
      <c r="U68" s="43" t="s">
        <v>160</v>
      </c>
      <c r="V68" s="329" t="s">
        <v>160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160</v>
      </c>
      <c r="O69" s="54">
        <v>45870</v>
      </c>
      <c r="P69" s="323" t="s">
        <v>160</v>
      </c>
      <c r="Q69" s="43" t="s">
        <v>160</v>
      </c>
      <c r="R69" s="43" t="s">
        <v>160</v>
      </c>
      <c r="S69" s="43" t="s">
        <v>68</v>
      </c>
      <c r="T69" s="43" t="s">
        <v>160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29" t="s">
        <v>160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160</v>
      </c>
      <c r="O72" s="54">
        <v>45882</v>
      </c>
      <c r="P72" s="323"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29" t="s">
        <v>160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160</v>
      </c>
      <c r="O77" s="54">
        <v>45902</v>
      </c>
      <c r="P77" s="323" t="s">
        <v>160</v>
      </c>
      <c r="Q77" s="43" t="s">
        <v>160</v>
      </c>
      <c r="R77" s="43" t="s">
        <v>160</v>
      </c>
      <c r="S77" s="43" t="s">
        <v>68</v>
      </c>
      <c r="T77" s="43" t="s">
        <v>160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160</v>
      </c>
      <c r="O78" s="54">
        <v>45902</v>
      </c>
      <c r="P78" s="323" t="s">
        <v>160</v>
      </c>
      <c r="Q78" s="43" t="s">
        <v>160</v>
      </c>
      <c r="R78" s="43" t="s">
        <v>160</v>
      </c>
      <c r="S78" s="43" t="s">
        <v>68</v>
      </c>
      <c r="T78" s="43" t="s">
        <v>160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29" t="s">
        <v>160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339</v>
      </c>
      <c r="N80" s="87" t="s">
        <v>160</v>
      </c>
      <c r="O80" s="30" t="s">
        <v>339</v>
      </c>
      <c r="P80" s="87" t="s">
        <v>160</v>
      </c>
      <c r="Q80" s="43" t="s">
        <v>68</v>
      </c>
      <c r="R80" s="43" t="s">
        <v>68</v>
      </c>
      <c r="S80" s="43" t="s">
        <v>68</v>
      </c>
      <c r="T80" s="43" t="s">
        <v>160</v>
      </c>
      <c r="U80" s="43" t="s">
        <v>160</v>
      </c>
      <c r="V80" s="69" t="s">
        <v>160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160</v>
      </c>
      <c r="N81" s="87" t="s">
        <v>160</v>
      </c>
      <c r="O81" s="124">
        <v>45678</v>
      </c>
      <c r="P81" s="87" t="s">
        <v>160</v>
      </c>
      <c r="Q81" s="43" t="s">
        <v>160</v>
      </c>
      <c r="R81" s="43" t="s">
        <v>2213</v>
      </c>
      <c r="S81" s="43" t="s">
        <v>160</v>
      </c>
      <c r="T81" s="43" t="s">
        <v>160</v>
      </c>
      <c r="U81" s="115" t="s">
        <v>160</v>
      </c>
      <c r="V81" s="69" t="s">
        <v>160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2213</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160</v>
      </c>
      <c r="O84" s="54">
        <v>45728</v>
      </c>
      <c r="P84" s="30" t="s">
        <v>160</v>
      </c>
      <c r="Q84" s="169" t="s">
        <v>160</v>
      </c>
      <c r="R84" s="169" t="s">
        <v>2213</v>
      </c>
      <c r="S84" s="169" t="s">
        <v>160</v>
      </c>
      <c r="T84" s="169" t="s">
        <v>160</v>
      </c>
      <c r="U84" s="91" t="s">
        <v>160</v>
      </c>
      <c r="V84" s="69" t="s">
        <v>160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160</v>
      </c>
      <c r="O85" s="54">
        <v>45719</v>
      </c>
      <c r="P85" s="30" t="s">
        <v>160</v>
      </c>
      <c r="Q85" s="43" t="s">
        <v>160</v>
      </c>
      <c r="R85" s="169" t="s">
        <v>2213</v>
      </c>
      <c r="S85" s="169" t="s">
        <v>160</v>
      </c>
      <c r="T85" s="169" t="s">
        <v>160</v>
      </c>
      <c r="U85" s="91" t="s">
        <v>160</v>
      </c>
      <c r="V85" s="91" t="s">
        <v>160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160</v>
      </c>
      <c r="O86" s="195">
        <v>45728</v>
      </c>
      <c r="P86" s="30" t="s">
        <v>160</v>
      </c>
      <c r="Q86" s="43" t="s">
        <v>160</v>
      </c>
      <c r="R86" s="43" t="s">
        <v>2213</v>
      </c>
      <c r="S86" s="43" t="s">
        <v>160</v>
      </c>
      <c r="T86" s="43" t="s">
        <v>160</v>
      </c>
      <c r="U86" s="69" t="s">
        <v>160</v>
      </c>
      <c r="V86" s="69" t="s">
        <v>160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160</v>
      </c>
      <c r="O87" s="30" t="s">
        <v>160</v>
      </c>
      <c r="P87" s="30" t="s">
        <v>160</v>
      </c>
      <c r="Q87" s="43" t="s">
        <v>160</v>
      </c>
      <c r="R87" s="43" t="s">
        <v>2213</v>
      </c>
      <c r="S87" s="43" t="s">
        <v>160</v>
      </c>
      <c r="T87" s="43" t="s">
        <v>160</v>
      </c>
      <c r="U87" s="157" t="s">
        <v>160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160</v>
      </c>
      <c r="O88" s="54">
        <v>45728</v>
      </c>
      <c r="P88" s="30" t="s">
        <v>160</v>
      </c>
      <c r="Q88" s="43" t="s">
        <v>160</v>
      </c>
      <c r="R88" s="43" t="s">
        <v>2213</v>
      </c>
      <c r="S88" s="43" t="s">
        <v>160</v>
      </c>
      <c r="T88" s="43" t="s">
        <v>160</v>
      </c>
      <c r="U88" s="157" t="s">
        <v>160</v>
      </c>
      <c r="V88" s="157" t="s">
        <v>160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160</v>
      </c>
      <c r="O89" s="54">
        <v>45722</v>
      </c>
      <c r="P89" s="30" t="s">
        <v>160</v>
      </c>
      <c r="Q89" s="69" t="s">
        <v>160</v>
      </c>
      <c r="R89" s="43" t="s">
        <v>2213</v>
      </c>
      <c r="S89" s="69" t="s">
        <v>160</v>
      </c>
      <c r="T89" s="69" t="s">
        <v>160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160</v>
      </c>
      <c r="O90" s="54">
        <v>45727</v>
      </c>
      <c r="P90" s="30" t="s">
        <v>160</v>
      </c>
      <c r="Q90" s="69" t="s">
        <v>160</v>
      </c>
      <c r="R90" s="43" t="s">
        <v>2213</v>
      </c>
      <c r="S90" s="69" t="s">
        <v>160</v>
      </c>
      <c r="T90" s="69" t="s">
        <v>160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160</v>
      </c>
      <c r="O91" s="54">
        <v>45723</v>
      </c>
      <c r="P91" s="30" t="s">
        <v>160</v>
      </c>
      <c r="Q91" s="69" t="s">
        <v>160</v>
      </c>
      <c r="R91" s="43" t="s">
        <v>2213</v>
      </c>
      <c r="S91" s="69" t="s">
        <v>160</v>
      </c>
      <c r="T91" s="69" t="s">
        <v>160</v>
      </c>
      <c r="U91" s="69" t="s">
        <v>160</v>
      </c>
      <c r="V91" s="69" t="s">
        <v>160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160</v>
      </c>
      <c r="O92" s="54">
        <v>45726</v>
      </c>
      <c r="P92" s="30" t="s">
        <v>160</v>
      </c>
      <c r="Q92" s="148" t="s">
        <v>160</v>
      </c>
      <c r="R92" s="43" t="s">
        <v>2213</v>
      </c>
      <c r="S92" s="69" t="s">
        <v>160</v>
      </c>
      <c r="T92" s="69" t="s">
        <v>160</v>
      </c>
      <c r="U92" s="329" t="s">
        <v>160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160</v>
      </c>
      <c r="O93" s="54">
        <v>45727</v>
      </c>
      <c r="P93" s="79" t="s">
        <v>160</v>
      </c>
      <c r="Q93" s="43" t="s">
        <v>160</v>
      </c>
      <c r="R93" s="43" t="s">
        <v>2213</v>
      </c>
      <c r="S93" s="43" t="s">
        <v>160</v>
      </c>
      <c r="T93" s="43" t="s">
        <v>160</v>
      </c>
      <c r="U93" s="329" t="s">
        <v>160</v>
      </c>
      <c r="V93" s="69" t="s">
        <v>160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160</v>
      </c>
      <c r="O94" s="54">
        <v>45693</v>
      </c>
      <c r="P94" s="79" t="s">
        <v>160</v>
      </c>
      <c r="Q94" s="69" t="s">
        <v>160</v>
      </c>
      <c r="R94" s="69" t="s">
        <v>2213</v>
      </c>
      <c r="S94" s="69" t="s">
        <v>160</v>
      </c>
      <c r="T94" s="69" t="s">
        <v>160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160</v>
      </c>
      <c r="O95" s="195">
        <v>45694</v>
      </c>
      <c r="P95" s="79" t="s">
        <v>160</v>
      </c>
      <c r="Q95" s="69" t="s">
        <v>160</v>
      </c>
      <c r="R95" s="69" t="s">
        <v>2213</v>
      </c>
      <c r="S95" s="69" t="s">
        <v>160</v>
      </c>
      <c r="T95" s="43" t="s">
        <v>160</v>
      </c>
      <c r="U95" s="69" t="s">
        <v>160</v>
      </c>
      <c r="V95" s="69" t="s">
        <v>160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160</v>
      </c>
      <c r="O96" s="54">
        <v>45694</v>
      </c>
      <c r="P96" s="30" t="s">
        <v>160</v>
      </c>
      <c r="Q96" s="69" t="s">
        <v>160</v>
      </c>
      <c r="R96" s="91" t="s">
        <v>2213</v>
      </c>
      <c r="S96" s="69" t="s">
        <v>160</v>
      </c>
      <c r="T96" s="69" t="s">
        <v>160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160</v>
      </c>
      <c r="O97" s="54">
        <v>45688</v>
      </c>
      <c r="P97" s="30" t="s">
        <v>160</v>
      </c>
      <c r="Q97" s="69" t="s">
        <v>160</v>
      </c>
      <c r="R97" s="69" t="s">
        <v>2213</v>
      </c>
      <c r="S97" s="69" t="s">
        <v>160</v>
      </c>
      <c r="T97" s="69" t="s">
        <v>160</v>
      </c>
      <c r="U97" s="69" t="s">
        <v>160</v>
      </c>
      <c r="V97" s="43" t="s">
        <v>160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160</v>
      </c>
      <c r="O98" s="54">
        <v>45692</v>
      </c>
      <c r="P98" s="30" t="s">
        <v>160</v>
      </c>
      <c r="Q98" s="43" t="s">
        <v>160</v>
      </c>
      <c r="R98" s="43" t="s">
        <v>2213</v>
      </c>
      <c r="S98" s="43" t="s">
        <v>160</v>
      </c>
      <c r="T98" s="43" t="s">
        <v>160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160</v>
      </c>
      <c r="O99" s="54">
        <v>45692</v>
      </c>
      <c r="P99" s="30" t="s">
        <v>160</v>
      </c>
      <c r="Q99" s="43" t="s">
        <v>160</v>
      </c>
      <c r="R99" s="43" t="s">
        <v>2213</v>
      </c>
      <c r="S99" s="43" t="s">
        <v>160</v>
      </c>
      <c r="T99" s="115" t="s">
        <v>160</v>
      </c>
      <c r="U99" s="148" t="s">
        <v>160</v>
      </c>
      <c r="V99" s="69" t="s">
        <v>160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160</v>
      </c>
      <c r="O100" s="166">
        <v>45691</v>
      </c>
      <c r="P100" s="30" t="s">
        <v>160</v>
      </c>
      <c r="Q100" s="43" t="s">
        <v>160</v>
      </c>
      <c r="R100" s="43" t="s">
        <v>2213</v>
      </c>
      <c r="S100" s="43" t="s">
        <v>160</v>
      </c>
      <c r="T100" s="43" t="s">
        <v>160</v>
      </c>
      <c r="U100" s="69" t="s">
        <v>160</v>
      </c>
      <c r="V100" s="157" t="s">
        <v>160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160</v>
      </c>
      <c r="O101" s="54">
        <v>45695</v>
      </c>
      <c r="P101" s="30" t="s">
        <v>160</v>
      </c>
      <c r="Q101" s="43" t="s">
        <v>160</v>
      </c>
      <c r="R101" s="43" t="s">
        <v>2213</v>
      </c>
      <c r="S101" s="43" t="s">
        <v>160</v>
      </c>
      <c r="T101" s="43" t="s">
        <v>160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160</v>
      </c>
      <c r="N102" s="30" t="s">
        <v>160</v>
      </c>
      <c r="O102" s="54">
        <v>45699</v>
      </c>
      <c r="P102" s="87" t="s">
        <v>160</v>
      </c>
      <c r="Q102" s="88" t="s">
        <v>160</v>
      </c>
      <c r="R102" s="43" t="s">
        <v>2213</v>
      </c>
      <c r="S102" s="43" t="s">
        <v>160</v>
      </c>
      <c r="T102" s="43" t="s">
        <v>160</v>
      </c>
      <c r="U102" s="43" t="s">
        <v>160</v>
      </c>
      <c r="V102" s="165" t="s">
        <v>160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160</v>
      </c>
      <c r="O103" s="54">
        <v>45675</v>
      </c>
      <c r="P103" s="87" t="s">
        <v>160</v>
      </c>
      <c r="Q103" s="43" t="s">
        <v>160</v>
      </c>
      <c r="R103" s="43" t="s">
        <v>2213</v>
      </c>
      <c r="S103" s="43" t="s">
        <v>160</v>
      </c>
      <c r="T103" s="43" t="s">
        <v>160</v>
      </c>
      <c r="U103" s="43" t="s">
        <v>160</v>
      </c>
      <c r="V103" s="139" t="s">
        <v>160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160</v>
      </c>
      <c r="N104" s="119" t="s">
        <v>160</v>
      </c>
      <c r="O104" s="54">
        <v>45675</v>
      </c>
      <c r="P104" s="213" t="s">
        <v>160</v>
      </c>
      <c r="Q104" s="43" t="s">
        <v>160</v>
      </c>
      <c r="R104" s="43" t="s">
        <v>2213</v>
      </c>
      <c r="S104" s="43" t="s">
        <v>160</v>
      </c>
      <c r="T104" s="43" t="s">
        <v>160</v>
      </c>
      <c r="U104" s="43" t="s">
        <v>160</v>
      </c>
      <c r="V104" s="139" t="s">
        <v>160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160</v>
      </c>
      <c r="O105" s="54">
        <v>45743</v>
      </c>
      <c r="P105" s="87" t="s">
        <v>160</v>
      </c>
      <c r="Q105" s="157" t="s">
        <v>160</v>
      </c>
      <c r="R105" s="69" t="s">
        <v>2213</v>
      </c>
      <c r="S105" s="43" t="s">
        <v>160</v>
      </c>
      <c r="T105" s="43" t="s">
        <v>160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160</v>
      </c>
      <c r="O106" s="54">
        <v>45679</v>
      </c>
      <c r="P106" s="87" t="s">
        <v>160</v>
      </c>
      <c r="Q106" s="43" t="s">
        <v>160</v>
      </c>
      <c r="R106" s="43" t="s">
        <v>2213</v>
      </c>
      <c r="S106" s="43" t="s">
        <v>160</v>
      </c>
      <c r="T106" s="43" t="s">
        <v>160</v>
      </c>
      <c r="U106" s="43" t="s">
        <v>160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160</v>
      </c>
      <c r="O107" s="54">
        <v>45749</v>
      </c>
      <c r="P107" s="30" t="s">
        <v>160</v>
      </c>
      <c r="Q107" s="43" t="s">
        <v>160</v>
      </c>
      <c r="R107" s="43" t="s">
        <v>2213</v>
      </c>
      <c r="S107" s="43" t="s">
        <v>160</v>
      </c>
      <c r="T107" s="43" t="s">
        <v>160</v>
      </c>
      <c r="U107" s="43" t="s">
        <v>160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160</v>
      </c>
      <c r="O108" s="54">
        <v>45749</v>
      </c>
      <c r="P108" s="30" t="s">
        <v>160</v>
      </c>
      <c r="Q108" s="43" t="s">
        <v>160</v>
      </c>
      <c r="R108" s="329" t="s">
        <v>2213</v>
      </c>
      <c r="S108" s="43" t="s">
        <v>160</v>
      </c>
      <c r="T108" s="43" t="s">
        <v>160</v>
      </c>
      <c r="U108" s="88" t="s">
        <v>160</v>
      </c>
      <c r="V108" s="472" t="s">
        <v>160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160</v>
      </c>
      <c r="O109" s="54">
        <v>45744</v>
      </c>
      <c r="P109" s="79" t="s">
        <v>160</v>
      </c>
      <c r="Q109" s="43" t="s">
        <v>160</v>
      </c>
      <c r="R109" s="329" t="s">
        <v>2213</v>
      </c>
      <c r="S109" s="43" t="s">
        <v>160</v>
      </c>
      <c r="T109" s="43" t="s">
        <v>160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160</v>
      </c>
      <c r="O110" s="54">
        <v>45691</v>
      </c>
      <c r="P110" s="79" t="s">
        <v>160</v>
      </c>
      <c r="Q110" s="43" t="s">
        <v>160</v>
      </c>
      <c r="R110" s="329" t="s">
        <v>2213</v>
      </c>
      <c r="S110" s="43" t="s">
        <v>160</v>
      </c>
      <c r="T110" s="43" t="s">
        <v>160</v>
      </c>
      <c r="U110" s="88" t="s">
        <v>160</v>
      </c>
      <c r="V110" s="472" t="s">
        <v>160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160</v>
      </c>
      <c r="O111" s="54">
        <v>45708</v>
      </c>
      <c r="P111" s="30" t="s">
        <v>160</v>
      </c>
      <c r="Q111" s="169" t="s">
        <v>160</v>
      </c>
      <c r="R111" s="69" t="s">
        <v>2213</v>
      </c>
      <c r="S111" s="43" t="s">
        <v>160</v>
      </c>
      <c r="T111" s="43" t="s">
        <v>160</v>
      </c>
      <c r="U111" s="43" t="s">
        <v>160</v>
      </c>
      <c r="V111" s="201" t="s">
        <v>160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160</v>
      </c>
      <c r="O112" s="166">
        <v>45744</v>
      </c>
      <c r="P112" s="114" t="s">
        <v>160</v>
      </c>
      <c r="Q112" s="115" t="s">
        <v>160</v>
      </c>
      <c r="R112" s="148" t="s">
        <v>2213</v>
      </c>
      <c r="S112" s="43" t="s">
        <v>160</v>
      </c>
      <c r="T112" s="43" t="s">
        <v>160</v>
      </c>
      <c r="U112" s="43" t="s">
        <v>160</v>
      </c>
      <c r="V112" s="201" t="s">
        <v>160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160</v>
      </c>
      <c r="O113" s="166">
        <v>45755</v>
      </c>
      <c r="P113" s="114" t="s">
        <v>160</v>
      </c>
      <c r="Q113" s="115" t="s">
        <v>160</v>
      </c>
      <c r="R113" s="148" t="s">
        <v>2213</v>
      </c>
      <c r="S113" s="115" t="s">
        <v>160</v>
      </c>
      <c r="T113" s="43" t="s">
        <v>160</v>
      </c>
      <c r="U113" s="43" t="s">
        <v>160</v>
      </c>
      <c r="V113" s="201" t="s">
        <v>160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160</v>
      </c>
      <c r="O114" s="54">
        <v>45747</v>
      </c>
      <c r="P114" s="114" t="s">
        <v>160</v>
      </c>
      <c r="Q114" s="115" t="s">
        <v>160</v>
      </c>
      <c r="R114" s="148" t="s">
        <v>2213</v>
      </c>
      <c r="S114" s="115" t="s">
        <v>160</v>
      </c>
      <c r="T114" s="43" t="s">
        <v>160</v>
      </c>
      <c r="U114" s="157" t="s">
        <v>160</v>
      </c>
      <c r="V114" s="201" t="s">
        <v>160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160</v>
      </c>
      <c r="O115" s="124">
        <v>45757</v>
      </c>
      <c r="P115" s="30" t="s">
        <v>160</v>
      </c>
      <c r="Q115" s="43" t="s">
        <v>160</v>
      </c>
      <c r="R115" s="69" t="s">
        <v>2213</v>
      </c>
      <c r="S115" s="43" t="s">
        <v>160</v>
      </c>
      <c r="T115" s="43" t="s">
        <v>160</v>
      </c>
      <c r="U115" s="43" t="s">
        <v>160</v>
      </c>
      <c r="V115" s="88" t="s">
        <v>160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160</v>
      </c>
      <c r="O116" s="124">
        <v>45757</v>
      </c>
      <c r="P116" s="30" t="s">
        <v>160</v>
      </c>
      <c r="Q116" s="43" t="s">
        <v>160</v>
      </c>
      <c r="R116" s="69" t="s">
        <v>2213</v>
      </c>
      <c r="S116" s="43" t="s">
        <v>160</v>
      </c>
      <c r="T116" s="43" t="s">
        <v>160</v>
      </c>
      <c r="U116" s="43" t="s">
        <v>160</v>
      </c>
      <c r="V116" s="472" t="s">
        <v>160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160</v>
      </c>
      <c r="O117" s="124">
        <v>45757</v>
      </c>
      <c r="P117" s="30" t="s">
        <v>160</v>
      </c>
      <c r="Q117" s="43" t="s">
        <v>160</v>
      </c>
      <c r="R117" s="69" t="s">
        <v>2213</v>
      </c>
      <c r="S117" s="43" t="s">
        <v>160</v>
      </c>
      <c r="T117" s="43" t="s">
        <v>160</v>
      </c>
      <c r="U117" s="43" t="s">
        <v>160</v>
      </c>
      <c r="V117" s="88" t="s">
        <v>160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160</v>
      </c>
      <c r="O118" s="124">
        <v>45757</v>
      </c>
      <c r="P118" s="87" t="s">
        <v>160</v>
      </c>
      <c r="Q118" s="43" t="s">
        <v>160</v>
      </c>
      <c r="R118" s="43" t="s">
        <v>2213</v>
      </c>
      <c r="S118" s="43" t="s">
        <v>160</v>
      </c>
      <c r="T118" s="43" t="s">
        <v>160</v>
      </c>
      <c r="U118" s="157" t="s">
        <v>160</v>
      </c>
      <c r="V118" s="88" t="s">
        <v>160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160</v>
      </c>
      <c r="O119" s="124">
        <v>45757</v>
      </c>
      <c r="P119" s="30" t="s">
        <v>160</v>
      </c>
      <c r="Q119" s="69" t="s">
        <v>160</v>
      </c>
      <c r="R119" s="69" t="s">
        <v>2213</v>
      </c>
      <c r="S119" s="43" t="s">
        <v>160</v>
      </c>
      <c r="T119" s="43" t="s">
        <v>160</v>
      </c>
      <c r="U119" s="157" t="s">
        <v>160</v>
      </c>
      <c r="V119" s="88" t="s">
        <v>160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160</v>
      </c>
      <c r="O120" s="54">
        <v>45748</v>
      </c>
      <c r="P120" s="30" t="s">
        <v>160</v>
      </c>
      <c r="Q120" s="43" t="s">
        <v>160</v>
      </c>
      <c r="R120" s="69" t="s">
        <v>2213</v>
      </c>
      <c r="S120" s="43" t="s">
        <v>160</v>
      </c>
      <c r="T120" s="43" t="s">
        <v>160</v>
      </c>
      <c r="U120" s="43" t="s">
        <v>160</v>
      </c>
      <c r="V120" s="88" t="s">
        <v>160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160</v>
      </c>
      <c r="O121" s="124">
        <v>45757</v>
      </c>
      <c r="P121" s="30" t="s">
        <v>160</v>
      </c>
      <c r="Q121" s="69" t="s">
        <v>160</v>
      </c>
      <c r="R121" s="69" t="s">
        <v>2213</v>
      </c>
      <c r="S121" s="43" t="s">
        <v>160</v>
      </c>
      <c r="T121" s="43" t="s">
        <v>160</v>
      </c>
      <c r="U121" s="43" t="s">
        <v>160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160</v>
      </c>
      <c r="O122" s="54">
        <v>45747</v>
      </c>
      <c r="P122" s="30" t="s">
        <v>160</v>
      </c>
      <c r="Q122" s="69" t="s">
        <v>160</v>
      </c>
      <c r="R122" s="69" t="s">
        <v>2213</v>
      </c>
      <c r="S122" s="43" t="s">
        <v>160</v>
      </c>
      <c r="T122" s="43" t="s">
        <v>160</v>
      </c>
      <c r="U122" s="157" t="s">
        <v>160</v>
      </c>
      <c r="V122" s="157" t="s">
        <v>160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160</v>
      </c>
      <c r="O123" s="54">
        <v>45744</v>
      </c>
      <c r="P123" s="30" t="s">
        <v>160</v>
      </c>
      <c r="Q123" s="43" t="s">
        <v>160</v>
      </c>
      <c r="R123" s="69" t="s">
        <v>2213</v>
      </c>
      <c r="S123" s="43" t="s">
        <v>160</v>
      </c>
      <c r="T123" s="43" t="s">
        <v>160</v>
      </c>
      <c r="U123" s="43" t="s">
        <v>160</v>
      </c>
      <c r="V123" s="69" t="s">
        <v>160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160</v>
      </c>
      <c r="O124" s="54">
        <v>45744</v>
      </c>
      <c r="P124" s="30" t="s">
        <v>160</v>
      </c>
      <c r="Q124" s="43" t="s">
        <v>160</v>
      </c>
      <c r="R124" s="69" t="s">
        <v>2213</v>
      </c>
      <c r="S124" s="43" t="s">
        <v>160</v>
      </c>
      <c r="T124" s="43" t="s">
        <v>160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160</v>
      </c>
      <c r="N125" s="30" t="s">
        <v>160</v>
      </c>
      <c r="O125" s="54">
        <v>45679</v>
      </c>
      <c r="P125" s="30" t="s">
        <v>160</v>
      </c>
      <c r="Q125" s="69" t="s">
        <v>160</v>
      </c>
      <c r="R125" s="43" t="s">
        <v>2213</v>
      </c>
      <c r="S125" s="43" t="s">
        <v>160</v>
      </c>
      <c r="T125" s="43" t="s">
        <v>160</v>
      </c>
      <c r="U125" s="43" t="s">
        <v>160</v>
      </c>
      <c r="V125" s="43" t="s">
        <v>160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160</v>
      </c>
      <c r="N126" s="30" t="s">
        <v>160</v>
      </c>
      <c r="O126" s="54">
        <v>45720</v>
      </c>
      <c r="P126" s="30" t="s">
        <v>160</v>
      </c>
      <c r="Q126" s="69" t="s">
        <v>160</v>
      </c>
      <c r="R126" s="43" t="s">
        <v>2213</v>
      </c>
      <c r="S126" s="43" t="s">
        <v>160</v>
      </c>
      <c r="T126" s="43" t="s">
        <v>160</v>
      </c>
      <c r="U126" s="43" t="s">
        <v>160</v>
      </c>
      <c r="V126" s="88" t="s">
        <v>160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160</v>
      </c>
      <c r="O127" s="54">
        <v>45679</v>
      </c>
      <c r="P127" s="30" t="s">
        <v>160</v>
      </c>
      <c r="Q127" s="43" t="s">
        <v>160</v>
      </c>
      <c r="R127" s="43" t="s">
        <v>2213</v>
      </c>
      <c r="S127" s="43" t="s">
        <v>160</v>
      </c>
      <c r="T127" s="43" t="s">
        <v>160</v>
      </c>
      <c r="U127" s="43" t="s">
        <v>160</v>
      </c>
      <c r="V127" s="88" t="s">
        <v>160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160</v>
      </c>
      <c r="O128" s="342">
        <v>45694</v>
      </c>
      <c r="P128" s="87" t="s">
        <v>160</v>
      </c>
      <c r="Q128" s="43" t="s">
        <v>160</v>
      </c>
      <c r="R128" s="43" t="s">
        <v>2213</v>
      </c>
      <c r="S128" s="43" t="s">
        <v>160</v>
      </c>
      <c r="T128" s="43" t="s">
        <v>160</v>
      </c>
      <c r="U128" s="43" t="s">
        <v>160</v>
      </c>
      <c r="V128" s="88" t="s">
        <v>160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160</v>
      </c>
      <c r="O129" s="166">
        <v>45720</v>
      </c>
      <c r="P129" s="114" t="s">
        <v>160</v>
      </c>
      <c r="Q129" s="148" t="s">
        <v>160</v>
      </c>
      <c r="R129" s="43" t="s">
        <v>2213</v>
      </c>
      <c r="S129" s="43" t="s">
        <v>160</v>
      </c>
      <c r="T129" s="115" t="s">
        <v>160</v>
      </c>
      <c r="U129" s="115" t="s">
        <v>160</v>
      </c>
      <c r="V129" s="88" t="s">
        <v>160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160</v>
      </c>
      <c r="O130" s="54">
        <v>45698</v>
      </c>
      <c r="P130" s="30" t="s">
        <v>160</v>
      </c>
      <c r="Q130" s="69" t="s">
        <v>160</v>
      </c>
      <c r="R130" s="43" t="s">
        <v>2213</v>
      </c>
      <c r="S130" s="43" t="s">
        <v>160</v>
      </c>
      <c r="T130" s="43" t="s">
        <v>160</v>
      </c>
      <c r="U130" s="43" t="s">
        <v>160</v>
      </c>
      <c r="V130" s="88" t="s">
        <v>160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160</v>
      </c>
      <c r="N131" s="49" t="s">
        <v>160</v>
      </c>
      <c r="O131" s="30" t="s">
        <v>160</v>
      </c>
      <c r="P131" s="30" t="s">
        <v>160</v>
      </c>
      <c r="Q131" s="43" t="s">
        <v>160</v>
      </c>
      <c r="R131" s="43" t="s">
        <v>2213</v>
      </c>
      <c r="S131" s="43" t="s">
        <v>160</v>
      </c>
      <c r="T131" s="157" t="s">
        <v>160</v>
      </c>
      <c r="U131" s="157" t="s">
        <v>160</v>
      </c>
      <c r="V131" s="88" t="s">
        <v>160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160</v>
      </c>
      <c r="O132" s="54">
        <v>45691</v>
      </c>
      <c r="P132" s="87" t="s">
        <v>160</v>
      </c>
      <c r="Q132" s="43" t="s">
        <v>160</v>
      </c>
      <c r="R132" s="43" t="s">
        <v>2213</v>
      </c>
      <c r="S132" s="43" t="s">
        <v>160</v>
      </c>
      <c r="T132" s="43" t="s">
        <v>160</v>
      </c>
      <c r="U132" s="43" t="s">
        <v>160</v>
      </c>
      <c r="V132" s="43" t="s">
        <v>160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160</v>
      </c>
      <c r="N133" s="49" t="s">
        <v>160</v>
      </c>
      <c r="O133" s="54">
        <v>45701</v>
      </c>
      <c r="P133" s="30" t="s">
        <v>160</v>
      </c>
      <c r="Q133" s="69" t="s">
        <v>160</v>
      </c>
      <c r="R133" s="43" t="s">
        <v>2213</v>
      </c>
      <c r="S133" s="43" t="s">
        <v>160</v>
      </c>
      <c r="T133" s="43" t="s">
        <v>160</v>
      </c>
      <c r="U133" s="43" t="s">
        <v>160</v>
      </c>
      <c r="V133" s="69" t="s">
        <v>160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160</v>
      </c>
      <c r="O134" s="54">
        <v>45709</v>
      </c>
      <c r="P134" s="30" t="s">
        <v>160</v>
      </c>
      <c r="Q134" s="43" t="s">
        <v>160</v>
      </c>
      <c r="R134" s="43" t="s">
        <v>2213</v>
      </c>
      <c r="S134" s="43" t="s">
        <v>160</v>
      </c>
      <c r="T134" s="43" t="s">
        <v>160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160</v>
      </c>
      <c r="N135" s="49" t="s">
        <v>160</v>
      </c>
      <c r="O135" s="195">
        <v>45720</v>
      </c>
      <c r="P135" s="49" t="s">
        <v>160</v>
      </c>
      <c r="Q135" s="69" t="s">
        <v>160</v>
      </c>
      <c r="R135" s="43" t="s">
        <v>2213</v>
      </c>
      <c r="S135" s="43" t="s">
        <v>160</v>
      </c>
      <c r="T135" s="43" t="s">
        <v>160</v>
      </c>
      <c r="U135" s="157" t="s">
        <v>160</v>
      </c>
      <c r="V135" s="43" t="s">
        <v>160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160</v>
      </c>
      <c r="O136" s="54">
        <v>45691</v>
      </c>
      <c r="P136" s="30" t="s">
        <v>160</v>
      </c>
      <c r="Q136" s="43" t="s">
        <v>160</v>
      </c>
      <c r="R136" s="43" t="s">
        <v>2213</v>
      </c>
      <c r="S136" s="43" t="s">
        <v>160</v>
      </c>
      <c r="T136" s="43" t="s">
        <v>160</v>
      </c>
      <c r="U136" s="43" t="s">
        <v>160</v>
      </c>
      <c r="V136" s="43" t="s">
        <v>160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160</v>
      </c>
      <c r="O137" s="30" t="s">
        <v>160</v>
      </c>
      <c r="P137" s="49" t="s">
        <v>160</v>
      </c>
      <c r="Q137" s="69" t="s">
        <v>160</v>
      </c>
      <c r="R137" s="43" t="s">
        <v>2213</v>
      </c>
      <c r="S137" s="43" t="s">
        <v>160</v>
      </c>
      <c r="T137" s="43" t="s">
        <v>160</v>
      </c>
      <c r="U137" s="157" t="s">
        <v>160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160</v>
      </c>
      <c r="O138" s="124">
        <v>45707</v>
      </c>
      <c r="P138" s="30" t="s">
        <v>160</v>
      </c>
      <c r="Q138" s="43" t="s">
        <v>160</v>
      </c>
      <c r="R138" s="43" t="s">
        <v>2213</v>
      </c>
      <c r="S138" s="43" t="s">
        <v>160</v>
      </c>
      <c r="T138" s="43" t="s">
        <v>160</v>
      </c>
      <c r="U138" s="43" t="s">
        <v>160</v>
      </c>
      <c r="V138" s="43" t="s">
        <v>160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160</v>
      </c>
      <c r="N139" s="30" t="s">
        <v>160</v>
      </c>
      <c r="O139" s="30" t="s">
        <v>160</v>
      </c>
      <c r="P139" s="30" t="s">
        <v>160</v>
      </c>
      <c r="Q139" s="43" t="s">
        <v>160</v>
      </c>
      <c r="R139" s="43" t="s">
        <v>2213</v>
      </c>
      <c r="S139" s="43" t="s">
        <v>160</v>
      </c>
      <c r="T139" s="43" t="s">
        <v>160</v>
      </c>
      <c r="U139" s="157" t="s">
        <v>160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160</v>
      </c>
      <c r="O140" s="54">
        <v>45743</v>
      </c>
      <c r="P140" s="87" t="s">
        <v>160</v>
      </c>
      <c r="Q140" s="88" t="s">
        <v>160</v>
      </c>
      <c r="R140" s="43" t="s">
        <v>2213</v>
      </c>
      <c r="S140" s="43" t="s">
        <v>160</v>
      </c>
      <c r="T140" s="43" t="s">
        <v>160</v>
      </c>
      <c r="U140" s="88" t="s">
        <v>160</v>
      </c>
      <c r="V140" s="69" t="s">
        <v>160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160</v>
      </c>
      <c r="O141" s="195">
        <v>45743</v>
      </c>
      <c r="P141" s="87" t="s">
        <v>160</v>
      </c>
      <c r="Q141" s="88" t="s">
        <v>160</v>
      </c>
      <c r="R141" s="43" t="s">
        <v>2213</v>
      </c>
      <c r="S141" s="43" t="s">
        <v>160</v>
      </c>
      <c r="T141" s="43" t="s">
        <v>160</v>
      </c>
      <c r="U141" s="88" t="s">
        <v>160</v>
      </c>
      <c r="V141" s="88" t="s">
        <v>160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160</v>
      </c>
      <c r="N142" s="49" t="s">
        <v>160</v>
      </c>
      <c r="O142" s="195">
        <v>45691</v>
      </c>
      <c r="P142" s="30" t="s">
        <v>160</v>
      </c>
      <c r="Q142" s="69" t="s">
        <v>160</v>
      </c>
      <c r="R142" s="43" t="s">
        <v>2213</v>
      </c>
      <c r="S142" s="43" t="s">
        <v>160</v>
      </c>
      <c r="T142" s="43" t="s">
        <v>160</v>
      </c>
      <c r="U142" s="157" t="s">
        <v>160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160</v>
      </c>
      <c r="N143" s="49" t="s">
        <v>160</v>
      </c>
      <c r="O143" s="195">
        <v>45675</v>
      </c>
      <c r="P143" s="30" t="s">
        <v>160</v>
      </c>
      <c r="Q143" s="69" t="s">
        <v>160</v>
      </c>
      <c r="R143" s="43" t="s">
        <v>2213</v>
      </c>
      <c r="S143" s="43" t="s">
        <v>160</v>
      </c>
      <c r="T143" s="43" t="s">
        <v>160</v>
      </c>
      <c r="U143" s="157" t="s">
        <v>160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160</v>
      </c>
      <c r="O148" s="195">
        <v>45744</v>
      </c>
      <c r="P148" s="49" t="s">
        <v>160</v>
      </c>
      <c r="Q148" s="43" t="s">
        <v>160</v>
      </c>
      <c r="R148" s="43" t="s">
        <v>160</v>
      </c>
      <c r="S148" s="43" t="s">
        <v>68</v>
      </c>
      <c r="T148" s="43" t="s">
        <v>160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160</v>
      </c>
      <c r="O150" s="195">
        <v>45744</v>
      </c>
      <c r="P150" s="100" t="s">
        <v>160</v>
      </c>
      <c r="Q150" s="69" t="s">
        <v>160</v>
      </c>
      <c r="R150" s="43" t="s">
        <v>2213</v>
      </c>
      <c r="S150" s="43" t="s">
        <v>160</v>
      </c>
      <c r="T150" s="43" t="s">
        <v>160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160</v>
      </c>
      <c r="O151" s="195">
        <v>45698</v>
      </c>
      <c r="P151" s="100" t="s">
        <v>160</v>
      </c>
      <c r="Q151" s="69" t="s">
        <v>160</v>
      </c>
      <c r="R151" s="43" t="s">
        <v>2213</v>
      </c>
      <c r="S151" s="43" t="s">
        <v>160</v>
      </c>
      <c r="T151" s="43" t="s">
        <v>160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160</v>
      </c>
      <c r="O153" s="195">
        <v>45696</v>
      </c>
      <c r="P153" s="30" t="s">
        <v>160</v>
      </c>
      <c r="Q153" s="69" t="s">
        <v>160</v>
      </c>
      <c r="R153" s="43" t="s">
        <v>2213</v>
      </c>
      <c r="S153" s="43" t="s">
        <v>160</v>
      </c>
      <c r="T153" s="157" t="s">
        <v>160</v>
      </c>
      <c r="U153" s="157" t="s">
        <v>160</v>
      </c>
      <c r="V153" s="43" t="s">
        <v>160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160</v>
      </c>
      <c r="O154" s="342">
        <v>45696</v>
      </c>
      <c r="P154" s="30" t="s">
        <v>160</v>
      </c>
      <c r="Q154" s="69" t="s">
        <v>160</v>
      </c>
      <c r="R154" s="43" t="s">
        <v>2213</v>
      </c>
      <c r="S154" s="43" t="s">
        <v>160</v>
      </c>
      <c r="T154" s="157" t="s">
        <v>160</v>
      </c>
      <c r="U154" s="157" t="s">
        <v>160</v>
      </c>
      <c r="V154" s="43" t="s">
        <v>160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160</v>
      </c>
      <c r="O155" s="54">
        <v>45699</v>
      </c>
      <c r="P155" s="49" t="s">
        <v>160</v>
      </c>
      <c r="Q155" s="69" t="s">
        <v>160</v>
      </c>
      <c r="R155" s="43" t="s">
        <v>2213</v>
      </c>
      <c r="S155" s="43" t="s">
        <v>160</v>
      </c>
      <c r="T155" s="43" t="s">
        <v>160</v>
      </c>
      <c r="U155" s="157" t="s">
        <v>160</v>
      </c>
      <c r="V155" s="43" t="s">
        <v>160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160</v>
      </c>
      <c r="O156" s="54">
        <v>45699</v>
      </c>
      <c r="P156" s="49" t="s">
        <v>160</v>
      </c>
      <c r="Q156" s="69" t="s">
        <v>160</v>
      </c>
      <c r="R156" s="43" t="s">
        <v>2213</v>
      </c>
      <c r="S156" s="43" t="s">
        <v>160</v>
      </c>
      <c r="T156" s="43" t="s">
        <v>160</v>
      </c>
      <c r="U156" s="69" t="s">
        <v>160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160</v>
      </c>
      <c r="O158" s="54">
        <v>45736</v>
      </c>
      <c r="P158" s="49" t="s">
        <v>160</v>
      </c>
      <c r="Q158" s="69" t="s">
        <v>160</v>
      </c>
      <c r="R158" s="43" t="s">
        <v>2213</v>
      </c>
      <c r="S158" s="43" t="s">
        <v>160</v>
      </c>
      <c r="T158" s="43" t="s">
        <v>160</v>
      </c>
      <c r="U158" s="157" t="s">
        <v>160</v>
      </c>
      <c r="V158" s="157" t="s">
        <v>160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160</v>
      </c>
      <c r="O159" s="30" t="s">
        <v>160</v>
      </c>
      <c r="P159" s="49" t="s">
        <v>160</v>
      </c>
      <c r="Q159" s="43" t="s">
        <v>160</v>
      </c>
      <c r="R159" s="43" t="s">
        <v>160</v>
      </c>
      <c r="S159" s="43" t="s">
        <v>68</v>
      </c>
      <c r="T159" s="43" t="s">
        <v>160</v>
      </c>
      <c r="U159" s="43" t="s">
        <v>160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160</v>
      </c>
      <c r="O160" s="54">
        <v>45723</v>
      </c>
      <c r="P160" s="49" t="s">
        <v>160</v>
      </c>
      <c r="Q160" s="43" t="s">
        <v>160</v>
      </c>
      <c r="R160" s="43" t="s">
        <v>160</v>
      </c>
      <c r="S160" s="43" t="s">
        <v>68</v>
      </c>
      <c r="T160" s="43" t="s">
        <v>160</v>
      </c>
      <c r="U160" s="43" t="s">
        <v>160</v>
      </c>
      <c r="V160" s="69" t="s">
        <v>160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160</v>
      </c>
      <c r="O161" s="156">
        <v>45726</v>
      </c>
      <c r="P161" s="49" t="s">
        <v>160</v>
      </c>
      <c r="Q161" s="43" t="s">
        <v>160</v>
      </c>
      <c r="R161" s="43" t="s">
        <v>160</v>
      </c>
      <c r="S161" s="43" t="s">
        <v>68</v>
      </c>
      <c r="T161" s="43" t="s">
        <v>160</v>
      </c>
      <c r="U161" s="43" t="s">
        <v>160</v>
      </c>
      <c r="V161" s="88" t="s">
        <v>160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160</v>
      </c>
      <c r="O162" s="566">
        <v>45693</v>
      </c>
      <c r="P162" s="30" t="s">
        <v>160</v>
      </c>
      <c r="Q162" s="43" t="s">
        <v>160</v>
      </c>
      <c r="R162" s="43" t="s">
        <v>160</v>
      </c>
      <c r="S162" s="43" t="s">
        <v>68</v>
      </c>
      <c r="T162" s="43" t="s">
        <v>160</v>
      </c>
      <c r="U162" s="43" t="s">
        <v>160</v>
      </c>
      <c r="V162" s="88" t="s">
        <v>160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160</v>
      </c>
      <c r="O163" s="54">
        <v>45693</v>
      </c>
      <c r="P163" s="30" t="s">
        <v>160</v>
      </c>
      <c r="Q163" s="69" t="s">
        <v>160</v>
      </c>
      <c r="R163" s="69" t="s">
        <v>160</v>
      </c>
      <c r="S163" s="43" t="s">
        <v>68</v>
      </c>
      <c r="T163" s="43" t="s">
        <v>160</v>
      </c>
      <c r="U163" s="69" t="s">
        <v>160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160</v>
      </c>
      <c r="N164" s="30" t="s">
        <v>160</v>
      </c>
      <c r="O164" s="40" t="s">
        <v>160</v>
      </c>
      <c r="P164" s="87" t="s">
        <v>160</v>
      </c>
      <c r="Q164" s="43" t="s">
        <v>160</v>
      </c>
      <c r="R164" s="43" t="s">
        <v>160</v>
      </c>
      <c r="S164" s="43" t="s">
        <v>68</v>
      </c>
      <c r="T164" s="43" t="s">
        <v>160</v>
      </c>
      <c r="U164" s="43" t="s">
        <v>160</v>
      </c>
      <c r="V164" s="43" t="s">
        <v>160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160</v>
      </c>
      <c r="N165" s="30" t="s">
        <v>160</v>
      </c>
      <c r="O165" s="566">
        <v>45818</v>
      </c>
      <c r="P165" s="87" t="s">
        <v>160</v>
      </c>
      <c r="Q165" s="43" t="s">
        <v>160</v>
      </c>
      <c r="R165" s="43" t="s">
        <v>160</v>
      </c>
      <c r="S165" s="43" t="s">
        <v>68</v>
      </c>
      <c r="T165" s="43" t="s">
        <v>160</v>
      </c>
      <c r="U165" s="43" t="s">
        <v>160</v>
      </c>
      <c r="V165" s="43" t="s">
        <v>160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160</v>
      </c>
      <c r="N166" s="30" t="s">
        <v>160</v>
      </c>
      <c r="O166" s="566">
        <v>45693</v>
      </c>
      <c r="P166" s="87" t="s">
        <v>160</v>
      </c>
      <c r="Q166" s="43" t="s">
        <v>160</v>
      </c>
      <c r="R166" s="43" t="s">
        <v>160</v>
      </c>
      <c r="S166" s="43" t="s">
        <v>68</v>
      </c>
      <c r="T166" s="43" t="s">
        <v>160</v>
      </c>
      <c r="U166" s="43" t="s">
        <v>160</v>
      </c>
      <c r="V166" s="43" t="s">
        <v>160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160</v>
      </c>
      <c r="O167" s="566">
        <v>45720</v>
      </c>
      <c r="P167" s="87" t="s">
        <v>160</v>
      </c>
      <c r="Q167" s="43" t="s">
        <v>160</v>
      </c>
      <c r="R167" s="43" t="s">
        <v>160</v>
      </c>
      <c r="S167" s="43" t="s">
        <v>68</v>
      </c>
      <c r="T167" s="43" t="s">
        <v>160</v>
      </c>
      <c r="U167" s="43" t="s">
        <v>160</v>
      </c>
      <c r="V167" s="43" t="s">
        <v>160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339</v>
      </c>
      <c r="N172" s="87" t="s">
        <v>160</v>
      </c>
      <c r="O172" s="40" t="s">
        <v>339</v>
      </c>
      <c r="P172" s="87" t="s">
        <v>160</v>
      </c>
      <c r="Q172" s="43" t="s">
        <v>68</v>
      </c>
      <c r="R172" s="43" t="s">
        <v>68</v>
      </c>
      <c r="S172" s="43" t="s">
        <v>68</v>
      </c>
      <c r="T172" s="43" t="s">
        <v>160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3" t="s">
        <v>2228</v>
      </c>
      <c r="C1" s="1543"/>
      <c r="D1" s="542"/>
      <c r="E1" s="1543" t="s">
        <v>2229</v>
      </c>
      <c r="F1" s="1543"/>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172</v>
      </c>
      <c r="C8">
        <v>7128</v>
      </c>
      <c r="L8" t="s">
        <v>692</v>
      </c>
      <c r="M8">
        <v>1</v>
      </c>
      <c r="P8" t="s">
        <v>2242</v>
      </c>
      <c r="R8">
        <v>1</v>
      </c>
      <c r="V8" t="s">
        <v>2243</v>
      </c>
      <c r="W8" s="253">
        <v>203521</v>
      </c>
      <c r="X8" s="309">
        <f>X5/X4</f>
        <v>0.59090909090909094</v>
      </c>
      <c r="Y8" s="309">
        <f>W9/W8</f>
        <v>0.31446386367991508</v>
      </c>
    </row>
    <row r="9" spans="1:25">
      <c r="B9" t="s">
        <v>204</v>
      </c>
      <c r="C9">
        <v>26662</v>
      </c>
      <c r="L9" t="s">
        <v>2244</v>
      </c>
      <c r="M9">
        <v>1</v>
      </c>
      <c r="P9" t="s">
        <v>2245</v>
      </c>
      <c r="Q9" t="s">
        <v>2244</v>
      </c>
      <c r="R9">
        <v>1</v>
      </c>
      <c r="V9" t="s">
        <v>2246</v>
      </c>
      <c r="W9">
        <v>64000</v>
      </c>
    </row>
    <row r="10" spans="1:25">
      <c r="B10" t="s">
        <v>82</v>
      </c>
      <c r="C10">
        <v>14147</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235137</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4"/>
      <c r="B1" s="1544"/>
      <c r="C1" s="1544"/>
      <c r="D1" s="1544"/>
      <c r="E1" s="1544"/>
      <c r="F1" s="1544"/>
      <c r="G1" s="1544"/>
      <c r="H1" s="1545" t="s">
        <v>2255</v>
      </c>
      <c r="I1" s="1545"/>
      <c r="J1" s="1545"/>
      <c r="K1" s="1545"/>
      <c r="L1" s="1545"/>
      <c r="M1" s="1545"/>
      <c r="N1" s="1545"/>
      <c r="O1" s="1545"/>
      <c r="P1" s="256"/>
      <c r="Q1" s="1546" t="s">
        <v>34</v>
      </c>
      <c r="R1" s="1546"/>
      <c r="S1" s="1542"/>
      <c r="T1" s="1546"/>
      <c r="U1" s="1546"/>
      <c r="V1" s="1546"/>
      <c r="W1" s="1546"/>
      <c r="X1" s="1546"/>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A2EFB82-0421-4447-8BA7-2CC0C2B0EE7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2026-02-06T17:05:45Z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