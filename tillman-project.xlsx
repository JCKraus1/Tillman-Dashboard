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98" documentId="8_{E14B221E-02E2-46A3-8CEC-C736815F2DD5}" xr6:coauthVersionLast="47" xr6:coauthVersionMax="47" xr10:uidLastSave="{9C22A297-D671-4600-ABF3-B1CB5405146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2" l="1"/>
  <c r="Y4" i="32"/>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60" i="31"/>
  <c r="X60"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<sst xmlns="http://schemas.openxmlformats.org/spreadsheetml/2006/main" count="17007" uniqueCount="2210">
  <si>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</si>
  <si>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</si>
  <si>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</si>
  <si>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</si>
  <si>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</si>
  <si>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</si>
  <si>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</si>
  <si>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</si>
  <si>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</si>
  <si>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</si>
  <si>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</si>
  <si>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</si>
  <si>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</si>
  <si>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</si>
  <si>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</si>
  <si>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</si>
  <si>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</si>
  <si>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</si>
  <si>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</si>
  <si>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</si>
  <si>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</si>
  <si>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</si>
  <si>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</si>
  <si>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</si>
  <si>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</si>
  <si>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</si>
  <si>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</si>
  <si>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</si>
  <si>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</si>
  <si>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</si>
  <si>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</si>
  <si>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</si>
  <si>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</si>
  <si>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</si>
  <si>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</si>
  <si>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</si>
  <si>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</si>
  <si>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</si>
  <si>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</si>
  <si>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</si>
  <si>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</si>
  <si>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</si>
  <si>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</si>
  <si>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</si>
  <si>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</si>
  <si>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</si>
  <si>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</si>
  <si>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</si>
  <si>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</si>
  <si>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</si>
  <si>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</si>
  <si>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</si>
  <si>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</si>
  <si>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</si>
  <si>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</si>
  <si>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</si>
  <si>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</si>
  <si>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</si>
  <si>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</si>
  <si>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</si>
  <si>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</si>
  <si>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</si>
  <si>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</si>
  <si>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</si>
  <si>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</si>
  <si>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</si>
  <si>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</si>
  <si>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</si>
  <si>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</si>
  <si>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</si>
  <si>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</si>
  <si>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</si>
  <si>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</si>
  <si>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</si>
  <si>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</si>
  <si>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</si>
  <si>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</si>
  <si>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</si>
  <si>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</si>
  <si>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</si>
  <si>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</si>
  <si>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</si>
  <si>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</si>
  <si>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</si>
  <si>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</si>
  <si>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</si>
  <si>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</si>
  <si>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</si>
  <si>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</si>
  <si>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</si>
  <si>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</si>
  <si>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</si>
  <si>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</si>
  <si>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</si>
  <si>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</si>
  <si>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</si>
  <si>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</si>
  <si>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</si>
  <si>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</si>
  <si>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</si>
  <si>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</si>
  <si>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</si>
  <si>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</si>
  <si>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</si>
  <si>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</si>
  <si>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</si>
  <si>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</si>
  <si>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</si>
  <si>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</si>
  <si>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</si>
  <si>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</si>
  <si>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</si>
  <si>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</si>
  <si>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</si>
  <si>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</si>
  <si>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</si>
  <si>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</si>
  <si>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</si>
  <si>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</si>
  <si>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</si>
  <si>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</si>
  <si>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</si>
  <si>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</si>
  <si>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</si>
  <si>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</si>
  <si>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</si>
  <si>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</si>
  <si>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</si>
  <si>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</si>
  <si>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</si>
  <si>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</si>
  <si>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</si>
  <si>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</si>
  <si>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</si>
  <si>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</si>
  <si>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</si>
  <si>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</si>
  <si>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</si>
  <si>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</si>
  <si>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</si>
  <si>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</si>
  <si>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</si>
  <si>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</si>
  <si>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</si>
  <si>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</si>
  <si>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</si>
  <si>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</si>
  <si>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</si>
  <si>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</si>
  <si>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</si>
  <si>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</si>
  <si>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</si>
  <si>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</si>
  <si>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</si>
  <si>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</si>
  <si>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</si>
  <si>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</si>
  <si>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</si>
  <si>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</si>
  <si>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</si>
  <si>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</si>
  <si>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</si>
  <si>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</si>
  <si>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</si>
  <si>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</si>
  <si>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</si>
  <si>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</si>
  <si>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</si>
  <si>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</si>
  <si>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</si>
  <si>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</si>
  <si>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</si>
  <si>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</si>
  <si>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</si>
  <si>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</si>
  <si>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</si>
  <si>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</si>
  <si>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</si>
  <si>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</si>
  <si>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</si>
  <si>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</si>
  <si>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</si>
  <si>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</si>
  <si>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</si>
  <si>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</si>
  <si>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</si>
  <si>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</si>
  <si>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</si>
  <si>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</si>
  <si>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</si>
  <si>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</si>
  <si>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</si>
  <si>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</si>
  <si>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</si>
  <si>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</si>
  <si>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</si>
  <si>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</si>
  <si>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</si>
  <si>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</si>
  <si>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</si>
  <si>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</si>
  <si>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</si>
  <si>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</si>
  <si>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</si>
  <si>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</si>
  <si>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</si>
  <si>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</si>
  <si>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</si>
  <si>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</si>
  <si>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</si>
  <si>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</si>
  <si>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</si>
  <si>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</si>
  <si>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</si>
  <si>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</si>
  <si>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</si>
  <si>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</si>
  <si>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</si>
  <si>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</si>
  <si>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</si>
  <si>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</si>
  <si>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</si>
  <si>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</si>
  <si>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</si>
  <si>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</si>
  <si>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</si>
  <si>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</si>
  <si>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</si>
  <si>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</si>
  <si>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</si>
  <si>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</si>
  <si>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</si>
  <si>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</si>
  <si>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</si>
  <si>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</si>
  <si>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</si>
  <si>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</si>
  <si>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</si>
  <si>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</si>
  <si>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</si>
  <si>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</si>
  <si>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</si>
  <si>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</si>
  <si>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</si>
  <si>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</si>
  <si>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</si>
  <si>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</si>
  <si>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</si>
  <si>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</si>
  <si>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</si>
  <si>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</si>
  <si>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</si>
  <si>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</si>
  <si>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</si>
  <si>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</si>
  <si>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</si>
  <si>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</si>
  <si>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</si>
  <si>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</si>
  <si>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</si>
  <si>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</si>
  <si>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</si>
  <si>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</si>
  <si>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</si>
  <si>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</si>
  <si>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</si>
  <si>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</si>
  <si>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</si>
  <si>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</si>
  <si>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</si>
  <si>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</si>
  <si>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</si>
  <si>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</si>
  <si>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</si>
  <si>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</si>
  <si>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</si>
  <si>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</si>
  <si>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</si>
  <si>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</si>
  <si>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</si>
  <si>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</si>
  <si>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</si>
  <si>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</si>
  <si>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</si>
  <si>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</si>
  <si>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</si>
  <si>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</si>
  <si>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</si>
  <si>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</si>
  <si>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</si>
  <si>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</si>
  <si>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</si>
  <si>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</si>
  <si>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</si>
  <si>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</si>
  <si>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</si>
  <si>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</si>
  <si>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</si>
  <si>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</si>
  <si>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</si>
  <si>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</si>
  <si>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</si>
  <si>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</si>
  <si>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</si>
  <si>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</si>
  <si>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</si>
  <si>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</si>
  <si>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</si>
  <si>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</si>
  <si>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</si>
  <si>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</si>
  <si>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</si>
  <si>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</si>
  <si>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</si>
  <si>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</si>
  <si>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</si>
  <si>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</si>
  <si>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</si>
  <si>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</si>
  <si>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</si>
  <si>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</si>
  <si>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</si>
  <si>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</si>
  <si>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</si>
  <si>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</si>
  <si>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</si>
  <si>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</si>
  <si>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</si>
  <si>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</si>
  <si>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</si>
  <si>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</si>
  <si>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</si>
  <si>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</si>
  <si>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</si>
  <si>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</si>
  <si>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</si>
  <si>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</si>
  <si>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</si>
  <si>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</si>
  <si>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</si>
  <si>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</si>
  <si>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</si>
  <si>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</si>
  <si>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</si>
  <si>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</si>
  <si>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</si>
  <si>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</si>
  <si>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</si>
  <si>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</si>
  <si>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</si>
  <si>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</si>
  <si>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</si>
  <si>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</si>
  <si>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</si>
  <si>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</si>
  <si>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</si>
  <si>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</si>
  <si>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</si>
  <si>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</si>
  <si>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</si>
  <si>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</si>
  <si>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</si>
  <si>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</si>
  <si>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</si>
  <si>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</si>
  <si>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</si>
  <si>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</si>
  <si>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</si>
  <si>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</si>
  <si>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</si>
  <si>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</si>
  <si>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</si>
  <si>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</si>
  <si>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</si>
  <si>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</si>
  <si>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</si>
  <si>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</si>
  <si>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</si>
  <si>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</si>
  <si>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</si>
  <si>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</si>
  <si>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</si>
  <si>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</si>
  <si>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</si>
  <si>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</si>
  <si>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</si>
  <si>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</si>
  <si>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</si>
  <si>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</si>
  <si>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</si>
  <si>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</si>
  <si>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</si>
  <si>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</si>
  <si>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</si>
  <si>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</si>
  <si>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</si>
  <si>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</si>
  <si>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</si>
  <si>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</si>
  <si>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</si>
  <si>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</si>
  <si>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</si>
  <si>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</si>
  <si>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</si>
  <si>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</si>
  <si>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</si>
  <si>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</si>
  <si>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</si>
  <si>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</si>
  <si>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</si>
  <si>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</si>
  <si>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</si>
  <si>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</si>
  <si>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</si>
  <si>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</si>
  <si>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</si>
  <si>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</si>
  <si>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</si>
  <si>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</si>
  <si>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</si>
  <si>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</si>
  <si>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</si>
  <si>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</si>
  <si>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</si>
  <si>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</si>
  <si>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</si>
  <si>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</si>
  <si>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</si>
  <si>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</si>
  <si>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</si>
  <si>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</si>
  <si>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</si>
  <si>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</si>
  <si>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</si>
  <si>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</si>
  <si>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</si>
  <si>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</si>
  <si>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</si>
  <si>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</si>
  <si>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</si>
  <si>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</si>
  <si>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</si>
  <si>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</si>
  <si>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</si>
  <si>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</si>
  <si>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</si>
  <si>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</si>
  <si>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</si>
  <si>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</si>
  <si>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</si>
  <si>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</si>
  <si>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</si>
  <si>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</si>
  <si>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</si>
  <si>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</si>
  <si>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</si>
  <si>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</si>
  <si>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</si>
  <si>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</si>
  <si>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</si>
  <si>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</si>
  <si>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</si>
  <si>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</si>
  <si>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</si>
  <si>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</si>
  <si>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</si>
  <si>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</si>
  <si>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</si>
  <si>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</si>
  <si>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</si>
  <si>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</si>
  <si>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</si>
  <si>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</si>
  <si>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</si>
  <si>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</si>
  <si>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</si>
  <si>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</si>
  <si>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</si>
  <si>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</si>
  <si>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</si>
  <si>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</si>
  <si>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</si>
  <si>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</si>
  <si>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</si>
  <si>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</si>
  <si>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</si>
  <si>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</si>
  <si>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</si>
  <si>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</si>
  <si>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</si>
  <si>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</si>
  <si>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</si>
  <si>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</si>
  <si>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</si>
  <si>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</si>
  <si>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</si>
  <si>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</si>
  <si>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</si>
  <si>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</si>
  <si>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</si>
  <si>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</si>
  <si>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</si>
  <si>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</si>
  <si>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</si>
  <si>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</si>
  <si>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</si>
  <si>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</si>
  <si>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</si>
  <si>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</si>
  <si>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</si>
  <si>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</si>
  <si>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</si>
  <si>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</si>
  <si>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</si>
  <si>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</si>
  <si>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</si>
  <si>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</si>
  <si>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</si>
  <si>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</si>
  <si>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</si>
  <si>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</si>
  <si>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</si>
  <si>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</si>
  <si>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</si>
  <si>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</si>
  <si>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</si>
  <si>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</si>
  <si>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</si>
  <si>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</si>
  <si>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</si>
  <si>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</si>
  <si>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</si>
  <si>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</si>
  <si>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</si>
  <si>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</si>
  <si>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</si>
  <si>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</si>
  <si>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</si>
  <si>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</si>
  <si>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</si>
  <si>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</si>
  <si>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</si>
  <si>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</si>
  <si>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</si>
  <si>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</si>
  <si>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</si>
  <si>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</si>
  <si>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</si>
  <si>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</si>
  <si>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</si>
  <si>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</si>
  <si>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</si>
  <si>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</si>
  <si>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</si>
  <si>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</si>
  <si>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</si>
  <si>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</si>
  <si>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</si>
  <si>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</si>
  <si>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</si>
  <si>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</si>
  <si>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</si>
  <si>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</si>
  <si>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</si>
  <si>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</si>
  <si>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</si>
  <si>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</si>
  <si>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</si>
  <si>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</si>
  <si>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</si>
  <si>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</si>
  <si>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</si>
  <si>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</si>
  <si>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</si>
  <si>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</si>
  <si>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</si>
  <si>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</si>
  <si>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</si>
  <si>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</si>
  <si>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</si>
  <si>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</si>
  <si>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</si>
  <si>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</si>
  <si>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</si>
  <si>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</si>
  <si>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</si>
  <si>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</si>
  <si>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</si>
  <si>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</si>
  <si>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</si>
  <si>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</si>
  <si>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</si>
  <si>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</si>
  <si>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</si>
  <si>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</si>
  <si>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</si>
  <si>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</si>
  <si>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</si>
  <si>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</si>
  <si>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</si>
  <si>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</si>
  <si>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</si>
  <si>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</si>
  <si>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</si>
  <si>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</si>
  <si>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</si>
  <si>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</si>
  <si>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</si>
  <si>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</si>
  <si>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</si>
  <si>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</si>
  <si>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</si>
  <si>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</si>
  <si>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</si>
  <si>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</si>
  <si>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</si>
  <si>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</si>
  <si>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</si>
  <si>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</si>
  <si>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</si>
  <si>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</si>
  <si>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</si>
  <si>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</si>
  <si>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</si>
  <si>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</si>
  <si>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</si>
  <si>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</si>
  <si>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</si>
  <si>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</si>
  <si>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</si>
  <si>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</si>
  <si>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</si>
  <si>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</si>
  <si>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</si>
  <si>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</si>
  <si>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</si>
  <si>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</si>
  <si>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</si>
  <si>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</si>
  <si>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</si>
  <si>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</si>
  <si>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</si>
  <si>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</si>
  <si>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</si>
  <si>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</si>
  <si>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</si>
  <si>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</si>
  <si>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</si>
  <si>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</si>
  <si>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</si>
  <si>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</si>
  <si>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</si>
  <si>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</si>
  <si>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</si>
  <si>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</si>
  <si>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</si>
  <si>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</si>
  <si>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</si>
  <si>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</si>
  <si>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</si>
  <si>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</si>
  <si>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</si>
  <si>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</si>
  <si>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</si>
  <si>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</si>
  <si>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</si>
  <si>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</si>
  <si>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</si>
  <si>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</si>
  <si>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</si>
  <si>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</si>
  <si>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</si>
  <si>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</si>
  <si>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</si>
  <si>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</si>
  <si>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</si>
  <si>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</si>
  <si>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</si>
  <si>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</si>
  <si>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</si>
  <si>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</si>
  <si>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</si>
  <si>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</si>
  <si>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</si>
  <si>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</si>
  <si>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</si>
  <si>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</si>
  <si>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</si>
  <si>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</si>
  <si>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</si>
  <si>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</si>
  <si>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</si>
  <si>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</si>
  <si>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</si>
  <si>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</si>
  <si>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</si>
  <si>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</si>
  <si>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</si>
  <si>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</si>
  <si>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</si>
  <si>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</si>
  <si>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</si>
  <si>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</si>
  <si>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</si>
  <si>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</si>
  <si>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</si>
  <si>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</si>
  <si>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</si>
  <si>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</si>
  <si>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</si>
  <si>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</si>
  <si>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</si>
  <si>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</si>
  <si>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</si>
  <si>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</si>
  <si>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</si>
  <si>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</si>
  <si>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</si>
  <si>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</si>
  <si>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</si>
  <si>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</si>
  <si>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</si>
  <si>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</si>
  <si>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</si>
  <si>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</si>
  <si>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</si>
  <si>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</si>
  <si>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</si>
  <si>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</si>
  <si>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</si>
  <si>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</si>
  <si>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</si>
  <si>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</si>
  <si>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</si>
  <si>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</si>
  <si>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</si>
  <si>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</si>
  <si>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</si>
  <si>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</si>
  <si>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</si>
  <si>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</si>
  <si>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</si>
  <si>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</si>
  <si>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</si>
  <si>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</si>
  <si>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</si>
  <si>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</si>
  <si>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</si>
  <si>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</si>
  <si>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</si>
  <si>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</si>
  <si>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</si>
  <si>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</si>
  <si>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</si>
  <si>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</si>
  <si>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</si>
  <si>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</si>
  <si>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</si>
  <si>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</si>
  <si>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</si>
  <si>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</si>
  <si>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</si>
  <si>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</si>
  <si>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</si>
  <si>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</si>
  <si>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</si>
  <si>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</si>
  <si>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</si>
  <si>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</si>
  <si>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</si>
  <si>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</si>
  <si>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</si>
  <si>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</si>
  <si>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</si>
  <si>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</si>
  <si>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</si>
  <si>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</si>
  <si>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</si>
  <si>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</si>
  <si>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</si>
  <si>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</si>
  <si>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</si>
  <si>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</si>
  <si>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</si>
  <si>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</si>
  <si>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</si>
  <si>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</si>
  <si>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</si>
  <si>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</si>
  <si>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</si>
  <si>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</si>
  <si>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</si>
  <si>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</si>
  <si>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</si>
  <si>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</si>
  <si>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</si>
  <si>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</si>
  <si>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</si>
  <si>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</si>
  <si>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</si>
  <si>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</si>
  <si>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</si>
  <si>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</si>
  <si>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</si>
  <si>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</si>
  <si>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</si>
  <si>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</si>
  <si>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</si>
  <si>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</si>
  <si>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</si>
  <si>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</si>
  <si>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</si>
  <si>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</si>
  <si>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</si>
  <si>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</si>
  <si>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</si>
  <si>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</si>
  <si>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</si>
  <si>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</si>
  <si>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</si>
  <si>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</si>
  <si>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</si>
  <si>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</si>
  <si>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</si>
  <si>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</si>
  <si>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</si>
  <si>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</si>
  <si>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</si>
  <si>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</si>
  <si>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</si>
  <si>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</si>
  <si>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</si>
  <si>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</si>
  <si>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</si>
  <si>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</si>
  <si>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</si>
  <si>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</si>
  <si>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</si>
  <si>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</si>
  <si>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</si>
  <si>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</si>
  <si>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</si>
  <si>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</si>
  <si>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</si>
  <si>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</si>
  <si>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</si>
  <si>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</si>
  <si>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</si>
  <si>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</si>
  <si>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</si>
  <si>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</si>
  <si>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</si>
  <si>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</si>
  <si>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</si>
  <si>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</si>
  <si>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</si>
  <si>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</si>
  <si>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</si>
  <si>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</si>
  <si>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</si>
  <si>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</si>
  <si>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</si>
  <si>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</si>
  <si>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</si>
  <si>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</si>
  <si>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</si>
  <si>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</si>
  <si>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</si>
  <si>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</si>
  <si>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</si>
  <si>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</si>
  <si>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</si>
  <si>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</si>
  <si>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</si>
  <si>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</si>
  <si>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</si>
  <si>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</si>
  <si>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</si>
  <si>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</si>
  <si>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</si>
  <si>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</si>
  <si>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</si>
  <si>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</si>
  <si>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</si>
  <si>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</si>
  <si>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</si>
  <si>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</si>
  <si>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</si>
  <si>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</si>
  <si>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</si>
  <si>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</si>
  <si>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</si>
  <si>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</si>
  <si>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</si>
  <si>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</si>
  <si>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</si>
  <si>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</si>
  <si>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</si>
  <si>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</si>
  <si>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</si>
  <si>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</si>
  <si>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</si>
  <si>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</si>
  <si>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</si>
  <si>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</si>
  <si>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</si>
  <si>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</si>
  <si>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</si>
  <si>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</si>
  <si>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</si>
  <si>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</si>
  <si>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</si>
  <si>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</si>
  <si>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</si>
  <si>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</si>
  <si>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</si>
  <si>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</si>
  <si>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</si>
  <si>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</si>
  <si>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</si>
  <si>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</si>
  <si>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</si>
  <si>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</si>
  <si>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</si>
  <si>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</si>
  <si>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</si>
  <si>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</si>
  <si>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</si>
  <si>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</si>
  <si>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</si>
  <si>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</si>
  <si>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</si>
  <si>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</si>
  <si>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</si>
  <si>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</si>
  <si>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</si>
  <si>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</si>
  <si>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</si>
  <si>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</si>
  <si>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</si>
  <si>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</si>
  <si>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</si>
  <si>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</si>
  <si>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</si>
  <si>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</si>
  <si>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</si>
  <si>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</si>
  <si>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</si>
  <si>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</si>
  <si>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</si>
  <si>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</si>
  <si>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</si>
  <si>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</si>
  <si>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</si>
  <si>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</si>
  <si>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</si>
  <si>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</si>
  <si>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</si>
  <si>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</si>
  <si>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</si>
  <si>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</si>
  <si>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</si>
  <si>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</si>
  <si>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</si>
  <si>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</si>
  <si>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</si>
  <si>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</si>
  <si>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</si>
  <si>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</si>
  <si>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</si>
  <si>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</si>
  <si>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</si>
  <si>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</si>
  <si>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</si>
  <si>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</si>
  <si>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</si>
  <si>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</si>
  <si>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</si>
  <si>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</si>
  <si>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</si>
  <si>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</si>
  <si>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</si>
  <si>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</si>
  <si>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</si>
  <si>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</si>
  <si>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</si>
  <si>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</si>
  <si>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</si>
  <si>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</si>
  <si>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</si>
  <si>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</si>
  <si>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</si>
  <si>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</si>
  <si>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</si>
  <si>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</si>
  <si>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</si>
  <si>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</si>
  <si>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</si>
  <si>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</si>
  <si>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</si>
  <si>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</si>
  <si>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</si>
  <si>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</si>
  <si>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</si>
  <si>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</si>
  <si>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</si>
  <si>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</si>
  <si>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</si>
  <si>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</si>
  <si>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</si>
  <si>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</si>
  <si>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</si>
  <si>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</si>
  <si>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</si>
  <si>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</si>
  <si>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</si>
  <si>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</si>
  <si>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</si>
  <si>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</si>
  <si>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</si>
  <si>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</si>
  <si>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</si>
  <si>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</si>
  <si>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</si>
  <si>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</si>
  <si>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</si>
  <si>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</si>
  <si>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</si>
  <si>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</si>
  <si>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</si>
  <si>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</si>
  <si>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</si>
  <si>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</si>
  <si>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</si>
  <si>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</si>
  <si>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</si>
  <si>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</si>
  <si>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</si>
  <si>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</si>
  <si>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</si>
  <si>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</si>
  <si>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</si>
  <si>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</si>
  <si>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</si>
  <si>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</si>
  <si>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</si>
  <si>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</si>
  <si>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</si>
  <si>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</si>
  <si>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</si>
  <si>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</si>
  <si>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</si>
  <si>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</si>
  <si>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</si>
  <si>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</si>
  <si>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</si>
  <si>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</si>
  <si>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</si>
  <si>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</si>
  <si>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</si>
  <si>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</si>
  <si>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</si>
  <si>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</si>
  <si>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</si>
  <si>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</si>
  <si>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</si>
  <si>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</si>
  <si>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</si>
  <si>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</si>
  <si>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</si>
  <si>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</si>
  <si>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</si>
  <si>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</si>
  <si>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</si>
  <si>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</si>
  <si>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</si>
  <si>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</si>
  <si>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</si>
  <si>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</si>
  <si>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</si>
  <si>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</si>
  <si>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</si>
  <si>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</si>
  <si>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</si>
  <si>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</si>
  <si>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</si>
  <si>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</si>
  <si>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</si>
  <si>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</si>
  <si>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</si>
  <si>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</si>
  <si>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</si>
  <si>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</si>
  <si>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</si>
  <si>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</si>
  <si>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</si>
  <si>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</si>
  <si>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</si>
  <si>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</si>
  <si>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</si>
  <si>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</si>
  <si>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</si>
  <si>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</si>
  <si>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</si>
  <si>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</si>
  <si>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</si>
  <si>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</si>
  <si>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</si>
  <si>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</si>
  <si>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</si>
  <si>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</si>
  <si>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</si>
  <si>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</si>
  <si>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</si>
  <si>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</si>
  <si>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</si>
  <si>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</si>
  <si>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</si>
  <si>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</si>
  <si>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</si>
  <si>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</si>
  <si>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</si>
  <si>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</si>
  <si>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</si>
  <si>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</si>
  <si>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</si>
  <si>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</si>
  <si>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</si>
  <si>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</si>
  <si>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</si>
  <si>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</si>
  <si>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</si>
  <si>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</si>
  <si>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</si>
  <si>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</si>
  <si>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</si>
  <si>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</si>
  <si>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</si>
  <si>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</si>
  <si>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</si>
  <si>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</si>
  <si>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</si>
  <si>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</si>
  <si>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</si>
  <si>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</si>
  <si>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</si>
  <si>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</si>
  <si>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</si>
  <si>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</si>
  <si>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</si>
  <si>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</si>
  <si>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</si>
  <si>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</si>
  <si>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</si>
  <si>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</si>
  <si>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</si>
  <si>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</si>
  <si>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</si>
  <si>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</si>
  <si>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</si>
  <si>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</si>
  <si>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</si>
  <si>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</si>
  <si>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</si>
  <si>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</si>
  <si>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</si>
  <si>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</si>
  <si>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</si>
  <si>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</si>
  <si>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</si>
  <si>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</si>
  <si>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</si>
  <si>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</si>
  <si>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</si>
  <si>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</si>
  <si>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</si>
  <si>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</si>
  <si>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</si>
  <si>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</si>
  <si>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</si>
  <si>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</si>
  <si>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</si>
  <si>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</si>
  <si>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</si>
  <si>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</si>
  <si>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</si>
  <si>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</si>
  <si>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</si>
  <si>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</si>
  <si>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</si>
  <si>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</si>
  <si>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</si>
  <si>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</si>
  <si>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</si>
  <si>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</si>
  <si>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</si>
  <si>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</si>
  <si>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</si>
  <si>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</si>
  <si>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</si>
  <si>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</si>
  <si>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</si>
  <si>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</si>
  <si>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</si>
  <si>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</si>
  <si>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</si>
  <si>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</si>
  <si>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</si>
  <si>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</si>
  <si>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</si>
  <si>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</si>
  <si>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</si>
  <si>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</si>
  <si>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</si>
  <si>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</si>
  <si>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</si>
  <si>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</si>
  <si>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</si>
  <si>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</si>
  <si>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</si>
  <si>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</si>
  <si>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</si>
  <si>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</si>
  <si>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</si>
  <si>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</si>
  <si>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</si>
  <si>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</si>
  <si>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</si>
  <si>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</si>
  <si>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</si>
  <si>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</si>
  <si>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</si>
  <si>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</si>
  <si>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</si>
  <si>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</si>
  <si>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</si>
  <si>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</si>
  <si>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</si>
  <si>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</si>
  <si>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</si>
  <si>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</si>
  <si>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</si>
  <si>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</si>
  <si>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</si>
  <si>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</si>
  <si>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</si>
  <si>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</si>
  <si>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</si>
  <si>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</si>
  <si>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</si>
  <si>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</si>
  <si>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</si>
  <si>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</si>
  <si>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</si>
  <si>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</si>
  <si>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</si>
  <si>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</si>
  <si>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</si>
  <si>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</si>
  <si>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</si>
  <si>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</si>
  <si>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</si>
  <si>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</si>
  <si>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</si>
  <si>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</si>
  <si>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</si>
  <si>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</si>
  <si>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</si>
  <si>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</si>
  <si>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</si>
  <si>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</si>
  <si>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</si>
  <si>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</si>
  <si>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</si>
  <si>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</si>
  <si>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</si>
  <si>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</si>
  <si>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</si>
  <si>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</si>
  <si>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</si>
  <si>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</si>
  <si>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</si>
  <si>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</si>
  <si>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</si>
  <si>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</si>
  <si>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</si>
  <si>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</si>
  <si>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</si>
  <si>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</si>
  <si>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</si>
  <si>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</si>
  <si>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</si>
  <si>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</si>
  <si>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</si>
  <si>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</si>
  <si>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</si>
  <si>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</si>
  <si>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</si>
  <si>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</si>
  <si>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</si>
  <si>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</si>
  <si>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</si>
  <si>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</si>
  <si>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</si>
  <si>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</si>
  <si>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</si>
  <si>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</si>
  <si>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</si>
  <si>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</si>
  <si>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</si>
  <si>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</si>
  <si>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</si>
  <si>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</si>
  <si>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</si>
  <si>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</si>
  <si>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</si>
  <si>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</si>
  <si>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</si>
  <si>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</si>
  <si>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</si>
  <si>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</si>
  <si>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</si>
  <si>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</si>
  <si>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</si>
  <si>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</si>
  <si>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</si>
  <si>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</si>
  <si>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</si>
  <si>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</si>
  <si>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</si>
  <si>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</si>
  <si>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</si>
  <si>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</si>
  <si>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</si>
  <si>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</si>
  <si>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</si>
  <si>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</si>
  <si>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</si>
  <si>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</si>
  <si>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</si>
  <si>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</si>
  <si>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</si>
  <si>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</si>
  <si>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</si>
  <si>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</si>
  <si>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</si>
  <si>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</si>
  <si>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</si>
  <si>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</si>
  <si>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</si>
  <si>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</si>
  <si>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</si>
  <si>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</si>
  <si>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</si>
  <si>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</si>
  <si>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</si>
  <si>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</si>
  <si>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</si>
  <si>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</si>
  <si>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</si>
  <si>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</si>
  <si>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</si>
  <si>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</si>
  <si>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</si>
  <si>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</si>
  <si>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</si>
  <si>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</si>
  <si>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</si>
  <si>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</si>
  <si>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</si>
  <si>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</si>
  <si>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</si>
  <si>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</si>
  <si>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</si>
  <si>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</si>
  <si>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</si>
  <si>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</si>
  <si>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</si>
  <si>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</si>
  <si>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</si>
  <si>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</si>
  <si>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</si>
  <si>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</si>
  <si>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</si>
  <si>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</si>
  <si>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</si>
  <si>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</si>
  <si>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</si>
  <si>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</si>
  <si>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</si>
  <si>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</si>
  <si>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</si>
  <si>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</si>
  <si>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</si>
  <si>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</si>
  <si>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</si>
  <si>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</si>
  <si>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</si>
  <si>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</si>
  <si>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</si>
  <si>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</si>
  <si>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</si>
  <si>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</si>
  <si>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</si>
  <si>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</si>
  <si>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</si>
  <si>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</si>
  <si>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</si>
  <si>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</si>
  <si>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</si>
  <si>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</si>
  <si>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</si>
  <si>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</si>
  <si>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</si>
  <si>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</si>
  <si>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</si>
  <si>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</si>
  <si>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</si>
  <si>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</si>
  <si>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</si>
  <si>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</si>
  <si>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</si>
  <si>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</si>
  <si>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</si>
  <si>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</si>
  <si>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</si>
  <si>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</si>
  <si>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</si>
  <si>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</si>
  <si>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</si>
  <si>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</si>
  <si>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</si>
  <si>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</si>
  <si>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</si>
  <si>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</si>
  <si>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</si>
  <si>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</si>
  <si>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</si>
  <si>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</si>
  <si>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</si>
  <si>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</si>
  <si>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</si>
  <si>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</si>
  <si>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</si>
  <si>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</si>
  <si>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</si>
  <si>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</si>
  <si>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</si>
  <si>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</si>
  <si>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</si>
  <si>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</si>
  <si>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</si>
  <si>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</si>
  <si>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</si>
  <si>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</si>
  <si>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</si>
  <si>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</si>
  <si>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</si>
  <si>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</si>
  <si>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</si>
  <si>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</si>
  <si>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</si>
  <si>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</si>
  <si>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</si>
  <si>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</si>
  <si>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</si>
  <si>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</si>
  <si>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</si>
  <si>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</si>
  <si>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</si>
  <si>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</si>
  <si>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</si>
  <si>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</si>
  <si>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</si>
  <si>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</si>
  <si>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</si>
  <si>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</si>
  <si>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</si>
  <si>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</si>
  <si>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</si>
  <si>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</si>
  <si>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</si>
  <si>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</si>
  <si>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</si>
  <si>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</si>
  <si>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</si>
  <si>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</si>
  <si>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</si>
  <si>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</si>
  <si>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</si>
  <si>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</si>
  <si>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</si>
  <si>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</si>
  <si>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</si>
  <si>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</si>
  <si>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</si>
  <si>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</si>
  <si>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</si>
  <si>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</si>
  <si>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</si>
  <si>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</si>
  <si>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</si>
  <si>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</si>
  <si>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</si>
  <si>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</si>
  <si>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</si>
  <si>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</si>
  <si>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</si>
  <si>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</si>
  <si>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</si>
  <si>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</si>
  <si>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</si>
  <si>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</si>
  <si>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</si>
  <si>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</si>
  <si>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</si>
  <si>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</si>
  <si>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</si>
  <si>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</si>
  <si>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</si>
  <si>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</si>
  <si>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</si>
  <si>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</si>
  <si>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</si>
  <si>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</si>
  <si>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</si>
  <si>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</si>
  <si>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</si>
  <si>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</si>
  <si>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</si>
  <si>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</si>
  <si>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</si>
  <si>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</si>
  <si>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</si>
  <si>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</si>
  <si>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</si>
  <si>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</si>
  <si>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</si>
  <si>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</si>
  <si>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</si>
  <si>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</si>
  <si>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</si>
  <si>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</si>
  <si>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</si>
  <si>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</si>
  <si>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</si>
  <si>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</si>
  <si>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</si>
  <si>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</si>
  <si>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</si>
  <si>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</si>
  <si>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</si>
  <si>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</si>
  <si>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</si>
  <si>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</si>
  <si>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</si>
  <si>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</si>
  <si>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</si>
  <si>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</si>
  <si>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</si>
  <si>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</si>
  <si>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</si>
  <si>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</si>
  <si>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</si>
  <si>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</si>
  <si>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</si>
  <si>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</si>
  <si>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</si>
  <si>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</si>
  <si>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</si>
  <si>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</si>
  <si>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</si>
  <si>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</si>
  <si>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</si>
  <si>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</si>
  <si>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</si>
  <si>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</si>
  <si>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</si>
  <si>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</si>
  <si>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</si>
  <si>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</si>
  <si>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</si>
  <si>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</si>
  <si>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</si>
  <si>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</si>
  <si>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</si>
  <si>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</si>
  <si>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</si>
  <si>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</si>
  <si>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</si>
  <si>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</si>
  <si>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</si>
  <si>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</si>
  <si>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</si>
  <si>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</si>
  <si>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</si>
  <si>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</si>
  <si>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</si>
  <si>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</si>
  <si>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</si>
  <si>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</si>
  <si>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</si>
  <si>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</si>
  <si>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</si>
  <si>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</si>
  <si>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</si>
  <si>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</si>
  <si>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</si>
  <si>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</si>
  <si>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</si>
  <si>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</si>
  <si>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</si>
  <si>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</si>
  <si>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</si>
  <si>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</si>
  <si>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</si>
  <si>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</si>
  <si>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</si>
  <si>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</si>
  <si>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</si>
  <si>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</si>
  <si>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</si>
  <si>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</si>
  <si>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</si>
  <si>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</si>
  <si>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</si>
  <si>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</si>
  <si>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</si>
  <si>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</si>
  <si>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</si>
  <si>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</si>
  <si>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</si>
  <si>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</si>
  <si>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</si>
  <si>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</si>
  <si>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</si>
  <si>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</si>
  <si>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</si>
  <si>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</si>
  <si>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</si>
  <si>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</si>
  <si>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</si>
  <si>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</si>
  <si>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</si>
  <si>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</si>
  <si>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</si>
  <si>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</si>
  <si>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</si>
  <si>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</si>
  <si>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</si>
  <si>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</si>
  <si>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</si>
  <si>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</si>
  <si>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</si>
  <si>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</si>
  <si>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</si>
  <si>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</si>
  <si>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</si>
  <si>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</si>
  <si>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</si>
  <si>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</si>
  <si>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</si>
  <si>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</si>
  <si>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</si>
  <si>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</si>
  <si>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</si>
  <si>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</si>
  <si>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</si>
  <si>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</si>
  <si>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</si>
  <si>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</si>
  <si>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</si>
  <si>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</si>
  <si>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</si>
  <si>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</si>
  <si>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</si>
  <si>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</si>
  <si>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</si>
  <si>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</si>
  <si>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</si>
  <si>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</si>
  <si>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</si>
  <si>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</si>
  <si>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</si>
  <si>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</si>
  <si>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</si>
  <si>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</si>
  <si>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</si>
  <si>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</si>
  <si>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</si>
  <si>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</si>
  <si>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</si>
  <si>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</si>
  <si>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</si>
  <si>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</si>
  <si>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</si>
  <si>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</si>
  <si>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</si>
  <si>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</si>
  <si>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</si>
  <si>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</si>
  <si>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</si>
  <si>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</si>
  <si>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</si>
  <si>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</si>
  <si>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</si>
  <si>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</si>
  <si>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</si>
  <si>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</si>
  <si>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</si>
  <si>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</si>
  <si>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</si>
  <si>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</si>
  <si>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</si>
  <si>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</si>
  <si>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</si>
  <si>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</si>
  <si>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</si>
  <si>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</si>
  <si>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</si>
  <si>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</si>
  <si>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</si>
  <si>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</si>
  <si>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</si>
  <si>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</si>
  <si>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</si>
  <si>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</si>
  <si>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</si>
  <si>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</si>
  <si>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</si>
  <si>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</si>
  <si>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</si>
  <si>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</si>
  <si>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</si>
  <si>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</si>
  <si>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</si>
  <si>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</si>
  <si>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</si>
  <si>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</si>
  <si>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</si>
  <si>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</si>
  <si>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</si>
  <si>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</si>
  <si>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</si>
  <si>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</si>
  <si>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</si>
  <si>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</si>
  <si>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</si>
  <si>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</si>
  <si>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</si>
  <si>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</si>
  <si>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</si>
  <si>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</si>
  <si>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</si>
  <si>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</si>
  <si>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</si>
  <si>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</si>
  <si>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</si>
  <si>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</si>
  <si>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</si>
  <si>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</si>
  <si>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</si>
  <si>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</si>
  <si>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</si>
  <si>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</si>
  <si>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</si>
  <si>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</si>
  <si>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</si>
  <si>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</si>
  <si>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</si>
  <si>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</si>
  <si>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</si>
  <si>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</si>
  <si>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</si>
  <si>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</si>
  <si>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</si>
  <si>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</si>
  <si>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</si>
  <si>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</si>
  <si>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</si>
  <si>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</si>
  <si>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</si>
  <si>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</si>
  <si>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</si>
  <si>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</si>
  <si>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</si>
  <si>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</si>
  <si>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</si>
  <si>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</si>
  <si>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</si>
  <si>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</si>
  <si>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</si>
  <si>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</si>
  <si>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</si>
  <si>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</si>
  <si>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</si>
  <si>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</si>
  <si>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</si>
  <si>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</si>
  <si>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</si>
  <si>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</si>
  <si>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</si>
  <si>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</si>
  <si>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</si>
  <si>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</si>
  <si>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</si>
  <si>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</si>
  <si>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</si>
  <si>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</si>
  <si>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</si>
  <si>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</si>
  <si>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</si>
  <si>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</si>
  <si>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</si>
  <si>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</si>
  <si>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</si>
  <si>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</si>
  <si>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</si>
  <si>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</si>
  <si>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</si>
  <si>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</si>
  <si>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</si>
  <si>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</si>
  <si>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</si>
  <si>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</si>
  <si>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</si>
  <si>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</si>
  <si>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</si>
  <si>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</si>
  <si>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</si>
  <si>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</si>
  <si>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</si>
  <si>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</si>
  <si>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</si>
  <si>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</si>
  <si>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</si>
  <si>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</si>
  <si>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</si>
  <si>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</si>
  <si>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</si>
  <si>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</si>
  <si>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</si>
  <si>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</si>
  <si>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</si>
  <si>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</si>
  <si>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</si>
  <si>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</si>
  <si>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</si>
  <si>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</si>
  <si>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</si>
  <si>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</si>
  <si>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</si>
  <si>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</si>
  <si>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</si>
  <si>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</si>
  <si>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</si>
  <si>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</si>
  <si>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</si>
  <si>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</si>
  <si>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</si>
  <si>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</si>
  <si>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</si>
  <si>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</si>
  <si>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</si>
  <si>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</si>
  <si>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</si>
  <si>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</si>
  <si>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</si>
  <si>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</si>
  <si>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</si>
  <si>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</si>
  <si>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</si>
  <si>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</si>
  <si>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</si>
  <si>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</si>
  <si>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</si>
  <si>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</si>
  <si>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</si>
  <si>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</si>
  <si>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</si>
  <si>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</si>
  <si>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</si>
  <si>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</si>
  <si>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</si>
  <si>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</si>
  <si>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</si>
  <si>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</si>
  <si>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</si>
  <si>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</si>
  <si>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</si>
  <si>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</si>
  <si>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</si>
  <si>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</si>
  <si>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</si>
  <si>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</si>
  <si>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</si>
  <si>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</si>
  <si>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</si>
  <si>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</si>
  <si>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</si>
  <si>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</si>
  <si>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</si>
  <si>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</si>
  <si>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</si>
  <si>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</si>
  <si>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</si>
  <si>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</si>
  <si>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</si>
  <si>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</si>
  <si>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</si>
  <si>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</si>
  <si>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</si>
  <si>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</si>
  <si>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</si>
  <si>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</si>
  <si>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</si>
  <si>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</si>
  <si>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</si>
  <si>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</si>
  <si>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</si>
  <si>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</si>
  <si>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</si>
  <si>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</si>
  <si>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</si>
  <si>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</si>
  <si>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</si>
  <si>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</si>
  <si>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</si>
  <si>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</si>
  <si>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</si>
  <si>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</si>
  <si>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</si>
  <si>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</si>
  <si>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</si>
  <si>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</si>
  <si>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</si>
  <si>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</si>
  <si>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</si>
  <si>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</si>
  <si>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</si>
  <si>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</si>
  <si>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</si>
  <si>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</si>
  <si>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</si>
  <si>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</si>
  <si>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</si>
  <si>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</si>
  <si>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</si>
  <si>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</si>
  <si>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</si>
  <si>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</si>
  <si>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</si>
  <si>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</si>
  <si>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</si>
  <si>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</si>
  <si>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</si>
  <si>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</si>
  <si>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</si>
  <si>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</si>
  <si>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</si>
  <si>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</si>
  <si>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</si>
  <si>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</si>
  <si>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</si>
  <si>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</si>
  <si>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</si>
  <si>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</si>
  <si>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</si>
  <si>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</si>
  <si>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</si>
  <si>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</si>
  <si>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</si>
  <si>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</si>
  <si>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</si>
  <si>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</si>
  <si>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</si>
  <si>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</si>
  <si>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</si>
  <si>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</si>
  <si>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</si>
  <si>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</si>
  <si>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</si>
  <si>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</si>
  <si>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</si>
  <si>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</si>
  <si>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</si>
  <si>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</si>
  <si>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</si>
  <si>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</si>
  <si>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</si>
  <si>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</si>
  <si>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</si>
  <si>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</si>
  <si>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</si>
  <si>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</si>
  <si>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</si>
  <si>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</si>
  <si>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</si>
  <si>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</si>
  <si>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</si>
  <si>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</si>
  <si>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</si>
  <si>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</si>
  <si>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</si>
  <si>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</si>
  <si>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</si>
  <si>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</si>
  <si>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</si>
  <si>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</si>
  <si>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</si>
  <si>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</si>
  <si>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</si>
  <si>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</si>
  <si>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</si>
  <si>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</si>
  <si>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</si>
  <si>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</si>
  <si>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</si>
  <si>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</si>
  <si>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</si>
  <si>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</si>
  <si>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</si>
  <si>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</si>
  <si>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</si>
  <si>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</si>
  <si>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</si>
  <si>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</si>
  <si>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</si>
  <si>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</si>
  <si>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</si>
  <si>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</si>
  <si>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</si>
  <si>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</si>
  <si>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</si>
  <si>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</si>
  <si>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</si>
  <si>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</si>
  <si>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</si>
  <si>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</si>
  <si>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</si>
  <si>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</si>
  <si>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</si>
  <si>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</si>
  <si>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</si>
  <si>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</si>
  <si>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</si>
  <si>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</si>
  <si>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</si>
  <si>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</si>
  <si>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</si>
  <si>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</si>
  <si>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</si>
  <si>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</si>
  <si>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</si>
  <si>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</si>
  <si>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</si>
  <si>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</si>
  <si>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</si>
  <si>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</si>
  <si>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</si>
  <si>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</si>
  <si>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</si>
  <si>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</si>
  <si>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</si>
  <si>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1/13 CX Construction Started--Progress At 13%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</si>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</sst>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3" sqref="AD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343" t="s">
        <v>159</v>
      </c>
      <c r="B37" s="1454" t="s">
        <v>108</v>
      </c>
      <c r="C37" s="1344">
        <v>45959</v>
      </c>
      <c r="D37" s="1344" t="s">
        <v>128</v>
      </c>
      <c r="E37" s="1344">
        <v>45961</v>
      </c>
      <c r="F37" s="1454" t="s">
        <v>141</v>
      </c>
      <c r="G37" s="1204"/>
      <c r="H37" s="1462">
        <v>0</v>
      </c>
      <c r="I37" s="661" t="s">
        <v>55</v>
      </c>
      <c r="J37" s="1462" t="s">
        <v>91</v>
      </c>
      <c r="K37" s="1462" t="s">
        <v>111</v>
      </c>
      <c r="L37" s="1344" t="s">
        <v>157</v>
      </c>
      <c r="M37" s="1462" t="s">
        <v>57</v>
      </c>
      <c r="N37" s="1463">
        <v>15670.45</v>
      </c>
      <c r="O37" s="1462" t="s">
        <v>57</v>
      </c>
      <c r="P37" s="1464" t="s">
        <v>64</v>
      </c>
      <c r="Q37" s="1465">
        <v>46031</v>
      </c>
      <c r="R37" s="1465"/>
      <c r="S37" s="1465"/>
      <c r="T37" s="1465"/>
      <c r="U37" s="1465"/>
      <c r="V37" s="787">
        <v>1202</v>
      </c>
      <c r="W37" s="1455">
        <v>1208</v>
      </c>
      <c r="X37" s="1466">
        <f>SUM(V37-W37)</f>
        <v>-6</v>
      </c>
      <c r="Y37" s="662">
        <v>1</v>
      </c>
      <c r="Z37" s="1228">
        <v>46035</v>
      </c>
      <c r="AA37" s="1467">
        <v>0</v>
      </c>
      <c r="AB37" s="1467">
        <v>0</v>
      </c>
      <c r="AC37" s="1466">
        <v>0</v>
      </c>
      <c r="AD37" s="1212" t="s">
        <v>160</v>
      </c>
      <c r="AE37" s="1239"/>
    </row>
    <row r="38" spans="1:32" ht="24.75" customHeight="1">
      <c r="A38" s="1253" t="s">
        <v>161</v>
      </c>
      <c r="B38" s="1204" t="s">
        <v>108</v>
      </c>
      <c r="C38" s="1203">
        <v>46066</v>
      </c>
      <c r="D38" s="1203"/>
      <c r="E38" s="1203"/>
      <c r="F38" s="642" t="s">
        <v>162</v>
      </c>
      <c r="G38" s="1204" t="s">
        <v>163</v>
      </c>
      <c r="H38" s="1205">
        <v>0</v>
      </c>
      <c r="I38" s="661" t="s">
        <v>55</v>
      </c>
      <c r="J38" s="1205" t="s">
        <v>91</v>
      </c>
      <c r="K38" s="1205" t="s">
        <v>111</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164</v>
      </c>
    </row>
    <row r="39" spans="1:32" ht="24.75" customHeight="1">
      <c r="A39" s="1253" t="s">
        <v>165</v>
      </c>
      <c r="B39" s="1204" t="s">
        <v>108</v>
      </c>
      <c r="C39" s="1203">
        <v>46047</v>
      </c>
      <c r="D39" s="1203"/>
      <c r="E39" s="1203"/>
      <c r="F39" s="642" t="s">
        <v>162</v>
      </c>
      <c r="G39" s="1204" t="s">
        <v>166</v>
      </c>
      <c r="H39" s="1205">
        <v>0</v>
      </c>
      <c r="I39" s="661" t="s">
        <v>55</v>
      </c>
      <c r="J39" s="1205" t="s">
        <v>91</v>
      </c>
      <c r="K39" s="1205" t="s">
        <v>111</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167</v>
      </c>
    </row>
    <row r="40" spans="1:32" ht="24.75" customHeight="1">
      <c r="A40" s="1253" t="s">
        <v>168</v>
      </c>
      <c r="B40" s="1204" t="s">
        <v>108</v>
      </c>
      <c r="C40" s="1203"/>
      <c r="D40" s="1203"/>
      <c r="E40" s="1203"/>
      <c r="F40" s="642" t="s">
        <v>162</v>
      </c>
      <c r="G40" s="1204" t="s">
        <v>169</v>
      </c>
      <c r="H40" s="1205">
        <v>0</v>
      </c>
      <c r="I40" s="1205" t="s">
        <v>55</v>
      </c>
      <c r="J40" s="1205" t="s">
        <v>91</v>
      </c>
      <c r="K40" s="1205" t="s">
        <v>111</v>
      </c>
      <c r="L40" s="1204" t="s">
        <v>157</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170</v>
      </c>
    </row>
    <row r="41" spans="1:32" ht="24.75" customHeight="1">
      <c r="A41" s="1202" t="s">
        <v>171</v>
      </c>
      <c r="B41" s="1204" t="s">
        <v>108</v>
      </c>
      <c r="C41" s="1203">
        <v>45675</v>
      </c>
      <c r="D41" s="1203" t="s">
        <v>128</v>
      </c>
      <c r="E41" s="1203">
        <v>46006</v>
      </c>
      <c r="F41" s="1204" t="s">
        <v>141</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172</v>
      </c>
    </row>
    <row r="42" spans="1:32" ht="24.75" customHeight="1">
      <c r="A42" s="1253" t="s">
        <v>173</v>
      </c>
      <c r="B42" s="1204" t="s">
        <v>108</v>
      </c>
      <c r="C42" s="1203">
        <v>46053</v>
      </c>
      <c r="D42" s="1203"/>
      <c r="E42" s="1203"/>
      <c r="F42" s="1204" t="s">
        <v>141</v>
      </c>
      <c r="G42" s="1204" t="s">
        <v>174</v>
      </c>
      <c r="H42" s="1205">
        <v>0</v>
      </c>
      <c r="I42" s="1205" t="s">
        <v>55</v>
      </c>
      <c r="J42" s="1205" t="s">
        <v>91</v>
      </c>
      <c r="K42" s="1205" t="s">
        <v>111</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175</v>
      </c>
    </row>
    <row r="43" spans="1:32" ht="24.75" customHeight="1">
      <c r="A43" s="1202" t="s">
        <v>176</v>
      </c>
      <c r="B43" s="1204" t="s">
        <v>108</v>
      </c>
      <c r="C43" s="1203">
        <v>46031</v>
      </c>
      <c r="D43" s="1203" t="s">
        <v>177</v>
      </c>
      <c r="E43" s="1203"/>
      <c r="F43" s="1204" t="s">
        <v>53</v>
      </c>
      <c r="G43" s="1204" t="s">
        <v>178</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179</v>
      </c>
    </row>
    <row r="44" spans="1:32" ht="24.75" customHeight="1">
      <c r="A44" s="1253" t="s">
        <v>180</v>
      </c>
      <c r="B44" s="1204" t="s">
        <v>108</v>
      </c>
      <c r="C44" s="1203">
        <v>46020</v>
      </c>
      <c r="D44" s="1203"/>
      <c r="E44" s="1203"/>
      <c r="F44" s="1204" t="s">
        <v>109</v>
      </c>
      <c r="G44" s="1204" t="s">
        <v>181</v>
      </c>
      <c r="H44" s="1205">
        <v>0</v>
      </c>
      <c r="I44" s="1205" t="s">
        <v>55</v>
      </c>
      <c r="J44" s="1205" t="s">
        <v>91</v>
      </c>
      <c r="K44" s="1205" t="s">
        <v>111</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182</v>
      </c>
    </row>
    <row r="45" spans="1:32" ht="24.75" customHeight="1">
      <c r="A45" s="1253" t="s">
        <v>183</v>
      </c>
      <c r="B45" s="1204" t="s">
        <v>108</v>
      </c>
      <c r="C45" s="1203">
        <v>46031</v>
      </c>
      <c r="D45" s="1203"/>
      <c r="E45" s="1203">
        <v>45866</v>
      </c>
      <c r="F45" s="1204" t="s">
        <v>109</v>
      </c>
      <c r="G45" s="1204" t="s">
        <v>184</v>
      </c>
      <c r="H45" s="1205">
        <v>0</v>
      </c>
      <c r="I45" s="661" t="s">
        <v>55</v>
      </c>
      <c r="J45" s="1205" t="s">
        <v>91</v>
      </c>
      <c r="K45" s="1205" t="s">
        <v>111</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185</v>
      </c>
    </row>
    <row r="46" spans="1:32" ht="24.75" customHeight="1">
      <c r="A46" s="1253" t="s">
        <v>186</v>
      </c>
      <c r="B46" s="1204" t="s">
        <v>108</v>
      </c>
      <c r="C46" s="1203"/>
      <c r="D46" s="1203"/>
      <c r="E46" s="1203"/>
      <c r="F46" s="1204" t="s">
        <v>109</v>
      </c>
      <c r="G46" s="1204" t="s">
        <v>187</v>
      </c>
      <c r="H46" s="1205">
        <v>0</v>
      </c>
      <c r="I46" s="661" t="s">
        <v>55</v>
      </c>
      <c r="J46" s="1205" t="s">
        <v>91</v>
      </c>
      <c r="K46" s="1205" t="s">
        <v>111</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188</v>
      </c>
      <c r="AF46" s="1267"/>
    </row>
    <row r="47" spans="1:32" ht="24.75" customHeight="1">
      <c r="A47" s="1202" t="s">
        <v>189</v>
      </c>
      <c r="B47" s="1204" t="s">
        <v>108</v>
      </c>
      <c r="C47" s="1203">
        <v>46010</v>
      </c>
      <c r="D47" s="1203" t="s">
        <v>140</v>
      </c>
      <c r="E47" s="1203">
        <v>46007</v>
      </c>
      <c r="F47" s="1204" t="s">
        <v>109</v>
      </c>
      <c r="G47" s="1204" t="s">
        <v>190</v>
      </c>
      <c r="H47" s="1205">
        <v>0</v>
      </c>
      <c r="I47" s="661" t="s">
        <v>55</v>
      </c>
      <c r="J47" s="1205" t="s">
        <v>63</v>
      </c>
      <c r="K47" s="1205"/>
      <c r="L47" s="1203" t="s">
        <v>157</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191</v>
      </c>
      <c r="AF47" s="1267"/>
    </row>
    <row r="48" spans="1:32" ht="24.75" customHeight="1">
      <c r="A48" s="1202" t="s">
        <v>192</v>
      </c>
      <c r="B48" s="1204" t="s">
        <v>108</v>
      </c>
      <c r="C48" s="1203">
        <v>46203</v>
      </c>
      <c r="D48" s="1204" t="s">
        <v>51</v>
      </c>
      <c r="E48" s="1203"/>
      <c r="F48" s="1204" t="s">
        <v>53</v>
      </c>
      <c r="G48" s="1204" t="s">
        <v>193</v>
      </c>
      <c r="H48" s="1205">
        <v>0</v>
      </c>
      <c r="I48" s="661" t="s">
        <v>55</v>
      </c>
      <c r="J48" s="1205" t="s">
        <v>56</v>
      </c>
      <c r="K48" s="1205"/>
      <c r="L48" s="1203" t="s">
        <v>157</v>
      </c>
      <c r="M48" s="1205" t="s">
        <v>57</v>
      </c>
      <c r="N48" s="1206">
        <v>388</v>
      </c>
      <c r="O48" s="1205" t="s">
        <v>57</v>
      </c>
      <c r="P48" s="1207" t="s">
        <v>58</v>
      </c>
      <c r="Q48" s="1268" t="s">
        <v>157</v>
      </c>
      <c r="R48" s="1261"/>
      <c r="S48" s="1208"/>
      <c r="T48" s="1208"/>
      <c r="U48" s="1208"/>
      <c r="V48" s="787">
        <v>0</v>
      </c>
      <c r="W48" s="787"/>
      <c r="X48" s="1209">
        <f t="shared" si="3"/>
        <v>0</v>
      </c>
      <c r="Y48" s="662">
        <f t="shared" si="4"/>
        <v>0</v>
      </c>
      <c r="Z48" s="1246"/>
      <c r="AA48" s="1211">
        <v>0</v>
      </c>
      <c r="AB48" s="1211">
        <v>0</v>
      </c>
      <c r="AC48" s="1209">
        <v>0</v>
      </c>
      <c r="AD48" s="1243" t="s">
        <v>194</v>
      </c>
      <c r="AF48" s="1267"/>
    </row>
    <row r="49" spans="1:56" ht="24.75" customHeight="1">
      <c r="A49" s="1253" t="s">
        <v>195</v>
      </c>
      <c r="B49" s="1204" t="s">
        <v>108</v>
      </c>
      <c r="C49" s="1223">
        <v>46041</v>
      </c>
      <c r="D49" s="1203"/>
      <c r="E49" s="1203"/>
      <c r="F49" s="1204"/>
      <c r="G49" s="1204" t="s">
        <v>196</v>
      </c>
      <c r="H49" s="1205">
        <v>0</v>
      </c>
      <c r="I49" s="661" t="s">
        <v>55</v>
      </c>
      <c r="J49" s="1205" t="s">
        <v>91</v>
      </c>
      <c r="K49" s="1205" t="s">
        <v>111</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197</v>
      </c>
      <c r="AE49" s="1269"/>
      <c r="AF49" s="1267"/>
    </row>
    <row r="50" spans="1:56" ht="24.75" customHeight="1">
      <c r="A50" s="1253" t="s">
        <v>198</v>
      </c>
      <c r="B50" s="1204" t="s">
        <v>108</v>
      </c>
      <c r="C50" s="1203"/>
      <c r="D50" s="1203"/>
      <c r="E50" s="1203"/>
      <c r="F50" s="1204"/>
      <c r="G50" s="1204"/>
      <c r="H50" s="1205">
        <v>0</v>
      </c>
      <c r="I50" s="1205" t="s">
        <v>55</v>
      </c>
      <c r="J50" s="1205" t="s">
        <v>91</v>
      </c>
      <c r="K50" s="1205" t="s">
        <v>102</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199</v>
      </c>
      <c r="AE50" s="1269"/>
      <c r="AF50" s="1267"/>
    </row>
    <row r="51" spans="1:56" ht="24.75" customHeight="1">
      <c r="A51" s="1202" t="s">
        <v>200</v>
      </c>
      <c r="B51" s="681" t="s">
        <v>108</v>
      </c>
      <c r="C51" s="1203">
        <v>46015</v>
      </c>
      <c r="D51" s="1203" t="s">
        <v>201</v>
      </c>
      <c r="E51" s="1203">
        <v>45965</v>
      </c>
      <c r="F51" s="1204" t="s">
        <v>109</v>
      </c>
      <c r="G51" s="1204" t="s">
        <v>202</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203</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204</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205</v>
      </c>
      <c r="B55" s="830" t="s">
        <v>206</v>
      </c>
      <c r="C55" s="1203">
        <v>46039</v>
      </c>
      <c r="D55" s="1203" t="s">
        <v>85</v>
      </c>
      <c r="E55" s="1203">
        <v>45966</v>
      </c>
      <c r="F55" s="1203" t="s">
        <v>207</v>
      </c>
      <c r="G55" s="1204" t="s">
        <v>208</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209</v>
      </c>
      <c r="AE55" s="1269"/>
      <c r="AF55" s="1267"/>
    </row>
    <row r="56" spans="1:56" ht="24.75" customHeight="1">
      <c r="A56" s="1202" t="s">
        <v>210</v>
      </c>
      <c r="B56" s="830" t="s">
        <v>206</v>
      </c>
      <c r="C56" s="1203">
        <v>46039</v>
      </c>
      <c r="D56" s="1203" t="s">
        <v>85</v>
      </c>
      <c r="E56" s="1203">
        <v>45966</v>
      </c>
      <c r="F56" s="1203" t="s">
        <v>207</v>
      </c>
      <c r="G56" s="1204" t="s">
        <v>211</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212</v>
      </c>
      <c r="AE56" s="1269"/>
      <c r="AF56" s="1267"/>
    </row>
    <row r="57" spans="1:56" ht="24.75" customHeight="1">
      <c r="A57" s="1202" t="s">
        <v>213</v>
      </c>
      <c r="B57" s="830" t="s">
        <v>206</v>
      </c>
      <c r="C57" s="1203">
        <v>45987</v>
      </c>
      <c r="D57" s="1224" t="s">
        <v>51</v>
      </c>
      <c r="E57" s="1223"/>
      <c r="F57" s="1224" t="s">
        <v>53</v>
      </c>
      <c r="G57" s="1224" t="s">
        <v>214</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215</v>
      </c>
      <c r="AE57" s="1269"/>
      <c r="AF57" s="1267"/>
    </row>
    <row r="58" spans="1:56" ht="24.75" customHeight="1">
      <c r="A58" s="1202" t="s">
        <v>216</v>
      </c>
      <c r="B58" s="830" t="s">
        <v>206</v>
      </c>
      <c r="C58" s="1344">
        <v>46053</v>
      </c>
      <c r="D58" s="1345" t="s">
        <v>217</v>
      </c>
      <c r="E58" s="1346"/>
      <c r="F58" s="1345"/>
      <c r="G58" s="1224"/>
      <c r="H58" s="1225">
        <v>0</v>
      </c>
      <c r="I58" s="661" t="s">
        <v>55</v>
      </c>
      <c r="J58" s="1462"/>
      <c r="K58" s="1462"/>
      <c r="L58" s="1344"/>
      <c r="M58" s="1225" t="s">
        <v>57</v>
      </c>
      <c r="N58" s="1468">
        <v>1035</v>
      </c>
      <c r="O58" s="1225" t="s">
        <v>57</v>
      </c>
      <c r="P58" s="1238" t="s">
        <v>58</v>
      </c>
      <c r="Q58" s="1469"/>
      <c r="R58" s="1469"/>
      <c r="S58" s="1469"/>
      <c r="T58" s="1469"/>
      <c r="U58" s="1469"/>
      <c r="V58" s="1470">
        <v>0</v>
      </c>
      <c r="W58" s="1466"/>
      <c r="X58" s="1466">
        <f>SUM(V58-W58)</f>
        <v>0</v>
      </c>
      <c r="Y58" s="662">
        <f>IFERROR($W58/$V58, 0)</f>
        <v>0</v>
      </c>
      <c r="Z58" s="1471"/>
      <c r="AA58" s="1211">
        <v>0</v>
      </c>
      <c r="AB58" s="1211">
        <v>0</v>
      </c>
      <c r="AC58" s="1229">
        <v>0</v>
      </c>
      <c r="AD58" s="1212" t="s">
        <v>218</v>
      </c>
      <c r="AE58" s="1269"/>
      <c r="AF58" s="1267"/>
    </row>
    <row r="59" spans="1:56" ht="24.75" customHeight="1">
      <c r="A59" s="1202" t="s">
        <v>219</v>
      </c>
      <c r="B59" s="830" t="s">
        <v>206</v>
      </c>
      <c r="C59" s="1203">
        <v>46045</v>
      </c>
      <c r="D59" s="1203" t="s">
        <v>220</v>
      </c>
      <c r="E59" s="1203">
        <v>45980</v>
      </c>
      <c r="F59" s="1203" t="s">
        <v>221</v>
      </c>
      <c r="G59" s="1204" t="s">
        <v>222</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223</v>
      </c>
      <c r="AE59" s="1269"/>
    </row>
    <row r="60" spans="1:56" ht="24.75" customHeight="1">
      <c r="A60" s="1202" t="s">
        <v>224</v>
      </c>
      <c r="B60" s="830" t="s">
        <v>206</v>
      </c>
      <c r="C60" s="1203">
        <v>46045</v>
      </c>
      <c r="D60" s="1203"/>
      <c r="E60" s="1203"/>
      <c r="F60" s="1203"/>
      <c r="G60" s="1204" t="s">
        <v>225</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226</v>
      </c>
      <c r="AE60" s="1269"/>
    </row>
    <row r="61" spans="1:56" ht="24.75" customHeight="1">
      <c r="A61" s="1202" t="s">
        <v>227</v>
      </c>
      <c r="B61" s="830" t="s">
        <v>206</v>
      </c>
      <c r="C61" s="1203">
        <v>45999</v>
      </c>
      <c r="D61" s="1223" t="s">
        <v>85</v>
      </c>
      <c r="E61" s="1223">
        <v>45959</v>
      </c>
      <c r="F61" s="1224" t="s">
        <v>207</v>
      </c>
      <c r="G61" s="1223" t="s">
        <v>228</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229</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230</v>
      </c>
      <c r="B62" s="830" t="s">
        <v>206</v>
      </c>
      <c r="C62" s="1203">
        <v>45999</v>
      </c>
      <c r="D62" s="1223" t="s">
        <v>231</v>
      </c>
      <c r="E62" s="1223">
        <v>45964</v>
      </c>
      <c r="F62" s="1224" t="s">
        <v>232</v>
      </c>
      <c r="G62" s="1223" t="s">
        <v>233</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234</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235</v>
      </c>
      <c r="B63" s="830" t="s">
        <v>206</v>
      </c>
      <c r="C63" s="1203">
        <v>45999</v>
      </c>
      <c r="D63" s="1223" t="s">
        <v>220</v>
      </c>
      <c r="E63" s="1223">
        <v>45975</v>
      </c>
      <c r="F63" s="1224" t="s">
        <v>221</v>
      </c>
      <c r="G63" s="1223" t="s">
        <v>236</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237</v>
      </c>
      <c r="AE63" s="1272"/>
    </row>
    <row r="64" spans="1:56" ht="24.75" customHeight="1">
      <c r="A64" s="1253" t="s">
        <v>238</v>
      </c>
      <c r="B64" s="830" t="s">
        <v>206</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239</v>
      </c>
      <c r="AE64" s="1272"/>
    </row>
    <row r="65" spans="1:31" ht="24.75" customHeight="1">
      <c r="A65" s="1253" t="s">
        <v>240</v>
      </c>
      <c r="B65" s="830" t="s">
        <v>206</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241</v>
      </c>
      <c r="AE65" s="1272"/>
    </row>
    <row r="66" spans="1:31" ht="24.75" customHeight="1">
      <c r="A66" s="1253" t="s">
        <v>242</v>
      </c>
      <c r="B66" s="830" t="s">
        <v>206</v>
      </c>
      <c r="C66" s="1223">
        <v>46171</v>
      </c>
      <c r="D66" s="1223"/>
      <c r="E66" s="1223"/>
      <c r="F66" s="1224"/>
      <c r="G66" s="1223" t="s">
        <v>243</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244</v>
      </c>
      <c r="AE66" s="1272"/>
    </row>
    <row r="67" spans="1:31" ht="24.75" customHeight="1">
      <c r="A67" s="1253" t="s">
        <v>245</v>
      </c>
      <c r="B67" s="830" t="s">
        <v>206</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246</v>
      </c>
      <c r="AE67" s="1272"/>
    </row>
    <row r="68" spans="1:31" ht="24.75" customHeight="1">
      <c r="A68" s="1253" t="s">
        <v>247</v>
      </c>
      <c r="B68" s="830" t="s">
        <v>206</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248</v>
      </c>
      <c r="AE68" s="1272"/>
    </row>
    <row r="69" spans="1:31" ht="24.75" customHeight="1">
      <c r="A69" s="1253" t="s">
        <v>249</v>
      </c>
      <c r="B69" s="830" t="s">
        <v>206</v>
      </c>
      <c r="C69" s="1223">
        <v>46171</v>
      </c>
      <c r="D69" s="1223"/>
      <c r="E69" s="1223"/>
      <c r="F69" s="1224"/>
      <c r="G69" s="1223" t="s">
        <v>250</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248</v>
      </c>
      <c r="AE69" s="1272"/>
    </row>
    <row r="70" spans="1:31" ht="24.75" customHeight="1">
      <c r="A70" s="1253" t="s">
        <v>251</v>
      </c>
      <c r="B70" s="830" t="s">
        <v>206</v>
      </c>
      <c r="C70" s="1223">
        <v>46171</v>
      </c>
      <c r="D70" s="1223"/>
      <c r="E70" s="1223"/>
      <c r="F70" s="1224"/>
      <c r="G70" s="1223" t="s">
        <v>252</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248</v>
      </c>
      <c r="AE70" s="1272"/>
    </row>
    <row r="71" spans="1:31" ht="24.75" customHeight="1">
      <c r="A71" s="1253" t="s">
        <v>253</v>
      </c>
      <c r="B71" s="830" t="s">
        <v>206</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241</v>
      </c>
      <c r="AE71" s="1272"/>
    </row>
    <row r="72" spans="1:31" ht="24.75" customHeight="1">
      <c r="A72" s="1343" t="s">
        <v>254</v>
      </c>
      <c r="B72" s="830" t="s">
        <v>206</v>
      </c>
      <c r="C72" s="1344">
        <v>46052</v>
      </c>
      <c r="D72" s="1346"/>
      <c r="E72" s="1346"/>
      <c r="F72" s="1345"/>
      <c r="G72" s="1223"/>
      <c r="H72" s="1472"/>
      <c r="I72" s="828" t="s">
        <v>55</v>
      </c>
      <c r="J72" s="831" t="s">
        <v>63</v>
      </c>
      <c r="K72" s="1462"/>
      <c r="L72" s="1346"/>
      <c r="M72" s="828" t="s">
        <v>57</v>
      </c>
      <c r="N72" s="1468">
        <v>36998.550000000003</v>
      </c>
      <c r="O72" s="828" t="s">
        <v>57</v>
      </c>
      <c r="P72" s="1238" t="s">
        <v>58</v>
      </c>
      <c r="Q72" s="1469"/>
      <c r="R72" s="1469"/>
      <c r="S72" s="1469"/>
      <c r="T72" s="1469"/>
      <c r="U72" s="1469"/>
      <c r="V72" s="1470">
        <v>2944</v>
      </c>
      <c r="W72" s="1466"/>
      <c r="X72" s="1466">
        <f>SUM(V72-W72)</f>
        <v>2944</v>
      </c>
      <c r="Y72" s="662">
        <f>IFERROR($W72/$V72, 0)</f>
        <v>0</v>
      </c>
      <c r="Z72" s="1471"/>
      <c r="AA72" s="1211">
        <v>0</v>
      </c>
      <c r="AB72" s="1211">
        <v>0</v>
      </c>
      <c r="AC72" s="645">
        <v>0</v>
      </c>
      <c r="AD72" s="1212"/>
      <c r="AE72" s="1272"/>
    </row>
    <row r="73" spans="1:31" ht="24.75" customHeight="1">
      <c r="A73" s="1253" t="s">
        <v>255</v>
      </c>
      <c r="B73" s="830" t="s">
        <v>206</v>
      </c>
      <c r="C73" s="1203">
        <v>46112</v>
      </c>
      <c r="D73" s="1223"/>
      <c r="E73" s="1223"/>
      <c r="F73" s="1224"/>
      <c r="G73" s="1223" t="s">
        <v>256</v>
      </c>
      <c r="H73" s="1225">
        <v>0</v>
      </c>
      <c r="I73" s="1205" t="s">
        <v>55</v>
      </c>
      <c r="J73" s="1205" t="s">
        <v>91</v>
      </c>
      <c r="K73" s="1205" t="s">
        <v>111</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257</v>
      </c>
      <c r="AE73" s="1272"/>
    </row>
    <row r="74" spans="1:31" ht="24.75" customHeight="1">
      <c r="A74" s="1202" t="s">
        <v>258</v>
      </c>
      <c r="B74" s="830" t="s">
        <v>206</v>
      </c>
      <c r="C74" s="1203">
        <v>46112</v>
      </c>
      <c r="D74" s="1223"/>
      <c r="E74" s="1223"/>
      <c r="F74" s="1224"/>
      <c r="G74" s="1223" t="s">
        <v>259</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260</v>
      </c>
      <c r="AE74" s="1272"/>
    </row>
    <row r="75" spans="1:31" ht="24.75" customHeight="1">
      <c r="A75" s="1202" t="s">
        <v>261</v>
      </c>
      <c r="B75" s="830" t="s">
        <v>206</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262</v>
      </c>
      <c r="AE75" s="1272"/>
    </row>
    <row r="76" spans="1:31" ht="24.75" customHeight="1">
      <c r="A76" s="1202" t="s">
        <v>263</v>
      </c>
      <c r="B76" s="830" t="s">
        <v>206</v>
      </c>
      <c r="C76" s="1203">
        <v>46040</v>
      </c>
      <c r="D76" s="1224" t="s">
        <v>264</v>
      </c>
      <c r="E76" s="1223">
        <v>45867</v>
      </c>
      <c r="F76" s="1224" t="s">
        <v>232</v>
      </c>
      <c r="G76" s="1224" t="s">
        <v>265</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266</v>
      </c>
      <c r="AE76" s="1272"/>
    </row>
    <row r="77" spans="1:31" ht="24.75" customHeight="1">
      <c r="A77" s="1271" t="s">
        <v>267</v>
      </c>
      <c r="B77" s="830" t="s">
        <v>206</v>
      </c>
      <c r="C77" s="1223">
        <v>46011</v>
      </c>
      <c r="D77" s="1224" t="s">
        <v>231</v>
      </c>
      <c r="E77" s="1223">
        <v>45923</v>
      </c>
      <c r="F77" s="1224" t="s">
        <v>232</v>
      </c>
      <c r="G77" s="1224" t="s">
        <v>268</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46">
        <v>8936</v>
      </c>
      <c r="X77" s="1209">
        <f>SUM(V77-W77)</f>
        <v>2214</v>
      </c>
      <c r="Y77" s="662">
        <f>IFERROR($W77/$V77, 0)</f>
        <v>0.80143497757847537</v>
      </c>
      <c r="Z77" s="1228">
        <v>46027</v>
      </c>
      <c r="AA77" s="1211">
        <v>0</v>
      </c>
      <c r="AB77" s="1211">
        <v>0</v>
      </c>
      <c r="AC77" s="1229">
        <v>0</v>
      </c>
      <c r="AD77" s="1243" t="s">
        <v>269</v>
      </c>
      <c r="AE77" s="1272"/>
    </row>
    <row r="78" spans="1:31" ht="24.75" customHeight="1">
      <c r="A78" s="1202" t="s">
        <v>270</v>
      </c>
      <c r="B78" s="830" t="s">
        <v>206</v>
      </c>
      <c r="C78" s="1203">
        <v>46112</v>
      </c>
      <c r="D78" s="1224"/>
      <c r="E78" s="1223"/>
      <c r="F78" s="1224"/>
      <c r="G78" s="1224" t="s">
        <v>271</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272</v>
      </c>
      <c r="AE78" s="1272"/>
    </row>
    <row r="79" spans="1:31" ht="24.75" customHeight="1">
      <c r="A79" s="1202" t="s">
        <v>273</v>
      </c>
      <c r="B79" s="830" t="s">
        <v>206</v>
      </c>
      <c r="C79" s="1203">
        <v>46040</v>
      </c>
      <c r="D79" s="1224"/>
      <c r="E79" s="1223"/>
      <c r="F79" s="1224"/>
      <c r="G79" s="1224" t="s">
        <v>274</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275</v>
      </c>
      <c r="AE79" s="1272"/>
    </row>
    <row r="80" spans="1:31" ht="24.75" customHeight="1">
      <c r="A80" s="1202" t="s">
        <v>276</v>
      </c>
      <c r="B80" s="830" t="s">
        <v>206</v>
      </c>
      <c r="C80" s="1203">
        <v>46040</v>
      </c>
      <c r="D80" s="1224"/>
      <c r="E80" s="1223"/>
      <c r="F80" s="1224"/>
      <c r="G80" s="1224" t="s">
        <v>277</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278</v>
      </c>
      <c r="AE80" s="1272"/>
    </row>
    <row r="81" spans="1:31" ht="24.75" customHeight="1">
      <c r="A81" s="1202" t="s">
        <v>279</v>
      </c>
      <c r="B81" s="830" t="s">
        <v>206</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280</v>
      </c>
      <c r="AE81" s="1272"/>
    </row>
    <row r="82" spans="1:31" ht="24.75" customHeight="1">
      <c r="A82" s="1202" t="s">
        <v>281</v>
      </c>
      <c r="B82" s="830" t="s">
        <v>206</v>
      </c>
      <c r="C82" s="1203">
        <v>46053</v>
      </c>
      <c r="D82" s="1345"/>
      <c r="E82" s="1346"/>
      <c r="F82" s="1345"/>
      <c r="G82" s="1224"/>
      <c r="H82" s="1225">
        <v>0</v>
      </c>
      <c r="I82" s="828" t="s">
        <v>55</v>
      </c>
      <c r="J82" s="1225" t="s">
        <v>63</v>
      </c>
      <c r="K82" s="1462"/>
      <c r="L82" s="1346"/>
      <c r="M82" s="1225" t="s">
        <v>57</v>
      </c>
      <c r="N82" s="1468">
        <v>118710.8</v>
      </c>
      <c r="O82" s="1225" t="s">
        <v>57</v>
      </c>
      <c r="P82" s="1207" t="s">
        <v>58</v>
      </c>
      <c r="Q82" s="1469"/>
      <c r="R82" s="1469"/>
      <c r="S82" s="1469"/>
      <c r="T82" s="1469"/>
      <c r="U82" s="1469"/>
      <c r="V82" s="1470">
        <v>9628</v>
      </c>
      <c r="W82" s="1466"/>
      <c r="X82" s="1466">
        <f>SUM(V82-W82)</f>
        <v>9628</v>
      </c>
      <c r="Y82" s="662">
        <f>IFERROR($W82/$V82, 0)</f>
        <v>0</v>
      </c>
      <c r="Z82" s="1469"/>
      <c r="AA82" s="1211">
        <v>0</v>
      </c>
      <c r="AB82" s="1211">
        <v>0</v>
      </c>
      <c r="AC82" s="1229">
        <v>0</v>
      </c>
      <c r="AD82" s="1212"/>
      <c r="AE82" s="1272"/>
    </row>
    <row r="83" spans="1:31" ht="24.75" customHeight="1">
      <c r="A83" s="1202" t="s">
        <v>282</v>
      </c>
      <c r="B83" s="830" t="s">
        <v>206</v>
      </c>
      <c r="C83" s="1203">
        <v>46045</v>
      </c>
      <c r="D83" s="1224"/>
      <c r="E83" s="1223"/>
      <c r="F83" s="1224"/>
      <c r="G83" s="1224" t="s">
        <v>283</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284</v>
      </c>
      <c r="AE83" s="1272"/>
    </row>
    <row r="84" spans="1:31" ht="24.75" customHeight="1">
      <c r="A84" s="1253" t="s">
        <v>285</v>
      </c>
      <c r="B84" s="830" t="s">
        <v>206</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286</v>
      </c>
      <c r="B85" s="830" t="s">
        <v>206</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239</v>
      </c>
      <c r="AE85" s="1272"/>
    </row>
    <row r="86" spans="1:31" ht="24.75" customHeight="1">
      <c r="A86" s="1253" t="s">
        <v>287</v>
      </c>
      <c r="B86" s="830" t="s">
        <v>206</v>
      </c>
      <c r="C86" s="1223">
        <v>46030</v>
      </c>
      <c r="D86" s="1224"/>
      <c r="E86" s="1223"/>
      <c r="F86" s="1224"/>
      <c r="G86" s="1224" t="s">
        <v>288</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289</v>
      </c>
      <c r="AE86" s="1272"/>
    </row>
    <row r="87" spans="1:31" ht="24.75" customHeight="1">
      <c r="A87" s="1202" t="s">
        <v>290</v>
      </c>
      <c r="B87" s="830" t="s">
        <v>206</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291</v>
      </c>
      <c r="B88" s="830" t="s">
        <v>206</v>
      </c>
      <c r="C88" s="1203">
        <v>46040</v>
      </c>
      <c r="D88" s="1345" t="s">
        <v>60</v>
      </c>
      <c r="E88" s="1346">
        <v>46027</v>
      </c>
      <c r="F88" s="1345" t="s">
        <v>232</v>
      </c>
      <c r="G88" s="1224"/>
      <c r="H88" s="1472">
        <v>109</v>
      </c>
      <c r="I88" s="828" t="s">
        <v>55</v>
      </c>
      <c r="J88" s="831" t="s">
        <v>63</v>
      </c>
      <c r="K88" s="1462"/>
      <c r="L88" s="1346">
        <v>45663</v>
      </c>
      <c r="M88" s="1472" t="s">
        <v>92</v>
      </c>
      <c r="N88" s="1468"/>
      <c r="O88" s="1472" t="s">
        <v>57</v>
      </c>
      <c r="P88" s="1473" t="s">
        <v>64</v>
      </c>
      <c r="Q88" s="1469">
        <v>46008</v>
      </c>
      <c r="R88" s="1469"/>
      <c r="S88" s="1469"/>
      <c r="T88" s="1469"/>
      <c r="U88" s="1469"/>
      <c r="V88" s="1470">
        <v>6825</v>
      </c>
      <c r="W88" s="1474">
        <v>607</v>
      </c>
      <c r="X88" s="1466">
        <f>SUM(V88-W88)</f>
        <v>6218</v>
      </c>
      <c r="Y88" s="662">
        <f>IFERROR($W88/$V88, 0)</f>
        <v>8.8937728937728944E-2</v>
      </c>
      <c r="Z88" s="1469">
        <v>46034</v>
      </c>
      <c r="AA88" s="1211">
        <v>0</v>
      </c>
      <c r="AB88" s="1211">
        <v>0</v>
      </c>
      <c r="AC88" s="1229">
        <v>0</v>
      </c>
      <c r="AD88" s="1212" t="s">
        <v>292</v>
      </c>
      <c r="AE88" s="1272"/>
    </row>
    <row r="89" spans="1:31" ht="24.75" customHeight="1">
      <c r="A89" s="1202" t="s">
        <v>293</v>
      </c>
      <c r="B89" s="830" t="s">
        <v>294</v>
      </c>
      <c r="C89" s="1203">
        <v>46040</v>
      </c>
      <c r="D89" s="1224" t="s">
        <v>231</v>
      </c>
      <c r="E89" s="1223"/>
      <c r="F89" s="1224" t="s">
        <v>221</v>
      </c>
      <c r="G89" s="1224" t="s">
        <v>295</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296</v>
      </c>
      <c r="AE89" s="1272"/>
    </row>
    <row r="90" spans="1:31" ht="24.75" customHeight="1">
      <c r="A90" s="1202" t="s">
        <v>297</v>
      </c>
      <c r="B90" s="830" t="s">
        <v>294</v>
      </c>
      <c r="C90" s="1203">
        <v>46040</v>
      </c>
      <c r="D90" s="1224" t="s">
        <v>85</v>
      </c>
      <c r="E90" s="1223">
        <v>46001</v>
      </c>
      <c r="F90" s="1224" t="s">
        <v>221</v>
      </c>
      <c r="G90" s="1224" t="s">
        <v>298</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299</v>
      </c>
      <c r="AE90" s="1272"/>
    </row>
    <row r="91" spans="1:31" ht="24.75" customHeight="1">
      <c r="A91" s="1202" t="s">
        <v>300</v>
      </c>
      <c r="B91" s="830" t="s">
        <v>294</v>
      </c>
      <c r="C91" s="1203">
        <v>46040</v>
      </c>
      <c r="D91" s="1224" t="s">
        <v>231</v>
      </c>
      <c r="E91" s="1223"/>
      <c r="F91" s="1224" t="s">
        <v>221</v>
      </c>
      <c r="G91" s="1224" t="s">
        <v>301</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302</v>
      </c>
      <c r="AE91" s="1272"/>
    </row>
    <row r="92" spans="1:31" ht="24.75" customHeight="1">
      <c r="A92" s="1202" t="s">
        <v>303</v>
      </c>
      <c r="B92" s="830" t="s">
        <v>294</v>
      </c>
      <c r="C92" s="1203">
        <v>46040</v>
      </c>
      <c r="D92" s="1224"/>
      <c r="E92" s="1223"/>
      <c r="F92" s="1224"/>
      <c r="G92" s="1224" t="s">
        <v>304</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305</v>
      </c>
      <c r="AE92" s="1272"/>
    </row>
    <row r="93" spans="1:31" ht="24.75" customHeight="1">
      <c r="A93" s="1416" t="s">
        <v>306</v>
      </c>
      <c r="B93" s="1016" t="s">
        <v>294</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307</v>
      </c>
      <c r="B94" s="1016" t="s">
        <v>294</v>
      </c>
      <c r="C94" s="1418">
        <v>46171</v>
      </c>
      <c r="D94" s="1278" t="s">
        <v>85</v>
      </c>
      <c r="E94" s="1279"/>
      <c r="F94" s="1278" t="s">
        <v>221</v>
      </c>
      <c r="G94" s="1278" t="s">
        <v>308</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305</v>
      </c>
      <c r="AE94" s="1272"/>
    </row>
    <row r="95" spans="1:31" ht="24.75" customHeight="1">
      <c r="A95" s="1433" t="s">
        <v>309</v>
      </c>
      <c r="B95" s="1016" t="s">
        <v>294</v>
      </c>
      <c r="C95" s="1419">
        <v>46051</v>
      </c>
      <c r="D95" s="1345"/>
      <c r="E95" s="1346"/>
      <c r="F95" s="1345"/>
      <c r="G95" s="1224"/>
      <c r="H95" s="1472">
        <v>0</v>
      </c>
      <c r="I95" s="828" t="s">
        <v>55</v>
      </c>
      <c r="J95" s="1205" t="s">
        <v>91</v>
      </c>
      <c r="K95" s="1205" t="s">
        <v>76</v>
      </c>
      <c r="L95" s="1346"/>
      <c r="M95" s="1225" t="s">
        <v>92</v>
      </c>
      <c r="N95" s="1236"/>
      <c r="O95" s="1225" t="s">
        <v>92</v>
      </c>
      <c r="P95" s="1238" t="s">
        <v>58</v>
      </c>
      <c r="Q95" s="1469"/>
      <c r="R95" s="1469"/>
      <c r="S95" s="1469"/>
      <c r="T95" s="1469"/>
      <c r="U95" s="1469"/>
      <c r="V95" s="1470">
        <v>6202</v>
      </c>
      <c r="W95" s="1466"/>
      <c r="X95" s="1466">
        <f>SUM(V95-W95)</f>
        <v>6202</v>
      </c>
      <c r="Y95" s="662">
        <f>IFERROR($W95/$V95, 0)</f>
        <v>0</v>
      </c>
      <c r="Z95" s="1471"/>
      <c r="AA95" s="1286">
        <v>0</v>
      </c>
      <c r="AB95" s="1286">
        <v>0</v>
      </c>
      <c r="AC95" s="1285">
        <v>0</v>
      </c>
      <c r="AD95" s="1212" t="s">
        <v>310</v>
      </c>
      <c r="AE95" s="1272"/>
    </row>
    <row r="96" spans="1:31" ht="24.75" customHeight="1">
      <c r="A96" s="1434" t="s">
        <v>311</v>
      </c>
      <c r="B96" s="1016" t="s">
        <v>294</v>
      </c>
      <c r="C96" s="1419">
        <v>46051</v>
      </c>
      <c r="D96" s="1345"/>
      <c r="E96" s="1346"/>
      <c r="F96" s="1345"/>
      <c r="G96" s="1224"/>
      <c r="H96" s="1472">
        <v>0</v>
      </c>
      <c r="I96" s="828" t="s">
        <v>55</v>
      </c>
      <c r="J96" s="1205" t="s">
        <v>91</v>
      </c>
      <c r="K96" s="1205" t="s">
        <v>76</v>
      </c>
      <c r="L96" s="1346"/>
      <c r="M96" s="1225" t="s">
        <v>92</v>
      </c>
      <c r="N96" s="1236"/>
      <c r="O96" s="1225" t="s">
        <v>92</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310</v>
      </c>
      <c r="AE96" s="1272"/>
    </row>
    <row r="97" spans="1:31" ht="24.75" customHeight="1">
      <c r="A97" s="1434" t="s">
        <v>312</v>
      </c>
      <c r="B97" s="1016" t="s">
        <v>294</v>
      </c>
      <c r="C97" s="1419">
        <v>46051</v>
      </c>
      <c r="D97" s="1345"/>
      <c r="E97" s="1346"/>
      <c r="F97" s="1345"/>
      <c r="G97" s="1224"/>
      <c r="H97" s="1472">
        <v>0</v>
      </c>
      <c r="I97" s="828" t="s">
        <v>55</v>
      </c>
      <c r="J97" s="1205" t="s">
        <v>91</v>
      </c>
      <c r="K97" s="1205" t="s">
        <v>76</v>
      </c>
      <c r="L97" s="1346"/>
      <c r="M97" s="1225" t="s">
        <v>92</v>
      </c>
      <c r="N97" s="1236"/>
      <c r="O97" s="1225" t="s">
        <v>92</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310</v>
      </c>
      <c r="AE97" s="1272"/>
    </row>
    <row r="98" spans="1:31" ht="24.75" customHeight="1">
      <c r="A98" s="1434" t="s">
        <v>313</v>
      </c>
      <c r="B98" s="1016" t="s">
        <v>294</v>
      </c>
      <c r="C98" s="1419">
        <v>46051</v>
      </c>
      <c r="D98" s="1345"/>
      <c r="E98" s="1346"/>
      <c r="F98" s="1345"/>
      <c r="G98" s="1224"/>
      <c r="H98" s="1472">
        <v>0</v>
      </c>
      <c r="I98" s="828" t="s">
        <v>55</v>
      </c>
      <c r="J98" s="1205" t="s">
        <v>91</v>
      </c>
      <c r="K98" s="1205" t="s">
        <v>76</v>
      </c>
      <c r="L98" s="1346"/>
      <c r="M98" s="1225" t="s">
        <v>92</v>
      </c>
      <c r="N98" s="1236"/>
      <c r="O98" s="1225" t="s">
        <v>92</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310</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314</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315</v>
      </c>
      <c r="B102" s="1149" t="s">
        <v>316</v>
      </c>
      <c r="C102" s="1388">
        <v>46052</v>
      </c>
      <c r="D102" s="975" t="s">
        <v>128</v>
      </c>
      <c r="E102" s="1293">
        <v>45959</v>
      </c>
      <c r="F102" s="1294" t="s">
        <v>317</v>
      </c>
      <c r="G102" s="1294" t="s">
        <v>318</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319</v>
      </c>
      <c r="AE102" s="1267"/>
    </row>
    <row r="103" spans="1:31" ht="24.75" customHeight="1">
      <c r="A103" s="1316" t="s">
        <v>320</v>
      </c>
      <c r="B103" s="1149" t="s">
        <v>316</v>
      </c>
      <c r="C103" s="1388">
        <v>46052</v>
      </c>
      <c r="D103" s="975" t="s">
        <v>128</v>
      </c>
      <c r="E103" s="1293">
        <v>45993</v>
      </c>
      <c r="F103" s="1294" t="s">
        <v>162</v>
      </c>
      <c r="G103" s="1294" t="s">
        <v>321</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322</v>
      </c>
      <c r="AE103" s="1267"/>
    </row>
    <row r="104" spans="1:31" ht="24.75" customHeight="1">
      <c r="A104" s="1328" t="s">
        <v>323</v>
      </c>
      <c r="B104" s="1149" t="s">
        <v>316</v>
      </c>
      <c r="C104" s="1388">
        <v>46052</v>
      </c>
      <c r="D104" s="975" t="s">
        <v>128</v>
      </c>
      <c r="E104" s="1293">
        <v>45959</v>
      </c>
      <c r="F104" s="1294" t="s">
        <v>162</v>
      </c>
      <c r="G104" s="1294" t="s">
        <v>324</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325</v>
      </c>
      <c r="AE104" s="1267"/>
    </row>
    <row r="105" spans="1:31" ht="24.75" customHeight="1">
      <c r="A105" s="1328" t="s">
        <v>326</v>
      </c>
      <c r="B105" s="1149" t="s">
        <v>316</v>
      </c>
      <c r="C105" s="1388">
        <v>46052</v>
      </c>
      <c r="D105" s="975" t="s">
        <v>128</v>
      </c>
      <c r="E105" s="1293">
        <v>45987</v>
      </c>
      <c r="F105" s="1294" t="s">
        <v>162</v>
      </c>
      <c r="G105" s="1294" t="s">
        <v>327</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328</v>
      </c>
      <c r="AE105" s="1267"/>
    </row>
    <row r="106" spans="1:31" ht="24.75" customHeight="1">
      <c r="A106" s="1328" t="s">
        <v>329</v>
      </c>
      <c r="B106" s="1149" t="s">
        <v>316</v>
      </c>
      <c r="C106" s="1388">
        <v>46052</v>
      </c>
      <c r="D106" s="975" t="s">
        <v>128</v>
      </c>
      <c r="E106" s="1293">
        <v>45987</v>
      </c>
      <c r="F106" s="1294" t="s">
        <v>162</v>
      </c>
      <c r="G106" s="1294" t="s">
        <v>330</v>
      </c>
      <c r="H106" s="1295">
        <v>76</v>
      </c>
      <c r="I106" s="976" t="s">
        <v>55</v>
      </c>
      <c r="J106" s="1280" t="s">
        <v>63</v>
      </c>
      <c r="K106" s="1296"/>
      <c r="L106" s="1297">
        <v>45987</v>
      </c>
      <c r="M106" s="1280" t="s">
        <v>57</v>
      </c>
      <c r="N106" s="1323">
        <v>74892.5</v>
      </c>
      <c r="O106" s="1299" t="s">
        <v>57</v>
      </c>
      <c r="P106" s="1272" t="s">
        <v>331</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316</v>
      </c>
      <c r="C107" s="1388">
        <v>46052</v>
      </c>
      <c r="D107" s="975" t="s">
        <v>128</v>
      </c>
      <c r="E107" s="1293">
        <v>45987</v>
      </c>
      <c r="F107" s="1294" t="s">
        <v>162</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316</v>
      </c>
      <c r="C108" s="1388">
        <v>46052</v>
      </c>
      <c r="D108" s="975" t="s">
        <v>128</v>
      </c>
      <c r="E108" s="1293">
        <v>45987</v>
      </c>
      <c r="F108" s="1398" t="s">
        <v>162</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316</v>
      </c>
      <c r="C109" s="1388">
        <v>46052</v>
      </c>
      <c r="D109" s="1377" t="s">
        <v>128</v>
      </c>
      <c r="E109" s="1292">
        <v>45987</v>
      </c>
      <c r="F109" s="1204" t="s">
        <v>162</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316</v>
      </c>
      <c r="C110" s="1388">
        <v>46052</v>
      </c>
      <c r="D110" s="1377" t="s">
        <v>128</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316</v>
      </c>
      <c r="C111" s="1388">
        <v>46052</v>
      </c>
      <c r="D111" s="1377" t="s">
        <v>128</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8">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316</v>
      </c>
      <c r="C112" s="1388">
        <v>46052</v>
      </c>
      <c r="D112" s="1377" t="s">
        <v>128</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8">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316</v>
      </c>
      <c r="C113" s="1388">
        <v>46052</v>
      </c>
      <c r="D113" s="1377" t="s">
        <v>128</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8">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316</v>
      </c>
      <c r="C114" s="1388">
        <v>46052</v>
      </c>
      <c r="D114" s="1377" t="s">
        <v>128</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6"/>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316</v>
      </c>
      <c r="C115" s="1388">
        <v>46052</v>
      </c>
      <c r="D115" s="1377" t="s">
        <v>128</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6"/>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316</v>
      </c>
      <c r="C116" s="1388">
        <v>46052</v>
      </c>
      <c r="D116" s="1377" t="s">
        <v>128</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6"/>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316</v>
      </c>
      <c r="C117" s="1388">
        <v>46052</v>
      </c>
      <c r="D117" s="1377" t="s">
        <v>128</v>
      </c>
      <c r="E117" s="1292">
        <v>46027</v>
      </c>
      <c r="F117" s="1204" t="s">
        <v>162</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316</v>
      </c>
      <c r="C118" s="1388">
        <v>46052</v>
      </c>
      <c r="D118" s="1377" t="s">
        <v>128</v>
      </c>
      <c r="E118" s="1395">
        <v>46027</v>
      </c>
      <c r="F118" s="1204" t="s">
        <v>162</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6"/>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79"/>
      <c r="R131" s="1366"/>
      <c r="S131" s="1366"/>
      <c r="T131" s="1366"/>
      <c r="U131" s="1366"/>
      <c r="V131" s="1266">
        <v>8641</v>
      </c>
      <c r="W131" s="1476"/>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0"/>
      <c r="R132" s="1368"/>
      <c r="S132" s="1368"/>
      <c r="T132" s="1368"/>
      <c r="U132" s="1368"/>
      <c r="V132" s="1370">
        <v>7502</v>
      </c>
      <c r="W132" s="1481"/>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1"/>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206</v>
      </c>
      <c r="C2" s="467">
        <v>45960</v>
      </c>
      <c r="D2" s="467" t="s">
        <v>382</v>
      </c>
      <c r="E2" s="467">
        <v>45897</v>
      </c>
      <c r="F2" s="465" t="s">
        <v>232</v>
      </c>
      <c r="G2" s="682"/>
      <c r="H2" s="469">
        <v>0</v>
      </c>
      <c r="I2" s="661" t="s">
        <v>383</v>
      </c>
      <c r="J2" s="469" t="s">
        <v>63</v>
      </c>
      <c r="K2" s="469"/>
      <c r="L2" s="467">
        <v>45891</v>
      </c>
      <c r="M2" s="469" t="s">
        <v>57</v>
      </c>
      <c r="N2" s="542">
        <v>184994.5</v>
      </c>
      <c r="O2" s="469" t="s">
        <v>57</v>
      </c>
      <c r="P2" s="626" t="s">
        <v>331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206</v>
      </c>
      <c r="C3" s="467">
        <v>45960</v>
      </c>
      <c r="D3" s="467" t="s">
        <v>386</v>
      </c>
      <c r="E3" s="467">
        <v>45909</v>
      </c>
      <c r="F3" s="467" t="s">
        <v>207</v>
      </c>
      <c r="G3" s="682"/>
      <c r="H3" s="469">
        <v>0</v>
      </c>
      <c r="I3" s="469" t="s">
        <v>383</v>
      </c>
      <c r="J3" s="469" t="s">
        <v>63</v>
      </c>
      <c r="K3" s="469"/>
      <c r="L3" s="467">
        <v>45905</v>
      </c>
      <c r="M3" s="469" t="s">
        <v>57</v>
      </c>
      <c r="N3" s="542">
        <v>98170.1</v>
      </c>
      <c r="O3" s="469" t="s">
        <v>57</v>
      </c>
      <c r="P3" s="626" t="s">
        <v>331</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387</v>
      </c>
    </row>
    <row r="4" spans="1:30" ht="39.75" customHeight="1">
      <c r="A4" s="926" t="s">
        <v>388</v>
      </c>
      <c r="B4" s="830" t="s">
        <v>206</v>
      </c>
      <c r="C4" s="467">
        <v>45960</v>
      </c>
      <c r="D4" s="467" t="s">
        <v>85</v>
      </c>
      <c r="E4" s="467">
        <v>45905</v>
      </c>
      <c r="F4" s="467" t="s">
        <v>207</v>
      </c>
      <c r="G4" s="682"/>
      <c r="H4" s="469">
        <v>0</v>
      </c>
      <c r="I4" s="661" t="s">
        <v>383</v>
      </c>
      <c r="J4" s="469" t="s">
        <v>63</v>
      </c>
      <c r="K4" s="478"/>
      <c r="L4" s="375">
        <v>45943</v>
      </c>
      <c r="M4" s="1103" t="s">
        <v>57</v>
      </c>
      <c r="N4" s="542">
        <v>2167.3000000000002</v>
      </c>
      <c r="O4" s="469" t="s">
        <v>57</v>
      </c>
      <c r="P4" s="626" t="s">
        <v>331</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206</v>
      </c>
      <c r="C5" s="467">
        <v>45991</v>
      </c>
      <c r="D5" s="476" t="s">
        <v>220</v>
      </c>
      <c r="E5" s="476">
        <v>45950</v>
      </c>
      <c r="F5" s="475" t="s">
        <v>221</v>
      </c>
      <c r="G5" s="827"/>
      <c r="H5" s="831">
        <v>82</v>
      </c>
      <c r="I5" s="828" t="s">
        <v>383</v>
      </c>
      <c r="J5" s="831" t="s">
        <v>63</v>
      </c>
      <c r="K5" s="487"/>
      <c r="L5" s="51">
        <v>45902</v>
      </c>
      <c r="M5" s="1104" t="s">
        <v>57</v>
      </c>
      <c r="N5" s="832">
        <v>87830</v>
      </c>
      <c r="O5" s="828" t="s">
        <v>57</v>
      </c>
      <c r="P5" s="626" t="s">
        <v>331</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206</v>
      </c>
      <c r="C6" s="467">
        <v>45989</v>
      </c>
      <c r="D6" s="476" t="s">
        <v>220</v>
      </c>
      <c r="E6" s="476">
        <v>45964</v>
      </c>
      <c r="F6" s="475" t="s">
        <v>221</v>
      </c>
      <c r="G6" s="827" t="s">
        <v>394</v>
      </c>
      <c r="H6" s="831">
        <v>74</v>
      </c>
      <c r="I6" s="469" t="s">
        <v>383</v>
      </c>
      <c r="J6" s="469" t="s">
        <v>63</v>
      </c>
      <c r="K6" s="469"/>
      <c r="L6" s="51">
        <v>45932</v>
      </c>
      <c r="M6" s="1104" t="s">
        <v>57</v>
      </c>
      <c r="N6" s="832">
        <v>47064</v>
      </c>
      <c r="O6" s="828" t="s">
        <v>57</v>
      </c>
      <c r="P6" s="626" t="s">
        <v>331</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234</v>
      </c>
    </row>
    <row r="7" spans="1:30" ht="39.75" customHeight="1">
      <c r="A7" s="841" t="s">
        <v>395</v>
      </c>
      <c r="B7" s="830" t="s">
        <v>206</v>
      </c>
      <c r="C7" s="467">
        <v>45960</v>
      </c>
      <c r="D7" s="476" t="s">
        <v>220</v>
      </c>
      <c r="E7" s="476">
        <v>45930</v>
      </c>
      <c r="F7" s="475" t="s">
        <v>221</v>
      </c>
      <c r="G7" s="827"/>
      <c r="H7" s="831">
        <v>80</v>
      </c>
      <c r="I7" s="828" t="s">
        <v>383</v>
      </c>
      <c r="J7" s="831" t="s">
        <v>63</v>
      </c>
      <c r="K7" s="828"/>
      <c r="L7" s="51">
        <v>45902</v>
      </c>
      <c r="M7" s="1104" t="s">
        <v>57</v>
      </c>
      <c r="N7" s="832">
        <v>90173</v>
      </c>
      <c r="O7" s="828" t="s">
        <v>57</v>
      </c>
      <c r="P7" s="626" t="s">
        <v>331</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206</v>
      </c>
      <c r="C8" s="467">
        <v>45960</v>
      </c>
      <c r="D8" s="476" t="s">
        <v>231</v>
      </c>
      <c r="E8" s="476">
        <v>45950</v>
      </c>
      <c r="F8" s="475" t="s">
        <v>232</v>
      </c>
      <c r="G8" s="827"/>
      <c r="H8" s="831">
        <v>80</v>
      </c>
      <c r="I8" s="828" t="s">
        <v>383</v>
      </c>
      <c r="J8" s="831" t="s">
        <v>63</v>
      </c>
      <c r="K8" s="828"/>
      <c r="L8" s="1105">
        <v>45905</v>
      </c>
      <c r="M8" s="828" t="s">
        <v>57</v>
      </c>
      <c r="N8" s="832">
        <v>66674.3</v>
      </c>
      <c r="O8" s="828" t="s">
        <v>57</v>
      </c>
      <c r="P8" s="626" t="s">
        <v>331</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206</v>
      </c>
      <c r="C9" s="467">
        <v>45960</v>
      </c>
      <c r="D9" s="476" t="s">
        <v>231</v>
      </c>
      <c r="E9" s="476">
        <v>45937</v>
      </c>
      <c r="F9" s="475" t="s">
        <v>232</v>
      </c>
      <c r="G9" s="827"/>
      <c r="H9" s="831">
        <v>82</v>
      </c>
      <c r="I9" s="828" t="s">
        <v>383</v>
      </c>
      <c r="J9" s="831" t="s">
        <v>63</v>
      </c>
      <c r="K9" s="469"/>
      <c r="L9" s="476">
        <v>45903</v>
      </c>
      <c r="M9" s="828" t="s">
        <v>57</v>
      </c>
      <c r="N9" s="832">
        <v>93666.75</v>
      </c>
      <c r="O9" s="828" t="s">
        <v>57</v>
      </c>
      <c r="P9" s="626" t="s">
        <v>331</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206</v>
      </c>
      <c r="C10" s="467">
        <v>45991</v>
      </c>
      <c r="D10" s="475" t="s">
        <v>400</v>
      </c>
      <c r="E10" s="476">
        <v>45716</v>
      </c>
      <c r="F10" s="475" t="s">
        <v>221</v>
      </c>
      <c r="G10" s="477" t="s">
        <v>401</v>
      </c>
      <c r="H10" s="478">
        <v>44</v>
      </c>
      <c r="I10" s="483" t="s">
        <v>383</v>
      </c>
      <c r="J10" s="478" t="s">
        <v>63</v>
      </c>
      <c r="K10" s="478"/>
      <c r="L10" s="476">
        <v>45716</v>
      </c>
      <c r="M10" s="478" t="s">
        <v>57</v>
      </c>
      <c r="N10" s="543">
        <v>57973.5</v>
      </c>
      <c r="O10" s="478" t="s">
        <v>57</v>
      </c>
      <c r="P10" s="626" t="s">
        <v>331</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206</v>
      </c>
      <c r="C11" s="467">
        <v>45991</v>
      </c>
      <c r="D11" s="475" t="s">
        <v>220</v>
      </c>
      <c r="E11" s="476">
        <v>45880</v>
      </c>
      <c r="F11" s="475" t="s">
        <v>221</v>
      </c>
      <c r="G11" s="824" t="s">
        <v>403</v>
      </c>
      <c r="H11" s="478">
        <v>57</v>
      </c>
      <c r="I11" s="828" t="s">
        <v>383</v>
      </c>
      <c r="J11" s="478" t="s">
        <v>63</v>
      </c>
      <c r="K11" s="487"/>
      <c r="L11" s="476">
        <v>45863</v>
      </c>
      <c r="M11" s="478" t="s">
        <v>57</v>
      </c>
      <c r="N11" s="543">
        <v>49223.7</v>
      </c>
      <c r="O11" s="478" t="s">
        <v>57</v>
      </c>
      <c r="P11" s="626" t="s">
        <v>331</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206</v>
      </c>
      <c r="C12" s="467">
        <v>45991</v>
      </c>
      <c r="D12" s="475" t="s">
        <v>220</v>
      </c>
      <c r="E12" s="476">
        <v>45880</v>
      </c>
      <c r="F12" s="475" t="s">
        <v>221</v>
      </c>
      <c r="G12" s="824" t="s">
        <v>406</v>
      </c>
      <c r="H12" s="478">
        <v>75</v>
      </c>
      <c r="I12" s="828" t="s">
        <v>383</v>
      </c>
      <c r="J12" s="478" t="s">
        <v>63</v>
      </c>
      <c r="K12" s="487"/>
      <c r="L12" s="476">
        <v>45879</v>
      </c>
      <c r="M12" s="478" t="s">
        <v>57</v>
      </c>
      <c r="N12" s="543">
        <v>68151.75</v>
      </c>
      <c r="O12" s="478" t="s">
        <v>57</v>
      </c>
      <c r="P12" s="626" t="s">
        <v>331</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206</v>
      </c>
      <c r="C13" s="467">
        <v>45960</v>
      </c>
      <c r="D13" s="475" t="s">
        <v>231</v>
      </c>
      <c r="E13" s="476">
        <v>45966</v>
      </c>
      <c r="F13" s="475" t="s">
        <v>232</v>
      </c>
      <c r="G13" s="824"/>
      <c r="H13" s="478">
        <v>0</v>
      </c>
      <c r="I13" s="828" t="s">
        <v>383</v>
      </c>
      <c r="J13" s="478" t="s">
        <v>63</v>
      </c>
      <c r="K13" s="487"/>
      <c r="L13" s="476" t="s">
        <v>52</v>
      </c>
      <c r="M13" s="478" t="s">
        <v>57</v>
      </c>
      <c r="N13" s="543">
        <v>29960</v>
      </c>
      <c r="O13" s="478" t="s">
        <v>57</v>
      </c>
      <c r="P13" s="626" t="s">
        <v>331</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206</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331</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294</v>
      </c>
      <c r="C15" s="467">
        <v>46006</v>
      </c>
      <c r="D15" s="475" t="s">
        <v>231</v>
      </c>
      <c r="E15" s="476">
        <v>45987</v>
      </c>
      <c r="F15" s="475" t="s">
        <v>221</v>
      </c>
      <c r="G15" s="824" t="s">
        <v>414</v>
      </c>
      <c r="H15" s="478">
        <v>35</v>
      </c>
      <c r="I15" s="828" t="s">
        <v>383</v>
      </c>
      <c r="J15" s="478" t="s">
        <v>63</v>
      </c>
      <c r="K15" s="469"/>
      <c r="L15" s="476" t="s">
        <v>52</v>
      </c>
      <c r="M15" s="478" t="s">
        <v>57</v>
      </c>
      <c r="N15" s="543">
        <v>35942</v>
      </c>
      <c r="O15" s="478" t="s">
        <v>57</v>
      </c>
      <c r="P15" s="626" t="s">
        <v>331</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294</v>
      </c>
      <c r="C16" s="1203">
        <v>46006</v>
      </c>
      <c r="D16" s="1224" t="s">
        <v>231</v>
      </c>
      <c r="E16" s="1223">
        <v>45987</v>
      </c>
      <c r="F16" s="1224" t="s">
        <v>221</v>
      </c>
      <c r="G16" s="1224" t="s">
        <v>417</v>
      </c>
      <c r="H16" s="1225">
        <v>30</v>
      </c>
      <c r="I16" s="828" t="s">
        <v>383</v>
      </c>
      <c r="J16" s="831" t="s">
        <v>63</v>
      </c>
      <c r="K16" s="1205"/>
      <c r="L16" s="476" t="s">
        <v>52</v>
      </c>
      <c r="M16" s="1225" t="s">
        <v>57</v>
      </c>
      <c r="N16" s="1236">
        <v>31387.05</v>
      </c>
      <c r="O16" s="1225" t="s">
        <v>57</v>
      </c>
      <c r="P16" s="1276" t="s">
        <v>331</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294</v>
      </c>
      <c r="C17" s="467">
        <v>46006</v>
      </c>
      <c r="D17" s="475" t="s">
        <v>231</v>
      </c>
      <c r="E17" s="476">
        <v>45975</v>
      </c>
      <c r="F17" s="475" t="s">
        <v>221</v>
      </c>
      <c r="G17" s="477" t="s">
        <v>420</v>
      </c>
      <c r="H17" s="478">
        <v>86</v>
      </c>
      <c r="I17" s="828" t="s">
        <v>383</v>
      </c>
      <c r="J17" s="831" t="s">
        <v>63</v>
      </c>
      <c r="K17" s="469"/>
      <c r="L17" s="476" t="s">
        <v>52</v>
      </c>
      <c r="M17" s="478" t="s">
        <v>57</v>
      </c>
      <c r="N17" s="543">
        <v>111432</v>
      </c>
      <c r="O17" s="478" t="s">
        <v>57</v>
      </c>
      <c r="P17" s="626" t="s">
        <v>331</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294</v>
      </c>
      <c r="C18" s="467">
        <v>46053</v>
      </c>
      <c r="D18" s="475" t="s">
        <v>231</v>
      </c>
      <c r="E18" s="476">
        <v>45964</v>
      </c>
      <c r="F18" s="475" t="s">
        <v>221</v>
      </c>
      <c r="G18" s="477"/>
      <c r="H18" s="478">
        <v>82</v>
      </c>
      <c r="I18" s="828" t="s">
        <v>383</v>
      </c>
      <c r="J18" s="478" t="s">
        <v>63</v>
      </c>
      <c r="K18" s="469"/>
      <c r="L18" s="476" t="s">
        <v>52</v>
      </c>
      <c r="M18" s="478" t="s">
        <v>57</v>
      </c>
      <c r="N18" s="543">
        <v>101871</v>
      </c>
      <c r="O18" s="478" t="s">
        <v>57</v>
      </c>
      <c r="P18" s="626" t="s">
        <v>331</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305</v>
      </c>
    </row>
    <row r="19" spans="1:30" ht="39.75" customHeight="1">
      <c r="A19" s="926" t="s">
        <v>423</v>
      </c>
      <c r="B19" s="491" t="s">
        <v>294</v>
      </c>
      <c r="C19" s="467">
        <v>46053</v>
      </c>
      <c r="D19" s="475" t="s">
        <v>231</v>
      </c>
      <c r="E19" s="476">
        <v>45974</v>
      </c>
      <c r="F19" s="475" t="s">
        <v>221</v>
      </c>
      <c r="G19" s="477" t="s">
        <v>424</v>
      </c>
      <c r="H19" s="478">
        <v>77</v>
      </c>
      <c r="I19" s="828" t="s">
        <v>383</v>
      </c>
      <c r="J19" s="478" t="s">
        <v>63</v>
      </c>
      <c r="K19" s="469"/>
      <c r="L19" s="476">
        <v>45965</v>
      </c>
      <c r="M19" s="478" t="s">
        <v>57</v>
      </c>
      <c r="N19" s="543">
        <v>90786</v>
      </c>
      <c r="O19" s="478" t="s">
        <v>57</v>
      </c>
      <c r="P19" s="626" t="s">
        <v>331</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305</v>
      </c>
    </row>
    <row r="20" spans="1:30" ht="39.75" customHeight="1">
      <c r="A20" s="926" t="s">
        <v>425</v>
      </c>
      <c r="B20" s="491" t="s">
        <v>294</v>
      </c>
      <c r="C20" s="467">
        <v>46006</v>
      </c>
      <c r="D20" s="475" t="s">
        <v>231</v>
      </c>
      <c r="E20" s="476">
        <v>45980</v>
      </c>
      <c r="F20" s="475" t="s">
        <v>221</v>
      </c>
      <c r="G20" s="824" t="s">
        <v>426</v>
      </c>
      <c r="H20" s="478">
        <v>75</v>
      </c>
      <c r="I20" s="828" t="s">
        <v>383</v>
      </c>
      <c r="J20" s="478" t="s">
        <v>63</v>
      </c>
      <c r="K20" s="469"/>
      <c r="L20" s="476" t="s">
        <v>52</v>
      </c>
      <c r="M20" s="478" t="s">
        <v>57</v>
      </c>
      <c r="N20" s="543">
        <v>82330</v>
      </c>
      <c r="O20" s="478" t="s">
        <v>57</v>
      </c>
      <c r="P20" s="626" t="s">
        <v>331</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294</v>
      </c>
      <c r="C21" s="1203">
        <v>46040</v>
      </c>
      <c r="D21" s="1224" t="s">
        <v>231</v>
      </c>
      <c r="E21" s="1223">
        <v>45996</v>
      </c>
      <c r="F21" s="1224" t="s">
        <v>221</v>
      </c>
      <c r="G21" s="1224" t="s">
        <v>428</v>
      </c>
      <c r="H21" s="1225">
        <v>78</v>
      </c>
      <c r="I21" s="828" t="s">
        <v>383</v>
      </c>
      <c r="J21" s="1225" t="s">
        <v>63</v>
      </c>
      <c r="K21" s="1205"/>
      <c r="L21" s="476" t="s">
        <v>52</v>
      </c>
      <c r="M21" s="1225" t="s">
        <v>57</v>
      </c>
      <c r="N21" s="1236">
        <v>84477</v>
      </c>
      <c r="O21" s="1225" t="s">
        <v>57</v>
      </c>
      <c r="P21" s="1276" t="s">
        <v>331</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108</v>
      </c>
      <c r="C22" s="476">
        <v>45976</v>
      </c>
      <c r="D22" s="467" t="s">
        <v>128</v>
      </c>
      <c r="E22" s="467">
        <v>45959</v>
      </c>
      <c r="F22" s="465" t="s">
        <v>343</v>
      </c>
      <c r="G22" s="682"/>
      <c r="H22" s="469">
        <v>69</v>
      </c>
      <c r="I22" s="661" t="s">
        <v>383</v>
      </c>
      <c r="J22" s="469" t="s">
        <v>63</v>
      </c>
      <c r="K22" s="469"/>
      <c r="L22" s="467">
        <v>45962</v>
      </c>
      <c r="M22" s="469" t="s">
        <v>57</v>
      </c>
      <c r="N22" s="542">
        <v>37418</v>
      </c>
      <c r="O22" s="469" t="s">
        <v>57</v>
      </c>
      <c r="P22" s="626" t="s">
        <v>331</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108</v>
      </c>
      <c r="C23" s="467">
        <v>45991</v>
      </c>
      <c r="D23" s="467" t="s">
        <v>128</v>
      </c>
      <c r="E23" s="467">
        <v>45966</v>
      </c>
      <c r="F23" s="465" t="s">
        <v>109</v>
      </c>
      <c r="G23" s="682" t="s">
        <v>432</v>
      </c>
      <c r="H23" s="469">
        <v>83</v>
      </c>
      <c r="I23" s="661" t="s">
        <v>383</v>
      </c>
      <c r="J23" s="469" t="s">
        <v>63</v>
      </c>
      <c r="K23" s="469"/>
      <c r="L23" s="467">
        <v>45969</v>
      </c>
      <c r="M23" s="469" t="s">
        <v>57</v>
      </c>
      <c r="N23" s="542">
        <v>66402</v>
      </c>
      <c r="O23" s="469" t="s">
        <v>57</v>
      </c>
      <c r="P23" s="626" t="s">
        <v>331</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108</v>
      </c>
      <c r="C24" s="467">
        <v>46001</v>
      </c>
      <c r="D24" s="467" t="s">
        <v>128</v>
      </c>
      <c r="E24" s="467">
        <v>45966</v>
      </c>
      <c r="F24" s="465" t="s">
        <v>109</v>
      </c>
      <c r="G24" s="682" t="s">
        <v>435</v>
      </c>
      <c r="H24" s="469">
        <v>77</v>
      </c>
      <c r="I24" s="661" t="s">
        <v>383</v>
      </c>
      <c r="J24" s="469" t="s">
        <v>63</v>
      </c>
      <c r="K24" s="469"/>
      <c r="L24" s="467">
        <v>45967</v>
      </c>
      <c r="M24" s="469" t="s">
        <v>57</v>
      </c>
      <c r="N24" s="542">
        <v>63997.35</v>
      </c>
      <c r="O24" s="469" t="s">
        <v>57</v>
      </c>
      <c r="P24" s="626" t="s">
        <v>331</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108</v>
      </c>
      <c r="C25" s="488">
        <v>45838</v>
      </c>
      <c r="D25" s="488" t="s">
        <v>128</v>
      </c>
      <c r="E25" s="476">
        <v>45786</v>
      </c>
      <c r="F25" s="488" t="s">
        <v>162</v>
      </c>
      <c r="G25" s="937" t="s">
        <v>438</v>
      </c>
      <c r="H25" s="469">
        <v>0</v>
      </c>
      <c r="I25" s="470" t="s">
        <v>383</v>
      </c>
      <c r="J25" s="469" t="s">
        <v>63</v>
      </c>
      <c r="K25" s="469"/>
      <c r="L25" s="467">
        <v>45790</v>
      </c>
      <c r="M25" s="469" t="s">
        <v>57</v>
      </c>
      <c r="N25" s="542">
        <v>63283</v>
      </c>
      <c r="O25" s="469" t="s">
        <v>57</v>
      </c>
      <c r="P25" s="626" t="s">
        <v>331</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439</v>
      </c>
    </row>
    <row r="26" spans="1:30" ht="39.75" customHeight="1">
      <c r="A26" s="926" t="s">
        <v>440</v>
      </c>
      <c r="B26" s="465" t="s">
        <v>108</v>
      </c>
      <c r="C26" s="467">
        <v>46021</v>
      </c>
      <c r="D26" s="465" t="s">
        <v>51</v>
      </c>
      <c r="E26" s="467" t="s">
        <v>52</v>
      </c>
      <c r="F26" s="465" t="s">
        <v>141</v>
      </c>
      <c r="G26" s="468" t="s">
        <v>441</v>
      </c>
      <c r="H26" s="469">
        <v>0</v>
      </c>
      <c r="I26" s="469" t="s">
        <v>383</v>
      </c>
      <c r="J26" s="469" t="s">
        <v>63</v>
      </c>
      <c r="K26" s="469"/>
      <c r="L26" s="467" t="s">
        <v>157</v>
      </c>
      <c r="M26" s="469" t="s">
        <v>57</v>
      </c>
      <c r="N26" s="542">
        <v>1931.75</v>
      </c>
      <c r="O26" s="469" t="s">
        <v>57</v>
      </c>
      <c r="P26" s="1061" t="s">
        <v>331</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108</v>
      </c>
      <c r="C27" s="476">
        <v>45991</v>
      </c>
      <c r="D27" s="465" t="s">
        <v>444</v>
      </c>
      <c r="E27" s="467">
        <v>45936</v>
      </c>
      <c r="F27" s="465" t="s">
        <v>109</v>
      </c>
      <c r="G27" s="682"/>
      <c r="H27" s="469">
        <v>0</v>
      </c>
      <c r="I27" s="469" t="s">
        <v>383</v>
      </c>
      <c r="J27" s="469" t="s">
        <v>63</v>
      </c>
      <c r="K27" s="469"/>
      <c r="L27" s="467" t="s">
        <v>157</v>
      </c>
      <c r="M27" s="469" t="s">
        <v>57</v>
      </c>
      <c r="N27" s="542">
        <v>74164.05</v>
      </c>
      <c r="O27" s="469" t="s">
        <v>57</v>
      </c>
      <c r="P27" s="1061" t="s">
        <v>331</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108</v>
      </c>
      <c r="C28" s="476">
        <v>45960</v>
      </c>
      <c r="D28" s="467" t="s">
        <v>447</v>
      </c>
      <c r="E28" s="467">
        <v>45939</v>
      </c>
      <c r="F28" s="465" t="s">
        <v>162</v>
      </c>
      <c r="G28" s="682"/>
      <c r="H28" s="469">
        <v>385</v>
      </c>
      <c r="I28" s="661" t="s">
        <v>383</v>
      </c>
      <c r="J28" s="469" t="s">
        <v>56</v>
      </c>
      <c r="K28" s="469"/>
      <c r="L28" s="467">
        <v>45937</v>
      </c>
      <c r="M28" s="469" t="s">
        <v>57</v>
      </c>
      <c r="N28" s="542">
        <v>210533.1</v>
      </c>
      <c r="O28" s="469" t="s">
        <v>57</v>
      </c>
      <c r="P28" s="626" t="s">
        <v>331</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108</v>
      </c>
      <c r="C29" s="1203">
        <v>46020</v>
      </c>
      <c r="D29" s="1203" t="s">
        <v>450</v>
      </c>
      <c r="E29" s="1203">
        <v>45978</v>
      </c>
      <c r="F29" s="1204" t="s">
        <v>141</v>
      </c>
      <c r="G29" s="1204" t="s">
        <v>451</v>
      </c>
      <c r="H29" s="1205">
        <v>197</v>
      </c>
      <c r="I29" s="661" t="s">
        <v>383</v>
      </c>
      <c r="J29" s="1205" t="s">
        <v>56</v>
      </c>
      <c r="K29" s="469"/>
      <c r="L29" s="1203">
        <v>45978</v>
      </c>
      <c r="M29" s="1205" t="s">
        <v>57</v>
      </c>
      <c r="N29" s="1206">
        <v>87807.5</v>
      </c>
      <c r="O29" s="1205" t="s">
        <v>57</v>
      </c>
      <c r="P29" s="1276" t="s">
        <v>331</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316</v>
      </c>
      <c r="C30" s="375">
        <v>46019</v>
      </c>
      <c r="D30" s="975" t="s">
        <v>128</v>
      </c>
      <c r="E30" s="375">
        <v>45959</v>
      </c>
      <c r="F30" s="374" t="s">
        <v>317</v>
      </c>
      <c r="G30" s="671" t="s">
        <v>454</v>
      </c>
      <c r="H30" s="1065">
        <v>89</v>
      </c>
      <c r="I30" s="976" t="s">
        <v>383</v>
      </c>
      <c r="J30" s="977" t="s">
        <v>63</v>
      </c>
      <c r="K30" s="469"/>
      <c r="L30" s="375">
        <v>45964</v>
      </c>
      <c r="M30" s="977" t="s">
        <v>57</v>
      </c>
      <c r="N30" s="1066">
        <v>62937.05</v>
      </c>
      <c r="O30" s="52" t="s">
        <v>57</v>
      </c>
      <c r="P30" s="1068" t="s">
        <v>331</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316</v>
      </c>
      <c r="C31" s="467">
        <v>46045</v>
      </c>
      <c r="D31" s="642" t="s">
        <v>128</v>
      </c>
      <c r="E31" s="467"/>
      <c r="F31" s="465"/>
      <c r="G31" s="468"/>
      <c r="H31" s="1073">
        <v>77</v>
      </c>
      <c r="I31" s="828" t="s">
        <v>383</v>
      </c>
      <c r="J31" s="478" t="s">
        <v>63</v>
      </c>
      <c r="K31" s="1074"/>
      <c r="L31" s="476" t="s">
        <v>52</v>
      </c>
      <c r="M31" s="478" t="s">
        <v>57</v>
      </c>
      <c r="N31" s="1075">
        <v>4046.5</v>
      </c>
      <c r="O31" s="478" t="s">
        <v>57</v>
      </c>
      <c r="P31" s="626" t="s">
        <v>331</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316</v>
      </c>
      <c r="C32" s="467">
        <v>46045</v>
      </c>
      <c r="D32" s="642" t="s">
        <v>128</v>
      </c>
      <c r="E32" s="467"/>
      <c r="F32" s="465"/>
      <c r="G32" s="468"/>
      <c r="H32" s="1073">
        <v>85</v>
      </c>
      <c r="I32" s="828" t="s">
        <v>383</v>
      </c>
      <c r="J32" s="478" t="s">
        <v>63</v>
      </c>
      <c r="K32" s="1074"/>
      <c r="L32" s="476" t="s">
        <v>52</v>
      </c>
      <c r="M32" s="478" t="s">
        <v>57</v>
      </c>
      <c r="N32" s="1075">
        <v>29180.45</v>
      </c>
      <c r="O32" s="478" t="s">
        <v>57</v>
      </c>
      <c r="P32" s="626" t="s">
        <v>331</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316</v>
      </c>
      <c r="C33" s="467">
        <v>46045</v>
      </c>
      <c r="D33" s="642" t="s">
        <v>128</v>
      </c>
      <c r="E33" s="467"/>
      <c r="F33" s="465"/>
      <c r="G33" s="468"/>
      <c r="H33" s="1073">
        <v>62</v>
      </c>
      <c r="I33" s="828" t="s">
        <v>383</v>
      </c>
      <c r="J33" s="478" t="s">
        <v>63</v>
      </c>
      <c r="K33" s="1074"/>
      <c r="L33" s="476" t="s">
        <v>52</v>
      </c>
      <c r="M33" s="478" t="s">
        <v>57</v>
      </c>
      <c r="N33" s="1075">
        <v>170</v>
      </c>
      <c r="O33" s="478" t="s">
        <v>57</v>
      </c>
      <c r="P33" s="712" t="s">
        <v>331</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316</v>
      </c>
      <c r="C34" s="467">
        <v>46045</v>
      </c>
      <c r="D34" s="642" t="s">
        <v>128</v>
      </c>
      <c r="E34" s="467">
        <v>45959</v>
      </c>
      <c r="F34" s="465" t="s">
        <v>317</v>
      </c>
      <c r="G34" s="468" t="s">
        <v>463</v>
      </c>
      <c r="H34" s="1073">
        <v>78</v>
      </c>
      <c r="I34" s="828" t="s">
        <v>383</v>
      </c>
      <c r="J34" s="478" t="s">
        <v>63</v>
      </c>
      <c r="K34" s="1074"/>
      <c r="L34" s="467">
        <v>45964</v>
      </c>
      <c r="M34" s="478" t="s">
        <v>57</v>
      </c>
      <c r="N34" s="1075">
        <v>170</v>
      </c>
      <c r="O34" s="478" t="s">
        <v>57</v>
      </c>
      <c r="P34" s="626" t="s">
        <v>331</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316</v>
      </c>
      <c r="C35" s="375">
        <v>46045</v>
      </c>
      <c r="D35" s="975" t="s">
        <v>128</v>
      </c>
      <c r="E35" s="375"/>
      <c r="F35" s="374"/>
      <c r="G35" s="637"/>
      <c r="H35" s="1065">
        <v>80</v>
      </c>
      <c r="I35" s="976" t="s">
        <v>383</v>
      </c>
      <c r="J35" s="977" t="s">
        <v>63</v>
      </c>
      <c r="K35" s="1007"/>
      <c r="L35" s="476" t="s">
        <v>52</v>
      </c>
      <c r="M35" s="977" t="s">
        <v>57</v>
      </c>
      <c r="N35" s="1066">
        <v>25891</v>
      </c>
      <c r="O35" s="52" t="s">
        <v>57</v>
      </c>
      <c r="P35" s="1068" t="s">
        <v>331</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316</v>
      </c>
      <c r="C36" s="375">
        <v>46045</v>
      </c>
      <c r="D36" s="975" t="s">
        <v>128</v>
      </c>
      <c r="E36" s="375"/>
      <c r="F36" s="374"/>
      <c r="G36" s="637"/>
      <c r="H36" s="1065">
        <v>83</v>
      </c>
      <c r="I36" s="976" t="s">
        <v>383</v>
      </c>
      <c r="J36" s="977" t="s">
        <v>63</v>
      </c>
      <c r="K36" s="1007"/>
      <c r="L36" s="476" t="s">
        <v>52</v>
      </c>
      <c r="M36" s="977" t="s">
        <v>57</v>
      </c>
      <c r="N36" s="1066">
        <v>170</v>
      </c>
      <c r="O36" s="52" t="s">
        <v>57</v>
      </c>
      <c r="P36" s="1068" t="s">
        <v>331</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316</v>
      </c>
      <c r="C37" s="375">
        <v>46045</v>
      </c>
      <c r="D37" s="975" t="s">
        <v>128</v>
      </c>
      <c r="E37" s="375"/>
      <c r="F37" s="374"/>
      <c r="G37" s="637"/>
      <c r="H37" s="1065">
        <v>85</v>
      </c>
      <c r="I37" s="976" t="s">
        <v>383</v>
      </c>
      <c r="J37" s="977" t="s">
        <v>63</v>
      </c>
      <c r="K37" s="1007"/>
      <c r="L37" s="476" t="s">
        <v>52</v>
      </c>
      <c r="M37" s="977" t="s">
        <v>57</v>
      </c>
      <c r="N37" s="1066">
        <v>30788</v>
      </c>
      <c r="O37" s="52" t="s">
        <v>57</v>
      </c>
      <c r="P37" s="1068" t="s">
        <v>331</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316</v>
      </c>
      <c r="C38" s="375">
        <v>46045</v>
      </c>
      <c r="D38" s="975" t="s">
        <v>128</v>
      </c>
      <c r="E38" s="375"/>
      <c r="F38" s="374"/>
      <c r="G38" s="637"/>
      <c r="H38" s="1065">
        <v>88</v>
      </c>
      <c r="I38" s="976" t="s">
        <v>383</v>
      </c>
      <c r="J38" s="977" t="s">
        <v>63</v>
      </c>
      <c r="K38" s="1007"/>
      <c r="L38" s="476" t="s">
        <v>52</v>
      </c>
      <c r="M38" s="977" t="s">
        <v>57</v>
      </c>
      <c r="N38" s="1066">
        <v>5668</v>
      </c>
      <c r="O38" s="52" t="s">
        <v>57</v>
      </c>
      <c r="P38" s="1068" t="s">
        <v>331</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316</v>
      </c>
      <c r="C39" s="375">
        <v>46045</v>
      </c>
      <c r="D39" s="975" t="s">
        <v>128</v>
      </c>
      <c r="E39" s="375"/>
      <c r="F39" s="374"/>
      <c r="G39" s="637"/>
      <c r="H39" s="1065">
        <v>30</v>
      </c>
      <c r="I39" s="976" t="s">
        <v>383</v>
      </c>
      <c r="J39" s="977" t="s">
        <v>63</v>
      </c>
      <c r="K39" s="1007"/>
      <c r="L39" s="476" t="s">
        <v>52</v>
      </c>
      <c r="M39" s="977" t="s">
        <v>57</v>
      </c>
      <c r="N39" s="1066">
        <v>170</v>
      </c>
      <c r="O39" s="52" t="s">
        <v>57</v>
      </c>
      <c r="P39" s="1068" t="s">
        <v>331</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316</v>
      </c>
      <c r="C40" s="375">
        <v>46045</v>
      </c>
      <c r="D40" s="975" t="s">
        <v>128</v>
      </c>
      <c r="E40" s="375">
        <v>45959</v>
      </c>
      <c r="F40" s="374" t="s">
        <v>162</v>
      </c>
      <c r="G40" s="637"/>
      <c r="H40" s="376">
        <v>89</v>
      </c>
      <c r="I40" s="976" t="s">
        <v>383</v>
      </c>
      <c r="J40" s="977" t="s">
        <v>63</v>
      </c>
      <c r="K40" s="650"/>
      <c r="L40" s="51">
        <v>45964</v>
      </c>
      <c r="M40" s="52" t="s">
        <v>57</v>
      </c>
      <c r="N40" s="838">
        <v>84750.5</v>
      </c>
      <c r="O40" s="52" t="s">
        <v>57</v>
      </c>
      <c r="P40" s="1068" t="s">
        <v>331</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316</v>
      </c>
      <c r="C41" s="375">
        <v>45989</v>
      </c>
      <c r="D41" s="975" t="s">
        <v>128</v>
      </c>
      <c r="E41" s="375">
        <v>45959</v>
      </c>
      <c r="F41" s="374" t="s">
        <v>162</v>
      </c>
      <c r="G41" s="637" t="s">
        <v>475</v>
      </c>
      <c r="H41" s="376">
        <v>59</v>
      </c>
      <c r="I41" s="976" t="s">
        <v>383</v>
      </c>
      <c r="J41" s="977" t="s">
        <v>63</v>
      </c>
      <c r="K41" s="650"/>
      <c r="L41" s="51">
        <v>45964</v>
      </c>
      <c r="M41" s="977" t="s">
        <v>57</v>
      </c>
      <c r="N41" s="838">
        <v>65066.5</v>
      </c>
      <c r="O41" s="52" t="s">
        <v>57</v>
      </c>
      <c r="P41" s="1068" t="s">
        <v>331</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316</v>
      </c>
      <c r="C42" s="375">
        <v>46010</v>
      </c>
      <c r="D42" s="975" t="s">
        <v>128</v>
      </c>
      <c r="E42" s="375">
        <v>45959</v>
      </c>
      <c r="F42" s="374" t="s">
        <v>162</v>
      </c>
      <c r="G42" s="637" t="s">
        <v>478</v>
      </c>
      <c r="H42" s="376">
        <v>89</v>
      </c>
      <c r="I42" s="976" t="s">
        <v>383</v>
      </c>
      <c r="J42" s="977" t="s">
        <v>63</v>
      </c>
      <c r="K42" s="650"/>
      <c r="L42" s="51">
        <v>45964</v>
      </c>
      <c r="M42" s="977" t="s">
        <v>57</v>
      </c>
      <c r="N42" s="838">
        <v>81602</v>
      </c>
      <c r="O42" s="52" t="s">
        <v>57</v>
      </c>
      <c r="P42" s="1068" t="s">
        <v>331</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316</v>
      </c>
      <c r="C43" s="375">
        <v>46045</v>
      </c>
      <c r="D43" s="975" t="s">
        <v>128</v>
      </c>
      <c r="E43" s="375">
        <v>45959</v>
      </c>
      <c r="F43" s="374" t="s">
        <v>162</v>
      </c>
      <c r="G43" s="637"/>
      <c r="H43" s="376">
        <v>88</v>
      </c>
      <c r="I43" s="976" t="s">
        <v>383</v>
      </c>
      <c r="J43" s="977" t="s">
        <v>63</v>
      </c>
      <c r="K43" s="650"/>
      <c r="L43" s="51">
        <v>45961</v>
      </c>
      <c r="M43" s="52" t="s">
        <v>57</v>
      </c>
      <c r="N43" s="838">
        <v>88231.9</v>
      </c>
      <c r="O43" s="52" t="s">
        <v>57</v>
      </c>
      <c r="P43" s="1068" t="s">
        <v>331</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316</v>
      </c>
      <c r="C44" s="375">
        <v>45989</v>
      </c>
      <c r="D44" s="975" t="s">
        <v>128</v>
      </c>
      <c r="E44" s="375">
        <v>45959</v>
      </c>
      <c r="F44" s="374" t="s">
        <v>162</v>
      </c>
      <c r="G44" s="637" t="s">
        <v>483</v>
      </c>
      <c r="H44" s="376">
        <v>87</v>
      </c>
      <c r="I44" s="976" t="s">
        <v>383</v>
      </c>
      <c r="J44" s="977" t="s">
        <v>63</v>
      </c>
      <c r="K44" s="650"/>
      <c r="L44" s="51">
        <v>45964</v>
      </c>
      <c r="M44" s="977" t="s">
        <v>57</v>
      </c>
      <c r="N44" s="838">
        <v>93578</v>
      </c>
      <c r="O44" s="52" t="s">
        <v>57</v>
      </c>
      <c r="P44" s="1068" t="s">
        <v>331</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316</v>
      </c>
      <c r="C45" s="375">
        <v>46045</v>
      </c>
      <c r="D45" s="975" t="s">
        <v>128</v>
      </c>
      <c r="E45" s="375">
        <v>45959</v>
      </c>
      <c r="F45" s="374" t="s">
        <v>162</v>
      </c>
      <c r="G45" s="637"/>
      <c r="H45" s="376">
        <v>90</v>
      </c>
      <c r="I45" s="976" t="s">
        <v>383</v>
      </c>
      <c r="J45" s="977" t="s">
        <v>63</v>
      </c>
      <c r="K45" s="650"/>
      <c r="L45" s="51">
        <v>45964</v>
      </c>
      <c r="M45" s="52" t="s">
        <v>57</v>
      </c>
      <c r="N45" s="838">
        <v>84896</v>
      </c>
      <c r="O45" s="52" t="s">
        <v>57</v>
      </c>
      <c r="P45" s="1068" t="s">
        <v>331</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316</v>
      </c>
      <c r="C46" s="1293">
        <v>46019</v>
      </c>
      <c r="D46" s="975" t="s">
        <v>128</v>
      </c>
      <c r="E46" s="1293">
        <v>45959</v>
      </c>
      <c r="F46" s="1294" t="s">
        <v>162</v>
      </c>
      <c r="G46" s="1294" t="s">
        <v>488</v>
      </c>
      <c r="H46" s="1295">
        <v>90</v>
      </c>
      <c r="I46" s="976" t="s">
        <v>383</v>
      </c>
      <c r="J46" s="1280" t="s">
        <v>63</v>
      </c>
      <c r="K46" s="650"/>
      <c r="L46" s="1297">
        <v>45961</v>
      </c>
      <c r="M46" s="1280" t="s">
        <v>57</v>
      </c>
      <c r="N46" s="1323">
        <v>91897</v>
      </c>
      <c r="O46" s="1299" t="s">
        <v>57</v>
      </c>
      <c r="P46" s="1324" t="s">
        <v>331</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316</v>
      </c>
      <c r="C47" s="375">
        <v>45989</v>
      </c>
      <c r="D47" s="975" t="s">
        <v>128</v>
      </c>
      <c r="E47" s="375">
        <v>45959</v>
      </c>
      <c r="F47" s="374" t="s">
        <v>162</v>
      </c>
      <c r="G47" s="637" t="s">
        <v>491</v>
      </c>
      <c r="H47" s="376">
        <v>90</v>
      </c>
      <c r="I47" s="976" t="s">
        <v>383</v>
      </c>
      <c r="J47" s="977" t="s">
        <v>63</v>
      </c>
      <c r="K47" s="650"/>
      <c r="L47" s="51">
        <v>45964</v>
      </c>
      <c r="M47" s="977" t="s">
        <v>57</v>
      </c>
      <c r="N47" s="838">
        <v>96685</v>
      </c>
      <c r="O47" s="52" t="s">
        <v>57</v>
      </c>
      <c r="P47" s="1068" t="s">
        <v>331</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316</v>
      </c>
      <c r="C48" s="1293">
        <v>46019</v>
      </c>
      <c r="D48" s="975" t="s">
        <v>128</v>
      </c>
      <c r="E48" s="1293">
        <v>45959</v>
      </c>
      <c r="F48" s="1294" t="s">
        <v>162</v>
      </c>
      <c r="G48" s="1294" t="s">
        <v>494</v>
      </c>
      <c r="H48" s="1295">
        <v>90</v>
      </c>
      <c r="I48" s="976" t="s">
        <v>383</v>
      </c>
      <c r="J48" s="1280" t="s">
        <v>63</v>
      </c>
      <c r="K48" s="1296"/>
      <c r="L48" s="1297">
        <v>45964</v>
      </c>
      <c r="M48" s="1280" t="s">
        <v>57</v>
      </c>
      <c r="N48" s="1323">
        <v>85815</v>
      </c>
      <c r="O48" s="1299" t="s">
        <v>57</v>
      </c>
      <c r="P48" s="1324" t="s">
        <v>331</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316</v>
      </c>
      <c r="C49" s="375">
        <v>46021</v>
      </c>
      <c r="D49" s="975" t="s">
        <v>128</v>
      </c>
      <c r="E49" s="375">
        <v>45959</v>
      </c>
      <c r="F49" s="374" t="s">
        <v>162</v>
      </c>
      <c r="G49" s="637" t="s">
        <v>497</v>
      </c>
      <c r="H49" s="376">
        <v>89</v>
      </c>
      <c r="I49" s="976" t="s">
        <v>383</v>
      </c>
      <c r="J49" s="977" t="s">
        <v>63</v>
      </c>
      <c r="K49" s="650"/>
      <c r="L49" s="51">
        <v>45961</v>
      </c>
      <c r="M49" s="977" t="s">
        <v>57</v>
      </c>
      <c r="N49" s="838">
        <v>83615</v>
      </c>
      <c r="O49" s="52" t="s">
        <v>57</v>
      </c>
      <c r="P49" s="1068" t="s">
        <v>331</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316</v>
      </c>
      <c r="C50" s="1293">
        <v>46021</v>
      </c>
      <c r="D50" s="975" t="s">
        <v>128</v>
      </c>
      <c r="E50" s="1293">
        <v>45959</v>
      </c>
      <c r="F50" s="1294" t="s">
        <v>162</v>
      </c>
      <c r="G50" s="1294" t="s">
        <v>500</v>
      </c>
      <c r="H50" s="1295">
        <v>88</v>
      </c>
      <c r="I50" s="976" t="s">
        <v>383</v>
      </c>
      <c r="J50" s="1280" t="s">
        <v>63</v>
      </c>
      <c r="K50" s="650"/>
      <c r="L50" s="1297">
        <v>45964</v>
      </c>
      <c r="M50" s="1280" t="s">
        <v>57</v>
      </c>
      <c r="N50" s="1323">
        <v>78736.5</v>
      </c>
      <c r="O50" s="1299" t="s">
        <v>57</v>
      </c>
      <c r="P50" s="1324" t="s">
        <v>331</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316</v>
      </c>
      <c r="C51" s="1293">
        <v>46021</v>
      </c>
      <c r="D51" s="975" t="s">
        <v>128</v>
      </c>
      <c r="E51" s="1293">
        <v>45959</v>
      </c>
      <c r="F51" s="1294" t="s">
        <v>162</v>
      </c>
      <c r="G51" s="1294" t="s">
        <v>503</v>
      </c>
      <c r="H51" s="1295">
        <v>86</v>
      </c>
      <c r="I51" s="976" t="s">
        <v>383</v>
      </c>
      <c r="J51" s="1280" t="s">
        <v>63</v>
      </c>
      <c r="K51" s="650"/>
      <c r="L51" s="1297">
        <v>45964</v>
      </c>
      <c r="M51" s="1280" t="s">
        <v>57</v>
      </c>
      <c r="N51" s="1323">
        <v>80698</v>
      </c>
      <c r="O51" s="1299" t="s">
        <v>57</v>
      </c>
      <c r="P51" s="1324" t="s">
        <v>331</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316</v>
      </c>
      <c r="C52" s="1293">
        <v>46021</v>
      </c>
      <c r="D52" s="975" t="s">
        <v>128</v>
      </c>
      <c r="E52" s="1293">
        <v>45959</v>
      </c>
      <c r="F52" s="1294" t="s">
        <v>162</v>
      </c>
      <c r="G52" s="1294" t="s">
        <v>506</v>
      </c>
      <c r="H52" s="1295">
        <v>85</v>
      </c>
      <c r="I52" s="976" t="s">
        <v>383</v>
      </c>
      <c r="J52" s="1280" t="s">
        <v>63</v>
      </c>
      <c r="K52" s="650"/>
      <c r="L52" s="1297">
        <v>45964</v>
      </c>
      <c r="M52" s="1280" t="s">
        <v>57</v>
      </c>
      <c r="N52" s="1323">
        <v>84770</v>
      </c>
      <c r="O52" s="1299" t="s">
        <v>57</v>
      </c>
      <c r="P52" s="1324" t="s">
        <v>331</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316</v>
      </c>
      <c r="C53" s="1293">
        <v>46019</v>
      </c>
      <c r="D53" s="975" t="s">
        <v>128</v>
      </c>
      <c r="E53" s="1293">
        <v>45959</v>
      </c>
      <c r="F53" s="1294" t="s">
        <v>162</v>
      </c>
      <c r="G53" s="1294" t="s">
        <v>509</v>
      </c>
      <c r="H53" s="1295">
        <v>87</v>
      </c>
      <c r="I53" s="976" t="s">
        <v>383</v>
      </c>
      <c r="J53" s="1280" t="s">
        <v>63</v>
      </c>
      <c r="K53" s="1296"/>
      <c r="L53" s="1297">
        <v>45964</v>
      </c>
      <c r="M53" s="1280" t="s">
        <v>57</v>
      </c>
      <c r="N53" s="1323">
        <v>87875</v>
      </c>
      <c r="O53" s="1299" t="s">
        <v>57</v>
      </c>
      <c r="P53" s="1324" t="s">
        <v>331</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316</v>
      </c>
      <c r="C54" s="1293">
        <v>46019</v>
      </c>
      <c r="D54" s="975" t="s">
        <v>128</v>
      </c>
      <c r="E54" s="1293">
        <v>45959</v>
      </c>
      <c r="F54" s="1294" t="s">
        <v>162</v>
      </c>
      <c r="G54" s="1294" t="s">
        <v>513</v>
      </c>
      <c r="H54" s="1295">
        <v>0</v>
      </c>
      <c r="I54" s="976" t="s">
        <v>383</v>
      </c>
      <c r="J54" s="1280" t="s">
        <v>63</v>
      </c>
      <c r="K54" s="1296"/>
      <c r="L54" s="1297">
        <v>45961</v>
      </c>
      <c r="M54" s="1280" t="s">
        <v>57</v>
      </c>
      <c r="N54" s="1323">
        <v>64985.65</v>
      </c>
      <c r="O54" s="1299" t="s">
        <v>57</v>
      </c>
      <c r="P54" s="1362" t="s">
        <v>331</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316</v>
      </c>
      <c r="C55" s="1293">
        <v>46019</v>
      </c>
      <c r="D55" s="975" t="s">
        <v>128</v>
      </c>
      <c r="E55" s="1293">
        <v>45959</v>
      </c>
      <c r="F55" s="1294" t="s">
        <v>162</v>
      </c>
      <c r="G55" s="1294" t="s">
        <v>516</v>
      </c>
      <c r="H55" s="1295">
        <v>0</v>
      </c>
      <c r="I55" s="976" t="s">
        <v>383</v>
      </c>
      <c r="J55" s="1280" t="s">
        <v>63</v>
      </c>
      <c r="K55" s="1296"/>
      <c r="L55" s="1297">
        <v>45961</v>
      </c>
      <c r="M55" s="1280" t="s">
        <v>57</v>
      </c>
      <c r="N55" s="1323">
        <v>54043.5</v>
      </c>
      <c r="O55" s="1299" t="s">
        <v>57</v>
      </c>
      <c r="P55" s="1324" t="s">
        <v>331</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331</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331</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331</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331</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46008</v>
      </c>
      <c r="D60" s="1203" t="s">
        <v>532</v>
      </c>
      <c r="E60" s="1223">
        <v>45958</v>
      </c>
      <c r="F60" s="1224" t="s">
        <v>61</v>
      </c>
      <c r="G60" s="1224" t="s">
        <v>533</v>
      </c>
      <c r="H60" s="1225">
        <v>517</v>
      </c>
      <c r="I60" s="661" t="s">
        <v>534</v>
      </c>
      <c r="J60" s="1205" t="s">
        <v>56</v>
      </c>
      <c r="K60" s="1249"/>
      <c r="L60" s="1223">
        <v>45964</v>
      </c>
      <c r="M60" s="1225" t="s">
        <v>57</v>
      </c>
      <c r="N60" s="1236">
        <v>215088</v>
      </c>
      <c r="O60" s="1225" t="s">
        <v>57</v>
      </c>
      <c r="P60" s="1276" t="s">
        <v>331</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535</v>
      </c>
    </row>
    <row r="61" spans="1:30" ht="39.75" customHeight="1">
      <c r="A61" s="1275" t="s">
        <v>536</v>
      </c>
      <c r="B61" s="823" t="s">
        <v>50</v>
      </c>
      <c r="C61" s="1203">
        <v>46218</v>
      </c>
      <c r="D61" s="1203" t="s">
        <v>537</v>
      </c>
      <c r="E61" s="51" t="s">
        <v>52</v>
      </c>
      <c r="F61" s="1224" t="s">
        <v>68</v>
      </c>
      <c r="G61" s="1224" t="s">
        <v>538</v>
      </c>
      <c r="H61" s="1225">
        <v>380</v>
      </c>
      <c r="I61" s="661" t="s">
        <v>383</v>
      </c>
      <c r="J61" s="1205" t="s">
        <v>56</v>
      </c>
      <c r="K61" s="1249"/>
      <c r="L61" s="1223">
        <v>45964</v>
      </c>
      <c r="M61" s="1225" t="s">
        <v>57</v>
      </c>
      <c r="N61" s="1236">
        <v>117414</v>
      </c>
      <c r="O61" s="1225" t="s">
        <v>57</v>
      </c>
      <c r="P61" s="1276" t="s">
        <v>331</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D46"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540</v>
      </c>
      <c r="B2" s="830" t="s">
        <v>206</v>
      </c>
      <c r="C2" s="467">
        <v>45960</v>
      </c>
      <c r="D2" s="467" t="s">
        <v>220</v>
      </c>
      <c r="E2" s="467">
        <v>45852</v>
      </c>
      <c r="F2" s="642" t="s">
        <v>221</v>
      </c>
      <c r="G2" s="682" t="s">
        <v>541</v>
      </c>
      <c r="H2" s="469">
        <v>0</v>
      </c>
      <c r="I2" s="469" t="s">
        <v>383</v>
      </c>
      <c r="J2" s="469" t="s">
        <v>63</v>
      </c>
      <c r="K2" s="469"/>
      <c r="L2" s="467">
        <v>45852</v>
      </c>
      <c r="M2" s="469" t="s">
        <v>57</v>
      </c>
      <c r="N2" s="542">
        <v>42837.2</v>
      </c>
      <c r="O2" s="469" t="s">
        <v>57</v>
      </c>
      <c r="P2" s="806" t="s">
        <v>331</v>
      </c>
      <c r="Q2" s="471">
        <v>45852</v>
      </c>
      <c r="R2" s="869"/>
      <c r="S2" s="869"/>
      <c r="T2" s="869"/>
      <c r="U2" s="87" t="s">
        <v>542</v>
      </c>
      <c r="V2" s="490">
        <v>3432</v>
      </c>
      <c r="W2" s="741">
        <v>3519</v>
      </c>
      <c r="X2" s="106">
        <f>SUM(V2-W2)</f>
        <v>-87</v>
      </c>
      <c r="Y2" s="657">
        <f>IFERROR($W2/$V2, 0)</f>
        <v>1.0253496503496504</v>
      </c>
      <c r="Z2" s="678">
        <v>45866</v>
      </c>
      <c r="AA2" s="355">
        <v>1</v>
      </c>
      <c r="AB2" s="355">
        <v>1</v>
      </c>
      <c r="AC2" s="1002">
        <v>0</v>
      </c>
      <c r="AD2" s="541"/>
    </row>
    <row r="3" spans="1:30" ht="39.75" customHeight="1">
      <c r="A3" s="842" t="s">
        <v>543</v>
      </c>
      <c r="B3" s="491" t="s">
        <v>206</v>
      </c>
      <c r="C3" s="467">
        <v>45868</v>
      </c>
      <c r="D3" s="475" t="s">
        <v>544</v>
      </c>
      <c r="E3" s="476">
        <v>45716</v>
      </c>
      <c r="F3" s="475" t="s">
        <v>221</v>
      </c>
      <c r="G3" s="597" t="s">
        <v>545</v>
      </c>
      <c r="H3" s="478">
        <v>0</v>
      </c>
      <c r="I3" s="483" t="s">
        <v>383</v>
      </c>
      <c r="J3" s="478" t="s">
        <v>63</v>
      </c>
      <c r="K3" s="487"/>
      <c r="L3" s="467">
        <v>45716</v>
      </c>
      <c r="M3" s="478" t="s">
        <v>57</v>
      </c>
      <c r="N3" s="543">
        <v>64932.55</v>
      </c>
      <c r="O3" s="478" t="s">
        <v>57</v>
      </c>
      <c r="P3" s="806" t="s">
        <v>331</v>
      </c>
      <c r="Q3" s="479">
        <v>45721</v>
      </c>
      <c r="R3" s="54"/>
      <c r="S3" s="54"/>
      <c r="T3" s="54"/>
      <c r="U3" s="87" t="s">
        <v>542</v>
      </c>
      <c r="V3" s="1100">
        <v>5151</v>
      </c>
      <c r="W3" s="742">
        <v>5207</v>
      </c>
      <c r="X3" s="106">
        <f>SUM(V3-W3)</f>
        <v>-56</v>
      </c>
      <c r="Y3" s="22">
        <f>IFERROR($W3/$V3, 0)</f>
        <v>1.0108716754028344</v>
      </c>
      <c r="Z3" s="678">
        <v>45748</v>
      </c>
      <c r="AA3" s="355">
        <v>1</v>
      </c>
      <c r="AB3" s="355">
        <v>1</v>
      </c>
      <c r="AC3" s="41">
        <v>0</v>
      </c>
      <c r="AD3" s="871"/>
    </row>
    <row r="4" spans="1:30" ht="39.75" customHeight="1">
      <c r="A4" s="854" t="s">
        <v>546</v>
      </c>
      <c r="B4" s="1444" t="s">
        <v>206</v>
      </c>
      <c r="C4" s="907">
        <v>45999</v>
      </c>
      <c r="D4" s="911" t="s">
        <v>85</v>
      </c>
      <c r="E4" s="985">
        <v>45975</v>
      </c>
      <c r="F4" s="911" t="s">
        <v>207</v>
      </c>
      <c r="G4" s="990" t="s">
        <v>547</v>
      </c>
      <c r="H4" s="977">
        <v>0</v>
      </c>
      <c r="I4" s="910" t="s">
        <v>383</v>
      </c>
      <c r="J4" s="909" t="s">
        <v>63</v>
      </c>
      <c r="K4" s="909"/>
      <c r="L4" s="51">
        <v>45960</v>
      </c>
      <c r="M4" s="1445" t="s">
        <v>57</v>
      </c>
      <c r="N4" s="987">
        <v>4911.8999999999996</v>
      </c>
      <c r="O4" s="977" t="s">
        <v>57</v>
      </c>
      <c r="P4" s="913" t="s">
        <v>331</v>
      </c>
      <c r="Q4" s="599">
        <v>45960</v>
      </c>
      <c r="R4" s="599"/>
      <c r="S4" s="599"/>
      <c r="T4" s="599"/>
      <c r="U4" s="87" t="s">
        <v>542</v>
      </c>
      <c r="V4" s="978">
        <v>294</v>
      </c>
      <c r="W4" s="940">
        <v>321</v>
      </c>
      <c r="X4" s="600">
        <f t="shared" ref="X4" si="0">SUM(V4-W4)</f>
        <v>-27</v>
      </c>
      <c r="Y4" s="970">
        <f t="shared" ref="Y4" si="1">IFERROR($W4/$V4, 0)</f>
        <v>1.0918367346938775</v>
      </c>
      <c r="Z4" s="599">
        <v>45979</v>
      </c>
      <c r="AA4" s="601">
        <v>1</v>
      </c>
      <c r="AB4" s="601">
        <v>1</v>
      </c>
      <c r="AC4" s="978">
        <v>321</v>
      </c>
      <c r="AD4" s="886" t="s">
        <v>548</v>
      </c>
    </row>
    <row r="5" spans="1:30" ht="39.75" customHeight="1">
      <c r="A5" s="878" t="s">
        <v>549</v>
      </c>
      <c r="B5" s="491" t="s">
        <v>206</v>
      </c>
      <c r="C5" s="467">
        <v>45991</v>
      </c>
      <c r="D5" s="476" t="s">
        <v>400</v>
      </c>
      <c r="E5" s="428">
        <v>45707</v>
      </c>
      <c r="F5" s="475" t="s">
        <v>221</v>
      </c>
      <c r="G5" s="492" t="s">
        <v>550</v>
      </c>
      <c r="H5" s="483">
        <v>0</v>
      </c>
      <c r="I5" s="483" t="s">
        <v>383</v>
      </c>
      <c r="J5" s="483" t="s">
        <v>63</v>
      </c>
      <c r="K5" s="483"/>
      <c r="L5" s="476">
        <v>45708</v>
      </c>
      <c r="M5" s="483" t="s">
        <v>57</v>
      </c>
      <c r="N5" s="544">
        <v>87944.4</v>
      </c>
      <c r="O5" s="483" t="s">
        <v>57</v>
      </c>
      <c r="P5" s="806" t="s">
        <v>331</v>
      </c>
      <c r="Q5" s="479">
        <v>45709</v>
      </c>
      <c r="R5" s="1101"/>
      <c r="S5" s="1101"/>
      <c r="T5" s="1101"/>
      <c r="U5" s="1102" t="s">
        <v>542</v>
      </c>
      <c r="V5" s="493">
        <v>7008</v>
      </c>
      <c r="W5" s="741">
        <v>7258</v>
      </c>
      <c r="X5" s="106">
        <f t="shared" ref="X5" si="2">SUM(V5-W5)</f>
        <v>-250</v>
      </c>
      <c r="Y5" s="22">
        <f t="shared" ref="Y5" si="3">IFERROR($W5/$V5, 0)</f>
        <v>1.0356735159817352</v>
      </c>
      <c r="Z5" s="678">
        <v>45747</v>
      </c>
      <c r="AA5" s="473">
        <v>1</v>
      </c>
      <c r="AB5" s="473">
        <v>1</v>
      </c>
      <c r="AC5" s="815">
        <v>0</v>
      </c>
      <c r="AD5" s="872" t="s">
        <v>551</v>
      </c>
    </row>
    <row r="6" spans="1:30" ht="39.75" customHeight="1">
      <c r="A6" s="842" t="s">
        <v>552</v>
      </c>
      <c r="B6" s="830" t="s">
        <v>206</v>
      </c>
      <c r="C6" s="476">
        <v>45807</v>
      </c>
      <c r="D6" s="465" t="s">
        <v>544</v>
      </c>
      <c r="E6" s="475" t="s">
        <v>52</v>
      </c>
      <c r="F6" s="465" t="s">
        <v>221</v>
      </c>
      <c r="G6" s="824" t="s">
        <v>553</v>
      </c>
      <c r="H6" s="469">
        <v>84</v>
      </c>
      <c r="I6" s="828" t="s">
        <v>383</v>
      </c>
      <c r="J6" s="478" t="s">
        <v>63</v>
      </c>
      <c r="K6" s="843"/>
      <c r="L6" s="467">
        <v>45716</v>
      </c>
      <c r="M6" s="478" t="s">
        <v>57</v>
      </c>
      <c r="N6" s="542">
        <v>2812.95</v>
      </c>
      <c r="O6" s="478" t="s">
        <v>57</v>
      </c>
      <c r="P6" s="806" t="s">
        <v>331</v>
      </c>
      <c r="Q6" s="479">
        <v>45792</v>
      </c>
      <c r="R6" s="479">
        <v>45947</v>
      </c>
      <c r="S6" s="352"/>
      <c r="T6" s="352"/>
      <c r="U6" s="486" t="s">
        <v>542</v>
      </c>
      <c r="V6" s="41">
        <v>285</v>
      </c>
      <c r="W6" s="844">
        <v>285</v>
      </c>
      <c r="X6" s="472">
        <f>SUM(V6-W6)</f>
        <v>0</v>
      </c>
      <c r="Y6" s="662">
        <f>IFERROR($W6/$V6, 0)</f>
        <v>1</v>
      </c>
      <c r="Z6" s="479">
        <v>45798</v>
      </c>
      <c r="AA6" s="662">
        <v>1</v>
      </c>
      <c r="AB6" s="662">
        <v>1</v>
      </c>
      <c r="AC6" s="472">
        <v>3451</v>
      </c>
      <c r="AD6" s="664"/>
    </row>
    <row r="7" spans="1:30" ht="39.75" customHeight="1">
      <c r="A7" s="929" t="s">
        <v>554</v>
      </c>
      <c r="B7" s="491" t="s">
        <v>206</v>
      </c>
      <c r="C7" s="467">
        <v>45991</v>
      </c>
      <c r="D7" s="475" t="s">
        <v>555</v>
      </c>
      <c r="E7" s="476">
        <v>45716</v>
      </c>
      <c r="F7" s="475" t="s">
        <v>207</v>
      </c>
      <c r="G7" s="477" t="s">
        <v>556</v>
      </c>
      <c r="H7" s="478">
        <v>31</v>
      </c>
      <c r="I7" s="483" t="s">
        <v>383</v>
      </c>
      <c r="J7" s="478" t="s">
        <v>63</v>
      </c>
      <c r="K7" s="487"/>
      <c r="L7" s="467">
        <v>45716</v>
      </c>
      <c r="M7" s="478" t="s">
        <v>57</v>
      </c>
      <c r="N7" s="543">
        <v>28777</v>
      </c>
      <c r="O7" s="478" t="s">
        <v>57</v>
      </c>
      <c r="P7" s="806" t="s">
        <v>331</v>
      </c>
      <c r="Q7" s="479">
        <v>45716</v>
      </c>
      <c r="R7" s="479">
        <v>45992</v>
      </c>
      <c r="S7" s="479"/>
      <c r="T7" s="479"/>
      <c r="U7" s="486" t="s">
        <v>542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557</v>
      </c>
      <c r="B8" s="491" t="s">
        <v>206</v>
      </c>
      <c r="C8" s="467">
        <v>45991</v>
      </c>
      <c r="D8" s="475" t="s">
        <v>400</v>
      </c>
      <c r="E8" s="476">
        <v>45866</v>
      </c>
      <c r="F8" s="475" t="s">
        <v>221</v>
      </c>
      <c r="G8" s="477" t="s">
        <v>558</v>
      </c>
      <c r="H8" s="478">
        <v>0</v>
      </c>
      <c r="I8" s="483" t="s">
        <v>383</v>
      </c>
      <c r="J8" s="478" t="s">
        <v>63</v>
      </c>
      <c r="K8" s="487"/>
      <c r="L8" s="476">
        <v>45863</v>
      </c>
      <c r="M8" s="478" t="s">
        <v>57</v>
      </c>
      <c r="N8" s="543">
        <v>143407.25</v>
      </c>
      <c r="O8" s="478" t="s">
        <v>57</v>
      </c>
      <c r="P8" s="806" t="s">
        <v>331</v>
      </c>
      <c r="Q8" s="479">
        <v>45863</v>
      </c>
      <c r="R8" s="479"/>
      <c r="S8" s="479"/>
      <c r="T8" s="479"/>
      <c r="U8" s="486" t="s">
        <v>542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559</v>
      </c>
      <c r="B9" s="491" t="s">
        <v>206</v>
      </c>
      <c r="C9" s="467">
        <v>45991</v>
      </c>
      <c r="D9" s="475" t="s">
        <v>85</v>
      </c>
      <c r="E9" s="476">
        <v>45880</v>
      </c>
      <c r="F9" s="475" t="s">
        <v>207</v>
      </c>
      <c r="G9" s="477" t="s">
        <v>560</v>
      </c>
      <c r="H9" s="478">
        <v>0</v>
      </c>
      <c r="I9" s="483" t="s">
        <v>383</v>
      </c>
      <c r="J9" s="478" t="s">
        <v>63</v>
      </c>
      <c r="K9" s="487"/>
      <c r="L9" s="476">
        <v>45881</v>
      </c>
      <c r="M9" s="478" t="s">
        <v>57</v>
      </c>
      <c r="N9" s="543">
        <v>4815.6499999999996</v>
      </c>
      <c r="O9" s="478" t="s">
        <v>57</v>
      </c>
      <c r="P9" s="806" t="s">
        <v>331</v>
      </c>
      <c r="Q9" s="479">
        <v>45881</v>
      </c>
      <c r="R9" s="479">
        <v>45947</v>
      </c>
      <c r="S9" s="479"/>
      <c r="T9" s="479"/>
      <c r="U9" s="486" t="s">
        <v>542</v>
      </c>
      <c r="V9" s="41">
        <v>321</v>
      </c>
      <c r="W9" s="742">
        <v>367</v>
      </c>
      <c r="X9" s="106">
        <f>SUM(V9-W9)</f>
        <v>-46</v>
      </c>
      <c r="Y9" s="22">
        <f>IFERROR($W9/$V9, 0)</f>
        <v>1.1433021806853583</v>
      </c>
      <c r="Z9" s="678">
        <v>45905</v>
      </c>
      <c r="AA9" s="355">
        <v>0</v>
      </c>
      <c r="AB9" s="355">
        <v>0</v>
      </c>
      <c r="AC9" s="41">
        <v>0</v>
      </c>
      <c r="AD9" s="515" t="s">
        <v>561</v>
      </c>
    </row>
    <row r="10" spans="1:30" ht="39.75" customHeight="1">
      <c r="A10" s="939" t="s">
        <v>562</v>
      </c>
      <c r="B10" s="833" t="s">
        <v>206</v>
      </c>
      <c r="C10" s="834">
        <v>45955</v>
      </c>
      <c r="D10" s="835" t="s">
        <v>128</v>
      </c>
      <c r="E10" s="835">
        <v>45919</v>
      </c>
      <c r="F10" s="835" t="s">
        <v>232</v>
      </c>
      <c r="G10" s="836" t="s">
        <v>563</v>
      </c>
      <c r="H10" s="393">
        <v>0</v>
      </c>
      <c r="I10" s="837" t="s">
        <v>383</v>
      </c>
      <c r="J10" s="393" t="s">
        <v>63</v>
      </c>
      <c r="K10" s="393"/>
      <c r="L10" s="835" t="s">
        <v>52</v>
      </c>
      <c r="M10" s="393" t="s">
        <v>57</v>
      </c>
      <c r="N10" s="838">
        <v>4646.75</v>
      </c>
      <c r="O10" s="393" t="s">
        <v>92</v>
      </c>
      <c r="P10" s="913" t="s">
        <v>331</v>
      </c>
      <c r="Q10" s="598"/>
      <c r="R10" s="598">
        <v>45947</v>
      </c>
      <c r="S10" s="598"/>
      <c r="T10" s="598">
        <v>46014</v>
      </c>
      <c r="U10" s="486" t="s">
        <v>542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564</v>
      </c>
      <c r="B11" s="465" t="s">
        <v>108</v>
      </c>
      <c r="C11" s="476">
        <v>45960</v>
      </c>
      <c r="D11" s="467" t="s">
        <v>85</v>
      </c>
      <c r="E11" s="476">
        <v>45918</v>
      </c>
      <c r="F11" s="465" t="s">
        <v>109</v>
      </c>
      <c r="G11" s="50" t="s">
        <v>565</v>
      </c>
      <c r="H11" s="996">
        <v>0</v>
      </c>
      <c r="I11" s="661" t="s">
        <v>383</v>
      </c>
      <c r="J11" s="469" t="s">
        <v>63</v>
      </c>
      <c r="K11" s="469"/>
      <c r="L11" s="476">
        <v>45918</v>
      </c>
      <c r="M11" s="478" t="s">
        <v>57</v>
      </c>
      <c r="N11" s="543">
        <v>9611.9500000000007</v>
      </c>
      <c r="O11" s="478" t="s">
        <v>57</v>
      </c>
      <c r="P11" s="806" t="s">
        <v>331</v>
      </c>
      <c r="Q11" s="479">
        <v>45918</v>
      </c>
      <c r="R11" s="479"/>
      <c r="S11" s="479"/>
      <c r="T11" s="479"/>
      <c r="U11" s="486" t="s">
        <v>542</v>
      </c>
      <c r="V11" s="41">
        <v>807</v>
      </c>
      <c r="W11" s="742">
        <v>896</v>
      </c>
      <c r="X11" s="106">
        <f t="shared" si="8"/>
        <v>-89</v>
      </c>
      <c r="Y11" s="657">
        <f t="shared" si="9"/>
        <v>1.110285006195787</v>
      </c>
      <c r="Z11" s="678">
        <v>45938</v>
      </c>
      <c r="AA11" s="662">
        <v>1</v>
      </c>
      <c r="AB11" s="662">
        <v>1</v>
      </c>
      <c r="AC11" s="645">
        <v>0</v>
      </c>
      <c r="AD11" s="474" t="s">
        <v>566</v>
      </c>
    </row>
    <row r="12" spans="1:30" ht="39.75" customHeight="1">
      <c r="A12" s="1372" t="s">
        <v>567</v>
      </c>
      <c r="B12" s="1204" t="s">
        <v>108</v>
      </c>
      <c r="C12" s="1203">
        <v>46021</v>
      </c>
      <c r="D12" s="1203" t="s">
        <v>128</v>
      </c>
      <c r="E12" s="1203">
        <v>46001</v>
      </c>
      <c r="F12" s="1204" t="s">
        <v>141</v>
      </c>
      <c r="G12" s="1204"/>
      <c r="H12" s="1205">
        <v>49</v>
      </c>
      <c r="I12" s="661" t="s">
        <v>383</v>
      </c>
      <c r="J12" s="1205" t="s">
        <v>63</v>
      </c>
      <c r="K12" s="1205"/>
      <c r="L12" s="1203">
        <v>45994</v>
      </c>
      <c r="M12" s="1225" t="s">
        <v>57</v>
      </c>
      <c r="N12" s="1206">
        <v>42150</v>
      </c>
      <c r="O12" s="1225" t="s">
        <v>57</v>
      </c>
      <c r="P12" s="1373" t="s">
        <v>331</v>
      </c>
      <c r="Q12" s="1208">
        <v>45994</v>
      </c>
      <c r="R12" s="1208"/>
      <c r="S12" s="1208"/>
      <c r="T12" s="1208"/>
      <c r="U12" s="486" t="s">
        <v>542</v>
      </c>
      <c r="V12" s="787">
        <v>3885</v>
      </c>
      <c r="W12" s="1371">
        <v>3910</v>
      </c>
      <c r="X12" s="1209">
        <f>SUM(V12-W12)</f>
        <v>-25</v>
      </c>
      <c r="Y12" s="662">
        <f t="shared" si="9"/>
        <v>1.0064350064350065</v>
      </c>
      <c r="Z12" s="1228">
        <v>46006</v>
      </c>
      <c r="AA12" s="1211">
        <v>1</v>
      </c>
      <c r="AB12" s="355">
        <v>1</v>
      </c>
      <c r="AC12" s="645">
        <v>0</v>
      </c>
      <c r="AD12" s="1212" t="s">
        <v>568</v>
      </c>
    </row>
    <row r="13" spans="1:30" ht="39.75" customHeight="1">
      <c r="A13" s="845" t="s">
        <v>569</v>
      </c>
      <c r="B13" s="465" t="s">
        <v>108</v>
      </c>
      <c r="C13" s="476">
        <v>45899</v>
      </c>
      <c r="D13" s="511" t="s">
        <v>140</v>
      </c>
      <c r="E13" s="476">
        <v>45889</v>
      </c>
      <c r="F13" s="488" t="s">
        <v>162</v>
      </c>
      <c r="G13" s="477"/>
      <c r="H13" s="478">
        <v>76</v>
      </c>
      <c r="I13" s="483" t="s">
        <v>383</v>
      </c>
      <c r="J13" s="478" t="s">
        <v>63</v>
      </c>
      <c r="K13" s="487"/>
      <c r="L13" s="476">
        <v>45888</v>
      </c>
      <c r="M13" s="478" t="s">
        <v>57</v>
      </c>
      <c r="N13" s="543">
        <v>53902</v>
      </c>
      <c r="O13" s="478" t="s">
        <v>57</v>
      </c>
      <c r="P13" s="806" t="s">
        <v>331</v>
      </c>
      <c r="Q13" s="479">
        <v>45887</v>
      </c>
      <c r="R13" s="479"/>
      <c r="S13" s="479"/>
      <c r="T13" s="479"/>
      <c r="U13" s="486" t="s">
        <v>542</v>
      </c>
      <c r="V13" s="41">
        <v>3566</v>
      </c>
      <c r="W13" s="742">
        <v>3704</v>
      </c>
      <c r="X13" s="106">
        <f t="shared" si="8"/>
        <v>-138</v>
      </c>
      <c r="Y13" s="22">
        <f t="shared" si="9"/>
        <v>1.0386988222097588</v>
      </c>
      <c r="Z13" s="678">
        <v>45904</v>
      </c>
      <c r="AA13" s="355">
        <v>1</v>
      </c>
      <c r="AB13" s="355">
        <v>1</v>
      </c>
      <c r="AC13" s="645">
        <v>0</v>
      </c>
      <c r="AD13" s="515" t="s">
        <v>570</v>
      </c>
    </row>
    <row r="14" spans="1:30" ht="39.75" customHeight="1">
      <c r="A14" s="845" t="s">
        <v>571</v>
      </c>
      <c r="B14" s="465" t="s">
        <v>108</v>
      </c>
      <c r="C14" s="476">
        <v>45930</v>
      </c>
      <c r="D14" s="467" t="s">
        <v>128</v>
      </c>
      <c r="E14" s="467">
        <v>45896</v>
      </c>
      <c r="F14" s="465" t="s">
        <v>162</v>
      </c>
      <c r="G14" s="465" t="s">
        <v>572</v>
      </c>
      <c r="H14" s="469">
        <v>66</v>
      </c>
      <c r="I14" s="469" t="s">
        <v>383</v>
      </c>
      <c r="J14" s="469" t="s">
        <v>63</v>
      </c>
      <c r="K14" s="469"/>
      <c r="L14" s="467">
        <v>45897</v>
      </c>
      <c r="M14" s="469" t="s">
        <v>57</v>
      </c>
      <c r="N14" s="542">
        <v>44896.1</v>
      </c>
      <c r="O14" s="469" t="s">
        <v>57</v>
      </c>
      <c r="P14" s="806" t="s">
        <v>331</v>
      </c>
      <c r="Q14" s="471">
        <v>45897</v>
      </c>
      <c r="R14" s="482"/>
      <c r="S14" s="482"/>
      <c r="T14" s="482"/>
      <c r="U14" s="486" t="s">
        <v>542</v>
      </c>
      <c r="V14" s="472">
        <v>2385</v>
      </c>
      <c r="W14" s="742">
        <v>2385</v>
      </c>
      <c r="X14" s="106">
        <f t="shared" si="8"/>
        <v>0</v>
      </c>
      <c r="Y14" s="22">
        <f t="shared" si="9"/>
        <v>1</v>
      </c>
      <c r="Z14" s="678">
        <v>45918</v>
      </c>
      <c r="AA14" s="355">
        <v>1</v>
      </c>
      <c r="AB14" s="355">
        <v>1</v>
      </c>
      <c r="AC14" s="645">
        <v>0</v>
      </c>
      <c r="AD14" s="413" t="s">
        <v>573</v>
      </c>
    </row>
    <row r="15" spans="1:30" ht="39.75" customHeight="1">
      <c r="A15" s="845" t="s">
        <v>574</v>
      </c>
      <c r="B15" s="465" t="s">
        <v>108</v>
      </c>
      <c r="C15" s="476">
        <v>45930</v>
      </c>
      <c r="D15" s="467" t="s">
        <v>128</v>
      </c>
      <c r="E15" s="642">
        <v>45910</v>
      </c>
      <c r="F15" s="465" t="s">
        <v>109</v>
      </c>
      <c r="G15" s="465" t="s">
        <v>575</v>
      </c>
      <c r="H15" s="469">
        <v>80</v>
      </c>
      <c r="I15" s="469" t="s">
        <v>383</v>
      </c>
      <c r="J15" s="469" t="s">
        <v>63</v>
      </c>
      <c r="K15" s="469"/>
      <c r="L15" s="467">
        <v>45903</v>
      </c>
      <c r="M15" s="469" t="s">
        <v>57</v>
      </c>
      <c r="N15" s="542">
        <v>59116.7</v>
      </c>
      <c r="O15" s="469" t="s">
        <v>57</v>
      </c>
      <c r="P15" s="806" t="s">
        <v>331</v>
      </c>
      <c r="Q15" s="471">
        <v>45903</v>
      </c>
      <c r="R15" s="482"/>
      <c r="S15" s="482"/>
      <c r="T15" s="471"/>
      <c r="U15" s="486" t="s">
        <v>542</v>
      </c>
      <c r="V15" s="472">
        <v>4833</v>
      </c>
      <c r="W15" s="742">
        <v>4446</v>
      </c>
      <c r="X15" s="106">
        <f t="shared" si="8"/>
        <v>387</v>
      </c>
      <c r="Y15" s="22">
        <f t="shared" si="9"/>
        <v>0.91992551210428308</v>
      </c>
      <c r="Z15" s="678">
        <v>45923</v>
      </c>
      <c r="AA15" s="355">
        <v>1</v>
      </c>
      <c r="AB15" s="355">
        <v>1</v>
      </c>
      <c r="AC15" s="645">
        <v>0</v>
      </c>
      <c r="AD15" s="413" t="s">
        <v>576</v>
      </c>
    </row>
    <row r="16" spans="1:30" ht="39.75" customHeight="1">
      <c r="A16" s="1372" t="s">
        <v>577</v>
      </c>
      <c r="B16" s="1204" t="s">
        <v>108</v>
      </c>
      <c r="C16" s="1203">
        <v>46010</v>
      </c>
      <c r="D16" s="1203" t="s">
        <v>140</v>
      </c>
      <c r="E16" s="1203">
        <v>45974</v>
      </c>
      <c r="F16" s="1204" t="s">
        <v>109</v>
      </c>
      <c r="G16" s="1204" t="s">
        <v>578</v>
      </c>
      <c r="H16" s="1205">
        <v>67</v>
      </c>
      <c r="I16" s="661" t="s">
        <v>383</v>
      </c>
      <c r="J16" s="1205" t="s">
        <v>63</v>
      </c>
      <c r="K16" s="1205"/>
      <c r="L16" s="1203">
        <v>45936</v>
      </c>
      <c r="M16" s="1205" t="s">
        <v>57</v>
      </c>
      <c r="N16" s="1206">
        <v>38192</v>
      </c>
      <c r="O16" s="1205" t="s">
        <v>57</v>
      </c>
      <c r="P16" s="1373" t="s">
        <v>331</v>
      </c>
      <c r="Q16" s="1208">
        <v>45936</v>
      </c>
      <c r="R16" s="1254"/>
      <c r="S16" s="1254"/>
      <c r="T16" s="1254"/>
      <c r="U16" s="486" t="s">
        <v>542</v>
      </c>
      <c r="V16" s="1209">
        <v>2845</v>
      </c>
      <c r="W16" s="1371">
        <v>2825</v>
      </c>
      <c r="X16" s="1209">
        <f t="shared" si="8"/>
        <v>20</v>
      </c>
      <c r="Y16" s="662">
        <f t="shared" si="9"/>
        <v>0.99297012302284715</v>
      </c>
      <c r="Z16" s="1228">
        <v>46002</v>
      </c>
      <c r="AA16" s="1211">
        <v>1</v>
      </c>
      <c r="AB16" s="355">
        <v>1</v>
      </c>
      <c r="AC16" s="645">
        <v>0</v>
      </c>
      <c r="AD16" s="1212" t="s">
        <v>579</v>
      </c>
    </row>
    <row r="17" spans="1:30" ht="39.75" customHeight="1">
      <c r="A17" s="842" t="s">
        <v>580</v>
      </c>
      <c r="B17" s="465" t="s">
        <v>108</v>
      </c>
      <c r="C17" s="476">
        <v>45930</v>
      </c>
      <c r="D17" s="467" t="s">
        <v>128</v>
      </c>
      <c r="E17" s="642">
        <v>45910</v>
      </c>
      <c r="F17" s="642" t="s">
        <v>162</v>
      </c>
      <c r="G17" s="682" t="s">
        <v>581</v>
      </c>
      <c r="H17" s="469">
        <v>67</v>
      </c>
      <c r="I17" s="661" t="s">
        <v>383</v>
      </c>
      <c r="J17" s="469" t="s">
        <v>63</v>
      </c>
      <c r="K17" s="469"/>
      <c r="L17" s="467">
        <v>45903</v>
      </c>
      <c r="M17" s="469" t="s">
        <v>57</v>
      </c>
      <c r="N17" s="542">
        <v>40406</v>
      </c>
      <c r="O17" s="469" t="s">
        <v>57</v>
      </c>
      <c r="P17" s="806" t="s">
        <v>331</v>
      </c>
      <c r="Q17" s="471">
        <v>45903</v>
      </c>
      <c r="R17" s="552"/>
      <c r="S17" s="552"/>
      <c r="T17" s="552"/>
      <c r="U17" s="486" t="s">
        <v>542</v>
      </c>
      <c r="V17" s="472">
        <v>3895</v>
      </c>
      <c r="W17" s="742">
        <v>3809</v>
      </c>
      <c r="X17" s="106">
        <f t="shared" si="8"/>
        <v>86</v>
      </c>
      <c r="Y17" s="657">
        <f t="shared" si="9"/>
        <v>0.97792041078305525</v>
      </c>
      <c r="Z17" s="678">
        <v>45924</v>
      </c>
      <c r="AA17" s="355">
        <v>1</v>
      </c>
      <c r="AB17" s="355">
        <v>1</v>
      </c>
      <c r="AC17" s="645">
        <v>0</v>
      </c>
      <c r="AD17" s="873" t="s">
        <v>582</v>
      </c>
    </row>
    <row r="18" spans="1:30" ht="39.75" customHeight="1">
      <c r="A18" s="1372" t="s">
        <v>583</v>
      </c>
      <c r="B18" s="1204" t="s">
        <v>108</v>
      </c>
      <c r="C18" s="1203">
        <v>46010</v>
      </c>
      <c r="D18" s="1203" t="s">
        <v>140</v>
      </c>
      <c r="E18" s="1203">
        <v>45974</v>
      </c>
      <c r="F18" s="1204" t="s">
        <v>109</v>
      </c>
      <c r="G18" s="1204" t="s">
        <v>584</v>
      </c>
      <c r="H18" s="1205">
        <v>68</v>
      </c>
      <c r="I18" s="661" t="s">
        <v>383</v>
      </c>
      <c r="J18" s="1205" t="s">
        <v>63</v>
      </c>
      <c r="K18" s="1205"/>
      <c r="L18" s="1203">
        <v>45936</v>
      </c>
      <c r="M18" s="1205" t="s">
        <v>57</v>
      </c>
      <c r="N18" s="1206">
        <v>37755.599999999999</v>
      </c>
      <c r="O18" s="1205" t="s">
        <v>57</v>
      </c>
      <c r="P18" s="1373" t="s">
        <v>331</v>
      </c>
      <c r="Q18" s="1208">
        <v>45936</v>
      </c>
      <c r="R18" s="1254"/>
      <c r="S18" s="1254"/>
      <c r="T18" s="1254"/>
      <c r="U18" s="486" t="s">
        <v>542</v>
      </c>
      <c r="V18" s="1209">
        <v>2584</v>
      </c>
      <c r="W18" s="1371">
        <v>2584</v>
      </c>
      <c r="X18" s="1209">
        <f t="shared" si="8"/>
        <v>0</v>
      </c>
      <c r="Y18" s="662">
        <f t="shared" si="9"/>
        <v>1</v>
      </c>
      <c r="Z18" s="1228">
        <v>46000</v>
      </c>
      <c r="AA18" s="1211">
        <v>1</v>
      </c>
      <c r="AB18" s="355">
        <v>1</v>
      </c>
      <c r="AC18" s="645">
        <v>0</v>
      </c>
      <c r="AD18" s="1212" t="s">
        <v>585</v>
      </c>
    </row>
    <row r="19" spans="1:30" ht="39.75" customHeight="1">
      <c r="A19" s="1372" t="s">
        <v>586</v>
      </c>
      <c r="B19" s="1204" t="s">
        <v>108</v>
      </c>
      <c r="C19" s="1203">
        <v>46010</v>
      </c>
      <c r="D19" s="1203" t="s">
        <v>140</v>
      </c>
      <c r="E19" s="1203">
        <v>45974</v>
      </c>
      <c r="F19" s="1204" t="s">
        <v>109</v>
      </c>
      <c r="G19" s="1204" t="s">
        <v>587</v>
      </c>
      <c r="H19" s="1205">
        <v>28</v>
      </c>
      <c r="I19" s="661" t="s">
        <v>383</v>
      </c>
      <c r="J19" s="1205" t="s">
        <v>63</v>
      </c>
      <c r="K19" s="1205"/>
      <c r="L19" s="1203">
        <v>45972</v>
      </c>
      <c r="M19" s="1205" t="s">
        <v>57</v>
      </c>
      <c r="N19" s="1206">
        <v>27615.5</v>
      </c>
      <c r="O19" s="1205" t="s">
        <v>57</v>
      </c>
      <c r="P19" s="1373" t="s">
        <v>331</v>
      </c>
      <c r="Q19" s="1255">
        <v>45979</v>
      </c>
      <c r="R19" s="1256"/>
      <c r="S19" s="1254"/>
      <c r="T19" s="1254"/>
      <c r="U19" s="486" t="s">
        <v>542</v>
      </c>
      <c r="V19" s="1209">
        <v>2027</v>
      </c>
      <c r="W19" s="1371">
        <v>2146</v>
      </c>
      <c r="X19" s="1209">
        <f t="shared" si="8"/>
        <v>-119</v>
      </c>
      <c r="Y19" s="862">
        <f t="shared" si="9"/>
        <v>1.0587074494326592</v>
      </c>
      <c r="Z19" s="1208">
        <v>45994</v>
      </c>
      <c r="AA19" s="1211">
        <v>1</v>
      </c>
      <c r="AB19" s="355">
        <v>1</v>
      </c>
      <c r="AC19" s="645">
        <v>0</v>
      </c>
      <c r="AD19" s="1212" t="s">
        <v>588</v>
      </c>
    </row>
    <row r="20" spans="1:30" ht="39.75" customHeight="1">
      <c r="A20" s="1372" t="s">
        <v>589</v>
      </c>
      <c r="B20" s="1204" t="s">
        <v>108</v>
      </c>
      <c r="C20" s="1203">
        <v>46006</v>
      </c>
      <c r="D20" s="1203" t="s">
        <v>128</v>
      </c>
      <c r="E20" s="1203">
        <v>45999</v>
      </c>
      <c r="F20" s="1204" t="s">
        <v>109</v>
      </c>
      <c r="G20" s="1204" t="s">
        <v>590</v>
      </c>
      <c r="H20" s="1205">
        <v>87</v>
      </c>
      <c r="I20" s="661" t="s">
        <v>383</v>
      </c>
      <c r="J20" s="1205" t="s">
        <v>63</v>
      </c>
      <c r="K20" s="469"/>
      <c r="L20" s="1203">
        <v>45999</v>
      </c>
      <c r="M20" s="1205" t="s">
        <v>57</v>
      </c>
      <c r="N20" s="1206">
        <v>74384</v>
      </c>
      <c r="O20" s="1205" t="s">
        <v>57</v>
      </c>
      <c r="P20" s="1373" t="s">
        <v>331</v>
      </c>
      <c r="Q20" s="1255">
        <v>45999</v>
      </c>
      <c r="R20" s="552"/>
      <c r="S20" s="552"/>
      <c r="T20" s="552"/>
      <c r="U20" s="486" t="s">
        <v>542</v>
      </c>
      <c r="V20" s="1209">
        <v>6130</v>
      </c>
      <c r="W20" s="1371">
        <v>5915</v>
      </c>
      <c r="X20" s="1209">
        <f t="shared" si="8"/>
        <v>215</v>
      </c>
      <c r="Y20" s="662">
        <f t="shared" si="9"/>
        <v>0.96492659053833607</v>
      </c>
      <c r="Z20" s="1228">
        <v>46006</v>
      </c>
      <c r="AA20" s="1211">
        <v>1</v>
      </c>
      <c r="AB20" s="1211">
        <v>1</v>
      </c>
      <c r="AC20" s="645">
        <v>0</v>
      </c>
      <c r="AD20" s="1212" t="s">
        <v>591</v>
      </c>
    </row>
    <row r="21" spans="1:30" ht="39.75" customHeight="1">
      <c r="A21" s="929" t="s">
        <v>592</v>
      </c>
      <c r="B21" s="465" t="s">
        <v>108</v>
      </c>
      <c r="C21" s="467">
        <v>46006</v>
      </c>
      <c r="D21" s="467" t="s">
        <v>128</v>
      </c>
      <c r="E21" s="467">
        <v>45979</v>
      </c>
      <c r="F21" s="465" t="s">
        <v>162</v>
      </c>
      <c r="G21" s="682" t="s">
        <v>593</v>
      </c>
      <c r="H21" s="469">
        <v>28</v>
      </c>
      <c r="I21" s="661" t="s">
        <v>383</v>
      </c>
      <c r="J21" s="469" t="s">
        <v>63</v>
      </c>
      <c r="K21" s="469"/>
      <c r="L21" s="467">
        <v>45979</v>
      </c>
      <c r="M21" s="469" t="s">
        <v>57</v>
      </c>
      <c r="N21" s="542">
        <v>29683</v>
      </c>
      <c r="O21" s="469" t="s">
        <v>57</v>
      </c>
      <c r="P21" s="806" t="s">
        <v>331</v>
      </c>
      <c r="Q21" s="1001">
        <v>45979</v>
      </c>
      <c r="R21" s="552"/>
      <c r="S21" s="552"/>
      <c r="T21" s="552"/>
      <c r="U21" s="486" t="s">
        <v>542</v>
      </c>
      <c r="V21" s="472">
        <v>2416</v>
      </c>
      <c r="W21" s="742">
        <v>2533</v>
      </c>
      <c r="X21" s="472">
        <f t="shared" si="8"/>
        <v>-117</v>
      </c>
      <c r="Y21" s="862">
        <f t="shared" si="9"/>
        <v>1.0484271523178808</v>
      </c>
      <c r="Z21" s="471">
        <v>45994</v>
      </c>
      <c r="AA21" s="355">
        <v>1</v>
      </c>
      <c r="AB21" s="355">
        <v>1</v>
      </c>
      <c r="AC21" s="645">
        <v>0</v>
      </c>
      <c r="AD21" s="474" t="s">
        <v>594</v>
      </c>
    </row>
    <row r="22" spans="1:30" ht="39.75" customHeight="1">
      <c r="A22" s="929" t="s">
        <v>595</v>
      </c>
      <c r="B22" s="465" t="s">
        <v>108</v>
      </c>
      <c r="C22" s="476">
        <v>45960</v>
      </c>
      <c r="D22" s="467" t="s">
        <v>128</v>
      </c>
      <c r="E22" s="467">
        <v>45936</v>
      </c>
      <c r="F22" s="465" t="s">
        <v>141</v>
      </c>
      <c r="G22" s="682"/>
      <c r="H22" s="469">
        <v>35</v>
      </c>
      <c r="I22" s="661" t="s">
        <v>383</v>
      </c>
      <c r="J22" s="469" t="s">
        <v>63</v>
      </c>
      <c r="K22" s="469"/>
      <c r="L22" s="467">
        <v>45933</v>
      </c>
      <c r="M22" s="469" t="s">
        <v>57</v>
      </c>
      <c r="N22" s="542">
        <v>26026</v>
      </c>
      <c r="O22" s="469" t="s">
        <v>57</v>
      </c>
      <c r="P22" s="806" t="s">
        <v>331</v>
      </c>
      <c r="Q22" s="471">
        <v>45933</v>
      </c>
      <c r="R22" s="552"/>
      <c r="S22" s="552"/>
      <c r="T22" s="552"/>
      <c r="U22" s="486" t="s">
        <v>542</v>
      </c>
      <c r="V22" s="472">
        <v>2071</v>
      </c>
      <c r="W22" s="742">
        <v>2072</v>
      </c>
      <c r="X22" s="472">
        <f>SUM(V22-W22)</f>
        <v>-1</v>
      </c>
      <c r="Y22" s="662">
        <f t="shared" ref="Y22" si="10">IFERROR($W22/$V22, 0)</f>
        <v>1.000482858522453</v>
      </c>
      <c r="Z22" s="479">
        <v>45958</v>
      </c>
      <c r="AA22" s="355">
        <v>1</v>
      </c>
      <c r="AB22" s="355">
        <v>1</v>
      </c>
      <c r="AC22" s="787">
        <v>0</v>
      </c>
      <c r="AD22" s="474" t="s">
        <v>596</v>
      </c>
    </row>
    <row r="23" spans="1:30" ht="39.75" customHeight="1">
      <c r="A23" s="845" t="s">
        <v>597</v>
      </c>
      <c r="B23" s="465" t="s">
        <v>108</v>
      </c>
      <c r="C23" s="476">
        <v>45960</v>
      </c>
      <c r="D23" s="467" t="s">
        <v>128</v>
      </c>
      <c r="E23" s="467">
        <v>45915</v>
      </c>
      <c r="F23" s="642" t="s">
        <v>162</v>
      </c>
      <c r="G23" s="682"/>
      <c r="H23" s="469">
        <v>82</v>
      </c>
      <c r="I23" s="661" t="s">
        <v>383</v>
      </c>
      <c r="J23" s="469" t="s">
        <v>63</v>
      </c>
      <c r="K23" s="469"/>
      <c r="L23" s="467">
        <v>45912</v>
      </c>
      <c r="M23" s="469" t="s">
        <v>57</v>
      </c>
      <c r="N23" s="542">
        <v>82621.149999999994</v>
      </c>
      <c r="O23" s="469" t="s">
        <v>57</v>
      </c>
      <c r="P23" s="806" t="s">
        <v>331</v>
      </c>
      <c r="Q23" s="471">
        <v>45912</v>
      </c>
      <c r="R23" s="471"/>
      <c r="S23" s="471"/>
      <c r="T23" s="471"/>
      <c r="U23" s="486" t="s">
        <v>542</v>
      </c>
      <c r="V23" s="472">
        <v>5653</v>
      </c>
      <c r="W23" s="742">
        <v>5653</v>
      </c>
      <c r="X23" s="106">
        <f t="shared" si="8"/>
        <v>0</v>
      </c>
      <c r="Y23" s="657">
        <f t="shared" si="9"/>
        <v>1</v>
      </c>
      <c r="Z23" s="678">
        <v>45932</v>
      </c>
      <c r="AA23" s="355">
        <v>1</v>
      </c>
      <c r="AB23" s="355">
        <v>1</v>
      </c>
      <c r="AC23" s="787">
        <v>0</v>
      </c>
      <c r="AD23" s="873" t="s">
        <v>598</v>
      </c>
    </row>
    <row r="24" spans="1:30" ht="39.75" customHeight="1">
      <c r="A24" s="842" t="s">
        <v>599</v>
      </c>
      <c r="B24" s="465" t="s">
        <v>108</v>
      </c>
      <c r="C24" s="476">
        <v>45945</v>
      </c>
      <c r="D24" s="467" t="s">
        <v>128</v>
      </c>
      <c r="E24" s="467">
        <v>45932</v>
      </c>
      <c r="F24" s="465" t="s">
        <v>162</v>
      </c>
      <c r="G24" s="682"/>
      <c r="H24" s="469">
        <v>34</v>
      </c>
      <c r="I24" s="661" t="s">
        <v>383</v>
      </c>
      <c r="J24" s="469" t="s">
        <v>63</v>
      </c>
      <c r="K24" s="469"/>
      <c r="L24" s="467">
        <v>45933</v>
      </c>
      <c r="M24" s="469" t="s">
        <v>57</v>
      </c>
      <c r="N24" s="542">
        <v>29646</v>
      </c>
      <c r="O24" s="469" t="s">
        <v>57</v>
      </c>
      <c r="P24" s="806" t="s">
        <v>331</v>
      </c>
      <c r="Q24" s="471">
        <v>45933</v>
      </c>
      <c r="R24" s="552"/>
      <c r="S24" s="552"/>
      <c r="T24" s="552"/>
      <c r="U24" s="486" t="s">
        <v>542</v>
      </c>
      <c r="V24" s="472">
        <v>2188</v>
      </c>
      <c r="W24" s="742">
        <v>2278</v>
      </c>
      <c r="X24" s="106">
        <f>SUM(V24-W24)</f>
        <v>-90</v>
      </c>
      <c r="Y24" s="657">
        <f>IFERROR($W24/$V24, 0)</f>
        <v>1.0411334552102376</v>
      </c>
      <c r="Z24" s="678">
        <v>45931</v>
      </c>
      <c r="AA24" s="355">
        <v>1</v>
      </c>
      <c r="AB24" s="355">
        <v>1</v>
      </c>
      <c r="AC24" s="787">
        <v>0</v>
      </c>
      <c r="AD24" s="873" t="s">
        <v>600</v>
      </c>
    </row>
    <row r="25" spans="1:30" ht="39.75" customHeight="1">
      <c r="A25" s="929" t="s">
        <v>601</v>
      </c>
      <c r="B25" s="465" t="s">
        <v>108</v>
      </c>
      <c r="C25" s="476">
        <v>45960</v>
      </c>
      <c r="D25" s="467" t="s">
        <v>201</v>
      </c>
      <c r="E25" s="467">
        <v>45932</v>
      </c>
      <c r="F25" s="465" t="s">
        <v>109</v>
      </c>
      <c r="G25" s="682"/>
      <c r="H25" s="469">
        <v>79</v>
      </c>
      <c r="I25" s="661" t="s">
        <v>383</v>
      </c>
      <c r="J25" s="469" t="s">
        <v>63</v>
      </c>
      <c r="K25" s="469"/>
      <c r="L25" s="467">
        <v>45933</v>
      </c>
      <c r="M25" s="469" t="s">
        <v>57</v>
      </c>
      <c r="N25" s="542">
        <v>45014</v>
      </c>
      <c r="O25" s="469" t="s">
        <v>57</v>
      </c>
      <c r="P25" s="806" t="s">
        <v>331</v>
      </c>
      <c r="Q25" s="471">
        <v>45933</v>
      </c>
      <c r="R25" s="552"/>
      <c r="S25" s="552"/>
      <c r="T25" s="552"/>
      <c r="U25" s="486" t="s">
        <v>542</v>
      </c>
      <c r="V25" s="472">
        <v>3378</v>
      </c>
      <c r="W25" s="742">
        <v>3372</v>
      </c>
      <c r="X25" s="472">
        <f>SUM(V25-W25)</f>
        <v>6</v>
      </c>
      <c r="Y25" s="662">
        <f t="shared" ref="Y25" si="11">IFERROR($W25/$V25, 0)</f>
        <v>0.9982238010657194</v>
      </c>
      <c r="Z25" s="479">
        <v>45958</v>
      </c>
      <c r="AA25" s="355">
        <v>1</v>
      </c>
      <c r="AB25" s="355">
        <v>1</v>
      </c>
      <c r="AC25" s="787">
        <v>0</v>
      </c>
      <c r="AD25" s="952" t="s">
        <v>602</v>
      </c>
    </row>
    <row r="26" spans="1:30" ht="39.75" customHeight="1">
      <c r="A26" s="929" t="s">
        <v>603</v>
      </c>
      <c r="B26" s="465" t="s">
        <v>108</v>
      </c>
      <c r="C26" s="476">
        <v>45960</v>
      </c>
      <c r="D26" s="467" t="s">
        <v>128</v>
      </c>
      <c r="E26" s="467">
        <v>45936</v>
      </c>
      <c r="F26" s="465" t="s">
        <v>109</v>
      </c>
      <c r="G26" s="682"/>
      <c r="H26" s="469">
        <v>75</v>
      </c>
      <c r="I26" s="661" t="s">
        <v>383</v>
      </c>
      <c r="J26" s="469" t="s">
        <v>63</v>
      </c>
      <c r="K26" s="469"/>
      <c r="L26" s="467">
        <v>45936</v>
      </c>
      <c r="M26" s="469" t="s">
        <v>57</v>
      </c>
      <c r="N26" s="542">
        <v>38796</v>
      </c>
      <c r="O26" s="469" t="s">
        <v>57</v>
      </c>
      <c r="P26" s="806" t="s">
        <v>331</v>
      </c>
      <c r="Q26" s="471">
        <v>45936</v>
      </c>
      <c r="R26" s="552"/>
      <c r="S26" s="552"/>
      <c r="T26" s="552"/>
      <c r="U26" s="486" t="s">
        <v>542</v>
      </c>
      <c r="V26" s="416">
        <v>2874</v>
      </c>
      <c r="W26" s="951">
        <v>2875</v>
      </c>
      <c r="X26" s="106">
        <f t="shared" ref="X26:X31" si="12">SUM(V26-W26)</f>
        <v>-1</v>
      </c>
      <c r="Y26" s="657">
        <f t="shared" ref="Y26:Y31" si="13">IFERROR($W26/$V26, 0)</f>
        <v>1.0003479471120389</v>
      </c>
      <c r="Z26" s="678">
        <v>45944</v>
      </c>
      <c r="AA26" s="355">
        <v>1</v>
      </c>
      <c r="AB26" s="355">
        <v>1</v>
      </c>
      <c r="AC26" s="472">
        <v>0</v>
      </c>
      <c r="AD26" s="170" t="s">
        <v>604</v>
      </c>
    </row>
    <row r="27" spans="1:30" ht="39.75" customHeight="1">
      <c r="A27" s="929" t="s">
        <v>605</v>
      </c>
      <c r="B27" s="465" t="s">
        <v>108</v>
      </c>
      <c r="C27" s="476">
        <v>45976</v>
      </c>
      <c r="D27" s="467" t="s">
        <v>128</v>
      </c>
      <c r="E27" s="467">
        <v>45959</v>
      </c>
      <c r="F27" s="465" t="s">
        <v>141</v>
      </c>
      <c r="G27" s="682"/>
      <c r="H27" s="469">
        <v>61</v>
      </c>
      <c r="I27" s="661" t="s">
        <v>383</v>
      </c>
      <c r="J27" s="469" t="s">
        <v>63</v>
      </c>
      <c r="K27" s="469"/>
      <c r="L27" s="467">
        <v>45962</v>
      </c>
      <c r="M27" s="469" t="s">
        <v>57</v>
      </c>
      <c r="N27" s="542">
        <v>35050</v>
      </c>
      <c r="O27" s="469" t="s">
        <v>57</v>
      </c>
      <c r="P27" s="806" t="s">
        <v>331</v>
      </c>
      <c r="Q27" s="471">
        <v>45961</v>
      </c>
      <c r="R27" s="552"/>
      <c r="S27" s="552"/>
      <c r="T27" s="552"/>
      <c r="U27" s="486" t="s">
        <v>542</v>
      </c>
      <c r="V27" s="472">
        <v>2527</v>
      </c>
      <c r="W27" s="742">
        <v>2647</v>
      </c>
      <c r="X27" s="472">
        <f t="shared" si="12"/>
        <v>-120</v>
      </c>
      <c r="Y27" s="662">
        <f t="shared" si="13"/>
        <v>1.0474871388998812</v>
      </c>
      <c r="Z27" s="479">
        <v>45973</v>
      </c>
      <c r="AA27" s="355">
        <v>1</v>
      </c>
      <c r="AB27" s="355">
        <v>1</v>
      </c>
      <c r="AC27" s="787">
        <v>0</v>
      </c>
      <c r="AD27" s="436" t="s">
        <v>606</v>
      </c>
    </row>
    <row r="28" spans="1:30" ht="39.75" customHeight="1">
      <c r="A28" s="929" t="s">
        <v>607</v>
      </c>
      <c r="B28" s="465" t="s">
        <v>108</v>
      </c>
      <c r="C28" s="476">
        <v>45976</v>
      </c>
      <c r="D28" s="467" t="s">
        <v>128</v>
      </c>
      <c r="E28" s="467">
        <v>45958</v>
      </c>
      <c r="F28" s="465" t="s">
        <v>141</v>
      </c>
      <c r="G28" s="682"/>
      <c r="H28" s="469">
        <v>48</v>
      </c>
      <c r="I28" s="661" t="s">
        <v>383</v>
      </c>
      <c r="J28" s="469" t="s">
        <v>63</v>
      </c>
      <c r="K28" s="469"/>
      <c r="L28" s="467">
        <v>45954</v>
      </c>
      <c r="M28" s="469" t="s">
        <v>57</v>
      </c>
      <c r="N28" s="542">
        <v>54228.7</v>
      </c>
      <c r="O28" s="469" t="s">
        <v>57</v>
      </c>
      <c r="P28" s="806" t="s">
        <v>331</v>
      </c>
      <c r="Q28" s="471">
        <v>45953</v>
      </c>
      <c r="R28" s="552"/>
      <c r="S28" s="552"/>
      <c r="T28" s="552"/>
      <c r="U28" s="486" t="s">
        <v>542</v>
      </c>
      <c r="V28" s="472">
        <v>4141</v>
      </c>
      <c r="W28" s="742">
        <v>4316</v>
      </c>
      <c r="X28" s="472">
        <f t="shared" si="12"/>
        <v>-175</v>
      </c>
      <c r="Y28" s="662">
        <f t="shared" si="13"/>
        <v>1.042260323593335</v>
      </c>
      <c r="Z28" s="479">
        <v>45964</v>
      </c>
      <c r="AA28" s="355">
        <v>1</v>
      </c>
      <c r="AB28" s="355">
        <v>1</v>
      </c>
      <c r="AC28" s="787">
        <v>0</v>
      </c>
      <c r="AD28" s="436" t="s">
        <v>608</v>
      </c>
    </row>
    <row r="29" spans="1:30" ht="39.75" customHeight="1">
      <c r="A29" s="929" t="s">
        <v>609</v>
      </c>
      <c r="B29" s="465" t="s">
        <v>108</v>
      </c>
      <c r="C29" s="476">
        <v>45991</v>
      </c>
      <c r="D29" s="467" t="s">
        <v>201</v>
      </c>
      <c r="E29" s="467">
        <v>45936</v>
      </c>
      <c r="F29" s="465" t="s">
        <v>141</v>
      </c>
      <c r="G29" s="682"/>
      <c r="H29" s="469">
        <v>83</v>
      </c>
      <c r="I29" s="661" t="s">
        <v>383</v>
      </c>
      <c r="J29" s="469" t="s">
        <v>63</v>
      </c>
      <c r="K29" s="469"/>
      <c r="L29" s="467">
        <v>45936</v>
      </c>
      <c r="M29" s="469" t="s">
        <v>57</v>
      </c>
      <c r="N29" s="542">
        <v>96748</v>
      </c>
      <c r="O29" s="469" t="s">
        <v>57</v>
      </c>
      <c r="P29" s="844" t="s">
        <v>331</v>
      </c>
      <c r="Q29" s="347">
        <v>45936</v>
      </c>
      <c r="R29" s="1341"/>
      <c r="S29" s="1004"/>
      <c r="T29" s="552"/>
      <c r="U29" s="486" t="s">
        <v>542</v>
      </c>
      <c r="V29" s="472">
        <v>6240</v>
      </c>
      <c r="W29" s="742">
        <v>6203</v>
      </c>
      <c r="X29" s="472">
        <f t="shared" si="12"/>
        <v>37</v>
      </c>
      <c r="Y29" s="662">
        <f t="shared" si="13"/>
        <v>0.99407051282051284</v>
      </c>
      <c r="Z29" s="479">
        <v>45951</v>
      </c>
      <c r="AA29" s="355">
        <v>1</v>
      </c>
      <c r="AB29" s="355">
        <v>1</v>
      </c>
      <c r="AC29" s="645">
        <v>0</v>
      </c>
      <c r="AD29" s="1067" t="s">
        <v>610</v>
      </c>
    </row>
    <row r="30" spans="1:30" ht="39.75" customHeight="1">
      <c r="A30" s="929" t="s">
        <v>611</v>
      </c>
      <c r="B30" s="465" t="s">
        <v>108</v>
      </c>
      <c r="C30" s="467">
        <v>45991</v>
      </c>
      <c r="D30" s="467" t="s">
        <v>128</v>
      </c>
      <c r="E30" s="467">
        <v>45966</v>
      </c>
      <c r="F30" s="465" t="s">
        <v>109</v>
      </c>
      <c r="G30" s="468" t="s">
        <v>612</v>
      </c>
      <c r="H30" s="469">
        <v>69</v>
      </c>
      <c r="I30" s="661" t="s">
        <v>383</v>
      </c>
      <c r="J30" s="469" t="s">
        <v>63</v>
      </c>
      <c r="K30" s="469"/>
      <c r="L30" s="467">
        <v>45969</v>
      </c>
      <c r="M30" s="469" t="s">
        <v>57</v>
      </c>
      <c r="N30" s="542">
        <v>75672.100000000006</v>
      </c>
      <c r="O30" s="469" t="s">
        <v>57</v>
      </c>
      <c r="P30" s="1151" t="s">
        <v>331</v>
      </c>
      <c r="Q30" s="124">
        <v>45969</v>
      </c>
      <c r="R30" s="651"/>
      <c r="S30" s="1004"/>
      <c r="T30" s="552"/>
      <c r="U30" s="486" t="s">
        <v>542</v>
      </c>
      <c r="V30" s="472">
        <v>5654</v>
      </c>
      <c r="W30" s="742">
        <v>5646</v>
      </c>
      <c r="X30" s="472">
        <f t="shared" si="12"/>
        <v>8</v>
      </c>
      <c r="Y30" s="662">
        <f t="shared" si="13"/>
        <v>0.99858507251503359</v>
      </c>
      <c r="Z30" s="479">
        <v>45978</v>
      </c>
      <c r="AA30" s="355">
        <v>1</v>
      </c>
      <c r="AB30" s="355">
        <v>1</v>
      </c>
      <c r="AC30" s="787">
        <v>0</v>
      </c>
      <c r="AD30" s="474" t="s">
        <v>613</v>
      </c>
    </row>
    <row r="31" spans="1:30" ht="39.75" customHeight="1">
      <c r="A31" s="929" t="s">
        <v>614</v>
      </c>
      <c r="B31" s="465" t="s">
        <v>108</v>
      </c>
      <c r="C31" s="467">
        <v>46001</v>
      </c>
      <c r="D31" s="467" t="s">
        <v>128</v>
      </c>
      <c r="E31" s="467">
        <v>45966</v>
      </c>
      <c r="F31" s="465" t="s">
        <v>109</v>
      </c>
      <c r="G31" s="682" t="s">
        <v>615</v>
      </c>
      <c r="H31" s="469">
        <v>88</v>
      </c>
      <c r="I31" s="661" t="s">
        <v>383</v>
      </c>
      <c r="J31" s="469" t="s">
        <v>63</v>
      </c>
      <c r="K31" s="469"/>
      <c r="L31" s="467">
        <v>45967</v>
      </c>
      <c r="M31" s="469" t="s">
        <v>57</v>
      </c>
      <c r="N31" s="542">
        <v>76565.850000000006</v>
      </c>
      <c r="O31" s="469" t="s">
        <v>57</v>
      </c>
      <c r="P31" s="1151" t="s">
        <v>331</v>
      </c>
      <c r="Q31" s="124">
        <v>45967</v>
      </c>
      <c r="R31" s="651"/>
      <c r="S31" s="1004"/>
      <c r="T31" s="552"/>
      <c r="U31" s="486" t="s">
        <v>542</v>
      </c>
      <c r="V31" s="472">
        <v>6025</v>
      </c>
      <c r="W31" s="742">
        <v>6130</v>
      </c>
      <c r="X31" s="472">
        <f t="shared" si="12"/>
        <v>-105</v>
      </c>
      <c r="Y31" s="662">
        <f t="shared" si="13"/>
        <v>1.0174273858921161</v>
      </c>
      <c r="Z31" s="479">
        <v>45985</v>
      </c>
      <c r="AA31" s="355">
        <v>1</v>
      </c>
      <c r="AB31" s="355">
        <v>1</v>
      </c>
      <c r="AC31" s="787">
        <v>0</v>
      </c>
      <c r="AD31" s="474" t="s">
        <v>616</v>
      </c>
    </row>
    <row r="32" spans="1:30" ht="39.75" customHeight="1">
      <c r="A32" s="929" t="s">
        <v>617</v>
      </c>
      <c r="B32" s="465" t="s">
        <v>108</v>
      </c>
      <c r="C32" s="467">
        <v>45991</v>
      </c>
      <c r="D32" s="467" t="s">
        <v>128</v>
      </c>
      <c r="E32" s="467">
        <v>45966</v>
      </c>
      <c r="F32" s="465" t="s">
        <v>141</v>
      </c>
      <c r="G32" s="682" t="s">
        <v>618</v>
      </c>
      <c r="H32" s="469">
        <v>75</v>
      </c>
      <c r="I32" s="661" t="s">
        <v>383</v>
      </c>
      <c r="J32" s="469" t="s">
        <v>63</v>
      </c>
      <c r="K32" s="469"/>
      <c r="L32" s="467">
        <v>45967</v>
      </c>
      <c r="M32" s="469" t="s">
        <v>57</v>
      </c>
      <c r="N32" s="542">
        <v>60620</v>
      </c>
      <c r="O32" s="469" t="s">
        <v>57</v>
      </c>
      <c r="P32" s="1423" t="s">
        <v>331</v>
      </c>
      <c r="Q32" s="347">
        <v>45967</v>
      </c>
      <c r="R32" s="1341"/>
      <c r="S32" s="1004"/>
      <c r="T32" s="552"/>
      <c r="U32" s="486" t="s">
        <v>542</v>
      </c>
      <c r="V32" s="472">
        <v>4814</v>
      </c>
      <c r="W32" s="742">
        <v>4708</v>
      </c>
      <c r="X32" s="472">
        <f>SUM(V32-W32)</f>
        <v>106</v>
      </c>
      <c r="Y32" s="862">
        <f>IFERROR($W32/$V32, 0)</f>
        <v>0.97798088907353553</v>
      </c>
      <c r="Z32" s="479">
        <v>45986</v>
      </c>
      <c r="AA32" s="355">
        <v>1</v>
      </c>
      <c r="AB32" s="355">
        <v>1</v>
      </c>
      <c r="AC32" s="787">
        <v>0</v>
      </c>
      <c r="AD32" s="757" t="s">
        <v>619</v>
      </c>
    </row>
    <row r="33" spans="1:30" ht="39.75" customHeight="1">
      <c r="A33" s="1372" t="s">
        <v>620</v>
      </c>
      <c r="B33" s="1204" t="s">
        <v>108</v>
      </c>
      <c r="C33" s="1203">
        <v>46001</v>
      </c>
      <c r="D33" s="1203" t="s">
        <v>128</v>
      </c>
      <c r="E33" s="1203">
        <v>46009</v>
      </c>
      <c r="F33" s="1204" t="s">
        <v>109</v>
      </c>
      <c r="G33" s="1204" t="s">
        <v>621</v>
      </c>
      <c r="H33" s="1205">
        <v>48</v>
      </c>
      <c r="I33" s="661" t="s">
        <v>383</v>
      </c>
      <c r="J33" s="1205" t="s">
        <v>63</v>
      </c>
      <c r="K33" s="1205"/>
      <c r="L33" s="1203">
        <v>45965</v>
      </c>
      <c r="M33" s="1205" t="s">
        <v>57</v>
      </c>
      <c r="N33" s="1206">
        <v>18021.7</v>
      </c>
      <c r="O33" s="1205" t="s">
        <v>57</v>
      </c>
      <c r="P33" s="1373" t="s">
        <v>331</v>
      </c>
      <c r="Q33" s="1208">
        <v>45965</v>
      </c>
      <c r="R33" s="1254"/>
      <c r="S33" s="1254"/>
      <c r="T33" s="1254"/>
      <c r="U33" s="486" t="s">
        <v>542</v>
      </c>
      <c r="V33" s="1209">
        <v>1111</v>
      </c>
      <c r="W33" s="1371">
        <v>1188</v>
      </c>
      <c r="X33" s="1209">
        <f t="shared" ref="X33:X34" si="14">SUM(V33-W33)</f>
        <v>-77</v>
      </c>
      <c r="Y33" s="662">
        <f t="shared" ref="Y33:Y34" si="15">IFERROR($W33/$V33, 0)</f>
        <v>1.0693069306930694</v>
      </c>
      <c r="Z33" s="1228">
        <v>46020</v>
      </c>
      <c r="AA33" s="355">
        <v>1</v>
      </c>
      <c r="AB33" s="355">
        <v>1</v>
      </c>
      <c r="AC33" s="645">
        <v>0</v>
      </c>
      <c r="AD33" s="1212" t="s">
        <v>622</v>
      </c>
    </row>
    <row r="34" spans="1:30" ht="39.75" customHeight="1">
      <c r="A34" s="1372" t="s">
        <v>623</v>
      </c>
      <c r="B34" s="1204" t="s">
        <v>108</v>
      </c>
      <c r="C34" s="1203">
        <v>46001</v>
      </c>
      <c r="D34" s="1203" t="s">
        <v>128</v>
      </c>
      <c r="E34" s="1203">
        <v>46009</v>
      </c>
      <c r="F34" s="1204" t="s">
        <v>109</v>
      </c>
      <c r="G34" s="1204" t="s">
        <v>624</v>
      </c>
      <c r="H34" s="1205">
        <v>56</v>
      </c>
      <c r="I34" s="661" t="s">
        <v>383</v>
      </c>
      <c r="J34" s="1205" t="s">
        <v>63</v>
      </c>
      <c r="K34" s="1205"/>
      <c r="L34" s="1203">
        <v>45965</v>
      </c>
      <c r="M34" s="1205" t="s">
        <v>57</v>
      </c>
      <c r="N34" s="1206">
        <v>20705</v>
      </c>
      <c r="O34" s="1205" t="s">
        <v>57</v>
      </c>
      <c r="P34" s="1373" t="s">
        <v>331</v>
      </c>
      <c r="Q34" s="1208">
        <v>45965</v>
      </c>
      <c r="R34" s="1254"/>
      <c r="S34" s="1254"/>
      <c r="T34" s="1254"/>
      <c r="U34" s="486" t="s">
        <v>542</v>
      </c>
      <c r="V34" s="1209">
        <v>900</v>
      </c>
      <c r="W34" s="1371">
        <v>900</v>
      </c>
      <c r="X34" s="1209">
        <f t="shared" si="14"/>
        <v>0</v>
      </c>
      <c r="Y34" s="662">
        <f t="shared" si="15"/>
        <v>1</v>
      </c>
      <c r="Z34" s="1228">
        <v>46020</v>
      </c>
      <c r="AA34" s="1211">
        <v>1</v>
      </c>
      <c r="AB34" s="355">
        <v>1</v>
      </c>
      <c r="AC34" s="645">
        <v>0</v>
      </c>
      <c r="AD34" s="1212" t="s">
        <v>625</v>
      </c>
    </row>
    <row r="35" spans="1:30" ht="39.75" customHeight="1">
      <c r="A35" s="842" t="s">
        <v>626</v>
      </c>
      <c r="B35" s="681" t="s">
        <v>108</v>
      </c>
      <c r="C35" s="476">
        <v>45930</v>
      </c>
      <c r="D35" s="642" t="s">
        <v>85</v>
      </c>
      <c r="E35" s="467">
        <v>45902</v>
      </c>
      <c r="F35" s="465" t="s">
        <v>109</v>
      </c>
      <c r="G35" s="758"/>
      <c r="H35" s="469">
        <v>0</v>
      </c>
      <c r="I35" s="661" t="s">
        <v>383</v>
      </c>
      <c r="J35" s="469" t="s">
        <v>63</v>
      </c>
      <c r="K35" s="469"/>
      <c r="L35" s="476">
        <v>45902</v>
      </c>
      <c r="M35" s="469" t="s">
        <v>57</v>
      </c>
      <c r="N35" s="542">
        <v>5604.6</v>
      </c>
      <c r="O35" s="469" t="s">
        <v>57</v>
      </c>
      <c r="P35" s="1423" t="s">
        <v>331</v>
      </c>
      <c r="Q35" s="166">
        <v>45902</v>
      </c>
      <c r="R35" s="347"/>
      <c r="S35" s="471"/>
      <c r="T35" s="124"/>
      <c r="U35" s="87" t="s">
        <v>542</v>
      </c>
      <c r="V35" s="646">
        <v>328</v>
      </c>
      <c r="W35" s="742">
        <v>335</v>
      </c>
      <c r="X35" s="472">
        <f t="shared" si="8"/>
        <v>-7</v>
      </c>
      <c r="Y35" s="473">
        <f t="shared" si="9"/>
        <v>1.0213414634146341</v>
      </c>
      <c r="Z35" s="479">
        <v>45922</v>
      </c>
      <c r="AA35" s="355">
        <v>1</v>
      </c>
      <c r="AB35" s="355">
        <v>1</v>
      </c>
      <c r="AC35" s="472">
        <v>0</v>
      </c>
      <c r="AD35" s="757" t="s">
        <v>627</v>
      </c>
    </row>
    <row r="36" spans="1:30" ht="39.75" customHeight="1">
      <c r="A36" s="854" t="s">
        <v>628</v>
      </c>
      <c r="B36" s="681" t="s">
        <v>108</v>
      </c>
      <c r="C36" s="467">
        <v>45975</v>
      </c>
      <c r="D36" s="467" t="s">
        <v>629</v>
      </c>
      <c r="E36" s="467">
        <v>45982</v>
      </c>
      <c r="F36" s="642" t="s">
        <v>109</v>
      </c>
      <c r="G36" s="682" t="s">
        <v>630</v>
      </c>
      <c r="H36" s="469">
        <v>0</v>
      </c>
      <c r="I36" s="469" t="s">
        <v>383</v>
      </c>
      <c r="J36" s="469" t="s">
        <v>63</v>
      </c>
      <c r="K36" s="469"/>
      <c r="L36" s="467">
        <v>45968</v>
      </c>
      <c r="M36" s="469" t="s">
        <v>57</v>
      </c>
      <c r="N36" s="542">
        <v>12840.7</v>
      </c>
      <c r="O36" s="469" t="s">
        <v>57</v>
      </c>
      <c r="P36" s="806" t="s">
        <v>331</v>
      </c>
      <c r="Q36" s="124">
        <v>45937</v>
      </c>
      <c r="R36" s="347"/>
      <c r="S36" s="471"/>
      <c r="T36" s="193"/>
      <c r="U36" s="87" t="s">
        <v>542</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631</v>
      </c>
      <c r="B37" s="1204" t="s">
        <v>108</v>
      </c>
      <c r="C37" s="1203">
        <v>46031</v>
      </c>
      <c r="D37" s="1203" t="s">
        <v>128</v>
      </c>
      <c r="E37" s="1203">
        <v>46002</v>
      </c>
      <c r="F37" s="1204" t="s">
        <v>141</v>
      </c>
      <c r="G37" s="1204" t="s">
        <v>632</v>
      </c>
      <c r="H37" s="1205">
        <v>0</v>
      </c>
      <c r="I37" s="1205" t="s">
        <v>383</v>
      </c>
      <c r="J37" s="1205" t="s">
        <v>63</v>
      </c>
      <c r="K37" s="469"/>
      <c r="L37" s="1203" t="s">
        <v>157</v>
      </c>
      <c r="M37" s="1205" t="s">
        <v>57</v>
      </c>
      <c r="N37" s="1206">
        <v>23475.5</v>
      </c>
      <c r="O37" s="1270" t="s">
        <v>57</v>
      </c>
      <c r="P37" s="1429" t="s">
        <v>331</v>
      </c>
      <c r="Q37" s="1255">
        <v>45999</v>
      </c>
      <c r="R37" s="124"/>
      <c r="S37" s="124"/>
      <c r="T37" s="193"/>
      <c r="U37" s="87" t="s">
        <v>542</v>
      </c>
      <c r="V37" s="1426">
        <v>1890</v>
      </c>
      <c r="W37" s="1422">
        <v>2048</v>
      </c>
      <c r="X37" s="1266">
        <f>SUM(V37-W37)</f>
        <v>-158</v>
      </c>
      <c r="Y37" s="1364">
        <f t="shared" si="9"/>
        <v>1.0835978835978837</v>
      </c>
      <c r="Z37" s="1228">
        <v>46009</v>
      </c>
      <c r="AA37" s="1211">
        <v>1</v>
      </c>
      <c r="AB37" s="355">
        <v>1</v>
      </c>
      <c r="AC37" s="645">
        <v>0</v>
      </c>
      <c r="AD37" s="1212" t="s">
        <v>633</v>
      </c>
    </row>
    <row r="38" spans="1:30" ht="39.75" customHeight="1">
      <c r="A38" s="1372" t="s">
        <v>634</v>
      </c>
      <c r="B38" s="1204" t="s">
        <v>108</v>
      </c>
      <c r="C38" s="1203">
        <v>46003</v>
      </c>
      <c r="D38" s="1203" t="s">
        <v>128</v>
      </c>
      <c r="E38" s="1203">
        <v>46002</v>
      </c>
      <c r="F38" s="1204" t="s">
        <v>141</v>
      </c>
      <c r="G38" s="1204"/>
      <c r="H38" s="1205">
        <v>0</v>
      </c>
      <c r="I38" s="1205" t="s">
        <v>383</v>
      </c>
      <c r="J38" s="1205" t="s">
        <v>63</v>
      </c>
      <c r="K38" s="1205"/>
      <c r="L38" s="1203" t="s">
        <v>157</v>
      </c>
      <c r="M38" s="1205" t="s">
        <v>57</v>
      </c>
      <c r="N38" s="1206">
        <v>11500.3</v>
      </c>
      <c r="O38" s="1270" t="s">
        <v>57</v>
      </c>
      <c r="P38" s="1429" t="s">
        <v>331</v>
      </c>
      <c r="Q38" s="1255">
        <v>45994</v>
      </c>
      <c r="R38" s="1255"/>
      <c r="S38" s="1255"/>
      <c r="T38" s="1431"/>
      <c r="U38" s="1102" t="s">
        <v>542</v>
      </c>
      <c r="V38" s="1132">
        <v>908</v>
      </c>
      <c r="W38" s="1427">
        <v>925</v>
      </c>
      <c r="X38" s="1365">
        <f>SUM(V38-W38)</f>
        <v>-17</v>
      </c>
      <c r="Y38" s="662">
        <f t="shared" si="9"/>
        <v>1.0187224669603525</v>
      </c>
      <c r="Z38" s="1228">
        <v>46013</v>
      </c>
      <c r="AA38" s="1211">
        <v>1</v>
      </c>
      <c r="AB38" s="355">
        <v>1</v>
      </c>
      <c r="AC38" s="645">
        <v>0</v>
      </c>
      <c r="AD38" s="1212" t="s">
        <v>635</v>
      </c>
    </row>
    <row r="39" spans="1:30" ht="39.75" customHeight="1">
      <c r="A39" s="929" t="s">
        <v>636</v>
      </c>
      <c r="B39" s="465" t="s">
        <v>108</v>
      </c>
      <c r="C39" s="476">
        <v>45991</v>
      </c>
      <c r="D39" s="467" t="s">
        <v>201</v>
      </c>
      <c r="E39" s="467">
        <v>45953</v>
      </c>
      <c r="F39" s="465" t="s">
        <v>141</v>
      </c>
      <c r="G39" s="682" t="s">
        <v>637</v>
      </c>
      <c r="H39" s="469">
        <v>0</v>
      </c>
      <c r="I39" s="469" t="s">
        <v>383</v>
      </c>
      <c r="J39" s="469" t="s">
        <v>63</v>
      </c>
      <c r="K39" s="469"/>
      <c r="L39" s="467" t="s">
        <v>157</v>
      </c>
      <c r="M39" s="469" t="s">
        <v>57</v>
      </c>
      <c r="N39" s="542">
        <v>51970</v>
      </c>
      <c r="O39" s="87" t="s">
        <v>57</v>
      </c>
      <c r="P39" s="1430" t="s">
        <v>331</v>
      </c>
      <c r="Q39" s="124">
        <v>45953</v>
      </c>
      <c r="R39" s="124"/>
      <c r="S39" s="124"/>
      <c r="T39" s="652"/>
      <c r="U39" s="486" t="s">
        <v>542</v>
      </c>
      <c r="V39" s="963">
        <v>4544</v>
      </c>
      <c r="W39" s="852">
        <v>4569</v>
      </c>
      <c r="X39" s="472">
        <f>SUM(V39-W39)</f>
        <v>-25</v>
      </c>
      <c r="Y39" s="662">
        <f>IFERROR($W39/$V39, 0)</f>
        <v>1.0055017605633803</v>
      </c>
      <c r="Z39" s="479">
        <v>45960</v>
      </c>
      <c r="AA39" s="355">
        <v>1</v>
      </c>
      <c r="AB39" s="355">
        <v>0</v>
      </c>
      <c r="AC39" s="472">
        <v>0</v>
      </c>
      <c r="AD39" s="1152" t="s">
        <v>638</v>
      </c>
    </row>
    <row r="40" spans="1:30" ht="39.75" customHeight="1">
      <c r="A40" s="929" t="s">
        <v>639</v>
      </c>
      <c r="B40" s="681" t="s">
        <v>108</v>
      </c>
      <c r="C40" s="476">
        <v>45991</v>
      </c>
      <c r="D40" s="467" t="s">
        <v>201</v>
      </c>
      <c r="E40" s="467">
        <v>45961</v>
      </c>
      <c r="F40" s="465" t="s">
        <v>109</v>
      </c>
      <c r="G40" s="682"/>
      <c r="H40" s="469">
        <v>0</v>
      </c>
      <c r="I40" s="469" t="s">
        <v>383</v>
      </c>
      <c r="J40" s="469" t="s">
        <v>63</v>
      </c>
      <c r="K40" s="469"/>
      <c r="L40" s="467" t="s">
        <v>157</v>
      </c>
      <c r="M40" s="469" t="s">
        <v>57</v>
      </c>
      <c r="N40" s="542">
        <v>39221.800000000003</v>
      </c>
      <c r="O40" s="1428" t="s">
        <v>57</v>
      </c>
      <c r="P40" s="1342" t="s">
        <v>331</v>
      </c>
      <c r="Q40" s="1424">
        <v>45950</v>
      </c>
      <c r="R40" s="1425"/>
      <c r="S40" s="1001"/>
      <c r="T40" s="471"/>
      <c r="U40" s="486" t="s">
        <v>542</v>
      </c>
      <c r="V40" s="416">
        <v>3078</v>
      </c>
      <c r="W40" s="951">
        <v>3272</v>
      </c>
      <c r="X40" s="472">
        <f t="shared" si="8"/>
        <v>-194</v>
      </c>
      <c r="Y40" s="662">
        <f t="shared" si="9"/>
        <v>1.0630279402209226</v>
      </c>
      <c r="Z40" s="479">
        <v>45966</v>
      </c>
      <c r="AA40" s="355">
        <v>1</v>
      </c>
      <c r="AB40" s="355">
        <v>1</v>
      </c>
      <c r="AC40" s="472">
        <v>0</v>
      </c>
      <c r="AD40" s="170" t="s">
        <v>640</v>
      </c>
    </row>
    <row r="41" spans="1:30" ht="39.75" customHeight="1">
      <c r="A41" s="929" t="s">
        <v>641</v>
      </c>
      <c r="B41" s="465" t="s">
        <v>108</v>
      </c>
      <c r="C41" s="467">
        <v>45996</v>
      </c>
      <c r="D41" s="467" t="s">
        <v>447</v>
      </c>
      <c r="E41" s="467">
        <v>45958</v>
      </c>
      <c r="F41" s="465" t="s">
        <v>141</v>
      </c>
      <c r="G41" s="468" t="s">
        <v>642</v>
      </c>
      <c r="H41" s="469">
        <v>303</v>
      </c>
      <c r="I41" s="661" t="s">
        <v>383</v>
      </c>
      <c r="J41" s="469" t="s">
        <v>56</v>
      </c>
      <c r="K41" s="469"/>
      <c r="L41" s="467">
        <v>45953</v>
      </c>
      <c r="M41" s="469" t="s">
        <v>57</v>
      </c>
      <c r="N41" s="542">
        <v>168480.8</v>
      </c>
      <c r="O41" s="469" t="s">
        <v>57</v>
      </c>
      <c r="P41" s="806" t="s">
        <v>331</v>
      </c>
      <c r="Q41" s="471">
        <v>45953</v>
      </c>
      <c r="R41" s="471"/>
      <c r="S41" s="471"/>
      <c r="T41" s="471"/>
      <c r="U41" s="486" t="s">
        <v>542</v>
      </c>
      <c r="V41" s="472">
        <v>13760</v>
      </c>
      <c r="W41" s="742">
        <v>13760</v>
      </c>
      <c r="X41" s="106">
        <f t="shared" si="8"/>
        <v>0</v>
      </c>
      <c r="Y41" s="657">
        <f t="shared" si="9"/>
        <v>1</v>
      </c>
      <c r="Z41" s="678">
        <v>45978</v>
      </c>
      <c r="AA41" s="355">
        <v>1</v>
      </c>
      <c r="AB41" s="355">
        <v>1</v>
      </c>
      <c r="AC41" s="472">
        <v>0</v>
      </c>
      <c r="AD41" s="757" t="s">
        <v>643</v>
      </c>
    </row>
    <row r="42" spans="1:30" ht="39.75" customHeight="1">
      <c r="A42" s="842" t="s">
        <v>644</v>
      </c>
      <c r="B42" s="465" t="s">
        <v>108</v>
      </c>
      <c r="C42" s="476">
        <v>45960</v>
      </c>
      <c r="D42" s="467" t="s">
        <v>645</v>
      </c>
      <c r="E42" s="467">
        <v>45915</v>
      </c>
      <c r="F42" s="465" t="s">
        <v>646</v>
      </c>
      <c r="G42" s="682"/>
      <c r="H42" s="469">
        <v>384</v>
      </c>
      <c r="I42" s="661" t="s">
        <v>383</v>
      </c>
      <c r="J42" s="469" t="s">
        <v>56</v>
      </c>
      <c r="K42" s="469"/>
      <c r="L42" s="467">
        <v>45905</v>
      </c>
      <c r="M42" s="469" t="s">
        <v>57</v>
      </c>
      <c r="N42" s="542">
        <v>145985.5</v>
      </c>
      <c r="O42" s="469" t="s">
        <v>57</v>
      </c>
      <c r="P42" s="1106" t="s">
        <v>331</v>
      </c>
      <c r="Q42" s="1001">
        <v>45906</v>
      </c>
      <c r="R42" s="471"/>
      <c r="S42" s="471"/>
      <c r="T42" s="471"/>
      <c r="U42" s="486" t="s">
        <v>542</v>
      </c>
      <c r="V42" s="787">
        <v>14150</v>
      </c>
      <c r="W42" s="879">
        <v>15469</v>
      </c>
      <c r="X42" s="106">
        <f t="shared" si="8"/>
        <v>-1319</v>
      </c>
      <c r="Y42" s="657">
        <f t="shared" si="9"/>
        <v>1.0932155477031802</v>
      </c>
      <c r="Z42" s="678">
        <v>45926</v>
      </c>
      <c r="AA42" s="355">
        <v>1</v>
      </c>
      <c r="AB42" s="355">
        <v>1</v>
      </c>
      <c r="AC42" s="472">
        <v>0</v>
      </c>
      <c r="AD42" s="871" t="s">
        <v>647</v>
      </c>
    </row>
    <row r="43" spans="1:30" ht="39.75" customHeight="1">
      <c r="A43" s="929" t="s">
        <v>648</v>
      </c>
      <c r="B43" s="465" t="s">
        <v>108</v>
      </c>
      <c r="C43" s="476">
        <v>45930</v>
      </c>
      <c r="D43" s="467" t="s">
        <v>649</v>
      </c>
      <c r="E43" s="467">
        <v>45916</v>
      </c>
      <c r="F43" s="465" t="s">
        <v>109</v>
      </c>
      <c r="G43" s="682"/>
      <c r="H43" s="469">
        <v>84</v>
      </c>
      <c r="I43" s="661" t="s">
        <v>383</v>
      </c>
      <c r="J43" s="469" t="s">
        <v>56</v>
      </c>
      <c r="K43" s="469"/>
      <c r="L43" s="465" t="s">
        <v>331</v>
      </c>
      <c r="M43" s="469" t="s">
        <v>57</v>
      </c>
      <c r="N43" s="542">
        <v>30892</v>
      </c>
      <c r="O43" s="469" t="s">
        <v>57</v>
      </c>
      <c r="P43" s="806" t="s">
        <v>331</v>
      </c>
      <c r="Q43" s="471">
        <v>45911</v>
      </c>
      <c r="R43" s="471"/>
      <c r="S43" s="471"/>
      <c r="T43" s="471"/>
      <c r="U43" s="486" t="s">
        <v>542</v>
      </c>
      <c r="V43" s="787">
        <v>2811</v>
      </c>
      <c r="W43" s="879">
        <v>2732</v>
      </c>
      <c r="X43" s="106">
        <f>SUM(V43-W43)</f>
        <v>79</v>
      </c>
      <c r="Y43" s="22">
        <f>IFERROR($W43/$V43, 0)</f>
        <v>0.97189612237637857</v>
      </c>
      <c r="Z43" s="678">
        <v>45922</v>
      </c>
      <c r="AA43" s="355">
        <v>1</v>
      </c>
      <c r="AB43" s="355">
        <v>1</v>
      </c>
      <c r="AC43" s="472">
        <v>0</v>
      </c>
      <c r="AD43" s="664" t="s">
        <v>650</v>
      </c>
    </row>
    <row r="44" spans="1:30" ht="39.75" customHeight="1">
      <c r="A44" s="854" t="s">
        <v>651</v>
      </c>
      <c r="B44" s="465" t="s">
        <v>108</v>
      </c>
      <c r="C44" s="467">
        <v>46017</v>
      </c>
      <c r="D44" s="467" t="s">
        <v>450</v>
      </c>
      <c r="E44" s="467">
        <v>45936</v>
      </c>
      <c r="F44" s="465" t="s">
        <v>109</v>
      </c>
      <c r="G44" s="468"/>
      <c r="H44" s="469">
        <v>157</v>
      </c>
      <c r="I44" s="661" t="s">
        <v>383</v>
      </c>
      <c r="J44" s="469" t="s">
        <v>56</v>
      </c>
      <c r="K44" s="469"/>
      <c r="L44" s="467">
        <v>45943</v>
      </c>
      <c r="M44" s="469" t="s">
        <v>57</v>
      </c>
      <c r="N44" s="542">
        <v>64059.5</v>
      </c>
      <c r="O44" s="469" t="s">
        <v>57</v>
      </c>
      <c r="P44" s="860" t="s">
        <v>331</v>
      </c>
      <c r="Q44" s="471">
        <v>45943</v>
      </c>
      <c r="R44" s="471"/>
      <c r="S44" s="471"/>
      <c r="T44" s="471"/>
      <c r="U44" s="486" t="s">
        <v>542</v>
      </c>
      <c r="V44" s="472">
        <v>4725</v>
      </c>
      <c r="W44" s="879">
        <v>4725</v>
      </c>
      <c r="X44" s="495">
        <v>0</v>
      </c>
      <c r="Y44" s="861">
        <v>1</v>
      </c>
      <c r="Z44" s="678">
        <v>45971</v>
      </c>
      <c r="AA44" s="355">
        <v>1</v>
      </c>
      <c r="AB44" s="355">
        <v>1</v>
      </c>
      <c r="AC44" s="472">
        <v>0</v>
      </c>
      <c r="AD44" s="664"/>
    </row>
    <row r="45" spans="1:30" ht="39.75" customHeight="1">
      <c r="A45" s="842" t="s">
        <v>652</v>
      </c>
      <c r="B45" s="823" t="s">
        <v>50</v>
      </c>
      <c r="C45" s="642">
        <v>45838</v>
      </c>
      <c r="D45" s="475" t="s">
        <v>653</v>
      </c>
      <c r="E45" s="476">
        <v>45727</v>
      </c>
      <c r="F45" s="475" t="s">
        <v>68</v>
      </c>
      <c r="G45" s="846" t="s">
        <v>654</v>
      </c>
      <c r="H45" s="478">
        <v>71</v>
      </c>
      <c r="I45" s="828" t="s">
        <v>383</v>
      </c>
      <c r="J45" s="478" t="s">
        <v>63</v>
      </c>
      <c r="K45" s="487"/>
      <c r="L45" s="476">
        <v>45728</v>
      </c>
      <c r="M45" s="478" t="s">
        <v>57</v>
      </c>
      <c r="N45" s="543">
        <v>60843.5</v>
      </c>
      <c r="O45" s="478" t="s">
        <v>57</v>
      </c>
      <c r="P45" s="806" t="s">
        <v>331</v>
      </c>
      <c r="Q45" s="479">
        <v>45722</v>
      </c>
      <c r="R45" s="479">
        <v>45917</v>
      </c>
      <c r="S45" s="479">
        <v>45939</v>
      </c>
      <c r="T45" s="479"/>
      <c r="U45" s="486" t="s">
        <v>542</v>
      </c>
      <c r="V45" s="847">
        <v>4979</v>
      </c>
      <c r="W45" s="742">
        <v>5020</v>
      </c>
      <c r="X45" s="472">
        <f t="shared" si="8"/>
        <v>-41</v>
      </c>
      <c r="Y45" s="662">
        <f t="shared" si="9"/>
        <v>1.0082345852580838</v>
      </c>
      <c r="Z45" s="479">
        <v>45741</v>
      </c>
      <c r="AA45" s="662">
        <v>1</v>
      </c>
      <c r="AB45" s="662">
        <v>1</v>
      </c>
      <c r="AC45" s="352">
        <v>0</v>
      </c>
      <c r="AD45" s="664" t="s">
        <v>655</v>
      </c>
    </row>
    <row r="46" spans="1:30" ht="39.75" customHeight="1">
      <c r="A46" s="927" t="s">
        <v>656</v>
      </c>
      <c r="B46" s="510" t="s">
        <v>50</v>
      </c>
      <c r="C46" s="496">
        <v>45772</v>
      </c>
      <c r="D46" s="511" t="s">
        <v>657</v>
      </c>
      <c r="E46" s="511">
        <v>45693</v>
      </c>
      <c r="F46" s="501" t="s">
        <v>68</v>
      </c>
      <c r="G46" s="512" t="s">
        <v>658</v>
      </c>
      <c r="H46" s="504">
        <v>86</v>
      </c>
      <c r="I46" s="506" t="s">
        <v>383</v>
      </c>
      <c r="J46" s="504" t="s">
        <v>63</v>
      </c>
      <c r="K46" s="504"/>
      <c r="L46" s="511">
        <v>45714</v>
      </c>
      <c r="M46" s="504" t="s">
        <v>57</v>
      </c>
      <c r="N46" s="545">
        <v>94170.5</v>
      </c>
      <c r="O46" s="504" t="s">
        <v>57</v>
      </c>
      <c r="P46" s="928" t="s">
        <v>331</v>
      </c>
      <c r="Q46" s="479">
        <v>45693</v>
      </c>
      <c r="R46" s="479">
        <v>45869</v>
      </c>
      <c r="S46" s="479">
        <v>45903</v>
      </c>
      <c r="T46" s="479"/>
      <c r="U46" s="486" t="s">
        <v>542</v>
      </c>
      <c r="V46" s="493">
        <v>7980</v>
      </c>
      <c r="W46" s="741">
        <v>7901</v>
      </c>
      <c r="X46" s="106">
        <f t="shared" si="8"/>
        <v>79</v>
      </c>
      <c r="Y46" s="22">
        <f t="shared" si="9"/>
        <v>0.99010025062656637</v>
      </c>
      <c r="Z46" s="678">
        <v>45713</v>
      </c>
      <c r="AA46" s="473">
        <v>1</v>
      </c>
      <c r="AB46" s="473">
        <v>1</v>
      </c>
      <c r="AC46" s="815">
        <v>0</v>
      </c>
      <c r="AD46" s="173" t="s">
        <v>659</v>
      </c>
    </row>
    <row r="47" spans="1:30" ht="39.75" customHeight="1">
      <c r="A47" s="927" t="s">
        <v>660</v>
      </c>
      <c r="B47" s="510" t="s">
        <v>50</v>
      </c>
      <c r="C47" s="496">
        <v>45772</v>
      </c>
      <c r="D47" s="511" t="s">
        <v>657</v>
      </c>
      <c r="E47" s="511">
        <v>45698</v>
      </c>
      <c r="F47" s="496" t="s">
        <v>68</v>
      </c>
      <c r="G47" s="512" t="s">
        <v>661</v>
      </c>
      <c r="H47" s="504">
        <v>89</v>
      </c>
      <c r="I47" s="504" t="s">
        <v>383</v>
      </c>
      <c r="J47" s="504" t="s">
        <v>63</v>
      </c>
      <c r="K47" s="504"/>
      <c r="L47" s="511">
        <v>45695</v>
      </c>
      <c r="M47" s="504" t="s">
        <v>57</v>
      </c>
      <c r="N47" s="546">
        <v>89698.5</v>
      </c>
      <c r="O47" s="504" t="s">
        <v>57</v>
      </c>
      <c r="P47" s="928" t="s">
        <v>331</v>
      </c>
      <c r="Q47" s="479">
        <v>45694</v>
      </c>
      <c r="R47" s="479">
        <v>45917</v>
      </c>
      <c r="S47" s="479">
        <v>45936</v>
      </c>
      <c r="T47" s="479"/>
      <c r="U47" s="486" t="s">
        <v>542</v>
      </c>
      <c r="V47" s="493">
        <v>7562</v>
      </c>
      <c r="W47" s="741">
        <v>7556</v>
      </c>
      <c r="X47" s="106">
        <f t="shared" si="8"/>
        <v>6</v>
      </c>
      <c r="Y47" s="22">
        <f t="shared" si="9"/>
        <v>0.99920655911134626</v>
      </c>
      <c r="Z47" s="678">
        <v>45709</v>
      </c>
      <c r="AA47" s="473">
        <v>1</v>
      </c>
      <c r="AB47" s="473">
        <v>1</v>
      </c>
      <c r="AC47" s="815">
        <v>0</v>
      </c>
      <c r="AD47" s="201" t="s">
        <v>662</v>
      </c>
    </row>
    <row r="48" spans="1:30" ht="39.75" customHeight="1">
      <c r="A48" s="848" t="s">
        <v>663</v>
      </c>
      <c r="B48" s="823" t="s">
        <v>50</v>
      </c>
      <c r="C48" s="476">
        <v>45772</v>
      </c>
      <c r="D48" s="476" t="s">
        <v>653</v>
      </c>
      <c r="E48" s="826">
        <v>45686</v>
      </c>
      <c r="F48" s="475" t="s">
        <v>68</v>
      </c>
      <c r="G48" s="849" t="s">
        <v>664</v>
      </c>
      <c r="H48" s="828">
        <v>77</v>
      </c>
      <c r="I48" s="661" t="s">
        <v>383</v>
      </c>
      <c r="J48" s="828" t="s">
        <v>63</v>
      </c>
      <c r="K48" s="828"/>
      <c r="L48" s="826">
        <v>45686</v>
      </c>
      <c r="M48" s="828" t="s">
        <v>57</v>
      </c>
      <c r="N48" s="850">
        <v>61924</v>
      </c>
      <c r="O48" s="828" t="s">
        <v>57</v>
      </c>
      <c r="P48" s="806" t="s">
        <v>331</v>
      </c>
      <c r="Q48" s="479">
        <v>45692</v>
      </c>
      <c r="R48" s="479">
        <v>45847</v>
      </c>
      <c r="S48" s="479">
        <v>45852</v>
      </c>
      <c r="T48" s="479"/>
      <c r="U48" s="486" t="s">
        <v>542</v>
      </c>
      <c r="V48" s="851">
        <v>5005</v>
      </c>
      <c r="W48" s="852">
        <v>4996</v>
      </c>
      <c r="X48" s="472">
        <f t="shared" si="8"/>
        <v>9</v>
      </c>
      <c r="Y48" s="662">
        <f t="shared" si="9"/>
        <v>0.99820179820179822</v>
      </c>
      <c r="Z48" s="479">
        <v>45708</v>
      </c>
      <c r="AA48" s="662">
        <v>1</v>
      </c>
      <c r="AB48" s="662">
        <v>1</v>
      </c>
      <c r="AC48" s="815">
        <v>0</v>
      </c>
      <c r="AD48" s="853" t="s">
        <v>665</v>
      </c>
    </row>
    <row r="49" spans="1:30" ht="39.75" customHeight="1">
      <c r="A49" s="848" t="s">
        <v>666</v>
      </c>
      <c r="B49" s="823" t="s">
        <v>50</v>
      </c>
      <c r="C49" s="476">
        <v>45772</v>
      </c>
      <c r="D49" s="826" t="s">
        <v>667</v>
      </c>
      <c r="E49" s="826">
        <v>45694</v>
      </c>
      <c r="F49" s="826" t="s">
        <v>68</v>
      </c>
      <c r="G49" s="849" t="s">
        <v>668</v>
      </c>
      <c r="H49" s="828">
        <v>84</v>
      </c>
      <c r="I49" s="661" t="s">
        <v>383</v>
      </c>
      <c r="J49" s="828" t="s">
        <v>63</v>
      </c>
      <c r="K49" s="828"/>
      <c r="L49" s="826">
        <v>45698</v>
      </c>
      <c r="M49" s="828" t="s">
        <v>57</v>
      </c>
      <c r="N49" s="850">
        <v>63402.5</v>
      </c>
      <c r="O49" s="828" t="s">
        <v>57</v>
      </c>
      <c r="P49" s="806" t="s">
        <v>331</v>
      </c>
      <c r="Q49" s="479">
        <v>45695</v>
      </c>
      <c r="R49" s="479">
        <v>45847</v>
      </c>
      <c r="S49" s="479">
        <v>45852</v>
      </c>
      <c r="T49" s="479"/>
      <c r="U49" s="486" t="s">
        <v>542</v>
      </c>
      <c r="V49" s="847">
        <v>4979</v>
      </c>
      <c r="W49" s="852">
        <v>4984</v>
      </c>
      <c r="X49" s="472">
        <f t="shared" si="8"/>
        <v>-5</v>
      </c>
      <c r="Y49" s="662">
        <f t="shared" si="9"/>
        <v>1.0010042177144005</v>
      </c>
      <c r="Z49" s="479">
        <v>45714</v>
      </c>
      <c r="AA49" s="662">
        <v>1</v>
      </c>
      <c r="AB49" s="662">
        <v>1</v>
      </c>
      <c r="AC49" s="815">
        <v>0</v>
      </c>
      <c r="AD49" s="148" t="s">
        <v>669</v>
      </c>
    </row>
    <row r="50" spans="1:30" ht="39.75" customHeight="1">
      <c r="A50" s="1097" t="s">
        <v>670</v>
      </c>
      <c r="B50" s="378" t="s">
        <v>50</v>
      </c>
      <c r="C50" s="51">
        <v>45742</v>
      </c>
      <c r="D50" s="1086" t="s">
        <v>671</v>
      </c>
      <c r="E50" s="381">
        <v>45680</v>
      </c>
      <c r="F50" s="50" t="s">
        <v>68</v>
      </c>
      <c r="G50" s="572" t="s">
        <v>672</v>
      </c>
      <c r="H50" s="52">
        <v>79</v>
      </c>
      <c r="I50" s="1088" t="s">
        <v>534</v>
      </c>
      <c r="J50" s="977" t="s">
        <v>63</v>
      </c>
      <c r="K50" s="52"/>
      <c r="L50" s="374" t="s">
        <v>331</v>
      </c>
      <c r="M50" s="380" t="s">
        <v>57</v>
      </c>
      <c r="N50" s="1076">
        <v>64790.5</v>
      </c>
      <c r="O50" s="380" t="s">
        <v>57</v>
      </c>
      <c r="P50" s="1098" t="s">
        <v>331</v>
      </c>
      <c r="Q50" s="54">
        <v>45675</v>
      </c>
      <c r="R50" s="54">
        <v>45917</v>
      </c>
      <c r="S50" s="54">
        <v>45931</v>
      </c>
      <c r="T50" s="54"/>
      <c r="U50" s="486" t="s">
        <v>542</v>
      </c>
      <c r="V50" s="31">
        <v>4975</v>
      </c>
      <c r="W50" s="1099">
        <v>4975</v>
      </c>
      <c r="X50" s="106">
        <f t="shared" si="8"/>
        <v>0</v>
      </c>
      <c r="Y50" s="22">
        <f t="shared" si="9"/>
        <v>1</v>
      </c>
      <c r="Z50" s="195">
        <v>45680</v>
      </c>
      <c r="AA50" s="355">
        <v>0</v>
      </c>
      <c r="AB50" s="355">
        <v>0</v>
      </c>
      <c r="AC50" s="815">
        <v>0</v>
      </c>
      <c r="AD50" s="69" t="s">
        <v>673</v>
      </c>
    </row>
    <row r="51" spans="1:30" ht="39.75" customHeight="1">
      <c r="A51" s="842" t="s">
        <v>674</v>
      </c>
      <c r="B51" s="823" t="s">
        <v>50</v>
      </c>
      <c r="C51" s="467">
        <v>45960</v>
      </c>
      <c r="D51" s="465" t="s">
        <v>231</v>
      </c>
      <c r="E51" s="467">
        <v>45927</v>
      </c>
      <c r="F51" s="465" t="s">
        <v>61</v>
      </c>
      <c r="G51" s="682" t="s">
        <v>675</v>
      </c>
      <c r="H51" s="469">
        <v>86</v>
      </c>
      <c r="I51" s="661" t="s">
        <v>383</v>
      </c>
      <c r="J51" s="469" t="s">
        <v>63</v>
      </c>
      <c r="K51" s="478"/>
      <c r="L51" s="467">
        <v>45917</v>
      </c>
      <c r="M51" s="469" t="s">
        <v>57</v>
      </c>
      <c r="N51" s="542">
        <v>45500</v>
      </c>
      <c r="O51" s="469" t="s">
        <v>57</v>
      </c>
      <c r="P51" s="806" t="s">
        <v>331</v>
      </c>
      <c r="Q51" s="471">
        <v>45917</v>
      </c>
      <c r="R51" s="471">
        <v>45944</v>
      </c>
      <c r="S51" s="471">
        <v>45951</v>
      </c>
      <c r="T51" s="471"/>
      <c r="U51" s="486" t="s">
        <v>542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676</v>
      </c>
      <c r="B52" s="823" t="s">
        <v>50</v>
      </c>
      <c r="C52" s="467">
        <v>45991</v>
      </c>
      <c r="D52" s="467" t="s">
        <v>85</v>
      </c>
      <c r="E52" s="476">
        <v>45743</v>
      </c>
      <c r="F52" s="475" t="s">
        <v>68</v>
      </c>
      <c r="G52" s="824" t="s">
        <v>677</v>
      </c>
      <c r="H52" s="478">
        <v>70</v>
      </c>
      <c r="I52" s="661" t="s">
        <v>383</v>
      </c>
      <c r="J52" s="469" t="s">
        <v>63</v>
      </c>
      <c r="K52" s="825"/>
      <c r="L52" s="476">
        <v>45741</v>
      </c>
      <c r="M52" s="469" t="s">
        <v>57</v>
      </c>
      <c r="N52" s="543">
        <v>67735.5</v>
      </c>
      <c r="O52" s="469" t="s">
        <v>57</v>
      </c>
      <c r="P52" s="806" t="s">
        <v>331</v>
      </c>
      <c r="Q52" s="479">
        <v>45779</v>
      </c>
      <c r="R52" s="479"/>
      <c r="S52" s="479"/>
      <c r="T52" s="479"/>
      <c r="U52" s="486" t="s">
        <v>542</v>
      </c>
      <c r="V52" s="41">
        <v>6152</v>
      </c>
      <c r="W52" s="742">
        <v>5723</v>
      </c>
      <c r="X52" s="106">
        <f>SUM(V52-W52)</f>
        <v>429</v>
      </c>
      <c r="Y52" s="657">
        <f>IFERROR($W52/$V52, 0)</f>
        <v>0.9302665799739922</v>
      </c>
      <c r="Z52" s="678">
        <v>45792</v>
      </c>
      <c r="AA52" s="355">
        <v>0</v>
      </c>
      <c r="AB52" s="355">
        <v>0</v>
      </c>
      <c r="AC52" s="645">
        <v>0</v>
      </c>
      <c r="AD52" s="353" t="s">
        <v>678</v>
      </c>
    </row>
    <row r="53" spans="1:30" ht="39.75" customHeight="1">
      <c r="A53" s="878" t="s">
        <v>679</v>
      </c>
      <c r="B53" s="823" t="s">
        <v>50</v>
      </c>
      <c r="C53" s="826">
        <v>45716</v>
      </c>
      <c r="D53" s="826" t="s">
        <v>85</v>
      </c>
      <c r="E53" s="826">
        <v>45701</v>
      </c>
      <c r="F53" s="475" t="s">
        <v>68</v>
      </c>
      <c r="G53" s="849" t="s">
        <v>550</v>
      </c>
      <c r="H53" s="828">
        <v>0</v>
      </c>
      <c r="I53" s="828" t="s">
        <v>331</v>
      </c>
      <c r="J53" s="828" t="s">
        <v>63</v>
      </c>
      <c r="K53" s="828"/>
      <c r="L53" s="826">
        <v>45705</v>
      </c>
      <c r="M53" s="828" t="s">
        <v>57</v>
      </c>
      <c r="N53" s="850">
        <v>1295</v>
      </c>
      <c r="O53" s="828" t="s">
        <v>57</v>
      </c>
      <c r="P53" s="806" t="s">
        <v>331</v>
      </c>
      <c r="Q53" s="513">
        <v>45706</v>
      </c>
      <c r="R53" s="513">
        <v>45826</v>
      </c>
      <c r="S53" s="513"/>
      <c r="T53" s="513"/>
      <c r="U53" s="486" t="s">
        <v>542</v>
      </c>
      <c r="V53" s="851">
        <v>153</v>
      </c>
      <c r="W53" s="741">
        <v>153</v>
      </c>
      <c r="X53" s="106">
        <f t="shared" si="8"/>
        <v>0</v>
      </c>
      <c r="Y53" s="657">
        <f t="shared" si="9"/>
        <v>1</v>
      </c>
      <c r="Z53" s="678">
        <v>45754</v>
      </c>
      <c r="AA53" s="473">
        <v>1</v>
      </c>
      <c r="AB53" s="473">
        <v>1</v>
      </c>
      <c r="AC53" s="815">
        <v>0</v>
      </c>
      <c r="AD53" s="173" t="s">
        <v>680</v>
      </c>
    </row>
    <row r="54" spans="1:30" ht="39.75" customHeight="1">
      <c r="A54" s="1437" t="s">
        <v>681</v>
      </c>
      <c r="B54" s="823" t="s">
        <v>50</v>
      </c>
      <c r="C54" s="887">
        <v>46008</v>
      </c>
      <c r="D54" s="1436" t="s">
        <v>682</v>
      </c>
      <c r="E54" s="57">
        <v>45938</v>
      </c>
      <c r="F54" s="771" t="s">
        <v>61</v>
      </c>
      <c r="G54" s="849"/>
      <c r="H54" s="775">
        <v>193</v>
      </c>
      <c r="I54" s="661" t="s">
        <v>383</v>
      </c>
      <c r="J54" s="469" t="s">
        <v>56</v>
      </c>
      <c r="K54" s="828"/>
      <c r="L54" s="826">
        <v>46303</v>
      </c>
      <c r="M54" s="858" t="s">
        <v>57</v>
      </c>
      <c r="N54" s="1076">
        <v>86136</v>
      </c>
      <c r="O54" s="858" t="s">
        <v>57</v>
      </c>
      <c r="P54" s="860" t="s">
        <v>331</v>
      </c>
      <c r="Q54" s="54">
        <v>45938</v>
      </c>
      <c r="R54" s="677"/>
      <c r="S54" s="513"/>
      <c r="T54" s="513"/>
      <c r="U54" s="486" t="s">
        <v>542</v>
      </c>
      <c r="V54" s="851">
        <v>8306</v>
      </c>
      <c r="W54" s="741">
        <v>8306</v>
      </c>
      <c r="X54" s="495">
        <v>0</v>
      </c>
      <c r="Y54" s="861">
        <v>1</v>
      </c>
      <c r="Z54" s="54">
        <v>45943</v>
      </c>
      <c r="AA54" s="61">
        <v>1</v>
      </c>
      <c r="AB54" s="61">
        <v>1</v>
      </c>
      <c r="AC54" s="815">
        <v>0</v>
      </c>
      <c r="AD54" s="173"/>
    </row>
    <row r="55" spans="1:30" ht="39.75" customHeight="1">
      <c r="A55" s="842" t="s">
        <v>683</v>
      </c>
      <c r="B55" s="788" t="s">
        <v>50</v>
      </c>
      <c r="C55" s="887">
        <v>46008</v>
      </c>
      <c r="D55" s="1087" t="s">
        <v>684</v>
      </c>
      <c r="E55" s="57">
        <v>45952</v>
      </c>
      <c r="F55" s="771" t="s">
        <v>61</v>
      </c>
      <c r="G55" s="789"/>
      <c r="H55" s="775">
        <v>139</v>
      </c>
      <c r="I55" s="661" t="s">
        <v>383</v>
      </c>
      <c r="J55" s="469" t="s">
        <v>56</v>
      </c>
      <c r="K55" s="775"/>
      <c r="L55" s="57" t="s">
        <v>52</v>
      </c>
      <c r="M55" s="977" t="s">
        <v>57</v>
      </c>
      <c r="N55" s="1076">
        <v>42766.5</v>
      </c>
      <c r="O55" s="52" t="s">
        <v>57</v>
      </c>
      <c r="P55" s="1098" t="s">
        <v>331</v>
      </c>
      <c r="Q55" s="54">
        <v>45939</v>
      </c>
      <c r="R55" s="195"/>
      <c r="S55" s="54"/>
      <c r="T55" s="54"/>
      <c r="U55" s="486" t="s">
        <v>542</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206</v>
      </c>
      <c r="C2" s="51">
        <v>45807</v>
      </c>
      <c r="D2" s="51" t="s">
        <v>689</v>
      </c>
      <c r="E2" s="51">
        <v>45706</v>
      </c>
      <c r="F2" s="50" t="s">
        <v>221</v>
      </c>
      <c r="G2" s="382" t="s">
        <v>690</v>
      </c>
      <c r="H2" s="52">
        <v>56</v>
      </c>
      <c r="I2" s="380" t="s">
        <v>383</v>
      </c>
      <c r="J2" s="52" t="s">
        <v>63</v>
      </c>
      <c r="K2" s="51">
        <v>45701</v>
      </c>
      <c r="L2" s="380" t="s">
        <v>57</v>
      </c>
      <c r="M2" s="426">
        <v>55089</v>
      </c>
      <c r="N2" s="554">
        <v>57509</v>
      </c>
      <c r="O2" s="769" t="s">
        <v>57</v>
      </c>
      <c r="P2" s="376" t="s">
        <v>331</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206</v>
      </c>
      <c r="C3" s="375">
        <v>45991</v>
      </c>
      <c r="D3" s="50" t="s">
        <v>693</v>
      </c>
      <c r="E3" s="51">
        <v>45735</v>
      </c>
      <c r="F3" s="50" t="s">
        <v>221</v>
      </c>
      <c r="G3" s="379" t="s">
        <v>694</v>
      </c>
      <c r="H3" s="52">
        <v>0</v>
      </c>
      <c r="I3" s="52" t="s">
        <v>383</v>
      </c>
      <c r="J3" s="52" t="s">
        <v>63</v>
      </c>
      <c r="K3" s="612">
        <v>45718</v>
      </c>
      <c r="L3" s="52" t="s">
        <v>57</v>
      </c>
      <c r="M3" s="426">
        <v>200394.1</v>
      </c>
      <c r="N3" s="426">
        <v>209003.94</v>
      </c>
      <c r="O3" s="52" t="s">
        <v>57</v>
      </c>
      <c r="P3" s="437" t="s">
        <v>331</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108</v>
      </c>
      <c r="C4" s="51">
        <v>45772</v>
      </c>
      <c r="D4" s="51" t="s">
        <v>85</v>
      </c>
      <c r="E4" s="658">
        <v>45691</v>
      </c>
      <c r="F4" s="658" t="s">
        <v>109</v>
      </c>
      <c r="G4" s="670" t="s">
        <v>696</v>
      </c>
      <c r="H4" s="52">
        <v>0</v>
      </c>
      <c r="I4" s="660" t="s">
        <v>383</v>
      </c>
      <c r="J4" s="52" t="s">
        <v>63</v>
      </c>
      <c r="K4" s="51">
        <v>45708</v>
      </c>
      <c r="L4" s="52" t="s">
        <v>57</v>
      </c>
      <c r="M4" s="426">
        <v>62460.45</v>
      </c>
      <c r="N4" s="554">
        <v>61491.05</v>
      </c>
      <c r="O4" s="52" t="s">
        <v>57</v>
      </c>
      <c r="P4" s="52" t="s">
        <v>331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108</v>
      </c>
      <c r="C5" s="375">
        <v>45772</v>
      </c>
      <c r="D5" s="649" t="s">
        <v>698</v>
      </c>
      <c r="E5" s="375">
        <v>45735</v>
      </c>
      <c r="F5" s="649" t="s">
        <v>109</v>
      </c>
      <c r="G5" s="573" t="s">
        <v>699</v>
      </c>
      <c r="H5" s="376">
        <v>0</v>
      </c>
      <c r="I5" s="667" t="s">
        <v>383</v>
      </c>
      <c r="J5" s="376" t="s">
        <v>63</v>
      </c>
      <c r="K5" s="375">
        <v>45735</v>
      </c>
      <c r="L5" s="376" t="s">
        <v>57</v>
      </c>
      <c r="M5" s="429">
        <v>15690.1</v>
      </c>
      <c r="N5" s="554">
        <v>16153.75</v>
      </c>
      <c r="O5" s="376" t="s">
        <v>57</v>
      </c>
      <c r="P5" s="376" t="s">
        <v>331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108</v>
      </c>
      <c r="C6" s="375">
        <v>45868</v>
      </c>
      <c r="D6" s="589" t="s">
        <v>128</v>
      </c>
      <c r="E6" s="375">
        <v>45813</v>
      </c>
      <c r="F6" s="589" t="s">
        <v>162</v>
      </c>
      <c r="G6" s="573" t="s">
        <v>702</v>
      </c>
      <c r="H6" s="376">
        <v>0</v>
      </c>
      <c r="I6" s="377" t="s">
        <v>383</v>
      </c>
      <c r="J6" s="376" t="s">
        <v>63</v>
      </c>
      <c r="K6" s="375">
        <v>45793</v>
      </c>
      <c r="L6" s="376" t="s">
        <v>57</v>
      </c>
      <c r="M6" s="429">
        <v>104070.8</v>
      </c>
      <c r="N6" s="426">
        <v>106593.55</v>
      </c>
      <c r="O6" s="376" t="s">
        <v>57</v>
      </c>
      <c r="P6" s="437" t="s">
        <v>331</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108</v>
      </c>
      <c r="C7" s="375">
        <v>45807</v>
      </c>
      <c r="D7" s="649" t="s">
        <v>128</v>
      </c>
      <c r="E7" s="375">
        <v>45778</v>
      </c>
      <c r="F7" s="374" t="s">
        <v>109</v>
      </c>
      <c r="G7" s="671" t="s">
        <v>705</v>
      </c>
      <c r="H7" s="376">
        <v>0</v>
      </c>
      <c r="I7" s="376" t="s">
        <v>383</v>
      </c>
      <c r="J7" s="376" t="s">
        <v>63</v>
      </c>
      <c r="K7" s="375">
        <v>45782</v>
      </c>
      <c r="L7" s="376" t="s">
        <v>57</v>
      </c>
      <c r="M7" s="429">
        <v>119135.3</v>
      </c>
      <c r="N7" s="426">
        <v>121256.65</v>
      </c>
      <c r="O7" s="376" t="s">
        <v>57</v>
      </c>
      <c r="P7" s="376" t="s">
        <v>331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108</v>
      </c>
      <c r="C8" s="51">
        <v>45787</v>
      </c>
      <c r="D8" s="658" t="s">
        <v>128</v>
      </c>
      <c r="E8" s="51">
        <v>45715</v>
      </c>
      <c r="F8" s="50" t="s">
        <v>109</v>
      </c>
      <c r="G8" s="670" t="s">
        <v>708</v>
      </c>
      <c r="H8" s="52">
        <v>0</v>
      </c>
      <c r="I8" s="660" t="s">
        <v>383</v>
      </c>
      <c r="J8" s="52" t="s">
        <v>63</v>
      </c>
      <c r="K8" s="50" t="s">
        <v>331</v>
      </c>
      <c r="L8" s="52" t="s">
        <v>57</v>
      </c>
      <c r="M8" s="426">
        <v>12601.45</v>
      </c>
      <c r="N8" s="554">
        <v>13008.1</v>
      </c>
      <c r="O8" s="52" t="s">
        <v>57</v>
      </c>
      <c r="P8" s="52" t="s">
        <v>331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108</v>
      </c>
      <c r="C9" s="51">
        <v>45868</v>
      </c>
      <c r="D9" s="381" t="s">
        <v>128</v>
      </c>
      <c r="E9" s="51">
        <v>45828</v>
      </c>
      <c r="F9" s="381" t="s">
        <v>162</v>
      </c>
      <c r="G9" s="379" t="s">
        <v>710</v>
      </c>
      <c r="H9" s="52">
        <v>0</v>
      </c>
      <c r="I9" s="380" t="s">
        <v>383</v>
      </c>
      <c r="J9" s="52" t="s">
        <v>63</v>
      </c>
      <c r="K9" s="375">
        <v>45826</v>
      </c>
      <c r="L9" s="376" t="s">
        <v>57</v>
      </c>
      <c r="M9" s="429">
        <v>144886</v>
      </c>
      <c r="N9" s="426">
        <v>138688</v>
      </c>
      <c r="O9" s="376" t="s">
        <v>57</v>
      </c>
      <c r="P9" s="437" t="s">
        <v>331</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108</v>
      </c>
      <c r="C10" s="375">
        <v>45711</v>
      </c>
      <c r="D10" s="375" t="s">
        <v>713</v>
      </c>
      <c r="E10" s="375">
        <v>45693</v>
      </c>
      <c r="F10" s="649" t="s">
        <v>162</v>
      </c>
      <c r="G10" s="672" t="s">
        <v>72</v>
      </c>
      <c r="H10" s="376">
        <v>54</v>
      </c>
      <c r="I10" s="667" t="s">
        <v>534</v>
      </c>
      <c r="J10" s="376" t="s">
        <v>63</v>
      </c>
      <c r="K10" s="374" t="s">
        <v>331</v>
      </c>
      <c r="L10" s="667" t="s">
        <v>57</v>
      </c>
      <c r="M10" s="429">
        <v>47461.5</v>
      </c>
      <c r="N10" s="569">
        <v>45340</v>
      </c>
      <c r="O10" s="667" t="s">
        <v>57</v>
      </c>
      <c r="P10" s="376" t="s">
        <v>331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108</v>
      </c>
      <c r="C11" s="51">
        <v>45711</v>
      </c>
      <c r="D11" s="658" t="s">
        <v>128</v>
      </c>
      <c r="E11" s="51">
        <v>45712</v>
      </c>
      <c r="F11" s="658" t="s">
        <v>109</v>
      </c>
      <c r="G11" s="666" t="s">
        <v>715</v>
      </c>
      <c r="H11" s="52">
        <v>49</v>
      </c>
      <c r="I11" s="52" t="s">
        <v>534</v>
      </c>
      <c r="J11" s="52" t="s">
        <v>63</v>
      </c>
      <c r="K11" s="51">
        <v>45713</v>
      </c>
      <c r="L11" s="660" t="s">
        <v>57</v>
      </c>
      <c r="M11" s="426">
        <v>43064</v>
      </c>
      <c r="N11" s="570">
        <v>44346</v>
      </c>
      <c r="O11" s="660" t="s">
        <v>57</v>
      </c>
      <c r="P11" s="376" t="s">
        <v>331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108</v>
      </c>
      <c r="C12" s="51">
        <v>45716</v>
      </c>
      <c r="D12" s="658" t="s">
        <v>128</v>
      </c>
      <c r="E12" s="51">
        <v>45706</v>
      </c>
      <c r="F12" s="658" t="s">
        <v>162</v>
      </c>
      <c r="G12" s="670" t="s">
        <v>717</v>
      </c>
      <c r="H12" s="52">
        <v>56</v>
      </c>
      <c r="I12" s="660" t="s">
        <v>534</v>
      </c>
      <c r="J12" s="52" t="s">
        <v>63</v>
      </c>
      <c r="K12" s="665">
        <v>45707</v>
      </c>
      <c r="L12" s="52" t="s">
        <v>57</v>
      </c>
      <c r="M12" s="426">
        <v>62522.54</v>
      </c>
      <c r="N12" s="554">
        <v>56001</v>
      </c>
      <c r="O12" s="52" t="s">
        <v>57</v>
      </c>
      <c r="P12" s="52" t="s">
        <v>331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108</v>
      </c>
      <c r="C13" s="51">
        <v>45925</v>
      </c>
      <c r="D13" s="658" t="s">
        <v>128</v>
      </c>
      <c r="E13" s="51">
        <v>45755</v>
      </c>
      <c r="F13" s="658" t="s">
        <v>162</v>
      </c>
      <c r="G13" s="573" t="s">
        <v>719</v>
      </c>
      <c r="H13" s="52">
        <v>82</v>
      </c>
      <c r="I13" s="660" t="s">
        <v>383</v>
      </c>
      <c r="J13" s="52" t="s">
        <v>63</v>
      </c>
      <c r="K13" s="665">
        <v>45756</v>
      </c>
      <c r="L13" s="52" t="s">
        <v>57</v>
      </c>
      <c r="M13" s="426">
        <v>67171.5</v>
      </c>
      <c r="N13" s="554">
        <v>64739</v>
      </c>
      <c r="O13" s="52" t="s">
        <v>57</v>
      </c>
      <c r="P13" s="52" t="s">
        <v>331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108</v>
      </c>
      <c r="C14" s="51">
        <v>45925</v>
      </c>
      <c r="D14" s="658" t="s">
        <v>698</v>
      </c>
      <c r="E14" s="51">
        <v>45749</v>
      </c>
      <c r="F14" s="658" t="s">
        <v>162</v>
      </c>
      <c r="G14" s="670" t="s">
        <v>721</v>
      </c>
      <c r="H14" s="52">
        <v>79</v>
      </c>
      <c r="I14" s="660" t="s">
        <v>383</v>
      </c>
      <c r="J14" s="52" t="s">
        <v>63</v>
      </c>
      <c r="K14" s="51">
        <v>45749</v>
      </c>
      <c r="L14" s="52" t="s">
        <v>57</v>
      </c>
      <c r="M14" s="426">
        <v>72492</v>
      </c>
      <c r="N14" s="554">
        <v>73087.5</v>
      </c>
      <c r="O14" s="52" t="s">
        <v>57</v>
      </c>
      <c r="P14" s="52" t="s">
        <v>331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108</v>
      </c>
      <c r="C15" s="51">
        <v>45925</v>
      </c>
      <c r="D15" s="658" t="s">
        <v>128</v>
      </c>
      <c r="E15" s="51">
        <v>45749</v>
      </c>
      <c r="F15" s="658" t="s">
        <v>109</v>
      </c>
      <c r="G15" s="670" t="s">
        <v>723</v>
      </c>
      <c r="H15" s="52">
        <v>59</v>
      </c>
      <c r="I15" s="660" t="s">
        <v>383</v>
      </c>
      <c r="J15" s="52" t="s">
        <v>63</v>
      </c>
      <c r="K15" s="51">
        <v>45750</v>
      </c>
      <c r="L15" s="52" t="s">
        <v>57</v>
      </c>
      <c r="M15" s="426">
        <v>51295</v>
      </c>
      <c r="N15" s="554">
        <v>51485.5</v>
      </c>
      <c r="O15" s="52" t="s">
        <v>57</v>
      </c>
      <c r="P15" s="52" t="s">
        <v>331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108</v>
      </c>
      <c r="C16" s="51">
        <v>45688</v>
      </c>
      <c r="D16" s="51" t="s">
        <v>725</v>
      </c>
      <c r="E16" s="51">
        <v>45666</v>
      </c>
      <c r="F16" s="658" t="s">
        <v>109</v>
      </c>
      <c r="G16" s="666" t="s">
        <v>726</v>
      </c>
      <c r="H16" s="52">
        <v>23</v>
      </c>
      <c r="I16" s="52" t="s">
        <v>383</v>
      </c>
      <c r="J16" s="52" t="s">
        <v>63</v>
      </c>
      <c r="K16" s="50" t="s">
        <v>331</v>
      </c>
      <c r="L16" s="660" t="s">
        <v>57</v>
      </c>
      <c r="M16" s="426">
        <v>26617</v>
      </c>
      <c r="N16" s="570">
        <v>25405</v>
      </c>
      <c r="O16" s="660" t="s">
        <v>57</v>
      </c>
      <c r="P16" s="52" t="s">
        <v>331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108</v>
      </c>
      <c r="C17" s="51">
        <v>45688</v>
      </c>
      <c r="D17" s="51" t="s">
        <v>85</v>
      </c>
      <c r="E17" s="51">
        <v>45679</v>
      </c>
      <c r="F17" s="658" t="s">
        <v>109</v>
      </c>
      <c r="G17" s="666" t="s">
        <v>728</v>
      </c>
      <c r="H17" s="52">
        <v>70</v>
      </c>
      <c r="I17" s="660" t="s">
        <v>534</v>
      </c>
      <c r="J17" s="52" t="s">
        <v>63</v>
      </c>
      <c r="K17" s="50" t="s">
        <v>331</v>
      </c>
      <c r="L17" s="660" t="s">
        <v>57</v>
      </c>
      <c r="M17" s="426">
        <v>72118</v>
      </c>
      <c r="N17" s="673">
        <v>70778</v>
      </c>
      <c r="O17" s="660" t="s">
        <v>57</v>
      </c>
      <c r="P17" s="52" t="s">
        <v>331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108</v>
      </c>
      <c r="C18" s="51">
        <v>45688</v>
      </c>
      <c r="D18" s="51" t="s">
        <v>128</v>
      </c>
      <c r="E18" s="51">
        <v>45685</v>
      </c>
      <c r="F18" s="658" t="s">
        <v>109</v>
      </c>
      <c r="G18" s="666" t="s">
        <v>730</v>
      </c>
      <c r="H18" s="52">
        <v>75</v>
      </c>
      <c r="I18" s="660" t="s">
        <v>534</v>
      </c>
      <c r="J18" s="52" t="s">
        <v>63</v>
      </c>
      <c r="K18" s="50" t="s">
        <v>331</v>
      </c>
      <c r="L18" s="660" t="s">
        <v>57</v>
      </c>
      <c r="M18" s="426">
        <v>69288</v>
      </c>
      <c r="N18" s="570">
        <v>70664</v>
      </c>
      <c r="O18" s="660" t="s">
        <v>57</v>
      </c>
      <c r="P18" s="52" t="s">
        <v>331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108</v>
      </c>
      <c r="C19" s="51">
        <v>45688</v>
      </c>
      <c r="D19" s="51" t="s">
        <v>732</v>
      </c>
      <c r="E19" s="51">
        <v>45693</v>
      </c>
      <c r="F19" s="658" t="s">
        <v>162</v>
      </c>
      <c r="G19" s="666" t="s">
        <v>733</v>
      </c>
      <c r="H19" s="52">
        <v>65</v>
      </c>
      <c r="I19" s="660" t="s">
        <v>534</v>
      </c>
      <c r="J19" s="52" t="s">
        <v>63</v>
      </c>
      <c r="K19" s="51">
        <v>45673</v>
      </c>
      <c r="L19" s="660" t="s">
        <v>57</v>
      </c>
      <c r="M19" s="426">
        <v>69555</v>
      </c>
      <c r="N19" s="673">
        <v>70432</v>
      </c>
      <c r="O19" s="660" t="s">
        <v>57</v>
      </c>
      <c r="P19" s="52" t="s">
        <v>331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108</v>
      </c>
      <c r="C20" s="51">
        <v>45688</v>
      </c>
      <c r="D20" s="51" t="s">
        <v>128</v>
      </c>
      <c r="E20" s="51">
        <v>45685</v>
      </c>
      <c r="F20" s="658" t="s">
        <v>109</v>
      </c>
      <c r="G20" s="666" t="s">
        <v>735</v>
      </c>
      <c r="H20" s="52">
        <v>81</v>
      </c>
      <c r="I20" s="660" t="s">
        <v>534</v>
      </c>
      <c r="J20" s="52" t="s">
        <v>63</v>
      </c>
      <c r="K20" s="50" t="s">
        <v>331</v>
      </c>
      <c r="L20" s="660" t="s">
        <v>57</v>
      </c>
      <c r="M20" s="426">
        <v>83754</v>
      </c>
      <c r="N20" s="570">
        <v>80572.5</v>
      </c>
      <c r="O20" s="660" t="s">
        <v>57</v>
      </c>
      <c r="P20" s="52" t="s">
        <v>331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108</v>
      </c>
      <c r="C21" s="51">
        <v>45742</v>
      </c>
      <c r="D21" s="658" t="s">
        <v>128</v>
      </c>
      <c r="E21" s="51">
        <v>45708</v>
      </c>
      <c r="F21" s="658" t="s">
        <v>162</v>
      </c>
      <c r="G21" s="670" t="s">
        <v>737</v>
      </c>
      <c r="H21" s="52">
        <v>50</v>
      </c>
      <c r="I21" s="52" t="s">
        <v>534</v>
      </c>
      <c r="J21" s="52" t="s">
        <v>63</v>
      </c>
      <c r="K21" s="51">
        <v>45705</v>
      </c>
      <c r="L21" s="52" t="s">
        <v>57</v>
      </c>
      <c r="M21" s="426">
        <v>43895.5</v>
      </c>
      <c r="N21" s="570">
        <v>44479.5</v>
      </c>
      <c r="O21" s="52" t="s">
        <v>57</v>
      </c>
      <c r="P21" s="52" t="s">
        <v>331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108</v>
      </c>
      <c r="C22" s="51">
        <v>45742</v>
      </c>
      <c r="D22" s="658" t="s">
        <v>128</v>
      </c>
      <c r="E22" s="51">
        <v>45729</v>
      </c>
      <c r="F22" s="50" t="s">
        <v>162</v>
      </c>
      <c r="G22" s="670" t="s">
        <v>739</v>
      </c>
      <c r="H22" s="52">
        <v>52</v>
      </c>
      <c r="I22" s="52" t="s">
        <v>383</v>
      </c>
      <c r="J22" s="52" t="s">
        <v>63</v>
      </c>
      <c r="K22" s="51">
        <v>45733</v>
      </c>
      <c r="L22" s="52" t="s">
        <v>57</v>
      </c>
      <c r="M22" s="426">
        <v>50824.5</v>
      </c>
      <c r="N22" s="570">
        <v>50928.5</v>
      </c>
      <c r="O22" s="52" t="s">
        <v>57</v>
      </c>
      <c r="P22" s="52" t="s">
        <v>331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108</v>
      </c>
      <c r="C23" s="51">
        <v>45772</v>
      </c>
      <c r="D23" s="658" t="s">
        <v>128</v>
      </c>
      <c r="E23" s="51">
        <v>45735</v>
      </c>
      <c r="F23" s="658" t="s">
        <v>109</v>
      </c>
      <c r="G23" s="670" t="s">
        <v>741</v>
      </c>
      <c r="H23" s="52">
        <v>86</v>
      </c>
      <c r="I23" s="52" t="s">
        <v>383</v>
      </c>
      <c r="J23" s="52" t="s">
        <v>63</v>
      </c>
      <c r="K23" s="51">
        <v>45737</v>
      </c>
      <c r="L23" s="52" t="s">
        <v>57</v>
      </c>
      <c r="M23" s="426">
        <v>83462</v>
      </c>
      <c r="N23" s="570">
        <v>83033</v>
      </c>
      <c r="O23" s="52" t="s">
        <v>57</v>
      </c>
      <c r="P23" s="52" t="s">
        <v>331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108</v>
      </c>
      <c r="C24" s="51">
        <v>45716</v>
      </c>
      <c r="D24" s="658" t="s">
        <v>128</v>
      </c>
      <c r="E24" s="51">
        <v>45712</v>
      </c>
      <c r="F24" s="658" t="s">
        <v>162</v>
      </c>
      <c r="G24" s="670" t="s">
        <v>743</v>
      </c>
      <c r="H24" s="52">
        <v>51</v>
      </c>
      <c r="I24" s="660" t="s">
        <v>534</v>
      </c>
      <c r="J24" s="52" t="s">
        <v>63</v>
      </c>
      <c r="K24" s="50" t="s">
        <v>331</v>
      </c>
      <c r="L24" s="52" t="s">
        <v>57</v>
      </c>
      <c r="M24" s="426">
        <v>47414</v>
      </c>
      <c r="N24" s="570">
        <v>45744</v>
      </c>
      <c r="O24" s="52" t="s">
        <v>57</v>
      </c>
      <c r="P24" s="52" t="s">
        <v>331</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108</v>
      </c>
      <c r="C25" s="51">
        <v>45772</v>
      </c>
      <c r="D25" s="658" t="s">
        <v>128</v>
      </c>
      <c r="E25" s="51">
        <v>45735</v>
      </c>
      <c r="F25" s="658" t="s">
        <v>162</v>
      </c>
      <c r="G25" s="670" t="s">
        <v>745</v>
      </c>
      <c r="H25" s="52">
        <v>59</v>
      </c>
      <c r="I25" s="660" t="s">
        <v>383</v>
      </c>
      <c r="J25" s="52" t="s">
        <v>63</v>
      </c>
      <c r="K25" s="51">
        <v>45736</v>
      </c>
      <c r="L25" s="52" t="s">
        <v>57</v>
      </c>
      <c r="M25" s="426">
        <v>59562.5</v>
      </c>
      <c r="N25" s="570">
        <v>52525.5</v>
      </c>
      <c r="O25" s="52" t="s">
        <v>57</v>
      </c>
      <c r="P25" s="52" t="s">
        <v>331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108</v>
      </c>
      <c r="C26" s="51">
        <v>45772</v>
      </c>
      <c r="D26" s="658" t="s">
        <v>128</v>
      </c>
      <c r="E26" s="51">
        <v>45735</v>
      </c>
      <c r="F26" s="658" t="s">
        <v>109</v>
      </c>
      <c r="G26" s="670" t="s">
        <v>747</v>
      </c>
      <c r="H26" s="52">
        <v>35</v>
      </c>
      <c r="I26" s="52" t="s">
        <v>383</v>
      </c>
      <c r="J26" s="52" t="s">
        <v>63</v>
      </c>
      <c r="K26" s="51">
        <v>45735</v>
      </c>
      <c r="L26" s="52" t="s">
        <v>57</v>
      </c>
      <c r="M26" s="426">
        <v>41187</v>
      </c>
      <c r="N26" s="570">
        <v>39597.5</v>
      </c>
      <c r="O26" s="52" t="s">
        <v>57</v>
      </c>
      <c r="P26" s="52" t="s">
        <v>331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108</v>
      </c>
      <c r="C27" s="381">
        <v>45711</v>
      </c>
      <c r="D27" s="381" t="s">
        <v>128</v>
      </c>
      <c r="E27" s="381">
        <v>45695</v>
      </c>
      <c r="F27" s="381" t="s">
        <v>162</v>
      </c>
      <c r="G27" s="572" t="s">
        <v>749</v>
      </c>
      <c r="H27" s="52">
        <v>22</v>
      </c>
      <c r="I27" s="52" t="s">
        <v>383</v>
      </c>
      <c r="J27" s="52" t="s">
        <v>63</v>
      </c>
      <c r="K27" s="50" t="s">
        <v>331</v>
      </c>
      <c r="L27" s="52" t="s">
        <v>57</v>
      </c>
      <c r="M27" s="426">
        <v>14497.5</v>
      </c>
      <c r="N27" s="570">
        <v>14042</v>
      </c>
      <c r="O27" s="52" t="s">
        <v>57</v>
      </c>
      <c r="P27" s="52" t="s">
        <v>331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108</v>
      </c>
      <c r="C28" s="51">
        <v>45868</v>
      </c>
      <c r="D28" s="589" t="s">
        <v>128</v>
      </c>
      <c r="E28" s="589">
        <v>45839</v>
      </c>
      <c r="F28" s="374" t="s">
        <v>109</v>
      </c>
      <c r="G28" s="374" t="s">
        <v>751</v>
      </c>
      <c r="H28" s="376">
        <v>77</v>
      </c>
      <c r="I28" s="376" t="s">
        <v>383</v>
      </c>
      <c r="J28" s="376" t="s">
        <v>63</v>
      </c>
      <c r="K28" s="375">
        <v>45840</v>
      </c>
      <c r="L28" s="376" t="s">
        <v>57</v>
      </c>
      <c r="M28" s="429">
        <v>10430.549999999999</v>
      </c>
      <c r="N28" s="426">
        <v>37639.800000000003</v>
      </c>
      <c r="O28" s="376" t="s">
        <v>57</v>
      </c>
      <c r="P28" s="1413" t="s">
        <v>331</v>
      </c>
      <c r="Q28" s="124">
        <v>45840</v>
      </c>
      <c r="R28" s="106">
        <v>2773</v>
      </c>
      <c r="S28" s="495">
        <v>2659</v>
      </c>
      <c r="T28" s="146">
        <v>0</v>
      </c>
      <c r="U28" s="875">
        <v>0.96</v>
      </c>
      <c r="V28" s="195">
        <v>45859</v>
      </c>
      <c r="W28" s="34">
        <v>1</v>
      </c>
      <c r="X28" s="34">
        <v>1</v>
      </c>
      <c r="Y28" s="34">
        <v>1</v>
      </c>
      <c r="Z28" s="124">
        <v>45875</v>
      </c>
      <c r="AA28" s="902" t="s">
        <v>170</v>
      </c>
    </row>
    <row r="29" spans="1:27" ht="39.75" customHeight="1">
      <c r="A29" s="373" t="s">
        <v>752</v>
      </c>
      <c r="B29" s="374" t="s">
        <v>108</v>
      </c>
      <c r="C29" s="51">
        <v>45868</v>
      </c>
      <c r="D29" s="589" t="s">
        <v>128</v>
      </c>
      <c r="E29" s="589">
        <v>45840</v>
      </c>
      <c r="F29" s="375" t="s">
        <v>109</v>
      </c>
      <c r="G29" s="374" t="s">
        <v>753</v>
      </c>
      <c r="H29" s="376">
        <v>81</v>
      </c>
      <c r="I29" s="376" t="s">
        <v>383</v>
      </c>
      <c r="J29" s="376" t="s">
        <v>63</v>
      </c>
      <c r="K29" s="375">
        <v>45847</v>
      </c>
      <c r="L29" s="376" t="s">
        <v>57</v>
      </c>
      <c r="M29" s="429">
        <v>71310.899999999994</v>
      </c>
      <c r="N29" s="426">
        <v>62984.35</v>
      </c>
      <c r="O29" s="376" t="s">
        <v>57</v>
      </c>
      <c r="P29" s="437" t="s">
        <v>331</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108</v>
      </c>
      <c r="C30" s="51">
        <v>45868</v>
      </c>
      <c r="D30" s="589" t="s">
        <v>128</v>
      </c>
      <c r="E30" s="589">
        <v>45839</v>
      </c>
      <c r="F30" s="374" t="s">
        <v>109</v>
      </c>
      <c r="G30" s="374" t="s">
        <v>756</v>
      </c>
      <c r="H30" s="376">
        <v>86</v>
      </c>
      <c r="I30" s="376" t="s">
        <v>383</v>
      </c>
      <c r="J30" s="376" t="s">
        <v>63</v>
      </c>
      <c r="K30" s="375">
        <v>45840</v>
      </c>
      <c r="L30" s="376" t="s">
        <v>57</v>
      </c>
      <c r="M30" s="429">
        <v>53605.2</v>
      </c>
      <c r="N30" s="426">
        <v>52185.2</v>
      </c>
      <c r="O30" s="376" t="s">
        <v>57</v>
      </c>
      <c r="P30" s="437" t="s">
        <v>331</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108</v>
      </c>
      <c r="C31" s="51">
        <v>45868</v>
      </c>
      <c r="D31" s="649" t="s">
        <v>128</v>
      </c>
      <c r="E31" s="649">
        <v>45833</v>
      </c>
      <c r="F31" s="374" t="s">
        <v>162</v>
      </c>
      <c r="G31" s="374" t="s">
        <v>759</v>
      </c>
      <c r="H31" s="376">
        <v>66</v>
      </c>
      <c r="I31" s="376" t="s">
        <v>383</v>
      </c>
      <c r="J31" s="376" t="s">
        <v>63</v>
      </c>
      <c r="K31" s="375">
        <v>45833</v>
      </c>
      <c r="L31" s="376" t="s">
        <v>57</v>
      </c>
      <c r="M31" s="429">
        <v>32940.449999999997</v>
      </c>
      <c r="N31" s="426">
        <v>43258.2</v>
      </c>
      <c r="O31" s="376" t="s">
        <v>57</v>
      </c>
      <c r="P31" s="1042" t="s">
        <v>331</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108</v>
      </c>
      <c r="C32" s="51">
        <v>45868</v>
      </c>
      <c r="D32" s="589" t="s">
        <v>128</v>
      </c>
      <c r="E32" s="589">
        <v>45839</v>
      </c>
      <c r="F32" s="375" t="s">
        <v>109</v>
      </c>
      <c r="G32" s="374" t="s">
        <v>762</v>
      </c>
      <c r="H32" s="376">
        <v>43</v>
      </c>
      <c r="I32" s="376" t="s">
        <v>383</v>
      </c>
      <c r="J32" s="376" t="s">
        <v>63</v>
      </c>
      <c r="K32" s="375">
        <v>45840</v>
      </c>
      <c r="L32" s="376" t="s">
        <v>57</v>
      </c>
      <c r="M32" s="429">
        <v>23404.75</v>
      </c>
      <c r="N32" s="426">
        <v>18702.400000000001</v>
      </c>
      <c r="O32" s="376" t="s">
        <v>57</v>
      </c>
      <c r="P32" s="1050" t="s">
        <v>331</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108</v>
      </c>
      <c r="C33" s="51">
        <v>45862</v>
      </c>
      <c r="D33" s="658" t="s">
        <v>128</v>
      </c>
      <c r="E33" s="51">
        <v>45758</v>
      </c>
      <c r="F33" s="658" t="s">
        <v>109</v>
      </c>
      <c r="G33" s="573" t="s">
        <v>765</v>
      </c>
      <c r="H33" s="52">
        <v>62</v>
      </c>
      <c r="I33" s="52" t="s">
        <v>383</v>
      </c>
      <c r="J33" s="52" t="s">
        <v>63</v>
      </c>
      <c r="K33" s="51">
        <v>45762</v>
      </c>
      <c r="L33" s="52" t="s">
        <v>57</v>
      </c>
      <c r="M33" s="426">
        <v>62502</v>
      </c>
      <c r="N33" s="554">
        <v>59129.5</v>
      </c>
      <c r="O33" s="52" t="s">
        <v>57</v>
      </c>
      <c r="P33" s="52" t="s">
        <v>331</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108</v>
      </c>
      <c r="C34" s="51">
        <v>45862</v>
      </c>
      <c r="D34" s="381" t="s">
        <v>128</v>
      </c>
      <c r="E34" s="51">
        <v>45758</v>
      </c>
      <c r="F34" s="381" t="s">
        <v>109</v>
      </c>
      <c r="G34" s="573" t="s">
        <v>767</v>
      </c>
      <c r="H34" s="52">
        <v>89</v>
      </c>
      <c r="I34" s="52" t="s">
        <v>383</v>
      </c>
      <c r="J34" s="52" t="s">
        <v>63</v>
      </c>
      <c r="K34" s="51">
        <v>45762</v>
      </c>
      <c r="L34" s="52" t="s">
        <v>57</v>
      </c>
      <c r="M34" s="426">
        <v>70705.5</v>
      </c>
      <c r="N34" s="554">
        <v>67666</v>
      </c>
      <c r="O34" s="52" t="s">
        <v>57</v>
      </c>
      <c r="P34" s="52" t="s">
        <v>331</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108</v>
      </c>
      <c r="C35" s="51">
        <v>45862</v>
      </c>
      <c r="D35" s="381" t="s">
        <v>128</v>
      </c>
      <c r="E35" s="51">
        <v>45758</v>
      </c>
      <c r="F35" s="381" t="s">
        <v>109</v>
      </c>
      <c r="G35" s="573" t="s">
        <v>769</v>
      </c>
      <c r="H35" s="52">
        <v>87</v>
      </c>
      <c r="I35" s="52" t="s">
        <v>383</v>
      </c>
      <c r="J35" s="52" t="s">
        <v>63</v>
      </c>
      <c r="K35" s="51">
        <v>45762</v>
      </c>
      <c r="L35" s="52" t="s">
        <v>57</v>
      </c>
      <c r="M35" s="426">
        <v>66004.5</v>
      </c>
      <c r="N35" s="554">
        <v>64943.5</v>
      </c>
      <c r="O35" s="52" t="s">
        <v>57</v>
      </c>
      <c r="P35" s="52" t="s">
        <v>331</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108</v>
      </c>
      <c r="C36" s="51">
        <v>45868</v>
      </c>
      <c r="D36" s="589" t="s">
        <v>128</v>
      </c>
      <c r="E36" s="51">
        <v>45786</v>
      </c>
      <c r="F36" s="589" t="s">
        <v>109</v>
      </c>
      <c r="G36" s="637" t="s">
        <v>771</v>
      </c>
      <c r="H36" s="376">
        <v>60</v>
      </c>
      <c r="I36" s="376" t="s">
        <v>383</v>
      </c>
      <c r="J36" s="376" t="s">
        <v>63</v>
      </c>
      <c r="K36" s="375">
        <v>45790</v>
      </c>
      <c r="L36" s="376" t="s">
        <v>57</v>
      </c>
      <c r="M36" s="429">
        <v>57237</v>
      </c>
      <c r="N36" s="568">
        <v>55777</v>
      </c>
      <c r="O36" s="52" t="s">
        <v>57</v>
      </c>
      <c r="P36" s="376" t="s">
        <v>331</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108</v>
      </c>
      <c r="C37" s="496">
        <v>45688</v>
      </c>
      <c r="D37" s="496" t="s">
        <v>775</v>
      </c>
      <c r="E37" s="496">
        <v>45684</v>
      </c>
      <c r="F37" s="511" t="s">
        <v>162</v>
      </c>
      <c r="G37" s="780" t="s">
        <v>776</v>
      </c>
      <c r="H37" s="116">
        <v>0</v>
      </c>
      <c r="I37" s="504" t="s">
        <v>331</v>
      </c>
      <c r="J37" s="116" t="s">
        <v>63</v>
      </c>
      <c r="K37" s="509">
        <v>45673</v>
      </c>
      <c r="L37" s="504" t="s">
        <v>57</v>
      </c>
      <c r="M37" s="776">
        <v>24886.5</v>
      </c>
      <c r="N37" s="807">
        <v>7262</v>
      </c>
      <c r="O37" s="504" t="s">
        <v>57</v>
      </c>
      <c r="P37" s="813" t="s">
        <v>331</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108</v>
      </c>
      <c r="C38" s="985">
        <v>45868</v>
      </c>
      <c r="D38" s="942" t="s">
        <v>128</v>
      </c>
      <c r="E38" s="907">
        <v>45849</v>
      </c>
      <c r="F38" s="908" t="s">
        <v>109</v>
      </c>
      <c r="G38" s="682"/>
      <c r="H38" s="909">
        <v>0</v>
      </c>
      <c r="I38" s="909" t="s">
        <v>383</v>
      </c>
      <c r="J38" s="909" t="s">
        <v>63</v>
      </c>
      <c r="K38" s="375">
        <v>45848</v>
      </c>
      <c r="L38" s="376" t="s">
        <v>57</v>
      </c>
      <c r="M38" s="999">
        <v>23436.55</v>
      </c>
      <c r="N38" s="426">
        <v>15484.65</v>
      </c>
      <c r="O38" s="376" t="s">
        <v>57</v>
      </c>
      <c r="P38" s="1050" t="s">
        <v>331</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108</v>
      </c>
      <c r="C39" s="1156">
        <v>45899</v>
      </c>
      <c r="D39" s="1157" t="s">
        <v>779</v>
      </c>
      <c r="E39" s="1158">
        <v>45876</v>
      </c>
      <c r="F39" s="1159" t="s">
        <v>162</v>
      </c>
      <c r="G39" s="1160" t="s">
        <v>780</v>
      </c>
      <c r="H39" s="1161">
        <v>0</v>
      </c>
      <c r="I39" s="1162" t="s">
        <v>383</v>
      </c>
      <c r="J39" s="1161" t="s">
        <v>63</v>
      </c>
      <c r="K39" s="51" t="s">
        <v>52</v>
      </c>
      <c r="L39" s="376" t="s">
        <v>57</v>
      </c>
      <c r="M39" s="429">
        <v>1343</v>
      </c>
      <c r="N39" s="1164">
        <v>2310</v>
      </c>
      <c r="O39" s="376" t="s">
        <v>57</v>
      </c>
      <c r="P39" s="1050" t="s">
        <v>331</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108</v>
      </c>
      <c r="C40" s="969">
        <v>45899</v>
      </c>
      <c r="D40" s="942" t="s">
        <v>128</v>
      </c>
      <c r="E40" s="942">
        <v>45870</v>
      </c>
      <c r="F40" s="1166" t="s">
        <v>162</v>
      </c>
      <c r="G40" s="1030" t="s">
        <v>783</v>
      </c>
      <c r="H40" s="959">
        <v>0</v>
      </c>
      <c r="I40" s="959" t="s">
        <v>383</v>
      </c>
      <c r="J40" s="959" t="s">
        <v>63</v>
      </c>
      <c r="K40" s="942">
        <v>45870</v>
      </c>
      <c r="L40" s="959" t="s">
        <v>57</v>
      </c>
      <c r="M40" s="961">
        <v>49307.5</v>
      </c>
      <c r="N40" s="426">
        <v>47409</v>
      </c>
      <c r="O40" s="959" t="s">
        <v>57</v>
      </c>
      <c r="P40" s="1187" t="s">
        <v>331</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108</v>
      </c>
      <c r="C41" s="649">
        <v>45805</v>
      </c>
      <c r="D41" s="649" t="s">
        <v>128</v>
      </c>
      <c r="E41" s="649">
        <v>45695</v>
      </c>
      <c r="F41" s="649" t="s">
        <v>162</v>
      </c>
      <c r="G41" s="773" t="s">
        <v>786</v>
      </c>
      <c r="H41" s="376">
        <v>0</v>
      </c>
      <c r="I41" s="667" t="s">
        <v>383</v>
      </c>
      <c r="J41" s="376" t="s">
        <v>63</v>
      </c>
      <c r="K41" s="375">
        <v>45705</v>
      </c>
      <c r="L41" s="376" t="s">
        <v>57</v>
      </c>
      <c r="M41" s="429">
        <v>88491.8</v>
      </c>
      <c r="N41" s="426">
        <v>85791.25</v>
      </c>
      <c r="O41" s="376" t="s">
        <v>57</v>
      </c>
      <c r="P41" s="376" t="s">
        <v>331</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108</v>
      </c>
      <c r="C42" s="969">
        <v>45899</v>
      </c>
      <c r="D42" s="942" t="s">
        <v>128</v>
      </c>
      <c r="E42" s="942">
        <v>45870</v>
      </c>
      <c r="F42" s="1166" t="s">
        <v>162</v>
      </c>
      <c r="G42" s="1030" t="s">
        <v>789</v>
      </c>
      <c r="H42" s="959">
        <v>0</v>
      </c>
      <c r="I42" s="959" t="s">
        <v>383</v>
      </c>
      <c r="J42" s="959" t="s">
        <v>63</v>
      </c>
      <c r="K42" s="942">
        <v>45870</v>
      </c>
      <c r="L42" s="959" t="s">
        <v>57</v>
      </c>
      <c r="M42" s="961">
        <v>12886.4</v>
      </c>
      <c r="N42" s="1164">
        <v>18418.349999999999</v>
      </c>
      <c r="O42" s="959" t="s">
        <v>57</v>
      </c>
      <c r="P42" s="1188" t="s">
        <v>331</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108</v>
      </c>
      <c r="C43" s="1156">
        <v>45930</v>
      </c>
      <c r="D43" s="1157" t="s">
        <v>85</v>
      </c>
      <c r="E43" s="1158">
        <v>45868</v>
      </c>
      <c r="F43" s="1178" t="s">
        <v>109</v>
      </c>
      <c r="G43" s="1160" t="s">
        <v>792</v>
      </c>
      <c r="H43" s="1161">
        <v>0</v>
      </c>
      <c r="I43" s="1161" t="s">
        <v>383</v>
      </c>
      <c r="J43" s="1161" t="s">
        <v>63</v>
      </c>
      <c r="K43" s="942">
        <v>45868</v>
      </c>
      <c r="L43" s="959" t="s">
        <v>57</v>
      </c>
      <c r="M43" s="961">
        <v>14179.65</v>
      </c>
      <c r="N43" s="1164">
        <v>15936.8</v>
      </c>
      <c r="O43" s="959" t="s">
        <v>57</v>
      </c>
      <c r="P43" s="1187" t="s">
        <v>331</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108</v>
      </c>
      <c r="C44" s="1156">
        <v>45930</v>
      </c>
      <c r="D44" s="1159" t="s">
        <v>85</v>
      </c>
      <c r="E44" s="1156">
        <v>45902</v>
      </c>
      <c r="F44" s="1157" t="s">
        <v>109</v>
      </c>
      <c r="G44" s="1174"/>
      <c r="H44" s="1175">
        <v>0</v>
      </c>
      <c r="I44" s="1175" t="s">
        <v>383</v>
      </c>
      <c r="J44" s="1175" t="s">
        <v>63</v>
      </c>
      <c r="K44" s="907">
        <v>45902</v>
      </c>
      <c r="L44" s="909" t="s">
        <v>57</v>
      </c>
      <c r="M44" s="1171">
        <v>3067.9</v>
      </c>
      <c r="N44" s="1164">
        <v>8729.7000000000007</v>
      </c>
      <c r="O44" s="909" t="s">
        <v>57</v>
      </c>
      <c r="P44" s="1035" t="s">
        <v>331</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108</v>
      </c>
      <c r="C45" s="985">
        <v>45868</v>
      </c>
      <c r="D45" s="907" t="s">
        <v>85</v>
      </c>
      <c r="E45" s="907">
        <v>45849</v>
      </c>
      <c r="F45" s="908" t="s">
        <v>109</v>
      </c>
      <c r="G45" s="1185" t="s">
        <v>797</v>
      </c>
      <c r="H45" s="909">
        <v>0</v>
      </c>
      <c r="I45" s="909" t="s">
        <v>383</v>
      </c>
      <c r="J45" s="909" t="s">
        <v>63</v>
      </c>
      <c r="K45" s="375">
        <v>45848</v>
      </c>
      <c r="L45" s="376" t="s">
        <v>57</v>
      </c>
      <c r="M45" s="429">
        <v>1206</v>
      </c>
      <c r="N45" s="426">
        <v>1195</v>
      </c>
      <c r="O45" s="376" t="s">
        <v>57</v>
      </c>
      <c r="P45" s="1050" t="s">
        <v>331</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108</v>
      </c>
      <c r="C46" s="985">
        <v>45899</v>
      </c>
      <c r="D46" s="908" t="s">
        <v>85</v>
      </c>
      <c r="E46" s="908">
        <v>45882</v>
      </c>
      <c r="F46" s="905" t="s">
        <v>109</v>
      </c>
      <c r="G46" s="1170" t="s">
        <v>800</v>
      </c>
      <c r="H46" s="909">
        <v>0</v>
      </c>
      <c r="I46" s="910" t="s">
        <v>383</v>
      </c>
      <c r="J46" s="909" t="s">
        <v>63</v>
      </c>
      <c r="K46" s="907" t="s">
        <v>52</v>
      </c>
      <c r="L46" s="909" t="s">
        <v>57</v>
      </c>
      <c r="M46" s="1171">
        <v>18903.7</v>
      </c>
      <c r="N46" s="426">
        <v>7007.75</v>
      </c>
      <c r="O46" s="909" t="s">
        <v>57</v>
      </c>
      <c r="P46" s="1035" t="s">
        <v>331</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108</v>
      </c>
      <c r="C47" s="496">
        <v>45899</v>
      </c>
      <c r="D47" s="503" t="s">
        <v>85</v>
      </c>
      <c r="E47" s="496">
        <v>45806</v>
      </c>
      <c r="F47" s="489" t="s">
        <v>109</v>
      </c>
      <c r="G47" s="1029" t="s">
        <v>803</v>
      </c>
      <c r="H47" s="502">
        <v>0</v>
      </c>
      <c r="I47" s="938" t="s">
        <v>383</v>
      </c>
      <c r="J47" s="502" t="s">
        <v>63</v>
      </c>
      <c r="K47" s="503" t="s">
        <v>804</v>
      </c>
      <c r="L47" s="502" t="s">
        <v>57</v>
      </c>
      <c r="M47" s="895">
        <v>21888.65</v>
      </c>
      <c r="N47" s="426">
        <v>21950.85</v>
      </c>
      <c r="O47" s="502" t="s">
        <v>57</v>
      </c>
      <c r="P47" s="1096" t="s">
        <v>331</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108</v>
      </c>
      <c r="C48" s="51">
        <v>45792</v>
      </c>
      <c r="D48" s="381" t="s">
        <v>128</v>
      </c>
      <c r="E48" s="381">
        <v>45695</v>
      </c>
      <c r="F48" s="381" t="s">
        <v>109</v>
      </c>
      <c r="G48" s="382" t="s">
        <v>807</v>
      </c>
      <c r="H48" s="52">
        <v>0</v>
      </c>
      <c r="I48" s="380" t="s">
        <v>331</v>
      </c>
      <c r="J48" s="52" t="s">
        <v>63</v>
      </c>
      <c r="K48" s="50" t="s">
        <v>331</v>
      </c>
      <c r="L48" s="52" t="s">
        <v>57</v>
      </c>
      <c r="M48" s="426">
        <v>3425.55</v>
      </c>
      <c r="N48" s="554">
        <v>7741.4</v>
      </c>
      <c r="O48" s="52" t="s">
        <v>57</v>
      </c>
      <c r="P48" s="52" t="s">
        <v>331</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108</v>
      </c>
      <c r="C49" s="375">
        <v>45787</v>
      </c>
      <c r="D49" s="649" t="s">
        <v>128</v>
      </c>
      <c r="E49" s="51">
        <v>45763</v>
      </c>
      <c r="F49" s="649" t="s">
        <v>162</v>
      </c>
      <c r="G49" s="573" t="s">
        <v>809</v>
      </c>
      <c r="H49" s="376">
        <v>0</v>
      </c>
      <c r="I49" s="667" t="s">
        <v>383</v>
      </c>
      <c r="J49" s="376" t="s">
        <v>63</v>
      </c>
      <c r="K49" s="374" t="s">
        <v>331</v>
      </c>
      <c r="L49" s="376" t="s">
        <v>57</v>
      </c>
      <c r="M49" s="429">
        <v>3707.3</v>
      </c>
      <c r="N49" s="426">
        <v>8209.69</v>
      </c>
      <c r="O49" s="376" t="s">
        <v>57</v>
      </c>
      <c r="P49" s="376" t="s">
        <v>331</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108</v>
      </c>
      <c r="C50" s="51">
        <v>45688</v>
      </c>
      <c r="D50" s="51" t="s">
        <v>725</v>
      </c>
      <c r="E50" s="51">
        <v>45682</v>
      </c>
      <c r="F50" s="658" t="s">
        <v>109</v>
      </c>
      <c r="G50" s="573" t="s">
        <v>811</v>
      </c>
      <c r="H50" s="52">
        <v>48</v>
      </c>
      <c r="I50" s="660" t="s">
        <v>534</v>
      </c>
      <c r="J50" s="52" t="s">
        <v>56</v>
      </c>
      <c r="K50" s="50" t="s">
        <v>331</v>
      </c>
      <c r="L50" s="52" t="s">
        <v>57</v>
      </c>
      <c r="M50" s="426">
        <v>21648.75</v>
      </c>
      <c r="N50" s="554">
        <v>35235</v>
      </c>
      <c r="O50" s="52" t="s">
        <v>57</v>
      </c>
      <c r="P50" s="52" t="s">
        <v>331</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140</v>
      </c>
      <c r="E51" s="887">
        <v>45818</v>
      </c>
      <c r="F51" s="893" t="s">
        <v>813</v>
      </c>
      <c r="G51" s="893" t="s">
        <v>814</v>
      </c>
      <c r="H51" s="791">
        <v>56</v>
      </c>
      <c r="I51" s="791" t="s">
        <v>383</v>
      </c>
      <c r="J51" s="791" t="s">
        <v>63</v>
      </c>
      <c r="K51" s="503">
        <v>45817</v>
      </c>
      <c r="L51" s="502" t="s">
        <v>57</v>
      </c>
      <c r="M51" s="895">
        <v>75953</v>
      </c>
      <c r="N51" s="968">
        <v>61562</v>
      </c>
      <c r="O51" s="502" t="s">
        <v>57</v>
      </c>
      <c r="P51" s="1338" t="s">
        <v>331</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331</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544</v>
      </c>
      <c r="E53" s="51">
        <v>45727</v>
      </c>
      <c r="F53" s="50" t="s">
        <v>819</v>
      </c>
      <c r="G53" s="588" t="s">
        <v>820</v>
      </c>
      <c r="H53" s="52">
        <v>80</v>
      </c>
      <c r="I53" s="52" t="s">
        <v>331</v>
      </c>
      <c r="J53" s="52" t="s">
        <v>63</v>
      </c>
      <c r="K53" s="51">
        <v>45728</v>
      </c>
      <c r="L53" s="52" t="s">
        <v>57</v>
      </c>
      <c r="M53" s="426">
        <v>88033.5</v>
      </c>
      <c r="N53" s="554">
        <v>88045.5</v>
      </c>
      <c r="O53" s="52" t="s">
        <v>57</v>
      </c>
      <c r="P53" s="52" t="s">
        <v>331</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128</v>
      </c>
      <c r="E54" s="51">
        <v>45727</v>
      </c>
      <c r="F54" s="50" t="s">
        <v>68</v>
      </c>
      <c r="G54" s="588" t="s">
        <v>822</v>
      </c>
      <c r="H54" s="52">
        <v>90</v>
      </c>
      <c r="I54" s="52" t="s">
        <v>331</v>
      </c>
      <c r="J54" s="52" t="s">
        <v>63</v>
      </c>
      <c r="K54" s="51">
        <v>45728</v>
      </c>
      <c r="L54" s="52" t="s">
        <v>57</v>
      </c>
      <c r="M54" s="426">
        <v>82979.5</v>
      </c>
      <c r="N54" s="554">
        <v>78032</v>
      </c>
      <c r="O54" s="52" t="s">
        <v>57</v>
      </c>
      <c r="P54" s="376" t="s">
        <v>331</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653</v>
      </c>
      <c r="E55" s="51">
        <v>45716</v>
      </c>
      <c r="F55" s="50" t="s">
        <v>825</v>
      </c>
      <c r="G55" s="668" t="s">
        <v>826</v>
      </c>
      <c r="H55" s="52">
        <v>87</v>
      </c>
      <c r="I55" s="52" t="s">
        <v>331</v>
      </c>
      <c r="J55" s="52" t="s">
        <v>63</v>
      </c>
      <c r="K55" s="51">
        <v>45716</v>
      </c>
      <c r="L55" s="52" t="s">
        <v>57</v>
      </c>
      <c r="M55" s="426">
        <v>74446</v>
      </c>
      <c r="N55" s="568">
        <v>73894</v>
      </c>
      <c r="O55" s="52" t="s">
        <v>57</v>
      </c>
      <c r="P55" s="376" t="s">
        <v>331</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128</v>
      </c>
      <c r="E56" s="51">
        <v>45716</v>
      </c>
      <c r="F56" s="50" t="s">
        <v>68</v>
      </c>
      <c r="G56" s="379" t="s">
        <v>828</v>
      </c>
      <c r="H56" s="52">
        <v>83</v>
      </c>
      <c r="I56" s="380" t="s">
        <v>331</v>
      </c>
      <c r="J56" s="52" t="s">
        <v>63</v>
      </c>
      <c r="K56" s="612">
        <v>45716</v>
      </c>
      <c r="L56" s="52" t="s">
        <v>57</v>
      </c>
      <c r="M56" s="674">
        <v>84935.5</v>
      </c>
      <c r="N56" s="569">
        <v>81445</v>
      </c>
      <c r="O56" s="52" t="s">
        <v>57</v>
      </c>
      <c r="P56" s="376" t="s">
        <v>331</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128</v>
      </c>
      <c r="E57" s="658">
        <v>45685</v>
      </c>
      <c r="F57" s="658" t="s">
        <v>68</v>
      </c>
      <c r="G57" s="659" t="s">
        <v>830</v>
      </c>
      <c r="H57" s="660">
        <v>76</v>
      </c>
      <c r="I57" s="667" t="s">
        <v>383</v>
      </c>
      <c r="J57" s="660" t="s">
        <v>63</v>
      </c>
      <c r="K57" s="658">
        <v>45692</v>
      </c>
      <c r="L57" s="660" t="s">
        <v>57</v>
      </c>
      <c r="M57" s="663">
        <v>90302</v>
      </c>
      <c r="N57" s="426">
        <v>98764.5</v>
      </c>
      <c r="O57" s="660" t="s">
        <v>57</v>
      </c>
      <c r="P57" s="376" t="s">
        <v>331</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653</v>
      </c>
      <c r="E58" s="658">
        <v>45695</v>
      </c>
      <c r="F58" s="50" t="s">
        <v>825</v>
      </c>
      <c r="G58" s="572" t="s">
        <v>661</v>
      </c>
      <c r="H58" s="380">
        <v>86</v>
      </c>
      <c r="I58" s="380" t="s">
        <v>383</v>
      </c>
      <c r="J58" s="380" t="s">
        <v>63</v>
      </c>
      <c r="K58" s="381">
        <v>45698</v>
      </c>
      <c r="L58" s="380" t="s">
        <v>57</v>
      </c>
      <c r="M58" s="640">
        <v>71361</v>
      </c>
      <c r="N58" s="554">
        <v>72125</v>
      </c>
      <c r="O58" s="380" t="s">
        <v>57</v>
      </c>
      <c r="P58" s="52" t="s">
        <v>331</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140</v>
      </c>
      <c r="E59" s="381">
        <v>45686</v>
      </c>
      <c r="F59" s="381" t="s">
        <v>813</v>
      </c>
      <c r="G59" s="572" t="s">
        <v>834</v>
      </c>
      <c r="H59" s="380">
        <v>81</v>
      </c>
      <c r="I59" s="377" t="s">
        <v>383</v>
      </c>
      <c r="J59" s="380" t="s">
        <v>63</v>
      </c>
      <c r="K59" s="381">
        <v>45700</v>
      </c>
      <c r="L59" s="380" t="s">
        <v>57</v>
      </c>
      <c r="M59" s="640">
        <v>76139.5</v>
      </c>
      <c r="N59" s="568">
        <v>79581.5</v>
      </c>
      <c r="O59" s="380" t="s">
        <v>57</v>
      </c>
      <c r="P59" s="376" t="s">
        <v>331</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128</v>
      </c>
      <c r="E60" s="381">
        <v>45685</v>
      </c>
      <c r="F60" s="50" t="s">
        <v>68</v>
      </c>
      <c r="G60" s="572" t="s">
        <v>837</v>
      </c>
      <c r="H60" s="380">
        <v>81</v>
      </c>
      <c r="I60" s="377" t="s">
        <v>383</v>
      </c>
      <c r="J60" s="380" t="s">
        <v>63</v>
      </c>
      <c r="K60" s="381">
        <v>45699</v>
      </c>
      <c r="L60" s="380" t="s">
        <v>57</v>
      </c>
      <c r="M60" s="640">
        <v>73583.5</v>
      </c>
      <c r="N60" s="554">
        <v>84066</v>
      </c>
      <c r="O60" s="769" t="s">
        <v>57</v>
      </c>
      <c r="P60" s="376" t="s">
        <v>331</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657</v>
      </c>
      <c r="E61" s="381">
        <v>45692</v>
      </c>
      <c r="F61" s="51" t="s">
        <v>819</v>
      </c>
      <c r="G61" s="572" t="s">
        <v>840</v>
      </c>
      <c r="H61" s="380">
        <v>90</v>
      </c>
      <c r="I61" s="380" t="s">
        <v>534</v>
      </c>
      <c r="J61" s="380" t="s">
        <v>63</v>
      </c>
      <c r="K61" s="50" t="s">
        <v>331</v>
      </c>
      <c r="L61" s="380" t="s">
        <v>57</v>
      </c>
      <c r="M61" s="640">
        <v>51958</v>
      </c>
      <c r="N61" s="554">
        <v>20330.259999999998</v>
      </c>
      <c r="O61" s="380" t="s">
        <v>57</v>
      </c>
      <c r="P61" s="52" t="s">
        <v>331</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534</v>
      </c>
      <c r="J62" s="775" t="s">
        <v>63</v>
      </c>
      <c r="K62" s="496">
        <v>45677</v>
      </c>
      <c r="L62" s="960" t="s">
        <v>57</v>
      </c>
      <c r="M62" s="776">
        <v>78075.5</v>
      </c>
      <c r="N62" s="639">
        <v>75360</v>
      </c>
      <c r="O62" s="960" t="s">
        <v>57</v>
      </c>
      <c r="P62" s="1096" t="s">
        <v>331</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671</v>
      </c>
      <c r="E63" s="658">
        <v>45692</v>
      </c>
      <c r="F63" s="658" t="s">
        <v>207</v>
      </c>
      <c r="G63" s="659" t="s">
        <v>847</v>
      </c>
      <c r="H63" s="52">
        <v>86</v>
      </c>
      <c r="I63" s="660" t="s">
        <v>534</v>
      </c>
      <c r="J63" s="52" t="s">
        <v>63</v>
      </c>
      <c r="K63" s="374" t="s">
        <v>331</v>
      </c>
      <c r="L63" s="660" t="s">
        <v>57</v>
      </c>
      <c r="M63" s="426">
        <v>82480.5</v>
      </c>
      <c r="N63" s="426">
        <v>77870.5</v>
      </c>
      <c r="O63" s="660" t="s">
        <v>57</v>
      </c>
      <c r="P63" s="376" t="s">
        <v>331</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657</v>
      </c>
      <c r="E64" s="908">
        <v>45695</v>
      </c>
      <c r="F64" s="907" t="s">
        <v>68</v>
      </c>
      <c r="G64" s="1170" t="s">
        <v>850</v>
      </c>
      <c r="H64" s="909">
        <v>88</v>
      </c>
      <c r="I64" s="910" t="s">
        <v>534</v>
      </c>
      <c r="J64" s="909" t="s">
        <v>63</v>
      </c>
      <c r="K64" s="905" t="s">
        <v>331</v>
      </c>
      <c r="L64" s="910" t="s">
        <v>57</v>
      </c>
      <c r="M64" s="429">
        <v>43130</v>
      </c>
      <c r="N64" s="426">
        <v>43560</v>
      </c>
      <c r="O64" s="667" t="s">
        <v>57</v>
      </c>
      <c r="P64" s="1050" t="s">
        <v>331</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534</v>
      </c>
      <c r="J65" s="977" t="s">
        <v>63</v>
      </c>
      <c r="K65" s="1192">
        <v>45706</v>
      </c>
      <c r="L65" s="976" t="s">
        <v>57</v>
      </c>
      <c r="M65" s="426">
        <v>69212.5</v>
      </c>
      <c r="N65" s="426">
        <v>70500</v>
      </c>
      <c r="O65" s="660" t="s">
        <v>57</v>
      </c>
      <c r="P65" s="1050" t="s">
        <v>331</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331</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207</v>
      </c>
      <c r="G67" s="379" t="s">
        <v>861</v>
      </c>
      <c r="H67" s="52">
        <v>88</v>
      </c>
      <c r="I67" s="380" t="s">
        <v>383</v>
      </c>
      <c r="J67" s="52" t="s">
        <v>63</v>
      </c>
      <c r="K67" s="51">
        <v>45741</v>
      </c>
      <c r="L67" s="52" t="s">
        <v>57</v>
      </c>
      <c r="M67" s="426">
        <v>73070.5</v>
      </c>
      <c r="N67" s="554">
        <v>72678</v>
      </c>
      <c r="O67" s="52" t="s">
        <v>57</v>
      </c>
      <c r="P67" s="52" t="s">
        <v>331</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667</v>
      </c>
      <c r="E68" s="985">
        <v>45743</v>
      </c>
      <c r="F68" s="911" t="s">
        <v>68</v>
      </c>
      <c r="G68" s="986" t="s">
        <v>863</v>
      </c>
      <c r="H68" s="977">
        <v>57</v>
      </c>
      <c r="I68" s="976" t="s">
        <v>383</v>
      </c>
      <c r="J68" s="909" t="s">
        <v>63</v>
      </c>
      <c r="K68" s="985">
        <v>45741</v>
      </c>
      <c r="L68" s="909" t="s">
        <v>57</v>
      </c>
      <c r="M68" s="426">
        <v>49071</v>
      </c>
      <c r="N68" s="426">
        <v>51376.61</v>
      </c>
      <c r="O68" s="376" t="s">
        <v>57</v>
      </c>
      <c r="P68" s="1050" t="s">
        <v>331</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671</v>
      </c>
      <c r="E69" s="658">
        <v>45691</v>
      </c>
      <c r="F69" s="658" t="s">
        <v>207</v>
      </c>
      <c r="G69" s="659" t="s">
        <v>866</v>
      </c>
      <c r="H69" s="52">
        <v>73</v>
      </c>
      <c r="I69" s="667" t="s">
        <v>534</v>
      </c>
      <c r="J69" s="52" t="s">
        <v>63</v>
      </c>
      <c r="K69" s="51">
        <v>45698</v>
      </c>
      <c r="L69" s="660" t="s">
        <v>57</v>
      </c>
      <c r="M69" s="426">
        <v>60575.5</v>
      </c>
      <c r="N69" s="554">
        <v>59352</v>
      </c>
      <c r="O69" s="660" t="s">
        <v>57</v>
      </c>
      <c r="P69" s="376" t="s">
        <v>331</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207</v>
      </c>
      <c r="G70" s="572" t="s">
        <v>869</v>
      </c>
      <c r="H70" s="52">
        <v>65</v>
      </c>
      <c r="I70" s="380" t="s">
        <v>534</v>
      </c>
      <c r="J70" s="52" t="s">
        <v>63</v>
      </c>
      <c r="K70" s="51">
        <v>45698</v>
      </c>
      <c r="L70" s="380" t="s">
        <v>57</v>
      </c>
      <c r="M70" s="426">
        <v>65001</v>
      </c>
      <c r="N70" s="569">
        <v>68269</v>
      </c>
      <c r="O70" s="380" t="s">
        <v>57</v>
      </c>
      <c r="P70" s="376" t="s">
        <v>331</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653</v>
      </c>
      <c r="E71" s="51">
        <v>45743</v>
      </c>
      <c r="F71" s="50" t="s">
        <v>825</v>
      </c>
      <c r="G71" s="379" t="s">
        <v>871</v>
      </c>
      <c r="H71" s="52">
        <v>70</v>
      </c>
      <c r="I71" s="380" t="s">
        <v>383</v>
      </c>
      <c r="J71" s="376" t="s">
        <v>63</v>
      </c>
      <c r="K71" s="51">
        <v>45741</v>
      </c>
      <c r="L71" s="376" t="s">
        <v>57</v>
      </c>
      <c r="M71" s="426">
        <v>62104</v>
      </c>
      <c r="N71" s="569">
        <v>64186</v>
      </c>
      <c r="O71" s="376" t="s">
        <v>57</v>
      </c>
      <c r="P71" s="376" t="s">
        <v>331</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653</v>
      </c>
      <c r="E72" s="51">
        <v>45743</v>
      </c>
      <c r="F72" s="50" t="s">
        <v>825</v>
      </c>
      <c r="G72" s="670" t="s">
        <v>873</v>
      </c>
      <c r="H72" s="52">
        <v>84</v>
      </c>
      <c r="I72" s="660" t="s">
        <v>383</v>
      </c>
      <c r="J72" s="376" t="s">
        <v>63</v>
      </c>
      <c r="K72" s="51">
        <v>45741</v>
      </c>
      <c r="L72" s="376" t="s">
        <v>57</v>
      </c>
      <c r="M72" s="426">
        <v>63756.5</v>
      </c>
      <c r="N72" s="569">
        <v>64902.5</v>
      </c>
      <c r="O72" s="376" t="s">
        <v>57</v>
      </c>
      <c r="P72" s="376" t="s">
        <v>331</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128</v>
      </c>
      <c r="E73" s="51">
        <v>45743</v>
      </c>
      <c r="F73" s="50" t="s">
        <v>68</v>
      </c>
      <c r="G73" s="379" t="s">
        <v>875</v>
      </c>
      <c r="H73" s="52">
        <v>75</v>
      </c>
      <c r="I73" s="380" t="s">
        <v>383</v>
      </c>
      <c r="J73" s="52" t="s">
        <v>63</v>
      </c>
      <c r="K73" s="51">
        <v>45741</v>
      </c>
      <c r="L73" s="52" t="s">
        <v>57</v>
      </c>
      <c r="M73" s="426">
        <v>67840.5</v>
      </c>
      <c r="N73" s="554">
        <v>66607.5</v>
      </c>
      <c r="O73" s="52" t="s">
        <v>57</v>
      </c>
      <c r="P73" s="52" t="s">
        <v>331</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207</v>
      </c>
      <c r="G74" s="379" t="s">
        <v>877</v>
      </c>
      <c r="H74" s="52">
        <v>69</v>
      </c>
      <c r="I74" s="52" t="s">
        <v>383</v>
      </c>
      <c r="J74" s="52" t="s">
        <v>63</v>
      </c>
      <c r="K74" s="51">
        <v>45757</v>
      </c>
      <c r="L74" s="52" t="s">
        <v>57</v>
      </c>
      <c r="M74" s="426">
        <v>53906.75</v>
      </c>
      <c r="N74" s="554">
        <v>54578.5</v>
      </c>
      <c r="O74" s="52" t="s">
        <v>57</v>
      </c>
      <c r="P74" s="52" t="s">
        <v>331</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331</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140</v>
      </c>
      <c r="E76" s="51">
        <v>45761</v>
      </c>
      <c r="F76" s="50" t="s">
        <v>813</v>
      </c>
      <c r="G76" s="50" t="s">
        <v>883</v>
      </c>
      <c r="H76" s="52">
        <v>76</v>
      </c>
      <c r="I76" s="52" t="s">
        <v>331</v>
      </c>
      <c r="J76" s="52" t="s">
        <v>63</v>
      </c>
      <c r="K76" s="51">
        <v>45757</v>
      </c>
      <c r="L76" s="52" t="s">
        <v>57</v>
      </c>
      <c r="M76" s="426">
        <v>62383</v>
      </c>
      <c r="N76" s="554">
        <v>61939</v>
      </c>
      <c r="O76" s="52" t="s">
        <v>57</v>
      </c>
      <c r="P76" s="52" t="s">
        <v>331</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331</v>
      </c>
      <c r="J77" s="376" t="s">
        <v>63</v>
      </c>
      <c r="K77" s="375">
        <v>45757</v>
      </c>
      <c r="L77" s="376" t="s">
        <v>57</v>
      </c>
      <c r="M77" s="429">
        <v>80443.5</v>
      </c>
      <c r="N77" s="554">
        <v>81941</v>
      </c>
      <c r="O77" s="376" t="s">
        <v>57</v>
      </c>
      <c r="P77" s="376" t="s">
        <v>331</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331</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140</v>
      </c>
      <c r="E79" s="51">
        <v>45743</v>
      </c>
      <c r="F79" s="50" t="s">
        <v>813</v>
      </c>
      <c r="G79" s="379" t="s">
        <v>891</v>
      </c>
      <c r="H79" s="52">
        <v>84</v>
      </c>
      <c r="I79" s="660" t="s">
        <v>383</v>
      </c>
      <c r="J79" s="376" t="s">
        <v>63</v>
      </c>
      <c r="K79" s="51">
        <v>45741</v>
      </c>
      <c r="L79" s="376" t="s">
        <v>57</v>
      </c>
      <c r="M79" s="426">
        <v>73491.5</v>
      </c>
      <c r="N79" s="568">
        <v>202651</v>
      </c>
      <c r="O79" s="376" t="s">
        <v>57</v>
      </c>
      <c r="P79" s="376" t="s">
        <v>331</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653</v>
      </c>
      <c r="E80" s="51">
        <v>45807</v>
      </c>
      <c r="F80" s="374" t="s">
        <v>825</v>
      </c>
      <c r="G80" s="374" t="s">
        <v>893</v>
      </c>
      <c r="H80" s="376">
        <v>87</v>
      </c>
      <c r="I80" s="376" t="s">
        <v>383</v>
      </c>
      <c r="J80" s="376" t="s">
        <v>63</v>
      </c>
      <c r="K80" s="375">
        <v>45757</v>
      </c>
      <c r="L80" s="393" t="s">
        <v>57</v>
      </c>
      <c r="M80" s="429">
        <v>78331</v>
      </c>
      <c r="N80" s="426">
        <v>82072.25</v>
      </c>
      <c r="O80" s="376" t="s">
        <v>57</v>
      </c>
      <c r="P80" s="437" t="s">
        <v>331</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128</v>
      </c>
      <c r="E81" s="51">
        <v>45743</v>
      </c>
      <c r="F81" s="50" t="s">
        <v>68</v>
      </c>
      <c r="G81" s="670" t="s">
        <v>895</v>
      </c>
      <c r="H81" s="52">
        <v>81</v>
      </c>
      <c r="I81" s="660" t="s">
        <v>383</v>
      </c>
      <c r="J81" s="376" t="s">
        <v>63</v>
      </c>
      <c r="K81" s="51">
        <v>45741</v>
      </c>
      <c r="L81" s="376" t="s">
        <v>57</v>
      </c>
      <c r="M81" s="426">
        <v>74961</v>
      </c>
      <c r="N81" s="426">
        <v>77123</v>
      </c>
      <c r="O81" s="376" t="s">
        <v>57</v>
      </c>
      <c r="P81" s="376" t="s">
        <v>331</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140</v>
      </c>
      <c r="E82" s="51">
        <v>45743</v>
      </c>
      <c r="F82" s="50" t="s">
        <v>813</v>
      </c>
      <c r="G82" s="379" t="s">
        <v>897</v>
      </c>
      <c r="H82" s="52">
        <v>80</v>
      </c>
      <c r="I82" s="380" t="s">
        <v>383</v>
      </c>
      <c r="J82" s="376" t="s">
        <v>63</v>
      </c>
      <c r="K82" s="51">
        <v>45741</v>
      </c>
      <c r="L82" s="376" t="s">
        <v>57</v>
      </c>
      <c r="M82" s="426">
        <v>70235</v>
      </c>
      <c r="N82" s="568">
        <v>134171.5</v>
      </c>
      <c r="O82" s="376" t="s">
        <v>57</v>
      </c>
      <c r="P82" s="376" t="s">
        <v>331</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653</v>
      </c>
      <c r="E83" s="658">
        <v>45684</v>
      </c>
      <c r="F83" s="50" t="s">
        <v>825</v>
      </c>
      <c r="G83" s="659" t="s">
        <v>899</v>
      </c>
      <c r="H83" s="52">
        <v>90</v>
      </c>
      <c r="I83" s="660" t="s">
        <v>534</v>
      </c>
      <c r="J83" s="52" t="s">
        <v>63</v>
      </c>
      <c r="K83" s="50" t="s">
        <v>331</v>
      </c>
      <c r="L83" s="660" t="s">
        <v>57</v>
      </c>
      <c r="M83" s="426">
        <v>60625.5</v>
      </c>
      <c r="N83" s="554">
        <v>59084</v>
      </c>
      <c r="O83" s="660" t="s">
        <v>57</v>
      </c>
      <c r="P83" s="52" t="s">
        <v>331</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657</v>
      </c>
      <c r="E84" s="51">
        <v>45716</v>
      </c>
      <c r="F84" s="50" t="s">
        <v>819</v>
      </c>
      <c r="G84" s="670" t="s">
        <v>901</v>
      </c>
      <c r="H84" s="52">
        <v>86</v>
      </c>
      <c r="I84" s="660" t="s">
        <v>383</v>
      </c>
      <c r="J84" s="52" t="s">
        <v>63</v>
      </c>
      <c r="K84" s="51">
        <v>45721</v>
      </c>
      <c r="L84" s="52" t="s">
        <v>57</v>
      </c>
      <c r="M84" s="591">
        <v>79507</v>
      </c>
      <c r="N84" s="554">
        <v>86709.5</v>
      </c>
      <c r="O84" s="52" t="s">
        <v>57</v>
      </c>
      <c r="P84" s="52" t="s">
        <v>331</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140</v>
      </c>
      <c r="E85" s="658">
        <v>45686</v>
      </c>
      <c r="F85" s="658" t="s">
        <v>813</v>
      </c>
      <c r="G85" s="659" t="s">
        <v>903</v>
      </c>
      <c r="H85" s="52">
        <v>90</v>
      </c>
      <c r="I85" s="667" t="s">
        <v>534</v>
      </c>
      <c r="J85" s="52" t="s">
        <v>63</v>
      </c>
      <c r="K85" s="51">
        <v>45700</v>
      </c>
      <c r="L85" s="660" t="s">
        <v>57</v>
      </c>
      <c r="M85" s="426">
        <v>77320</v>
      </c>
      <c r="N85" s="426">
        <v>75804</v>
      </c>
      <c r="O85" s="660" t="s">
        <v>57</v>
      </c>
      <c r="P85" s="376" t="s">
        <v>331</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140</v>
      </c>
      <c r="E86" s="51">
        <v>45716</v>
      </c>
      <c r="F86" s="50" t="s">
        <v>813</v>
      </c>
      <c r="G86" s="379" t="s">
        <v>906</v>
      </c>
      <c r="H86" s="52">
        <v>82</v>
      </c>
      <c r="I86" s="380" t="s">
        <v>383</v>
      </c>
      <c r="J86" s="52" t="s">
        <v>63</v>
      </c>
      <c r="K86" s="51">
        <v>45716</v>
      </c>
      <c r="L86" s="52" t="s">
        <v>57</v>
      </c>
      <c r="M86" s="426">
        <v>64609</v>
      </c>
      <c r="N86" s="568">
        <v>76965</v>
      </c>
      <c r="O86" s="52" t="s">
        <v>57</v>
      </c>
      <c r="P86" s="376" t="s">
        <v>331</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207</v>
      </c>
      <c r="G87" s="382" t="s">
        <v>909</v>
      </c>
      <c r="H87" s="52">
        <v>64</v>
      </c>
      <c r="I87" s="380" t="s">
        <v>383</v>
      </c>
      <c r="J87" s="52" t="s">
        <v>63</v>
      </c>
      <c r="K87" s="51">
        <v>45701</v>
      </c>
      <c r="L87" s="380" t="s">
        <v>57</v>
      </c>
      <c r="M87" s="426">
        <v>48609</v>
      </c>
      <c r="N87" s="554">
        <v>48682.5</v>
      </c>
      <c r="O87" s="769" t="s">
        <v>57</v>
      </c>
      <c r="P87" s="376" t="s">
        <v>331</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657</v>
      </c>
      <c r="E88" s="658">
        <v>45692</v>
      </c>
      <c r="F88" s="658" t="s">
        <v>819</v>
      </c>
      <c r="G88" s="659" t="s">
        <v>912</v>
      </c>
      <c r="H88" s="52">
        <v>59</v>
      </c>
      <c r="I88" s="660" t="s">
        <v>383</v>
      </c>
      <c r="J88" s="52" t="s">
        <v>63</v>
      </c>
      <c r="K88" s="51">
        <v>45698</v>
      </c>
      <c r="L88" s="660" t="s">
        <v>57</v>
      </c>
      <c r="M88" s="426">
        <v>52222</v>
      </c>
      <c r="N88" s="554">
        <v>51838</v>
      </c>
      <c r="O88" s="660" t="s">
        <v>57</v>
      </c>
      <c r="P88" s="52" t="s">
        <v>331</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653</v>
      </c>
      <c r="E89" s="658">
        <v>45686</v>
      </c>
      <c r="F89" s="50" t="s">
        <v>825</v>
      </c>
      <c r="G89" s="659" t="s">
        <v>914</v>
      </c>
      <c r="H89" s="52">
        <v>85</v>
      </c>
      <c r="I89" s="667" t="s">
        <v>383</v>
      </c>
      <c r="J89" s="52" t="s">
        <v>63</v>
      </c>
      <c r="K89" s="51">
        <v>45698</v>
      </c>
      <c r="L89" s="1193" t="s">
        <v>57</v>
      </c>
      <c r="M89" s="426">
        <v>67892.5</v>
      </c>
      <c r="N89" s="426">
        <v>65771.429999999993</v>
      </c>
      <c r="O89" s="660" t="s">
        <v>57</v>
      </c>
      <c r="P89" s="354" t="s">
        <v>331</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140</v>
      </c>
      <c r="E90" s="51">
        <v>45716</v>
      </c>
      <c r="F90" s="50" t="s">
        <v>813</v>
      </c>
      <c r="G90" s="670" t="s">
        <v>917</v>
      </c>
      <c r="H90" s="52">
        <v>88</v>
      </c>
      <c r="I90" s="660" t="s">
        <v>331</v>
      </c>
      <c r="J90" s="52" t="s">
        <v>63</v>
      </c>
      <c r="K90" s="51">
        <v>45716</v>
      </c>
      <c r="L90" s="52" t="s">
        <v>57</v>
      </c>
      <c r="M90" s="591">
        <v>67463</v>
      </c>
      <c r="N90" s="554">
        <v>69992</v>
      </c>
      <c r="O90" s="52" t="s">
        <v>57</v>
      </c>
      <c r="P90" s="52" t="s">
        <v>331</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534</v>
      </c>
      <c r="J91" s="52" t="s">
        <v>63</v>
      </c>
      <c r="K91" s="51">
        <v>45698</v>
      </c>
      <c r="L91" s="660" t="s">
        <v>57</v>
      </c>
      <c r="M91" s="426">
        <v>66638</v>
      </c>
      <c r="N91" s="569">
        <v>65072</v>
      </c>
      <c r="O91" s="660" t="s">
        <v>57</v>
      </c>
      <c r="P91" s="376" t="s">
        <v>331</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207</v>
      </c>
      <c r="G92" s="794" t="s">
        <v>922</v>
      </c>
      <c r="H92" s="775">
        <v>85</v>
      </c>
      <c r="I92" s="781" t="s">
        <v>383</v>
      </c>
      <c r="J92" s="775" t="s">
        <v>63</v>
      </c>
      <c r="K92" s="57">
        <v>45707</v>
      </c>
      <c r="L92" s="775" t="s">
        <v>57</v>
      </c>
      <c r="M92" s="426" t="s">
        <v>923</v>
      </c>
      <c r="N92" s="569">
        <v>67080</v>
      </c>
      <c r="O92" s="52" t="s">
        <v>57</v>
      </c>
      <c r="P92" s="1050" t="s">
        <v>331</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331</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331</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140</v>
      </c>
      <c r="E95" s="57">
        <v>45743</v>
      </c>
      <c r="F95" s="771" t="s">
        <v>813</v>
      </c>
      <c r="G95" s="774" t="s">
        <v>930</v>
      </c>
      <c r="H95" s="775">
        <v>88</v>
      </c>
      <c r="I95" s="803" t="s">
        <v>383</v>
      </c>
      <c r="J95" s="791" t="s">
        <v>63</v>
      </c>
      <c r="K95" s="496">
        <v>45741</v>
      </c>
      <c r="L95" s="502" t="s">
        <v>57</v>
      </c>
      <c r="M95" s="776">
        <v>75396.5</v>
      </c>
      <c r="N95" s="639">
        <v>75756.5</v>
      </c>
      <c r="O95" s="502" t="s">
        <v>57</v>
      </c>
      <c r="P95" s="1338" t="s">
        <v>331</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207</v>
      </c>
      <c r="G96" s="827" t="s">
        <v>932</v>
      </c>
      <c r="H96" s="478">
        <v>90</v>
      </c>
      <c r="I96" s="661" t="s">
        <v>383</v>
      </c>
      <c r="J96" s="478" t="s">
        <v>63</v>
      </c>
      <c r="K96" s="476">
        <v>45698</v>
      </c>
      <c r="L96" s="828" t="s">
        <v>57</v>
      </c>
      <c r="M96" s="777">
        <v>68216.5</v>
      </c>
      <c r="N96" s="639">
        <v>65624.5</v>
      </c>
      <c r="O96" s="828" t="s">
        <v>57</v>
      </c>
      <c r="P96" s="1035" t="s">
        <v>331</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207</v>
      </c>
      <c r="G97" s="794" t="s">
        <v>935</v>
      </c>
      <c r="H97" s="775">
        <v>78</v>
      </c>
      <c r="I97" s="790" t="s">
        <v>331</v>
      </c>
      <c r="J97" s="775" t="s">
        <v>63</v>
      </c>
      <c r="K97" s="57">
        <v>45708</v>
      </c>
      <c r="L97" s="775" t="s">
        <v>57</v>
      </c>
      <c r="M97" s="639">
        <v>56854</v>
      </c>
      <c r="N97" s="807">
        <v>62254</v>
      </c>
      <c r="O97" s="775" t="s">
        <v>57</v>
      </c>
      <c r="P97" s="775" t="s">
        <v>331</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207</v>
      </c>
      <c r="G98" s="1040" t="s">
        <v>937</v>
      </c>
      <c r="H98" s="76">
        <v>87</v>
      </c>
      <c r="I98" s="103" t="s">
        <v>331</v>
      </c>
      <c r="J98" s="76" t="s">
        <v>63</v>
      </c>
      <c r="K98" s="77">
        <v>45708</v>
      </c>
      <c r="L98" s="103" t="s">
        <v>57</v>
      </c>
      <c r="M98" s="811">
        <v>73639</v>
      </c>
      <c r="N98" s="1049">
        <v>73025</v>
      </c>
      <c r="O98" s="103" t="s">
        <v>57</v>
      </c>
      <c r="P98" s="105" t="s">
        <v>331</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657</v>
      </c>
      <c r="E99" s="77">
        <v>45700</v>
      </c>
      <c r="F99" s="77" t="s">
        <v>819</v>
      </c>
      <c r="G99" s="1040" t="s">
        <v>939</v>
      </c>
      <c r="H99" s="76">
        <v>60</v>
      </c>
      <c r="I99" s="817" t="s">
        <v>331</v>
      </c>
      <c r="J99" s="76" t="s">
        <v>63</v>
      </c>
      <c r="K99" s="77">
        <v>45698</v>
      </c>
      <c r="L99" s="103" t="s">
        <v>57</v>
      </c>
      <c r="M99" s="811">
        <v>54861</v>
      </c>
      <c r="N99" s="812">
        <v>55197</v>
      </c>
      <c r="O99" s="103" t="s">
        <v>57</v>
      </c>
      <c r="P99" s="76" t="s">
        <v>331</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140</v>
      </c>
      <c r="E100" s="57">
        <v>45736</v>
      </c>
      <c r="F100" s="771" t="s">
        <v>813</v>
      </c>
      <c r="G100" s="789" t="s">
        <v>941</v>
      </c>
      <c r="H100" s="775">
        <v>50</v>
      </c>
      <c r="I100" s="793" t="s">
        <v>383</v>
      </c>
      <c r="J100" s="775" t="s">
        <v>63</v>
      </c>
      <c r="K100" s="57">
        <v>45735</v>
      </c>
      <c r="L100" s="775" t="s">
        <v>57</v>
      </c>
      <c r="M100" s="639">
        <v>41285</v>
      </c>
      <c r="N100" s="807">
        <v>40484</v>
      </c>
      <c r="O100" s="775" t="s">
        <v>57</v>
      </c>
      <c r="P100" s="791" t="s">
        <v>331</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534</v>
      </c>
      <c r="J101" s="775" t="s">
        <v>63</v>
      </c>
      <c r="K101" s="1041">
        <v>45716</v>
      </c>
      <c r="L101" s="775" t="s">
        <v>57</v>
      </c>
      <c r="M101" s="639">
        <v>21944.6</v>
      </c>
      <c r="N101" s="807">
        <v>26564</v>
      </c>
      <c r="O101" s="775" t="s">
        <v>57</v>
      </c>
      <c r="P101" s="791" t="s">
        <v>331</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653</v>
      </c>
      <c r="E102" s="57">
        <v>45695</v>
      </c>
      <c r="F102" s="771" t="s">
        <v>825</v>
      </c>
      <c r="G102" s="794" t="s">
        <v>946</v>
      </c>
      <c r="H102" s="775">
        <v>0</v>
      </c>
      <c r="I102" s="790" t="s">
        <v>534</v>
      </c>
      <c r="J102" s="775" t="s">
        <v>63</v>
      </c>
      <c r="K102" s="57">
        <v>45695</v>
      </c>
      <c r="L102" s="790" t="s">
        <v>57</v>
      </c>
      <c r="M102" s="639">
        <v>20939.75</v>
      </c>
      <c r="N102" s="807">
        <v>13575.75</v>
      </c>
      <c r="O102" s="790" t="s">
        <v>57</v>
      </c>
      <c r="P102" s="791" t="s">
        <v>331</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532</v>
      </c>
      <c r="E103" s="772" t="s">
        <v>52</v>
      </c>
      <c r="F103" s="772" t="s">
        <v>948</v>
      </c>
      <c r="G103" s="804" t="s">
        <v>949</v>
      </c>
      <c r="H103" s="781">
        <v>0</v>
      </c>
      <c r="I103" s="781" t="s">
        <v>383</v>
      </c>
      <c r="J103" s="781" t="s">
        <v>63</v>
      </c>
      <c r="K103" s="893" t="s">
        <v>331</v>
      </c>
      <c r="L103" s="781" t="s">
        <v>57</v>
      </c>
      <c r="M103" s="891">
        <v>289634.75</v>
      </c>
      <c r="N103" s="807">
        <v>296306.83</v>
      </c>
      <c r="O103" s="892" t="s">
        <v>57</v>
      </c>
      <c r="P103" s="791" t="s">
        <v>331</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331</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331</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206</v>
      </c>
      <c r="C112" s="51">
        <v>45711</v>
      </c>
      <c r="D112" s="50" t="s">
        <v>128</v>
      </c>
      <c r="E112" s="51">
        <v>45707</v>
      </c>
      <c r="F112" s="50" t="s">
        <v>962</v>
      </c>
      <c r="G112" s="379" t="s">
        <v>963</v>
      </c>
      <c r="H112" s="52">
        <v>0</v>
      </c>
      <c r="I112" s="380" t="s">
        <v>383</v>
      </c>
      <c r="J112" s="52" t="s">
        <v>63</v>
      </c>
      <c r="K112" s="51">
        <v>45701</v>
      </c>
      <c r="L112" s="52" t="s">
        <v>57</v>
      </c>
      <c r="M112" s="426">
        <v>111163</v>
      </c>
      <c r="N112" s="736"/>
      <c r="O112" s="52" t="s">
        <v>57</v>
      </c>
      <c r="P112" s="586" t="s">
        <v>331</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206</v>
      </c>
      <c r="C113" s="467">
        <v>45960</v>
      </c>
      <c r="D113" s="475" t="s">
        <v>231</v>
      </c>
      <c r="E113" s="476">
        <v>45944</v>
      </c>
      <c r="F113" s="475" t="s">
        <v>232</v>
      </c>
      <c r="G113" s="824"/>
      <c r="H113" s="478">
        <v>0</v>
      </c>
      <c r="I113" s="828" t="s">
        <v>383</v>
      </c>
      <c r="J113" s="478" t="s">
        <v>63</v>
      </c>
      <c r="K113" s="476" t="s">
        <v>52</v>
      </c>
      <c r="L113" s="478" t="s">
        <v>57</v>
      </c>
      <c r="M113" s="543">
        <v>50539.6</v>
      </c>
      <c r="N113" s="736"/>
      <c r="O113" s="478" t="s">
        <v>57</v>
      </c>
      <c r="P113" s="749" t="s">
        <v>331</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108</v>
      </c>
      <c r="C114" s="51">
        <v>45899</v>
      </c>
      <c r="D114" s="375" t="s">
        <v>128</v>
      </c>
      <c r="E114" s="375">
        <v>45873</v>
      </c>
      <c r="F114" s="589" t="s">
        <v>162</v>
      </c>
      <c r="G114" s="637"/>
      <c r="H114" s="376">
        <v>50</v>
      </c>
      <c r="I114" s="377" t="s">
        <v>383</v>
      </c>
      <c r="J114" s="376" t="s">
        <v>56</v>
      </c>
      <c r="K114" s="375">
        <v>45874</v>
      </c>
      <c r="L114" s="376" t="s">
        <v>57</v>
      </c>
      <c r="M114" s="429">
        <v>11894.25</v>
      </c>
      <c r="N114" s="96"/>
      <c r="O114" s="376" t="s">
        <v>57</v>
      </c>
      <c r="P114" s="587" t="s">
        <v>331</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108</v>
      </c>
      <c r="C115" s="467">
        <v>45868</v>
      </c>
      <c r="D115" s="488" t="s">
        <v>128</v>
      </c>
      <c r="E115" s="467">
        <v>45786</v>
      </c>
      <c r="F115" s="488" t="s">
        <v>109</v>
      </c>
      <c r="G115" s="465" t="s">
        <v>968</v>
      </c>
      <c r="H115" s="469">
        <v>0</v>
      </c>
      <c r="I115" s="469" t="s">
        <v>383</v>
      </c>
      <c r="J115" s="469" t="s">
        <v>63</v>
      </c>
      <c r="K115" s="467">
        <v>45786</v>
      </c>
      <c r="L115" s="469" t="s">
        <v>57</v>
      </c>
      <c r="M115" s="999">
        <v>133172.15</v>
      </c>
      <c r="N115" s="736"/>
      <c r="O115" s="469" t="s">
        <v>57</v>
      </c>
      <c r="P115" s="749" t="s">
        <v>331</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108</v>
      </c>
      <c r="C116" s="51">
        <v>45930</v>
      </c>
      <c r="D116" s="51" t="s">
        <v>85</v>
      </c>
      <c r="E116" s="51">
        <v>45918</v>
      </c>
      <c r="F116" s="50" t="s">
        <v>109</v>
      </c>
      <c r="G116" s="670"/>
      <c r="H116" s="52">
        <v>0</v>
      </c>
      <c r="I116" s="660" t="s">
        <v>383</v>
      </c>
      <c r="J116" s="52" t="s">
        <v>63</v>
      </c>
      <c r="K116" s="51">
        <v>45918</v>
      </c>
      <c r="L116" s="376" t="s">
        <v>57</v>
      </c>
      <c r="M116" s="429">
        <v>10840.25</v>
      </c>
      <c r="N116" s="736"/>
      <c r="O116" s="376" t="s">
        <v>57</v>
      </c>
      <c r="P116" s="740" t="s">
        <v>331</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108</v>
      </c>
      <c r="C117" s="51">
        <v>45899</v>
      </c>
      <c r="D117" s="381" t="s">
        <v>128</v>
      </c>
      <c r="E117" s="51">
        <v>45853</v>
      </c>
      <c r="F117" s="50" t="s">
        <v>109</v>
      </c>
      <c r="G117" s="50" t="s">
        <v>973</v>
      </c>
      <c r="H117" s="52">
        <v>0</v>
      </c>
      <c r="I117" s="52" t="s">
        <v>383</v>
      </c>
      <c r="J117" s="52" t="s">
        <v>63</v>
      </c>
      <c r="K117" s="375">
        <v>45853</v>
      </c>
      <c r="L117" s="380" t="s">
        <v>57</v>
      </c>
      <c r="M117" s="429">
        <v>60849.9</v>
      </c>
      <c r="N117" s="96"/>
      <c r="O117" s="380" t="s">
        <v>57</v>
      </c>
      <c r="P117" s="740" t="s">
        <v>331</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108</v>
      </c>
      <c r="C118" s="467">
        <v>45868</v>
      </c>
      <c r="D118" s="467" t="s">
        <v>85</v>
      </c>
      <c r="E118" s="467">
        <v>45793</v>
      </c>
      <c r="F118" s="488" t="s">
        <v>109</v>
      </c>
      <c r="G118" s="997" t="s">
        <v>976</v>
      </c>
      <c r="H118" s="469">
        <v>0</v>
      </c>
      <c r="I118" s="469" t="s">
        <v>383</v>
      </c>
      <c r="J118" s="469" t="s">
        <v>63</v>
      </c>
      <c r="K118" s="467">
        <v>45793</v>
      </c>
      <c r="L118" s="469" t="s">
        <v>57</v>
      </c>
      <c r="M118" s="999">
        <v>53589.8</v>
      </c>
      <c r="N118" s="96"/>
      <c r="O118" s="469" t="s">
        <v>57</v>
      </c>
      <c r="P118" s="749" t="s">
        <v>331</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108</v>
      </c>
      <c r="C119" s="51">
        <v>45930</v>
      </c>
      <c r="D119" s="51" t="s">
        <v>128</v>
      </c>
      <c r="E119" s="51">
        <v>45884</v>
      </c>
      <c r="F119" s="50" t="s">
        <v>162</v>
      </c>
      <c r="G119" s="379"/>
      <c r="H119" s="52">
        <v>69</v>
      </c>
      <c r="I119" s="380" t="s">
        <v>383</v>
      </c>
      <c r="J119" s="52" t="s">
        <v>63</v>
      </c>
      <c r="K119" s="375">
        <v>45884</v>
      </c>
      <c r="L119" s="376" t="s">
        <v>57</v>
      </c>
      <c r="M119" s="429">
        <v>67441</v>
      </c>
      <c r="N119" s="96"/>
      <c r="O119" s="376" t="s">
        <v>57</v>
      </c>
      <c r="P119" s="740" t="s">
        <v>331</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108</v>
      </c>
      <c r="C120" s="51">
        <v>45868</v>
      </c>
      <c r="D120" s="589" t="s">
        <v>128</v>
      </c>
      <c r="E120" s="375">
        <v>45796</v>
      </c>
      <c r="F120" s="589" t="s">
        <v>162</v>
      </c>
      <c r="G120" s="374" t="s">
        <v>981</v>
      </c>
      <c r="H120" s="376">
        <v>58</v>
      </c>
      <c r="I120" s="376" t="s">
        <v>383</v>
      </c>
      <c r="J120" s="376" t="s">
        <v>63</v>
      </c>
      <c r="K120" s="375">
        <v>45797</v>
      </c>
      <c r="L120" s="376" t="s">
        <v>57</v>
      </c>
      <c r="M120" s="429">
        <v>43097.65</v>
      </c>
      <c r="N120" s="736"/>
      <c r="O120" s="376" t="s">
        <v>57</v>
      </c>
      <c r="P120" s="740" t="s">
        <v>331</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108</v>
      </c>
      <c r="C121" s="476">
        <v>45930</v>
      </c>
      <c r="D121" s="476" t="s">
        <v>128</v>
      </c>
      <c r="E121" s="826">
        <v>45880</v>
      </c>
      <c r="F121" s="428" t="s">
        <v>162</v>
      </c>
      <c r="G121" s="475" t="s">
        <v>984</v>
      </c>
      <c r="H121" s="478">
        <v>62</v>
      </c>
      <c r="I121" s="478" t="s">
        <v>383</v>
      </c>
      <c r="J121" s="478" t="s">
        <v>63</v>
      </c>
      <c r="K121" s="467">
        <v>45880</v>
      </c>
      <c r="L121" s="469" t="s">
        <v>57</v>
      </c>
      <c r="M121" s="999">
        <v>56807.95</v>
      </c>
      <c r="N121" s="736"/>
      <c r="O121" s="469" t="s">
        <v>57</v>
      </c>
      <c r="P121" s="749" t="s">
        <v>331</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108</v>
      </c>
      <c r="C122" s="51">
        <v>45930</v>
      </c>
      <c r="D122" s="375" t="s">
        <v>128</v>
      </c>
      <c r="E122" s="649">
        <v>45882</v>
      </c>
      <c r="F122" s="649" t="s">
        <v>162</v>
      </c>
      <c r="G122" s="374" t="s">
        <v>987</v>
      </c>
      <c r="H122" s="376">
        <v>85</v>
      </c>
      <c r="I122" s="376" t="s">
        <v>383</v>
      </c>
      <c r="J122" s="376" t="s">
        <v>63</v>
      </c>
      <c r="K122" s="375">
        <v>45882</v>
      </c>
      <c r="L122" s="376" t="s">
        <v>57</v>
      </c>
      <c r="M122" s="429">
        <v>59869.5</v>
      </c>
      <c r="N122" s="736"/>
      <c r="O122" s="376" t="s">
        <v>57</v>
      </c>
      <c r="P122" s="587" t="s">
        <v>331</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108</v>
      </c>
      <c r="C123" s="51">
        <v>45930</v>
      </c>
      <c r="D123" s="375" t="s">
        <v>128</v>
      </c>
      <c r="E123" s="375">
        <v>45896</v>
      </c>
      <c r="F123" s="589" t="s">
        <v>162</v>
      </c>
      <c r="G123" s="374" t="s">
        <v>753</v>
      </c>
      <c r="H123" s="376">
        <v>72</v>
      </c>
      <c r="I123" s="376" t="s">
        <v>383</v>
      </c>
      <c r="J123" s="376" t="s">
        <v>63</v>
      </c>
      <c r="K123" s="375">
        <v>45897</v>
      </c>
      <c r="L123" s="376" t="s">
        <v>57</v>
      </c>
      <c r="M123" s="429">
        <v>50874.95</v>
      </c>
      <c r="N123" s="736"/>
      <c r="O123" s="376" t="s">
        <v>57</v>
      </c>
      <c r="P123" s="595" t="s">
        <v>331</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108</v>
      </c>
      <c r="C124" s="51">
        <v>45930</v>
      </c>
      <c r="D124" s="375" t="s">
        <v>128</v>
      </c>
      <c r="E124" s="649">
        <v>45910</v>
      </c>
      <c r="F124" s="649" t="s">
        <v>162</v>
      </c>
      <c r="G124" s="374" t="s">
        <v>992</v>
      </c>
      <c r="H124" s="376">
        <v>87</v>
      </c>
      <c r="I124" s="376" t="s">
        <v>383</v>
      </c>
      <c r="J124" s="376" t="s">
        <v>63</v>
      </c>
      <c r="K124" s="375">
        <v>45912</v>
      </c>
      <c r="L124" s="376" t="s">
        <v>57</v>
      </c>
      <c r="M124" s="429">
        <v>60115.95</v>
      </c>
      <c r="N124" s="736"/>
      <c r="O124" s="376" t="s">
        <v>57</v>
      </c>
      <c r="P124" s="740" t="s">
        <v>331</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108</v>
      </c>
      <c r="C125" s="51">
        <v>45930</v>
      </c>
      <c r="D125" s="375" t="s">
        <v>128</v>
      </c>
      <c r="E125" s="649">
        <v>45910</v>
      </c>
      <c r="F125" s="374" t="s">
        <v>109</v>
      </c>
      <c r="G125" s="671"/>
      <c r="H125" s="376">
        <v>54</v>
      </c>
      <c r="I125" s="667" t="s">
        <v>383</v>
      </c>
      <c r="J125" s="376" t="s">
        <v>63</v>
      </c>
      <c r="K125" s="375">
        <v>45903</v>
      </c>
      <c r="L125" s="376" t="s">
        <v>57</v>
      </c>
      <c r="M125" s="429">
        <v>27186</v>
      </c>
      <c r="N125" s="736"/>
      <c r="O125" s="376" t="s">
        <v>57</v>
      </c>
      <c r="P125" s="740" t="s">
        <v>331</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108</v>
      </c>
      <c r="C126" s="51">
        <v>45899</v>
      </c>
      <c r="D126" s="375" t="s">
        <v>128</v>
      </c>
      <c r="E126" s="375">
        <v>45887</v>
      </c>
      <c r="F126" s="589" t="s">
        <v>162</v>
      </c>
      <c r="G126" s="637" t="s">
        <v>997</v>
      </c>
      <c r="H126" s="376">
        <v>73</v>
      </c>
      <c r="I126" s="377" t="s">
        <v>383</v>
      </c>
      <c r="J126" s="376" t="s">
        <v>63</v>
      </c>
      <c r="K126" s="375">
        <v>45887</v>
      </c>
      <c r="L126" s="376" t="s">
        <v>57</v>
      </c>
      <c r="M126" s="429">
        <v>37930</v>
      </c>
      <c r="N126" s="96"/>
      <c r="O126" s="376" t="s">
        <v>57</v>
      </c>
      <c r="P126" s="586" t="s">
        <v>331</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108</v>
      </c>
      <c r="C127" s="51">
        <v>45899</v>
      </c>
      <c r="D127" s="381" t="s">
        <v>140</v>
      </c>
      <c r="E127" s="51">
        <v>45887</v>
      </c>
      <c r="F127" s="381" t="s">
        <v>162</v>
      </c>
      <c r="G127" s="379" t="s">
        <v>1000</v>
      </c>
      <c r="H127" s="52">
        <v>70</v>
      </c>
      <c r="I127" s="380" t="s">
        <v>383</v>
      </c>
      <c r="J127" s="52" t="s">
        <v>63</v>
      </c>
      <c r="K127" s="375">
        <v>45887</v>
      </c>
      <c r="L127" s="376" t="s">
        <v>57</v>
      </c>
      <c r="M127" s="429">
        <v>69889</v>
      </c>
      <c r="N127" s="96"/>
      <c r="O127" s="376" t="s">
        <v>57</v>
      </c>
      <c r="P127" s="587" t="s">
        <v>331</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108</v>
      </c>
      <c r="C128" s="51">
        <v>45899</v>
      </c>
      <c r="D128" s="51" t="s">
        <v>128</v>
      </c>
      <c r="E128" s="51">
        <v>45887</v>
      </c>
      <c r="F128" s="50" t="s">
        <v>109</v>
      </c>
      <c r="G128" s="379" t="s">
        <v>1003</v>
      </c>
      <c r="H128" s="52">
        <v>84</v>
      </c>
      <c r="I128" s="380" t="s">
        <v>383</v>
      </c>
      <c r="J128" s="52" t="s">
        <v>63</v>
      </c>
      <c r="K128" s="375">
        <v>45887</v>
      </c>
      <c r="L128" s="376" t="s">
        <v>57</v>
      </c>
      <c r="M128" s="429">
        <v>52110</v>
      </c>
      <c r="N128" s="736"/>
      <c r="O128" s="376" t="s">
        <v>57</v>
      </c>
      <c r="P128" s="587" t="s">
        <v>331</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108</v>
      </c>
      <c r="C129" s="51">
        <v>45930</v>
      </c>
      <c r="D129" s="51" t="s">
        <v>128</v>
      </c>
      <c r="E129" s="51">
        <v>45896</v>
      </c>
      <c r="F129" s="381" t="s">
        <v>162</v>
      </c>
      <c r="G129" s="379"/>
      <c r="H129" s="52">
        <v>87</v>
      </c>
      <c r="I129" s="380" t="s">
        <v>383</v>
      </c>
      <c r="J129" s="52" t="s">
        <v>63</v>
      </c>
      <c r="K129" s="375">
        <v>45897</v>
      </c>
      <c r="L129" s="376" t="s">
        <v>57</v>
      </c>
      <c r="M129" s="429">
        <v>52204</v>
      </c>
      <c r="N129" s="736"/>
      <c r="O129" s="376" t="s">
        <v>57</v>
      </c>
      <c r="P129" s="740" t="s">
        <v>331</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108</v>
      </c>
      <c r="C130" s="51">
        <v>45930</v>
      </c>
      <c r="D130" s="51" t="s">
        <v>128</v>
      </c>
      <c r="E130" s="51">
        <v>45915</v>
      </c>
      <c r="F130" s="658" t="s">
        <v>162</v>
      </c>
      <c r="G130" s="670"/>
      <c r="H130" s="52">
        <v>53</v>
      </c>
      <c r="I130" s="660" t="s">
        <v>383</v>
      </c>
      <c r="J130" s="52" t="s">
        <v>63</v>
      </c>
      <c r="K130" s="375">
        <v>45912</v>
      </c>
      <c r="L130" s="376" t="s">
        <v>57</v>
      </c>
      <c r="M130" s="429">
        <v>47676</v>
      </c>
      <c r="N130" s="736"/>
      <c r="O130" s="376" t="s">
        <v>57</v>
      </c>
      <c r="P130" s="740" t="s">
        <v>331</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108</v>
      </c>
      <c r="C131" s="51">
        <v>45945</v>
      </c>
      <c r="D131" s="51" t="s">
        <v>128</v>
      </c>
      <c r="E131" s="51">
        <v>45945</v>
      </c>
      <c r="F131" s="50" t="s">
        <v>141</v>
      </c>
      <c r="G131" s="670"/>
      <c r="H131" s="52">
        <v>59</v>
      </c>
      <c r="I131" s="660" t="s">
        <v>383</v>
      </c>
      <c r="J131" s="52" t="s">
        <v>63</v>
      </c>
      <c r="K131" s="375">
        <v>45933</v>
      </c>
      <c r="L131" s="376" t="s">
        <v>57</v>
      </c>
      <c r="M131" s="429">
        <v>44697.599999999999</v>
      </c>
      <c r="N131" s="736"/>
      <c r="O131" s="376" t="s">
        <v>57</v>
      </c>
      <c r="P131" s="740" t="s">
        <v>331</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108</v>
      </c>
      <c r="C132" s="51">
        <v>45960</v>
      </c>
      <c r="D132" s="51" t="s">
        <v>201</v>
      </c>
      <c r="E132" s="51">
        <v>45950</v>
      </c>
      <c r="F132" s="50" t="s">
        <v>141</v>
      </c>
      <c r="G132" s="670"/>
      <c r="H132" s="52">
        <v>82</v>
      </c>
      <c r="I132" s="660" t="s">
        <v>383</v>
      </c>
      <c r="J132" s="52" t="s">
        <v>63</v>
      </c>
      <c r="K132" s="375">
        <v>45933</v>
      </c>
      <c r="L132" s="376" t="s">
        <v>57</v>
      </c>
      <c r="M132" s="429">
        <v>58864</v>
      </c>
      <c r="N132" s="736"/>
      <c r="O132" s="376" t="s">
        <v>57</v>
      </c>
      <c r="P132" s="740" t="s">
        <v>331</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108</v>
      </c>
      <c r="C133" s="51">
        <v>45930</v>
      </c>
      <c r="D133" s="658" t="s">
        <v>85</v>
      </c>
      <c r="E133" s="51">
        <v>45902</v>
      </c>
      <c r="F133" s="50" t="s">
        <v>109</v>
      </c>
      <c r="G133" s="50"/>
      <c r="H133" s="52">
        <v>0</v>
      </c>
      <c r="I133" s="52" t="s">
        <v>383</v>
      </c>
      <c r="J133" s="52" t="s">
        <v>63</v>
      </c>
      <c r="K133" s="375">
        <v>45902</v>
      </c>
      <c r="L133" s="376" t="s">
        <v>57</v>
      </c>
      <c r="M133" s="429">
        <v>12695</v>
      </c>
      <c r="N133" s="736"/>
      <c r="O133" s="376" t="s">
        <v>57</v>
      </c>
      <c r="P133" s="740" t="s">
        <v>331</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108</v>
      </c>
      <c r="C134" s="942">
        <v>45838</v>
      </c>
      <c r="D134" s="1166" t="s">
        <v>128</v>
      </c>
      <c r="E134" s="942">
        <v>45817</v>
      </c>
      <c r="F134" s="1166" t="s">
        <v>109</v>
      </c>
      <c r="G134" s="1179" t="s">
        <v>1015</v>
      </c>
      <c r="H134" s="959">
        <v>0</v>
      </c>
      <c r="I134" s="1031" t="s">
        <v>383</v>
      </c>
      <c r="J134" s="959" t="s">
        <v>63</v>
      </c>
      <c r="K134" s="1180">
        <v>45821</v>
      </c>
      <c r="L134" s="1031" t="s">
        <v>57</v>
      </c>
      <c r="M134" s="961">
        <v>23436.55</v>
      </c>
      <c r="N134" s="736"/>
      <c r="O134" s="1031" t="s">
        <v>57</v>
      </c>
      <c r="P134" s="767" t="s">
        <v>331</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108</v>
      </c>
      <c r="C135" s="969">
        <v>45899</v>
      </c>
      <c r="D135" s="942" t="s">
        <v>85</v>
      </c>
      <c r="E135" s="942">
        <v>45876</v>
      </c>
      <c r="F135" s="942" t="s">
        <v>109</v>
      </c>
      <c r="G135" s="1030" t="s">
        <v>1018</v>
      </c>
      <c r="H135" s="959">
        <v>0</v>
      </c>
      <c r="I135" s="1031" t="s">
        <v>383</v>
      </c>
      <c r="J135" s="959" t="s">
        <v>63</v>
      </c>
      <c r="K135" s="942">
        <v>45876</v>
      </c>
      <c r="L135" s="959" t="s">
        <v>57</v>
      </c>
      <c r="M135" s="961">
        <v>1462.85</v>
      </c>
      <c r="N135" s="96"/>
      <c r="O135" s="959" t="s">
        <v>57</v>
      </c>
      <c r="P135" s="767" t="s">
        <v>331</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108</v>
      </c>
      <c r="C136" s="57">
        <v>45899</v>
      </c>
      <c r="D136" s="887" t="s">
        <v>128</v>
      </c>
      <c r="E136" s="887">
        <v>45882</v>
      </c>
      <c r="F136" s="1019" t="s">
        <v>162</v>
      </c>
      <c r="G136" s="1025" t="s">
        <v>1021</v>
      </c>
      <c r="H136" s="791">
        <v>0</v>
      </c>
      <c r="I136" s="803" t="s">
        <v>383</v>
      </c>
      <c r="J136" s="791" t="s">
        <v>63</v>
      </c>
      <c r="K136" s="375">
        <v>45882</v>
      </c>
      <c r="L136" s="376" t="s">
        <v>57</v>
      </c>
      <c r="M136" s="429">
        <v>13056.5</v>
      </c>
      <c r="N136" s="784"/>
      <c r="O136" s="376" t="s">
        <v>57</v>
      </c>
      <c r="P136" s="587" t="s">
        <v>331</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108</v>
      </c>
      <c r="C137" s="57">
        <v>45868</v>
      </c>
      <c r="D137" s="771" t="s">
        <v>85</v>
      </c>
      <c r="E137" s="887">
        <v>45853</v>
      </c>
      <c r="F137" s="1018" t="s">
        <v>109</v>
      </c>
      <c r="G137" s="1028" t="s">
        <v>1024</v>
      </c>
      <c r="H137" s="791">
        <v>0</v>
      </c>
      <c r="I137" s="791" t="s">
        <v>383</v>
      </c>
      <c r="J137" s="791" t="s">
        <v>63</v>
      </c>
      <c r="K137" s="467">
        <v>45853</v>
      </c>
      <c r="L137" s="469" t="s">
        <v>57</v>
      </c>
      <c r="M137" s="999">
        <v>68216.5</v>
      </c>
      <c r="N137" s="778"/>
      <c r="O137" s="469" t="s">
        <v>57</v>
      </c>
      <c r="P137" s="749" t="s">
        <v>331</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108</v>
      </c>
      <c r="C138" s="476">
        <v>45868</v>
      </c>
      <c r="D138" s="467" t="s">
        <v>85</v>
      </c>
      <c r="E138" s="488">
        <v>45839</v>
      </c>
      <c r="F138" s="467" t="s">
        <v>109</v>
      </c>
      <c r="G138" s="477" t="s">
        <v>1027</v>
      </c>
      <c r="H138" s="478">
        <v>0</v>
      </c>
      <c r="I138" s="478" t="s">
        <v>383</v>
      </c>
      <c r="J138" s="478" t="s">
        <v>63</v>
      </c>
      <c r="K138" s="509">
        <v>45838</v>
      </c>
      <c r="L138" s="1026" t="s">
        <v>57</v>
      </c>
      <c r="M138" s="777">
        <v>72566</v>
      </c>
      <c r="N138" s="736"/>
      <c r="O138" s="478" t="s">
        <v>57</v>
      </c>
      <c r="P138" s="749" t="s">
        <v>331</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108</v>
      </c>
      <c r="C139" s="51">
        <v>45960</v>
      </c>
      <c r="D139" s="51" t="s">
        <v>85</v>
      </c>
      <c r="E139" s="51">
        <v>45945</v>
      </c>
      <c r="F139" s="50" t="s">
        <v>109</v>
      </c>
      <c r="G139" s="670" t="s">
        <v>1030</v>
      </c>
      <c r="H139" s="52">
        <v>0</v>
      </c>
      <c r="I139" s="52" t="s">
        <v>383</v>
      </c>
      <c r="J139" s="52" t="s">
        <v>63</v>
      </c>
      <c r="K139" s="375">
        <v>45936</v>
      </c>
      <c r="L139" s="376" t="s">
        <v>57</v>
      </c>
      <c r="M139" s="429">
        <v>4235.8</v>
      </c>
      <c r="N139" s="736"/>
      <c r="O139" s="376" t="s">
        <v>57</v>
      </c>
      <c r="P139" s="587" t="s">
        <v>331</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108</v>
      </c>
      <c r="C140" s="57">
        <v>45930</v>
      </c>
      <c r="D140" s="57" t="s">
        <v>128</v>
      </c>
      <c r="E140" s="57">
        <v>45874</v>
      </c>
      <c r="F140" s="772" t="s">
        <v>162</v>
      </c>
      <c r="G140" s="774"/>
      <c r="H140" s="775">
        <v>208</v>
      </c>
      <c r="I140" s="781" t="s">
        <v>383</v>
      </c>
      <c r="J140" s="775" t="s">
        <v>56</v>
      </c>
      <c r="K140" s="467">
        <v>45876</v>
      </c>
      <c r="L140" s="469" t="s">
        <v>57</v>
      </c>
      <c r="M140" s="999">
        <v>124980</v>
      </c>
      <c r="N140" s="784"/>
      <c r="O140" s="469" t="s">
        <v>57</v>
      </c>
      <c r="P140" s="749" t="s">
        <v>331</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653</v>
      </c>
      <c r="E141" s="57">
        <v>45716</v>
      </c>
      <c r="F141" s="771" t="s">
        <v>825</v>
      </c>
      <c r="G141" s="888" t="s">
        <v>1035</v>
      </c>
      <c r="H141" s="775">
        <v>56</v>
      </c>
      <c r="I141" s="775" t="s">
        <v>383</v>
      </c>
      <c r="J141" s="775" t="s">
        <v>63</v>
      </c>
      <c r="K141" s="503">
        <v>45716</v>
      </c>
      <c r="L141" s="116" t="s">
        <v>57</v>
      </c>
      <c r="M141" s="776">
        <v>45321.5</v>
      </c>
      <c r="N141" s="784"/>
      <c r="O141" s="116" t="s">
        <v>57</v>
      </c>
      <c r="P141" s="766" t="s">
        <v>331</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667</v>
      </c>
      <c r="E142" s="57">
        <v>45743</v>
      </c>
      <c r="F142" s="771" t="s">
        <v>825</v>
      </c>
      <c r="G142" s="774" t="s">
        <v>1037</v>
      </c>
      <c r="H142" s="775">
        <v>63</v>
      </c>
      <c r="I142" s="781" t="s">
        <v>383</v>
      </c>
      <c r="J142" s="791" t="s">
        <v>63</v>
      </c>
      <c r="K142" s="1021">
        <v>45741</v>
      </c>
      <c r="L142" s="858" t="s">
        <v>57</v>
      </c>
      <c r="M142" s="1022">
        <v>41813</v>
      </c>
      <c r="N142" s="784"/>
      <c r="O142" s="858" t="s">
        <v>57</v>
      </c>
      <c r="P142" s="1014" t="s">
        <v>331</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140</v>
      </c>
      <c r="E143" s="57">
        <v>45708</v>
      </c>
      <c r="F143" s="772" t="s">
        <v>813</v>
      </c>
      <c r="G143" s="779" t="s">
        <v>1040</v>
      </c>
      <c r="H143" s="775">
        <v>82</v>
      </c>
      <c r="I143" s="781" t="s">
        <v>383</v>
      </c>
      <c r="J143" s="775" t="s">
        <v>63</v>
      </c>
      <c r="K143" s="496">
        <v>45698</v>
      </c>
      <c r="L143" s="504" t="s">
        <v>57</v>
      </c>
      <c r="M143" s="776">
        <v>71979</v>
      </c>
      <c r="N143" s="778"/>
      <c r="O143" s="504" t="s">
        <v>57</v>
      </c>
      <c r="P143" s="783" t="s">
        <v>331</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128</v>
      </c>
      <c r="E144" s="428">
        <v>45698</v>
      </c>
      <c r="F144" s="428" t="s">
        <v>68</v>
      </c>
      <c r="G144" s="941" t="s">
        <v>1042</v>
      </c>
      <c r="H144" s="478">
        <v>87</v>
      </c>
      <c r="I144" s="483" t="s">
        <v>331</v>
      </c>
      <c r="J144" s="478" t="s">
        <v>63</v>
      </c>
      <c r="K144" s="476">
        <v>45699</v>
      </c>
      <c r="L144" s="483" t="s">
        <v>57</v>
      </c>
      <c r="M144" s="777">
        <v>72566</v>
      </c>
      <c r="N144" s="96"/>
      <c r="O144" s="483" t="s">
        <v>57</v>
      </c>
      <c r="P144" s="749" t="s">
        <v>331</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140</v>
      </c>
      <c r="E145" s="476">
        <v>45708</v>
      </c>
      <c r="F145" s="428" t="s">
        <v>813</v>
      </c>
      <c r="G145" s="477" t="s">
        <v>1045</v>
      </c>
      <c r="H145" s="478">
        <v>0</v>
      </c>
      <c r="I145" s="469" t="s">
        <v>331</v>
      </c>
      <c r="J145" s="478" t="s">
        <v>63</v>
      </c>
      <c r="K145" s="476">
        <v>45712</v>
      </c>
      <c r="L145" s="478" t="s">
        <v>57</v>
      </c>
      <c r="M145" s="777">
        <v>14262</v>
      </c>
      <c r="N145" s="736"/>
      <c r="O145" s="478" t="s">
        <v>57</v>
      </c>
      <c r="P145" s="749" t="s">
        <v>331</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544</v>
      </c>
      <c r="E146" s="57">
        <v>45694</v>
      </c>
      <c r="F146" s="57" t="s">
        <v>819</v>
      </c>
      <c r="G146" s="794" t="s">
        <v>1047</v>
      </c>
      <c r="H146" s="775">
        <v>0</v>
      </c>
      <c r="I146" s="790" t="s">
        <v>534</v>
      </c>
      <c r="J146" s="775" t="s">
        <v>63</v>
      </c>
      <c r="K146" s="476">
        <v>45686</v>
      </c>
      <c r="L146" s="828" t="s">
        <v>57</v>
      </c>
      <c r="M146" s="777">
        <v>22755.7</v>
      </c>
      <c r="N146" s="784"/>
      <c r="O146" s="828" t="s">
        <v>57</v>
      </c>
      <c r="P146" s="749" t="s">
        <v>331</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207</v>
      </c>
      <c r="G147" s="774" t="s">
        <v>1050</v>
      </c>
      <c r="H147" s="775">
        <v>0</v>
      </c>
      <c r="I147" s="775" t="s">
        <v>383</v>
      </c>
      <c r="J147" s="775" t="s">
        <v>63</v>
      </c>
      <c r="K147" s="476">
        <v>45714</v>
      </c>
      <c r="L147" s="478" t="s">
        <v>57</v>
      </c>
      <c r="M147" s="777">
        <v>93462.85</v>
      </c>
      <c r="N147" s="778"/>
      <c r="O147" s="478" t="s">
        <v>57</v>
      </c>
      <c r="P147" s="749" t="s">
        <v>331</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128</v>
      </c>
      <c r="E148" s="57">
        <v>45772</v>
      </c>
      <c r="F148" s="771" t="s">
        <v>68</v>
      </c>
      <c r="G148" s="771" t="s">
        <v>1052</v>
      </c>
      <c r="H148" s="775">
        <v>0</v>
      </c>
      <c r="I148" s="775" t="s">
        <v>383</v>
      </c>
      <c r="J148" s="775" t="s">
        <v>63</v>
      </c>
      <c r="K148" s="475" t="s">
        <v>52</v>
      </c>
      <c r="L148" s="469" t="s">
        <v>57</v>
      </c>
      <c r="M148" s="999">
        <v>4397.6499999999996</v>
      </c>
      <c r="N148" s="778"/>
      <c r="O148" s="469" t="s">
        <v>57</v>
      </c>
      <c r="P148" s="749" t="s">
        <v>331</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316</v>
      </c>
      <c r="C149" s="51">
        <v>46045</v>
      </c>
      <c r="D149" s="658" t="s">
        <v>128</v>
      </c>
      <c r="E149" s="51"/>
      <c r="F149" s="50" t="s">
        <v>317</v>
      </c>
      <c r="G149" s="379"/>
      <c r="H149" s="1332">
        <v>80</v>
      </c>
      <c r="I149" s="660" t="s">
        <v>383</v>
      </c>
      <c r="J149" s="52" t="s">
        <v>63</v>
      </c>
      <c r="K149" s="51" t="s">
        <v>52</v>
      </c>
      <c r="L149" s="478" t="s">
        <v>57</v>
      </c>
      <c r="M149" s="1075">
        <v>170</v>
      </c>
      <c r="N149" s="736"/>
      <c r="O149" s="478" t="s">
        <v>57</v>
      </c>
      <c r="P149" s="1335" t="s">
        <v>331</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316</v>
      </c>
      <c r="C150" s="57">
        <v>46045</v>
      </c>
      <c r="D150" s="792" t="s">
        <v>128</v>
      </c>
      <c r="E150" s="57"/>
      <c r="F150" s="771" t="s">
        <v>317</v>
      </c>
      <c r="G150" s="774"/>
      <c r="H150" s="1334">
        <v>89</v>
      </c>
      <c r="I150" s="790" t="s">
        <v>383</v>
      </c>
      <c r="J150" s="775" t="s">
        <v>63</v>
      </c>
      <c r="K150" s="57" t="s">
        <v>52</v>
      </c>
      <c r="L150" s="478" t="s">
        <v>57</v>
      </c>
      <c r="M150" s="1075">
        <v>26696</v>
      </c>
      <c r="N150" s="778"/>
      <c r="O150" s="478" t="s">
        <v>57</v>
      </c>
      <c r="P150" s="749" t="s">
        <v>331</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206</v>
      </c>
      <c r="C155" s="476">
        <v>45807</v>
      </c>
      <c r="D155" s="465" t="s">
        <v>51</v>
      </c>
      <c r="E155" s="475" t="s">
        <v>52</v>
      </c>
      <c r="F155" s="465" t="s">
        <v>844</v>
      </c>
      <c r="G155" s="682" t="s">
        <v>556</v>
      </c>
      <c r="H155" s="469">
        <v>60</v>
      </c>
      <c r="I155" s="828" t="s">
        <v>383</v>
      </c>
      <c r="J155" s="478" t="s">
        <v>56</v>
      </c>
      <c r="K155" s="843"/>
      <c r="L155" s="467">
        <v>45716</v>
      </c>
      <c r="M155" s="478" t="s">
        <v>57</v>
      </c>
      <c r="N155" s="542">
        <v>2075.6999999999998</v>
      </c>
      <c r="O155" s="478" t="s">
        <v>57</v>
      </c>
      <c r="P155" s="919" t="s">
        <v>331</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206</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331</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206</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331</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331</v>
      </c>
      <c r="J158" s="478" t="s">
        <v>56</v>
      </c>
      <c r="K158" s="478"/>
      <c r="L158" s="829">
        <v>45716</v>
      </c>
      <c r="M158" s="478" t="s">
        <v>57</v>
      </c>
      <c r="N158" s="543">
        <v>1134</v>
      </c>
      <c r="O158" s="478" t="s">
        <v>57</v>
      </c>
      <c r="P158" s="921" t="s">
        <v>331</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331</v>
      </c>
      <c r="J159" s="478" t="s">
        <v>56</v>
      </c>
      <c r="K159" s="487"/>
      <c r="L159" s="467">
        <v>45716</v>
      </c>
      <c r="M159" s="478" t="s">
        <v>57</v>
      </c>
      <c r="N159" s="543">
        <v>870</v>
      </c>
      <c r="O159" s="478" t="s">
        <v>57</v>
      </c>
      <c r="P159" s="921" t="s">
        <v>331</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657</v>
      </c>
      <c r="E160" s="826">
        <v>45698</v>
      </c>
      <c r="F160" s="476" t="s">
        <v>819</v>
      </c>
      <c r="G160" s="827" t="s">
        <v>1071</v>
      </c>
      <c r="H160" s="478">
        <v>82</v>
      </c>
      <c r="I160" s="478" t="s">
        <v>383</v>
      </c>
      <c r="J160" s="478" t="s">
        <v>63</v>
      </c>
      <c r="K160" s="478"/>
      <c r="L160" s="829">
        <v>45716</v>
      </c>
      <c r="M160" s="828" t="s">
        <v>57</v>
      </c>
      <c r="N160" s="543">
        <v>2025.6</v>
      </c>
      <c r="O160" s="828" t="s">
        <v>57</v>
      </c>
      <c r="P160" s="921" t="s">
        <v>331</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331</v>
      </c>
      <c r="J161" s="478" t="s">
        <v>56</v>
      </c>
      <c r="K161" s="478"/>
      <c r="L161" s="476">
        <v>45715</v>
      </c>
      <c r="M161" s="478" t="s">
        <v>57</v>
      </c>
      <c r="N161" s="543">
        <v>3801.75</v>
      </c>
      <c r="O161" s="478" t="s">
        <v>57</v>
      </c>
      <c r="P161" s="921" t="s">
        <v>331</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108</v>
      </c>
      <c r="C164" s="906"/>
      <c r="D164" s="907" t="s">
        <v>85</v>
      </c>
      <c r="E164" s="907">
        <v>45768</v>
      </c>
      <c r="F164" s="908" t="s">
        <v>162</v>
      </c>
      <c r="G164" s="905"/>
      <c r="H164" s="909">
        <v>0</v>
      </c>
      <c r="I164" s="910" t="s">
        <v>331</v>
      </c>
      <c r="J164" s="909" t="s">
        <v>56</v>
      </c>
      <c r="K164" s="906"/>
      <c r="L164" s="911" t="s">
        <v>56</v>
      </c>
      <c r="M164" s="909" t="s">
        <v>92</v>
      </c>
      <c r="N164" s="912">
        <v>0</v>
      </c>
      <c r="O164" s="909" t="s">
        <v>92</v>
      </c>
      <c r="P164" s="913" t="s">
        <v>331</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108</v>
      </c>
      <c r="C165" s="863"/>
      <c r="D165" s="856" t="s">
        <v>85</v>
      </c>
      <c r="E165" s="856">
        <v>45768</v>
      </c>
      <c r="F165" s="855" t="s">
        <v>162</v>
      </c>
      <c r="G165" s="857"/>
      <c r="H165" s="858">
        <v>0</v>
      </c>
      <c r="I165" s="864" t="s">
        <v>331</v>
      </c>
      <c r="J165" s="858" t="s">
        <v>56</v>
      </c>
      <c r="K165" s="863"/>
      <c r="L165" s="865" t="s">
        <v>56</v>
      </c>
      <c r="M165" s="858" t="s">
        <v>92</v>
      </c>
      <c r="N165" s="859">
        <v>0</v>
      </c>
      <c r="O165" s="858" t="s">
        <v>92</v>
      </c>
      <c r="P165" s="860" t="s">
        <v>331</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653</v>
      </c>
      <c r="K5">
        <v>6147</v>
      </c>
      <c r="N5" t="s">
        <v>653</v>
      </c>
      <c r="O5">
        <v>7120</v>
      </c>
      <c r="P5">
        <v>22896</v>
      </c>
      <c r="Q5">
        <v>7447</v>
      </c>
      <c r="R5">
        <v>37463</v>
      </c>
    </row>
    <row r="6" spans="1:18">
      <c r="A6" t="s">
        <v>842</v>
      </c>
      <c r="C6">
        <v>202</v>
      </c>
      <c r="G6">
        <v>202</v>
      </c>
      <c r="J6" t="s">
        <v>128</v>
      </c>
      <c r="K6">
        <v>22274</v>
      </c>
      <c r="N6" t="s">
        <v>128</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140</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140</v>
      </c>
      <c r="K13">
        <v>7128</v>
      </c>
      <c r="N13" t="s">
        <v>667</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657</v>
      </c>
      <c r="K16">
        <v>4828</v>
      </c>
    </row>
    <row r="17" spans="1:11">
      <c r="A17" t="s">
        <v>833</v>
      </c>
      <c r="E17">
        <v>547</v>
      </c>
      <c r="F17">
        <v>792</v>
      </c>
      <c r="G17">
        <v>1339</v>
      </c>
      <c r="J17" t="s">
        <v>667</v>
      </c>
      <c r="K17">
        <v>6718</v>
      </c>
    </row>
    <row r="18" spans="1:11">
      <c r="A18" t="s">
        <v>836</v>
      </c>
      <c r="F18">
        <v>823</v>
      </c>
      <c r="G18">
        <v>823</v>
      </c>
      <c r="J18" t="s">
        <v>544</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663</v>
      </c>
      <c r="E30">
        <v>1806</v>
      </c>
      <c r="F30">
        <v>345</v>
      </c>
      <c r="G30">
        <v>2151</v>
      </c>
    </row>
    <row r="31" spans="1:11">
      <c r="A31" t="s">
        <v>712</v>
      </c>
      <c r="E31">
        <v>47</v>
      </c>
      <c r="F31">
        <v>1494</v>
      </c>
      <c r="G31">
        <v>1541</v>
      </c>
    </row>
    <row r="32" spans="1:11">
      <c r="A32" t="s">
        <v>670</v>
      </c>
    </row>
    <row r="33" spans="1:7">
      <c r="A33" t="s">
        <v>829</v>
      </c>
      <c r="F33">
        <v>1095</v>
      </c>
      <c r="G33">
        <v>1095</v>
      </c>
    </row>
    <row r="34" spans="1:7">
      <c r="A34" t="s">
        <v>660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663</v>
      </c>
      <c r="D54">
        <v>400</v>
      </c>
      <c r="F54">
        <v>384</v>
      </c>
      <c r="G54">
        <v>784</v>
      </c>
    </row>
    <row r="55" spans="1:7">
      <c r="A55" t="s">
        <v>712</v>
      </c>
      <c r="B55">
        <v>2087</v>
      </c>
      <c r="F55">
        <v>0</v>
      </c>
      <c r="G55">
        <v>2087</v>
      </c>
    </row>
    <row r="56" spans="1:7">
      <c r="A56" t="s">
        <v>670</v>
      </c>
      <c r="F56">
        <v>0</v>
      </c>
      <c r="G56">
        <v>0</v>
      </c>
    </row>
    <row r="57" spans="1:7">
      <c r="A57" t="s">
        <v>829</v>
      </c>
      <c r="C57">
        <v>860</v>
      </c>
      <c r="D57">
        <v>1540</v>
      </c>
      <c r="E57">
        <v>1360</v>
      </c>
      <c r="F57">
        <v>0</v>
      </c>
      <c r="G57">
        <v>3760</v>
      </c>
    </row>
    <row r="58" spans="1:7">
      <c r="A58" t="s">
        <v>660</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656</v>
      </c>
      <c r="C65">
        <v>956</v>
      </c>
      <c r="E65">
        <v>1168</v>
      </c>
      <c r="F65">
        <v>0</v>
      </c>
      <c r="G65">
        <v>2124</v>
      </c>
    </row>
    <row r="66" spans="1:7">
      <c r="A66" t="s">
        <v>1093</v>
      </c>
      <c r="F66">
        <v>0</v>
      </c>
      <c r="G66">
        <v>0</v>
      </c>
    </row>
    <row r="67" spans="1:7">
      <c r="A67" t="s">
        <v>666</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663</v>
      </c>
      <c r="C90">
        <v>840</v>
      </c>
      <c r="D90">
        <v>0</v>
      </c>
      <c r="E90">
        <v>0</v>
      </c>
      <c r="F90">
        <v>0</v>
      </c>
      <c r="G90">
        <v>840</v>
      </c>
    </row>
    <row r="91" spans="1:7">
      <c r="A91" t="s">
        <v>712</v>
      </c>
      <c r="B91">
        <v>0</v>
      </c>
      <c r="D91">
        <v>0</v>
      </c>
      <c r="E91">
        <v>0</v>
      </c>
      <c r="F91">
        <v>0</v>
      </c>
      <c r="G91">
        <v>0</v>
      </c>
    </row>
    <row r="92" spans="1:7">
      <c r="A92" t="s">
        <v>670</v>
      </c>
      <c r="B92">
        <v>0</v>
      </c>
      <c r="D92">
        <v>0</v>
      </c>
      <c r="E92">
        <v>0</v>
      </c>
      <c r="F92">
        <v>0</v>
      </c>
      <c r="G92">
        <v>0</v>
      </c>
    </row>
    <row r="93" spans="1:7">
      <c r="A93" t="s">
        <v>829</v>
      </c>
      <c r="B93">
        <v>1460</v>
      </c>
      <c r="C93">
        <v>970</v>
      </c>
      <c r="D93">
        <v>430</v>
      </c>
      <c r="E93">
        <v>0</v>
      </c>
      <c r="F93">
        <v>0</v>
      </c>
      <c r="G93">
        <v>2860</v>
      </c>
    </row>
    <row r="94" spans="1:7">
      <c r="A94" t="s">
        <v>660</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656</v>
      </c>
      <c r="B101">
        <v>0</v>
      </c>
      <c r="D101">
        <v>0</v>
      </c>
      <c r="E101">
        <v>0</v>
      </c>
      <c r="F101">
        <v>0</v>
      </c>
      <c r="G101">
        <v>0</v>
      </c>
    </row>
    <row r="102" spans="1:7">
      <c r="A102" t="s">
        <v>1093</v>
      </c>
      <c r="B102">
        <v>0</v>
      </c>
      <c r="D102">
        <v>0</v>
      </c>
      <c r="E102">
        <v>0</v>
      </c>
      <c r="F102">
        <v>0</v>
      </c>
      <c r="G102">
        <v>0</v>
      </c>
    </row>
    <row r="103" spans="1:7">
      <c r="A103" t="s">
        <v>666</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663</v>
      </c>
      <c r="B137">
        <v>0</v>
      </c>
      <c r="C137">
        <v>0</v>
      </c>
      <c r="D137">
        <v>0</v>
      </c>
      <c r="E137">
        <v>0</v>
      </c>
      <c r="G137">
        <v>0</v>
      </c>
    </row>
    <row r="138" spans="1:7">
      <c r="A138" t="s">
        <v>712</v>
      </c>
      <c r="B138">
        <v>0</v>
      </c>
      <c r="C138">
        <v>0</v>
      </c>
      <c r="D138">
        <v>0</v>
      </c>
      <c r="E138">
        <v>0</v>
      </c>
      <c r="G138">
        <v>0</v>
      </c>
    </row>
    <row r="139" spans="1:7">
      <c r="A139" t="s">
        <v>670</v>
      </c>
      <c r="B139">
        <v>0</v>
      </c>
      <c r="C139">
        <v>0</v>
      </c>
      <c r="D139">
        <v>0</v>
      </c>
      <c r="G139">
        <v>0</v>
      </c>
    </row>
    <row r="140" spans="1:7">
      <c r="A140" t="s">
        <v>829</v>
      </c>
      <c r="B140">
        <v>0</v>
      </c>
      <c r="C140">
        <v>0</v>
      </c>
      <c r="D140">
        <v>0</v>
      </c>
      <c r="E140">
        <v>0</v>
      </c>
      <c r="F140">
        <v>0</v>
      </c>
      <c r="G140">
        <v>0</v>
      </c>
    </row>
    <row r="141" spans="1:7">
      <c r="A141" t="s">
        <v>660</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656</v>
      </c>
      <c r="B148">
        <v>0</v>
      </c>
      <c r="C148">
        <v>0</v>
      </c>
      <c r="D148">
        <v>201</v>
      </c>
      <c r="E148">
        <v>1207</v>
      </c>
      <c r="F148">
        <v>220</v>
      </c>
      <c r="G148">
        <v>1628</v>
      </c>
    </row>
    <row r="149" spans="1:7">
      <c r="A149" t="s">
        <v>1093</v>
      </c>
      <c r="B149">
        <v>0</v>
      </c>
      <c r="C149">
        <v>106</v>
      </c>
      <c r="D149">
        <v>0</v>
      </c>
      <c r="E149">
        <v>0</v>
      </c>
      <c r="F149">
        <v>0</v>
      </c>
      <c r="G149">
        <v>106</v>
      </c>
    </row>
    <row r="150" spans="1:7">
      <c r="A150" t="s">
        <v>666</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670</v>
      </c>
    </row>
    <row r="189" spans="1:7">
      <c r="A189" t="s">
        <v>774</v>
      </c>
    </row>
    <row r="190" spans="1:7">
      <c r="A190" t="s">
        <v>656</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663</v>
      </c>
    </row>
    <row r="232" spans="1:7">
      <c r="A232" t="s">
        <v>656</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652</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663</v>
      </c>
      <c r="B264">
        <v>0</v>
      </c>
      <c r="G264">
        <v>0</v>
      </c>
    </row>
    <row r="265" spans="1:7">
      <c r="A265" t="s">
        <v>829</v>
      </c>
      <c r="B265">
        <v>745</v>
      </c>
      <c r="G265">
        <v>745</v>
      </c>
    </row>
    <row r="266" spans="1:7">
      <c r="A266" t="s">
        <v>656</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549</v>
      </c>
      <c r="B284">
        <v>2227</v>
      </c>
      <c r="G284">
        <v>2227</v>
      </c>
    </row>
    <row r="285" spans="1:7">
      <c r="A285" t="s">
        <v>849</v>
      </c>
      <c r="C285">
        <v>0</v>
      </c>
      <c r="D285">
        <v>0</v>
      </c>
      <c r="E285">
        <v>344</v>
      </c>
      <c r="G285">
        <v>344</v>
      </c>
    </row>
    <row r="286" spans="1:7">
      <c r="A286" t="s">
        <v>543</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554</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543</v>
      </c>
    </row>
    <row r="311" spans="1:7">
      <c r="A311" t="s">
        <v>927</v>
      </c>
    </row>
    <row r="312" spans="1:7">
      <c r="A312" t="s">
        <v>746</v>
      </c>
      <c r="B312">
        <v>618</v>
      </c>
      <c r="C312">
        <v>700</v>
      </c>
      <c r="G312">
        <v>1318</v>
      </c>
    </row>
    <row r="313" spans="1:7">
      <c r="A313" t="s">
        <v>738</v>
      </c>
    </row>
    <row r="314" spans="1:7">
      <c r="A314" t="s">
        <v>554</v>
      </c>
    </row>
    <row r="315" spans="1:7">
      <c r="A315" t="s">
        <v>924</v>
      </c>
      <c r="B315">
        <v>990</v>
      </c>
      <c r="C315">
        <v>1871</v>
      </c>
      <c r="D315">
        <v>1307</v>
      </c>
      <c r="G315">
        <v>4168</v>
      </c>
    </row>
    <row r="316" spans="1:7">
      <c r="A316" t="s">
        <v>521</v>
      </c>
      <c r="B316">
        <v>590</v>
      </c>
      <c r="C316">
        <v>343</v>
      </c>
      <c r="G316">
        <v>933</v>
      </c>
    </row>
    <row r="317" spans="1:7">
      <c r="A317" t="s">
        <v>679</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656</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88</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656</v>
      </c>
      <c r="C435">
        <v>55</v>
      </c>
      <c r="G435">
        <v>55</v>
      </c>
    </row>
    <row r="436" spans="1:7">
      <c r="A436" t="s">
        <v>785</v>
      </c>
      <c r="D436">
        <v>1190</v>
      </c>
      <c r="G436">
        <v>1190</v>
      </c>
    </row>
    <row r="437" spans="1:7">
      <c r="A437" t="s">
        <v>1102</v>
      </c>
      <c r="C437">
        <v>30</v>
      </c>
      <c r="G437">
        <v>30</v>
      </c>
    </row>
    <row r="438" spans="1:7">
      <c r="A438" t="s">
        <v>652</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656</v>
      </c>
      <c r="F458">
        <v>175</v>
      </c>
      <c r="G458">
        <v>175</v>
      </c>
    </row>
    <row r="459" spans="1:7">
      <c r="A459" t="s">
        <v>931</v>
      </c>
      <c r="B459">
        <v>54</v>
      </c>
      <c r="C459">
        <v>101</v>
      </c>
      <c r="G459">
        <v>155</v>
      </c>
    </row>
    <row r="460" spans="1:7">
      <c r="A460" t="s">
        <v>785</v>
      </c>
      <c r="D460">
        <v>678</v>
      </c>
      <c r="G460">
        <v>678</v>
      </c>
    </row>
    <row r="461" spans="1:7">
      <c r="A461" t="s">
        <v>652</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552</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652</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543</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543</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543</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549</v>
      </c>
      <c r="F578">
        <v>198</v>
      </c>
      <c r="G578">
        <v>198</v>
      </c>
    </row>
    <row r="579" spans="1:7">
      <c r="A579" t="s">
        <v>543</v>
      </c>
    </row>
    <row r="580" spans="1:7">
      <c r="A580" t="s">
        <v>554</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549</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549</v>
      </c>
      <c r="D605">
        <v>461</v>
      </c>
      <c r="E605">
        <v>880</v>
      </c>
      <c r="F605">
        <v>585</v>
      </c>
      <c r="G605">
        <v>1926</v>
      </c>
    </row>
    <row r="606" spans="1:7">
      <c r="A606" t="s">
        <v>554</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663</v>
      </c>
      <c r="F624">
        <v>183</v>
      </c>
      <c r="G624">
        <v>183</v>
      </c>
    </row>
    <row r="625" spans="1:7">
      <c r="A625" t="s">
        <v>549</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540</v>
      </c>
      <c r="D632">
        <v>314</v>
      </c>
      <c r="G632">
        <v>314</v>
      </c>
    </row>
    <row r="633" spans="1:7">
      <c r="A633" t="s">
        <v>557</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540</v>
      </c>
    </row>
    <row r="642" spans="1:7">
      <c r="A642" t="s">
        <v>557</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557</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263</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554</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540</v>
      </c>
      <c r="C669">
        <v>430</v>
      </c>
      <c r="G669">
        <v>430</v>
      </c>
    </row>
    <row r="670" spans="1:7">
      <c r="A670" t="s">
        <v>557</v>
      </c>
      <c r="B670">
        <v>377</v>
      </c>
      <c r="C670">
        <v>408</v>
      </c>
      <c r="D670">
        <v>607</v>
      </c>
      <c r="E670">
        <v>1022</v>
      </c>
      <c r="G670">
        <v>2414</v>
      </c>
    </row>
    <row r="671" spans="1:7">
      <c r="A671" t="s">
        <v>782</v>
      </c>
    </row>
    <row r="672" spans="1:7">
      <c r="A672" t="s">
        <v>788</v>
      </c>
    </row>
    <row r="673" spans="1:7">
      <c r="A673" t="s">
        <v>263</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549</v>
      </c>
      <c r="D685">
        <v>1241</v>
      </c>
      <c r="G685">
        <v>1241</v>
      </c>
    </row>
    <row r="686" spans="1:7">
      <c r="A686" t="s">
        <v>554</v>
      </c>
      <c r="B686">
        <v>503</v>
      </c>
      <c r="C686">
        <v>295</v>
      </c>
      <c r="F686">
        <v>6</v>
      </c>
      <c r="G686">
        <v>804</v>
      </c>
    </row>
    <row r="687" spans="1:7">
      <c r="A687" t="s">
        <v>521</v>
      </c>
      <c r="C687">
        <v>1009</v>
      </c>
      <c r="G687">
        <v>1009</v>
      </c>
    </row>
    <row r="688" spans="1:7">
      <c r="A688" t="s">
        <v>1110</v>
      </c>
      <c r="B688">
        <v>20</v>
      </c>
      <c r="E688">
        <v>250</v>
      </c>
      <c r="F688">
        <v>177</v>
      </c>
      <c r="G688">
        <v>447</v>
      </c>
    </row>
    <row r="689" spans="1:7">
      <c r="A689" t="s">
        <v>557</v>
      </c>
      <c r="B689">
        <v>639</v>
      </c>
      <c r="G689">
        <v>639</v>
      </c>
    </row>
    <row r="690" spans="1:7">
      <c r="A690" t="s">
        <v>263</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549</v>
      </c>
    </row>
    <row r="708" spans="1:7">
      <c r="A708" t="s">
        <v>927</v>
      </c>
    </row>
    <row r="709" spans="1:7">
      <c r="A709" t="s">
        <v>554</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569</v>
      </c>
      <c r="E719">
        <v>903</v>
      </c>
      <c r="G719">
        <v>903</v>
      </c>
    </row>
    <row r="720" spans="1:7">
      <c r="A720" t="s">
        <v>559</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569</v>
      </c>
      <c r="B731">
        <v>254</v>
      </c>
      <c r="C731">
        <v>1686</v>
      </c>
      <c r="D731">
        <v>611</v>
      </c>
      <c r="G731">
        <v>2551</v>
      </c>
    </row>
    <row r="732" spans="1:7">
      <c r="A732" t="s">
        <v>559</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549</v>
      </c>
      <c r="D743">
        <v>139</v>
      </c>
      <c r="G743">
        <v>139</v>
      </c>
    </row>
    <row r="744" spans="1:7">
      <c r="A744" t="s">
        <v>554</v>
      </c>
    </row>
    <row r="745" spans="1:7">
      <c r="A745" t="s">
        <v>528</v>
      </c>
      <c r="E745">
        <v>97</v>
      </c>
      <c r="G745">
        <v>97</v>
      </c>
    </row>
    <row r="746" spans="1:7">
      <c r="A746" t="s">
        <v>1115</v>
      </c>
      <c r="B746">
        <v>42</v>
      </c>
      <c r="C746">
        <v>219</v>
      </c>
      <c r="F746">
        <v>70</v>
      </c>
      <c r="G746">
        <v>331</v>
      </c>
    </row>
    <row r="747" spans="1:7">
      <c r="A747" t="s">
        <v>1133</v>
      </c>
    </row>
    <row r="748" spans="1:7">
      <c r="A748" t="s">
        <v>569</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571</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549</v>
      </c>
      <c r="B763">
        <v>60</v>
      </c>
      <c r="G763">
        <v>60</v>
      </c>
    </row>
    <row r="764" spans="1:7">
      <c r="A764" t="s">
        <v>525</v>
      </c>
      <c r="E764">
        <v>175</v>
      </c>
      <c r="G764">
        <v>175</v>
      </c>
    </row>
    <row r="765" spans="1:7">
      <c r="A765" t="s">
        <v>1115</v>
      </c>
      <c r="C765">
        <v>224</v>
      </c>
      <c r="G765">
        <v>224</v>
      </c>
    </row>
    <row r="766" spans="1:7">
      <c r="A766" t="s">
        <v>540</v>
      </c>
      <c r="D766">
        <v>406</v>
      </c>
      <c r="G766">
        <v>406</v>
      </c>
    </row>
    <row r="767" spans="1:7">
      <c r="A767" t="s">
        <v>263</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571</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626</v>
      </c>
      <c r="B776">
        <v>335</v>
      </c>
      <c r="G776">
        <v>335</v>
      </c>
    </row>
    <row r="777" spans="1:7">
      <c r="A777" t="s">
        <v>1139</v>
      </c>
      <c r="B777">
        <v>415</v>
      </c>
      <c r="C777">
        <v>291</v>
      </c>
      <c r="F777">
        <v>755</v>
      </c>
      <c r="G777">
        <v>1461</v>
      </c>
    </row>
    <row r="778" spans="1:7">
      <c r="A778" t="s">
        <v>574</v>
      </c>
      <c r="C778">
        <v>1231</v>
      </c>
      <c r="D778">
        <v>1538</v>
      </c>
      <c r="E778">
        <v>1377</v>
      </c>
      <c r="G778">
        <v>4146</v>
      </c>
    </row>
    <row r="779" spans="1:7">
      <c r="A779" t="s">
        <v>580</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540</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574</v>
      </c>
      <c r="B798">
        <v>600</v>
      </c>
      <c r="G798">
        <v>600</v>
      </c>
    </row>
    <row r="799" spans="1:7">
      <c r="A799" t="s">
        <v>580</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674</v>
      </c>
      <c r="C803">
        <v>1253</v>
      </c>
      <c r="D803">
        <v>1351</v>
      </c>
      <c r="E803">
        <v>443</v>
      </c>
      <c r="G803">
        <v>3047</v>
      </c>
    </row>
    <row r="804" spans="1:7">
      <c r="A804" t="s">
        <v>991</v>
      </c>
      <c r="C804">
        <v>1850</v>
      </c>
      <c r="D804">
        <v>1276</v>
      </c>
      <c r="E804">
        <v>1479</v>
      </c>
      <c r="G804">
        <v>4605</v>
      </c>
    </row>
    <row r="805" spans="1:7">
      <c r="A805" t="s">
        <v>597</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540</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580</v>
      </c>
      <c r="D821">
        <v>334</v>
      </c>
      <c r="G821">
        <v>334</v>
      </c>
    </row>
    <row r="822" spans="1:7">
      <c r="A822" t="s">
        <v>1140</v>
      </c>
      <c r="C822">
        <v>216</v>
      </c>
      <c r="G822">
        <v>216</v>
      </c>
    </row>
    <row r="823" spans="1:7">
      <c r="A823" t="s">
        <v>405</v>
      </c>
      <c r="B823">
        <v>1088</v>
      </c>
      <c r="C823">
        <v>557</v>
      </c>
      <c r="D823">
        <v>512</v>
      </c>
      <c r="E823">
        <v>369</v>
      </c>
      <c r="G823">
        <v>2526</v>
      </c>
    </row>
    <row r="824" spans="1:7">
      <c r="A824" t="s">
        <v>674</v>
      </c>
      <c r="B824">
        <v>192</v>
      </c>
      <c r="G824">
        <v>192</v>
      </c>
    </row>
    <row r="825" spans="1:7">
      <c r="A825" t="s">
        <v>597</v>
      </c>
      <c r="B825">
        <v>1174</v>
      </c>
      <c r="C825">
        <v>1597</v>
      </c>
      <c r="D825">
        <v>308</v>
      </c>
      <c r="G825">
        <v>3079</v>
      </c>
    </row>
    <row r="826" spans="1:7">
      <c r="A826" t="s">
        <v>1007</v>
      </c>
      <c r="B826">
        <v>1545</v>
      </c>
      <c r="C826">
        <v>995</v>
      </c>
      <c r="G826">
        <v>2540</v>
      </c>
    </row>
    <row r="827" spans="1:7">
      <c r="A827" t="s">
        <v>564</v>
      </c>
      <c r="D827">
        <v>333</v>
      </c>
      <c r="G827">
        <v>333</v>
      </c>
    </row>
    <row r="828" spans="1:7">
      <c r="A828" t="s">
        <v>1142</v>
      </c>
      <c r="D828">
        <v>160</v>
      </c>
      <c r="G828">
        <v>160</v>
      </c>
    </row>
    <row r="829" spans="1:7">
      <c r="A829" t="s">
        <v>155</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263</v>
      </c>
      <c r="E838">
        <v>170</v>
      </c>
      <c r="G838">
        <v>170</v>
      </c>
    </row>
    <row r="839" spans="1:7">
      <c r="A839" t="s">
        <v>381</v>
      </c>
      <c r="D839">
        <v>986</v>
      </c>
      <c r="G839">
        <v>986</v>
      </c>
    </row>
    <row r="840" spans="1:7">
      <c r="A840" t="s">
        <v>1139</v>
      </c>
      <c r="B840">
        <v>916</v>
      </c>
      <c r="C840">
        <v>144</v>
      </c>
      <c r="G840">
        <v>1060</v>
      </c>
    </row>
    <row r="841" spans="1:7">
      <c r="A841" t="s">
        <v>597</v>
      </c>
    </row>
    <row r="842" spans="1:7">
      <c r="A842" t="s">
        <v>1007</v>
      </c>
    </row>
    <row r="843" spans="1:7">
      <c r="A843" t="s">
        <v>155</v>
      </c>
      <c r="B843">
        <v>828</v>
      </c>
      <c r="C843">
        <v>150</v>
      </c>
      <c r="E843">
        <v>688</v>
      </c>
      <c r="G843">
        <v>1666</v>
      </c>
    </row>
    <row r="844" spans="1:7">
      <c r="A844" t="s">
        <v>1143</v>
      </c>
      <c r="B844">
        <v>233</v>
      </c>
      <c r="G844">
        <v>233</v>
      </c>
    </row>
    <row r="845" spans="1:7">
      <c r="A845" t="s">
        <v>599</v>
      </c>
      <c r="B845">
        <v>1768</v>
      </c>
      <c r="C845">
        <v>510</v>
      </c>
      <c r="G845">
        <v>2278</v>
      </c>
    </row>
    <row r="846" spans="1:7">
      <c r="A846" t="s">
        <v>681</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603</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540</v>
      </c>
      <c r="B862">
        <v>151</v>
      </c>
      <c r="C862">
        <v>149</v>
      </c>
      <c r="G862">
        <v>300</v>
      </c>
    </row>
    <row r="863" spans="1:7">
      <c r="A863" t="s">
        <v>77</v>
      </c>
      <c r="D863">
        <v>168</v>
      </c>
      <c r="F863">
        <v>34</v>
      </c>
      <c r="G863">
        <v>202</v>
      </c>
    </row>
    <row r="864" spans="1:7">
      <c r="A864" t="s">
        <v>564</v>
      </c>
    </row>
    <row r="865" spans="1:7">
      <c r="A865" t="s">
        <v>681</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603</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609</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540</v>
      </c>
    </row>
    <row r="883" spans="1:7">
      <c r="A883" t="s">
        <v>557</v>
      </c>
      <c r="F883">
        <v>60</v>
      </c>
      <c r="G883">
        <v>60</v>
      </c>
    </row>
    <row r="884" spans="1:7">
      <c r="A884" t="s">
        <v>263</v>
      </c>
    </row>
    <row r="885" spans="1:7">
      <c r="A885" t="s">
        <v>381</v>
      </c>
    </row>
    <row r="886" spans="1:7">
      <c r="A886" t="s">
        <v>77</v>
      </c>
      <c r="B886">
        <v>188</v>
      </c>
      <c r="C886">
        <v>140</v>
      </c>
      <c r="G886">
        <v>328</v>
      </c>
    </row>
    <row r="887" spans="1:7">
      <c r="A887" t="s">
        <v>564</v>
      </c>
      <c r="B887">
        <v>270</v>
      </c>
      <c r="C887">
        <v>60</v>
      </c>
      <c r="G887">
        <v>330</v>
      </c>
    </row>
    <row r="888" spans="1:7">
      <c r="A888" t="s">
        <v>599</v>
      </c>
    </row>
    <row r="889" spans="1:7">
      <c r="A889" t="s">
        <v>681</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601</v>
      </c>
      <c r="C893">
        <v>1509</v>
      </c>
      <c r="D893">
        <v>1087</v>
      </c>
      <c r="E893">
        <v>777</v>
      </c>
      <c r="G893">
        <v>3373</v>
      </c>
    </row>
    <row r="894" spans="1:7">
      <c r="A894" t="s">
        <v>609</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595</v>
      </c>
      <c r="C898">
        <v>1678</v>
      </c>
      <c r="E898">
        <v>394</v>
      </c>
      <c r="G898">
        <v>2072</v>
      </c>
    </row>
    <row r="899" spans="1:7">
      <c r="A899" t="s">
        <v>391</v>
      </c>
      <c r="D899">
        <v>3179</v>
      </c>
      <c r="G899">
        <v>3179</v>
      </c>
    </row>
    <row r="900" spans="1:7">
      <c r="A900" t="s">
        <v>636</v>
      </c>
      <c r="E900">
        <v>978</v>
      </c>
      <c r="G900">
        <v>978</v>
      </c>
    </row>
    <row r="901" spans="1:7">
      <c r="A901" t="s">
        <v>443</v>
      </c>
      <c r="E901">
        <v>502</v>
      </c>
      <c r="G901">
        <v>502</v>
      </c>
    </row>
    <row r="902" spans="1:7">
      <c r="A902" t="s">
        <v>227</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559</v>
      </c>
    </row>
    <row r="910" spans="1:7">
      <c r="A910" t="s">
        <v>381</v>
      </c>
    </row>
    <row r="911" spans="1:7">
      <c r="A911" t="s">
        <v>405</v>
      </c>
      <c r="F911">
        <v>569</v>
      </c>
      <c r="G911">
        <v>569</v>
      </c>
    </row>
    <row r="912" spans="1:7">
      <c r="A912" t="s">
        <v>681</v>
      </c>
    </row>
    <row r="913" spans="1:7">
      <c r="A913" t="s">
        <v>388</v>
      </c>
      <c r="D913">
        <v>150</v>
      </c>
      <c r="G913">
        <v>150</v>
      </c>
    </row>
    <row r="914" spans="1:7">
      <c r="A914" t="s">
        <v>398</v>
      </c>
    </row>
    <row r="915" spans="1:7">
      <c r="A915" t="s">
        <v>609</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636</v>
      </c>
      <c r="B919">
        <v>1420</v>
      </c>
      <c r="C919">
        <v>990</v>
      </c>
      <c r="D919">
        <v>549</v>
      </c>
      <c r="G919">
        <v>2959</v>
      </c>
    </row>
    <row r="920" spans="1:7">
      <c r="A920" t="s">
        <v>443</v>
      </c>
      <c r="B920">
        <v>259</v>
      </c>
      <c r="C920">
        <v>1087</v>
      </c>
      <c r="D920">
        <v>2206</v>
      </c>
      <c r="E920">
        <v>453</v>
      </c>
      <c r="G920">
        <v>4005</v>
      </c>
    </row>
    <row r="921" spans="1:7">
      <c r="A921" t="s">
        <v>227</v>
      </c>
      <c r="C921">
        <v>379</v>
      </c>
      <c r="D921">
        <v>208</v>
      </c>
      <c r="G921">
        <v>587</v>
      </c>
    </row>
    <row r="922" spans="1:7">
      <c r="A922" t="s">
        <v>607</v>
      </c>
      <c r="B922">
        <v>579</v>
      </c>
      <c r="C922">
        <v>1120</v>
      </c>
      <c r="D922">
        <v>1488</v>
      </c>
      <c r="E922">
        <v>954</v>
      </c>
      <c r="G922">
        <v>4141</v>
      </c>
    </row>
    <row r="923" spans="1:7">
      <c r="A923" t="s">
        <v>1146</v>
      </c>
      <c r="B923">
        <v>365</v>
      </c>
      <c r="G923">
        <v>365</v>
      </c>
    </row>
    <row r="924" spans="1:7">
      <c r="A924" t="s">
        <v>409</v>
      </c>
      <c r="B924">
        <v>207</v>
      </c>
      <c r="G924">
        <v>207</v>
      </c>
    </row>
    <row r="925" spans="1:7">
      <c r="A925" t="s">
        <v>531</v>
      </c>
      <c r="C925">
        <v>1691</v>
      </c>
      <c r="D925">
        <v>1998</v>
      </c>
      <c r="E925">
        <v>760</v>
      </c>
      <c r="F925">
        <v>3975</v>
      </c>
      <c r="G925">
        <v>8424</v>
      </c>
    </row>
    <row r="926" spans="1:7">
      <c r="A926" t="s">
        <v>639</v>
      </c>
      <c r="D926">
        <v>1031</v>
      </c>
      <c r="G926">
        <v>1031</v>
      </c>
    </row>
    <row r="927" spans="1:7">
      <c r="A927" t="s">
        <v>407</v>
      </c>
      <c r="E927">
        <v>1063</v>
      </c>
      <c r="F927">
        <v>1263</v>
      </c>
      <c r="G927">
        <v>2326</v>
      </c>
    </row>
    <row r="928" spans="1:7">
      <c r="A928" t="s">
        <v>683</v>
      </c>
      <c r="F928">
        <v>451</v>
      </c>
      <c r="G928">
        <v>451</v>
      </c>
    </row>
    <row r="929" spans="1:7">
      <c r="A929" t="s">
        <v>462</v>
      </c>
      <c r="B929">
        <v>3266</v>
      </c>
      <c r="C929">
        <v>3910</v>
      </c>
      <c r="D929">
        <v>346</v>
      </c>
      <c r="G929">
        <v>7522</v>
      </c>
    </row>
    <row r="930" spans="1:7">
      <c r="A930" t="s">
        <v>315</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681</v>
      </c>
      <c r="B940">
        <v>560</v>
      </c>
      <c r="G940">
        <v>560</v>
      </c>
    </row>
    <row r="941" spans="1:7">
      <c r="A941" t="s">
        <v>398</v>
      </c>
    </row>
    <row r="942" spans="1:7">
      <c r="A942" t="s">
        <v>609</v>
      </c>
      <c r="B942">
        <v>138</v>
      </c>
      <c r="G942">
        <v>138</v>
      </c>
    </row>
    <row r="943" spans="1:7">
      <c r="A943" t="s">
        <v>396</v>
      </c>
    </row>
    <row r="944" spans="1:7">
      <c r="A944" t="s">
        <v>391</v>
      </c>
      <c r="B944">
        <v>96</v>
      </c>
      <c r="G944">
        <v>96</v>
      </c>
    </row>
    <row r="945" spans="1:7">
      <c r="A945" t="s">
        <v>636</v>
      </c>
      <c r="B945">
        <v>632</v>
      </c>
      <c r="G945">
        <v>632</v>
      </c>
    </row>
    <row r="946" spans="1:7">
      <c r="A946" t="s">
        <v>443</v>
      </c>
      <c r="B946">
        <v>558</v>
      </c>
      <c r="G946">
        <v>558</v>
      </c>
    </row>
    <row r="947" spans="1:7">
      <c r="A947" t="s">
        <v>227</v>
      </c>
      <c r="B947">
        <v>562</v>
      </c>
      <c r="D947">
        <v>474</v>
      </c>
      <c r="E947">
        <v>606</v>
      </c>
      <c r="F947">
        <v>322</v>
      </c>
      <c r="G947">
        <v>1964</v>
      </c>
    </row>
    <row r="948" spans="1:7">
      <c r="A948" t="s">
        <v>639</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605</v>
      </c>
      <c r="D953">
        <v>877</v>
      </c>
      <c r="E953">
        <v>814</v>
      </c>
      <c r="G953">
        <v>1691</v>
      </c>
    </row>
    <row r="954" spans="1:7">
      <c r="A954" t="s">
        <v>210</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263</v>
      </c>
      <c r="B969">
        <v>446</v>
      </c>
      <c r="C969">
        <v>120</v>
      </c>
      <c r="D969">
        <v>550</v>
      </c>
      <c r="G969">
        <v>1116</v>
      </c>
    </row>
    <row r="970" spans="1:7">
      <c r="A970" t="s">
        <v>681</v>
      </c>
      <c r="C970">
        <v>17</v>
      </c>
      <c r="G970">
        <v>17</v>
      </c>
    </row>
    <row r="971" spans="1:7">
      <c r="A971" t="s">
        <v>609</v>
      </c>
    </row>
    <row r="972" spans="1:7">
      <c r="A972" t="s">
        <v>443</v>
      </c>
      <c r="B972">
        <v>127</v>
      </c>
      <c r="G972">
        <v>127</v>
      </c>
    </row>
    <row r="973" spans="1:7">
      <c r="A973" t="s">
        <v>227</v>
      </c>
      <c r="B973">
        <v>420</v>
      </c>
      <c r="G973">
        <v>420</v>
      </c>
    </row>
    <row r="974" spans="1:7">
      <c r="A974" t="s">
        <v>639</v>
      </c>
    </row>
    <row r="975" spans="1:7">
      <c r="A975" t="s">
        <v>393</v>
      </c>
      <c r="C975">
        <v>1917</v>
      </c>
      <c r="E975">
        <v>272</v>
      </c>
      <c r="G975">
        <v>2189</v>
      </c>
    </row>
    <row r="976" spans="1:7">
      <c r="A976" t="s">
        <v>605</v>
      </c>
      <c r="B976">
        <v>956</v>
      </c>
      <c r="G976">
        <v>956</v>
      </c>
    </row>
    <row r="977" spans="1:7">
      <c r="A977" t="s">
        <v>210</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614</v>
      </c>
      <c r="B985">
        <v>1471</v>
      </c>
      <c r="G985">
        <v>1471</v>
      </c>
    </row>
    <row r="986" spans="1:7">
      <c r="A986" t="s">
        <v>611</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546</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227</v>
      </c>
      <c r="D1011">
        <v>426</v>
      </c>
      <c r="G1011">
        <v>426</v>
      </c>
    </row>
    <row r="1012" spans="1:7">
      <c r="A1012" t="s">
        <v>407</v>
      </c>
    </row>
    <row r="1013" spans="1:7">
      <c r="A1013" t="s">
        <v>462</v>
      </c>
    </row>
    <row r="1014" spans="1:7">
      <c r="A1014" t="s">
        <v>315</v>
      </c>
      <c r="C1014">
        <v>1175</v>
      </c>
      <c r="G1014">
        <v>1175</v>
      </c>
    </row>
    <row r="1015" spans="1:7">
      <c r="A1015" t="s">
        <v>453</v>
      </c>
      <c r="C1015">
        <v>996</v>
      </c>
      <c r="G1015">
        <v>996</v>
      </c>
    </row>
    <row r="1016" spans="1:7">
      <c r="A1016" t="s">
        <v>393</v>
      </c>
      <c r="B1016">
        <v>900</v>
      </c>
      <c r="G1016">
        <v>900</v>
      </c>
    </row>
    <row r="1017" spans="1:7">
      <c r="A1017" t="s">
        <v>429</v>
      </c>
    </row>
    <row r="1018" spans="1:7">
      <c r="A1018" t="s">
        <v>605</v>
      </c>
    </row>
    <row r="1019" spans="1:7">
      <c r="A1019" t="s">
        <v>1150</v>
      </c>
      <c r="B1019">
        <v>2805</v>
      </c>
      <c r="C1019">
        <v>1397</v>
      </c>
      <c r="G1019">
        <v>4202</v>
      </c>
    </row>
    <row r="1020" spans="1:7">
      <c r="A1020" t="s">
        <v>614</v>
      </c>
      <c r="B1020">
        <v>665</v>
      </c>
      <c r="C1020">
        <v>1360</v>
      </c>
      <c r="D1020">
        <v>1024</v>
      </c>
      <c r="G1020">
        <v>3049</v>
      </c>
    </row>
    <row r="1021" spans="1:7">
      <c r="A1021" t="s">
        <v>611</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200</v>
      </c>
      <c r="B1025">
        <v>82</v>
      </c>
      <c r="G1025">
        <v>82</v>
      </c>
    </row>
    <row r="1026" spans="1:7">
      <c r="A1026" t="s">
        <v>493</v>
      </c>
      <c r="C1026">
        <v>3311</v>
      </c>
      <c r="G1026">
        <v>3311</v>
      </c>
    </row>
    <row r="1027" spans="1:7">
      <c r="A1027" t="s">
        <v>456</v>
      </c>
    </row>
    <row r="1028" spans="1:7">
      <c r="A1028" t="s">
        <v>425</v>
      </c>
      <c r="C1028">
        <v>2568</v>
      </c>
      <c r="G1028">
        <v>2568</v>
      </c>
    </row>
    <row r="1029" spans="1:7">
      <c r="A1029" t="s">
        <v>628</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617</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607</v>
      </c>
      <c r="C1051">
        <v>175</v>
      </c>
      <c r="G1051">
        <v>175</v>
      </c>
    </row>
    <row r="1052" spans="1:7">
      <c r="A1052" t="s">
        <v>531</v>
      </c>
      <c r="B1052">
        <v>602</v>
      </c>
      <c r="C1052">
        <v>1069</v>
      </c>
      <c r="D1052">
        <v>1129</v>
      </c>
      <c r="E1052">
        <v>1041</v>
      </c>
      <c r="F1052">
        <v>1824</v>
      </c>
      <c r="G1052">
        <v>5665</v>
      </c>
    </row>
    <row r="1053" spans="1:7">
      <c r="A1053" t="s">
        <v>315</v>
      </c>
      <c r="B1053">
        <v>1515</v>
      </c>
      <c r="G1053">
        <v>1515</v>
      </c>
    </row>
    <row r="1054" spans="1:7">
      <c r="A1054" t="s">
        <v>482</v>
      </c>
      <c r="E1054">
        <v>64</v>
      </c>
      <c r="G1054">
        <v>64</v>
      </c>
    </row>
    <row r="1055" spans="1:7">
      <c r="A1055" t="s">
        <v>485</v>
      </c>
    </row>
    <row r="1056" spans="1:7">
      <c r="A1056" t="s">
        <v>614</v>
      </c>
      <c r="B1056">
        <v>1610</v>
      </c>
      <c r="G1056">
        <v>1610</v>
      </c>
    </row>
    <row r="1057" spans="1:7">
      <c r="A1057" t="s">
        <v>611</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617</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586</v>
      </c>
      <c r="D1069">
        <v>466</v>
      </c>
      <c r="E1069">
        <v>345</v>
      </c>
      <c r="G1069">
        <v>811</v>
      </c>
    </row>
    <row r="1070" spans="1:7">
      <c r="A1070" t="s">
        <v>434</v>
      </c>
      <c r="E1070">
        <v>1431</v>
      </c>
      <c r="G1070">
        <v>1431</v>
      </c>
    </row>
    <row r="1071" spans="1:7">
      <c r="A1071" t="s">
        <v>592</v>
      </c>
      <c r="D1071">
        <v>1379</v>
      </c>
      <c r="E1071">
        <v>1154</v>
      </c>
      <c r="G1071">
        <v>2533</v>
      </c>
    </row>
    <row r="1072" spans="1:7">
      <c r="A1072" t="s">
        <v>320</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531</v>
      </c>
      <c r="B1081">
        <v>1283</v>
      </c>
      <c r="C1081">
        <v>442</v>
      </c>
      <c r="F1081">
        <v>706</v>
      </c>
      <c r="G1081">
        <v>2431</v>
      </c>
    </row>
    <row r="1082" spans="1:7">
      <c r="A1082" t="s">
        <v>453</v>
      </c>
      <c r="C1082">
        <v>2203</v>
      </c>
      <c r="G1082">
        <v>2203</v>
      </c>
    </row>
    <row r="1083" spans="1:7">
      <c r="A1083" t="s">
        <v>487</v>
      </c>
      <c r="E1083">
        <v>242</v>
      </c>
      <c r="G1083">
        <v>242</v>
      </c>
    </row>
    <row r="1084" spans="1:7">
      <c r="A1084" t="s">
        <v>614</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586</v>
      </c>
      <c r="B1089">
        <v>1172</v>
      </c>
      <c r="G1089">
        <v>1172</v>
      </c>
    </row>
    <row r="1090" spans="1:7">
      <c r="A1090" t="s">
        <v>434</v>
      </c>
      <c r="B1090">
        <v>1583</v>
      </c>
      <c r="C1090">
        <v>1325</v>
      </c>
      <c r="D1090">
        <v>621</v>
      </c>
      <c r="G1090">
        <v>3529</v>
      </c>
    </row>
    <row r="1091" spans="1:7">
      <c r="A1091" t="s">
        <v>592</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323</v>
      </c>
      <c r="C1098">
        <v>1111</v>
      </c>
      <c r="D1098">
        <v>1373</v>
      </c>
      <c r="E1098">
        <v>1090</v>
      </c>
      <c r="F1098">
        <v>1204</v>
      </c>
      <c r="G1098">
        <v>4778</v>
      </c>
    </row>
    <row r="1099" spans="1:7">
      <c r="A1099" t="s">
        <v>583</v>
      </c>
      <c r="C1099">
        <v>1500</v>
      </c>
      <c r="D1099">
        <v>1084</v>
      </c>
      <c r="G1099">
        <v>2584</v>
      </c>
    </row>
    <row r="1100" spans="1:7">
      <c r="A1100" t="s">
        <v>416</v>
      </c>
      <c r="D1100">
        <v>817</v>
      </c>
      <c r="E1100">
        <v>1820</v>
      </c>
      <c r="G1100">
        <v>2637</v>
      </c>
    </row>
    <row r="1101" spans="1:7">
      <c r="A1101" t="s">
        <v>577</v>
      </c>
      <c r="E1101">
        <v>1351</v>
      </c>
      <c r="G1101">
        <v>1351</v>
      </c>
    </row>
    <row r="1102" spans="1:7">
      <c r="A1102" t="s">
        <v>297</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531</v>
      </c>
      <c r="B1109">
        <v>735</v>
      </c>
      <c r="G1109">
        <v>735</v>
      </c>
    </row>
    <row r="1110" spans="1:7">
      <c r="A1110" t="s">
        <v>462</v>
      </c>
    </row>
    <row r="1111" spans="1:7">
      <c r="A1111" t="s">
        <v>485</v>
      </c>
    </row>
    <row r="1112" spans="1:7">
      <c r="A1112" t="s">
        <v>515</v>
      </c>
      <c r="E1112">
        <v>396</v>
      </c>
      <c r="G1112">
        <v>396</v>
      </c>
    </row>
    <row r="1113" spans="1:7">
      <c r="A1113" t="s">
        <v>487</v>
      </c>
    </row>
    <row r="1114" spans="1:7">
      <c r="A1114" t="s">
        <v>614</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586</v>
      </c>
      <c r="D1118">
        <v>163</v>
      </c>
      <c r="G1118">
        <v>163</v>
      </c>
    </row>
    <row r="1119" spans="1:7">
      <c r="A1119" t="s">
        <v>320</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323</v>
      </c>
      <c r="F1123">
        <v>1235</v>
      </c>
      <c r="G1123">
        <v>1235</v>
      </c>
    </row>
    <row r="1124" spans="1:7">
      <c r="A1124" t="s">
        <v>583</v>
      </c>
    </row>
    <row r="1125" spans="1:7">
      <c r="A1125" t="s">
        <v>577</v>
      </c>
      <c r="B1125">
        <v>689</v>
      </c>
      <c r="C1125">
        <v>586</v>
      </c>
      <c r="D1125">
        <v>199</v>
      </c>
      <c r="G1125">
        <v>1474</v>
      </c>
    </row>
    <row r="1126" spans="1:7">
      <c r="A1126" t="s">
        <v>297</v>
      </c>
      <c r="C1126">
        <v>1164</v>
      </c>
      <c r="D1126">
        <v>308</v>
      </c>
      <c r="E1126">
        <v>892</v>
      </c>
      <c r="F1126">
        <v>366</v>
      </c>
      <c r="G1126">
        <v>2730</v>
      </c>
    </row>
    <row r="1127" spans="1:7">
      <c r="A1127" t="s">
        <v>567</v>
      </c>
      <c r="B1127">
        <v>1095</v>
      </c>
      <c r="C1127">
        <v>1676</v>
      </c>
      <c r="D1127">
        <v>1139</v>
      </c>
      <c r="G1127">
        <v>3910</v>
      </c>
    </row>
    <row r="1128" spans="1:7">
      <c r="A1128" t="s">
        <v>589</v>
      </c>
      <c r="B1128">
        <v>1344</v>
      </c>
      <c r="C1128">
        <v>1583</v>
      </c>
      <c r="D1128">
        <v>1027</v>
      </c>
      <c r="E1128">
        <v>1596</v>
      </c>
      <c r="G1128">
        <v>5550</v>
      </c>
    </row>
    <row r="1129" spans="1:7">
      <c r="A1129" t="s">
        <v>219</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326</v>
      </c>
      <c r="E1133">
        <v>3028</v>
      </c>
      <c r="F1133">
        <v>1683</v>
      </c>
      <c r="G1133">
        <v>4711</v>
      </c>
    </row>
    <row r="1134" spans="1:7">
      <c r="A1134" t="s">
        <v>631</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320</v>
      </c>
      <c r="B1145">
        <v>551</v>
      </c>
      <c r="G1145">
        <v>551</v>
      </c>
    </row>
    <row r="1146" spans="1:7">
      <c r="A1146" t="s">
        <v>1157</v>
      </c>
    </row>
    <row r="1147" spans="1:7">
      <c r="A1147" t="s">
        <v>297</v>
      </c>
      <c r="B1147">
        <v>154</v>
      </c>
      <c r="G1147">
        <v>154</v>
      </c>
    </row>
    <row r="1148" spans="1:7">
      <c r="A1148" t="s">
        <v>589</v>
      </c>
      <c r="B1148">
        <v>342</v>
      </c>
      <c r="G1148">
        <v>342</v>
      </c>
    </row>
    <row r="1149" spans="1:7">
      <c r="A1149" t="s">
        <v>502</v>
      </c>
    </row>
    <row r="1150" spans="1:7">
      <c r="A1150" t="s">
        <v>333</v>
      </c>
      <c r="B1150">
        <v>3523</v>
      </c>
      <c r="C1150">
        <v>2384</v>
      </c>
      <c r="G1150">
        <v>5907</v>
      </c>
    </row>
    <row r="1151" spans="1:7">
      <c r="A1151" t="s">
        <v>326</v>
      </c>
      <c r="B1151">
        <v>362</v>
      </c>
      <c r="G1151">
        <v>362</v>
      </c>
    </row>
    <row r="1152" spans="1:7">
      <c r="A1152" t="s">
        <v>631</v>
      </c>
      <c r="B1152">
        <v>380</v>
      </c>
      <c r="G1152">
        <v>380</v>
      </c>
    </row>
    <row r="1153" spans="1:7">
      <c r="A1153" t="s">
        <v>634</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320</v>
      </c>
      <c r="B1166">
        <v>738</v>
      </c>
      <c r="C1166">
        <v>466</v>
      </c>
      <c r="G1166">
        <v>1204</v>
      </c>
    </row>
    <row r="1167" spans="1:7">
      <c r="A1167" t="s">
        <v>508</v>
      </c>
    </row>
    <row r="1168" spans="1:7">
      <c r="A1168" t="s">
        <v>297</v>
      </c>
      <c r="D1168">
        <v>173</v>
      </c>
      <c r="G1168">
        <v>173</v>
      </c>
    </row>
    <row r="1169" spans="1:7">
      <c r="A1169" t="s">
        <v>326</v>
      </c>
      <c r="B1169">
        <v>1297</v>
      </c>
      <c r="G1169">
        <v>1297</v>
      </c>
    </row>
    <row r="1170" spans="1:7">
      <c r="A1170" t="s">
        <v>631</v>
      </c>
      <c r="B1170">
        <v>100</v>
      </c>
      <c r="G1170">
        <v>100</v>
      </c>
    </row>
    <row r="1171" spans="1:7">
      <c r="A1171" t="s">
        <v>329</v>
      </c>
      <c r="B1171">
        <v>2583</v>
      </c>
      <c r="C1171">
        <v>3099</v>
      </c>
      <c r="G1171">
        <v>5682</v>
      </c>
    </row>
    <row r="1172" spans="1:7">
      <c r="A1172" t="s">
        <v>620</v>
      </c>
      <c r="B1172">
        <v>1188</v>
      </c>
      <c r="G1172">
        <v>1188</v>
      </c>
    </row>
    <row r="1173" spans="1:7">
      <c r="A1173" t="s">
        <v>623</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267</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267</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F2495" sqref="F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671</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532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128</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128</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128</v>
      </c>
      <c r="C18" s="152">
        <v>45702</v>
      </c>
      <c r="D18" s="143">
        <v>23</v>
      </c>
      <c r="E18" s="143"/>
      <c r="F18" s="143"/>
      <c r="G18" t="str">
        <f t="shared" si="0"/>
        <v>February</v>
      </c>
    </row>
    <row r="19" spans="1:7" ht="15.75">
      <c r="A19" s="117" t="s">
        <v>833</v>
      </c>
      <c r="B19" s="243" t="s">
        <v>140</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653</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671</v>
      </c>
      <c r="C25" s="153">
        <v>45706</v>
      </c>
      <c r="D25" s="117">
        <v>1240</v>
      </c>
      <c r="E25" s="117"/>
      <c r="F25" s="118"/>
      <c r="G25" t="str">
        <f t="shared" si="0"/>
        <v>February</v>
      </c>
    </row>
    <row r="26" spans="1:7" ht="15.75">
      <c r="A26" s="117" t="s">
        <v>748</v>
      </c>
      <c r="B26" s="242" t="s">
        <v>128</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671</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671</v>
      </c>
      <c r="C32" s="153">
        <v>45707</v>
      </c>
      <c r="D32" s="117">
        <v>1978</v>
      </c>
      <c r="E32" s="117"/>
      <c r="F32" s="118" t="s">
        <v>1170</v>
      </c>
      <c r="G32" t="str">
        <f t="shared" si="0"/>
        <v>February</v>
      </c>
    </row>
    <row r="33" spans="1:7">
      <c r="A33" s="117" t="s">
        <v>911</v>
      </c>
      <c r="B33" s="243" t="s">
        <v>657</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140</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671</v>
      </c>
      <c r="C39" s="153">
        <v>45708</v>
      </c>
      <c r="D39" s="117">
        <v>851</v>
      </c>
      <c r="E39" s="117"/>
      <c r="F39" s="118" t="s">
        <v>1174</v>
      </c>
      <c r="G39" t="str">
        <f t="shared" si="0"/>
        <v>February</v>
      </c>
    </row>
    <row r="40" spans="1:7">
      <c r="A40" s="117" t="s">
        <v>911</v>
      </c>
      <c r="B40" s="243" t="s">
        <v>657</v>
      </c>
      <c r="C40" s="153">
        <v>45708</v>
      </c>
      <c r="D40" s="117">
        <v>1334</v>
      </c>
      <c r="E40" s="117"/>
      <c r="F40" s="118"/>
      <c r="G40" t="str">
        <f t="shared" si="0"/>
        <v>February</v>
      </c>
    </row>
    <row r="41" spans="1:7">
      <c r="A41" s="117" t="s">
        <v>832</v>
      </c>
      <c r="B41" s="154" t="s">
        <v>653</v>
      </c>
      <c r="C41" s="153">
        <v>45708</v>
      </c>
      <c r="D41" s="117">
        <v>1400</v>
      </c>
      <c r="E41" s="117"/>
      <c r="F41" s="118"/>
      <c r="G41" t="str">
        <f t="shared" si="0"/>
        <v>February</v>
      </c>
    </row>
    <row r="42" spans="1:7">
      <c r="A42" s="117" t="s">
        <v>663</v>
      </c>
      <c r="B42" s="154" t="s">
        <v>653</v>
      </c>
      <c r="C42" s="153">
        <v>45708</v>
      </c>
      <c r="D42" s="117">
        <v>1806</v>
      </c>
      <c r="E42" s="117"/>
      <c r="F42" s="118"/>
      <c r="G42" t="str">
        <f t="shared" si="0"/>
        <v>February</v>
      </c>
    </row>
    <row r="43" spans="1:7">
      <c r="A43" s="117" t="s">
        <v>712</v>
      </c>
      <c r="B43" s="243" t="s">
        <v>657</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670</v>
      </c>
      <c r="B45" s="243" t="s">
        <v>671</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128</v>
      </c>
      <c r="C48" s="153">
        <v>45709</v>
      </c>
      <c r="D48" s="117">
        <v>823</v>
      </c>
      <c r="E48" s="117"/>
      <c r="F48" s="118" t="s">
        <v>1173</v>
      </c>
      <c r="G48" t="str">
        <f t="shared" si="0"/>
        <v>February</v>
      </c>
    </row>
    <row r="49" spans="1:7">
      <c r="A49" s="117" t="s">
        <v>833</v>
      </c>
      <c r="B49" s="243" t="s">
        <v>140</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663</v>
      </c>
      <c r="B51" s="154" t="s">
        <v>653</v>
      </c>
      <c r="C51" s="153">
        <v>45709</v>
      </c>
      <c r="D51" s="117">
        <v>345</v>
      </c>
      <c r="E51" s="117"/>
      <c r="F51" s="118"/>
      <c r="G51" t="str">
        <f t="shared" si="0"/>
        <v>February</v>
      </c>
    </row>
    <row r="52" spans="1:7">
      <c r="A52" s="117" t="s">
        <v>712</v>
      </c>
      <c r="B52" s="243" t="s">
        <v>657</v>
      </c>
      <c r="C52" s="153">
        <v>45709</v>
      </c>
      <c r="D52" s="117">
        <v>1494</v>
      </c>
      <c r="E52" s="117"/>
      <c r="F52" s="118"/>
      <c r="G52" t="str">
        <f t="shared" si="0"/>
        <v>February</v>
      </c>
    </row>
    <row r="53" spans="1:7" ht="15.75">
      <c r="A53" s="117" t="s">
        <v>829</v>
      </c>
      <c r="B53" s="242" t="s">
        <v>128</v>
      </c>
      <c r="C53" s="153">
        <v>45709</v>
      </c>
      <c r="D53" s="117">
        <v>1095</v>
      </c>
      <c r="E53" s="117"/>
      <c r="F53" s="118" t="s">
        <v>1173</v>
      </c>
      <c r="G53" t="str">
        <f t="shared" si="0"/>
        <v>February</v>
      </c>
    </row>
    <row r="54" spans="1:7">
      <c r="A54" s="117" t="s">
        <v>832</v>
      </c>
      <c r="B54" s="154" t="s">
        <v>653</v>
      </c>
      <c r="C54" s="153">
        <v>45709</v>
      </c>
      <c r="D54" s="117">
        <v>1462</v>
      </c>
      <c r="E54" s="117"/>
      <c r="F54" s="118" t="s">
        <v>1165</v>
      </c>
      <c r="G54" t="str">
        <f t="shared" si="0"/>
        <v>February</v>
      </c>
    </row>
    <row r="55" spans="1:7">
      <c r="A55" s="117" t="s">
        <v>660</v>
      </c>
      <c r="B55" s="243" t="s">
        <v>657</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657</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671</v>
      </c>
      <c r="C60" s="153">
        <v>45713</v>
      </c>
      <c r="D60" s="117"/>
      <c r="E60" s="117"/>
      <c r="F60" s="118"/>
      <c r="G60" t="str">
        <f t="shared" si="0"/>
        <v>February</v>
      </c>
    </row>
    <row r="61" spans="1:7">
      <c r="A61" s="117" t="s">
        <v>898</v>
      </c>
      <c r="B61" s="154" t="s">
        <v>653</v>
      </c>
      <c r="C61" s="153">
        <v>45713</v>
      </c>
      <c r="D61" s="117"/>
      <c r="E61" s="117"/>
      <c r="F61" s="118"/>
      <c r="G61" t="str">
        <f t="shared" si="0"/>
        <v>February</v>
      </c>
    </row>
    <row r="62" spans="1:7">
      <c r="A62" s="117" t="s">
        <v>670</v>
      </c>
      <c r="B62" s="244" t="s">
        <v>671</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128</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128</v>
      </c>
      <c r="C69" s="153">
        <v>45713</v>
      </c>
      <c r="D69" s="117"/>
      <c r="E69" s="117"/>
      <c r="F69" s="118"/>
      <c r="G69" t="str">
        <f t="shared" si="1"/>
        <v>February</v>
      </c>
    </row>
    <row r="70" spans="1:7">
      <c r="A70" s="117" t="s">
        <v>774</v>
      </c>
      <c r="B70" s="244" t="s">
        <v>657</v>
      </c>
      <c r="C70" s="153">
        <v>45713</v>
      </c>
      <c r="D70" s="117">
        <v>214</v>
      </c>
      <c r="E70" s="117"/>
      <c r="F70" s="118"/>
      <c r="G70" t="str">
        <f t="shared" si="1"/>
        <v>February</v>
      </c>
    </row>
    <row r="71" spans="1:7" ht="15.75">
      <c r="A71" s="117" t="s">
        <v>836</v>
      </c>
      <c r="B71" s="242" t="s">
        <v>128</v>
      </c>
      <c r="C71" s="153">
        <v>45713</v>
      </c>
      <c r="D71" s="117"/>
      <c r="E71" s="117"/>
      <c r="F71" s="118"/>
      <c r="G71" t="str">
        <f t="shared" si="1"/>
        <v>February</v>
      </c>
    </row>
    <row r="72" spans="1:7">
      <c r="A72" s="117" t="s">
        <v>833</v>
      </c>
      <c r="B72" s="243" t="s">
        <v>140</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671</v>
      </c>
      <c r="C74" s="153">
        <v>45713</v>
      </c>
      <c r="D74" s="117"/>
      <c r="E74" s="117"/>
      <c r="F74" s="118"/>
      <c r="G74" t="str">
        <f t="shared" si="1"/>
        <v>February</v>
      </c>
    </row>
    <row r="75" spans="1:7" ht="15.75">
      <c r="A75" s="117" t="s">
        <v>748</v>
      </c>
      <c r="B75" s="242" t="s">
        <v>128</v>
      </c>
      <c r="C75" s="153">
        <v>45713</v>
      </c>
      <c r="D75" s="117"/>
      <c r="E75" s="117"/>
      <c r="F75" s="118"/>
      <c r="G75" t="str">
        <f t="shared" si="1"/>
        <v>February</v>
      </c>
    </row>
    <row r="76" spans="1:7">
      <c r="A76" s="117" t="s">
        <v>911</v>
      </c>
      <c r="B76" s="244" t="s">
        <v>657</v>
      </c>
      <c r="C76" s="153">
        <v>45713</v>
      </c>
      <c r="D76" s="117"/>
      <c r="E76" s="117"/>
      <c r="F76" s="118"/>
      <c r="G76" t="str">
        <f t="shared" si="1"/>
        <v>February</v>
      </c>
    </row>
    <row r="77" spans="1:7">
      <c r="A77" s="117" t="s">
        <v>832</v>
      </c>
      <c r="B77" s="154" t="s">
        <v>653</v>
      </c>
      <c r="C77" s="153">
        <v>45713</v>
      </c>
      <c r="D77" s="117"/>
      <c r="E77" s="117"/>
      <c r="F77" s="118"/>
      <c r="G77" t="str">
        <f t="shared" si="1"/>
        <v>February</v>
      </c>
    </row>
    <row r="78" spans="1:7">
      <c r="A78" s="117" t="s">
        <v>663</v>
      </c>
      <c r="B78" s="154" t="s">
        <v>653</v>
      </c>
      <c r="C78" s="153">
        <v>45713</v>
      </c>
      <c r="D78" s="117"/>
      <c r="E78" s="117"/>
      <c r="F78" s="118"/>
      <c r="G78" t="str">
        <f t="shared" si="1"/>
        <v>February</v>
      </c>
    </row>
    <row r="79" spans="1:7" ht="15.75">
      <c r="A79" s="117" t="s">
        <v>829</v>
      </c>
      <c r="B79" s="242" t="s">
        <v>128</v>
      </c>
      <c r="C79" s="153">
        <v>45713</v>
      </c>
      <c r="D79" s="117">
        <v>860</v>
      </c>
      <c r="E79" s="117"/>
      <c r="F79" s="118"/>
      <c r="G79" t="str">
        <f t="shared" si="1"/>
        <v>February</v>
      </c>
    </row>
    <row r="80" spans="1:7">
      <c r="A80" s="117" t="s">
        <v>660</v>
      </c>
      <c r="B80" s="244" t="s">
        <v>657</v>
      </c>
      <c r="C80" s="153">
        <v>45713</v>
      </c>
      <c r="D80" s="117">
        <v>967</v>
      </c>
      <c r="E80" s="117"/>
      <c r="F80" s="118"/>
      <c r="G80" t="str">
        <f t="shared" si="1"/>
        <v>February</v>
      </c>
    </row>
    <row r="81" spans="1:7">
      <c r="A81" s="117" t="s">
        <v>656</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671</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653</v>
      </c>
      <c r="C86" s="153">
        <v>45714</v>
      </c>
      <c r="D86" s="117"/>
      <c r="E86" s="117"/>
      <c r="F86" s="118"/>
      <c r="G86" t="str">
        <f t="shared" si="1"/>
        <v>February</v>
      </c>
    </row>
    <row r="87" spans="1:7">
      <c r="A87" s="117" t="s">
        <v>670</v>
      </c>
      <c r="B87" s="244" t="s">
        <v>671</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128</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128</v>
      </c>
      <c r="C94" s="153">
        <v>45714</v>
      </c>
      <c r="D94" s="117"/>
      <c r="E94" s="117"/>
      <c r="F94" s="118" t="s">
        <v>1185</v>
      </c>
      <c r="G94" t="str">
        <f t="shared" si="1"/>
        <v>February</v>
      </c>
    </row>
    <row r="95" spans="1:7">
      <c r="A95" s="117" t="s">
        <v>774</v>
      </c>
      <c r="B95" s="244" t="s">
        <v>657</v>
      </c>
      <c r="C95" s="153">
        <v>45714</v>
      </c>
      <c r="D95" s="117"/>
      <c r="E95" s="117"/>
      <c r="F95" s="118"/>
      <c r="G95" t="str">
        <f t="shared" si="1"/>
        <v>February</v>
      </c>
    </row>
    <row r="96" spans="1:7" ht="15.75">
      <c r="A96" s="117" t="s">
        <v>836</v>
      </c>
      <c r="B96" s="242" t="s">
        <v>128</v>
      </c>
      <c r="C96" s="153">
        <v>45714</v>
      </c>
      <c r="D96" s="117"/>
      <c r="E96" s="117"/>
      <c r="F96" s="118"/>
      <c r="G96" t="str">
        <f t="shared" si="1"/>
        <v>February</v>
      </c>
    </row>
    <row r="97" spans="1:7">
      <c r="A97" s="117" t="s">
        <v>833</v>
      </c>
      <c r="B97" s="243" t="s">
        <v>140</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671</v>
      </c>
      <c r="C99" s="153">
        <v>45714</v>
      </c>
      <c r="D99" s="117"/>
      <c r="E99" s="117"/>
      <c r="F99" s="118"/>
      <c r="G99" t="str">
        <f t="shared" si="1"/>
        <v>February</v>
      </c>
    </row>
    <row r="100" spans="1:7" ht="15.75">
      <c r="A100" s="117" t="s">
        <v>748</v>
      </c>
      <c r="B100" s="242" t="s">
        <v>128</v>
      </c>
      <c r="C100" s="153">
        <v>45714</v>
      </c>
      <c r="D100" s="117"/>
      <c r="E100" s="117"/>
      <c r="F100" s="118"/>
      <c r="G100" t="str">
        <f t="shared" si="1"/>
        <v>February</v>
      </c>
    </row>
    <row r="101" spans="1:7">
      <c r="A101" s="117" t="s">
        <v>911</v>
      </c>
      <c r="B101" s="244" t="s">
        <v>657</v>
      </c>
      <c r="C101" s="153">
        <v>45714</v>
      </c>
      <c r="D101" s="117">
        <v>992</v>
      </c>
      <c r="E101" s="117"/>
      <c r="F101" s="118"/>
      <c r="G101" t="str">
        <f t="shared" si="1"/>
        <v>February</v>
      </c>
    </row>
    <row r="102" spans="1:7">
      <c r="A102" s="117" t="s">
        <v>832</v>
      </c>
      <c r="B102" s="154" t="s">
        <v>653</v>
      </c>
      <c r="C102" s="153">
        <v>45714</v>
      </c>
      <c r="D102" s="117"/>
      <c r="E102" s="117"/>
      <c r="F102" s="118"/>
      <c r="G102" t="str">
        <f t="shared" si="1"/>
        <v>February</v>
      </c>
    </row>
    <row r="103" spans="1:7">
      <c r="A103" s="117" t="s">
        <v>663</v>
      </c>
      <c r="B103" s="154" t="s">
        <v>653</v>
      </c>
      <c r="C103" s="153">
        <v>45714</v>
      </c>
      <c r="D103" s="117">
        <v>400</v>
      </c>
      <c r="E103" s="117"/>
      <c r="F103" s="118" t="s">
        <v>1172</v>
      </c>
      <c r="G103" t="str">
        <f t="shared" si="1"/>
        <v>February</v>
      </c>
    </row>
    <row r="104" spans="1:7">
      <c r="A104" s="117" t="s">
        <v>712</v>
      </c>
      <c r="B104" s="210" t="s">
        <v>657</v>
      </c>
      <c r="C104" s="153">
        <v>45714</v>
      </c>
      <c r="D104" s="117"/>
      <c r="E104" s="117"/>
      <c r="F104" s="118"/>
      <c r="G104" t="str">
        <f t="shared" si="1"/>
        <v>February</v>
      </c>
    </row>
    <row r="105" spans="1:7" ht="15.75">
      <c r="A105" s="117" t="s">
        <v>829</v>
      </c>
      <c r="B105" s="242" t="s">
        <v>128</v>
      </c>
      <c r="C105" s="153">
        <v>45714</v>
      </c>
      <c r="D105" s="117">
        <v>1540</v>
      </c>
      <c r="E105" s="117"/>
      <c r="F105" s="118" t="s">
        <v>1187</v>
      </c>
      <c r="G105" t="str">
        <f t="shared" si="1"/>
        <v>February</v>
      </c>
    </row>
    <row r="106" spans="1:7">
      <c r="A106" s="117" t="s">
        <v>660</v>
      </c>
      <c r="B106" s="244" t="s">
        <v>657</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656</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666</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667</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671</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653</v>
      </c>
      <c r="C117" s="122">
        <v>45715</v>
      </c>
      <c r="D117" s="118">
        <v>437</v>
      </c>
      <c r="E117" s="118"/>
      <c r="F117" s="118" t="s">
        <v>1190</v>
      </c>
      <c r="G117" t="str">
        <f t="shared" si="1"/>
        <v>February</v>
      </c>
    </row>
    <row r="118" spans="1:7">
      <c r="A118" s="117" t="s">
        <v>670</v>
      </c>
      <c r="B118" s="244" t="s">
        <v>671</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128</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128</v>
      </c>
      <c r="C125" s="122">
        <v>45715</v>
      </c>
      <c r="D125" s="118"/>
      <c r="E125" s="118"/>
      <c r="F125" s="134" t="s">
        <v>1191</v>
      </c>
      <c r="G125" t="str">
        <f t="shared" si="1"/>
        <v>February</v>
      </c>
    </row>
    <row r="126" spans="1:7">
      <c r="A126" s="117" t="s">
        <v>774</v>
      </c>
      <c r="B126" s="244" t="s">
        <v>657</v>
      </c>
      <c r="C126" s="122">
        <v>45715</v>
      </c>
      <c r="D126" s="118"/>
      <c r="E126" s="118"/>
      <c r="F126" s="134" t="s">
        <v>1192</v>
      </c>
      <c r="G126" t="str">
        <f t="shared" si="1"/>
        <v>February</v>
      </c>
    </row>
    <row r="127" spans="1:7" ht="15.75">
      <c r="A127" s="117" t="s">
        <v>836</v>
      </c>
      <c r="B127" s="242" t="s">
        <v>128</v>
      </c>
      <c r="C127" s="122">
        <v>45715</v>
      </c>
      <c r="D127" s="118">
        <v>1422</v>
      </c>
      <c r="E127" s="118"/>
      <c r="F127" s="134" t="s">
        <v>1181</v>
      </c>
      <c r="G127" t="str">
        <f t="shared" si="1"/>
        <v>February</v>
      </c>
    </row>
    <row r="128" spans="1:7">
      <c r="A128" s="117" t="s">
        <v>833</v>
      </c>
      <c r="B128" s="243" t="s">
        <v>140</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671</v>
      </c>
      <c r="C130" s="122">
        <v>45715</v>
      </c>
      <c r="D130" s="118"/>
      <c r="E130" s="118"/>
      <c r="F130" s="134" t="s">
        <v>1192</v>
      </c>
      <c r="G130" t="str">
        <f t="shared" si="1"/>
        <v>February</v>
      </c>
    </row>
    <row r="131" spans="1:7" ht="15.75">
      <c r="A131" s="117" t="s">
        <v>748</v>
      </c>
      <c r="B131" s="242" t="s">
        <v>128</v>
      </c>
      <c r="C131" s="122">
        <v>45715</v>
      </c>
      <c r="D131" s="118"/>
      <c r="E131" s="118"/>
      <c r="F131" s="134" t="s">
        <v>1192</v>
      </c>
      <c r="G131" t="str">
        <f t="shared" ref="G131:G194" si="2">TEXT(C131,"mmmm")</f>
        <v>February</v>
      </c>
    </row>
    <row r="132" spans="1:7">
      <c r="A132" s="117" t="s">
        <v>911</v>
      </c>
      <c r="B132" s="244" t="s">
        <v>657</v>
      </c>
      <c r="C132" s="122">
        <v>45715</v>
      </c>
      <c r="D132" s="118">
        <v>513</v>
      </c>
      <c r="E132" s="118"/>
      <c r="F132" s="134" t="s">
        <v>1165</v>
      </c>
      <c r="G132" t="str">
        <f t="shared" si="2"/>
        <v>February</v>
      </c>
    </row>
    <row r="133" spans="1:7">
      <c r="A133" s="117" t="s">
        <v>832</v>
      </c>
      <c r="B133" s="154" t="s">
        <v>653</v>
      </c>
      <c r="C133" s="122">
        <v>45715</v>
      </c>
      <c r="D133" s="118"/>
      <c r="E133" s="118"/>
      <c r="F133" s="134" t="s">
        <v>1192</v>
      </c>
      <c r="G133" t="str">
        <f t="shared" si="2"/>
        <v>February</v>
      </c>
    </row>
    <row r="134" spans="1:7">
      <c r="A134" s="117" t="s">
        <v>663</v>
      </c>
      <c r="B134" s="154" t="s">
        <v>653</v>
      </c>
      <c r="C134" s="122">
        <v>45715</v>
      </c>
      <c r="D134" s="118"/>
      <c r="E134" s="118"/>
      <c r="F134" s="134" t="s">
        <v>1192</v>
      </c>
      <c r="G134" t="str">
        <f t="shared" si="2"/>
        <v>February</v>
      </c>
    </row>
    <row r="135" spans="1:7">
      <c r="A135" s="117" t="s">
        <v>712</v>
      </c>
      <c r="B135" s="210" t="s">
        <v>657</v>
      </c>
      <c r="C135" s="122">
        <v>45715</v>
      </c>
      <c r="D135" s="118"/>
      <c r="E135" s="118"/>
      <c r="F135" s="134" t="s">
        <v>1192</v>
      </c>
      <c r="G135" t="str">
        <f t="shared" si="2"/>
        <v>February</v>
      </c>
    </row>
    <row r="136" spans="1:7" ht="15.75">
      <c r="A136" s="117" t="s">
        <v>829</v>
      </c>
      <c r="B136" s="242" t="s">
        <v>128</v>
      </c>
      <c r="C136" s="122">
        <v>45715</v>
      </c>
      <c r="D136" s="118">
        <v>1360</v>
      </c>
      <c r="E136" s="118"/>
      <c r="F136" s="134" t="s">
        <v>1173</v>
      </c>
      <c r="G136" t="str">
        <f t="shared" si="2"/>
        <v>February</v>
      </c>
    </row>
    <row r="137" spans="1:7">
      <c r="A137" s="117" t="s">
        <v>660</v>
      </c>
      <c r="B137" s="244" t="s">
        <v>657</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656</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666</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667</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671</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653</v>
      </c>
      <c r="C148" s="122">
        <v>45716</v>
      </c>
      <c r="D148" s="123" t="s">
        <v>1192</v>
      </c>
      <c r="E148" s="123"/>
      <c r="F148" s="118"/>
      <c r="G148" t="str">
        <f t="shared" si="2"/>
        <v>February</v>
      </c>
    </row>
    <row r="149" spans="1:7">
      <c r="A149" s="117" t="s">
        <v>670</v>
      </c>
      <c r="B149" s="244" t="s">
        <v>671</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128</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128</v>
      </c>
      <c r="C156" s="122">
        <v>45716</v>
      </c>
      <c r="D156" s="123" t="s">
        <v>1192</v>
      </c>
      <c r="E156" s="123"/>
      <c r="F156" s="118"/>
      <c r="G156" t="str">
        <f t="shared" si="2"/>
        <v>February</v>
      </c>
    </row>
    <row r="157" spans="1:7">
      <c r="A157" s="117" t="s">
        <v>774</v>
      </c>
      <c r="B157" s="244" t="s">
        <v>657</v>
      </c>
      <c r="C157" s="122">
        <v>45716</v>
      </c>
      <c r="D157" s="123" t="s">
        <v>1192</v>
      </c>
      <c r="E157" s="123"/>
      <c r="F157" s="118"/>
      <c r="G157" t="str">
        <f t="shared" si="2"/>
        <v>February</v>
      </c>
    </row>
    <row r="158" spans="1:7" ht="15.75">
      <c r="A158" s="117" t="s">
        <v>836</v>
      </c>
      <c r="B158" s="242" t="s">
        <v>128</v>
      </c>
      <c r="C158" s="122">
        <v>45716</v>
      </c>
      <c r="D158" s="123">
        <v>946</v>
      </c>
      <c r="E158" s="123"/>
      <c r="F158" s="109" t="s">
        <v>1173</v>
      </c>
      <c r="G158" t="str">
        <f t="shared" si="2"/>
        <v>February</v>
      </c>
    </row>
    <row r="159" spans="1:7">
      <c r="A159" s="117" t="s">
        <v>833</v>
      </c>
      <c r="B159" s="243" t="s">
        <v>140</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671</v>
      </c>
      <c r="C161" s="122">
        <v>45716</v>
      </c>
      <c r="D161" s="123">
        <v>54</v>
      </c>
      <c r="E161" s="123"/>
      <c r="F161" s="109" t="s">
        <v>1195</v>
      </c>
      <c r="G161" t="str">
        <f t="shared" si="2"/>
        <v>February</v>
      </c>
    </row>
    <row r="162" spans="1:7" ht="15.75">
      <c r="A162" s="117" t="s">
        <v>748</v>
      </c>
      <c r="B162" s="242" t="s">
        <v>128</v>
      </c>
      <c r="C162" s="122">
        <v>45716</v>
      </c>
      <c r="D162" s="123" t="s">
        <v>1192</v>
      </c>
      <c r="E162" s="123"/>
      <c r="F162" s="118"/>
      <c r="G162" t="str">
        <f t="shared" si="2"/>
        <v>February</v>
      </c>
    </row>
    <row r="163" spans="1:7">
      <c r="A163" s="117" t="s">
        <v>911</v>
      </c>
      <c r="B163" s="244" t="s">
        <v>657</v>
      </c>
      <c r="C163" s="122">
        <v>45716</v>
      </c>
      <c r="D163" s="123" t="s">
        <v>1192</v>
      </c>
      <c r="E163" s="123"/>
      <c r="F163" s="118"/>
      <c r="G163" t="str">
        <f t="shared" si="2"/>
        <v>February</v>
      </c>
    </row>
    <row r="164" spans="1:7">
      <c r="A164" s="117" t="s">
        <v>832</v>
      </c>
      <c r="B164" s="154" t="s">
        <v>653</v>
      </c>
      <c r="C164" s="122">
        <v>45716</v>
      </c>
      <c r="D164" s="123">
        <v>886</v>
      </c>
      <c r="E164" s="123"/>
      <c r="F164" s="118" t="s">
        <v>1177</v>
      </c>
      <c r="G164" t="str">
        <f t="shared" si="2"/>
        <v>February</v>
      </c>
    </row>
    <row r="165" spans="1:7">
      <c r="A165" s="117" t="s">
        <v>663</v>
      </c>
      <c r="B165" s="154" t="s">
        <v>653</v>
      </c>
      <c r="C165" s="122">
        <v>45716</v>
      </c>
      <c r="D165" s="123">
        <v>384</v>
      </c>
      <c r="E165" s="123"/>
      <c r="F165" s="118" t="s">
        <v>1175</v>
      </c>
      <c r="G165" t="str">
        <f t="shared" si="2"/>
        <v>February</v>
      </c>
    </row>
    <row r="166" spans="1:7">
      <c r="A166" s="117" t="s">
        <v>712</v>
      </c>
      <c r="B166" s="210" t="s">
        <v>657</v>
      </c>
      <c r="C166" s="122">
        <v>45716</v>
      </c>
      <c r="D166" s="123" t="s">
        <v>1192</v>
      </c>
      <c r="E166" s="123"/>
      <c r="F166" s="118"/>
      <c r="G166" t="str">
        <f t="shared" si="2"/>
        <v>February</v>
      </c>
    </row>
    <row r="167" spans="1:7" ht="15.75">
      <c r="A167" s="117" t="s">
        <v>829</v>
      </c>
      <c r="B167" s="242" t="s">
        <v>128</v>
      </c>
      <c r="C167" s="122">
        <v>45716</v>
      </c>
      <c r="D167" s="123" t="s">
        <v>1192</v>
      </c>
      <c r="E167" s="123"/>
      <c r="F167" s="118"/>
      <c r="G167" t="str">
        <f t="shared" si="2"/>
        <v>February</v>
      </c>
    </row>
    <row r="168" spans="1:7">
      <c r="A168" s="117" t="s">
        <v>660</v>
      </c>
      <c r="B168" s="244" t="s">
        <v>657</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656</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666</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667</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671</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653</v>
      </c>
      <c r="C179" s="122">
        <v>45719</v>
      </c>
      <c r="D179" s="123" t="s">
        <v>1192</v>
      </c>
      <c r="E179" s="123"/>
      <c r="F179" s="118"/>
      <c r="G179" t="str">
        <f t="shared" si="2"/>
        <v>March</v>
      </c>
    </row>
    <row r="180" spans="1:7">
      <c r="A180" s="117" t="s">
        <v>670</v>
      </c>
      <c r="B180" s="244" t="s">
        <v>671</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128</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128</v>
      </c>
      <c r="C187" s="122">
        <v>45719</v>
      </c>
      <c r="D187" s="123" t="s">
        <v>1192</v>
      </c>
      <c r="E187" s="123"/>
      <c r="F187" s="118"/>
      <c r="G187" t="str">
        <f t="shared" si="2"/>
        <v>March</v>
      </c>
    </row>
    <row r="188" spans="1:7">
      <c r="A188" s="117" t="s">
        <v>774</v>
      </c>
      <c r="B188" s="244" t="s">
        <v>657</v>
      </c>
      <c r="C188" s="122">
        <v>45719</v>
      </c>
      <c r="D188" s="123" t="s">
        <v>1192</v>
      </c>
      <c r="E188" s="123"/>
      <c r="F188" s="118"/>
      <c r="G188" t="str">
        <f t="shared" si="2"/>
        <v>March</v>
      </c>
    </row>
    <row r="189" spans="1:7" ht="15.75">
      <c r="A189" s="117" t="s">
        <v>836</v>
      </c>
      <c r="B189" s="242" t="s">
        <v>128</v>
      </c>
      <c r="C189" s="122">
        <v>45719</v>
      </c>
      <c r="D189" s="123" t="s">
        <v>1192</v>
      </c>
      <c r="E189" s="123"/>
      <c r="F189" s="118"/>
      <c r="G189" t="str">
        <f t="shared" si="2"/>
        <v>March</v>
      </c>
    </row>
    <row r="190" spans="1:7">
      <c r="A190" s="117" t="s">
        <v>833</v>
      </c>
      <c r="B190" s="243" t="s">
        <v>140</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671</v>
      </c>
      <c r="C192" s="122">
        <v>45719</v>
      </c>
      <c r="D192" s="123" t="s">
        <v>1192</v>
      </c>
      <c r="E192" s="123"/>
      <c r="F192" s="118"/>
      <c r="G192" t="str">
        <f t="shared" si="2"/>
        <v>March</v>
      </c>
    </row>
    <row r="193" spans="1:7" ht="15.75">
      <c r="A193" s="117" t="s">
        <v>748</v>
      </c>
      <c r="B193" s="242" t="s">
        <v>128</v>
      </c>
      <c r="C193" s="122">
        <v>45719</v>
      </c>
      <c r="D193" s="123" t="s">
        <v>1192</v>
      </c>
      <c r="E193" s="123"/>
      <c r="F193" s="118"/>
      <c r="G193" t="str">
        <f t="shared" si="2"/>
        <v>March</v>
      </c>
    </row>
    <row r="194" spans="1:7">
      <c r="A194" s="117" t="s">
        <v>911</v>
      </c>
      <c r="B194" s="244" t="s">
        <v>657</v>
      </c>
      <c r="C194" s="122">
        <v>45719</v>
      </c>
      <c r="D194" s="123" t="s">
        <v>1192</v>
      </c>
      <c r="E194" s="123"/>
      <c r="F194" s="118"/>
      <c r="G194" t="str">
        <f t="shared" si="2"/>
        <v>March</v>
      </c>
    </row>
    <row r="195" spans="1:7">
      <c r="A195" s="117" t="s">
        <v>832</v>
      </c>
      <c r="B195" s="154" t="s">
        <v>653</v>
      </c>
      <c r="C195" s="122">
        <v>45719</v>
      </c>
      <c r="D195" s="123">
        <v>134</v>
      </c>
      <c r="E195" s="123"/>
      <c r="F195" s="118"/>
      <c r="G195" t="str">
        <f t="shared" ref="G195:G258" si="3">TEXT(C195,"mmmm")</f>
        <v>March</v>
      </c>
    </row>
    <row r="196" spans="1:7">
      <c r="A196" s="117" t="s">
        <v>663</v>
      </c>
      <c r="B196" s="154" t="s">
        <v>653</v>
      </c>
      <c r="C196" s="122">
        <v>45719</v>
      </c>
      <c r="D196" s="123"/>
      <c r="E196" s="123"/>
      <c r="F196" s="123" t="s">
        <v>1182</v>
      </c>
      <c r="G196" t="str">
        <f t="shared" si="3"/>
        <v>March</v>
      </c>
    </row>
    <row r="197" spans="1:7">
      <c r="A197" s="117" t="s">
        <v>712</v>
      </c>
      <c r="B197" s="210" t="s">
        <v>657</v>
      </c>
      <c r="C197" s="122">
        <v>45719</v>
      </c>
      <c r="D197" s="123" t="s">
        <v>1192</v>
      </c>
      <c r="E197" s="123"/>
      <c r="F197" s="118"/>
      <c r="G197" t="str">
        <f t="shared" si="3"/>
        <v>March</v>
      </c>
    </row>
    <row r="198" spans="1:7" ht="15.75">
      <c r="A198" s="117" t="s">
        <v>829</v>
      </c>
      <c r="B198" s="242" t="s">
        <v>128</v>
      </c>
      <c r="C198" s="122">
        <v>45719</v>
      </c>
      <c r="D198" s="150">
        <v>1460</v>
      </c>
      <c r="E198" s="150"/>
      <c r="F198" s="109" t="s">
        <v>1171</v>
      </c>
      <c r="G198" t="str">
        <f t="shared" si="3"/>
        <v>March</v>
      </c>
    </row>
    <row r="199" spans="1:7">
      <c r="A199" s="117" t="s">
        <v>660</v>
      </c>
      <c r="B199" s="244" t="s">
        <v>657</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656</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666</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667</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128</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140</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653</v>
      </c>
      <c r="C216" s="122">
        <v>45720</v>
      </c>
      <c r="D216" s="123">
        <v>408</v>
      </c>
      <c r="E216" s="123"/>
      <c r="F216" s="118" t="s">
        <v>1185</v>
      </c>
      <c r="G216" t="str">
        <f t="shared" si="3"/>
        <v>March</v>
      </c>
    </row>
    <row r="217" spans="1:8">
      <c r="A217" s="117" t="s">
        <v>663</v>
      </c>
      <c r="B217" s="154" t="s">
        <v>653</v>
      </c>
      <c r="C217" s="122">
        <v>45720</v>
      </c>
      <c r="D217" s="123">
        <v>840</v>
      </c>
      <c r="E217" s="123"/>
      <c r="F217" s="109" t="s">
        <v>1201</v>
      </c>
      <c r="G217" t="str">
        <f t="shared" si="3"/>
        <v>March</v>
      </c>
    </row>
    <row r="218" spans="1:8" ht="15.75">
      <c r="A218" s="117" t="s">
        <v>829</v>
      </c>
      <c r="B218" s="242" t="s">
        <v>128</v>
      </c>
      <c r="C218" s="122">
        <v>45720</v>
      </c>
      <c r="D218" s="123">
        <v>970</v>
      </c>
      <c r="E218" s="123"/>
      <c r="F218" s="109" t="s">
        <v>1173</v>
      </c>
      <c r="G218" t="str">
        <f t="shared" si="3"/>
        <v>March</v>
      </c>
    </row>
    <row r="219" spans="1:8">
      <c r="A219" s="117" t="s">
        <v>902</v>
      </c>
      <c r="B219" s="141" t="s">
        <v>667</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128</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671</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653</v>
      </c>
      <c r="C228" s="122">
        <v>45721</v>
      </c>
      <c r="D228" s="123">
        <v>0</v>
      </c>
      <c r="E228" s="123"/>
      <c r="F228" s="118"/>
      <c r="G228" t="str">
        <f t="shared" si="3"/>
        <v>March</v>
      </c>
    </row>
    <row r="229" spans="1:7">
      <c r="A229" s="117" t="s">
        <v>670</v>
      </c>
      <c r="B229" s="244" t="s">
        <v>671</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128</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128</v>
      </c>
      <c r="C236" s="122">
        <v>45721</v>
      </c>
      <c r="D236" s="123">
        <v>0</v>
      </c>
      <c r="E236" s="123"/>
      <c r="F236" s="118"/>
      <c r="G236" t="str">
        <f t="shared" si="3"/>
        <v>March</v>
      </c>
    </row>
    <row r="237" spans="1:7">
      <c r="A237" s="117" t="s">
        <v>774</v>
      </c>
      <c r="B237" s="244" t="s">
        <v>657</v>
      </c>
      <c r="C237" s="122">
        <v>45721</v>
      </c>
      <c r="D237" s="123">
        <v>32</v>
      </c>
      <c r="E237" s="123"/>
      <c r="F237" s="118"/>
      <c r="G237" t="str">
        <f t="shared" si="3"/>
        <v>March</v>
      </c>
    </row>
    <row r="238" spans="1:7" ht="15.75">
      <c r="A238" s="117" t="s">
        <v>836</v>
      </c>
      <c r="B238" s="242" t="s">
        <v>128</v>
      </c>
      <c r="C238" s="122">
        <v>45721</v>
      </c>
      <c r="D238" s="123">
        <v>0</v>
      </c>
      <c r="E238" s="123"/>
      <c r="F238" s="118"/>
      <c r="G238" t="str">
        <f t="shared" si="3"/>
        <v>March</v>
      </c>
    </row>
    <row r="239" spans="1:7">
      <c r="A239" s="117" t="s">
        <v>833</v>
      </c>
      <c r="B239" s="243" t="s">
        <v>140</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671</v>
      </c>
      <c r="C241" s="122">
        <v>45721</v>
      </c>
      <c r="D241" s="123">
        <v>0</v>
      </c>
      <c r="E241" s="123"/>
      <c r="F241" s="118"/>
      <c r="G241" t="str">
        <f t="shared" si="3"/>
        <v>March</v>
      </c>
    </row>
    <row r="242" spans="1:7" ht="15.75">
      <c r="A242" s="117" t="s">
        <v>748</v>
      </c>
      <c r="B242" s="242" t="s">
        <v>128</v>
      </c>
      <c r="C242" s="122">
        <v>45721</v>
      </c>
      <c r="D242" s="123">
        <v>0</v>
      </c>
      <c r="E242" s="123"/>
      <c r="F242" s="118"/>
      <c r="G242" t="str">
        <f t="shared" si="3"/>
        <v>March</v>
      </c>
    </row>
    <row r="243" spans="1:7">
      <c r="A243" s="117" t="s">
        <v>911</v>
      </c>
      <c r="B243" s="244" t="s">
        <v>657</v>
      </c>
      <c r="C243" s="122">
        <v>45721</v>
      </c>
      <c r="D243" s="123">
        <v>0</v>
      </c>
      <c r="E243" s="123"/>
      <c r="F243" s="118"/>
      <c r="G243" t="str">
        <f t="shared" si="3"/>
        <v>March</v>
      </c>
    </row>
    <row r="244" spans="1:7">
      <c r="A244" s="117" t="s">
        <v>832</v>
      </c>
      <c r="B244" s="154" t="s">
        <v>653</v>
      </c>
      <c r="C244" s="122">
        <v>45721</v>
      </c>
      <c r="D244" s="123">
        <v>452</v>
      </c>
      <c r="E244" s="123"/>
      <c r="F244" s="109" t="s">
        <v>1204</v>
      </c>
      <c r="G244" t="str">
        <f t="shared" si="3"/>
        <v>March</v>
      </c>
    </row>
    <row r="245" spans="1:7">
      <c r="A245" s="117" t="s">
        <v>663</v>
      </c>
      <c r="B245" s="154" t="s">
        <v>653</v>
      </c>
      <c r="C245" s="122">
        <v>45721</v>
      </c>
      <c r="D245" s="123">
        <v>0</v>
      </c>
      <c r="E245" s="123"/>
      <c r="F245" s="118"/>
      <c r="G245" t="str">
        <f t="shared" si="3"/>
        <v>March</v>
      </c>
    </row>
    <row r="246" spans="1:7">
      <c r="A246" s="117" t="s">
        <v>712</v>
      </c>
      <c r="B246" s="210" t="s">
        <v>657</v>
      </c>
      <c r="C246" s="122">
        <v>45721</v>
      </c>
      <c r="D246" s="123">
        <v>0</v>
      </c>
      <c r="E246" s="123"/>
      <c r="F246" s="118"/>
      <c r="G246" t="str">
        <f t="shared" si="3"/>
        <v>March</v>
      </c>
    </row>
    <row r="247" spans="1:7" ht="15.75">
      <c r="A247" s="117" t="s">
        <v>829</v>
      </c>
      <c r="B247" s="242" t="s">
        <v>128</v>
      </c>
      <c r="C247" s="122">
        <v>45721</v>
      </c>
      <c r="D247" s="123">
        <v>430</v>
      </c>
      <c r="E247" s="123"/>
      <c r="F247" s="109" t="s">
        <v>1205</v>
      </c>
      <c r="G247" t="str">
        <f t="shared" si="3"/>
        <v>March</v>
      </c>
    </row>
    <row r="248" spans="1:7">
      <c r="A248" s="117" t="s">
        <v>660</v>
      </c>
      <c r="B248" s="244" t="s">
        <v>657</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656</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666</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667</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128</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128</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671</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653</v>
      </c>
      <c r="C265" s="122">
        <v>45722</v>
      </c>
      <c r="D265" s="134">
        <v>0</v>
      </c>
      <c r="E265" s="134"/>
      <c r="F265" s="118"/>
      <c r="G265" t="str">
        <f t="shared" si="4"/>
        <v>March</v>
      </c>
    </row>
    <row r="266" spans="1:7">
      <c r="A266" s="117" t="s">
        <v>670</v>
      </c>
      <c r="B266" s="244" t="s">
        <v>671</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128</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128</v>
      </c>
      <c r="C273" s="122">
        <v>45722</v>
      </c>
      <c r="D273" s="134">
        <v>0</v>
      </c>
      <c r="E273" s="134"/>
      <c r="F273" s="118"/>
      <c r="G273" t="str">
        <f t="shared" si="4"/>
        <v>March</v>
      </c>
    </row>
    <row r="274" spans="1:7">
      <c r="A274" s="117" t="s">
        <v>774</v>
      </c>
      <c r="B274" s="244" t="s">
        <v>657</v>
      </c>
      <c r="C274" s="122">
        <v>45722</v>
      </c>
      <c r="D274" s="134">
        <v>85</v>
      </c>
      <c r="E274" s="134"/>
      <c r="F274" s="118"/>
      <c r="G274" t="str">
        <f t="shared" si="4"/>
        <v>March</v>
      </c>
    </row>
    <row r="275" spans="1:7" ht="15.75">
      <c r="A275" s="117" t="s">
        <v>836</v>
      </c>
      <c r="B275" s="242" t="s">
        <v>128</v>
      </c>
      <c r="C275" s="122">
        <v>45722</v>
      </c>
      <c r="D275" s="134">
        <v>0</v>
      </c>
      <c r="E275" s="134"/>
      <c r="F275" s="118"/>
      <c r="G275" t="str">
        <f t="shared" si="4"/>
        <v>March</v>
      </c>
    </row>
    <row r="276" spans="1:7">
      <c r="A276" s="117" t="s">
        <v>833</v>
      </c>
      <c r="B276" s="243" t="s">
        <v>140</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671</v>
      </c>
      <c r="C278" s="122">
        <v>45722</v>
      </c>
      <c r="D278" s="134">
        <v>0</v>
      </c>
      <c r="E278" s="134"/>
      <c r="F278" s="118"/>
      <c r="G278" t="str">
        <f t="shared" si="4"/>
        <v>March</v>
      </c>
    </row>
    <row r="279" spans="1:7" ht="15.75">
      <c r="A279" s="117" t="s">
        <v>748</v>
      </c>
      <c r="B279" s="242" t="s">
        <v>128</v>
      </c>
      <c r="C279" s="122">
        <v>45722</v>
      </c>
      <c r="D279" s="134">
        <v>0</v>
      </c>
      <c r="E279" s="134"/>
      <c r="F279" s="118"/>
      <c r="G279" t="str">
        <f t="shared" si="4"/>
        <v>March</v>
      </c>
    </row>
    <row r="280" spans="1:7">
      <c r="A280" s="117" t="s">
        <v>911</v>
      </c>
      <c r="B280" s="244" t="s">
        <v>657</v>
      </c>
      <c r="C280" s="122">
        <v>45722</v>
      </c>
      <c r="D280" s="134">
        <v>0</v>
      </c>
      <c r="E280" s="134"/>
      <c r="F280" s="118"/>
      <c r="G280" t="str">
        <f t="shared" si="4"/>
        <v>March</v>
      </c>
    </row>
    <row r="281" spans="1:7">
      <c r="A281" s="117" t="s">
        <v>832</v>
      </c>
      <c r="B281" s="154" t="s">
        <v>653</v>
      </c>
      <c r="C281" s="122">
        <v>45722</v>
      </c>
      <c r="D281" s="134">
        <v>0</v>
      </c>
      <c r="E281" s="134"/>
      <c r="F281" s="118"/>
      <c r="G281" t="str">
        <f t="shared" si="4"/>
        <v>March</v>
      </c>
    </row>
    <row r="282" spans="1:7">
      <c r="A282" s="117" t="s">
        <v>663</v>
      </c>
      <c r="B282" s="154" t="s">
        <v>653</v>
      </c>
      <c r="C282" s="122">
        <v>45722</v>
      </c>
      <c r="D282" s="134">
        <v>0</v>
      </c>
      <c r="E282" s="134"/>
      <c r="F282" s="118"/>
      <c r="G282" t="str">
        <f t="shared" si="4"/>
        <v>March</v>
      </c>
    </row>
    <row r="283" spans="1:7">
      <c r="A283" s="117" t="s">
        <v>712</v>
      </c>
      <c r="B283" s="210" t="s">
        <v>657</v>
      </c>
      <c r="C283" s="122">
        <v>45722</v>
      </c>
      <c r="D283" s="134">
        <v>0</v>
      </c>
      <c r="E283" s="134"/>
      <c r="F283" s="118"/>
      <c r="G283" t="str">
        <f t="shared" si="4"/>
        <v>March</v>
      </c>
    </row>
    <row r="284" spans="1:7" ht="15.75">
      <c r="A284" s="117" t="s">
        <v>829</v>
      </c>
      <c r="B284" s="242" t="s">
        <v>128</v>
      </c>
      <c r="C284" s="122">
        <v>45722</v>
      </c>
      <c r="D284" s="134">
        <v>0</v>
      </c>
      <c r="E284" s="134"/>
      <c r="F284" s="118"/>
      <c r="G284" t="str">
        <f t="shared" si="4"/>
        <v>March</v>
      </c>
    </row>
    <row r="285" spans="1:7">
      <c r="A285" s="117" t="s">
        <v>660</v>
      </c>
      <c r="B285" s="244" t="s">
        <v>657</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656</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666</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667</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128</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128</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653</v>
      </c>
      <c r="C299" s="122">
        <v>45722</v>
      </c>
      <c r="D299" s="134">
        <v>884</v>
      </c>
      <c r="E299" s="134"/>
      <c r="F299" s="134" t="s">
        <v>1213</v>
      </c>
      <c r="G299" t="str">
        <f t="shared" si="4"/>
        <v>March</v>
      </c>
    </row>
    <row r="300" spans="1:7" ht="15.75">
      <c r="A300" s="118" t="s">
        <v>714</v>
      </c>
      <c r="B300" s="242" t="s">
        <v>128</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671</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653</v>
      </c>
      <c r="C305" s="56">
        <v>45723</v>
      </c>
      <c r="D305" s="134">
        <v>0</v>
      </c>
      <c r="E305" s="134"/>
      <c r="G305" t="str">
        <f t="shared" si="4"/>
        <v>March</v>
      </c>
    </row>
    <row r="306" spans="1:7">
      <c r="A306" s="117" t="s">
        <v>670</v>
      </c>
      <c r="B306" s="244" t="s">
        <v>671</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128</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128</v>
      </c>
      <c r="C313" s="56">
        <v>45723</v>
      </c>
      <c r="D313" s="134">
        <v>0</v>
      </c>
      <c r="E313" s="134"/>
      <c r="G313" t="str">
        <f t="shared" si="4"/>
        <v>March</v>
      </c>
    </row>
    <row r="314" spans="1:7">
      <c r="A314" s="117" t="s">
        <v>774</v>
      </c>
      <c r="B314" s="244" t="s">
        <v>657</v>
      </c>
      <c r="C314" s="56">
        <v>45723</v>
      </c>
      <c r="D314" s="134">
        <v>0</v>
      </c>
      <c r="E314" s="134"/>
      <c r="G314" t="str">
        <f t="shared" si="4"/>
        <v>March</v>
      </c>
    </row>
    <row r="315" spans="1:7" ht="15.75">
      <c r="A315" s="117" t="s">
        <v>836</v>
      </c>
      <c r="B315" s="242" t="s">
        <v>128</v>
      </c>
      <c r="C315" s="56">
        <v>45723</v>
      </c>
      <c r="D315" s="134">
        <v>0</v>
      </c>
      <c r="E315" s="134"/>
      <c r="G315" t="str">
        <f t="shared" si="4"/>
        <v>March</v>
      </c>
    </row>
    <row r="316" spans="1:7">
      <c r="A316" s="117" t="s">
        <v>833</v>
      </c>
      <c r="B316" s="243" t="s">
        <v>140</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671</v>
      </c>
      <c r="C318" s="56">
        <v>45723</v>
      </c>
      <c r="D318" s="134">
        <v>0</v>
      </c>
      <c r="E318" s="134"/>
      <c r="G318" t="str">
        <f t="shared" si="4"/>
        <v>March</v>
      </c>
    </row>
    <row r="319" spans="1:7" ht="15.75">
      <c r="A319" s="117" t="s">
        <v>748</v>
      </c>
      <c r="B319" s="242" t="s">
        <v>128</v>
      </c>
      <c r="C319" s="56">
        <v>45723</v>
      </c>
      <c r="D319" s="134">
        <v>0</v>
      </c>
      <c r="E319" s="134"/>
      <c r="G319" t="str">
        <f t="shared" si="4"/>
        <v>March</v>
      </c>
    </row>
    <row r="320" spans="1:7">
      <c r="A320" s="117" t="s">
        <v>911</v>
      </c>
      <c r="B320" s="244" t="s">
        <v>657</v>
      </c>
      <c r="C320" s="56">
        <v>45723</v>
      </c>
      <c r="D320" s="134">
        <v>201</v>
      </c>
      <c r="E320" s="134"/>
      <c r="F320" s="134" t="s">
        <v>1215</v>
      </c>
      <c r="G320" t="str">
        <f t="shared" si="4"/>
        <v>March</v>
      </c>
    </row>
    <row r="321" spans="1:7">
      <c r="A321" s="117" t="s">
        <v>832</v>
      </c>
      <c r="B321" s="154" t="s">
        <v>653</v>
      </c>
      <c r="C321" s="56">
        <v>45723</v>
      </c>
      <c r="D321" s="134">
        <v>875</v>
      </c>
      <c r="E321" s="134"/>
      <c r="F321" s="134" t="s">
        <v>1216</v>
      </c>
      <c r="G321" t="str">
        <f t="shared" si="4"/>
        <v>March</v>
      </c>
    </row>
    <row r="322" spans="1:7">
      <c r="A322" s="117" t="s">
        <v>663</v>
      </c>
      <c r="B322" s="154" t="s">
        <v>653</v>
      </c>
      <c r="C322" s="56">
        <v>45723</v>
      </c>
      <c r="D322" s="134">
        <v>0</v>
      </c>
      <c r="E322" s="134"/>
      <c r="G322" t="str">
        <f t="shared" si="4"/>
        <v>March</v>
      </c>
    </row>
    <row r="323" spans="1:7">
      <c r="A323" s="117" t="s">
        <v>712</v>
      </c>
      <c r="B323" s="210" t="s">
        <v>657</v>
      </c>
      <c r="C323" s="56">
        <v>45723</v>
      </c>
      <c r="D323" s="134">
        <v>0</v>
      </c>
      <c r="E323" s="134"/>
      <c r="G323" t="str">
        <f t="shared" ref="G323:G386" si="5">TEXT(C323,"mmmm")</f>
        <v>March</v>
      </c>
    </row>
    <row r="324" spans="1:7" ht="15.75">
      <c r="A324" s="117" t="s">
        <v>829</v>
      </c>
      <c r="B324" s="242" t="s">
        <v>128</v>
      </c>
      <c r="C324" s="56">
        <v>45723</v>
      </c>
      <c r="D324" s="134">
        <v>0</v>
      </c>
      <c r="E324" s="134"/>
      <c r="F324" s="134" t="s">
        <v>1217</v>
      </c>
      <c r="G324" t="str">
        <f t="shared" si="5"/>
        <v>March</v>
      </c>
    </row>
    <row r="325" spans="1:7">
      <c r="A325" s="117" t="s">
        <v>660</v>
      </c>
      <c r="B325" s="244" t="s">
        <v>657</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656</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666</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667</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128</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128</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653</v>
      </c>
      <c r="C339" s="56">
        <v>45723</v>
      </c>
      <c r="D339" s="134">
        <v>738</v>
      </c>
      <c r="E339" s="134"/>
      <c r="F339" s="134" t="s">
        <v>1220</v>
      </c>
      <c r="G339" t="str">
        <f t="shared" si="5"/>
        <v>March</v>
      </c>
    </row>
    <row r="340" spans="1:7" ht="15.75">
      <c r="A340" s="118" t="s">
        <v>714</v>
      </c>
      <c r="B340" s="242" t="s">
        <v>128</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671</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653</v>
      </c>
      <c r="C346" s="56">
        <v>45726</v>
      </c>
      <c r="D346" s="134">
        <v>0</v>
      </c>
      <c r="E346" s="134"/>
      <c r="G346" t="str">
        <f t="shared" si="5"/>
        <v>March</v>
      </c>
    </row>
    <row r="347" spans="1:7">
      <c r="A347" s="117" t="s">
        <v>670</v>
      </c>
      <c r="B347" s="244" t="s">
        <v>671</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128</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128</v>
      </c>
      <c r="C354" s="56">
        <v>45726</v>
      </c>
      <c r="D354" s="134">
        <v>0</v>
      </c>
      <c r="E354" s="134"/>
      <c r="G354" t="str">
        <f t="shared" si="5"/>
        <v>March</v>
      </c>
    </row>
    <row r="355" spans="1:7">
      <c r="A355" s="117" t="s">
        <v>774</v>
      </c>
      <c r="B355" s="244" t="s">
        <v>657</v>
      </c>
      <c r="C355" s="56">
        <v>45726</v>
      </c>
      <c r="D355" s="134">
        <v>0</v>
      </c>
      <c r="E355" s="134"/>
      <c r="G355" t="str">
        <f t="shared" si="5"/>
        <v>March</v>
      </c>
    </row>
    <row r="356" spans="1:7" ht="15.75">
      <c r="A356" s="117" t="s">
        <v>836</v>
      </c>
      <c r="B356" s="242" t="s">
        <v>128</v>
      </c>
      <c r="C356" s="56">
        <v>45726</v>
      </c>
      <c r="D356" s="134">
        <v>0</v>
      </c>
      <c r="E356" s="134"/>
      <c r="G356" t="str">
        <f t="shared" si="5"/>
        <v>March</v>
      </c>
    </row>
    <row r="357" spans="1:7">
      <c r="A357" s="117" t="s">
        <v>833</v>
      </c>
      <c r="B357" s="243" t="s">
        <v>140</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671</v>
      </c>
      <c r="C359" s="56">
        <v>45726</v>
      </c>
      <c r="D359" s="134">
        <v>0</v>
      </c>
      <c r="E359" s="134"/>
      <c r="G359" t="str">
        <f t="shared" si="5"/>
        <v>March</v>
      </c>
    </row>
    <row r="360" spans="1:7" ht="15.75">
      <c r="A360" s="117" t="s">
        <v>748</v>
      </c>
      <c r="B360" s="242" t="s">
        <v>128</v>
      </c>
      <c r="C360" s="56">
        <v>45726</v>
      </c>
      <c r="D360" s="134">
        <v>0</v>
      </c>
      <c r="E360" s="134"/>
      <c r="G360" t="str">
        <f t="shared" si="5"/>
        <v>March</v>
      </c>
    </row>
    <row r="361" spans="1:7">
      <c r="A361" s="117" t="s">
        <v>911</v>
      </c>
      <c r="B361" s="244" t="s">
        <v>657</v>
      </c>
      <c r="C361" s="56">
        <v>45726</v>
      </c>
      <c r="D361" s="134">
        <v>0</v>
      </c>
      <c r="E361" s="134"/>
      <c r="G361" t="str">
        <f t="shared" si="5"/>
        <v>March</v>
      </c>
    </row>
    <row r="362" spans="1:7">
      <c r="A362" s="117" t="s">
        <v>832</v>
      </c>
      <c r="B362" s="154" t="s">
        <v>653</v>
      </c>
      <c r="C362" s="56">
        <v>45726</v>
      </c>
      <c r="D362" s="134">
        <v>0</v>
      </c>
      <c r="E362" s="134"/>
      <c r="G362" t="str">
        <f t="shared" si="5"/>
        <v>March</v>
      </c>
    </row>
    <row r="363" spans="1:7">
      <c r="A363" s="117" t="s">
        <v>663</v>
      </c>
      <c r="B363" s="154" t="s">
        <v>653</v>
      </c>
      <c r="C363" s="56">
        <v>45726</v>
      </c>
      <c r="D363" s="134">
        <v>0</v>
      </c>
      <c r="E363" s="134"/>
      <c r="G363" t="str">
        <f t="shared" si="5"/>
        <v>March</v>
      </c>
    </row>
    <row r="364" spans="1:7">
      <c r="A364" s="117" t="s">
        <v>712</v>
      </c>
      <c r="B364" s="210" t="s">
        <v>657</v>
      </c>
      <c r="C364" s="56">
        <v>45726</v>
      </c>
      <c r="D364" s="134">
        <v>0</v>
      </c>
      <c r="E364" s="134"/>
      <c r="G364" t="str">
        <f t="shared" si="5"/>
        <v>March</v>
      </c>
    </row>
    <row r="365" spans="1:7" ht="15.75">
      <c r="A365" s="117" t="s">
        <v>829</v>
      </c>
      <c r="B365" s="242" t="s">
        <v>128</v>
      </c>
      <c r="C365" s="56">
        <v>45726</v>
      </c>
      <c r="D365" s="134">
        <v>0</v>
      </c>
      <c r="E365" s="134"/>
      <c r="G365" t="str">
        <f t="shared" si="5"/>
        <v>March</v>
      </c>
    </row>
    <row r="366" spans="1:7">
      <c r="A366" s="117" t="s">
        <v>660</v>
      </c>
      <c r="B366" s="244" t="s">
        <v>657</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656</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666</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667</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128</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128</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653</v>
      </c>
      <c r="C380" s="56">
        <v>45726</v>
      </c>
      <c r="D380" s="134">
        <v>0</v>
      </c>
      <c r="E380" s="134"/>
      <c r="G380" t="str">
        <f t="shared" si="5"/>
        <v>March</v>
      </c>
    </row>
    <row r="381" spans="1:7" ht="15.75">
      <c r="A381" s="118" t="s">
        <v>714</v>
      </c>
      <c r="B381" s="242" t="s">
        <v>128</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671</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653</v>
      </c>
      <c r="C387" s="56">
        <v>45727</v>
      </c>
      <c r="D387" s="123">
        <v>0</v>
      </c>
      <c r="E387" s="123"/>
      <c r="G387" t="str">
        <f t="shared" ref="G387:G450" si="6">TEXT(C387,"mmmm")</f>
        <v>March</v>
      </c>
    </row>
    <row r="388" spans="1:7">
      <c r="A388" s="117" t="s">
        <v>670</v>
      </c>
      <c r="B388" s="244" t="s">
        <v>671</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128</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128</v>
      </c>
      <c r="C395" s="56">
        <v>45727</v>
      </c>
      <c r="D395" s="123">
        <v>0</v>
      </c>
      <c r="E395" s="123"/>
      <c r="G395" t="str">
        <f t="shared" si="6"/>
        <v>March</v>
      </c>
    </row>
    <row r="396" spans="1:7">
      <c r="A396" s="117" t="s">
        <v>774</v>
      </c>
      <c r="B396" s="244" t="s">
        <v>657</v>
      </c>
      <c r="C396" s="56">
        <v>45727</v>
      </c>
      <c r="D396" s="123">
        <v>0</v>
      </c>
      <c r="E396" s="123"/>
      <c r="G396" t="str">
        <f t="shared" si="6"/>
        <v>March</v>
      </c>
    </row>
    <row r="397" spans="1:7" ht="15.75">
      <c r="A397" s="117" t="s">
        <v>836</v>
      </c>
      <c r="B397" s="242" t="s">
        <v>128</v>
      </c>
      <c r="C397" s="56">
        <v>45727</v>
      </c>
      <c r="D397" s="123">
        <v>0</v>
      </c>
      <c r="E397" s="123"/>
      <c r="G397" t="str">
        <f t="shared" si="6"/>
        <v>March</v>
      </c>
    </row>
    <row r="398" spans="1:7">
      <c r="A398" s="117" t="s">
        <v>833</v>
      </c>
      <c r="B398" s="243" t="s">
        <v>140</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671</v>
      </c>
      <c r="C400" s="56">
        <v>45727</v>
      </c>
      <c r="D400" s="123">
        <v>0</v>
      </c>
      <c r="E400" s="123"/>
      <c r="G400" t="str">
        <f t="shared" si="6"/>
        <v>March</v>
      </c>
    </row>
    <row r="401" spans="1:7" ht="15.75">
      <c r="A401" s="117" t="s">
        <v>748</v>
      </c>
      <c r="B401" s="242" t="s">
        <v>128</v>
      </c>
      <c r="C401" s="56">
        <v>45727</v>
      </c>
      <c r="D401" s="123">
        <v>0</v>
      </c>
      <c r="E401" s="123"/>
      <c r="G401" t="str">
        <f t="shared" si="6"/>
        <v>March</v>
      </c>
    </row>
    <row r="402" spans="1:7">
      <c r="A402" s="117" t="s">
        <v>911</v>
      </c>
      <c r="B402" s="244" t="s">
        <v>657</v>
      </c>
      <c r="C402" s="56">
        <v>45727</v>
      </c>
      <c r="D402" s="123">
        <v>0</v>
      </c>
      <c r="E402" s="123"/>
      <c r="G402" t="str">
        <f t="shared" si="6"/>
        <v>March</v>
      </c>
    </row>
    <row r="403" spans="1:7">
      <c r="A403" s="117" t="s">
        <v>832</v>
      </c>
      <c r="B403" s="154" t="s">
        <v>653</v>
      </c>
      <c r="C403" s="56">
        <v>45727</v>
      </c>
      <c r="D403" s="123">
        <v>199</v>
      </c>
      <c r="E403" s="123"/>
      <c r="F403" s="109" t="s">
        <v>1172</v>
      </c>
      <c r="G403" t="str">
        <f t="shared" si="6"/>
        <v>March</v>
      </c>
    </row>
    <row r="404" spans="1:7">
      <c r="A404" s="117" t="s">
        <v>663</v>
      </c>
      <c r="B404" s="154" t="s">
        <v>653</v>
      </c>
      <c r="C404" s="56">
        <v>45727</v>
      </c>
      <c r="D404" s="123">
        <v>0</v>
      </c>
      <c r="E404" s="123"/>
      <c r="G404" t="str">
        <f t="shared" si="6"/>
        <v>March</v>
      </c>
    </row>
    <row r="405" spans="1:7">
      <c r="A405" s="117" t="s">
        <v>712</v>
      </c>
      <c r="B405" s="210" t="s">
        <v>657</v>
      </c>
      <c r="C405" s="56">
        <v>45727</v>
      </c>
      <c r="D405" s="123">
        <v>0</v>
      </c>
      <c r="E405" s="123"/>
      <c r="G405" t="str">
        <f t="shared" si="6"/>
        <v>March</v>
      </c>
    </row>
    <row r="406" spans="1:7" ht="15.75">
      <c r="A406" s="117" t="s">
        <v>829</v>
      </c>
      <c r="B406" s="242" t="s">
        <v>128</v>
      </c>
      <c r="C406" s="56">
        <v>45727</v>
      </c>
      <c r="D406" s="123">
        <v>0</v>
      </c>
      <c r="E406" s="123"/>
      <c r="G406" t="str">
        <f t="shared" si="6"/>
        <v>March</v>
      </c>
    </row>
    <row r="407" spans="1:7">
      <c r="A407" s="117" t="s">
        <v>660</v>
      </c>
      <c r="B407" s="244" t="s">
        <v>657</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656</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666</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667</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128</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128</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653</v>
      </c>
      <c r="C421" s="56">
        <v>45727</v>
      </c>
      <c r="D421" s="123">
        <v>0</v>
      </c>
      <c r="E421" s="123"/>
      <c r="G421" t="str">
        <f t="shared" si="6"/>
        <v>March</v>
      </c>
    </row>
    <row r="422" spans="1:7" ht="15.75">
      <c r="A422" s="118" t="s">
        <v>714</v>
      </c>
      <c r="B422" s="242" t="s">
        <v>128</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128</v>
      </c>
      <c r="C425" s="56">
        <v>45727</v>
      </c>
      <c r="D425" s="150">
        <v>1710</v>
      </c>
      <c r="E425" s="150"/>
      <c r="F425" s="109" t="s">
        <v>1186</v>
      </c>
      <c r="G425" t="str">
        <f t="shared" si="6"/>
        <v>March</v>
      </c>
    </row>
    <row r="426" spans="1:7">
      <c r="A426" s="118" t="s">
        <v>945</v>
      </c>
      <c r="B426" s="154" t="s">
        <v>653</v>
      </c>
      <c r="C426" s="56">
        <v>45727</v>
      </c>
      <c r="D426" s="123">
        <v>304</v>
      </c>
      <c r="E426" s="123"/>
      <c r="G426" t="str">
        <f t="shared" si="6"/>
        <v>March</v>
      </c>
    </row>
    <row r="427" spans="1:7">
      <c r="A427" s="118" t="s">
        <v>1097</v>
      </c>
      <c r="B427" s="157" t="s">
        <v>657</v>
      </c>
      <c r="C427" s="56">
        <v>45727</v>
      </c>
      <c r="D427" s="150">
        <v>1617</v>
      </c>
      <c r="E427" s="150"/>
      <c r="G427" t="str">
        <f t="shared" si="6"/>
        <v>March</v>
      </c>
    </row>
    <row r="428" spans="1:7">
      <c r="A428" s="118" t="s">
        <v>938</v>
      </c>
      <c r="B428" s="157" t="s">
        <v>657</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671</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653</v>
      </c>
      <c r="C433" s="56">
        <v>45728</v>
      </c>
      <c r="D433" s="123" t="s">
        <v>1192</v>
      </c>
      <c r="E433" s="123"/>
      <c r="G433" t="str">
        <f t="shared" si="6"/>
        <v>March</v>
      </c>
    </row>
    <row r="434" spans="1:7">
      <c r="A434" s="117" t="s">
        <v>670</v>
      </c>
      <c r="B434" s="244" t="s">
        <v>671</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128</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128</v>
      </c>
      <c r="C441" s="56">
        <v>45728</v>
      </c>
      <c r="D441" s="123" t="s">
        <v>1226</v>
      </c>
      <c r="E441" s="123"/>
      <c r="G441" t="str">
        <f t="shared" si="6"/>
        <v>March</v>
      </c>
    </row>
    <row r="442" spans="1:7">
      <c r="A442" s="117" t="s">
        <v>774</v>
      </c>
      <c r="B442" s="244" t="s">
        <v>657</v>
      </c>
      <c r="C442" s="56">
        <v>45728</v>
      </c>
      <c r="D442" s="123" t="s">
        <v>1192</v>
      </c>
      <c r="E442" s="123"/>
      <c r="G442" t="str">
        <f t="shared" si="6"/>
        <v>March</v>
      </c>
    </row>
    <row r="443" spans="1:7" ht="15.75">
      <c r="A443" s="117" t="s">
        <v>836</v>
      </c>
      <c r="B443" s="242" t="s">
        <v>128</v>
      </c>
      <c r="C443" s="56">
        <v>45728</v>
      </c>
      <c r="D443" s="123" t="s">
        <v>1192</v>
      </c>
      <c r="E443" s="123"/>
      <c r="G443" t="str">
        <f t="shared" si="6"/>
        <v>March</v>
      </c>
    </row>
    <row r="444" spans="1:7">
      <c r="A444" s="117" t="s">
        <v>833</v>
      </c>
      <c r="B444" s="243" t="s">
        <v>140</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671</v>
      </c>
      <c r="C446" s="56">
        <v>45728</v>
      </c>
      <c r="D446" s="123" t="s">
        <v>1192</v>
      </c>
      <c r="E446" s="123"/>
      <c r="G446" t="str">
        <f t="shared" si="6"/>
        <v>March</v>
      </c>
    </row>
    <row r="447" spans="1:7" ht="15.75">
      <c r="A447" s="117" t="s">
        <v>748</v>
      </c>
      <c r="B447" s="242" t="s">
        <v>128</v>
      </c>
      <c r="C447" s="56">
        <v>45728</v>
      </c>
      <c r="D447" s="123" t="s">
        <v>1192</v>
      </c>
      <c r="E447" s="123"/>
      <c r="G447" t="str">
        <f t="shared" si="6"/>
        <v>March</v>
      </c>
    </row>
    <row r="448" spans="1:7">
      <c r="A448" s="117" t="s">
        <v>911</v>
      </c>
      <c r="B448" s="244" t="s">
        <v>657</v>
      </c>
      <c r="C448" s="56">
        <v>45728</v>
      </c>
      <c r="D448" s="123" t="s">
        <v>1192</v>
      </c>
      <c r="E448" s="123"/>
      <c r="G448" t="str">
        <f t="shared" si="6"/>
        <v>March</v>
      </c>
    </row>
    <row r="449" spans="1:7">
      <c r="A449" s="117" t="s">
        <v>832</v>
      </c>
      <c r="B449" s="154" t="s">
        <v>653</v>
      </c>
      <c r="C449" s="56">
        <v>45728</v>
      </c>
      <c r="D449" s="123" t="s">
        <v>1192</v>
      </c>
      <c r="E449" s="123"/>
      <c r="G449" t="str">
        <f t="shared" si="6"/>
        <v>March</v>
      </c>
    </row>
    <row r="450" spans="1:7">
      <c r="A450" s="117" t="s">
        <v>663</v>
      </c>
      <c r="B450" s="154" t="s">
        <v>653</v>
      </c>
      <c r="C450" s="56">
        <v>45728</v>
      </c>
      <c r="D450" s="123" t="s">
        <v>1192</v>
      </c>
      <c r="E450" s="123"/>
      <c r="G450" t="str">
        <f t="shared" si="6"/>
        <v>March</v>
      </c>
    </row>
    <row r="451" spans="1:7">
      <c r="A451" s="117" t="s">
        <v>712</v>
      </c>
      <c r="B451" s="210" t="s">
        <v>657</v>
      </c>
      <c r="C451" s="56">
        <v>45728</v>
      </c>
      <c r="D451" s="123" t="s">
        <v>1192</v>
      </c>
      <c r="E451" s="123"/>
      <c r="G451" t="str">
        <f t="shared" ref="G451:G514" si="7">TEXT(C451,"mmmm")</f>
        <v>March</v>
      </c>
    </row>
    <row r="452" spans="1:7" ht="15.75">
      <c r="A452" s="117" t="s">
        <v>829</v>
      </c>
      <c r="B452" s="242" t="s">
        <v>128</v>
      </c>
      <c r="C452" s="56">
        <v>45728</v>
      </c>
      <c r="D452" s="123" t="s">
        <v>1192</v>
      </c>
      <c r="E452" s="123"/>
      <c r="G452" t="str">
        <f t="shared" si="7"/>
        <v>March</v>
      </c>
    </row>
    <row r="453" spans="1:7">
      <c r="A453" s="117" t="s">
        <v>660</v>
      </c>
      <c r="B453" s="244" t="s">
        <v>657</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656</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666</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667</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128</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128</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653</v>
      </c>
      <c r="C467" s="56">
        <v>45728</v>
      </c>
      <c r="D467" s="123">
        <v>961</v>
      </c>
      <c r="E467" s="123"/>
      <c r="G467" t="str">
        <f t="shared" si="7"/>
        <v>March</v>
      </c>
    </row>
    <row r="468" spans="1:7" ht="15.75">
      <c r="A468" s="118" t="s">
        <v>714</v>
      </c>
      <c r="B468" s="242" t="s">
        <v>128</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128</v>
      </c>
      <c r="C471" s="56">
        <v>45728</v>
      </c>
      <c r="D471" s="150">
        <v>1700</v>
      </c>
      <c r="E471" s="150"/>
      <c r="F471" s="109" t="s">
        <v>1227</v>
      </c>
      <c r="G471" t="str">
        <f t="shared" si="7"/>
        <v>March</v>
      </c>
    </row>
    <row r="472" spans="1:7">
      <c r="A472" s="118" t="s">
        <v>945</v>
      </c>
      <c r="B472" s="154" t="s">
        <v>653</v>
      </c>
      <c r="C472" s="56">
        <v>45728</v>
      </c>
      <c r="D472" s="123">
        <v>205</v>
      </c>
      <c r="E472" s="123"/>
      <c r="G472" t="str">
        <f t="shared" si="7"/>
        <v>March</v>
      </c>
    </row>
    <row r="473" spans="1:7">
      <c r="A473" s="118" t="s">
        <v>1097</v>
      </c>
      <c r="B473" s="157" t="s">
        <v>657</v>
      </c>
      <c r="C473" s="56">
        <v>45728</v>
      </c>
      <c r="D473" s="123" t="s">
        <v>1192</v>
      </c>
      <c r="E473" s="123"/>
      <c r="G473" t="str">
        <f t="shared" si="7"/>
        <v>March</v>
      </c>
    </row>
    <row r="474" spans="1:7">
      <c r="A474" s="118" t="s">
        <v>938</v>
      </c>
      <c r="B474" s="157" t="s">
        <v>657</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657</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140</v>
      </c>
      <c r="C478" s="56">
        <v>45728</v>
      </c>
      <c r="D478" s="150">
        <v>1246</v>
      </c>
      <c r="E478" s="150"/>
      <c r="F478" s="109" t="s">
        <v>1228</v>
      </c>
      <c r="G478" t="str">
        <f t="shared" si="7"/>
        <v>March</v>
      </c>
    </row>
    <row r="479" spans="1:7" ht="15.75">
      <c r="A479" s="118" t="s">
        <v>736</v>
      </c>
      <c r="B479" s="242" t="s">
        <v>128</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671</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653</v>
      </c>
      <c r="C483" s="56">
        <v>45729</v>
      </c>
      <c r="D483" s="123"/>
      <c r="E483" s="123"/>
      <c r="G483" t="str">
        <f t="shared" si="7"/>
        <v>March</v>
      </c>
    </row>
    <row r="484" spans="1:7">
      <c r="A484" s="117" t="s">
        <v>670</v>
      </c>
      <c r="B484" s="244" t="s">
        <v>671</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128</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128</v>
      </c>
      <c r="C491" s="56">
        <v>45729</v>
      </c>
      <c r="D491" s="123"/>
      <c r="E491" s="123"/>
      <c r="G491" t="str">
        <f t="shared" si="7"/>
        <v>March</v>
      </c>
    </row>
    <row r="492" spans="1:7">
      <c r="A492" s="117" t="s">
        <v>774</v>
      </c>
      <c r="B492" s="244" t="s">
        <v>657</v>
      </c>
      <c r="C492" s="56">
        <v>45729</v>
      </c>
      <c r="D492" s="123"/>
      <c r="E492" s="123"/>
      <c r="G492" t="str">
        <f t="shared" si="7"/>
        <v>March</v>
      </c>
    </row>
    <row r="493" spans="1:7" ht="15.75">
      <c r="A493" s="117" t="s">
        <v>836</v>
      </c>
      <c r="B493" s="242" t="s">
        <v>128</v>
      </c>
      <c r="C493" s="56">
        <v>45729</v>
      </c>
      <c r="D493" s="123"/>
      <c r="E493" s="123"/>
      <c r="G493" t="str">
        <f t="shared" si="7"/>
        <v>March</v>
      </c>
    </row>
    <row r="494" spans="1:7">
      <c r="A494" s="117" t="s">
        <v>833</v>
      </c>
      <c r="B494" s="243" t="s">
        <v>140</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671</v>
      </c>
      <c r="C496" s="56">
        <v>45729</v>
      </c>
      <c r="D496" s="123" t="s">
        <v>1192</v>
      </c>
      <c r="E496" s="123"/>
      <c r="G496" t="str">
        <f t="shared" si="7"/>
        <v>March</v>
      </c>
    </row>
    <row r="497" spans="1:7" ht="15.75">
      <c r="A497" s="117" t="s">
        <v>748</v>
      </c>
      <c r="B497" s="242" t="s">
        <v>128</v>
      </c>
      <c r="C497" s="56">
        <v>45729</v>
      </c>
      <c r="D497" s="123" t="s">
        <v>1192</v>
      </c>
      <c r="E497" s="123"/>
      <c r="G497" t="str">
        <f t="shared" si="7"/>
        <v>March</v>
      </c>
    </row>
    <row r="498" spans="1:7">
      <c r="A498" s="117" t="s">
        <v>911</v>
      </c>
      <c r="B498" s="244" t="s">
        <v>657</v>
      </c>
      <c r="C498" s="56">
        <v>45729</v>
      </c>
      <c r="D498" s="123" t="s">
        <v>1192</v>
      </c>
      <c r="E498" s="123"/>
      <c r="G498" t="str">
        <f t="shared" si="7"/>
        <v>March</v>
      </c>
    </row>
    <row r="499" spans="1:7">
      <c r="A499" s="117" t="s">
        <v>832</v>
      </c>
      <c r="B499" s="154" t="s">
        <v>653</v>
      </c>
      <c r="C499" s="56">
        <v>45729</v>
      </c>
      <c r="D499" s="123" t="s">
        <v>1192</v>
      </c>
      <c r="E499" s="123"/>
      <c r="G499" t="str">
        <f t="shared" si="7"/>
        <v>March</v>
      </c>
    </row>
    <row r="500" spans="1:7">
      <c r="A500" s="117" t="s">
        <v>663</v>
      </c>
      <c r="B500" s="154" t="s">
        <v>653</v>
      </c>
      <c r="C500" s="56">
        <v>45729</v>
      </c>
      <c r="D500" s="123" t="s">
        <v>1192</v>
      </c>
      <c r="E500" s="123"/>
      <c r="G500" t="str">
        <f t="shared" si="7"/>
        <v>March</v>
      </c>
    </row>
    <row r="501" spans="1:7">
      <c r="A501" s="117" t="s">
        <v>712</v>
      </c>
      <c r="B501" s="210" t="s">
        <v>657</v>
      </c>
      <c r="C501" s="56">
        <v>45729</v>
      </c>
      <c r="D501" s="123" t="s">
        <v>1192</v>
      </c>
      <c r="E501" s="123"/>
      <c r="G501" t="str">
        <f t="shared" si="7"/>
        <v>March</v>
      </c>
    </row>
    <row r="502" spans="1:7" ht="15.75">
      <c r="A502" s="117" t="s">
        <v>829</v>
      </c>
      <c r="B502" s="242" t="s">
        <v>128</v>
      </c>
      <c r="C502" s="56">
        <v>45729</v>
      </c>
      <c r="D502" s="123" t="s">
        <v>1192</v>
      </c>
      <c r="E502" s="123"/>
      <c r="G502" t="str">
        <f t="shared" si="7"/>
        <v>March</v>
      </c>
    </row>
    <row r="503" spans="1:7">
      <c r="A503" s="117" t="s">
        <v>660</v>
      </c>
      <c r="B503" s="244" t="s">
        <v>657</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656</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666</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667</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128</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128</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653</v>
      </c>
      <c r="C517" s="56">
        <v>45729</v>
      </c>
      <c r="D517" s="123">
        <v>914</v>
      </c>
      <c r="E517" s="123"/>
      <c r="F517" s="109" t="s">
        <v>1232</v>
      </c>
      <c r="G517" t="str">
        <f t="shared" si="8"/>
        <v>March</v>
      </c>
    </row>
    <row r="518" spans="1:7" ht="15.75">
      <c r="A518" s="118" t="s">
        <v>714</v>
      </c>
      <c r="B518" s="242" t="s">
        <v>128</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128</v>
      </c>
      <c r="C521" s="56">
        <v>45729</v>
      </c>
      <c r="D521" s="123" t="s">
        <v>1192</v>
      </c>
      <c r="E521" s="123"/>
      <c r="G521" t="str">
        <f t="shared" si="8"/>
        <v>March</v>
      </c>
    </row>
    <row r="522" spans="1:7">
      <c r="A522" s="118" t="s">
        <v>945</v>
      </c>
      <c r="B522" s="154" t="s">
        <v>653</v>
      </c>
      <c r="C522" s="56">
        <v>45729</v>
      </c>
      <c r="D522" s="123">
        <v>451</v>
      </c>
      <c r="E522" s="123"/>
      <c r="G522" t="str">
        <f t="shared" si="8"/>
        <v>March</v>
      </c>
    </row>
    <row r="523" spans="1:7">
      <c r="A523" s="118" t="s">
        <v>1097</v>
      </c>
      <c r="B523" s="157" t="s">
        <v>657</v>
      </c>
      <c r="C523" s="56">
        <v>45729</v>
      </c>
      <c r="D523" s="123">
        <v>101</v>
      </c>
      <c r="E523" s="123"/>
      <c r="G523" t="str">
        <f t="shared" si="8"/>
        <v>March</v>
      </c>
    </row>
    <row r="524" spans="1:7">
      <c r="A524" s="118" t="s">
        <v>938</v>
      </c>
      <c r="B524" s="157" t="s">
        <v>657</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657</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140</v>
      </c>
      <c r="C528" s="56">
        <v>45729</v>
      </c>
      <c r="D528" s="123">
        <v>664</v>
      </c>
      <c r="E528" s="123"/>
      <c r="F528" s="43" t="s">
        <v>1190</v>
      </c>
      <c r="G528" t="str">
        <f t="shared" si="8"/>
        <v>March</v>
      </c>
    </row>
    <row r="529" spans="1:7" ht="15.75">
      <c r="A529" s="118" t="s">
        <v>736</v>
      </c>
      <c r="B529" s="242" t="s">
        <v>128</v>
      </c>
      <c r="C529" s="56">
        <v>45729</v>
      </c>
      <c r="D529" s="150">
        <v>1123</v>
      </c>
      <c r="E529" s="150"/>
      <c r="F529" s="109" t="s">
        <v>1234</v>
      </c>
      <c r="G529" t="str">
        <f t="shared" si="8"/>
        <v>March</v>
      </c>
    </row>
    <row r="530" spans="1:7">
      <c r="A530" s="208" t="s">
        <v>839</v>
      </c>
      <c r="B530" s="157" t="s">
        <v>657</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671</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653</v>
      </c>
      <c r="C534" s="56">
        <v>45730</v>
      </c>
      <c r="D534" s="123"/>
      <c r="E534" s="123"/>
      <c r="F534" s="123" t="s">
        <v>1192</v>
      </c>
      <c r="G534" t="str">
        <f t="shared" si="8"/>
        <v>March</v>
      </c>
    </row>
    <row r="535" spans="1:7">
      <c r="A535" s="117" t="s">
        <v>670</v>
      </c>
      <c r="B535" s="244" t="s">
        <v>671</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128</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128</v>
      </c>
      <c r="C542" s="56">
        <v>45730</v>
      </c>
      <c r="D542" s="123"/>
      <c r="E542" s="123"/>
      <c r="F542" s="123" t="s">
        <v>1192</v>
      </c>
      <c r="G542" t="str">
        <f t="shared" si="8"/>
        <v>March</v>
      </c>
    </row>
    <row r="543" spans="1:7">
      <c r="A543" s="117" t="s">
        <v>774</v>
      </c>
      <c r="B543" s="244" t="s">
        <v>657</v>
      </c>
      <c r="C543" s="56">
        <v>45730</v>
      </c>
      <c r="D543" s="123"/>
      <c r="E543" s="123"/>
      <c r="F543" s="123" t="s">
        <v>1236</v>
      </c>
      <c r="G543" t="str">
        <f t="shared" si="8"/>
        <v>March</v>
      </c>
    </row>
    <row r="544" spans="1:7" ht="15.75">
      <c r="A544" s="117" t="s">
        <v>836</v>
      </c>
      <c r="B544" s="242" t="s">
        <v>128</v>
      </c>
      <c r="C544" s="56">
        <v>45730</v>
      </c>
      <c r="D544" s="123"/>
      <c r="E544" s="123"/>
      <c r="F544" s="123" t="s">
        <v>1192</v>
      </c>
      <c r="G544" t="str">
        <f t="shared" si="8"/>
        <v>March</v>
      </c>
    </row>
    <row r="545" spans="1:7">
      <c r="A545" s="117" t="s">
        <v>833</v>
      </c>
      <c r="B545" s="243" t="s">
        <v>140</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671</v>
      </c>
      <c r="C547" s="56">
        <v>45730</v>
      </c>
      <c r="D547" s="123"/>
      <c r="E547" s="123"/>
      <c r="F547" s="123" t="s">
        <v>1192</v>
      </c>
      <c r="G547" t="str">
        <f t="shared" si="8"/>
        <v>March</v>
      </c>
    </row>
    <row r="548" spans="1:7" ht="15.75">
      <c r="A548" s="117" t="s">
        <v>748</v>
      </c>
      <c r="B548" s="242" t="s">
        <v>128</v>
      </c>
      <c r="C548" s="56">
        <v>45730</v>
      </c>
      <c r="D548" s="123"/>
      <c r="E548" s="123"/>
      <c r="F548" s="123" t="s">
        <v>1192</v>
      </c>
      <c r="G548" t="str">
        <f t="shared" si="8"/>
        <v>March</v>
      </c>
    </row>
    <row r="549" spans="1:7">
      <c r="A549" s="117" t="s">
        <v>911</v>
      </c>
      <c r="B549" s="244" t="s">
        <v>657</v>
      </c>
      <c r="C549" s="56">
        <v>45730</v>
      </c>
      <c r="D549" s="123"/>
      <c r="E549" s="123"/>
      <c r="F549" s="123" t="s">
        <v>1192</v>
      </c>
      <c r="G549" t="str">
        <f t="shared" si="8"/>
        <v>March</v>
      </c>
    </row>
    <row r="550" spans="1:7">
      <c r="A550" s="117" t="s">
        <v>832</v>
      </c>
      <c r="B550" s="154" t="s">
        <v>653</v>
      </c>
      <c r="C550" s="56">
        <v>45730</v>
      </c>
      <c r="D550" s="123"/>
      <c r="E550" s="123"/>
      <c r="F550" s="123" t="s">
        <v>1192</v>
      </c>
      <c r="G550" t="str">
        <f t="shared" si="8"/>
        <v>March</v>
      </c>
    </row>
    <row r="551" spans="1:7">
      <c r="A551" s="117" t="s">
        <v>663</v>
      </c>
      <c r="B551" s="154" t="s">
        <v>653</v>
      </c>
      <c r="C551" s="56">
        <v>45730</v>
      </c>
      <c r="D551" s="123"/>
      <c r="E551" s="123"/>
      <c r="F551" s="123" t="s">
        <v>1192</v>
      </c>
      <c r="G551" t="str">
        <f t="shared" si="8"/>
        <v>March</v>
      </c>
    </row>
    <row r="552" spans="1:7">
      <c r="A552" s="117" t="s">
        <v>712</v>
      </c>
      <c r="B552" s="210" t="s">
        <v>657</v>
      </c>
      <c r="C552" s="56">
        <v>45730</v>
      </c>
      <c r="D552" s="123"/>
      <c r="E552" s="123"/>
      <c r="F552" s="123" t="s">
        <v>1236</v>
      </c>
      <c r="G552" t="str">
        <f t="shared" si="8"/>
        <v>March</v>
      </c>
    </row>
    <row r="553" spans="1:7" ht="15.75">
      <c r="A553" s="117" t="s">
        <v>829</v>
      </c>
      <c r="B553" s="242" t="s">
        <v>128</v>
      </c>
      <c r="C553" s="56">
        <v>45730</v>
      </c>
      <c r="D553" s="123" t="s">
        <v>1192</v>
      </c>
      <c r="E553" s="123"/>
      <c r="F553" s="123" t="s">
        <v>1192</v>
      </c>
      <c r="G553" t="str">
        <f t="shared" si="8"/>
        <v>March</v>
      </c>
    </row>
    <row r="554" spans="1:7">
      <c r="A554" s="117" t="s">
        <v>660</v>
      </c>
      <c r="B554" s="244" t="s">
        <v>657</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656</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666</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667</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128</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128</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653</v>
      </c>
      <c r="C568" s="56">
        <v>45730</v>
      </c>
      <c r="D568" s="150">
        <v>1903</v>
      </c>
      <c r="E568" s="150"/>
      <c r="F568" s="109" t="s">
        <v>1240</v>
      </c>
      <c r="G568" t="str">
        <f t="shared" si="8"/>
        <v>March</v>
      </c>
    </row>
    <row r="569" spans="1:7" ht="15.75">
      <c r="A569" s="118" t="s">
        <v>714</v>
      </c>
      <c r="B569" s="242" t="s">
        <v>128</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128</v>
      </c>
      <c r="C572" s="56">
        <v>45730</v>
      </c>
      <c r="D572" s="123" t="s">
        <v>1192</v>
      </c>
      <c r="E572" s="123"/>
      <c r="F572" s="123"/>
      <c r="G572" t="str">
        <f t="shared" si="8"/>
        <v>March</v>
      </c>
    </row>
    <row r="573" spans="1:7">
      <c r="A573" s="118" t="s">
        <v>945</v>
      </c>
      <c r="B573" s="154" t="s">
        <v>653</v>
      </c>
      <c r="C573" s="56">
        <v>45730</v>
      </c>
      <c r="D573" s="123" t="s">
        <v>1192</v>
      </c>
      <c r="E573" s="123"/>
      <c r="F573" s="123"/>
      <c r="G573" t="str">
        <f t="shared" si="8"/>
        <v>March</v>
      </c>
    </row>
    <row r="574" spans="1:7">
      <c r="A574" s="118" t="s">
        <v>1097</v>
      </c>
      <c r="B574" s="157" t="s">
        <v>657</v>
      </c>
      <c r="C574" s="56">
        <v>45730</v>
      </c>
      <c r="D574" s="123" t="s">
        <v>1192</v>
      </c>
      <c r="E574" s="123"/>
      <c r="F574" s="123"/>
      <c r="G574" t="str">
        <f t="shared" si="8"/>
        <v>March</v>
      </c>
    </row>
    <row r="575" spans="1:7">
      <c r="A575" s="118" t="s">
        <v>938</v>
      </c>
      <c r="B575" s="157" t="s">
        <v>657</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657</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140</v>
      </c>
      <c r="C579" s="56">
        <v>45730</v>
      </c>
      <c r="D579" s="123">
        <v>834</v>
      </c>
      <c r="E579" s="123"/>
      <c r="F579" s="109" t="s">
        <v>1243</v>
      </c>
      <c r="G579" t="str">
        <f t="shared" ref="G579:G642" si="9">TEXT(C579,"mmmm")</f>
        <v>March</v>
      </c>
    </row>
    <row r="580" spans="1:7" ht="15.75">
      <c r="A580" s="118" t="s">
        <v>736</v>
      </c>
      <c r="B580" s="242" t="s">
        <v>128</v>
      </c>
      <c r="C580" s="56">
        <v>45730</v>
      </c>
      <c r="D580" s="123" t="s">
        <v>1192</v>
      </c>
      <c r="E580" s="123"/>
      <c r="F580" s="123"/>
      <c r="G580" t="str">
        <f t="shared" si="9"/>
        <v>March</v>
      </c>
    </row>
    <row r="581" spans="1:7">
      <c r="A581" s="208" t="s">
        <v>839</v>
      </c>
      <c r="B581" s="157" t="s">
        <v>657</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670</v>
      </c>
      <c r="B584" s="244" t="s">
        <v>671</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657</v>
      </c>
      <c r="C586" s="56">
        <v>45733</v>
      </c>
      <c r="E586" s="43"/>
      <c r="F586" s="123" t="s">
        <v>1192</v>
      </c>
      <c r="G586" t="str">
        <f t="shared" si="9"/>
        <v>March</v>
      </c>
    </row>
    <row r="587" spans="1:7" ht="15.75">
      <c r="A587" s="117" t="s">
        <v>836</v>
      </c>
      <c r="B587" s="242" t="s">
        <v>128</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671</v>
      </c>
      <c r="C589" s="56">
        <v>45733</v>
      </c>
      <c r="E589" s="43"/>
      <c r="F589" s="123" t="s">
        <v>1192</v>
      </c>
      <c r="G589" t="str">
        <f t="shared" si="9"/>
        <v>March</v>
      </c>
    </row>
    <row r="590" spans="1:7">
      <c r="A590" s="117" t="s">
        <v>911</v>
      </c>
      <c r="B590" s="244" t="s">
        <v>657</v>
      </c>
      <c r="C590" s="56">
        <v>45733</v>
      </c>
      <c r="E590" s="43"/>
      <c r="F590" s="123" t="s">
        <v>1192</v>
      </c>
      <c r="G590" t="str">
        <f t="shared" si="9"/>
        <v>March</v>
      </c>
    </row>
    <row r="591" spans="1:7">
      <c r="A591" s="117" t="s">
        <v>832</v>
      </c>
      <c r="B591" s="154" t="s">
        <v>653</v>
      </c>
      <c r="C591" s="56">
        <v>45733</v>
      </c>
      <c r="E591" s="43"/>
      <c r="F591" s="123" t="s">
        <v>1192</v>
      </c>
      <c r="G591" t="str">
        <f t="shared" si="9"/>
        <v>March</v>
      </c>
    </row>
    <row r="592" spans="1:7">
      <c r="A592" s="117" t="s">
        <v>712</v>
      </c>
      <c r="B592" s="210" t="s">
        <v>657</v>
      </c>
      <c r="C592" s="56">
        <v>45733</v>
      </c>
      <c r="E592" s="43"/>
      <c r="F592" s="123" t="s">
        <v>1192</v>
      </c>
      <c r="G592" t="str">
        <f t="shared" si="9"/>
        <v>March</v>
      </c>
    </row>
    <row r="593" spans="1:7">
      <c r="A593" s="117" t="s">
        <v>656</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128</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128</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128</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128</v>
      </c>
      <c r="C606" s="56">
        <v>45733</v>
      </c>
      <c r="E606" s="43"/>
      <c r="F606" s="123" t="s">
        <v>1192</v>
      </c>
      <c r="G606" t="str">
        <f t="shared" si="9"/>
        <v>March</v>
      </c>
    </row>
    <row r="607" spans="1:7">
      <c r="A607" s="118" t="s">
        <v>945</v>
      </c>
      <c r="B607" s="154" t="s">
        <v>653</v>
      </c>
      <c r="C607" s="56">
        <v>45733</v>
      </c>
      <c r="E607" s="43"/>
      <c r="F607" s="123" t="s">
        <v>1192</v>
      </c>
      <c r="G607" t="str">
        <f t="shared" si="9"/>
        <v>March</v>
      </c>
    </row>
    <row r="608" spans="1:7">
      <c r="A608" s="118" t="s">
        <v>1097</v>
      </c>
      <c r="B608" s="157" t="s">
        <v>657</v>
      </c>
      <c r="C608" s="56">
        <v>45733</v>
      </c>
      <c r="E608" s="43"/>
      <c r="F608" s="123" t="s">
        <v>1192</v>
      </c>
      <c r="G608" t="str">
        <f t="shared" si="9"/>
        <v>March</v>
      </c>
    </row>
    <row r="609" spans="1:7">
      <c r="A609" s="118" t="s">
        <v>938</v>
      </c>
      <c r="B609" s="157" t="s">
        <v>657</v>
      </c>
      <c r="C609" s="56">
        <v>45733</v>
      </c>
      <c r="E609" s="43"/>
      <c r="F609" s="123" t="s">
        <v>1192</v>
      </c>
      <c r="G609" t="str">
        <f t="shared" si="9"/>
        <v>March</v>
      </c>
    </row>
    <row r="610" spans="1:7">
      <c r="A610" s="118" t="s">
        <v>900</v>
      </c>
      <c r="B610" s="157" t="s">
        <v>657</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140</v>
      </c>
      <c r="C612" s="56">
        <v>45733</v>
      </c>
      <c r="D612" s="43">
        <v>1095</v>
      </c>
      <c r="E612" s="43"/>
      <c r="F612" s="123" t="s">
        <v>1247</v>
      </c>
      <c r="G612" t="str">
        <f t="shared" si="9"/>
        <v>March</v>
      </c>
    </row>
    <row r="613" spans="1:7" ht="15.75">
      <c r="A613" s="118" t="s">
        <v>736</v>
      </c>
      <c r="B613" s="242" t="s">
        <v>128</v>
      </c>
      <c r="C613" s="56">
        <v>45733</v>
      </c>
      <c r="D613" s="43">
        <v>1105</v>
      </c>
      <c r="E613" s="43"/>
      <c r="F613" s="123" t="s">
        <v>1248</v>
      </c>
      <c r="G613" t="str">
        <f t="shared" si="9"/>
        <v>March</v>
      </c>
    </row>
    <row r="614" spans="1:7">
      <c r="A614" s="208" t="s">
        <v>839</v>
      </c>
      <c r="B614" s="157" t="s">
        <v>657</v>
      </c>
      <c r="C614" s="56">
        <v>45733</v>
      </c>
      <c r="E614" s="43"/>
      <c r="F614" s="123" t="s">
        <v>1192</v>
      </c>
      <c r="G614" t="str">
        <f t="shared" si="9"/>
        <v>March</v>
      </c>
    </row>
    <row r="615" spans="1:7" ht="15.75">
      <c r="A615" s="117" t="s">
        <v>707</v>
      </c>
      <c r="B615" s="242" t="s">
        <v>128</v>
      </c>
      <c r="C615" s="56">
        <v>45733</v>
      </c>
      <c r="D615" s="43">
        <v>920</v>
      </c>
      <c r="E615" s="43"/>
      <c r="F615" s="123" t="s">
        <v>1249</v>
      </c>
      <c r="G615" t="str">
        <f t="shared" si="9"/>
        <v>March</v>
      </c>
    </row>
    <row r="616" spans="1:7">
      <c r="A616" s="117" t="s">
        <v>824</v>
      </c>
      <c r="B616" s="154" t="s">
        <v>653</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671</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128</v>
      </c>
      <c r="C621" s="56">
        <v>45734</v>
      </c>
      <c r="E621" s="43"/>
      <c r="F621" s="134" t="s">
        <v>1250</v>
      </c>
      <c r="G621" t="str">
        <f t="shared" si="9"/>
        <v>March</v>
      </c>
    </row>
    <row r="622" spans="1:7" ht="15.75">
      <c r="A622" s="118" t="s">
        <v>1041</v>
      </c>
      <c r="B622" s="242" t="s">
        <v>128</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140</v>
      </c>
      <c r="C625" s="56">
        <v>45734</v>
      </c>
      <c r="D625" s="43">
        <v>65</v>
      </c>
      <c r="E625" s="43"/>
      <c r="F625" s="43" t="s">
        <v>1253</v>
      </c>
      <c r="G625" t="str">
        <f t="shared" si="9"/>
        <v>March</v>
      </c>
    </row>
    <row r="626" spans="1:7">
      <c r="A626" s="241" t="s">
        <v>1034</v>
      </c>
      <c r="B626" s="154" t="s">
        <v>653</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656</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657</v>
      </c>
      <c r="C633" s="56">
        <v>45735</v>
      </c>
      <c r="D633" s="123">
        <v>200</v>
      </c>
      <c r="E633" s="43"/>
      <c r="F633" s="109" t="s">
        <v>1257</v>
      </c>
      <c r="G633" t="str">
        <f t="shared" si="9"/>
        <v>March</v>
      </c>
    </row>
    <row r="634" spans="1:7">
      <c r="A634" s="210" t="s">
        <v>938</v>
      </c>
      <c r="B634" s="141" t="s">
        <v>657</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653</v>
      </c>
      <c r="C636" s="56">
        <v>45735</v>
      </c>
      <c r="D636" s="123">
        <v>728</v>
      </c>
      <c r="E636" s="43"/>
      <c r="F636" s="109" t="s">
        <v>1260</v>
      </c>
      <c r="G636" t="str">
        <f t="shared" si="9"/>
        <v>March</v>
      </c>
    </row>
    <row r="637" spans="1:7">
      <c r="A637" s="210" t="s">
        <v>1034</v>
      </c>
      <c r="B637" s="154" t="s">
        <v>653</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140</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653</v>
      </c>
      <c r="C643" s="56">
        <v>45736</v>
      </c>
      <c r="D643" s="123">
        <v>700</v>
      </c>
      <c r="E643" s="43"/>
      <c r="F643" s="109" t="s">
        <v>1263</v>
      </c>
      <c r="G643" t="str">
        <f t="shared" ref="G643:G706" si="10">TEXT(C643,"mmmm")</f>
        <v>March</v>
      </c>
    </row>
    <row r="644" spans="1:7">
      <c r="A644" s="210" t="s">
        <v>1034</v>
      </c>
      <c r="B644" s="154" t="s">
        <v>653</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140</v>
      </c>
      <c r="C646" s="56">
        <v>45736</v>
      </c>
      <c r="D646" s="150">
        <v>1964</v>
      </c>
      <c r="E646" s="43"/>
      <c r="F646" s="109" t="s">
        <v>1265</v>
      </c>
      <c r="G646" t="str">
        <f t="shared" si="10"/>
        <v>March</v>
      </c>
    </row>
    <row r="647" spans="1:7">
      <c r="A647" s="210" t="s">
        <v>938</v>
      </c>
      <c r="B647" s="210" t="s">
        <v>657</v>
      </c>
      <c r="C647" s="56">
        <v>45736</v>
      </c>
      <c r="D647" s="123" t="s">
        <v>1266</v>
      </c>
      <c r="E647" s="43"/>
      <c r="G647" t="str">
        <f t="shared" si="10"/>
        <v>March</v>
      </c>
    </row>
    <row r="648" spans="1:7" ht="15.75">
      <c r="A648" s="210" t="s">
        <v>656</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653</v>
      </c>
      <c r="C654" s="56">
        <v>45736</v>
      </c>
      <c r="D654" s="123">
        <v>700</v>
      </c>
      <c r="E654" s="43"/>
      <c r="F654" s="109" t="s">
        <v>1263</v>
      </c>
      <c r="G654" t="str">
        <f t="shared" si="10"/>
        <v>March</v>
      </c>
    </row>
    <row r="655" spans="1:7">
      <c r="A655" s="210" t="s">
        <v>1034</v>
      </c>
      <c r="B655" s="154" t="s">
        <v>653</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140</v>
      </c>
      <c r="C657" s="56">
        <v>45736</v>
      </c>
      <c r="D657" s="150">
        <v>1964</v>
      </c>
      <c r="E657" s="43"/>
      <c r="F657" s="109" t="s">
        <v>1265</v>
      </c>
      <c r="G657" t="str">
        <f t="shared" si="10"/>
        <v>March</v>
      </c>
    </row>
    <row r="658" spans="1:7">
      <c r="A658" s="210" t="s">
        <v>938</v>
      </c>
      <c r="B658" s="157" t="s">
        <v>657</v>
      </c>
      <c r="C658" s="56">
        <v>45736</v>
      </c>
      <c r="D658" s="123"/>
      <c r="E658" s="43"/>
      <c r="F658" s="123" t="s">
        <v>1266</v>
      </c>
      <c r="G658" t="str">
        <f t="shared" si="10"/>
        <v>March</v>
      </c>
    </row>
    <row r="659" spans="1:7" ht="15.75">
      <c r="A659" s="210" t="s">
        <v>656</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653</v>
      </c>
      <c r="C664" s="56">
        <v>45737</v>
      </c>
      <c r="D664" s="123">
        <v>709</v>
      </c>
      <c r="E664" s="43"/>
      <c r="F664" s="109" t="s">
        <v>1270</v>
      </c>
      <c r="G664" t="str">
        <f t="shared" si="10"/>
        <v>March</v>
      </c>
    </row>
    <row r="665" spans="1:7">
      <c r="A665" s="210" t="s">
        <v>1034</v>
      </c>
      <c r="B665" s="154" t="s">
        <v>653</v>
      </c>
      <c r="C665" s="56">
        <v>45737</v>
      </c>
      <c r="D665" s="123">
        <v>399</v>
      </c>
      <c r="E665" s="43"/>
      <c r="F665" s="109" t="s">
        <v>1271</v>
      </c>
      <c r="G665" t="str">
        <f t="shared" si="10"/>
        <v>March</v>
      </c>
    </row>
    <row r="666" spans="1:7">
      <c r="A666" s="210" t="s">
        <v>916</v>
      </c>
      <c r="B666" s="243" t="s">
        <v>140</v>
      </c>
      <c r="C666" s="56">
        <v>45737</v>
      </c>
      <c r="D666" s="150">
        <v>1528</v>
      </c>
      <c r="E666" s="43"/>
      <c r="F666" s="133" t="s">
        <v>1272</v>
      </c>
      <c r="G666" t="str">
        <f t="shared" si="10"/>
        <v>March</v>
      </c>
    </row>
    <row r="667" spans="1:7">
      <c r="A667" s="210" t="s">
        <v>938</v>
      </c>
      <c r="B667" s="157" t="s">
        <v>657</v>
      </c>
      <c r="C667" s="56">
        <v>45737</v>
      </c>
      <c r="D667" s="123">
        <v>420</v>
      </c>
      <c r="E667" s="43"/>
      <c r="F667" s="109" t="s">
        <v>1273</v>
      </c>
      <c r="G667" t="str">
        <f t="shared" si="10"/>
        <v>March</v>
      </c>
    </row>
    <row r="668" spans="1:7" ht="15.75">
      <c r="A668" s="210" t="s">
        <v>656</v>
      </c>
      <c r="B668" s="242" t="s">
        <v>1091</v>
      </c>
      <c r="C668" s="56">
        <v>45737</v>
      </c>
      <c r="D668" s="123">
        <v>270</v>
      </c>
      <c r="E668" s="43"/>
      <c r="F668" s="109" t="s">
        <v>1237</v>
      </c>
      <c r="G668" t="str">
        <f t="shared" si="10"/>
        <v>March</v>
      </c>
    </row>
    <row r="669" spans="1:7">
      <c r="A669" s="210" t="s">
        <v>900</v>
      </c>
      <c r="B669" s="157" t="s">
        <v>657</v>
      </c>
      <c r="C669" s="56">
        <v>45737</v>
      </c>
      <c r="D669" s="123" t="s">
        <v>1192</v>
      </c>
      <c r="E669" s="43"/>
      <c r="G669" t="str">
        <f t="shared" si="10"/>
        <v>March</v>
      </c>
    </row>
    <row r="670" spans="1:7" ht="30">
      <c r="A670" s="210" t="s">
        <v>1100</v>
      </c>
      <c r="B670" s="243" t="s">
        <v>140</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657</v>
      </c>
      <c r="C672" s="56">
        <v>45737</v>
      </c>
      <c r="D672" s="123">
        <v>360</v>
      </c>
      <c r="E672" s="43"/>
      <c r="F672" s="109" t="s">
        <v>1275</v>
      </c>
      <c r="G672" t="str">
        <f t="shared" si="10"/>
        <v>March</v>
      </c>
    </row>
    <row r="673" spans="1:7">
      <c r="A673" s="141" t="s">
        <v>947</v>
      </c>
      <c r="B673" s="243" t="s">
        <v>140</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657</v>
      </c>
      <c r="C675" s="56">
        <v>45740</v>
      </c>
      <c r="D675" s="141">
        <v>982</v>
      </c>
      <c r="E675" s="43" t="s">
        <v>1278</v>
      </c>
      <c r="F675" s="109" t="s">
        <v>1170</v>
      </c>
      <c r="G675" t="str">
        <f t="shared" si="10"/>
        <v>March</v>
      </c>
    </row>
    <row r="676" spans="1:7">
      <c r="A676" s="141" t="s">
        <v>818</v>
      </c>
      <c r="B676" s="141" t="s">
        <v>657</v>
      </c>
      <c r="C676" s="56">
        <v>45740</v>
      </c>
      <c r="D676" s="141">
        <v>691</v>
      </c>
      <c r="E676" s="43"/>
      <c r="F676" s="109" t="s">
        <v>1279</v>
      </c>
      <c r="G676" t="str">
        <f t="shared" si="10"/>
        <v>March</v>
      </c>
    </row>
    <row r="677" spans="1:7" ht="15.75">
      <c r="A677" s="141" t="s">
        <v>821</v>
      </c>
      <c r="B677" s="242" t="s">
        <v>128</v>
      </c>
      <c r="C677" s="56">
        <v>45740</v>
      </c>
      <c r="D677" s="142">
        <v>1430</v>
      </c>
      <c r="E677" s="109" t="s">
        <v>1171</v>
      </c>
      <c r="F677" s="109" t="s">
        <v>1280</v>
      </c>
      <c r="G677" t="str">
        <f t="shared" si="10"/>
        <v>March</v>
      </c>
    </row>
    <row r="678" spans="1:7" ht="15.75">
      <c r="A678" s="141" t="s">
        <v>827</v>
      </c>
      <c r="B678" s="242" t="s">
        <v>128</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653</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653</v>
      </c>
      <c r="C682" s="56">
        <v>45740</v>
      </c>
      <c r="D682" s="141"/>
      <c r="E682" s="43"/>
      <c r="F682" s="141" t="s">
        <v>1214</v>
      </c>
      <c r="G682" t="str">
        <f t="shared" si="10"/>
        <v>March</v>
      </c>
    </row>
    <row r="683" spans="1:7">
      <c r="A683" s="154" t="s">
        <v>1101</v>
      </c>
      <c r="B683" s="154" t="s">
        <v>653</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656</v>
      </c>
      <c r="B685" s="242" t="s">
        <v>1091</v>
      </c>
      <c r="C685" s="56">
        <v>45740</v>
      </c>
      <c r="D685" s="141">
        <v>58</v>
      </c>
      <c r="E685" s="43" t="s">
        <v>1284</v>
      </c>
      <c r="F685" s="43" t="s">
        <v>1285</v>
      </c>
      <c r="G685" t="str">
        <f t="shared" si="10"/>
        <v>March</v>
      </c>
    </row>
    <row r="686" spans="1:7">
      <c r="A686" s="141" t="s">
        <v>1044</v>
      </c>
      <c r="B686" s="243" t="s">
        <v>140</v>
      </c>
      <c r="C686" s="56">
        <v>45741</v>
      </c>
      <c r="D686" s="141">
        <v>575</v>
      </c>
      <c r="E686" s="43"/>
      <c r="G686" t="str">
        <f t="shared" si="10"/>
        <v>March</v>
      </c>
    </row>
    <row r="687" spans="1:7">
      <c r="A687" s="154" t="s">
        <v>1101</v>
      </c>
      <c r="B687" s="154" t="s">
        <v>653</v>
      </c>
      <c r="C687" s="56">
        <v>45741</v>
      </c>
      <c r="D687" s="154"/>
      <c r="E687" s="43"/>
      <c r="F687" s="154" t="s">
        <v>1277</v>
      </c>
      <c r="G687" t="str">
        <f t="shared" si="10"/>
        <v>March</v>
      </c>
    </row>
    <row r="688" spans="1:7">
      <c r="A688" s="141" t="s">
        <v>938</v>
      </c>
      <c r="B688" s="141" t="s">
        <v>657</v>
      </c>
      <c r="C688" s="56">
        <v>45741</v>
      </c>
      <c r="D688" s="141">
        <v>749</v>
      </c>
      <c r="E688" s="43"/>
      <c r="F688" s="109" t="s">
        <v>1286</v>
      </c>
      <c r="G688" t="str">
        <f t="shared" si="10"/>
        <v>March</v>
      </c>
    </row>
    <row r="689" spans="1:7">
      <c r="A689" s="141" t="s">
        <v>656</v>
      </c>
      <c r="B689" s="141" t="s">
        <v>657</v>
      </c>
      <c r="C689" s="56">
        <v>45741</v>
      </c>
      <c r="D689" s="141">
        <v>574</v>
      </c>
      <c r="E689" s="43"/>
      <c r="F689" s="109" t="s">
        <v>1287</v>
      </c>
      <c r="G689" t="str">
        <f t="shared" si="10"/>
        <v>March</v>
      </c>
    </row>
    <row r="690" spans="1:7" ht="15.75">
      <c r="A690" s="141" t="s">
        <v>821</v>
      </c>
      <c r="B690" s="242" t="s">
        <v>128</v>
      </c>
      <c r="C690" s="56">
        <v>45741</v>
      </c>
      <c r="D690" s="142">
        <v>1383</v>
      </c>
      <c r="E690" s="109" t="s">
        <v>1288</v>
      </c>
      <c r="F690" s="109" t="s">
        <v>1289</v>
      </c>
      <c r="G690" t="str">
        <f t="shared" si="10"/>
        <v>March</v>
      </c>
    </row>
    <row r="691" spans="1:7" ht="15.75">
      <c r="A691" s="141" t="s">
        <v>827</v>
      </c>
      <c r="B691" s="242" t="s">
        <v>128</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653</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663</v>
      </c>
      <c r="B697" s="154" t="s">
        <v>653</v>
      </c>
      <c r="C697" s="56">
        <v>45741</v>
      </c>
      <c r="D697" s="141"/>
      <c r="E697" s="43"/>
      <c r="F697" s="141" t="s">
        <v>1214</v>
      </c>
      <c r="G697" t="str">
        <f t="shared" si="10"/>
        <v>March</v>
      </c>
    </row>
    <row r="698" spans="1:7">
      <c r="A698" s="141" t="s">
        <v>652</v>
      </c>
      <c r="B698" s="154" t="s">
        <v>653</v>
      </c>
      <c r="C698" s="56">
        <v>45741</v>
      </c>
      <c r="D698" s="142">
        <v>1065</v>
      </c>
      <c r="E698" s="141" t="s">
        <v>1282</v>
      </c>
      <c r="F698" s="109" t="s">
        <v>1294</v>
      </c>
      <c r="G698" t="str">
        <f t="shared" si="10"/>
        <v>March</v>
      </c>
    </row>
    <row r="699" spans="1:7">
      <c r="A699" s="141" t="s">
        <v>656</v>
      </c>
      <c r="B699" s="141" t="s">
        <v>667</v>
      </c>
      <c r="C699" s="56">
        <v>45741</v>
      </c>
      <c r="D699" s="141"/>
      <c r="E699" s="43"/>
      <c r="F699" s="141" t="s">
        <v>1295</v>
      </c>
      <c r="G699" t="str">
        <f t="shared" si="10"/>
        <v>March</v>
      </c>
    </row>
    <row r="700" spans="1:7">
      <c r="A700" s="141" t="s">
        <v>913</v>
      </c>
      <c r="B700" s="154" t="s">
        <v>653</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667</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128</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140</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657</v>
      </c>
      <c r="C711" s="56">
        <v>45742</v>
      </c>
      <c r="D711" s="210">
        <v>713</v>
      </c>
      <c r="E711" s="109"/>
      <c r="F711" s="109" t="s">
        <v>1299</v>
      </c>
      <c r="G711" t="str">
        <f t="shared" si="11"/>
        <v>March</v>
      </c>
    </row>
    <row r="712" spans="1:7">
      <c r="A712" s="141" t="s">
        <v>656</v>
      </c>
      <c r="B712" s="210" t="s">
        <v>657</v>
      </c>
      <c r="C712" s="56">
        <v>45742</v>
      </c>
      <c r="D712" s="210">
        <v>545</v>
      </c>
      <c r="E712" s="43"/>
      <c r="F712" s="109" t="s">
        <v>1300</v>
      </c>
      <c r="G712" t="str">
        <f t="shared" si="11"/>
        <v>March</v>
      </c>
    </row>
    <row r="713" spans="1:7" ht="15.75">
      <c r="A713" s="141" t="s">
        <v>821</v>
      </c>
      <c r="B713" s="242" t="s">
        <v>128</v>
      </c>
      <c r="C713" s="56">
        <v>45742</v>
      </c>
      <c r="D713" s="209">
        <v>1334</v>
      </c>
      <c r="E713" s="109" t="s">
        <v>1210</v>
      </c>
      <c r="F713" s="109" t="s">
        <v>1171</v>
      </c>
      <c r="G713" t="str">
        <f t="shared" si="11"/>
        <v>March</v>
      </c>
    </row>
    <row r="714" spans="1:7" ht="15.75">
      <c r="A714" s="141" t="s">
        <v>827</v>
      </c>
      <c r="B714" s="242" t="s">
        <v>128</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653</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652</v>
      </c>
      <c r="B720" s="154" t="s">
        <v>653</v>
      </c>
      <c r="C720" s="56">
        <v>45742</v>
      </c>
      <c r="D720" s="210">
        <v>825</v>
      </c>
      <c r="E720" s="43" t="s">
        <v>1302</v>
      </c>
      <c r="F720" s="109" t="s">
        <v>1177</v>
      </c>
      <c r="G720" t="str">
        <f t="shared" si="11"/>
        <v>March</v>
      </c>
    </row>
    <row r="721" spans="1:7">
      <c r="A721" s="141" t="s">
        <v>656</v>
      </c>
      <c r="B721" s="141" t="s">
        <v>667</v>
      </c>
      <c r="C721" s="56">
        <v>45742</v>
      </c>
      <c r="D721" s="210">
        <v>159</v>
      </c>
      <c r="E721" s="43" t="s">
        <v>1293</v>
      </c>
      <c r="F721" s="109" t="s">
        <v>1208</v>
      </c>
      <c r="G721" t="str">
        <f t="shared" si="11"/>
        <v>March</v>
      </c>
    </row>
    <row r="722" spans="1:7">
      <c r="A722" s="141" t="s">
        <v>913</v>
      </c>
      <c r="B722" s="154" t="s">
        <v>653</v>
      </c>
      <c r="C722" s="56">
        <v>45742</v>
      </c>
      <c r="D722" s="210"/>
      <c r="E722" s="43"/>
      <c r="F722" s="210" t="s">
        <v>1214</v>
      </c>
      <c r="G722" t="str">
        <f t="shared" si="11"/>
        <v>March</v>
      </c>
    </row>
    <row r="723" spans="1:7">
      <c r="A723" s="141" t="s">
        <v>815</v>
      </c>
      <c r="B723" s="141" t="s">
        <v>667</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128</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667</v>
      </c>
      <c r="C729" s="56">
        <v>45743</v>
      </c>
      <c r="D729" s="210">
        <v>290</v>
      </c>
      <c r="E729" s="43"/>
      <c r="G729" t="str">
        <f t="shared" si="11"/>
        <v>March</v>
      </c>
    </row>
    <row r="730" spans="1:7">
      <c r="A730" s="141" t="s">
        <v>938</v>
      </c>
      <c r="B730" s="141" t="s">
        <v>657</v>
      </c>
      <c r="C730" s="56">
        <v>45743</v>
      </c>
      <c r="D730" s="210"/>
      <c r="E730" s="43"/>
      <c r="F730" s="210" t="s">
        <v>1306</v>
      </c>
      <c r="G730" t="str">
        <f t="shared" si="11"/>
        <v>March</v>
      </c>
    </row>
    <row r="731" spans="1:7">
      <c r="A731" s="141" t="s">
        <v>656</v>
      </c>
      <c r="B731" s="141" t="s">
        <v>657</v>
      </c>
      <c r="C731" s="56">
        <v>45743</v>
      </c>
      <c r="D731" s="210">
        <v>593</v>
      </c>
      <c r="E731" s="43"/>
      <c r="F731" s="109" t="s">
        <v>1307</v>
      </c>
      <c r="G731" t="str">
        <f t="shared" si="11"/>
        <v>March</v>
      </c>
    </row>
    <row r="732" spans="1:7" ht="15.75">
      <c r="A732" s="141" t="s">
        <v>821</v>
      </c>
      <c r="B732" s="242" t="s">
        <v>128</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653</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652</v>
      </c>
      <c r="B738" s="154" t="s">
        <v>653</v>
      </c>
      <c r="C738" s="56">
        <v>45743</v>
      </c>
      <c r="D738" s="210">
        <v>705</v>
      </c>
      <c r="E738" s="109" t="s">
        <v>1282</v>
      </c>
      <c r="G738" t="str">
        <f t="shared" si="11"/>
        <v>March</v>
      </c>
      <c r="H738" s="164"/>
      <c r="I738" s="164"/>
      <c r="J738" s="164"/>
      <c r="K738" s="164"/>
      <c r="L738" s="164"/>
      <c r="M738" s="164"/>
    </row>
    <row r="739" spans="1:13">
      <c r="A739" s="141" t="s">
        <v>656</v>
      </c>
      <c r="B739" s="141" t="s">
        <v>667</v>
      </c>
      <c r="C739" s="56">
        <v>45743</v>
      </c>
      <c r="D739" s="210">
        <v>416</v>
      </c>
      <c r="E739" s="109" t="s">
        <v>1311</v>
      </c>
      <c r="F739" s="109" t="s">
        <v>1307</v>
      </c>
      <c r="G739" t="str">
        <f t="shared" si="11"/>
        <v>March</v>
      </c>
      <c r="H739" s="164"/>
      <c r="I739" s="254"/>
      <c r="J739" s="254"/>
      <c r="K739" s="164"/>
      <c r="L739" s="164"/>
      <c r="M739" s="164"/>
    </row>
    <row r="740" spans="1:13">
      <c r="A740" s="141" t="s">
        <v>913</v>
      </c>
      <c r="B740" s="154" t="s">
        <v>653</v>
      </c>
      <c r="C740" s="56">
        <v>45743</v>
      </c>
      <c r="D740" s="158"/>
      <c r="E740" s="43"/>
      <c r="F740" s="158" t="s">
        <v>1312</v>
      </c>
      <c r="G740" t="str">
        <f t="shared" si="11"/>
        <v>March</v>
      </c>
      <c r="H740" s="164"/>
      <c r="I740" s="254"/>
      <c r="J740" s="254"/>
      <c r="K740" s="164"/>
      <c r="L740" s="164"/>
      <c r="M740" s="164"/>
    </row>
    <row r="741" spans="1:13" ht="15.75">
      <c r="A741" s="141" t="s">
        <v>827</v>
      </c>
      <c r="B741" s="242" t="s">
        <v>128</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667</v>
      </c>
      <c r="C746" s="56">
        <v>45744</v>
      </c>
      <c r="D746" s="210">
        <v>673</v>
      </c>
      <c r="E746" s="43"/>
      <c r="G746" t="str">
        <f t="shared" si="11"/>
        <v>March</v>
      </c>
      <c r="H746" s="164"/>
      <c r="I746" s="164"/>
      <c r="J746" s="164"/>
      <c r="K746" s="164"/>
      <c r="L746" s="164"/>
      <c r="M746" s="164"/>
    </row>
    <row r="747" spans="1:13">
      <c r="A747" s="141" t="s">
        <v>812</v>
      </c>
      <c r="B747" s="141" t="s">
        <v>657</v>
      </c>
      <c r="C747" s="56">
        <v>45744</v>
      </c>
      <c r="D747" s="210" t="s">
        <v>1192</v>
      </c>
      <c r="E747" s="43"/>
      <c r="G747" t="str">
        <f t="shared" si="11"/>
        <v>March</v>
      </c>
      <c r="H747" s="164"/>
      <c r="I747" s="164"/>
      <c r="J747" s="164"/>
      <c r="K747" s="164"/>
      <c r="L747" s="164"/>
      <c r="M747" s="164"/>
    </row>
    <row r="748" spans="1:13">
      <c r="A748" s="141" t="s">
        <v>656</v>
      </c>
      <c r="B748" s="141" t="s">
        <v>657</v>
      </c>
      <c r="C748" s="56">
        <v>45744</v>
      </c>
      <c r="D748" s="210" t="s">
        <v>1192</v>
      </c>
      <c r="E748" s="43"/>
      <c r="G748" t="str">
        <f t="shared" si="11"/>
        <v>March</v>
      </c>
      <c r="H748" s="164"/>
      <c r="I748" s="164"/>
      <c r="J748" s="164"/>
      <c r="K748" s="164"/>
      <c r="L748" s="164"/>
      <c r="M748" s="164"/>
    </row>
    <row r="749" spans="1:13" ht="15.75">
      <c r="A749" s="141" t="s">
        <v>827</v>
      </c>
      <c r="B749" s="242" t="s">
        <v>128</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128</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656</v>
      </c>
      <c r="B755" s="141" t="s">
        <v>667</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128</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663</v>
      </c>
      <c r="B763" s="154" t="s">
        <v>653</v>
      </c>
      <c r="C763" s="56">
        <v>45747</v>
      </c>
      <c r="D763" s="210">
        <v>0</v>
      </c>
      <c r="E763" s="43"/>
      <c r="F763" s="210" t="s">
        <v>1214</v>
      </c>
      <c r="G763" t="str">
        <f t="shared" si="11"/>
        <v>March</v>
      </c>
    </row>
    <row r="764" spans="1:13">
      <c r="A764" s="141" t="s">
        <v>812</v>
      </c>
      <c r="B764" s="141" t="s">
        <v>657</v>
      </c>
      <c r="C764" s="56">
        <v>45747</v>
      </c>
      <c r="D764" s="209">
        <v>1880</v>
      </c>
      <c r="E764" s="109" t="s">
        <v>1276</v>
      </c>
      <c r="F764" s="109" t="s">
        <v>1165</v>
      </c>
      <c r="G764" t="str">
        <f t="shared" si="11"/>
        <v>March</v>
      </c>
    </row>
    <row r="765" spans="1:13">
      <c r="A765" s="141" t="s">
        <v>656</v>
      </c>
      <c r="B765" s="141" t="s">
        <v>657</v>
      </c>
      <c r="C765" s="56">
        <v>45747</v>
      </c>
      <c r="D765" s="210">
        <v>265</v>
      </c>
      <c r="E765" s="43"/>
      <c r="F765" s="43" t="s">
        <v>1323</v>
      </c>
      <c r="G765" t="str">
        <f t="shared" si="11"/>
        <v>March</v>
      </c>
    </row>
    <row r="766" spans="1:13" ht="15.75">
      <c r="A766" s="141" t="s">
        <v>827</v>
      </c>
      <c r="B766" s="242" t="s">
        <v>128</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656</v>
      </c>
      <c r="B770" s="141" t="s">
        <v>667</v>
      </c>
      <c r="C770" s="56">
        <v>45747</v>
      </c>
      <c r="D770" s="210">
        <v>0</v>
      </c>
      <c r="E770" s="43"/>
      <c r="F770" s="210" t="s">
        <v>1326</v>
      </c>
      <c r="G770" t="str">
        <f t="shared" si="11"/>
        <v>March</v>
      </c>
      <c r="H770" s="254"/>
      <c r="I770" s="254"/>
      <c r="J770" s="254"/>
      <c r="K770" s="164"/>
    </row>
    <row r="771" spans="1:11">
      <c r="A771" s="141" t="s">
        <v>900</v>
      </c>
      <c r="B771" s="154" t="s">
        <v>653</v>
      </c>
      <c r="C771" s="56">
        <v>45747</v>
      </c>
      <c r="D771" s="210">
        <v>0</v>
      </c>
      <c r="E771" s="43"/>
      <c r="F771" s="210" t="s">
        <v>1327</v>
      </c>
      <c r="G771" t="str">
        <f t="shared" ref="G771:G834" si="12">TEXT(C771,"mmmm")</f>
        <v>March</v>
      </c>
      <c r="H771" s="254"/>
      <c r="I771" s="254"/>
      <c r="J771" s="254"/>
      <c r="K771" s="164"/>
    </row>
    <row r="772" spans="1:11">
      <c r="A772" s="141" t="s">
        <v>829</v>
      </c>
      <c r="B772" s="141" t="s">
        <v>657</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128</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128</v>
      </c>
      <c r="C778" s="56">
        <v>45747</v>
      </c>
      <c r="D778" s="142">
        <v>1355</v>
      </c>
      <c r="E778" s="43"/>
      <c r="G778" t="str">
        <f t="shared" si="12"/>
        <v>March</v>
      </c>
      <c r="H778" s="164"/>
      <c r="I778" s="164"/>
      <c r="J778" s="164"/>
      <c r="K778" s="164"/>
    </row>
    <row r="779" spans="1:11">
      <c r="A779" s="141" t="s">
        <v>549</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653</v>
      </c>
      <c r="C781" s="56">
        <v>45748</v>
      </c>
      <c r="D781" s="141"/>
      <c r="E781" s="43"/>
      <c r="F781" s="141" t="s">
        <v>1214</v>
      </c>
      <c r="G781" t="str">
        <f t="shared" si="12"/>
        <v>April</v>
      </c>
      <c r="H781" s="164"/>
      <c r="I781" s="164"/>
      <c r="J781" s="164"/>
      <c r="K781" s="164"/>
    </row>
    <row r="782" spans="1:11">
      <c r="A782" s="141" t="s">
        <v>812</v>
      </c>
      <c r="B782" s="141" t="s">
        <v>657</v>
      </c>
      <c r="C782" s="56">
        <v>45748</v>
      </c>
      <c r="D782" s="141" t="s">
        <v>1192</v>
      </c>
      <c r="E782" s="43"/>
      <c r="G782" t="str">
        <f t="shared" si="12"/>
        <v>April</v>
      </c>
      <c r="H782" s="164"/>
      <c r="I782" s="164"/>
      <c r="J782" s="164"/>
      <c r="K782" s="164"/>
    </row>
    <row r="783" spans="1:11">
      <c r="A783" s="141" t="s">
        <v>656</v>
      </c>
      <c r="B783" s="141" t="s">
        <v>657</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653</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128</v>
      </c>
      <c r="C789" s="56">
        <v>45748</v>
      </c>
      <c r="D789" s="141" t="s">
        <v>1330</v>
      </c>
      <c r="E789" s="43"/>
      <c r="G789" t="str">
        <f t="shared" si="12"/>
        <v>April</v>
      </c>
      <c r="H789" s="164"/>
      <c r="I789" s="164"/>
      <c r="J789" s="164"/>
      <c r="K789" s="164"/>
    </row>
    <row r="790" spans="1:11" ht="15.75">
      <c r="A790" s="141" t="s">
        <v>692</v>
      </c>
      <c r="B790" s="242" t="s">
        <v>128</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543</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653</v>
      </c>
      <c r="C795" s="56">
        <v>45749</v>
      </c>
      <c r="D795" s="141">
        <v>0</v>
      </c>
      <c r="E795" s="43"/>
      <c r="F795" s="141" t="s">
        <v>1214</v>
      </c>
      <c r="G795" t="str">
        <f t="shared" si="12"/>
        <v>April</v>
      </c>
      <c r="H795" s="164"/>
      <c r="I795" s="164"/>
      <c r="J795" s="164"/>
      <c r="K795" s="164"/>
    </row>
    <row r="796" spans="1:11">
      <c r="A796" s="141" t="s">
        <v>812</v>
      </c>
      <c r="B796" s="141" t="s">
        <v>657</v>
      </c>
      <c r="C796" s="56">
        <v>45749</v>
      </c>
      <c r="D796" s="141" t="s">
        <v>1192</v>
      </c>
      <c r="E796" s="43"/>
      <c r="G796" t="str">
        <f t="shared" si="12"/>
        <v>April</v>
      </c>
      <c r="H796" s="254"/>
      <c r="I796" s="254"/>
      <c r="J796" s="164"/>
      <c r="K796" s="164"/>
    </row>
    <row r="797" spans="1:11">
      <c r="A797" s="141" t="s">
        <v>656</v>
      </c>
      <c r="B797" s="141" t="s">
        <v>657</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653</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128</v>
      </c>
      <c r="C803" s="56">
        <v>45749</v>
      </c>
      <c r="D803" s="142">
        <v>1394</v>
      </c>
      <c r="E803" s="43"/>
      <c r="F803" s="43" t="s">
        <v>1170</v>
      </c>
      <c r="G803" t="str">
        <f t="shared" si="12"/>
        <v>April</v>
      </c>
    </row>
    <row r="804" spans="1:11" ht="15.75">
      <c r="A804" s="141" t="s">
        <v>692</v>
      </c>
      <c r="B804" s="242" t="s">
        <v>128</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543</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653</v>
      </c>
      <c r="C809" s="56">
        <v>45750</v>
      </c>
      <c r="D809" s="43">
        <v>192</v>
      </c>
      <c r="E809" s="43"/>
      <c r="G809" t="str">
        <f t="shared" si="12"/>
        <v>April</v>
      </c>
    </row>
    <row r="810" spans="1:11">
      <c r="A810" s="141" t="s">
        <v>818</v>
      </c>
      <c r="B810" s="141" t="s">
        <v>657</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140</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128</v>
      </c>
      <c r="C816" s="56">
        <v>45750</v>
      </c>
      <c r="D816" s="155">
        <v>1334</v>
      </c>
      <c r="E816" s="43"/>
      <c r="F816" s="43" t="s">
        <v>1339</v>
      </c>
      <c r="G816" t="str">
        <f t="shared" si="12"/>
        <v>April</v>
      </c>
    </row>
    <row r="817" spans="1:7" ht="15.75">
      <c r="A817" s="141" t="s">
        <v>738</v>
      </c>
      <c r="B817" s="242" t="s">
        <v>128</v>
      </c>
      <c r="C817" s="56">
        <v>45750</v>
      </c>
      <c r="D817" s="155">
        <v>1970</v>
      </c>
      <c r="E817" s="43"/>
      <c r="F817" s="43" t="s">
        <v>1340</v>
      </c>
      <c r="G817" t="str">
        <f t="shared" si="12"/>
        <v>April</v>
      </c>
    </row>
    <row r="818" spans="1:7" ht="15.75">
      <c r="A818" s="141" t="s">
        <v>692</v>
      </c>
      <c r="B818" s="242" t="s">
        <v>128</v>
      </c>
      <c r="C818" s="56">
        <v>45750</v>
      </c>
      <c r="E818" s="43"/>
      <c r="F818" s="141" t="s">
        <v>1341</v>
      </c>
      <c r="G818" t="str">
        <f t="shared" si="12"/>
        <v>April</v>
      </c>
    </row>
    <row r="819" spans="1:7">
      <c r="A819" s="134" t="s">
        <v>554</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543</v>
      </c>
      <c r="B821" s="141" t="s">
        <v>1092</v>
      </c>
      <c r="C821" s="56">
        <v>45750</v>
      </c>
      <c r="E821" s="43"/>
      <c r="F821" s="141" t="s">
        <v>1341</v>
      </c>
      <c r="G821" t="str">
        <f t="shared" si="12"/>
        <v>April</v>
      </c>
    </row>
    <row r="822" spans="1:7">
      <c r="A822" s="141" t="s">
        <v>656</v>
      </c>
      <c r="B822" s="243" t="s">
        <v>140</v>
      </c>
      <c r="C822" s="56">
        <v>45751</v>
      </c>
      <c r="D822" s="43">
        <v>635</v>
      </c>
      <c r="E822" s="43"/>
      <c r="F822" s="43" t="s">
        <v>1342</v>
      </c>
      <c r="G822" t="str">
        <f t="shared" si="12"/>
        <v>April</v>
      </c>
    </row>
    <row r="823" spans="1:7">
      <c r="A823" s="141" t="s">
        <v>824</v>
      </c>
      <c r="B823" s="154" t="s">
        <v>653</v>
      </c>
      <c r="C823" s="56">
        <v>45751</v>
      </c>
      <c r="E823" s="43"/>
      <c r="F823" s="141" t="s">
        <v>1302</v>
      </c>
      <c r="G823" t="str">
        <f t="shared" si="12"/>
        <v>April</v>
      </c>
    </row>
    <row r="824" spans="1:7">
      <c r="A824" s="141" t="s">
        <v>818</v>
      </c>
      <c r="B824" s="141" t="s">
        <v>657</v>
      </c>
      <c r="C824" s="56">
        <v>45751</v>
      </c>
      <c r="D824" s="43">
        <v>594</v>
      </c>
      <c r="E824" s="43"/>
      <c r="F824" s="43" t="s">
        <v>1343</v>
      </c>
      <c r="G824" t="str">
        <f t="shared" si="12"/>
        <v>April</v>
      </c>
    </row>
    <row r="825" spans="1:7">
      <c r="A825" s="141" t="s">
        <v>656</v>
      </c>
      <c r="B825" s="141" t="s">
        <v>657</v>
      </c>
      <c r="C825" s="56">
        <v>45751</v>
      </c>
      <c r="E825" s="43"/>
      <c r="F825" s="141" t="s">
        <v>1344</v>
      </c>
      <c r="G825" t="str">
        <f t="shared" si="12"/>
        <v>April</v>
      </c>
    </row>
    <row r="826" spans="1:7">
      <c r="A826" s="141" t="s">
        <v>839</v>
      </c>
      <c r="B826" s="141" t="s">
        <v>657</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128</v>
      </c>
      <c r="C831" s="56">
        <v>45751</v>
      </c>
      <c r="E831" s="43"/>
      <c r="F831" s="141" t="s">
        <v>1341</v>
      </c>
      <c r="G831" t="str">
        <f t="shared" si="12"/>
        <v>April</v>
      </c>
    </row>
    <row r="832" spans="1:7">
      <c r="A832" s="134" t="s">
        <v>554</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543</v>
      </c>
      <c r="B834" s="141" t="s">
        <v>1092</v>
      </c>
      <c r="C834" s="56">
        <v>45751</v>
      </c>
      <c r="E834" s="43"/>
      <c r="F834" s="141" t="s">
        <v>1341</v>
      </c>
      <c r="G834" t="str">
        <f t="shared" si="12"/>
        <v>April</v>
      </c>
    </row>
    <row r="835" spans="1:7" ht="15.75">
      <c r="A835" s="247" t="s">
        <v>738</v>
      </c>
      <c r="B835" s="242" t="s">
        <v>128</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657</v>
      </c>
      <c r="C837" s="56">
        <v>45754</v>
      </c>
      <c r="D837" s="43">
        <v>367</v>
      </c>
      <c r="E837" s="43"/>
      <c r="F837" s="43" t="s">
        <v>1348</v>
      </c>
      <c r="G837" t="str">
        <f t="shared" si="13"/>
        <v>April</v>
      </c>
    </row>
    <row r="838" spans="1:7">
      <c r="A838" s="141" t="s">
        <v>824</v>
      </c>
      <c r="B838" s="154" t="s">
        <v>653</v>
      </c>
      <c r="C838" s="56">
        <v>45754</v>
      </c>
      <c r="D838" s="141">
        <v>132</v>
      </c>
      <c r="E838" s="43"/>
      <c r="G838" t="str">
        <f t="shared" si="13"/>
        <v>April</v>
      </c>
    </row>
    <row r="839" spans="1:7">
      <c r="A839" s="141" t="s">
        <v>947</v>
      </c>
      <c r="B839" s="154" t="s">
        <v>653</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679</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128</v>
      </c>
      <c r="C845" s="56">
        <v>45754</v>
      </c>
      <c r="D845" s="43">
        <v>618</v>
      </c>
      <c r="E845" s="43"/>
      <c r="F845" s="43" t="s">
        <v>1351</v>
      </c>
      <c r="G845" t="str">
        <f t="shared" si="13"/>
        <v>April</v>
      </c>
    </row>
    <row r="846" spans="1:7" ht="15.75">
      <c r="A846" s="141" t="s">
        <v>740</v>
      </c>
      <c r="B846" s="242" t="s">
        <v>128</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128</v>
      </c>
      <c r="C851" s="56">
        <v>45755</v>
      </c>
      <c r="D851" s="43">
        <v>700</v>
      </c>
      <c r="E851" s="43"/>
      <c r="F851" s="43" t="s">
        <v>1175</v>
      </c>
      <c r="G851" t="str">
        <f t="shared" si="13"/>
        <v>April</v>
      </c>
    </row>
    <row r="852" spans="1:7" ht="15.75">
      <c r="A852" s="141" t="s">
        <v>740</v>
      </c>
      <c r="B852" s="242" t="s">
        <v>128</v>
      </c>
      <c r="C852" s="56">
        <v>45755</v>
      </c>
      <c r="D852" s="155">
        <v>1520</v>
      </c>
      <c r="E852" s="43"/>
      <c r="F852" s="43" t="s">
        <v>1256</v>
      </c>
      <c r="G852" t="str">
        <f t="shared" si="13"/>
        <v>April</v>
      </c>
    </row>
    <row r="853" spans="1:7" ht="15.75">
      <c r="A853" s="141" t="s">
        <v>785</v>
      </c>
      <c r="B853" s="242" t="s">
        <v>128</v>
      </c>
      <c r="C853" s="56">
        <v>45755</v>
      </c>
      <c r="D853" s="43">
        <v>150</v>
      </c>
      <c r="E853" s="43"/>
      <c r="G853" t="str">
        <f t="shared" si="13"/>
        <v>April</v>
      </c>
    </row>
    <row r="854" spans="1:7" ht="15.75">
      <c r="A854" s="141" t="s">
        <v>692</v>
      </c>
      <c r="B854" s="242" t="s">
        <v>128</v>
      </c>
      <c r="C854" s="56">
        <v>45755</v>
      </c>
      <c r="E854" s="43"/>
      <c r="F854" s="141" t="s">
        <v>1341</v>
      </c>
      <c r="G854" t="str">
        <f t="shared" si="13"/>
        <v>April</v>
      </c>
    </row>
    <row r="855" spans="1:7">
      <c r="A855" s="134" t="s">
        <v>554</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543</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657</v>
      </c>
      <c r="C859" s="56">
        <v>45756</v>
      </c>
      <c r="E859" s="43"/>
      <c r="F859" s="78" t="s">
        <v>1354</v>
      </c>
      <c r="G859" t="str">
        <f t="shared" si="13"/>
        <v>April</v>
      </c>
    </row>
    <row r="860" spans="1:7">
      <c r="A860" s="141" t="s">
        <v>870</v>
      </c>
      <c r="B860" s="154" t="s">
        <v>653</v>
      </c>
      <c r="C860" s="56">
        <v>45756</v>
      </c>
      <c r="D860" s="155">
        <v>1376</v>
      </c>
      <c r="E860" s="43"/>
      <c r="F860" s="43" t="s">
        <v>1355</v>
      </c>
      <c r="G860" t="str">
        <f t="shared" si="13"/>
        <v>April</v>
      </c>
    </row>
    <row r="861" spans="1:7">
      <c r="A861" s="141" t="s">
        <v>862</v>
      </c>
      <c r="B861" s="141" t="s">
        <v>667</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128</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128</v>
      </c>
      <c r="C865" s="56">
        <v>45756</v>
      </c>
      <c r="E865" s="43"/>
      <c r="F865" s="141" t="s">
        <v>1341</v>
      </c>
      <c r="G865" t="str">
        <f t="shared" si="13"/>
        <v>April</v>
      </c>
    </row>
    <row r="866" spans="1:7">
      <c r="A866" s="134" t="s">
        <v>554</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543</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653</v>
      </c>
      <c r="C871" s="56">
        <v>45757</v>
      </c>
      <c r="D871" s="43">
        <v>875</v>
      </c>
      <c r="E871" s="43"/>
      <c r="F871" s="43" t="s">
        <v>1356</v>
      </c>
      <c r="G871" t="str">
        <f t="shared" si="13"/>
        <v>April</v>
      </c>
    </row>
    <row r="872" spans="1:7">
      <c r="A872" s="141" t="s">
        <v>896</v>
      </c>
      <c r="B872" s="141" t="s">
        <v>667</v>
      </c>
      <c r="C872" s="56">
        <v>45757</v>
      </c>
      <c r="D872" s="43">
        <v>711</v>
      </c>
      <c r="E872" s="43"/>
      <c r="F872" s="43" t="s">
        <v>1357</v>
      </c>
      <c r="G872" t="str">
        <f t="shared" si="13"/>
        <v>April</v>
      </c>
    </row>
    <row r="873" spans="1:7">
      <c r="A873" s="141" t="s">
        <v>862</v>
      </c>
      <c r="B873" s="243" t="s">
        <v>140</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128</v>
      </c>
      <c r="C876" s="56">
        <v>45757</v>
      </c>
      <c r="D876" s="155">
        <v>1330</v>
      </c>
      <c r="E876" s="43"/>
      <c r="F876" s="78" t="s">
        <v>1359</v>
      </c>
      <c r="G876" t="str">
        <f t="shared" si="13"/>
        <v>April</v>
      </c>
    </row>
    <row r="877" spans="1:7">
      <c r="A877" s="141" t="s">
        <v>862</v>
      </c>
      <c r="B877" s="141" t="s">
        <v>667</v>
      </c>
      <c r="C877" s="56">
        <v>45758</v>
      </c>
      <c r="D877" s="43">
        <v>431</v>
      </c>
      <c r="E877" s="43"/>
      <c r="G877" t="str">
        <f t="shared" si="13"/>
        <v>April</v>
      </c>
    </row>
    <row r="878" spans="1:7">
      <c r="A878" s="141" t="s">
        <v>870</v>
      </c>
      <c r="B878" s="154" t="s">
        <v>653</v>
      </c>
      <c r="C878" s="56">
        <v>45758</v>
      </c>
      <c r="D878" s="155">
        <v>1301</v>
      </c>
      <c r="E878" s="43"/>
      <c r="F878" s="43" t="s">
        <v>1360</v>
      </c>
      <c r="G878" t="str">
        <f t="shared" si="13"/>
        <v>April</v>
      </c>
    </row>
    <row r="879" spans="1:7">
      <c r="A879" s="141" t="s">
        <v>896</v>
      </c>
      <c r="B879" s="243" t="s">
        <v>140</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544</v>
      </c>
      <c r="C882" s="56">
        <v>45758</v>
      </c>
      <c r="E882" s="43"/>
      <c r="F882" s="141" t="s">
        <v>1362</v>
      </c>
      <c r="G882" t="str">
        <f t="shared" si="13"/>
        <v>April</v>
      </c>
    </row>
    <row r="883" spans="1:7">
      <c r="A883" s="141" t="s">
        <v>938</v>
      </c>
      <c r="B883" s="141" t="s">
        <v>544</v>
      </c>
      <c r="C883" s="56">
        <v>45758</v>
      </c>
      <c r="E883" s="43"/>
      <c r="F883" s="141" t="s">
        <v>1363</v>
      </c>
      <c r="G883" t="str">
        <f t="shared" si="13"/>
        <v>April</v>
      </c>
    </row>
    <row r="884" spans="1:7">
      <c r="A884" s="141" t="s">
        <v>815</v>
      </c>
      <c r="B884" s="154" t="s">
        <v>653</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128</v>
      </c>
      <c r="C887" s="56">
        <v>45758</v>
      </c>
      <c r="E887" s="43">
        <v>899</v>
      </c>
      <c r="F887" s="43" t="s">
        <v>1366</v>
      </c>
      <c r="G887" t="str">
        <f t="shared" si="13"/>
        <v>April</v>
      </c>
    </row>
    <row r="888" spans="1:7">
      <c r="A888" s="141" t="s">
        <v>862</v>
      </c>
      <c r="B888" s="141" t="s">
        <v>667</v>
      </c>
      <c r="C888" s="56">
        <v>45761</v>
      </c>
      <c r="D888" s="43">
        <v>276</v>
      </c>
      <c r="E888" s="43"/>
      <c r="F888" s="141"/>
      <c r="G888" t="str">
        <f t="shared" si="13"/>
        <v>April</v>
      </c>
    </row>
    <row r="889" spans="1:7">
      <c r="A889" s="141" t="s">
        <v>870</v>
      </c>
      <c r="B889" s="154" t="s">
        <v>653</v>
      </c>
      <c r="C889" s="56">
        <v>45761</v>
      </c>
      <c r="E889" s="43"/>
      <c r="F889" s="141" t="s">
        <v>1367</v>
      </c>
      <c r="G889" t="str">
        <f t="shared" si="13"/>
        <v>April</v>
      </c>
    </row>
    <row r="890" spans="1:7" ht="15.75">
      <c r="A890" s="141" t="s">
        <v>874</v>
      </c>
      <c r="B890" s="242" t="s">
        <v>128</v>
      </c>
      <c r="C890" s="56">
        <v>45761</v>
      </c>
      <c r="D890" s="155">
        <v>1335</v>
      </c>
      <c r="E890" s="43"/>
      <c r="F890" s="43" t="s">
        <v>1170</v>
      </c>
      <c r="G890" t="str">
        <f t="shared" si="13"/>
        <v>April</v>
      </c>
    </row>
    <row r="891" spans="1:7" ht="15.75">
      <c r="A891" s="141" t="s">
        <v>894</v>
      </c>
      <c r="B891" s="242" t="s">
        <v>128</v>
      </c>
      <c r="C891" s="56">
        <v>45761</v>
      </c>
      <c r="E891" s="43"/>
      <c r="G891" t="str">
        <f t="shared" si="13"/>
        <v>April</v>
      </c>
    </row>
    <row r="892" spans="1:7">
      <c r="A892" s="141" t="s">
        <v>896</v>
      </c>
      <c r="B892" s="243" t="s">
        <v>140</v>
      </c>
      <c r="C892" s="56">
        <v>45761</v>
      </c>
      <c r="D892" s="43">
        <v>796</v>
      </c>
      <c r="E892" s="43"/>
      <c r="F892" s="43" t="s">
        <v>1368</v>
      </c>
      <c r="G892" t="str">
        <f t="shared" si="13"/>
        <v>April</v>
      </c>
    </row>
    <row r="893" spans="1:7">
      <c r="A893" s="141" t="s">
        <v>1036</v>
      </c>
      <c r="B893" s="141" t="s">
        <v>667</v>
      </c>
      <c r="C893" s="56">
        <v>45761</v>
      </c>
      <c r="D893" s="43">
        <v>547</v>
      </c>
      <c r="E893" s="43"/>
      <c r="G893" t="str">
        <f t="shared" si="13"/>
        <v>April</v>
      </c>
    </row>
    <row r="894" spans="1:7">
      <c r="A894" s="141" t="s">
        <v>818</v>
      </c>
      <c r="B894" s="141" t="s">
        <v>544</v>
      </c>
      <c r="C894" s="56">
        <v>45761</v>
      </c>
      <c r="E894" s="43"/>
      <c r="G894" t="str">
        <f t="shared" si="13"/>
        <v>April</v>
      </c>
    </row>
    <row r="895" spans="1:7">
      <c r="A895" s="141" t="s">
        <v>938</v>
      </c>
      <c r="B895" s="141" t="s">
        <v>544</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667</v>
      </c>
      <c r="C898" s="56">
        <v>45762</v>
      </c>
      <c r="D898" s="43">
        <v>779</v>
      </c>
      <c r="E898" s="43"/>
      <c r="F898" s="43" t="s">
        <v>1190</v>
      </c>
      <c r="G898" t="str">
        <f t="shared" si="13"/>
        <v>April</v>
      </c>
    </row>
    <row r="899" spans="1:7">
      <c r="A899" s="141" t="s">
        <v>870</v>
      </c>
      <c r="B899" s="154" t="s">
        <v>653</v>
      </c>
      <c r="C899" s="56">
        <v>45762</v>
      </c>
      <c r="D899" s="155">
        <v>1018</v>
      </c>
      <c r="E899" s="43"/>
      <c r="F899" s="43" t="s">
        <v>1370</v>
      </c>
      <c r="G899" t="str">
        <f t="shared" ref="G899:G949" si="14">TEXT(C899,"mmmm")</f>
        <v>April</v>
      </c>
    </row>
    <row r="900" spans="1:7" ht="15.75">
      <c r="A900" s="141" t="s">
        <v>874</v>
      </c>
      <c r="B900" s="242" t="s">
        <v>128</v>
      </c>
      <c r="C900" s="56">
        <v>45762</v>
      </c>
      <c r="D900" s="155">
        <v>1133</v>
      </c>
      <c r="E900" s="43"/>
      <c r="F900" s="43" t="s">
        <v>1371</v>
      </c>
      <c r="G900" t="str">
        <f t="shared" si="14"/>
        <v>April</v>
      </c>
    </row>
    <row r="901" spans="1:7" ht="15.75">
      <c r="A901" s="141" t="s">
        <v>894</v>
      </c>
      <c r="B901" s="242" t="s">
        <v>128</v>
      </c>
      <c r="C901" s="56">
        <v>45762</v>
      </c>
      <c r="D901" s="155">
        <v>1526</v>
      </c>
      <c r="E901" s="43"/>
      <c r="F901" s="43" t="s">
        <v>1372</v>
      </c>
      <c r="G901" t="str">
        <f t="shared" si="14"/>
        <v>April</v>
      </c>
    </row>
    <row r="902" spans="1:7">
      <c r="A902" s="141" t="s">
        <v>896</v>
      </c>
      <c r="B902" s="243" t="s">
        <v>140</v>
      </c>
      <c r="C902" s="56">
        <v>45762</v>
      </c>
      <c r="D902" s="155">
        <v>1929</v>
      </c>
      <c r="E902" s="43"/>
      <c r="F902" s="43" t="s">
        <v>1373</v>
      </c>
      <c r="G902" t="str">
        <f t="shared" si="14"/>
        <v>April</v>
      </c>
    </row>
    <row r="903" spans="1:7">
      <c r="A903" s="141" t="s">
        <v>1036</v>
      </c>
      <c r="B903" s="141" t="s">
        <v>667</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544</v>
      </c>
      <c r="C905" s="56">
        <v>45762</v>
      </c>
      <c r="E905" s="43"/>
      <c r="F905" s="141" t="s">
        <v>1374</v>
      </c>
      <c r="G905" t="str">
        <f t="shared" si="14"/>
        <v>April</v>
      </c>
    </row>
    <row r="906" spans="1:7">
      <c r="A906" s="141" t="s">
        <v>938</v>
      </c>
      <c r="B906" s="141" t="s">
        <v>544</v>
      </c>
      <c r="C906" s="56">
        <v>45762</v>
      </c>
      <c r="E906" s="43"/>
      <c r="F906" s="141" t="s">
        <v>1374</v>
      </c>
      <c r="G906" t="str">
        <f t="shared" si="14"/>
        <v>April</v>
      </c>
    </row>
    <row r="907" spans="1:7">
      <c r="A907" s="141" t="s">
        <v>911</v>
      </c>
      <c r="B907" s="141" t="s">
        <v>544</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653</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667</v>
      </c>
      <c r="C913" s="56">
        <v>45763</v>
      </c>
      <c r="D913" s="43">
        <v>868</v>
      </c>
      <c r="E913" s="43"/>
      <c r="F913" s="43" t="s">
        <v>1378</v>
      </c>
      <c r="G913" t="str">
        <f t="shared" si="14"/>
        <v>April</v>
      </c>
    </row>
    <row r="914" spans="1:7" ht="15.75">
      <c r="A914" s="141" t="s">
        <v>874</v>
      </c>
      <c r="B914" s="242" t="s">
        <v>128</v>
      </c>
      <c r="C914" s="56">
        <v>45763</v>
      </c>
      <c r="D914" s="155">
        <v>1624</v>
      </c>
      <c r="E914" s="43"/>
      <c r="F914" s="43" t="s">
        <v>1379</v>
      </c>
      <c r="G914" t="str">
        <f t="shared" si="14"/>
        <v>April</v>
      </c>
    </row>
    <row r="915" spans="1:7" ht="15.75">
      <c r="A915" s="141" t="s">
        <v>894</v>
      </c>
      <c r="B915" s="242" t="s">
        <v>128</v>
      </c>
      <c r="C915" s="56">
        <v>45763</v>
      </c>
      <c r="D915" s="155">
        <v>1503</v>
      </c>
      <c r="E915" s="43"/>
      <c r="F915" s="43" t="s">
        <v>1380</v>
      </c>
      <c r="G915" t="str">
        <f t="shared" si="14"/>
        <v>April</v>
      </c>
    </row>
    <row r="916" spans="1:7">
      <c r="A916" s="141" t="s">
        <v>896</v>
      </c>
      <c r="B916" s="243" t="s">
        <v>140</v>
      </c>
      <c r="C916" s="56">
        <v>45763</v>
      </c>
      <c r="D916" s="43">
        <v>876</v>
      </c>
      <c r="E916" s="43"/>
      <c r="F916" s="78" t="s">
        <v>1381</v>
      </c>
      <c r="G916" t="str">
        <f t="shared" si="14"/>
        <v>April</v>
      </c>
    </row>
    <row r="917" spans="1:7">
      <c r="A917" s="141" t="s">
        <v>1036</v>
      </c>
      <c r="B917" s="141" t="s">
        <v>667</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140</v>
      </c>
      <c r="C919" s="56">
        <v>45763</v>
      </c>
      <c r="D919" s="43">
        <v>173</v>
      </c>
      <c r="E919" s="43"/>
      <c r="G919" t="str">
        <f t="shared" si="14"/>
        <v>April</v>
      </c>
    </row>
    <row r="920" spans="1:7">
      <c r="A920" s="141" t="s">
        <v>900</v>
      </c>
      <c r="B920" s="141" t="s">
        <v>544</v>
      </c>
      <c r="C920" s="56">
        <v>45763</v>
      </c>
      <c r="E920" s="43"/>
      <c r="F920" s="141" t="s">
        <v>1236</v>
      </c>
      <c r="G920" t="str">
        <f t="shared" si="14"/>
        <v>April</v>
      </c>
    </row>
    <row r="921" spans="1:7">
      <c r="A921" s="141" t="s">
        <v>911</v>
      </c>
      <c r="B921" s="141" t="s">
        <v>544</v>
      </c>
      <c r="C921" s="56">
        <v>45763</v>
      </c>
      <c r="E921" s="43"/>
      <c r="F921" s="141" t="s">
        <v>1236</v>
      </c>
      <c r="G921" t="str">
        <f t="shared" si="14"/>
        <v>April</v>
      </c>
    </row>
    <row r="922" spans="1:7">
      <c r="A922" s="141" t="s">
        <v>905</v>
      </c>
      <c r="B922" s="243" t="s">
        <v>140</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667</v>
      </c>
      <c r="C926" s="56">
        <v>45764</v>
      </c>
      <c r="D926" s="43">
        <v>338</v>
      </c>
      <c r="E926" s="43"/>
      <c r="F926" s="43" t="s">
        <v>1384</v>
      </c>
      <c r="G926" t="str">
        <f t="shared" si="14"/>
        <v>April</v>
      </c>
    </row>
    <row r="927" spans="1:7">
      <c r="A927" s="304" t="s">
        <v>870</v>
      </c>
      <c r="B927" s="154" t="s">
        <v>653</v>
      </c>
      <c r="C927" s="56">
        <v>45764</v>
      </c>
      <c r="D927" s="43">
        <v>569</v>
      </c>
      <c r="E927" s="43"/>
      <c r="F927" s="78" t="s">
        <v>1385</v>
      </c>
      <c r="G927" t="str">
        <f t="shared" si="14"/>
        <v>April</v>
      </c>
    </row>
    <row r="928" spans="1:7">
      <c r="A928" s="305" t="s">
        <v>874</v>
      </c>
      <c r="B928" s="305" t="s">
        <v>128</v>
      </c>
      <c r="C928" s="56">
        <v>45764</v>
      </c>
      <c r="E928" s="43"/>
      <c r="F928" s="141" t="s">
        <v>1386</v>
      </c>
      <c r="G928" t="str">
        <f t="shared" si="14"/>
        <v>April</v>
      </c>
    </row>
    <row r="929" spans="1:7">
      <c r="A929" s="141" t="s">
        <v>894</v>
      </c>
      <c r="B929" s="141" t="s">
        <v>128</v>
      </c>
      <c r="C929" s="56">
        <v>45764</v>
      </c>
      <c r="D929" s="155">
        <v>1590</v>
      </c>
      <c r="E929" s="43"/>
      <c r="F929" s="43" t="s">
        <v>1181</v>
      </c>
      <c r="G929" t="str">
        <f t="shared" si="14"/>
        <v>April</v>
      </c>
    </row>
    <row r="930" spans="1:7">
      <c r="A930" s="305" t="s">
        <v>896</v>
      </c>
      <c r="B930" s="305" t="s">
        <v>140</v>
      </c>
      <c r="C930" s="56">
        <v>45764</v>
      </c>
      <c r="D930" s="43">
        <v>651</v>
      </c>
      <c r="E930" s="43"/>
      <c r="F930" s="43" t="s">
        <v>1387</v>
      </c>
      <c r="G930" t="str">
        <f t="shared" si="14"/>
        <v>April</v>
      </c>
    </row>
    <row r="931" spans="1:7">
      <c r="A931" s="141" t="s">
        <v>1036</v>
      </c>
      <c r="B931" s="306" t="s">
        <v>667</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140</v>
      </c>
      <c r="C934" s="310">
        <v>45764</v>
      </c>
      <c r="D934" s="43">
        <v>433</v>
      </c>
      <c r="E934" s="43"/>
      <c r="F934" s="78" t="s">
        <v>1190</v>
      </c>
      <c r="G934" t="str">
        <f t="shared" si="14"/>
        <v>April</v>
      </c>
    </row>
    <row r="935" spans="1:7">
      <c r="A935" s="308" t="s">
        <v>722</v>
      </c>
      <c r="B935" s="141" t="s">
        <v>128</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667</v>
      </c>
      <c r="C938" s="56">
        <v>45765</v>
      </c>
      <c r="D938" s="43">
        <v>26</v>
      </c>
      <c r="E938" s="43"/>
      <c r="F938" s="43" t="s">
        <v>1390</v>
      </c>
      <c r="G938" t="str">
        <f t="shared" si="14"/>
        <v>April</v>
      </c>
    </row>
    <row r="939" spans="1:7">
      <c r="A939" s="304" t="s">
        <v>870</v>
      </c>
      <c r="B939" s="154" t="s">
        <v>653</v>
      </c>
      <c r="C939" s="56">
        <v>45765</v>
      </c>
      <c r="E939" s="43"/>
      <c r="F939" s="141" t="s">
        <v>1391</v>
      </c>
      <c r="G939" t="str">
        <f t="shared" si="14"/>
        <v>April</v>
      </c>
    </row>
    <row r="940" spans="1:7">
      <c r="A940" s="305" t="s">
        <v>874</v>
      </c>
      <c r="B940" s="305" t="s">
        <v>128</v>
      </c>
      <c r="C940" s="56">
        <v>45765</v>
      </c>
      <c r="D940" s="43">
        <v>350</v>
      </c>
      <c r="E940" s="43"/>
      <c r="F940" s="43" t="s">
        <v>1172</v>
      </c>
      <c r="G940" t="str">
        <f t="shared" si="14"/>
        <v>April</v>
      </c>
    </row>
    <row r="941" spans="1:7">
      <c r="A941" s="141" t="s">
        <v>894</v>
      </c>
      <c r="B941" s="141" t="s">
        <v>128</v>
      </c>
      <c r="C941" s="56">
        <v>45765</v>
      </c>
      <c r="D941" s="43">
        <v>370</v>
      </c>
      <c r="E941" s="43"/>
      <c r="F941" s="43" t="s">
        <v>1392</v>
      </c>
      <c r="G941" t="str">
        <f t="shared" si="14"/>
        <v>April</v>
      </c>
    </row>
    <row r="942" spans="1:7">
      <c r="A942" s="305" t="s">
        <v>872</v>
      </c>
      <c r="B942" s="154" t="s">
        <v>653</v>
      </c>
      <c r="C942" s="56">
        <v>45765</v>
      </c>
      <c r="D942" s="43">
        <v>706</v>
      </c>
      <c r="E942" s="43"/>
      <c r="F942" s="43" t="s">
        <v>1208</v>
      </c>
      <c r="G942" t="str">
        <f t="shared" si="14"/>
        <v>April</v>
      </c>
    </row>
    <row r="943" spans="1:7">
      <c r="A943" s="141" t="s">
        <v>1036</v>
      </c>
      <c r="B943" s="306" t="s">
        <v>667</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544</v>
      </c>
      <c r="C946" s="56">
        <v>45765</v>
      </c>
      <c r="E946" s="43"/>
      <c r="F946" s="306" t="s">
        <v>1396</v>
      </c>
      <c r="G946" t="str">
        <f t="shared" si="14"/>
        <v>April</v>
      </c>
    </row>
    <row r="947" spans="1:7">
      <c r="A947" s="311" t="s">
        <v>911</v>
      </c>
      <c r="B947" s="311" t="s">
        <v>544</v>
      </c>
      <c r="C947" s="56">
        <v>45765</v>
      </c>
      <c r="E947" s="43"/>
      <c r="F947" s="311" t="s">
        <v>1397</v>
      </c>
      <c r="G947" t="str">
        <f t="shared" si="14"/>
        <v>April</v>
      </c>
    </row>
    <row r="948" spans="1:7">
      <c r="A948" s="306" t="s">
        <v>808</v>
      </c>
      <c r="B948" s="306" t="s">
        <v>128</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667</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128</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140</v>
      </c>
      <c r="C955" s="56">
        <v>45768</v>
      </c>
      <c r="D955" s="155">
        <v>1285</v>
      </c>
      <c r="F955" s="43" t="s">
        <v>1404</v>
      </c>
      <c r="G955" t="str">
        <f t="shared" si="15"/>
        <v>April</v>
      </c>
    </row>
    <row r="956" spans="1:7">
      <c r="A956" s="304" t="s">
        <v>894</v>
      </c>
      <c r="B956" s="305" t="s">
        <v>128</v>
      </c>
      <c r="C956" s="56">
        <v>45768</v>
      </c>
      <c r="F956" s="154" t="s">
        <v>1405</v>
      </c>
      <c r="G956" t="str">
        <f t="shared" si="15"/>
        <v>April</v>
      </c>
    </row>
    <row r="957" spans="1:7">
      <c r="A957" s="304" t="s">
        <v>896</v>
      </c>
      <c r="B957" s="141" t="s">
        <v>140</v>
      </c>
      <c r="C957" s="56">
        <v>45768</v>
      </c>
      <c r="F957" s="141" t="s">
        <v>1406</v>
      </c>
      <c r="G957" t="str">
        <f t="shared" si="15"/>
        <v>April</v>
      </c>
    </row>
    <row r="958" spans="1:7">
      <c r="A958" s="304" t="s">
        <v>1036</v>
      </c>
      <c r="B958" s="304" t="s">
        <v>667</v>
      </c>
      <c r="C958" s="56">
        <v>45768</v>
      </c>
      <c r="E958" s="43"/>
      <c r="F958" s="169" t="s">
        <v>1369</v>
      </c>
      <c r="G958" t="str">
        <f t="shared" si="15"/>
        <v>April</v>
      </c>
    </row>
    <row r="959" spans="1:7">
      <c r="A959" s="311" t="s">
        <v>900</v>
      </c>
      <c r="B959" s="141" t="s">
        <v>544</v>
      </c>
      <c r="C959" s="56">
        <v>45768</v>
      </c>
      <c r="E959" s="43"/>
      <c r="F959" s="311" t="s">
        <v>1396</v>
      </c>
      <c r="G959" t="str">
        <f t="shared" si="15"/>
        <v>April</v>
      </c>
    </row>
    <row r="960" spans="1:7">
      <c r="A960" s="315" t="s">
        <v>938</v>
      </c>
      <c r="B960" s="141" t="s">
        <v>544</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667</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140</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667</v>
      </c>
      <c r="C968" s="319">
        <v>45769</v>
      </c>
      <c r="F968" s="169" t="s">
        <v>1369</v>
      </c>
      <c r="G968" t="str">
        <f t="shared" si="15"/>
        <v>April</v>
      </c>
    </row>
    <row r="969" spans="1:7">
      <c r="A969" s="304" t="s">
        <v>916</v>
      </c>
      <c r="B969" s="304" t="s">
        <v>140</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657</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128</v>
      </c>
      <c r="C973" s="319">
        <v>45769</v>
      </c>
      <c r="D973" s="43">
        <v>932</v>
      </c>
      <c r="F973" s="43" t="s">
        <v>1173</v>
      </c>
      <c r="G973" t="str">
        <f t="shared" si="15"/>
        <v>April</v>
      </c>
    </row>
    <row r="974" spans="1:7">
      <c r="A974" s="154" t="s">
        <v>808</v>
      </c>
      <c r="B974" s="141" t="s">
        <v>128</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667</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140</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657</v>
      </c>
      <c r="C984" s="56">
        <v>45770</v>
      </c>
      <c r="F984" s="320" t="s">
        <v>1422</v>
      </c>
    </row>
    <row r="985" spans="1:7">
      <c r="A985" s="315" t="s">
        <v>938</v>
      </c>
      <c r="B985" s="315" t="s">
        <v>657</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128</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140</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667</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657</v>
      </c>
      <c r="C997" s="56">
        <v>45771</v>
      </c>
      <c r="F997" s="311" t="s">
        <v>1431</v>
      </c>
      <c r="G997" t="str">
        <f t="shared" si="16"/>
        <v>April</v>
      </c>
    </row>
    <row r="998" spans="1:7">
      <c r="A998" s="315" t="s">
        <v>1046</v>
      </c>
      <c r="B998" s="315" t="s">
        <v>657</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128</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140</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667</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128</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140</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128</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140</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128</v>
      </c>
      <c r="C1029" s="56">
        <v>45776</v>
      </c>
      <c r="D1029" s="155">
        <v>1520</v>
      </c>
      <c r="F1029" s="43" t="s">
        <v>1170</v>
      </c>
      <c r="G1029" t="str">
        <f t="shared" si="16"/>
        <v>April</v>
      </c>
    </row>
    <row r="1030" spans="1:7">
      <c r="A1030" s="311" t="s">
        <v>722</v>
      </c>
      <c r="B1030" s="311" t="s">
        <v>128</v>
      </c>
      <c r="C1030" s="56">
        <v>45776</v>
      </c>
      <c r="D1030" s="43">
        <v>470</v>
      </c>
      <c r="F1030" s="43" t="s">
        <v>1165</v>
      </c>
      <c r="G1030" t="str">
        <f t="shared" si="16"/>
        <v>April</v>
      </c>
    </row>
    <row r="1031" spans="1:7">
      <c r="A1031" s="247" t="s">
        <v>766</v>
      </c>
      <c r="B1031" s="311" t="s">
        <v>128</v>
      </c>
      <c r="C1031" s="56">
        <v>45776</v>
      </c>
      <c r="D1031" s="155">
        <v>1190</v>
      </c>
      <c r="F1031" s="43" t="s">
        <v>1170</v>
      </c>
      <c r="G1031" t="str">
        <f t="shared" si="16"/>
        <v>April</v>
      </c>
    </row>
    <row r="1032" spans="1:7">
      <c r="A1032" s="141" t="s">
        <v>1036</v>
      </c>
      <c r="B1032" s="141" t="s">
        <v>667</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140</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653</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128</v>
      </c>
      <c r="C1040" s="56">
        <v>45777</v>
      </c>
      <c r="D1040" s="155">
        <v>1216</v>
      </c>
      <c r="E1040" s="43"/>
      <c r="F1040" s="43" t="s">
        <v>1186</v>
      </c>
      <c r="G1040" t="str">
        <f t="shared" si="16"/>
        <v>April</v>
      </c>
    </row>
    <row r="1041" spans="1:7">
      <c r="A1041" s="141" t="s">
        <v>766</v>
      </c>
      <c r="B1041" s="141" t="s">
        <v>128</v>
      </c>
      <c r="C1041" s="56">
        <v>45777</v>
      </c>
      <c r="D1041" s="155">
        <v>1033</v>
      </c>
      <c r="E1041" s="43"/>
      <c r="F1041" s="43" t="s">
        <v>1459</v>
      </c>
      <c r="G1041" t="str">
        <f t="shared" si="16"/>
        <v>April</v>
      </c>
    </row>
    <row r="1042" spans="1:7">
      <c r="A1042" s="141" t="s">
        <v>1036</v>
      </c>
      <c r="B1042" s="141" t="s">
        <v>667</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140</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128</v>
      </c>
      <c r="C1051" s="56">
        <v>45778</v>
      </c>
      <c r="D1051" s="155">
        <v>1098</v>
      </c>
      <c r="E1051" s="43"/>
      <c r="F1051" s="43" t="s">
        <v>1464</v>
      </c>
      <c r="G1051" t="str">
        <f t="shared" si="16"/>
        <v>May</v>
      </c>
    </row>
    <row r="1052" spans="1:7">
      <c r="A1052" s="154" t="s">
        <v>766</v>
      </c>
      <c r="B1052" s="141" t="s">
        <v>128</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140</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653</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128</v>
      </c>
      <c r="C1067" s="56">
        <v>45782</v>
      </c>
      <c r="D1067" s="155">
        <v>1053</v>
      </c>
      <c r="F1067" s="43" t="s">
        <v>1474</v>
      </c>
      <c r="G1067" t="str">
        <f t="shared" si="17"/>
        <v>May</v>
      </c>
    </row>
    <row r="1068" spans="1:7">
      <c r="A1068" s="154" t="s">
        <v>768</v>
      </c>
      <c r="B1068" s="318" t="s">
        <v>128</v>
      </c>
      <c r="C1068" s="56">
        <v>45782</v>
      </c>
      <c r="D1068" s="43">
        <v>575</v>
      </c>
      <c r="F1068" s="43" t="s">
        <v>1475</v>
      </c>
      <c r="G1068" t="str">
        <f t="shared" si="17"/>
        <v>May</v>
      </c>
    </row>
    <row r="1069" spans="1:7">
      <c r="A1069" s="345" t="s">
        <v>722</v>
      </c>
      <c r="B1069" s="349" t="s">
        <v>128</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140</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128</v>
      </c>
      <c r="C1078" s="56">
        <v>45783</v>
      </c>
      <c r="D1078" s="43">
        <v>812</v>
      </c>
      <c r="F1078" s="43" t="s">
        <v>1481</v>
      </c>
      <c r="G1078" t="str">
        <f t="shared" si="18"/>
        <v>May</v>
      </c>
    </row>
    <row r="1079" spans="1:7">
      <c r="A1079" s="154" t="s">
        <v>768</v>
      </c>
      <c r="B1079" s="318" t="s">
        <v>128</v>
      </c>
      <c r="C1079" s="56">
        <v>45783</v>
      </c>
      <c r="D1079" s="155">
        <v>1847</v>
      </c>
      <c r="F1079" s="43" t="s">
        <v>1482</v>
      </c>
      <c r="G1079" t="str">
        <f t="shared" si="18"/>
        <v>May</v>
      </c>
    </row>
    <row r="1080" spans="1:7">
      <c r="A1080" s="345" t="s">
        <v>764</v>
      </c>
      <c r="B1080" s="349" t="s">
        <v>128</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656</v>
      </c>
      <c r="B1082" s="141" t="s">
        <v>1091</v>
      </c>
      <c r="C1082" s="56">
        <v>45784</v>
      </c>
      <c r="D1082" s="43">
        <v>131</v>
      </c>
      <c r="F1082" s="43" t="s">
        <v>1185</v>
      </c>
    </row>
    <row r="1083" spans="1:7" ht="13.5" customHeight="1">
      <c r="A1083" s="324" t="s">
        <v>1109</v>
      </c>
      <c r="B1083" s="304" t="s">
        <v>657</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128</v>
      </c>
      <c r="C1089" s="56">
        <v>45784</v>
      </c>
      <c r="D1089" s="155">
        <v>1052</v>
      </c>
      <c r="F1089" s="43" t="s">
        <v>1486</v>
      </c>
      <c r="G1089" t="str">
        <f>TEXT(C1089,"mmmm")</f>
        <v>May</v>
      </c>
    </row>
    <row r="1090" spans="1:7">
      <c r="A1090" s="345" t="s">
        <v>764</v>
      </c>
      <c r="B1090" s="349" t="s">
        <v>128</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657</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88</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128</v>
      </c>
      <c r="C1100" s="56">
        <v>45785</v>
      </c>
      <c r="D1100" s="155">
        <v>1483</v>
      </c>
      <c r="F1100" s="43" t="s">
        <v>1492</v>
      </c>
      <c r="G1100" t="str">
        <f t="shared" si="19"/>
        <v>May</v>
      </c>
    </row>
    <row r="1101" spans="1:7">
      <c r="A1101" s="345" t="s">
        <v>768</v>
      </c>
      <c r="B1101" s="304" t="s">
        <v>128</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657</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128</v>
      </c>
      <c r="C1109" s="56">
        <v>45786</v>
      </c>
      <c r="F1109" s="315" t="s">
        <v>1498</v>
      </c>
      <c r="G1109" t="str">
        <f t="shared" si="20"/>
        <v>May</v>
      </c>
    </row>
    <row r="1110" spans="1:7">
      <c r="A1110" s="134"/>
      <c r="B1110" s="141"/>
      <c r="C1110" s="56">
        <v>45789</v>
      </c>
      <c r="G1110" t="str">
        <f t="shared" si="20"/>
        <v>May</v>
      </c>
    </row>
    <row r="1111" spans="1:7">
      <c r="A1111" s="134" t="s">
        <v>1111</v>
      </c>
      <c r="B1111" s="141" t="s">
        <v>140</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656</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128</v>
      </c>
      <c r="C1118" s="56">
        <v>45790</v>
      </c>
      <c r="D1118" s="43">
        <v>933</v>
      </c>
      <c r="F1118" s="43" t="s">
        <v>1503</v>
      </c>
      <c r="G1118" t="str">
        <f t="shared" si="20"/>
        <v>May</v>
      </c>
    </row>
    <row r="1119" spans="1:7">
      <c r="A1119" s="141" t="s">
        <v>692</v>
      </c>
      <c r="B1119" s="141" t="s">
        <v>657</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652</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128</v>
      </c>
      <c r="C1125" s="56">
        <v>45791</v>
      </c>
      <c r="D1125" s="43">
        <v>1190</v>
      </c>
      <c r="F1125" s="43" t="s">
        <v>1219</v>
      </c>
      <c r="G1125" t="str">
        <f t="shared" si="21"/>
        <v>May</v>
      </c>
    </row>
    <row r="1126" spans="1:7">
      <c r="A1126" s="141" t="s">
        <v>692</v>
      </c>
      <c r="B1126" s="141" t="s">
        <v>657</v>
      </c>
      <c r="C1126" s="56">
        <v>45791</v>
      </c>
      <c r="D1126" s="43">
        <v>678</v>
      </c>
      <c r="G1126" t="str">
        <f t="shared" si="21"/>
        <v>May</v>
      </c>
    </row>
    <row r="1127" spans="1:7">
      <c r="A1127" s="134" t="s">
        <v>652</v>
      </c>
      <c r="B1127" s="141" t="s">
        <v>1402</v>
      </c>
      <c r="C1127" s="56">
        <v>45792</v>
      </c>
      <c r="F1127" s="351" t="s">
        <v>1458</v>
      </c>
      <c r="G1127" t="str">
        <f t="shared" si="21"/>
        <v>May</v>
      </c>
    </row>
    <row r="1128" spans="1:7">
      <c r="A1128" s="324" t="s">
        <v>1111</v>
      </c>
      <c r="B1128" s="304" t="s">
        <v>140</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128</v>
      </c>
      <c r="C1133" s="56">
        <v>45792</v>
      </c>
      <c r="D1133" s="155">
        <v>1580</v>
      </c>
      <c r="F1133" s="43" t="s">
        <v>1219</v>
      </c>
      <c r="G1133" t="str">
        <f t="shared" si="21"/>
        <v>May</v>
      </c>
    </row>
    <row r="1134" spans="1:7">
      <c r="A1134" s="141" t="s">
        <v>692</v>
      </c>
      <c r="B1134" s="141" t="s">
        <v>657</v>
      </c>
      <c r="C1134" s="56">
        <v>45792</v>
      </c>
      <c r="D1134" s="43">
        <v>381</v>
      </c>
      <c r="G1134" t="str">
        <f t="shared" si="21"/>
        <v>May</v>
      </c>
    </row>
    <row r="1135" spans="1:7">
      <c r="A1135" s="134" t="s">
        <v>652</v>
      </c>
      <c r="B1135" s="141" t="s">
        <v>1402</v>
      </c>
      <c r="C1135" s="56">
        <v>45793</v>
      </c>
      <c r="D1135" s="43">
        <v>887</v>
      </c>
      <c r="F1135" s="43" t="s">
        <v>1370</v>
      </c>
      <c r="G1135" t="str">
        <f t="shared" si="21"/>
        <v>May</v>
      </c>
    </row>
    <row r="1136" spans="1:7">
      <c r="A1136" s="324" t="s">
        <v>1111</v>
      </c>
      <c r="B1136" s="304" t="s">
        <v>140</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657</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140</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140</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128</v>
      </c>
      <c r="C1148" s="56">
        <v>45796</v>
      </c>
      <c r="D1148" s="43">
        <v>270</v>
      </c>
      <c r="F1148" s="43" t="s">
        <v>1231</v>
      </c>
      <c r="G1148" t="str">
        <f t="shared" si="21"/>
        <v>May</v>
      </c>
    </row>
    <row r="1149" spans="1:7">
      <c r="A1149" s="345" t="s">
        <v>437</v>
      </c>
      <c r="B1149" s="304" t="s">
        <v>128</v>
      </c>
      <c r="C1149" s="56">
        <v>45796</v>
      </c>
      <c r="D1149" s="43">
        <v>644</v>
      </c>
      <c r="G1149" t="str">
        <f t="shared" si="21"/>
        <v>May</v>
      </c>
    </row>
    <row r="1150" spans="1:7">
      <c r="A1150" s="141" t="s">
        <v>692</v>
      </c>
      <c r="B1150" s="141" t="s">
        <v>657</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140</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652</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128</v>
      </c>
      <c r="C1158" s="56">
        <v>45797</v>
      </c>
      <c r="D1158" s="155">
        <v>1430</v>
      </c>
      <c r="F1158" s="43" t="s">
        <v>1253</v>
      </c>
      <c r="G1158" t="str">
        <f t="shared" si="21"/>
        <v>May</v>
      </c>
    </row>
    <row r="1159" spans="1:7">
      <c r="A1159" s="134" t="s">
        <v>815</v>
      </c>
      <c r="B1159" s="141" t="s">
        <v>140</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652</v>
      </c>
      <c r="B1161" s="304" t="s">
        <v>1091</v>
      </c>
      <c r="C1161" s="56">
        <v>45798</v>
      </c>
      <c r="F1161" s="351" t="s">
        <v>1521</v>
      </c>
      <c r="G1161" t="str">
        <f t="shared" si="21"/>
        <v>May</v>
      </c>
    </row>
    <row r="1162" spans="1:7">
      <c r="A1162" s="304" t="s">
        <v>656</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128</v>
      </c>
      <c r="C1164" s="56">
        <v>45798</v>
      </c>
      <c r="D1164" s="43">
        <v>678</v>
      </c>
      <c r="E1164" s="321">
        <v>2850</v>
      </c>
      <c r="F1164" s="43" t="s">
        <v>1523</v>
      </c>
      <c r="G1164" t="str">
        <f t="shared" si="21"/>
        <v>May</v>
      </c>
    </row>
    <row r="1165" spans="1:7">
      <c r="A1165" s="345" t="s">
        <v>437</v>
      </c>
      <c r="B1165" s="304" t="s">
        <v>128</v>
      </c>
      <c r="C1165" s="56">
        <v>45798</v>
      </c>
      <c r="D1165" s="43">
        <v>970</v>
      </c>
      <c r="F1165" s="43" t="s">
        <v>1219</v>
      </c>
      <c r="G1165" t="str">
        <f t="shared" si="21"/>
        <v>May</v>
      </c>
    </row>
    <row r="1166" spans="1:7">
      <c r="A1166" s="141" t="s">
        <v>692</v>
      </c>
      <c r="B1166" s="141" t="s">
        <v>657</v>
      </c>
      <c r="C1166" s="56">
        <v>45798</v>
      </c>
      <c r="D1166" s="43">
        <v>600</v>
      </c>
      <c r="G1166" t="str">
        <f t="shared" si="21"/>
        <v>May</v>
      </c>
    </row>
    <row r="1167" spans="1:7">
      <c r="A1167" s="324" t="s">
        <v>552</v>
      </c>
      <c r="B1167" s="304" t="s">
        <v>657</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128</v>
      </c>
      <c r="C1171" s="56">
        <v>45799</v>
      </c>
      <c r="D1171" s="43">
        <v>948</v>
      </c>
      <c r="F1171" s="154" t="s">
        <v>1219</v>
      </c>
      <c r="G1171" t="str">
        <f t="shared" si="21"/>
        <v>May</v>
      </c>
    </row>
    <row r="1172" spans="1:7">
      <c r="A1172" s="141" t="s">
        <v>692</v>
      </c>
      <c r="B1172" s="141" t="s">
        <v>657</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140</v>
      </c>
      <c r="C1174" s="56">
        <v>45800</v>
      </c>
      <c r="D1174" s="43">
        <v>719</v>
      </c>
      <c r="F1174" s="43" t="s">
        <v>1528</v>
      </c>
      <c r="G1174" t="str">
        <f t="shared" si="21"/>
        <v>May</v>
      </c>
    </row>
    <row r="1175" spans="1:7">
      <c r="A1175" s="305" t="s">
        <v>652</v>
      </c>
      <c r="B1175" s="305" t="s">
        <v>1091</v>
      </c>
      <c r="C1175" s="56">
        <v>45800</v>
      </c>
      <c r="D1175" s="43">
        <v>236</v>
      </c>
      <c r="F1175" s="43" t="s">
        <v>1208</v>
      </c>
      <c r="G1175" t="str">
        <f t="shared" si="21"/>
        <v>May</v>
      </c>
    </row>
    <row r="1176" spans="1:7">
      <c r="A1176" s="311" t="s">
        <v>656</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657</v>
      </c>
      <c r="C1178" s="56">
        <v>45800</v>
      </c>
      <c r="F1178" s="351" t="s">
        <v>1458</v>
      </c>
      <c r="G1178" t="str">
        <f t="shared" si="21"/>
        <v>May</v>
      </c>
    </row>
    <row r="1179" spans="1:7">
      <c r="A1179" s="324" t="s">
        <v>552</v>
      </c>
      <c r="B1179" s="304" t="s">
        <v>657</v>
      </c>
      <c r="C1179" s="56">
        <v>45800</v>
      </c>
      <c r="D1179" s="43">
        <v>285</v>
      </c>
      <c r="F1179" s="43" t="s">
        <v>1530</v>
      </c>
      <c r="G1179" t="str">
        <f t="shared" si="21"/>
        <v>May</v>
      </c>
    </row>
    <row r="1180" spans="1:7">
      <c r="A1180" s="141" t="s">
        <v>652</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128</v>
      </c>
      <c r="C1183" s="56">
        <v>45804</v>
      </c>
      <c r="D1183" s="43">
        <v>948</v>
      </c>
      <c r="F1183" s="43" t="s">
        <v>1532</v>
      </c>
      <c r="G1183" t="str">
        <f t="shared" si="21"/>
        <v>May</v>
      </c>
    </row>
    <row r="1184" spans="1:7">
      <c r="A1184" s="304" t="s">
        <v>704</v>
      </c>
      <c r="B1184" s="304" t="s">
        <v>128</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657</v>
      </c>
      <c r="C1186" s="56">
        <v>45804</v>
      </c>
      <c r="D1186" s="43">
        <v>757</v>
      </c>
      <c r="G1186" t="str">
        <f t="shared" si="22"/>
        <v>May</v>
      </c>
    </row>
    <row r="1187" spans="1:7">
      <c r="A1187" s="141" t="s">
        <v>652</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128</v>
      </c>
      <c r="C1189" s="56">
        <v>45805</v>
      </c>
      <c r="D1189" s="155">
        <v>2783</v>
      </c>
      <c r="F1189" s="43" t="s">
        <v>1535</v>
      </c>
      <c r="G1189" t="str">
        <f t="shared" si="22"/>
        <v>May</v>
      </c>
    </row>
    <row r="1190" spans="1:7">
      <c r="A1190" s="141" t="s">
        <v>692</v>
      </c>
      <c r="B1190" s="141" t="s">
        <v>657</v>
      </c>
      <c r="C1190" s="56">
        <v>45805</v>
      </c>
      <c r="D1190" s="43">
        <v>610</v>
      </c>
      <c r="G1190" t="str">
        <f t="shared" si="22"/>
        <v>May</v>
      </c>
    </row>
    <row r="1191" spans="1:7">
      <c r="A1191" s="141" t="s">
        <v>652</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128</v>
      </c>
      <c r="C1195" s="56">
        <v>45806</v>
      </c>
      <c r="D1195" s="155">
        <v>2248</v>
      </c>
      <c r="F1195" s="43" t="s">
        <v>1537</v>
      </c>
      <c r="G1195" t="str">
        <f t="shared" si="22"/>
        <v>May</v>
      </c>
    </row>
    <row r="1196" spans="1:7">
      <c r="A1196" s="318" t="s">
        <v>437</v>
      </c>
      <c r="B1196" s="307" t="s">
        <v>128</v>
      </c>
      <c r="C1196" s="56">
        <v>45806</v>
      </c>
      <c r="D1196" s="155">
        <v>736</v>
      </c>
      <c r="F1196" s="43" t="s">
        <v>1538</v>
      </c>
      <c r="G1196" t="str">
        <f t="shared" si="22"/>
        <v>May</v>
      </c>
    </row>
    <row r="1197" spans="1:7">
      <c r="A1197" s="141" t="s">
        <v>692</v>
      </c>
      <c r="B1197" s="141" t="s">
        <v>657</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140</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657</v>
      </c>
      <c r="C1202" s="56">
        <v>45807</v>
      </c>
      <c r="D1202" s="43">
        <v>493</v>
      </c>
      <c r="G1202" t="str">
        <f t="shared" si="22"/>
        <v>May</v>
      </c>
    </row>
    <row r="1203" spans="1:7">
      <c r="A1203" s="141" t="s">
        <v>967</v>
      </c>
      <c r="B1203" s="141" t="s">
        <v>128</v>
      </c>
      <c r="C1203" s="56">
        <v>45810</v>
      </c>
      <c r="D1203" s="43">
        <v>800</v>
      </c>
      <c r="G1203" t="s">
        <v>1540</v>
      </c>
    </row>
    <row r="1204" spans="1:7">
      <c r="A1204" s="349" t="s">
        <v>975</v>
      </c>
      <c r="B1204" s="307" t="s">
        <v>1091</v>
      </c>
      <c r="C1204" s="56">
        <v>45810</v>
      </c>
      <c r="D1204" s="43">
        <v>275</v>
      </c>
      <c r="G1204" t="s">
        <v>1540</v>
      </c>
    </row>
    <row r="1205" spans="1:7">
      <c r="A1205" s="349" t="s">
        <v>437</v>
      </c>
      <c r="B1205" s="141" t="s">
        <v>128</v>
      </c>
      <c r="C1205" s="56">
        <v>45810</v>
      </c>
      <c r="D1205" s="155">
        <v>1957</v>
      </c>
      <c r="F1205" s="43" t="s">
        <v>1541</v>
      </c>
      <c r="G1205" t="s">
        <v>1540</v>
      </c>
    </row>
    <row r="1206" spans="1:7">
      <c r="A1206" s="141" t="s">
        <v>692</v>
      </c>
      <c r="B1206" s="141" t="s">
        <v>657</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140</v>
      </c>
      <c r="C1210" s="56">
        <v>45811</v>
      </c>
      <c r="D1210" s="155">
        <v>1483</v>
      </c>
      <c r="F1210" s="43" t="s">
        <v>1543</v>
      </c>
      <c r="G1210" t="s">
        <v>1540</v>
      </c>
    </row>
    <row r="1211" spans="1:7">
      <c r="A1211" s="304" t="s">
        <v>1126</v>
      </c>
      <c r="B1211" s="304" t="s">
        <v>657</v>
      </c>
      <c r="C1211" s="56">
        <v>45811</v>
      </c>
      <c r="F1211" s="311" t="s">
        <v>1544</v>
      </c>
      <c r="G1211" t="s">
        <v>1540</v>
      </c>
    </row>
    <row r="1212" spans="1:7">
      <c r="A1212" s="141" t="s">
        <v>967</v>
      </c>
      <c r="B1212" s="141" t="s">
        <v>128</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657</v>
      </c>
      <c r="C1214" s="56">
        <v>45811</v>
      </c>
      <c r="F1214" s="141" t="s">
        <v>1236</v>
      </c>
      <c r="G1214" t="s">
        <v>1540</v>
      </c>
    </row>
    <row r="1215" spans="1:7">
      <c r="A1215" s="141" t="s">
        <v>692</v>
      </c>
      <c r="B1215" s="141" t="s">
        <v>657</v>
      </c>
      <c r="C1215" s="56">
        <v>45811</v>
      </c>
      <c r="D1215" s="43">
        <v>948</v>
      </c>
      <c r="G1215" t="s">
        <v>1540</v>
      </c>
    </row>
    <row r="1216" spans="1:7">
      <c r="A1216" s="141" t="s">
        <v>815</v>
      </c>
      <c r="B1216" s="141" t="s">
        <v>140</v>
      </c>
      <c r="C1216" s="56">
        <v>45812</v>
      </c>
      <c r="D1216" s="43">
        <v>83</v>
      </c>
      <c r="G1216" t="s">
        <v>1540</v>
      </c>
    </row>
    <row r="1217" spans="1:7">
      <c r="A1217" s="304" t="s">
        <v>521</v>
      </c>
      <c r="B1217" s="304" t="s">
        <v>140</v>
      </c>
      <c r="C1217" s="56">
        <v>45812</v>
      </c>
      <c r="F1217" s="141" t="s">
        <v>1545</v>
      </c>
      <c r="G1217" t="s">
        <v>1540</v>
      </c>
    </row>
    <row r="1218" spans="1:7">
      <c r="A1218" s="141" t="s">
        <v>967</v>
      </c>
      <c r="B1218" s="141" t="s">
        <v>128</v>
      </c>
      <c r="C1218" s="56">
        <v>45812</v>
      </c>
      <c r="D1218" s="155">
        <v>1401</v>
      </c>
      <c r="G1218" t="s">
        <v>1540</v>
      </c>
    </row>
    <row r="1219" spans="1:7">
      <c r="A1219" s="349" t="s">
        <v>975</v>
      </c>
      <c r="B1219" s="304" t="s">
        <v>1091</v>
      </c>
      <c r="C1219" s="56">
        <v>45812</v>
      </c>
      <c r="D1219" s="43">
        <v>310</v>
      </c>
      <c r="G1219" t="s">
        <v>1540</v>
      </c>
    </row>
    <row r="1220" spans="1:7">
      <c r="A1220" s="349" t="s">
        <v>770</v>
      </c>
      <c r="B1220" s="307" t="s">
        <v>128</v>
      </c>
      <c r="C1220" s="56">
        <v>45812</v>
      </c>
      <c r="D1220" s="43">
        <v>610</v>
      </c>
      <c r="F1220" s="43" t="s">
        <v>1546</v>
      </c>
      <c r="G1220" t="s">
        <v>1540</v>
      </c>
    </row>
    <row r="1221" spans="1:7">
      <c r="A1221" s="345" t="s">
        <v>437</v>
      </c>
      <c r="B1221" s="304" t="s">
        <v>128</v>
      </c>
      <c r="C1221" s="56">
        <v>45812</v>
      </c>
      <c r="E1221" s="321">
        <v>8415</v>
      </c>
      <c r="F1221" s="43" t="s">
        <v>1547</v>
      </c>
      <c r="G1221" t="s">
        <v>1540</v>
      </c>
    </row>
    <row r="1222" spans="1:7">
      <c r="A1222" s="141" t="s">
        <v>692</v>
      </c>
      <c r="B1222" s="141" t="s">
        <v>657</v>
      </c>
      <c r="C1222" s="56">
        <v>45812</v>
      </c>
      <c r="F1222" s="141" t="s">
        <v>1545</v>
      </c>
      <c r="G1222" t="s">
        <v>1540</v>
      </c>
    </row>
    <row r="1223" spans="1:7">
      <c r="A1223" s="141" t="s">
        <v>521</v>
      </c>
      <c r="B1223" s="141" t="s">
        <v>140</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128</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657</v>
      </c>
      <c r="C1228" s="56">
        <v>45813</v>
      </c>
      <c r="D1228" s="155">
        <v>1101</v>
      </c>
      <c r="F1228" s="43" t="s">
        <v>1231</v>
      </c>
      <c r="G1228" t="s">
        <v>1540</v>
      </c>
    </row>
    <row r="1229" spans="1:7">
      <c r="A1229" s="141" t="s">
        <v>692</v>
      </c>
      <c r="B1229" s="141" t="s">
        <v>657</v>
      </c>
      <c r="C1229" s="56">
        <v>45814</v>
      </c>
      <c r="D1229" s="43">
        <v>437</v>
      </c>
      <c r="F1229" s="43" t="s">
        <v>1219</v>
      </c>
      <c r="G1229" t="s">
        <v>1540</v>
      </c>
    </row>
    <row r="1230" spans="1:7">
      <c r="A1230" s="154" t="s">
        <v>967</v>
      </c>
      <c r="B1230" s="141" t="s">
        <v>128</v>
      </c>
      <c r="C1230" s="56">
        <v>45817</v>
      </c>
      <c r="D1230" s="155">
        <v>1100</v>
      </c>
      <c r="G1230" t="s">
        <v>1540</v>
      </c>
    </row>
    <row r="1231" spans="1:7">
      <c r="A1231" s="304" t="s">
        <v>808</v>
      </c>
      <c r="B1231" s="304" t="s">
        <v>128</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657</v>
      </c>
      <c r="C1234" s="56">
        <v>45817</v>
      </c>
      <c r="D1234" s="43">
        <v>730</v>
      </c>
      <c r="G1234" t="s">
        <v>1540</v>
      </c>
    </row>
    <row r="1235" spans="1:7">
      <c r="A1235" s="154" t="s">
        <v>770</v>
      </c>
      <c r="B1235" s="141" t="s">
        <v>128</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657</v>
      </c>
      <c r="C1237" s="56">
        <v>45818</v>
      </c>
      <c r="D1237" s="43">
        <v>583</v>
      </c>
      <c r="G1237" t="s">
        <v>1540</v>
      </c>
    </row>
    <row r="1238" spans="1:7">
      <c r="A1238" s="154" t="s">
        <v>967</v>
      </c>
      <c r="B1238" s="141" t="s">
        <v>128</v>
      </c>
      <c r="C1238" s="56">
        <v>45819</v>
      </c>
      <c r="D1238" s="155">
        <v>1975</v>
      </c>
      <c r="F1238" s="43" t="s">
        <v>1538</v>
      </c>
      <c r="G1238" t="s">
        <v>1540</v>
      </c>
    </row>
    <row r="1239" spans="1:7">
      <c r="A1239" s="364" t="s">
        <v>704</v>
      </c>
      <c r="B1239" s="305" t="s">
        <v>128</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128</v>
      </c>
      <c r="C1241" s="56">
        <v>45820</v>
      </c>
      <c r="D1241" s="155">
        <v>1395</v>
      </c>
      <c r="F1241" s="43" t="s">
        <v>1538</v>
      </c>
      <c r="G1241" t="s">
        <v>1540</v>
      </c>
    </row>
    <row r="1242" spans="1:7">
      <c r="A1242" s="372" t="s">
        <v>785</v>
      </c>
      <c r="B1242" s="247" t="s">
        <v>128</v>
      </c>
      <c r="C1242" s="56">
        <v>45820</v>
      </c>
      <c r="F1242" s="43" t="s">
        <v>1236</v>
      </c>
      <c r="G1242" t="s">
        <v>1540</v>
      </c>
    </row>
    <row r="1243" spans="1:7">
      <c r="A1243" s="148" t="s">
        <v>975</v>
      </c>
      <c r="B1243" s="371" t="s">
        <v>1091</v>
      </c>
      <c r="C1243" s="56">
        <v>45820</v>
      </c>
      <c r="D1243" s="43">
        <v>395</v>
      </c>
      <c r="G1243" t="s">
        <v>1540</v>
      </c>
    </row>
    <row r="1244" spans="1:7">
      <c r="A1244" s="316" t="s">
        <v>785</v>
      </c>
      <c r="B1244" s="306" t="s">
        <v>128</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657</v>
      </c>
      <c r="C1247" s="56">
        <v>45821</v>
      </c>
      <c r="E1247" s="321">
        <v>7408</v>
      </c>
      <c r="F1247" s="154" t="s">
        <v>1554</v>
      </c>
      <c r="G1247" t="s">
        <v>1540</v>
      </c>
    </row>
    <row r="1248" spans="1:7">
      <c r="A1248" s="141" t="s">
        <v>812</v>
      </c>
      <c r="B1248" s="141" t="s">
        <v>140</v>
      </c>
      <c r="C1248" s="56">
        <v>45824</v>
      </c>
      <c r="D1248" s="155">
        <v>1394</v>
      </c>
      <c r="F1248" s="43" t="s">
        <v>1171</v>
      </c>
      <c r="G1248" t="s">
        <v>1540</v>
      </c>
    </row>
    <row r="1249" spans="1:7">
      <c r="A1249" s="320" t="s">
        <v>967</v>
      </c>
      <c r="B1249" s="311" t="s">
        <v>128</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128</v>
      </c>
      <c r="C1251" s="56">
        <v>45824</v>
      </c>
      <c r="E1251" s="321">
        <v>4976</v>
      </c>
      <c r="F1251" s="304" t="s">
        <v>1556</v>
      </c>
      <c r="G1251" t="s">
        <v>1540</v>
      </c>
    </row>
    <row r="1252" spans="1:7">
      <c r="A1252" s="141" t="s">
        <v>692</v>
      </c>
      <c r="B1252" s="141" t="s">
        <v>657</v>
      </c>
      <c r="C1252" s="56">
        <v>45824</v>
      </c>
      <c r="D1252" s="43">
        <v>465</v>
      </c>
      <c r="F1252" s="43" t="s">
        <v>1219</v>
      </c>
      <c r="G1252" t="s">
        <v>1540</v>
      </c>
    </row>
    <row r="1253" spans="1:7">
      <c r="A1253" s="141" t="s">
        <v>812</v>
      </c>
      <c r="B1253" s="141" t="s">
        <v>140</v>
      </c>
      <c r="C1253" s="56">
        <v>45825</v>
      </c>
      <c r="D1253" s="155">
        <v>1756</v>
      </c>
      <c r="F1253" s="43" t="s">
        <v>1173</v>
      </c>
      <c r="G1253" t="s">
        <v>1540</v>
      </c>
    </row>
    <row r="1254" spans="1:7">
      <c r="A1254" s="320" t="s">
        <v>967</v>
      </c>
      <c r="B1254" s="311" t="s">
        <v>128</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128</v>
      </c>
      <c r="C1256" s="56">
        <v>45825</v>
      </c>
      <c r="D1256" s="155">
        <v>1465</v>
      </c>
      <c r="F1256" s="43" t="s">
        <v>1557</v>
      </c>
      <c r="G1256" t="s">
        <v>1540</v>
      </c>
    </row>
    <row r="1257" spans="1:7">
      <c r="A1257" s="311" t="s">
        <v>704</v>
      </c>
      <c r="B1257" s="311" t="s">
        <v>128</v>
      </c>
      <c r="C1257" s="56">
        <v>45825</v>
      </c>
      <c r="E1257" s="321">
        <v>4177</v>
      </c>
      <c r="F1257" s="43" t="s">
        <v>1558</v>
      </c>
      <c r="G1257" t="s">
        <v>1540</v>
      </c>
    </row>
    <row r="1258" spans="1:7">
      <c r="A1258" s="141" t="s">
        <v>692</v>
      </c>
      <c r="B1258" s="141" t="s">
        <v>657</v>
      </c>
      <c r="C1258" s="56">
        <v>45825</v>
      </c>
      <c r="D1258" s="43">
        <v>218</v>
      </c>
      <c r="F1258" s="43" t="s">
        <v>1219</v>
      </c>
      <c r="G1258" t="s">
        <v>1540</v>
      </c>
    </row>
    <row r="1259" spans="1:7">
      <c r="A1259" s="141" t="s">
        <v>812</v>
      </c>
      <c r="B1259" s="141" t="s">
        <v>140</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128</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657</v>
      </c>
      <c r="C1265" s="56">
        <v>45826</v>
      </c>
      <c r="D1265" s="43">
        <v>729</v>
      </c>
      <c r="G1265" t="s">
        <v>1540</v>
      </c>
    </row>
    <row r="1266" spans="1:7">
      <c r="A1266" s="141" t="s">
        <v>692</v>
      </c>
      <c r="B1266" s="141" t="s">
        <v>657</v>
      </c>
      <c r="C1266" s="56">
        <v>45827</v>
      </c>
      <c r="D1266" s="43">
        <v>464</v>
      </c>
      <c r="G1266" t="s">
        <v>1540</v>
      </c>
    </row>
    <row r="1267" spans="1:7">
      <c r="A1267" s="141" t="s">
        <v>543</v>
      </c>
      <c r="B1267" s="141" t="s">
        <v>657</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128</v>
      </c>
      <c r="C1270" s="56">
        <v>45828</v>
      </c>
      <c r="F1270" s="311" t="s">
        <v>1236</v>
      </c>
      <c r="G1270" t="s">
        <v>1540</v>
      </c>
    </row>
    <row r="1271" spans="1:7">
      <c r="A1271" s="141" t="s">
        <v>692</v>
      </c>
      <c r="B1271" s="141" t="s">
        <v>657</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128</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128</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140</v>
      </c>
      <c r="C1278" s="56">
        <v>45832</v>
      </c>
      <c r="D1278" s="155">
        <v>1946</v>
      </c>
      <c r="F1278" s="43" t="s">
        <v>1560</v>
      </c>
      <c r="G1278" t="s">
        <v>1540</v>
      </c>
    </row>
    <row r="1279" spans="1:7">
      <c r="A1279" s="141" t="s">
        <v>980</v>
      </c>
      <c r="B1279" s="311" t="s">
        <v>128</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128</v>
      </c>
      <c r="C1281" s="56">
        <v>45832</v>
      </c>
      <c r="D1281" s="155">
        <v>1141</v>
      </c>
      <c r="F1281" s="43" t="s">
        <v>1537</v>
      </c>
      <c r="G1281" t="s">
        <v>1540</v>
      </c>
    </row>
    <row r="1282" spans="1:7">
      <c r="A1282" s="141" t="s">
        <v>692</v>
      </c>
      <c r="B1282" s="141" t="s">
        <v>657</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140</v>
      </c>
      <c r="C1284" s="56">
        <v>45833</v>
      </c>
      <c r="D1284" s="43">
        <v>649</v>
      </c>
      <c r="F1284" s="43" t="s">
        <v>1564</v>
      </c>
      <c r="G1284" t="s">
        <v>1540</v>
      </c>
    </row>
    <row r="1285" spans="1:7">
      <c r="A1285" s="141" t="s">
        <v>980</v>
      </c>
      <c r="B1285" s="311" t="s">
        <v>128</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128</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140</v>
      </c>
      <c r="C1289" s="56">
        <v>45834</v>
      </c>
      <c r="F1289" s="316" t="s">
        <v>1566</v>
      </c>
      <c r="G1289" t="s">
        <v>1540</v>
      </c>
    </row>
    <row r="1290" spans="1:7">
      <c r="A1290" s="349" t="s">
        <v>815</v>
      </c>
      <c r="B1290" s="307" t="s">
        <v>140</v>
      </c>
      <c r="C1290" s="56">
        <v>45834</v>
      </c>
      <c r="F1290" s="320" t="s">
        <v>1566</v>
      </c>
      <c r="G1290" t="s">
        <v>1540</v>
      </c>
    </row>
    <row r="1291" spans="1:7">
      <c r="A1291" s="141" t="s">
        <v>980</v>
      </c>
      <c r="B1291" s="311" t="s">
        <v>128</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128</v>
      </c>
      <c r="C1293" s="56">
        <v>45834</v>
      </c>
      <c r="D1293" s="155">
        <v>1296</v>
      </c>
      <c r="F1293" s="43" t="s">
        <v>1557</v>
      </c>
      <c r="G1293" t="s">
        <v>1540</v>
      </c>
    </row>
    <row r="1294" spans="1:7">
      <c r="A1294" s="304" t="s">
        <v>777</v>
      </c>
      <c r="B1294" s="304" t="s">
        <v>128</v>
      </c>
      <c r="C1294" s="56">
        <v>45834</v>
      </c>
      <c r="F1294" s="311" t="s">
        <v>1568</v>
      </c>
      <c r="G1294" t="s">
        <v>1540</v>
      </c>
    </row>
    <row r="1295" spans="1:7">
      <c r="A1295" s="141" t="s">
        <v>692</v>
      </c>
      <c r="B1295" s="317" t="s">
        <v>657</v>
      </c>
      <c r="C1295" s="56">
        <v>45834</v>
      </c>
      <c r="D1295" s="43">
        <v>112</v>
      </c>
      <c r="F1295" s="43" t="s">
        <v>1219</v>
      </c>
      <c r="G1295" t="s">
        <v>1540</v>
      </c>
    </row>
    <row r="1296" spans="1:7">
      <c r="A1296" s="304" t="s">
        <v>543</v>
      </c>
      <c r="B1296" s="141" t="s">
        <v>657</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140</v>
      </c>
      <c r="C1299" s="56">
        <v>45835</v>
      </c>
      <c r="F1299" s="316" t="s">
        <v>1566</v>
      </c>
      <c r="G1299" t="s">
        <v>1540</v>
      </c>
    </row>
    <row r="1300" spans="1:7">
      <c r="A1300" s="141" t="s">
        <v>777</v>
      </c>
      <c r="B1300" s="141" t="s">
        <v>128</v>
      </c>
      <c r="C1300" s="56">
        <v>45835</v>
      </c>
      <c r="E1300" s="321">
        <v>1605</v>
      </c>
      <c r="F1300" s="141" t="s">
        <v>1570</v>
      </c>
      <c r="G1300" t="s">
        <v>1540</v>
      </c>
    </row>
    <row r="1301" spans="1:7">
      <c r="A1301" s="141" t="s">
        <v>543</v>
      </c>
      <c r="B1301" s="317" t="s">
        <v>657</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543</v>
      </c>
      <c r="B1304" s="317" t="s">
        <v>657</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128</v>
      </c>
      <c r="C1306" s="56">
        <v>45839</v>
      </c>
      <c r="E1306" s="139">
        <v>53</v>
      </c>
      <c r="F1306" s="43" t="s">
        <v>1574</v>
      </c>
      <c r="G1306" t="s">
        <v>1573</v>
      </c>
    </row>
    <row r="1307" spans="1:7">
      <c r="A1307" s="346" t="s">
        <v>701</v>
      </c>
      <c r="B1307" s="315" t="s">
        <v>128</v>
      </c>
      <c r="C1307" s="56">
        <v>45839</v>
      </c>
      <c r="E1307" s="321">
        <v>10059</v>
      </c>
      <c r="F1307" s="43" t="s">
        <v>1575</v>
      </c>
    </row>
    <row r="1308" spans="1:7">
      <c r="A1308" s="141" t="s">
        <v>543</v>
      </c>
      <c r="B1308" s="317" t="s">
        <v>657</v>
      </c>
      <c r="C1308" s="56">
        <v>45839</v>
      </c>
      <c r="D1308" s="43">
        <v>478</v>
      </c>
      <c r="G1308" t="s">
        <v>1573</v>
      </c>
    </row>
    <row r="1309" spans="1:7">
      <c r="A1309" s="141" t="s">
        <v>692</v>
      </c>
      <c r="B1309" s="317" t="s">
        <v>657</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128</v>
      </c>
      <c r="C1312" s="56">
        <v>45840</v>
      </c>
      <c r="D1312" s="43">
        <v>355</v>
      </c>
      <c r="F1312" s="43" t="s">
        <v>1173</v>
      </c>
      <c r="G1312" t="s">
        <v>1573</v>
      </c>
    </row>
    <row r="1313" spans="1:7">
      <c r="A1313" s="304" t="s">
        <v>701</v>
      </c>
      <c r="B1313" s="304" t="s">
        <v>128</v>
      </c>
      <c r="C1313" s="56">
        <v>45840</v>
      </c>
      <c r="F1313" s="304" t="s">
        <v>1236</v>
      </c>
      <c r="G1313" t="s">
        <v>1573</v>
      </c>
    </row>
    <row r="1314" spans="1:7">
      <c r="A1314" s="141" t="s">
        <v>543</v>
      </c>
      <c r="B1314" s="317" t="s">
        <v>657</v>
      </c>
      <c r="C1314" s="56">
        <v>45840</v>
      </c>
      <c r="D1314" s="43">
        <v>490</v>
      </c>
      <c r="F1314" s="43" t="s">
        <v>1219</v>
      </c>
      <c r="G1314" t="s">
        <v>1573</v>
      </c>
    </row>
    <row r="1315" spans="1:7">
      <c r="A1315" s="141" t="s">
        <v>802</v>
      </c>
      <c r="B1315" s="311" t="s">
        <v>1091</v>
      </c>
      <c r="C1315" s="56">
        <v>45841</v>
      </c>
      <c r="F1315" s="141" t="s">
        <v>1236</v>
      </c>
      <c r="G1315" t="s">
        <v>1573</v>
      </c>
    </row>
    <row r="1316" spans="1:7">
      <c r="A1316" s="141" t="s">
        <v>543</v>
      </c>
      <c r="B1316" s="317" t="s">
        <v>657</v>
      </c>
      <c r="C1316" s="56">
        <v>45841</v>
      </c>
      <c r="D1316" s="43">
        <v>372</v>
      </c>
      <c r="F1316" s="115" t="s">
        <v>1219</v>
      </c>
      <c r="G1316" t="s">
        <v>1573</v>
      </c>
    </row>
    <row r="1317" spans="1:7" ht="15.75">
      <c r="A1317" s="141" t="s">
        <v>543</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128</v>
      </c>
      <c r="C1320" s="56">
        <v>45845</v>
      </c>
      <c r="D1320" s="43">
        <v>846</v>
      </c>
      <c r="G1320" t="s">
        <v>1573</v>
      </c>
    </row>
    <row r="1321" spans="1:7">
      <c r="A1321" s="304" t="s">
        <v>709</v>
      </c>
      <c r="B1321" s="304" t="s">
        <v>128</v>
      </c>
      <c r="C1321" s="56">
        <v>45845</v>
      </c>
      <c r="D1321" s="155">
        <v>1644</v>
      </c>
      <c r="E1321" s="201"/>
      <c r="G1321" t="s">
        <v>1573</v>
      </c>
    </row>
    <row r="1322" spans="1:7">
      <c r="A1322" s="141" t="s">
        <v>543</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128</v>
      </c>
      <c r="C1324" s="56">
        <v>45846</v>
      </c>
      <c r="D1324" s="43">
        <v>827</v>
      </c>
      <c r="F1324" s="43" t="s">
        <v>1580</v>
      </c>
      <c r="G1324" t="s">
        <v>1573</v>
      </c>
    </row>
    <row r="1325" spans="1:7">
      <c r="A1325" s="397" t="s">
        <v>709</v>
      </c>
      <c r="B1325" s="399" t="s">
        <v>128</v>
      </c>
      <c r="C1325" s="56">
        <v>45846</v>
      </c>
      <c r="D1325" s="43">
        <v>60</v>
      </c>
      <c r="F1325" s="43" t="s">
        <v>1533</v>
      </c>
      <c r="G1325" t="s">
        <v>1573</v>
      </c>
    </row>
    <row r="1326" spans="1:7">
      <c r="A1326" s="395" t="s">
        <v>1026</v>
      </c>
      <c r="B1326" s="398" t="s">
        <v>1091</v>
      </c>
      <c r="C1326" s="56">
        <v>45847</v>
      </c>
      <c r="D1326" s="43">
        <v>321</v>
      </c>
      <c r="G1326" t="s">
        <v>1573</v>
      </c>
    </row>
    <row r="1327" spans="1:7">
      <c r="A1327" s="247" t="s">
        <v>554</v>
      </c>
      <c r="B1327" s="157" t="s">
        <v>657</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549</v>
      </c>
      <c r="B1331" s="157" t="s">
        <v>400</v>
      </c>
      <c r="C1331" s="56">
        <v>45849</v>
      </c>
      <c r="D1331" s="43">
        <v>198</v>
      </c>
      <c r="G1331" t="s">
        <v>1573</v>
      </c>
    </row>
    <row r="1332" spans="1:7">
      <c r="A1332" s="247" t="s">
        <v>1026</v>
      </c>
      <c r="B1332" s="398" t="s">
        <v>1091</v>
      </c>
      <c r="C1332" s="56">
        <v>45852</v>
      </c>
      <c r="F1332" s="43" t="s">
        <v>1236</v>
      </c>
      <c r="G1332" t="s">
        <v>1573</v>
      </c>
    </row>
    <row r="1333" spans="1:7">
      <c r="A1333" s="617" t="s">
        <v>549</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128</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128</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128</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128</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140</v>
      </c>
      <c r="C1351" s="56">
        <v>45859</v>
      </c>
      <c r="D1351" s="43">
        <v>385</v>
      </c>
      <c r="G1351" t="s">
        <v>1573</v>
      </c>
    </row>
    <row r="1352" spans="1:7">
      <c r="A1352" s="397" t="s">
        <v>750</v>
      </c>
      <c r="B1352" s="399" t="s">
        <v>128</v>
      </c>
      <c r="C1352" s="56">
        <v>45859</v>
      </c>
      <c r="D1352" s="155">
        <v>1070</v>
      </c>
      <c r="F1352" s="43" t="s">
        <v>1171</v>
      </c>
      <c r="G1352" t="s">
        <v>1573</v>
      </c>
    </row>
    <row r="1353" spans="1:7">
      <c r="A1353" s="414" t="s">
        <v>752</v>
      </c>
      <c r="B1353" s="415" t="s">
        <v>128</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128</v>
      </c>
      <c r="C1356" s="56">
        <v>45860</v>
      </c>
      <c r="D1356" s="155">
        <v>1224</v>
      </c>
      <c r="F1356" s="43" t="s">
        <v>1589</v>
      </c>
      <c r="G1356" t="s">
        <v>1573</v>
      </c>
    </row>
    <row r="1357" spans="1:7">
      <c r="A1357" s="305" t="s">
        <v>752</v>
      </c>
      <c r="B1357" s="304" t="s">
        <v>128</v>
      </c>
      <c r="C1357" s="56">
        <v>45860</v>
      </c>
      <c r="D1357" s="155">
        <v>1714</v>
      </c>
      <c r="F1357" s="43" t="s">
        <v>1182</v>
      </c>
      <c r="G1357" t="s">
        <v>1573</v>
      </c>
    </row>
    <row r="1358" spans="1:7">
      <c r="A1358" s="141" t="s">
        <v>975</v>
      </c>
      <c r="B1358" s="398" t="s">
        <v>140</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128</v>
      </c>
      <c r="C1365" s="56">
        <v>45861</v>
      </c>
      <c r="D1365" s="43">
        <v>235</v>
      </c>
      <c r="F1365" s="43" t="s">
        <v>1591</v>
      </c>
      <c r="G1365" t="s">
        <v>1573</v>
      </c>
    </row>
    <row r="1366" spans="1:7">
      <c r="A1366" s="305" t="s">
        <v>752</v>
      </c>
      <c r="B1366" s="304" t="s">
        <v>128</v>
      </c>
      <c r="C1366" s="56">
        <v>45861</v>
      </c>
      <c r="D1366" s="43">
        <v>678</v>
      </c>
      <c r="F1366" s="43" t="s">
        <v>1592</v>
      </c>
      <c r="G1366" t="s">
        <v>1573</v>
      </c>
    </row>
    <row r="1367" spans="1:7">
      <c r="A1367" s="141" t="s">
        <v>709</v>
      </c>
      <c r="B1367" s="398" t="s">
        <v>140</v>
      </c>
      <c r="C1367" s="56">
        <v>45861</v>
      </c>
      <c r="D1367" s="43">
        <v>579</v>
      </c>
      <c r="G1367" t="s">
        <v>1573</v>
      </c>
    </row>
    <row r="1368" spans="1:7">
      <c r="A1368" s="305" t="s">
        <v>755</v>
      </c>
      <c r="B1368" s="304" t="s">
        <v>128</v>
      </c>
      <c r="C1368" s="56">
        <v>45861</v>
      </c>
      <c r="D1368" s="43">
        <v>363</v>
      </c>
      <c r="F1368" s="43" t="s">
        <v>1593</v>
      </c>
      <c r="G1368" t="s">
        <v>1573</v>
      </c>
    </row>
    <row r="1369" spans="1:7">
      <c r="A1369" s="141" t="s">
        <v>967</v>
      </c>
      <c r="B1369" s="141" t="s">
        <v>128</v>
      </c>
      <c r="C1369" s="56">
        <v>45861</v>
      </c>
      <c r="D1369" s="43">
        <v>853</v>
      </c>
      <c r="F1369" s="43" t="s">
        <v>1219</v>
      </c>
      <c r="G1369" t="s">
        <v>1573</v>
      </c>
    </row>
    <row r="1370" spans="1:7">
      <c r="A1370" s="123" t="s">
        <v>549</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128</v>
      </c>
      <c r="C1374" s="56">
        <v>45862</v>
      </c>
      <c r="D1374" s="155">
        <v>1077</v>
      </c>
      <c r="F1374" s="43" t="s">
        <v>1597</v>
      </c>
      <c r="G1374" t="s">
        <v>1573</v>
      </c>
    </row>
    <row r="1375" spans="1:7">
      <c r="A1375" s="141" t="s">
        <v>709</v>
      </c>
      <c r="B1375" s="398" t="s">
        <v>140</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128</v>
      </c>
      <c r="C1377" s="56">
        <v>45862</v>
      </c>
      <c r="D1377" s="155">
        <v>1279</v>
      </c>
      <c r="F1377" s="43" t="s">
        <v>1219</v>
      </c>
      <c r="G1377" t="s">
        <v>1573</v>
      </c>
    </row>
    <row r="1378" spans="1:7">
      <c r="A1378" s="123" t="s">
        <v>549</v>
      </c>
      <c r="B1378" s="318" t="s">
        <v>400</v>
      </c>
      <c r="C1378" s="56">
        <v>45862</v>
      </c>
      <c r="D1378" s="43">
        <v>880</v>
      </c>
      <c r="G1378" t="s">
        <v>1573</v>
      </c>
    </row>
    <row r="1379" spans="1:7">
      <c r="A1379" s="324" t="s">
        <v>554</v>
      </c>
      <c r="B1379" s="349" t="s">
        <v>657</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128</v>
      </c>
      <c r="C1382" s="56">
        <v>45863</v>
      </c>
      <c r="F1382" s="304" t="s">
        <v>1602</v>
      </c>
      <c r="G1382" t="s">
        <v>1573</v>
      </c>
    </row>
    <row r="1383" spans="1:7">
      <c r="A1383" s="141" t="s">
        <v>750</v>
      </c>
      <c r="B1383" s="304" t="s">
        <v>128</v>
      </c>
      <c r="C1383" s="56">
        <v>45863</v>
      </c>
      <c r="F1383" s="307" t="s">
        <v>1602</v>
      </c>
      <c r="G1383" t="s">
        <v>1573</v>
      </c>
    </row>
    <row r="1384" spans="1:7">
      <c r="A1384" s="305" t="s">
        <v>761</v>
      </c>
      <c r="B1384" s="305" t="s">
        <v>128</v>
      </c>
      <c r="C1384" s="56">
        <v>45863</v>
      </c>
      <c r="F1384" s="357" t="s">
        <v>1602</v>
      </c>
      <c r="G1384" t="s">
        <v>1573</v>
      </c>
    </row>
    <row r="1385" spans="1:7">
      <c r="A1385" s="311" t="s">
        <v>758</v>
      </c>
      <c r="B1385" s="311" t="s">
        <v>1091</v>
      </c>
      <c r="C1385" s="56">
        <v>45863</v>
      </c>
      <c r="F1385" s="311" t="s">
        <v>1603</v>
      </c>
      <c r="G1385" t="s">
        <v>1573</v>
      </c>
    </row>
    <row r="1386" spans="1:7">
      <c r="A1386" s="123" t="s">
        <v>549</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128</v>
      </c>
      <c r="C1388" s="56">
        <v>45866</v>
      </c>
      <c r="D1388" s="43">
        <v>817</v>
      </c>
      <c r="G1388" t="s">
        <v>1573</v>
      </c>
    </row>
    <row r="1389" spans="1:7">
      <c r="A1389" s="141" t="s">
        <v>755</v>
      </c>
      <c r="B1389" s="304" t="s">
        <v>128</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140</v>
      </c>
      <c r="C1391" s="56">
        <v>45866</v>
      </c>
      <c r="D1391" s="155">
        <v>1181</v>
      </c>
      <c r="G1391" t="s">
        <v>1573</v>
      </c>
    </row>
    <row r="1392" spans="1:7">
      <c r="A1392" s="123" t="s">
        <v>549</v>
      </c>
      <c r="B1392" s="157" t="s">
        <v>400</v>
      </c>
      <c r="C1392" s="56">
        <v>45866</v>
      </c>
      <c r="D1392" s="43">
        <v>345</v>
      </c>
      <c r="G1392" t="s">
        <v>1573</v>
      </c>
    </row>
    <row r="1393" spans="1:7">
      <c r="A1393" s="618" t="s">
        <v>709</v>
      </c>
      <c r="B1393" s="69" t="s">
        <v>140</v>
      </c>
      <c r="C1393" s="56">
        <v>45867</v>
      </c>
      <c r="D1393" s="155">
        <v>1933</v>
      </c>
      <c r="G1393" t="s">
        <v>1573</v>
      </c>
    </row>
    <row r="1394" spans="1:7">
      <c r="A1394" s="430" t="s">
        <v>967</v>
      </c>
      <c r="B1394" s="247" t="s">
        <v>128</v>
      </c>
      <c r="C1394" s="56">
        <v>45867</v>
      </c>
      <c r="E1394" s="321">
        <v>5590</v>
      </c>
      <c r="F1394" s="43" t="s">
        <v>1605</v>
      </c>
      <c r="G1394" t="s">
        <v>1573</v>
      </c>
    </row>
    <row r="1395" spans="1:7">
      <c r="A1395" s="431" t="s">
        <v>755</v>
      </c>
      <c r="B1395" s="433" t="s">
        <v>128</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140</v>
      </c>
      <c r="C1397" s="56">
        <v>45868</v>
      </c>
      <c r="D1397" s="155">
        <v>1951</v>
      </c>
      <c r="G1397" t="s">
        <v>1573</v>
      </c>
    </row>
    <row r="1398" spans="1:7">
      <c r="A1398" s="141" t="s">
        <v>709</v>
      </c>
      <c r="B1398" s="304" t="s">
        <v>128</v>
      </c>
      <c r="C1398" s="56">
        <v>45868</v>
      </c>
      <c r="D1398" s="43">
        <v>902</v>
      </c>
      <c r="G1398" t="s">
        <v>1573</v>
      </c>
    </row>
    <row r="1399" spans="1:7">
      <c r="A1399" s="304" t="s">
        <v>967</v>
      </c>
      <c r="B1399" s="304" t="s">
        <v>128</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540</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140</v>
      </c>
      <c r="C1404" s="56">
        <v>45869</v>
      </c>
      <c r="D1404" s="43">
        <v>725</v>
      </c>
      <c r="G1404" t="s">
        <v>1573</v>
      </c>
    </row>
    <row r="1405" spans="1:7">
      <c r="A1405" s="305" t="s">
        <v>709</v>
      </c>
      <c r="B1405" s="305" t="s">
        <v>128</v>
      </c>
      <c r="C1405" s="56">
        <v>45869</v>
      </c>
      <c r="D1405" s="43">
        <v>862</v>
      </c>
      <c r="G1405" t="s">
        <v>1573</v>
      </c>
    </row>
    <row r="1406" spans="1:7">
      <c r="A1406" s="311" t="s">
        <v>975</v>
      </c>
      <c r="B1406" s="311" t="s">
        <v>1609</v>
      </c>
      <c r="C1406" s="56">
        <v>45869</v>
      </c>
      <c r="E1406" s="321">
        <v>2691</v>
      </c>
      <c r="G1406" t="s">
        <v>1573</v>
      </c>
    </row>
    <row r="1407" spans="1:7">
      <c r="A1407" s="346" t="s">
        <v>557</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663</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557</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128</v>
      </c>
      <c r="C1413" s="56">
        <v>45873</v>
      </c>
      <c r="D1413" s="43">
        <v>918</v>
      </c>
      <c r="G1413" t="s">
        <v>1612</v>
      </c>
    </row>
    <row r="1414" spans="1:7">
      <c r="A1414" s="311" t="s">
        <v>972</v>
      </c>
      <c r="B1414" s="311" t="s">
        <v>128</v>
      </c>
      <c r="C1414" s="56">
        <v>45874</v>
      </c>
      <c r="D1414" s="155">
        <v>2675</v>
      </c>
      <c r="G1414" t="s">
        <v>1612</v>
      </c>
    </row>
    <row r="1415" spans="1:7">
      <c r="A1415" s="311" t="s">
        <v>557</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128</v>
      </c>
      <c r="C1417" s="56">
        <v>45875</v>
      </c>
      <c r="D1417" s="155">
        <v>1964</v>
      </c>
      <c r="G1417" t="s">
        <v>1612</v>
      </c>
    </row>
    <row r="1418" spans="1:7">
      <c r="A1418" s="549" t="s">
        <v>557</v>
      </c>
      <c r="B1418" s="311" t="s">
        <v>400</v>
      </c>
      <c r="C1418" s="56">
        <v>45875</v>
      </c>
      <c r="D1418" s="43">
        <v>840</v>
      </c>
      <c r="G1418" t="s">
        <v>1612</v>
      </c>
    </row>
    <row r="1419" spans="1:7">
      <c r="A1419" s="141" t="s">
        <v>540</v>
      </c>
      <c r="B1419" s="550" t="s">
        <v>400</v>
      </c>
      <c r="C1419" s="56">
        <v>45875</v>
      </c>
      <c r="F1419" s="43" t="s">
        <v>1615</v>
      </c>
      <c r="G1419" t="s">
        <v>1612</v>
      </c>
    </row>
    <row r="1420" spans="1:7">
      <c r="A1420" s="387" t="s">
        <v>972</v>
      </c>
      <c r="B1420" s="415" t="s">
        <v>128</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128</v>
      </c>
      <c r="C1422" s="56">
        <v>45876</v>
      </c>
      <c r="D1422" s="43">
        <v>674</v>
      </c>
      <c r="G1422" t="s">
        <v>1612</v>
      </c>
    </row>
    <row r="1423" spans="1:7">
      <c r="A1423" s="525" t="s">
        <v>557</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128</v>
      </c>
      <c r="C1425" s="56">
        <v>45877</v>
      </c>
      <c r="F1425" s="311" t="s">
        <v>1236</v>
      </c>
      <c r="G1425" t="s">
        <v>1612</v>
      </c>
    </row>
    <row r="1426" spans="1:7">
      <c r="A1426" s="551" t="s">
        <v>557</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128</v>
      </c>
      <c r="C1428" s="56">
        <v>45880</v>
      </c>
      <c r="D1428" s="155">
        <v>1175</v>
      </c>
      <c r="G1428" t="s">
        <v>1612</v>
      </c>
    </row>
    <row r="1429" spans="1:7">
      <c r="A1429" s="304" t="s">
        <v>791</v>
      </c>
      <c r="B1429" s="304" t="s">
        <v>1091</v>
      </c>
      <c r="C1429" s="56">
        <v>45880</v>
      </c>
      <c r="D1429" s="43">
        <v>288</v>
      </c>
      <c r="G1429" t="s">
        <v>1612</v>
      </c>
    </row>
    <row r="1430" spans="1:7">
      <c r="A1430" s="551" t="s">
        <v>557</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128</v>
      </c>
      <c r="C1432" s="56">
        <v>45881</v>
      </c>
      <c r="D1432" s="155">
        <v>1154</v>
      </c>
      <c r="G1432" t="s">
        <v>1612</v>
      </c>
    </row>
    <row r="1433" spans="1:7">
      <c r="A1433" s="238" t="s">
        <v>791</v>
      </c>
      <c r="B1433" s="131" t="s">
        <v>1091</v>
      </c>
      <c r="C1433" s="56">
        <v>45881</v>
      </c>
      <c r="D1433" s="43">
        <v>380</v>
      </c>
      <c r="G1433" t="s">
        <v>1612</v>
      </c>
    </row>
    <row r="1434" spans="1:7">
      <c r="A1434" s="91" t="s">
        <v>788</v>
      </c>
      <c r="B1434" s="169" t="s">
        <v>128</v>
      </c>
      <c r="C1434" s="56">
        <v>45881</v>
      </c>
      <c r="D1434" s="43">
        <v>111</v>
      </c>
      <c r="F1434" s="43" t="s">
        <v>1562</v>
      </c>
      <c r="G1434" t="s">
        <v>1612</v>
      </c>
    </row>
    <row r="1435" spans="1:7">
      <c r="A1435" s="247" t="s">
        <v>399</v>
      </c>
      <c r="B1435" s="311" t="s">
        <v>400</v>
      </c>
      <c r="C1435" s="56">
        <v>45881</v>
      </c>
      <c r="D1435" s="43">
        <v>319</v>
      </c>
      <c r="G1435" t="s">
        <v>1612</v>
      </c>
    </row>
    <row r="1436" spans="1:7">
      <c r="A1436" s="551" t="s">
        <v>557</v>
      </c>
      <c r="B1436" s="311" t="s">
        <v>400</v>
      </c>
      <c r="C1436" s="56">
        <v>45881</v>
      </c>
      <c r="D1436" s="155">
        <v>1293</v>
      </c>
      <c r="G1436" t="s">
        <v>1612</v>
      </c>
    </row>
    <row r="1437" spans="1:7">
      <c r="A1437" s="247" t="s">
        <v>966</v>
      </c>
      <c r="B1437" s="157" t="s">
        <v>128</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128</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128</v>
      </c>
      <c r="C1441" s="56">
        <v>45882</v>
      </c>
      <c r="D1441" s="155">
        <v>1031</v>
      </c>
      <c r="F1441" s="43" t="s">
        <v>1619</v>
      </c>
      <c r="G1441" t="s">
        <v>1612</v>
      </c>
    </row>
    <row r="1442" spans="1:7">
      <c r="A1442" s="305" t="s">
        <v>788</v>
      </c>
      <c r="B1442" s="305" t="s">
        <v>128</v>
      </c>
      <c r="C1442" s="56">
        <v>45882</v>
      </c>
      <c r="D1442" s="43">
        <v>12</v>
      </c>
      <c r="F1442" s="305" t="s">
        <v>1533</v>
      </c>
      <c r="G1442" t="s">
        <v>1612</v>
      </c>
    </row>
    <row r="1443" spans="1:7">
      <c r="A1443" s="247" t="s">
        <v>557</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128</v>
      </c>
      <c r="C1445" s="56">
        <v>45883</v>
      </c>
      <c r="F1445" s="43" t="s">
        <v>1458</v>
      </c>
      <c r="G1445" t="s">
        <v>1612</v>
      </c>
    </row>
    <row r="1446" spans="1:7">
      <c r="A1446" s="238" t="s">
        <v>791</v>
      </c>
      <c r="B1446" s="131" t="s">
        <v>1091</v>
      </c>
      <c r="C1446" s="56">
        <v>45883</v>
      </c>
      <c r="D1446" s="43">
        <v>163</v>
      </c>
      <c r="G1446" t="s">
        <v>1612</v>
      </c>
    </row>
    <row r="1447" spans="1:7">
      <c r="A1447" s="551" t="s">
        <v>557</v>
      </c>
      <c r="B1447" s="311" t="s">
        <v>400</v>
      </c>
      <c r="C1447" s="56">
        <v>45883</v>
      </c>
      <c r="D1447" s="43">
        <v>554</v>
      </c>
      <c r="G1447" t="s">
        <v>1612</v>
      </c>
    </row>
    <row r="1448" spans="1:7">
      <c r="A1448" s="43" t="s">
        <v>263</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557</v>
      </c>
      <c r="B1453" s="311" t="s">
        <v>400</v>
      </c>
      <c r="C1453" s="56">
        <v>45884</v>
      </c>
      <c r="D1453" s="43">
        <v>89</v>
      </c>
      <c r="G1453" t="s">
        <v>1612</v>
      </c>
    </row>
    <row r="1454" spans="1:7">
      <c r="A1454" s="304" t="s">
        <v>263</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128</v>
      </c>
      <c r="C1459" s="56">
        <v>45887</v>
      </c>
      <c r="D1459" s="155">
        <v>1109</v>
      </c>
      <c r="F1459" s="43" t="s">
        <v>1625</v>
      </c>
      <c r="G1459" t="s">
        <v>1612</v>
      </c>
    </row>
    <row r="1460" spans="1:7">
      <c r="A1460" s="551" t="s">
        <v>557</v>
      </c>
      <c r="B1460" s="311" t="s">
        <v>400</v>
      </c>
      <c r="C1460" s="56">
        <v>45887</v>
      </c>
      <c r="D1460" s="43">
        <v>377</v>
      </c>
      <c r="G1460" t="s">
        <v>1612</v>
      </c>
    </row>
    <row r="1461" spans="1:7">
      <c r="A1461" s="304" t="s">
        <v>263</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128</v>
      </c>
      <c r="C1463" s="56">
        <v>45888</v>
      </c>
      <c r="D1463" s="155">
        <v>1456</v>
      </c>
      <c r="G1463" t="s">
        <v>1612</v>
      </c>
    </row>
    <row r="1464" spans="1:7">
      <c r="A1464" s="315" t="s">
        <v>802</v>
      </c>
      <c r="B1464" s="315" t="s">
        <v>1091</v>
      </c>
      <c r="C1464" s="56">
        <v>45888</v>
      </c>
      <c r="D1464" s="43">
        <v>416</v>
      </c>
      <c r="G1464" t="s">
        <v>1612</v>
      </c>
    </row>
    <row r="1465" spans="1:7">
      <c r="A1465" s="525" t="s">
        <v>983</v>
      </c>
      <c r="B1465" s="311" t="s">
        <v>128</v>
      </c>
      <c r="C1465" s="56">
        <v>45888</v>
      </c>
      <c r="D1465" s="155">
        <v>1460</v>
      </c>
      <c r="F1465" s="43" t="s">
        <v>1626</v>
      </c>
      <c r="G1465" t="s">
        <v>1612</v>
      </c>
    </row>
    <row r="1466" spans="1:7">
      <c r="A1466" s="551" t="s">
        <v>557</v>
      </c>
      <c r="B1466" s="311" t="s">
        <v>400</v>
      </c>
      <c r="C1466" s="56">
        <v>45888</v>
      </c>
      <c r="D1466" s="43">
        <v>408</v>
      </c>
      <c r="F1466" s="115"/>
      <c r="G1466" t="s">
        <v>1612</v>
      </c>
    </row>
    <row r="1467" spans="1:7">
      <c r="A1467" s="583" t="s">
        <v>554</v>
      </c>
      <c r="B1467" s="318" t="s">
        <v>1091</v>
      </c>
      <c r="C1467" s="56">
        <v>45888</v>
      </c>
      <c r="F1467" s="141" t="s">
        <v>1627</v>
      </c>
      <c r="G1467" t="s">
        <v>1612</v>
      </c>
    </row>
    <row r="1468" spans="1:7">
      <c r="A1468" s="247" t="s">
        <v>540</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140</v>
      </c>
      <c r="C1470" s="56">
        <v>45889</v>
      </c>
      <c r="F1470" s="320" t="s">
        <v>1586</v>
      </c>
      <c r="G1470" t="s">
        <v>1612</v>
      </c>
    </row>
    <row r="1471" spans="1:7">
      <c r="A1471" s="396" t="s">
        <v>1133</v>
      </c>
      <c r="B1471" s="228" t="s">
        <v>128</v>
      </c>
      <c r="C1471" s="56">
        <v>45889</v>
      </c>
      <c r="D1471" s="155">
        <v>1420</v>
      </c>
      <c r="G1471" t="s">
        <v>1612</v>
      </c>
    </row>
    <row r="1472" spans="1:7">
      <c r="A1472" s="238" t="s">
        <v>802</v>
      </c>
      <c r="B1472" s="131" t="s">
        <v>1091</v>
      </c>
      <c r="C1472" s="56">
        <v>45889</v>
      </c>
      <c r="D1472" s="43">
        <v>216</v>
      </c>
      <c r="G1472" t="s">
        <v>1612</v>
      </c>
    </row>
    <row r="1473" spans="1:7">
      <c r="A1473" s="580" t="s">
        <v>983</v>
      </c>
      <c r="B1473" s="322" t="s">
        <v>128</v>
      </c>
      <c r="C1473" s="56">
        <v>45889</v>
      </c>
      <c r="D1473" s="155">
        <v>1428</v>
      </c>
      <c r="F1473" s="43" t="s">
        <v>1533</v>
      </c>
      <c r="G1473" t="s">
        <v>1612</v>
      </c>
    </row>
    <row r="1474" spans="1:7">
      <c r="A1474" s="551" t="s">
        <v>557</v>
      </c>
      <c r="B1474" s="311" t="s">
        <v>400</v>
      </c>
      <c r="C1474" s="56">
        <v>45889</v>
      </c>
      <c r="D1474" s="43">
        <v>607</v>
      </c>
      <c r="F1474" s="43" t="s">
        <v>1628</v>
      </c>
      <c r="G1474" t="s">
        <v>1612</v>
      </c>
    </row>
    <row r="1475" spans="1:7">
      <c r="A1475" s="583" t="s">
        <v>554</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140</v>
      </c>
      <c r="C1477" s="56">
        <v>45890</v>
      </c>
      <c r="F1477" s="43" t="s">
        <v>1369</v>
      </c>
      <c r="G1477" t="s">
        <v>1612</v>
      </c>
    </row>
    <row r="1478" spans="1:7">
      <c r="A1478" s="396" t="s">
        <v>1133</v>
      </c>
      <c r="B1478" s="228" t="s">
        <v>128</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128</v>
      </c>
      <c r="C1480" s="56">
        <v>45890</v>
      </c>
      <c r="D1480" s="155">
        <v>1654</v>
      </c>
      <c r="G1480" t="s">
        <v>1612</v>
      </c>
    </row>
    <row r="1481" spans="1:7">
      <c r="A1481" s="69" t="s">
        <v>1020</v>
      </c>
      <c r="B1481" s="228" t="s">
        <v>1617</v>
      </c>
      <c r="C1481" s="56">
        <v>45890</v>
      </c>
      <c r="E1481" s="321">
        <v>1109</v>
      </c>
      <c r="F1481" s="43" t="s">
        <v>1629</v>
      </c>
      <c r="G1481" t="s">
        <v>1612</v>
      </c>
    </row>
    <row r="1482" spans="1:7">
      <c r="A1482" s="551" t="s">
        <v>557</v>
      </c>
      <c r="B1482" s="311" t="s">
        <v>400</v>
      </c>
      <c r="C1482" s="56">
        <v>45890</v>
      </c>
      <c r="D1482" s="155">
        <v>1022</v>
      </c>
      <c r="G1482" t="s">
        <v>1612</v>
      </c>
    </row>
    <row r="1483" spans="1:7">
      <c r="A1483" s="583" t="s">
        <v>554</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140</v>
      </c>
      <c r="C1485" s="56">
        <v>45891</v>
      </c>
      <c r="D1485" s="43">
        <v>878</v>
      </c>
      <c r="F1485" s="43" t="s">
        <v>1630</v>
      </c>
      <c r="G1485" t="s">
        <v>1612</v>
      </c>
    </row>
    <row r="1486" spans="1:7">
      <c r="A1486" s="396" t="s">
        <v>1133</v>
      </c>
      <c r="B1486" s="228" t="s">
        <v>128</v>
      </c>
      <c r="C1486" s="56">
        <v>45891</v>
      </c>
      <c r="D1486" s="155">
        <v>1081</v>
      </c>
      <c r="G1486" t="s">
        <v>1612</v>
      </c>
    </row>
    <row r="1487" spans="1:7">
      <c r="A1487" s="238" t="s">
        <v>802</v>
      </c>
      <c r="B1487" s="131" t="s">
        <v>1091</v>
      </c>
      <c r="C1487" s="56">
        <v>45891</v>
      </c>
      <c r="E1487" s="321">
        <v>2001</v>
      </c>
      <c r="F1487" s="43" t="s">
        <v>1631</v>
      </c>
      <c r="G1487" t="s">
        <v>1612</v>
      </c>
    </row>
    <row r="1488" spans="1:7">
      <c r="A1488" s="551" t="s">
        <v>557</v>
      </c>
      <c r="B1488" s="311" t="s">
        <v>400</v>
      </c>
      <c r="C1488" s="56">
        <v>45891</v>
      </c>
      <c r="E1488" s="321">
        <v>6090</v>
      </c>
      <c r="F1488" s="43" t="s">
        <v>1632</v>
      </c>
      <c r="G1488" t="s">
        <v>1612</v>
      </c>
    </row>
    <row r="1489" spans="1:7">
      <c r="A1489" s="583" t="s">
        <v>554</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140</v>
      </c>
      <c r="C1491" s="56">
        <v>45894</v>
      </c>
      <c r="D1491" s="43">
        <v>715</v>
      </c>
      <c r="G1491" t="s">
        <v>1612</v>
      </c>
    </row>
    <row r="1492" spans="1:7">
      <c r="A1492" s="396" t="s">
        <v>1133</v>
      </c>
      <c r="B1492" s="228" t="s">
        <v>128</v>
      </c>
      <c r="C1492" s="56">
        <v>45894</v>
      </c>
      <c r="D1492" s="43">
        <v>809</v>
      </c>
      <c r="G1492" t="s">
        <v>1612</v>
      </c>
    </row>
    <row r="1493" spans="1:7">
      <c r="A1493" s="238" t="s">
        <v>799</v>
      </c>
      <c r="B1493" s="131" t="s">
        <v>1091</v>
      </c>
      <c r="C1493" s="56">
        <v>45894</v>
      </c>
      <c r="F1493" s="311" t="s">
        <v>1633</v>
      </c>
      <c r="G1493" t="s">
        <v>1612</v>
      </c>
    </row>
    <row r="1494" spans="1:7">
      <c r="A1494" s="580" t="s">
        <v>986</v>
      </c>
      <c r="B1494" s="322" t="s">
        <v>128</v>
      </c>
      <c r="C1494" s="56">
        <v>45894</v>
      </c>
      <c r="D1494" s="43">
        <v>735</v>
      </c>
      <c r="F1494" s="43" t="s">
        <v>1634</v>
      </c>
      <c r="G1494" t="s">
        <v>1612</v>
      </c>
    </row>
    <row r="1495" spans="1:7">
      <c r="A1495" s="551" t="s">
        <v>557</v>
      </c>
      <c r="B1495" s="311" t="s">
        <v>400</v>
      </c>
      <c r="C1495" s="56">
        <v>45894</v>
      </c>
      <c r="D1495" s="43">
        <v>639</v>
      </c>
      <c r="G1495" t="s">
        <v>1612</v>
      </c>
    </row>
    <row r="1496" spans="1:7">
      <c r="A1496" s="583" t="s">
        <v>554</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140</v>
      </c>
      <c r="C1498" s="56">
        <v>45895</v>
      </c>
      <c r="D1498" s="155">
        <v>1009</v>
      </c>
      <c r="F1498" s="43" t="s">
        <v>1635</v>
      </c>
      <c r="G1498" t="s">
        <v>1612</v>
      </c>
    </row>
    <row r="1499" spans="1:7">
      <c r="A1499" s="396" t="s">
        <v>1133</v>
      </c>
      <c r="B1499" s="228" t="s">
        <v>128</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128</v>
      </c>
      <c r="C1502" s="56">
        <v>45895</v>
      </c>
      <c r="D1502" s="43">
        <v>558</v>
      </c>
      <c r="F1502" s="337" t="s">
        <v>1169</v>
      </c>
      <c r="G1502" t="s">
        <v>1612</v>
      </c>
    </row>
    <row r="1503" spans="1:7">
      <c r="A1503" s="618" t="s">
        <v>996</v>
      </c>
      <c r="B1503" s="43" t="s">
        <v>128</v>
      </c>
      <c r="C1503" s="56">
        <v>45895</v>
      </c>
      <c r="D1503" s="155">
        <v>1224</v>
      </c>
      <c r="F1503" s="43" t="s">
        <v>1636</v>
      </c>
      <c r="G1503" t="s">
        <v>1612</v>
      </c>
    </row>
    <row r="1504" spans="1:7">
      <c r="A1504" s="583" t="s">
        <v>554</v>
      </c>
      <c r="B1504" s="631" t="s">
        <v>1091</v>
      </c>
      <c r="C1504" s="56">
        <v>45895</v>
      </c>
      <c r="D1504" s="43">
        <v>295</v>
      </c>
      <c r="G1504" t="s">
        <v>1612</v>
      </c>
    </row>
    <row r="1505" spans="1:7">
      <c r="A1505" s="628" t="s">
        <v>549</v>
      </c>
      <c r="B1505" s="349" t="s">
        <v>400</v>
      </c>
      <c r="C1505" s="56">
        <v>45895</v>
      </c>
      <c r="F1505" s="43" t="s">
        <v>1313</v>
      </c>
      <c r="G1505" t="s">
        <v>1612</v>
      </c>
    </row>
    <row r="1506" spans="1:7">
      <c r="A1506" s="396" t="s">
        <v>999</v>
      </c>
      <c r="B1506" s="228" t="s">
        <v>140</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128</v>
      </c>
      <c r="C1509" s="56">
        <v>45896</v>
      </c>
      <c r="D1509" s="155">
        <v>1248</v>
      </c>
      <c r="F1509" s="43" t="s">
        <v>1639</v>
      </c>
      <c r="G1509" t="s">
        <v>1612</v>
      </c>
    </row>
    <row r="1510" spans="1:7">
      <c r="A1510" s="618" t="s">
        <v>996</v>
      </c>
      <c r="B1510" s="43" t="s">
        <v>128</v>
      </c>
      <c r="C1510" s="56">
        <v>45896</v>
      </c>
      <c r="D1510" s="43">
        <v>967</v>
      </c>
      <c r="F1510" s="43" t="s">
        <v>1640</v>
      </c>
      <c r="G1510" t="s">
        <v>1612</v>
      </c>
    </row>
    <row r="1511" spans="1:7">
      <c r="A1511" s="583" t="s">
        <v>263</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549</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128</v>
      </c>
      <c r="C1516" s="56">
        <v>45897</v>
      </c>
      <c r="D1516" s="155">
        <v>1453</v>
      </c>
      <c r="F1516" s="43" t="s">
        <v>1643</v>
      </c>
      <c r="G1516" t="s">
        <v>1612</v>
      </c>
    </row>
    <row r="1517" spans="1:7">
      <c r="A1517" s="69" t="s">
        <v>1002</v>
      </c>
      <c r="B1517" s="43" t="s">
        <v>128</v>
      </c>
      <c r="C1517" s="56">
        <v>45897</v>
      </c>
      <c r="D1517" s="155">
        <v>1260</v>
      </c>
      <c r="F1517" s="43" t="s">
        <v>1644</v>
      </c>
      <c r="G1517" t="s">
        <v>1612</v>
      </c>
    </row>
    <row r="1518" spans="1:7">
      <c r="A1518" s="551" t="s">
        <v>557</v>
      </c>
      <c r="B1518" s="311" t="s">
        <v>400</v>
      </c>
      <c r="C1518" s="56">
        <v>45897</v>
      </c>
      <c r="F1518" s="43" t="s">
        <v>1231</v>
      </c>
      <c r="G1518" t="s">
        <v>1612</v>
      </c>
    </row>
    <row r="1519" spans="1:7">
      <c r="A1519" s="583" t="s">
        <v>263</v>
      </c>
      <c r="B1519" s="631" t="s">
        <v>1091</v>
      </c>
      <c r="C1519" s="56">
        <v>45897</v>
      </c>
      <c r="D1519" s="43">
        <v>320</v>
      </c>
      <c r="G1519" t="s">
        <v>1612</v>
      </c>
    </row>
    <row r="1520" spans="1:7">
      <c r="A1520" s="628" t="s">
        <v>399</v>
      </c>
      <c r="B1520" s="349" t="s">
        <v>400</v>
      </c>
      <c r="C1520" s="56">
        <v>45897</v>
      </c>
      <c r="F1520" s="311" t="s">
        <v>1369</v>
      </c>
      <c r="G1520" t="s">
        <v>1612</v>
      </c>
    </row>
    <row r="1521" spans="1:7">
      <c r="A1521" s="123" t="s">
        <v>549</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549</v>
      </c>
      <c r="B1524" s="311" t="s">
        <v>400</v>
      </c>
      <c r="C1524" s="56">
        <v>45898</v>
      </c>
      <c r="F1524" s="141" t="s">
        <v>1219</v>
      </c>
      <c r="G1524" t="s">
        <v>1612</v>
      </c>
    </row>
    <row r="1525" spans="1:7">
      <c r="A1525" s="326" t="s">
        <v>554</v>
      </c>
      <c r="B1525" s="315" t="s">
        <v>1091</v>
      </c>
      <c r="C1525" s="56">
        <v>45898</v>
      </c>
      <c r="D1525" s="43">
        <v>6</v>
      </c>
      <c r="F1525" s="43" t="s">
        <v>1647</v>
      </c>
      <c r="G1525" t="s">
        <v>1612</v>
      </c>
    </row>
    <row r="1526" spans="1:7">
      <c r="A1526" s="337" t="s">
        <v>557</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128</v>
      </c>
      <c r="C1530" s="56">
        <v>45902</v>
      </c>
      <c r="D1530" s="43">
        <v>977</v>
      </c>
      <c r="F1530" s="43" t="s">
        <v>1652</v>
      </c>
      <c r="G1530" t="s">
        <v>1650</v>
      </c>
    </row>
    <row r="1531" spans="1:7">
      <c r="A1531" s="247" t="s">
        <v>554</v>
      </c>
      <c r="B1531" s="315" t="s">
        <v>1091</v>
      </c>
      <c r="C1531" s="56">
        <v>45902</v>
      </c>
      <c r="D1531" s="43">
        <v>15</v>
      </c>
      <c r="F1531" s="43" t="s">
        <v>1653</v>
      </c>
      <c r="G1531" t="s">
        <v>1650</v>
      </c>
    </row>
    <row r="1532" spans="1:7">
      <c r="A1532" s="247" t="s">
        <v>549</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128</v>
      </c>
      <c r="C1535" s="56">
        <v>45903</v>
      </c>
      <c r="D1535" s="155">
        <v>1491</v>
      </c>
      <c r="F1535" s="43" t="s">
        <v>1656</v>
      </c>
      <c r="G1535" t="s">
        <v>1650</v>
      </c>
    </row>
    <row r="1536" spans="1:7">
      <c r="A1536" s="315" t="s">
        <v>986</v>
      </c>
      <c r="B1536" s="315" t="s">
        <v>128</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554</v>
      </c>
      <c r="B1539" s="318" t="s">
        <v>1091</v>
      </c>
      <c r="C1539" s="56">
        <v>45903</v>
      </c>
      <c r="D1539" s="43">
        <v>65</v>
      </c>
      <c r="F1539" s="141" t="s">
        <v>1660</v>
      </c>
      <c r="G1539" t="s">
        <v>1650</v>
      </c>
    </row>
    <row r="1540" spans="1:7">
      <c r="A1540" s="648" t="s">
        <v>549</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128</v>
      </c>
      <c r="C1543" s="56">
        <v>45904</v>
      </c>
      <c r="D1543" s="155">
        <v>1549</v>
      </c>
      <c r="F1543" s="43" t="s">
        <v>1662</v>
      </c>
      <c r="G1543" t="s">
        <v>1650</v>
      </c>
    </row>
    <row r="1544" spans="1:7">
      <c r="A1544" s="618" t="s">
        <v>569</v>
      </c>
      <c r="B1544" s="43" t="s">
        <v>128</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554</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559</v>
      </c>
      <c r="B1549" s="655" t="s">
        <v>1091</v>
      </c>
      <c r="C1549" s="56">
        <v>45905</v>
      </c>
      <c r="D1549" s="43">
        <v>285</v>
      </c>
      <c r="G1549" t="s">
        <v>1650</v>
      </c>
    </row>
    <row r="1550" spans="1:7">
      <c r="A1550" s="247" t="s">
        <v>983</v>
      </c>
      <c r="B1550" s="731" t="s">
        <v>128</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569</v>
      </c>
      <c r="B1552" s="228" t="s">
        <v>140</v>
      </c>
      <c r="C1552" s="56">
        <v>45908</v>
      </c>
      <c r="D1552" s="43">
        <v>254</v>
      </c>
      <c r="F1552" s="43" t="s">
        <v>1667</v>
      </c>
      <c r="G1552" t="s">
        <v>1650</v>
      </c>
    </row>
    <row r="1553" spans="1:7">
      <c r="A1553" s="683" t="s">
        <v>1133</v>
      </c>
      <c r="B1553" s="131" t="s">
        <v>128</v>
      </c>
      <c r="C1553" s="56">
        <v>45908</v>
      </c>
      <c r="D1553" s="155">
        <v>2498</v>
      </c>
      <c r="G1553" t="s">
        <v>1650</v>
      </c>
    </row>
    <row r="1554" spans="1:7">
      <c r="A1554" s="69" t="s">
        <v>978</v>
      </c>
      <c r="B1554" s="684" t="s">
        <v>128</v>
      </c>
      <c r="C1554" s="56">
        <v>45908</v>
      </c>
      <c r="D1554" s="43">
        <v>918</v>
      </c>
      <c r="F1554" s="43" t="s">
        <v>1668</v>
      </c>
      <c r="G1554" t="s">
        <v>1650</v>
      </c>
    </row>
    <row r="1555" spans="1:7">
      <c r="A1555" s="396" t="s">
        <v>569</v>
      </c>
      <c r="B1555" s="228" t="s">
        <v>140</v>
      </c>
      <c r="C1555" s="56">
        <v>45909</v>
      </c>
      <c r="D1555" s="155">
        <v>1686</v>
      </c>
      <c r="F1555" s="43" t="s">
        <v>1669</v>
      </c>
      <c r="G1555" t="s">
        <v>1650</v>
      </c>
    </row>
    <row r="1556" spans="1:7">
      <c r="A1556" s="683" t="s">
        <v>1133</v>
      </c>
      <c r="B1556" s="131" t="s">
        <v>128</v>
      </c>
      <c r="C1556" s="56">
        <v>45909</v>
      </c>
      <c r="D1556" s="155">
        <v>1192</v>
      </c>
      <c r="F1556" s="43" t="s">
        <v>1670</v>
      </c>
      <c r="G1556" t="s">
        <v>1650</v>
      </c>
    </row>
    <row r="1557" spans="1:7">
      <c r="A1557" s="69" t="s">
        <v>794</v>
      </c>
      <c r="B1557" s="684" t="s">
        <v>128</v>
      </c>
      <c r="C1557" s="56">
        <v>45909</v>
      </c>
      <c r="D1557" s="43">
        <v>329</v>
      </c>
      <c r="G1557" t="s">
        <v>1650</v>
      </c>
    </row>
    <row r="1558" spans="1:7">
      <c r="A1558" s="88" t="s">
        <v>1115</v>
      </c>
      <c r="B1558" s="398" t="s">
        <v>1091</v>
      </c>
      <c r="C1558" s="56">
        <v>45910</v>
      </c>
      <c r="D1558" s="43">
        <v>299</v>
      </c>
      <c r="G1558" t="s">
        <v>1650</v>
      </c>
    </row>
    <row r="1559" spans="1:7">
      <c r="A1559" s="396" t="s">
        <v>569</v>
      </c>
      <c r="B1559" s="228" t="s">
        <v>140</v>
      </c>
      <c r="C1559" s="56">
        <v>45910</v>
      </c>
      <c r="D1559" s="43">
        <v>611</v>
      </c>
      <c r="F1559" s="43" t="s">
        <v>1671</v>
      </c>
      <c r="G1559" t="s">
        <v>1650</v>
      </c>
    </row>
    <row r="1560" spans="1:7">
      <c r="A1560" s="683" t="s">
        <v>1133</v>
      </c>
      <c r="B1560" s="131" t="s">
        <v>128</v>
      </c>
      <c r="C1560" s="56">
        <v>45910</v>
      </c>
      <c r="D1560" s="155">
        <v>1925</v>
      </c>
      <c r="G1560" t="s">
        <v>1650</v>
      </c>
    </row>
    <row r="1561" spans="1:7">
      <c r="A1561" s="69" t="s">
        <v>794</v>
      </c>
      <c r="B1561" s="684" t="s">
        <v>1531</v>
      </c>
      <c r="C1561" s="56">
        <v>45910</v>
      </c>
      <c r="D1561" s="43">
        <v>333</v>
      </c>
      <c r="G1561" t="s">
        <v>1650</v>
      </c>
    </row>
    <row r="1562" spans="1:7">
      <c r="A1562" s="713" t="s">
        <v>1005</v>
      </c>
      <c r="B1562" s="131" t="s">
        <v>128</v>
      </c>
      <c r="C1562" s="56">
        <v>45910</v>
      </c>
      <c r="D1562" s="43">
        <v>740</v>
      </c>
      <c r="F1562" s="43" t="s">
        <v>1672</v>
      </c>
      <c r="G1562" t="s">
        <v>1650</v>
      </c>
    </row>
    <row r="1563" spans="1:7">
      <c r="A1563" s="628" t="s">
        <v>381</v>
      </c>
      <c r="B1563" s="631" t="s">
        <v>382</v>
      </c>
      <c r="C1563" s="56">
        <v>45910</v>
      </c>
      <c r="D1563" s="43">
        <v>307</v>
      </c>
      <c r="G1563" t="s">
        <v>1650</v>
      </c>
    </row>
    <row r="1564" spans="1:7">
      <c r="A1564" s="157" t="s">
        <v>559</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140</v>
      </c>
      <c r="C1566" s="56">
        <v>45911</v>
      </c>
      <c r="D1566" s="43">
        <v>279</v>
      </c>
      <c r="F1566" s="43" t="s">
        <v>1673</v>
      </c>
      <c r="G1566" t="s">
        <v>1650</v>
      </c>
    </row>
    <row r="1567" spans="1:7">
      <c r="A1567" s="88" t="s">
        <v>1134</v>
      </c>
      <c r="B1567" s="398" t="s">
        <v>140</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559</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559</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128</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554</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128</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128</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554</v>
      </c>
      <c r="B1587" s="371" t="s">
        <v>1091</v>
      </c>
      <c r="C1587" s="56">
        <v>45916</v>
      </c>
      <c r="F1587" s="733" t="s">
        <v>1677</v>
      </c>
      <c r="G1587" t="s">
        <v>1650</v>
      </c>
    </row>
    <row r="1588" spans="1:7">
      <c r="A1588" s="648" t="s">
        <v>402</v>
      </c>
      <c r="B1588" s="141" t="s">
        <v>220</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128</v>
      </c>
      <c r="C1590" s="56">
        <v>45917</v>
      </c>
      <c r="D1590" s="155">
        <v>1250</v>
      </c>
      <c r="F1590" s="734" t="s">
        <v>1678</v>
      </c>
      <c r="G1590" t="s">
        <v>1650</v>
      </c>
    </row>
    <row r="1591" spans="1:7">
      <c r="A1591" s="737" t="s">
        <v>569</v>
      </c>
      <c r="B1591" s="315" t="s">
        <v>140</v>
      </c>
      <c r="C1591" s="56">
        <v>45917</v>
      </c>
      <c r="D1591" s="43">
        <v>250</v>
      </c>
      <c r="F1591" s="734" t="s">
        <v>1679</v>
      </c>
      <c r="G1591" t="s">
        <v>1650</v>
      </c>
    </row>
    <row r="1592" spans="1:7">
      <c r="A1592" s="141" t="s">
        <v>989</v>
      </c>
      <c r="B1592" s="739" t="s">
        <v>128</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220</v>
      </c>
      <c r="C1594" s="56">
        <v>45917</v>
      </c>
      <c r="D1594" s="43">
        <v>253</v>
      </c>
      <c r="F1594" s="734"/>
      <c r="G1594" t="s">
        <v>1650</v>
      </c>
    </row>
    <row r="1595" spans="1:7">
      <c r="A1595" s="326" t="s">
        <v>399</v>
      </c>
      <c r="B1595" s="311" t="s">
        <v>1091</v>
      </c>
      <c r="C1595" s="56">
        <v>45917</v>
      </c>
      <c r="F1595" s="311" t="s">
        <v>1566</v>
      </c>
      <c r="G1595" t="s">
        <v>1650</v>
      </c>
    </row>
    <row r="1596" spans="1:7">
      <c r="A1596" s="247" t="s">
        <v>549</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128</v>
      </c>
      <c r="C1599" s="56">
        <v>45918</v>
      </c>
      <c r="D1599" s="43">
        <v>361</v>
      </c>
      <c r="F1599" s="734" t="s">
        <v>1683</v>
      </c>
      <c r="G1599" t="s">
        <v>1650</v>
      </c>
    </row>
    <row r="1600" spans="1:7">
      <c r="A1600" s="69" t="s">
        <v>989</v>
      </c>
      <c r="B1600" s="684" t="s">
        <v>128</v>
      </c>
      <c r="C1600" s="56">
        <v>45918</v>
      </c>
      <c r="D1600" s="155">
        <v>1204</v>
      </c>
      <c r="F1600" s="734" t="s">
        <v>1684</v>
      </c>
      <c r="G1600" t="s">
        <v>1650</v>
      </c>
    </row>
    <row r="1601" spans="1:7">
      <c r="A1601" s="69" t="s">
        <v>571</v>
      </c>
      <c r="B1601" s="684" t="s">
        <v>128</v>
      </c>
      <c r="C1601" s="56">
        <v>45918</v>
      </c>
      <c r="D1601" s="155">
        <v>562</v>
      </c>
      <c r="F1601" s="734"/>
      <c r="G1601" t="s">
        <v>1650</v>
      </c>
    </row>
    <row r="1602" spans="1:7">
      <c r="A1602" s="69" t="s">
        <v>994</v>
      </c>
      <c r="B1602" s="684" t="s">
        <v>128</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220</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220</v>
      </c>
      <c r="C1609" s="56">
        <v>45919</v>
      </c>
      <c r="F1609" s="337" t="s">
        <v>1369</v>
      </c>
      <c r="G1609" t="s">
        <v>1650</v>
      </c>
    </row>
    <row r="1610" spans="1:7">
      <c r="A1610" s="683" t="s">
        <v>1133</v>
      </c>
      <c r="B1610" s="131" t="s">
        <v>128</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571</v>
      </c>
      <c r="B1613" s="739" t="s">
        <v>128</v>
      </c>
      <c r="C1613" s="56">
        <v>45922</v>
      </c>
      <c r="D1613" s="43">
        <v>978</v>
      </c>
      <c r="F1613" s="734" t="s">
        <v>1688</v>
      </c>
      <c r="G1613" t="s">
        <v>1650</v>
      </c>
    </row>
    <row r="1614" spans="1:7">
      <c r="A1614" s="305" t="s">
        <v>994</v>
      </c>
      <c r="B1614" s="745" t="s">
        <v>128</v>
      </c>
      <c r="C1614" s="56">
        <v>45922</v>
      </c>
      <c r="D1614" s="43">
        <v>1285</v>
      </c>
      <c r="F1614" s="734" t="s">
        <v>1689</v>
      </c>
      <c r="G1614" t="s">
        <v>1650</v>
      </c>
    </row>
    <row r="1615" spans="1:7">
      <c r="A1615" s="744" t="s">
        <v>626</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220</v>
      </c>
      <c r="C1617" s="56">
        <v>45922</v>
      </c>
      <c r="F1617" s="311" t="s">
        <v>1690</v>
      </c>
      <c r="G1617" t="s">
        <v>1650</v>
      </c>
    </row>
    <row r="1618" spans="1:7">
      <c r="A1618" s="325" t="s">
        <v>549</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571</v>
      </c>
      <c r="B1622" s="751" t="s">
        <v>128</v>
      </c>
      <c r="C1622" s="56">
        <v>45923</v>
      </c>
      <c r="D1622" s="43">
        <v>675</v>
      </c>
      <c r="F1622" s="69"/>
      <c r="G1622" t="s">
        <v>1650</v>
      </c>
    </row>
    <row r="1623" spans="1:7">
      <c r="A1623" s="69" t="s">
        <v>574</v>
      </c>
      <c r="B1623" s="752" t="s">
        <v>128</v>
      </c>
      <c r="C1623" s="56">
        <v>45923</v>
      </c>
      <c r="D1623" s="155">
        <v>1231</v>
      </c>
      <c r="F1623" s="69" t="s">
        <v>1693</v>
      </c>
      <c r="G1623" t="s">
        <v>1650</v>
      </c>
    </row>
    <row r="1624" spans="1:7">
      <c r="A1624" s="750" t="s">
        <v>626</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220</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580</v>
      </c>
      <c r="B1631" s="761" t="s">
        <v>128</v>
      </c>
      <c r="C1631" s="336">
        <v>45924</v>
      </c>
      <c r="D1631" s="155">
        <v>1205</v>
      </c>
      <c r="F1631" s="69" t="s">
        <v>1696</v>
      </c>
      <c r="G1631" t="s">
        <v>1650</v>
      </c>
    </row>
    <row r="1632" spans="1:7">
      <c r="A1632" s="69" t="s">
        <v>574</v>
      </c>
      <c r="B1632" s="395" t="s">
        <v>128</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128</v>
      </c>
      <c r="C1634" s="56">
        <v>45924</v>
      </c>
      <c r="D1634" s="161"/>
      <c r="F1634" s="337" t="s">
        <v>1698</v>
      </c>
      <c r="G1634" t="s">
        <v>1650</v>
      </c>
    </row>
    <row r="1635" spans="1:7">
      <c r="A1635" s="69" t="s">
        <v>571</v>
      </c>
      <c r="B1635" s="751" t="s">
        <v>128</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220</v>
      </c>
      <c r="C1637" s="56">
        <v>45924</v>
      </c>
      <c r="D1637" s="43">
        <v>190</v>
      </c>
      <c r="F1637" s="69"/>
      <c r="G1637" t="s">
        <v>1650</v>
      </c>
    </row>
    <row r="1638" spans="1:7">
      <c r="A1638" s="157" t="s">
        <v>263</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540</v>
      </c>
      <c r="B1640" s="131" t="s">
        <v>220</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571</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580</v>
      </c>
      <c r="B1647" s="751" t="s">
        <v>128</v>
      </c>
      <c r="C1647" s="56">
        <v>45925</v>
      </c>
      <c r="D1647" s="155">
        <v>1000</v>
      </c>
      <c r="F1647" s="30"/>
      <c r="G1647" t="s">
        <v>1650</v>
      </c>
    </row>
    <row r="1648" spans="1:7">
      <c r="A1648" s="69" t="s">
        <v>574</v>
      </c>
      <c r="B1648" s="752" t="s">
        <v>128</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220</v>
      </c>
      <c r="C1652" s="56">
        <v>45925</v>
      </c>
      <c r="F1652" s="141" t="s">
        <v>1236</v>
      </c>
      <c r="G1652" t="s">
        <v>1650</v>
      </c>
    </row>
    <row r="1653" spans="1:7">
      <c r="A1653" s="157" t="s">
        <v>263</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220</v>
      </c>
      <c r="C1660" s="56">
        <v>45926</v>
      </c>
      <c r="D1660" s="43">
        <v>551</v>
      </c>
      <c r="G1660" t="s">
        <v>1650</v>
      </c>
    </row>
    <row r="1661" spans="1:7">
      <c r="A1661" s="325" t="s">
        <v>263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574</v>
      </c>
      <c r="B1667" s="737" t="s">
        <v>128</v>
      </c>
      <c r="C1667" s="56">
        <v>45929</v>
      </c>
      <c r="D1667" s="43">
        <v>600</v>
      </c>
      <c r="F1667" s="43" t="s">
        <v>1710</v>
      </c>
      <c r="G1667" t="s">
        <v>1650</v>
      </c>
    </row>
    <row r="1668" spans="1:7">
      <c r="A1668" s="311" t="s">
        <v>580</v>
      </c>
      <c r="B1668" s="311" t="s">
        <v>128</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220</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220</v>
      </c>
      <c r="C1672" s="56">
        <v>45929</v>
      </c>
      <c r="D1672" s="43">
        <v>479</v>
      </c>
      <c r="G1672" t="s">
        <v>1650</v>
      </c>
    </row>
    <row r="1673" spans="1:7">
      <c r="A1673" s="43" t="s">
        <v>405</v>
      </c>
      <c r="B1673" s="318" t="s">
        <v>220</v>
      </c>
      <c r="C1673" s="56">
        <v>45929</v>
      </c>
      <c r="D1673" s="43">
        <v>454</v>
      </c>
      <c r="G1673" t="s">
        <v>1650</v>
      </c>
    </row>
    <row r="1674" spans="1:7">
      <c r="A1674" s="311" t="s">
        <v>580</v>
      </c>
      <c r="B1674" s="311" t="s">
        <v>128</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674</v>
      </c>
      <c r="B1676" s="398" t="s">
        <v>1713</v>
      </c>
      <c r="C1676" s="56">
        <v>45930</v>
      </c>
      <c r="D1676" s="155">
        <v>1253</v>
      </c>
      <c r="G1676" t="s">
        <v>1650</v>
      </c>
    </row>
    <row r="1677" spans="1:7">
      <c r="A1677" s="800" t="s">
        <v>991</v>
      </c>
      <c r="B1677" s="395" t="s">
        <v>128</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574</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220</v>
      </c>
      <c r="C1685" s="56">
        <v>45930</v>
      </c>
      <c r="D1685" s="43">
        <v>251</v>
      </c>
      <c r="G1685" t="s">
        <v>1650</v>
      </c>
    </row>
    <row r="1686" spans="1:7">
      <c r="A1686" s="525" t="s">
        <v>540</v>
      </c>
      <c r="B1686" s="349" t="s">
        <v>220</v>
      </c>
      <c r="C1686" s="56">
        <v>45930</v>
      </c>
      <c r="D1686" s="43">
        <v>665</v>
      </c>
      <c r="G1686" t="s">
        <v>1650</v>
      </c>
    </row>
    <row r="1687" spans="1:7">
      <c r="A1687" s="88" t="s">
        <v>1115</v>
      </c>
      <c r="B1687" s="398" t="s">
        <v>1091</v>
      </c>
      <c r="C1687" s="56">
        <v>45931</v>
      </c>
      <c r="D1687" s="43">
        <v>201</v>
      </c>
      <c r="G1687" t="s">
        <v>1716</v>
      </c>
    </row>
    <row r="1688" spans="1:7">
      <c r="A1688" s="88" t="s">
        <v>674</v>
      </c>
      <c r="B1688" s="398" t="s">
        <v>1713</v>
      </c>
      <c r="C1688" s="56">
        <v>45931</v>
      </c>
      <c r="D1688" s="155">
        <v>1351</v>
      </c>
      <c r="G1688" t="s">
        <v>1716</v>
      </c>
    </row>
    <row r="1689" spans="1:7">
      <c r="A1689" s="802" t="s">
        <v>991</v>
      </c>
      <c r="B1689" s="141" t="s">
        <v>128</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597</v>
      </c>
      <c r="B1692" s="737" t="s">
        <v>128</v>
      </c>
      <c r="C1692" s="56">
        <v>45931</v>
      </c>
      <c r="D1692" s="155">
        <v>1118</v>
      </c>
      <c r="G1692" t="s">
        <v>1716</v>
      </c>
    </row>
    <row r="1693" spans="1:7">
      <c r="A1693" s="134" t="s">
        <v>381</v>
      </c>
      <c r="B1693" s="141" t="s">
        <v>382</v>
      </c>
      <c r="C1693" s="56">
        <v>45931</v>
      </c>
      <c r="D1693" s="43">
        <v>312</v>
      </c>
      <c r="G1693" t="s">
        <v>1716</v>
      </c>
    </row>
    <row r="1694" spans="1:7">
      <c r="A1694" s="551" t="s">
        <v>540</v>
      </c>
      <c r="B1694" s="141" t="s">
        <v>220</v>
      </c>
      <c r="C1694" s="56">
        <v>45931</v>
      </c>
      <c r="D1694" s="43">
        <v>753</v>
      </c>
      <c r="G1694" t="s">
        <v>1716</v>
      </c>
    </row>
    <row r="1695" spans="1:7">
      <c r="A1695" s="305" t="s">
        <v>405</v>
      </c>
      <c r="B1695" s="348" t="s">
        <v>220</v>
      </c>
      <c r="C1695" s="56">
        <v>45931</v>
      </c>
      <c r="D1695" s="43">
        <v>224</v>
      </c>
      <c r="G1695" t="s">
        <v>1716</v>
      </c>
    </row>
    <row r="1696" spans="1:7">
      <c r="A1696" s="134" t="s">
        <v>528</v>
      </c>
      <c r="B1696" s="311" t="s">
        <v>1091</v>
      </c>
      <c r="C1696" s="56">
        <v>45932</v>
      </c>
      <c r="D1696" s="43">
        <v>450</v>
      </c>
      <c r="G1696" t="s">
        <v>1716</v>
      </c>
    </row>
    <row r="1697" spans="1:7">
      <c r="A1697" s="324" t="s">
        <v>674</v>
      </c>
      <c r="B1697" s="315" t="s">
        <v>1713</v>
      </c>
      <c r="C1697" s="56">
        <v>45932</v>
      </c>
      <c r="D1697" s="43">
        <v>443</v>
      </c>
      <c r="F1697" s="43" t="s">
        <v>1718</v>
      </c>
      <c r="G1697" t="s">
        <v>1716</v>
      </c>
    </row>
    <row r="1698" spans="1:7">
      <c r="A1698" s="802" t="s">
        <v>1007</v>
      </c>
      <c r="B1698" s="141" t="s">
        <v>128</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597</v>
      </c>
      <c r="B1701" s="737" t="s">
        <v>128</v>
      </c>
      <c r="C1701" s="56">
        <v>45932</v>
      </c>
      <c r="D1701" s="155">
        <v>1472</v>
      </c>
      <c r="F1701" s="43" t="s">
        <v>1671</v>
      </c>
      <c r="G1701" t="s">
        <v>1716</v>
      </c>
    </row>
    <row r="1702" spans="1:7">
      <c r="A1702" s="802" t="s">
        <v>991</v>
      </c>
      <c r="B1702" s="141" t="s">
        <v>128</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540</v>
      </c>
      <c r="B1705" s="141" t="s">
        <v>220</v>
      </c>
      <c r="C1705" s="56">
        <v>45932</v>
      </c>
      <c r="D1705" s="43">
        <v>305</v>
      </c>
      <c r="G1705" t="s">
        <v>1716</v>
      </c>
    </row>
    <row r="1706" spans="1:7">
      <c r="A1706" s="305" t="s">
        <v>405</v>
      </c>
      <c r="B1706" s="348" t="s">
        <v>220</v>
      </c>
      <c r="C1706" s="56">
        <v>45932</v>
      </c>
      <c r="D1706" s="43">
        <v>789</v>
      </c>
      <c r="F1706" s="43" t="s">
        <v>1722</v>
      </c>
      <c r="G1706" t="s">
        <v>1716</v>
      </c>
    </row>
    <row r="1707" spans="1:7">
      <c r="A1707" s="141" t="s">
        <v>402</v>
      </c>
      <c r="B1707" s="141" t="s">
        <v>220</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674</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220</v>
      </c>
      <c r="C1715" s="56">
        <v>45933</v>
      </c>
      <c r="F1715" s="43" t="s">
        <v>1725</v>
      </c>
      <c r="G1715" t="s">
        <v>1716</v>
      </c>
    </row>
    <row r="1716" spans="1:7">
      <c r="A1716" s="306" t="s">
        <v>402</v>
      </c>
      <c r="B1716" s="141" t="s">
        <v>220</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674</v>
      </c>
      <c r="B1719" s="315" t="s">
        <v>1713</v>
      </c>
      <c r="C1719" s="56">
        <v>45936</v>
      </c>
      <c r="D1719" s="43">
        <v>192</v>
      </c>
      <c r="F1719" s="43" t="s">
        <v>1726</v>
      </c>
      <c r="G1719" t="s">
        <v>1716</v>
      </c>
    </row>
    <row r="1720" spans="1:7">
      <c r="A1720" s="337" t="s">
        <v>1007</v>
      </c>
      <c r="B1720" s="337" t="s">
        <v>128</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597</v>
      </c>
      <c r="B1723" s="141" t="s">
        <v>128</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540</v>
      </c>
      <c r="B1726" s="306" t="s">
        <v>220</v>
      </c>
      <c r="C1726" s="56">
        <v>45936</v>
      </c>
      <c r="F1726" s="337" t="s">
        <v>1369</v>
      </c>
      <c r="G1726" t="s">
        <v>1716</v>
      </c>
    </row>
    <row r="1727" spans="1:7">
      <c r="A1727" s="311" t="s">
        <v>405</v>
      </c>
      <c r="B1727" s="311" t="s">
        <v>220</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128</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597</v>
      </c>
      <c r="B1733" s="141" t="s">
        <v>128</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674</v>
      </c>
      <c r="B1740" s="346" t="s">
        <v>1713</v>
      </c>
      <c r="C1740" s="56">
        <v>45938</v>
      </c>
      <c r="F1740" s="316" t="s">
        <v>1730</v>
      </c>
      <c r="G1740" t="s">
        <v>1716</v>
      </c>
    </row>
    <row r="1741" spans="1:7">
      <c r="A1741" s="337" t="s">
        <v>155</v>
      </c>
      <c r="B1741" s="337" t="s">
        <v>128</v>
      </c>
      <c r="C1741" s="56">
        <v>45938</v>
      </c>
      <c r="D1741" s="155">
        <v>1282</v>
      </c>
      <c r="F1741" s="316"/>
      <c r="G1741" t="s">
        <v>1716</v>
      </c>
    </row>
    <row r="1742" spans="1:7">
      <c r="A1742" s="318" t="s">
        <v>1140</v>
      </c>
      <c r="B1742" s="141" t="s">
        <v>1706</v>
      </c>
      <c r="C1742" s="56">
        <v>45938</v>
      </c>
      <c r="F1742" s="337" t="s">
        <v>1731</v>
      </c>
      <c r="G1742" t="s">
        <v>1716</v>
      </c>
    </row>
    <row r="1743" spans="1:7">
      <c r="A1743" s="805" t="s">
        <v>597</v>
      </c>
      <c r="B1743" s="141" t="s">
        <v>128</v>
      </c>
      <c r="C1743" s="56">
        <v>45938</v>
      </c>
      <c r="D1743" s="43">
        <v>308</v>
      </c>
      <c r="F1743" s="43" t="s">
        <v>1732</v>
      </c>
      <c r="G1743" t="s">
        <v>1716</v>
      </c>
    </row>
    <row r="1744" spans="1:7">
      <c r="A1744" s="647" t="s">
        <v>580</v>
      </c>
      <c r="B1744" s="141" t="s">
        <v>128</v>
      </c>
      <c r="C1744" s="56">
        <v>45938</v>
      </c>
      <c r="D1744" s="43">
        <v>334</v>
      </c>
      <c r="F1744" s="43" t="s">
        <v>1667</v>
      </c>
      <c r="G1744" t="s">
        <v>1716</v>
      </c>
    </row>
    <row r="1745" spans="1:7">
      <c r="A1745" s="304" t="s">
        <v>564</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220</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155</v>
      </c>
      <c r="B1751" s="683" t="s">
        <v>128</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597</v>
      </c>
      <c r="B1753" s="395" t="s">
        <v>128</v>
      </c>
      <c r="C1753" s="56">
        <v>45939</v>
      </c>
      <c r="F1753" s="618" t="s">
        <v>1236</v>
      </c>
      <c r="G1753" t="s">
        <v>1716</v>
      </c>
    </row>
    <row r="1754" spans="1:7">
      <c r="A1754" s="148" t="s">
        <v>564</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220</v>
      </c>
      <c r="C1758" s="56">
        <v>45939</v>
      </c>
      <c r="D1758" s="43">
        <v>369</v>
      </c>
      <c r="G1758" t="s">
        <v>1716</v>
      </c>
    </row>
    <row r="1759" spans="1:7">
      <c r="A1759" s="115" t="s">
        <v>402</v>
      </c>
      <c r="B1759" s="317" t="s">
        <v>220</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597</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540</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681</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155</v>
      </c>
      <c r="B1772" s="141" t="s">
        <v>128</v>
      </c>
      <c r="C1772" s="56">
        <v>45943</v>
      </c>
      <c r="D1772" s="43">
        <v>828</v>
      </c>
      <c r="G1772" t="s">
        <v>1716</v>
      </c>
    </row>
    <row r="1773" spans="1:7">
      <c r="A1773" s="786" t="s">
        <v>599</v>
      </c>
      <c r="B1773" s="305" t="s">
        <v>128</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681</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155</v>
      </c>
      <c r="B1781" s="306" t="s">
        <v>128</v>
      </c>
      <c r="C1781" s="56">
        <v>45944</v>
      </c>
      <c r="D1781" s="43">
        <v>150</v>
      </c>
      <c r="G1781" t="s">
        <v>1716</v>
      </c>
    </row>
    <row r="1782" spans="1:7">
      <c r="A1782" s="805" t="s">
        <v>599</v>
      </c>
      <c r="B1782" s="141" t="s">
        <v>128</v>
      </c>
      <c r="C1782" s="310">
        <v>45944</v>
      </c>
      <c r="D1782" s="43">
        <v>510</v>
      </c>
      <c r="F1782" s="43" t="s">
        <v>1743</v>
      </c>
      <c r="G1782" t="s">
        <v>1716</v>
      </c>
    </row>
    <row r="1783" spans="1:7">
      <c r="A1783" s="805" t="s">
        <v>603</v>
      </c>
      <c r="B1783" s="141" t="s">
        <v>128</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220</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681</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603</v>
      </c>
      <c r="B1791" s="315" t="s">
        <v>128</v>
      </c>
      <c r="C1791" s="56">
        <v>45945</v>
      </c>
      <c r="D1791" s="155">
        <v>1312</v>
      </c>
      <c r="F1791" s="43" t="s">
        <v>1748</v>
      </c>
      <c r="G1791" t="s">
        <v>1716</v>
      </c>
    </row>
    <row r="1792" spans="1:7">
      <c r="A1792" s="930" t="s">
        <v>1009</v>
      </c>
      <c r="B1792" s="315" t="s">
        <v>128</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220</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681</v>
      </c>
      <c r="B1799" s="141" t="s">
        <v>1707</v>
      </c>
      <c r="C1799" s="310">
        <v>45946</v>
      </c>
      <c r="D1799" s="43">
        <v>487</v>
      </c>
      <c r="F1799" s="43" t="s">
        <v>1754</v>
      </c>
      <c r="G1799" t="s">
        <v>1716</v>
      </c>
    </row>
    <row r="1800" spans="1:7">
      <c r="A1800" s="934" t="s">
        <v>603</v>
      </c>
      <c r="B1800" s="141" t="s">
        <v>128</v>
      </c>
      <c r="C1800" s="310">
        <v>45946</v>
      </c>
      <c r="D1800" s="43">
        <v>359</v>
      </c>
      <c r="F1800" s="43" t="s">
        <v>1755</v>
      </c>
      <c r="G1800" t="s">
        <v>1716</v>
      </c>
    </row>
    <row r="1801" spans="1:7">
      <c r="A1801" s="935" t="s">
        <v>1009</v>
      </c>
      <c r="B1801" s="141" t="s">
        <v>128</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155</v>
      </c>
      <c r="B1803" s="141" t="s">
        <v>128</v>
      </c>
      <c r="C1803" s="310">
        <v>45946</v>
      </c>
      <c r="D1803" s="43">
        <v>688</v>
      </c>
      <c r="F1803" s="43" t="s">
        <v>1557</v>
      </c>
      <c r="G1803" t="s">
        <v>1716</v>
      </c>
    </row>
    <row r="1804" spans="1:7">
      <c r="A1804" s="931" t="s">
        <v>263</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220</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681</v>
      </c>
      <c r="B1809" s="141" t="s">
        <v>1707</v>
      </c>
      <c r="C1809" s="56">
        <v>45947</v>
      </c>
      <c r="D1809" s="43">
        <v>123</v>
      </c>
      <c r="F1809" s="43" t="s">
        <v>1672</v>
      </c>
      <c r="G1809" t="s">
        <v>1716</v>
      </c>
    </row>
    <row r="1810" spans="1:7">
      <c r="A1810" s="683" t="s">
        <v>597</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681</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128</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540</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220</v>
      </c>
      <c r="C1821" s="56">
        <v>45950</v>
      </c>
      <c r="D1821" s="155">
        <v>1100</v>
      </c>
      <c r="G1821" t="s">
        <v>1716</v>
      </c>
    </row>
    <row r="1822" spans="1:7">
      <c r="A1822" s="965" t="s">
        <v>528</v>
      </c>
      <c r="B1822" s="958" t="s">
        <v>1091</v>
      </c>
      <c r="C1822" s="56">
        <v>45951</v>
      </c>
      <c r="D1822" s="155">
        <v>244</v>
      </c>
      <c r="G1822" t="s">
        <v>1716</v>
      </c>
    </row>
    <row r="1823" spans="1:7">
      <c r="A1823" s="88" t="s">
        <v>681</v>
      </c>
      <c r="B1823" s="953" t="s">
        <v>1707</v>
      </c>
      <c r="C1823" s="56">
        <v>45951</v>
      </c>
      <c r="D1823" s="43">
        <v>413</v>
      </c>
      <c r="F1823" s="43" t="s">
        <v>1185</v>
      </c>
      <c r="G1823" t="s">
        <v>1716</v>
      </c>
    </row>
    <row r="1824" spans="1:7">
      <c r="A1824" s="954" t="s">
        <v>603</v>
      </c>
      <c r="B1824" s="683" t="s">
        <v>128</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128</v>
      </c>
      <c r="C1826" s="56">
        <v>45951</v>
      </c>
      <c r="D1826" s="155">
        <v>1007</v>
      </c>
      <c r="F1826" s="43" t="s">
        <v>1767</v>
      </c>
      <c r="G1826" t="s">
        <v>1716</v>
      </c>
    </row>
    <row r="1827" spans="1:7">
      <c r="A1827" s="169" t="s">
        <v>609</v>
      </c>
      <c r="B1827" s="43" t="s">
        <v>128</v>
      </c>
      <c r="C1827" s="56">
        <v>45951</v>
      </c>
      <c r="D1827" s="155">
        <v>1182</v>
      </c>
      <c r="F1827" s="43" t="s">
        <v>1768</v>
      </c>
      <c r="G1827" t="s">
        <v>1716</v>
      </c>
    </row>
    <row r="1828" spans="1:7">
      <c r="A1828" s="322" t="s">
        <v>540</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220</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681</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609</v>
      </c>
      <c r="B1835" s="805" t="s">
        <v>128</v>
      </c>
      <c r="C1835" s="56">
        <v>45952</v>
      </c>
      <c r="D1835" s="155">
        <v>1604</v>
      </c>
      <c r="F1835" s="43" t="s">
        <v>1772</v>
      </c>
      <c r="G1835" t="s">
        <v>1716</v>
      </c>
    </row>
    <row r="1836" spans="1:7">
      <c r="A1836" s="956" t="s">
        <v>1011</v>
      </c>
      <c r="B1836" s="395" t="s">
        <v>128</v>
      </c>
      <c r="C1836" s="56">
        <v>45952</v>
      </c>
      <c r="D1836" s="155">
        <v>1672</v>
      </c>
      <c r="F1836" s="43" t="s">
        <v>1773</v>
      </c>
      <c r="G1836" t="s">
        <v>1716</v>
      </c>
    </row>
    <row r="1837" spans="1:7">
      <c r="A1837" s="931" t="s">
        <v>540</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220</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681</v>
      </c>
      <c r="B1843" s="247" t="s">
        <v>1707</v>
      </c>
      <c r="C1843" s="310">
        <v>45953</v>
      </c>
      <c r="D1843" s="43">
        <v>844</v>
      </c>
      <c r="F1843" s="43" t="s">
        <v>1777</v>
      </c>
      <c r="G1843" t="s">
        <v>1716</v>
      </c>
    </row>
    <row r="1844" spans="1:7">
      <c r="A1844" s="331" t="s">
        <v>681</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609</v>
      </c>
      <c r="B1846" s="141" t="s">
        <v>128</v>
      </c>
      <c r="C1846" s="56">
        <v>45953</v>
      </c>
      <c r="D1846" s="155">
        <v>1268</v>
      </c>
      <c r="F1846" s="43" t="s">
        <v>1780</v>
      </c>
      <c r="G1846" t="s">
        <v>1716</v>
      </c>
    </row>
    <row r="1847" spans="1:7">
      <c r="A1847" s="967" t="s">
        <v>1011</v>
      </c>
      <c r="B1847" s="395" t="s">
        <v>128</v>
      </c>
      <c r="C1847" s="56">
        <v>45953</v>
      </c>
      <c r="D1847" s="155">
        <v>1544</v>
      </c>
      <c r="F1847" s="43" t="s">
        <v>1781</v>
      </c>
      <c r="G1847" t="s">
        <v>1716</v>
      </c>
    </row>
    <row r="1848" spans="1:7">
      <c r="A1848" s="169" t="s">
        <v>564</v>
      </c>
      <c r="B1848" s="398" t="s">
        <v>1091</v>
      </c>
      <c r="C1848" s="56">
        <v>45953</v>
      </c>
      <c r="F1848" s="311" t="s">
        <v>1588</v>
      </c>
      <c r="G1848" t="s">
        <v>1716</v>
      </c>
    </row>
    <row r="1849" spans="1:7">
      <c r="A1849" s="931" t="s">
        <v>540</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681</v>
      </c>
      <c r="B1854" s="247" t="s">
        <v>1707</v>
      </c>
      <c r="C1854" s="56">
        <v>45954</v>
      </c>
      <c r="D1854" s="43">
        <v>142</v>
      </c>
      <c r="F1854" s="43" t="s">
        <v>1784</v>
      </c>
      <c r="G1854" t="s">
        <v>1716</v>
      </c>
    </row>
    <row r="1855" spans="1:7">
      <c r="A1855" s="88" t="s">
        <v>681</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540</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681</v>
      </c>
      <c r="B1861" s="247" t="s">
        <v>1707</v>
      </c>
      <c r="C1861" s="56">
        <v>45957</v>
      </c>
      <c r="F1861" s="43" t="s">
        <v>1185</v>
      </c>
      <c r="G1861" t="s">
        <v>1716</v>
      </c>
    </row>
    <row r="1862" spans="1:7">
      <c r="A1862" s="88" t="s">
        <v>681</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128</v>
      </c>
      <c r="C1866" s="56">
        <v>45957</v>
      </c>
      <c r="D1866" s="43">
        <v>587</v>
      </c>
      <c r="F1866" s="43" t="s">
        <v>1792</v>
      </c>
      <c r="G1866" t="s">
        <v>1716</v>
      </c>
    </row>
    <row r="1867" spans="1:7">
      <c r="A1867" s="967" t="s">
        <v>609</v>
      </c>
      <c r="B1867" s="395" t="s">
        <v>128</v>
      </c>
      <c r="C1867" s="56">
        <v>45957</v>
      </c>
      <c r="D1867" s="155">
        <v>1310</v>
      </c>
      <c r="F1867" s="43" t="s">
        <v>1793</v>
      </c>
      <c r="G1867" t="s">
        <v>1716</v>
      </c>
    </row>
    <row r="1868" spans="1:7">
      <c r="A1868" s="169" t="s">
        <v>564</v>
      </c>
      <c r="B1868" s="169" t="s">
        <v>128</v>
      </c>
      <c r="C1868" s="56">
        <v>45957</v>
      </c>
      <c r="D1868" s="43">
        <v>270</v>
      </c>
      <c r="G1868" t="s">
        <v>1716</v>
      </c>
    </row>
    <row r="1869" spans="1:7">
      <c r="A1869" s="931" t="s">
        <v>263</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220</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681</v>
      </c>
      <c r="B1874" s="247" t="s">
        <v>1707</v>
      </c>
      <c r="C1874" s="56">
        <v>45958</v>
      </c>
      <c r="F1874" s="320" t="s">
        <v>1369</v>
      </c>
      <c r="G1874" t="s">
        <v>1716</v>
      </c>
    </row>
    <row r="1875" spans="1:7">
      <c r="A1875" s="88" t="s">
        <v>681</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601</v>
      </c>
      <c r="B1879" s="141" t="s">
        <v>128</v>
      </c>
      <c r="C1879" s="56">
        <v>45958</v>
      </c>
      <c r="D1879" s="155">
        <v>1509</v>
      </c>
      <c r="F1879" s="43" t="s">
        <v>1798</v>
      </c>
      <c r="G1879" t="s">
        <v>1716</v>
      </c>
    </row>
    <row r="1880" spans="1:7">
      <c r="A1880" s="967" t="s">
        <v>595</v>
      </c>
      <c r="B1880" s="395" t="s">
        <v>128</v>
      </c>
      <c r="C1880" s="56">
        <v>45958</v>
      </c>
      <c r="D1880" s="155">
        <v>1678</v>
      </c>
      <c r="F1880" s="43" t="s">
        <v>1799</v>
      </c>
      <c r="G1880" t="s">
        <v>1716</v>
      </c>
    </row>
    <row r="1881" spans="1:7">
      <c r="A1881" s="967" t="s">
        <v>1011</v>
      </c>
      <c r="B1881" s="395" t="s">
        <v>128</v>
      </c>
      <c r="C1881" s="56">
        <v>45958</v>
      </c>
      <c r="D1881" s="155">
        <v>115</v>
      </c>
      <c r="F1881" s="43" t="s">
        <v>1681</v>
      </c>
      <c r="G1881" t="s">
        <v>1716</v>
      </c>
    </row>
    <row r="1882" spans="1:7">
      <c r="A1882" s="169" t="s">
        <v>564</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220</v>
      </c>
      <c r="C1884" s="56">
        <v>45958</v>
      </c>
      <c r="D1884" s="155">
        <v>1224</v>
      </c>
      <c r="G1884" t="s">
        <v>1716</v>
      </c>
    </row>
    <row r="1885" spans="1:7">
      <c r="A1885" s="43" t="s">
        <v>395</v>
      </c>
      <c r="B1885" s="655" t="s">
        <v>220</v>
      </c>
      <c r="C1885" s="56">
        <v>45958</v>
      </c>
      <c r="D1885" s="155">
        <v>423</v>
      </c>
      <c r="G1885" t="s">
        <v>1716</v>
      </c>
    </row>
    <row r="1886" spans="1:7">
      <c r="A1886" s="88" t="s">
        <v>525</v>
      </c>
      <c r="B1886" s="398" t="s">
        <v>1091</v>
      </c>
      <c r="C1886" s="56">
        <v>45959</v>
      </c>
      <c r="D1886" s="43">
        <v>171</v>
      </c>
      <c r="G1886" t="s">
        <v>1716</v>
      </c>
    </row>
    <row r="1887" spans="1:7">
      <c r="A1887" s="88" t="s">
        <v>681</v>
      </c>
      <c r="B1887" s="247" t="s">
        <v>1707</v>
      </c>
      <c r="C1887" s="56">
        <v>45959</v>
      </c>
      <c r="F1887" s="43" t="s">
        <v>1802</v>
      </c>
      <c r="G1887" t="s">
        <v>1716</v>
      </c>
    </row>
    <row r="1888" spans="1:7">
      <c r="A1888" s="88" t="s">
        <v>681</v>
      </c>
      <c r="B1888" s="247" t="s">
        <v>1803</v>
      </c>
      <c r="C1888" s="56">
        <v>45959</v>
      </c>
      <c r="D1888" s="155">
        <v>1147</v>
      </c>
      <c r="F1888" s="43" t="s">
        <v>1804</v>
      </c>
      <c r="G1888" t="s">
        <v>1716</v>
      </c>
    </row>
    <row r="1889" spans="1:7">
      <c r="A1889" s="88" t="s">
        <v>681</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601</v>
      </c>
      <c r="B1893" s="655" t="s">
        <v>128</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220</v>
      </c>
      <c r="C1895" s="56">
        <v>45959</v>
      </c>
      <c r="D1895" s="43">
        <v>343</v>
      </c>
      <c r="G1895" t="s">
        <v>1716</v>
      </c>
    </row>
    <row r="1896" spans="1:7">
      <c r="A1896" s="69" t="s">
        <v>391</v>
      </c>
      <c r="B1896" s="43" t="s">
        <v>220</v>
      </c>
      <c r="C1896" s="56">
        <v>45959</v>
      </c>
      <c r="D1896" s="155">
        <v>3179</v>
      </c>
      <c r="G1896" t="s">
        <v>1716</v>
      </c>
    </row>
    <row r="1897" spans="1:7">
      <c r="A1897" s="311" t="s">
        <v>381</v>
      </c>
      <c r="B1897" s="311" t="s">
        <v>1091</v>
      </c>
      <c r="C1897" s="56">
        <v>45959</v>
      </c>
      <c r="F1897" s="43" t="s">
        <v>1809</v>
      </c>
      <c r="G1897" t="s">
        <v>1716</v>
      </c>
    </row>
    <row r="1898" spans="1:7">
      <c r="A1898" s="315" t="s">
        <v>540</v>
      </c>
      <c r="B1898" s="315" t="s">
        <v>1091</v>
      </c>
      <c r="C1898" s="56">
        <v>45959</v>
      </c>
      <c r="E1898" s="321">
        <v>5475</v>
      </c>
      <c r="F1898" s="43" t="s">
        <v>1810</v>
      </c>
      <c r="G1898" t="s">
        <v>1716</v>
      </c>
    </row>
    <row r="1899" spans="1:7">
      <c r="A1899" s="88" t="s">
        <v>681</v>
      </c>
      <c r="B1899" s="247" t="s">
        <v>1707</v>
      </c>
      <c r="C1899" s="56">
        <v>45960</v>
      </c>
      <c r="F1899" s="320" t="s">
        <v>1811</v>
      </c>
      <c r="G1899" t="s">
        <v>1716</v>
      </c>
    </row>
    <row r="1900" spans="1:7">
      <c r="A1900" s="88" t="s">
        <v>681</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601</v>
      </c>
      <c r="B1904" s="318" t="s">
        <v>128</v>
      </c>
      <c r="C1904" s="56">
        <v>45960</v>
      </c>
      <c r="D1904" s="43">
        <v>777</v>
      </c>
      <c r="F1904" s="43" t="s">
        <v>1816</v>
      </c>
      <c r="G1904" t="s">
        <v>1716</v>
      </c>
    </row>
    <row r="1905" spans="1:7">
      <c r="A1905" s="43" t="s">
        <v>595</v>
      </c>
      <c r="B1905" s="994" t="s">
        <v>128</v>
      </c>
      <c r="C1905" s="56">
        <v>45960</v>
      </c>
      <c r="D1905" s="43">
        <v>394</v>
      </c>
      <c r="E1905" s="321">
        <v>1275</v>
      </c>
      <c r="F1905" s="43" t="s">
        <v>1817</v>
      </c>
      <c r="G1905" t="s">
        <v>1716</v>
      </c>
    </row>
    <row r="1906" spans="1:7">
      <c r="A1906" s="995" t="s">
        <v>636</v>
      </c>
      <c r="B1906" s="169" t="s">
        <v>128</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599</v>
      </c>
      <c r="B1909" s="169" t="s">
        <v>128</v>
      </c>
      <c r="C1909" s="56">
        <v>45960</v>
      </c>
      <c r="D1909" s="139"/>
      <c r="E1909" s="43"/>
      <c r="F1909" s="154" t="s">
        <v>1818</v>
      </c>
      <c r="G1909" t="s">
        <v>1716</v>
      </c>
    </row>
    <row r="1910" spans="1:7">
      <c r="A1910" s="43" t="s">
        <v>395</v>
      </c>
      <c r="B1910" s="318" t="s">
        <v>220</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227</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681</v>
      </c>
      <c r="B1915" s="247" t="s">
        <v>1707</v>
      </c>
      <c r="C1915" s="56">
        <v>45961</v>
      </c>
      <c r="F1915" s="320" t="s">
        <v>1392</v>
      </c>
      <c r="G1915" t="s">
        <v>1716</v>
      </c>
    </row>
    <row r="1916" spans="1:7">
      <c r="A1916" s="88" t="s">
        <v>681</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601</v>
      </c>
      <c r="B1920" s="141" t="s">
        <v>128</v>
      </c>
      <c r="C1920" s="56">
        <v>45961</v>
      </c>
      <c r="F1920" s="69" t="s">
        <v>1823</v>
      </c>
      <c r="G1920" t="s">
        <v>1716</v>
      </c>
    </row>
    <row r="1921" spans="1:7">
      <c r="A1921" s="43" t="s">
        <v>601</v>
      </c>
      <c r="B1921" s="395" t="s">
        <v>1091</v>
      </c>
      <c r="C1921" s="56">
        <v>45961</v>
      </c>
      <c r="E1921" s="321">
        <v>1862</v>
      </c>
      <c r="F1921" s="618" t="s">
        <v>1539</v>
      </c>
      <c r="G1921" t="s">
        <v>1716</v>
      </c>
    </row>
    <row r="1922" spans="1:7">
      <c r="A1922" s="43" t="s">
        <v>557</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227</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681</v>
      </c>
      <c r="B1927" s="315" t="s">
        <v>1803</v>
      </c>
      <c r="C1927" s="56">
        <v>45964</v>
      </c>
      <c r="F1927" s="320" t="s">
        <v>1476</v>
      </c>
      <c r="G1927" t="s">
        <v>1826</v>
      </c>
    </row>
    <row r="1928" spans="1:7">
      <c r="A1928" s="304" t="s">
        <v>636</v>
      </c>
      <c r="B1928" s="349" t="s">
        <v>128</v>
      </c>
      <c r="C1928" s="56">
        <v>45964</v>
      </c>
      <c r="D1928" s="155">
        <v>1420</v>
      </c>
      <c r="F1928" s="43" t="s">
        <v>1538</v>
      </c>
      <c r="G1928" t="s">
        <v>1826</v>
      </c>
    </row>
    <row r="1929" spans="1:7">
      <c r="A1929" s="346" t="s">
        <v>609</v>
      </c>
      <c r="B1929" s="349" t="s">
        <v>128</v>
      </c>
      <c r="C1929" s="56">
        <v>45964</v>
      </c>
      <c r="D1929" s="43">
        <v>701</v>
      </c>
      <c r="F1929" s="43" t="s">
        <v>1659</v>
      </c>
      <c r="G1929" t="s">
        <v>1826</v>
      </c>
    </row>
    <row r="1930" spans="1:7">
      <c r="A1930" s="141" t="s">
        <v>607</v>
      </c>
      <c r="B1930" s="304" t="s">
        <v>128</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220</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128</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681</v>
      </c>
      <c r="B1941" s="953" t="s">
        <v>1803</v>
      </c>
      <c r="C1941" s="56">
        <v>45965</v>
      </c>
      <c r="F1941" s="925" t="s">
        <v>1476</v>
      </c>
      <c r="G1941" t="s">
        <v>1826</v>
      </c>
    </row>
    <row r="1942" spans="1:7">
      <c r="A1942" s="148" t="s">
        <v>531</v>
      </c>
      <c r="B1942" s="148" t="s">
        <v>1617</v>
      </c>
      <c r="C1942" s="56">
        <v>45965</v>
      </c>
      <c r="D1942" s="43">
        <v>363</v>
      </c>
      <c r="G1942" t="s">
        <v>1826</v>
      </c>
    </row>
    <row r="1943" spans="1:7">
      <c r="A1943" s="148" t="s">
        <v>531</v>
      </c>
      <c r="B1943" s="148" t="s">
        <v>231</v>
      </c>
      <c r="C1943" s="56">
        <v>45965</v>
      </c>
      <c r="D1943" s="43">
        <v>778</v>
      </c>
      <c r="G1943" t="s">
        <v>1826</v>
      </c>
    </row>
    <row r="1944" spans="1:7">
      <c r="A1944" s="148" t="s">
        <v>531</v>
      </c>
      <c r="B1944" s="43" t="s">
        <v>1707</v>
      </c>
      <c r="C1944" s="56">
        <v>45965</v>
      </c>
      <c r="D1944" s="43">
        <v>550</v>
      </c>
      <c r="G1944" t="s">
        <v>1826</v>
      </c>
    </row>
    <row r="1945" spans="1:7">
      <c r="A1945" s="967" t="s">
        <v>607</v>
      </c>
      <c r="B1945" s="43" t="s">
        <v>128</v>
      </c>
      <c r="C1945" s="56">
        <v>45965</v>
      </c>
      <c r="D1945" s="155">
        <v>1120</v>
      </c>
      <c r="F1945" s="43" t="s">
        <v>1834</v>
      </c>
      <c r="G1945" t="s">
        <v>1826</v>
      </c>
    </row>
    <row r="1946" spans="1:7">
      <c r="A1946" s="141" t="s">
        <v>636</v>
      </c>
      <c r="B1946" s="141" t="s">
        <v>128</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227</v>
      </c>
      <c r="B1950" s="141" t="s">
        <v>1825</v>
      </c>
      <c r="C1950" s="56">
        <v>45965</v>
      </c>
      <c r="D1950" s="43">
        <v>379</v>
      </c>
      <c r="F1950" s="43" t="s">
        <v>1836</v>
      </c>
      <c r="G1950" t="s">
        <v>1826</v>
      </c>
    </row>
    <row r="1951" spans="1:7">
      <c r="A1951" s="148" t="s">
        <v>391</v>
      </c>
      <c r="B1951" s="43" t="s">
        <v>220</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559</v>
      </c>
      <c r="B1953" s="115" t="s">
        <v>1091</v>
      </c>
      <c r="C1953" s="56">
        <v>45965</v>
      </c>
      <c r="E1953" s="201"/>
      <c r="F1953" s="923" t="s">
        <v>1533</v>
      </c>
      <c r="G1953" t="s">
        <v>1826</v>
      </c>
    </row>
    <row r="1954" spans="1:7">
      <c r="A1954" s="247" t="s">
        <v>462</v>
      </c>
      <c r="B1954" s="43" t="s">
        <v>128</v>
      </c>
      <c r="C1954" s="56">
        <v>45965</v>
      </c>
      <c r="D1954" s="321">
        <v>3910</v>
      </c>
      <c r="E1954" s="43"/>
      <c r="F1954" s="154" t="s">
        <v>1838</v>
      </c>
      <c r="G1954" t="s">
        <v>1826</v>
      </c>
    </row>
    <row r="1955" spans="1:7">
      <c r="A1955" s="247" t="s">
        <v>315</v>
      </c>
      <c r="B1955" s="43" t="s">
        <v>128</v>
      </c>
      <c r="C1955" s="56">
        <v>45965</v>
      </c>
      <c r="D1955" s="139">
        <v>372</v>
      </c>
      <c r="E1955" s="43"/>
      <c r="F1955" s="154"/>
      <c r="G1955" t="s">
        <v>1826</v>
      </c>
    </row>
    <row r="1956" spans="1:7">
      <c r="A1956" s="305" t="s">
        <v>531</v>
      </c>
      <c r="B1956" s="305" t="s">
        <v>1617</v>
      </c>
      <c r="C1956" s="56">
        <v>45966</v>
      </c>
      <c r="D1956" s="155">
        <v>1113</v>
      </c>
      <c r="E1956" s="253"/>
      <c r="F1956" s="169"/>
      <c r="G1956" t="s">
        <v>1826</v>
      </c>
    </row>
    <row r="1957" spans="1:7">
      <c r="A1957" s="311" t="s">
        <v>531</v>
      </c>
      <c r="B1957" s="311" t="s">
        <v>231</v>
      </c>
      <c r="C1957" s="56">
        <v>45966</v>
      </c>
      <c r="D1957" s="43">
        <v>885</v>
      </c>
      <c r="G1957" t="s">
        <v>1826</v>
      </c>
    </row>
    <row r="1958" spans="1:7">
      <c r="A1958" s="141" t="s">
        <v>607</v>
      </c>
      <c r="B1958" s="141" t="s">
        <v>128</v>
      </c>
      <c r="C1958" s="56">
        <v>45966</v>
      </c>
      <c r="D1958" s="155">
        <v>1488</v>
      </c>
      <c r="F1958" s="43" t="s">
        <v>1839</v>
      </c>
      <c r="G1958" t="s">
        <v>1826</v>
      </c>
    </row>
    <row r="1959" spans="1:7">
      <c r="A1959" s="304" t="s">
        <v>636</v>
      </c>
      <c r="B1959" s="304" t="s">
        <v>128</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639</v>
      </c>
      <c r="B1962" s="304" t="s">
        <v>128</v>
      </c>
      <c r="C1962" s="56">
        <v>45966</v>
      </c>
      <c r="D1962" s="155">
        <v>1031</v>
      </c>
      <c r="G1962" t="s">
        <v>1826</v>
      </c>
    </row>
    <row r="1963" spans="1:7">
      <c r="A1963" s="141" t="s">
        <v>964</v>
      </c>
      <c r="B1963" s="141" t="s">
        <v>1751</v>
      </c>
      <c r="C1963" s="56">
        <v>45966</v>
      </c>
      <c r="D1963" s="43">
        <v>625</v>
      </c>
      <c r="G1963" t="s">
        <v>1826</v>
      </c>
    </row>
    <row r="1964" spans="1:7">
      <c r="A1964" s="304" t="s">
        <v>227</v>
      </c>
      <c r="B1964" s="304" t="s">
        <v>1825</v>
      </c>
      <c r="C1964" s="56">
        <v>45966</v>
      </c>
      <c r="D1964" s="43">
        <v>208</v>
      </c>
      <c r="F1964" s="43" t="s">
        <v>1172</v>
      </c>
      <c r="G1964" t="s">
        <v>1826</v>
      </c>
    </row>
    <row r="1965" spans="1:7">
      <c r="A1965" s="305" t="s">
        <v>391</v>
      </c>
      <c r="B1965" s="304" t="s">
        <v>220</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128</v>
      </c>
      <c r="C1968" s="56">
        <v>45966</v>
      </c>
      <c r="D1968" s="139">
        <v>346</v>
      </c>
      <c r="E1968" s="155"/>
      <c r="F1968" s="43" t="s">
        <v>1533</v>
      </c>
      <c r="G1968" t="s">
        <v>1826</v>
      </c>
    </row>
    <row r="1969" spans="1:7">
      <c r="A1969" s="371" t="s">
        <v>315</v>
      </c>
      <c r="B1969" s="304" t="s">
        <v>128</v>
      </c>
      <c r="C1969" s="56">
        <v>45966</v>
      </c>
      <c r="D1969" s="139">
        <v>656</v>
      </c>
      <c r="E1969" s="155"/>
      <c r="G1969" t="s">
        <v>1826</v>
      </c>
    </row>
    <row r="1970" spans="1:7">
      <c r="A1970" s="371" t="s">
        <v>453</v>
      </c>
      <c r="B1970" s="304" t="s">
        <v>128</v>
      </c>
      <c r="C1970" s="56">
        <v>45966</v>
      </c>
      <c r="D1970" s="321">
        <v>2985</v>
      </c>
      <c r="E1970" s="155"/>
      <c r="F1970" s="43" t="s">
        <v>1841</v>
      </c>
      <c r="G1970" t="s">
        <v>1826</v>
      </c>
    </row>
    <row r="1971" spans="1:7">
      <c r="A1971" s="148" t="s">
        <v>531</v>
      </c>
      <c r="B1971" s="148" t="s">
        <v>1617</v>
      </c>
      <c r="C1971" s="56">
        <v>45967</v>
      </c>
      <c r="D1971" s="139"/>
      <c r="E1971" s="43"/>
      <c r="F1971" s="141" t="s">
        <v>1842</v>
      </c>
      <c r="G1971" t="s">
        <v>1826</v>
      </c>
    </row>
    <row r="1972" spans="1:7">
      <c r="A1972" s="148" t="s">
        <v>531</v>
      </c>
      <c r="B1972" s="148" t="s">
        <v>1843</v>
      </c>
      <c r="C1972" s="56">
        <v>45967</v>
      </c>
      <c r="D1972" s="43">
        <v>760</v>
      </c>
      <c r="E1972" s="253"/>
      <c r="F1972" s="169"/>
      <c r="G1972" t="s">
        <v>1826</v>
      </c>
    </row>
    <row r="1973" spans="1:7">
      <c r="A1973" s="967" t="s">
        <v>607</v>
      </c>
      <c r="B1973" s="43" t="s">
        <v>128</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227</v>
      </c>
      <c r="B1977" s="141" t="s">
        <v>1825</v>
      </c>
      <c r="C1977" s="56">
        <v>45967</v>
      </c>
      <c r="F1977" s="387" t="s">
        <v>1846</v>
      </c>
      <c r="G1977" t="s">
        <v>1826</v>
      </c>
    </row>
    <row r="1978" spans="1:7">
      <c r="A1978" s="148" t="s">
        <v>391</v>
      </c>
      <c r="B1978" s="43" t="s">
        <v>220</v>
      </c>
      <c r="C1978" s="56">
        <v>45967</v>
      </c>
      <c r="D1978" s="43">
        <v>209</v>
      </c>
      <c r="G1978" t="s">
        <v>1826</v>
      </c>
    </row>
    <row r="1979" spans="1:7">
      <c r="A1979" s="618" t="s">
        <v>407</v>
      </c>
      <c r="B1979" s="756" t="s">
        <v>1751</v>
      </c>
      <c r="C1979" s="56">
        <v>45967</v>
      </c>
      <c r="D1979" s="155">
        <v>1063</v>
      </c>
      <c r="G1979" t="s">
        <v>1826</v>
      </c>
    </row>
    <row r="1980" spans="1:7">
      <c r="A1980" s="733" t="s">
        <v>453</v>
      </c>
      <c r="B1980" s="43" t="s">
        <v>128</v>
      </c>
      <c r="C1980" s="56">
        <v>45967</v>
      </c>
      <c r="D1980" s="155">
        <v>2373</v>
      </c>
      <c r="F1980" s="43" t="s">
        <v>1847</v>
      </c>
      <c r="G1980" t="s">
        <v>1826</v>
      </c>
    </row>
    <row r="1981" spans="1:7">
      <c r="A1981" s="306" t="s">
        <v>531</v>
      </c>
      <c r="B1981" s="306" t="s">
        <v>1617</v>
      </c>
      <c r="C1981" s="56">
        <v>45968</v>
      </c>
      <c r="D1981" s="43">
        <v>923</v>
      </c>
      <c r="G1981" t="s">
        <v>1826</v>
      </c>
    </row>
    <row r="1982" spans="1:7">
      <c r="A1982" s="141" t="s">
        <v>531</v>
      </c>
      <c r="B1982" s="551" t="s">
        <v>1803</v>
      </c>
      <c r="C1982" s="56">
        <v>45968</v>
      </c>
      <c r="D1982" s="155">
        <v>3052</v>
      </c>
      <c r="G1982" t="s">
        <v>1826</v>
      </c>
    </row>
    <row r="1983" spans="1:7">
      <c r="A1983" s="141" t="s">
        <v>683</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227</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220</v>
      </c>
      <c r="C1989" s="56">
        <v>45968</v>
      </c>
      <c r="D1989" s="43">
        <v>569</v>
      </c>
      <c r="G1989" t="s">
        <v>1826</v>
      </c>
    </row>
    <row r="1990" spans="1:7">
      <c r="A1990" s="247" t="s">
        <v>480</v>
      </c>
      <c r="B1990" s="43" t="s">
        <v>128</v>
      </c>
      <c r="C1990" s="56">
        <v>45968</v>
      </c>
      <c r="D1990" s="155">
        <v>2948</v>
      </c>
      <c r="G1990" t="s">
        <v>1826</v>
      </c>
    </row>
    <row r="1991" spans="1:7">
      <c r="A1991" s="953" t="s">
        <v>681</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639</v>
      </c>
      <c r="B1994" s="315" t="s">
        <v>128</v>
      </c>
      <c r="C1994" s="56">
        <v>45971</v>
      </c>
      <c r="D1994" s="155">
        <v>1351</v>
      </c>
      <c r="G1994" t="s">
        <v>1826</v>
      </c>
    </row>
    <row r="1995" spans="1:7">
      <c r="A1995" s="315" t="s">
        <v>609</v>
      </c>
      <c r="B1995" s="315" t="s">
        <v>128</v>
      </c>
      <c r="C1995" s="56">
        <v>45971</v>
      </c>
      <c r="D1995" s="43">
        <v>138</v>
      </c>
      <c r="F1995" s="43" t="s">
        <v>1848</v>
      </c>
      <c r="G1995" t="s">
        <v>1826</v>
      </c>
    </row>
    <row r="1996" spans="1:7">
      <c r="A1996" s="315" t="s">
        <v>636</v>
      </c>
      <c r="B1996" s="315" t="s">
        <v>128</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220</v>
      </c>
      <c r="C1998" s="56">
        <v>45971</v>
      </c>
      <c r="D1998" s="43">
        <v>96</v>
      </c>
      <c r="G1998" t="s">
        <v>1826</v>
      </c>
    </row>
    <row r="1999" spans="1:7">
      <c r="A1999" s="304" t="s">
        <v>227</v>
      </c>
      <c r="B1999" s="349" t="s">
        <v>1825</v>
      </c>
      <c r="C1999" s="56">
        <v>45971</v>
      </c>
      <c r="D1999" s="43">
        <v>562</v>
      </c>
      <c r="G1999" t="s">
        <v>1826</v>
      </c>
    </row>
    <row r="2000" spans="1:7">
      <c r="A2000" s="141" t="s">
        <v>393</v>
      </c>
      <c r="B2000" s="802" t="s">
        <v>220</v>
      </c>
      <c r="C2000" s="56">
        <v>45971</v>
      </c>
      <c r="D2000" s="43">
        <v>435</v>
      </c>
      <c r="F2000" s="43" t="s">
        <v>1850</v>
      </c>
      <c r="G2000" t="s">
        <v>1826</v>
      </c>
    </row>
    <row r="2001" spans="1:7">
      <c r="A2001" s="1012" t="s">
        <v>480</v>
      </c>
      <c r="B2001" s="311" t="s">
        <v>128</v>
      </c>
      <c r="C2001" s="56">
        <v>45971</v>
      </c>
      <c r="D2001" s="155">
        <v>4084</v>
      </c>
      <c r="G2001" t="s">
        <v>1826</v>
      </c>
    </row>
    <row r="2002" spans="1:7">
      <c r="A2002" s="141" t="s">
        <v>636</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128</v>
      </c>
      <c r="C2008" s="56">
        <v>45973</v>
      </c>
      <c r="D2008" s="155">
        <v>1580</v>
      </c>
      <c r="F2008" s="43" t="s">
        <v>1671</v>
      </c>
      <c r="G2008" t="s">
        <v>1826</v>
      </c>
    </row>
    <row r="2009" spans="1:7">
      <c r="A2009" s="43" t="s">
        <v>639</v>
      </c>
      <c r="B2009" s="115" t="s">
        <v>128</v>
      </c>
      <c r="C2009" s="56">
        <v>45973</v>
      </c>
      <c r="D2009" s="43">
        <v>890</v>
      </c>
      <c r="G2009" t="s">
        <v>1826</v>
      </c>
    </row>
    <row r="2010" spans="1:7">
      <c r="A2010" s="43" t="s">
        <v>639</v>
      </c>
      <c r="B2010" s="115" t="s">
        <v>447</v>
      </c>
      <c r="C2010" s="56">
        <v>45973</v>
      </c>
      <c r="F2010" s="43" t="s">
        <v>1533</v>
      </c>
      <c r="G2010" t="s">
        <v>1826</v>
      </c>
    </row>
    <row r="2011" spans="1:7">
      <c r="A2011" s="43" t="s">
        <v>605</v>
      </c>
      <c r="B2011" s="43" t="s">
        <v>128</v>
      </c>
      <c r="C2011" s="56">
        <v>45973</v>
      </c>
      <c r="D2011" s="43">
        <v>877</v>
      </c>
      <c r="F2011" s="43" t="s">
        <v>1856</v>
      </c>
      <c r="G2011" t="s">
        <v>1826</v>
      </c>
    </row>
    <row r="2012" spans="1:7">
      <c r="A2012" s="43" t="s">
        <v>1148</v>
      </c>
      <c r="B2012" s="43" t="s">
        <v>1531</v>
      </c>
      <c r="C2012" s="56">
        <v>45973</v>
      </c>
      <c r="E2012" s="321">
        <v>6640</v>
      </c>
      <c r="G2012" t="s">
        <v>1826</v>
      </c>
    </row>
    <row r="2013" spans="1:7">
      <c r="A2013" s="618" t="s">
        <v>210</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227</v>
      </c>
      <c r="B2016" s="43" t="s">
        <v>1819</v>
      </c>
      <c r="C2016" s="56">
        <v>45973</v>
      </c>
      <c r="D2016" s="43">
        <v>474</v>
      </c>
      <c r="G2016" t="s">
        <v>1826</v>
      </c>
    </row>
    <row r="2017" spans="1:7">
      <c r="A2017" s="43" t="s">
        <v>480</v>
      </c>
      <c r="B2017" s="43" t="s">
        <v>128</v>
      </c>
      <c r="C2017" s="56">
        <v>45973</v>
      </c>
      <c r="D2017" s="43">
        <v>242</v>
      </c>
      <c r="G2017" t="s">
        <v>1826</v>
      </c>
    </row>
    <row r="2018" spans="1:7">
      <c r="A2018" s="43" t="s">
        <v>472</v>
      </c>
      <c r="B2018" s="43" t="s">
        <v>128</v>
      </c>
      <c r="C2018" s="56">
        <v>45973</v>
      </c>
      <c r="D2018" s="155">
        <v>1264</v>
      </c>
      <c r="G2018" t="s">
        <v>1826</v>
      </c>
    </row>
    <row r="2019" spans="1:7">
      <c r="A2019" s="43" t="s">
        <v>485</v>
      </c>
      <c r="B2019" s="43" t="s">
        <v>128</v>
      </c>
      <c r="C2019" s="56">
        <v>45973</v>
      </c>
      <c r="D2019" s="155">
        <v>3678</v>
      </c>
      <c r="G2019" t="s">
        <v>1826</v>
      </c>
    </row>
    <row r="2020" spans="1:7">
      <c r="A2020" s="43" t="s">
        <v>443</v>
      </c>
      <c r="B2020" s="43" t="s">
        <v>1531</v>
      </c>
      <c r="C2020" s="56">
        <v>45974</v>
      </c>
      <c r="F2020" s="43" t="s">
        <v>1599</v>
      </c>
      <c r="G2020" t="s">
        <v>1826</v>
      </c>
    </row>
    <row r="2021" spans="1:7">
      <c r="A2021" s="43" t="s">
        <v>429</v>
      </c>
      <c r="B2021" s="43" t="s">
        <v>128</v>
      </c>
      <c r="C2021" s="56">
        <v>45974</v>
      </c>
      <c r="D2021" s="155">
        <v>1258</v>
      </c>
      <c r="F2021" s="43" t="s">
        <v>1859</v>
      </c>
      <c r="G2021" t="s">
        <v>1826</v>
      </c>
    </row>
    <row r="2022" spans="1:7">
      <c r="A2022" s="43" t="s">
        <v>605</v>
      </c>
      <c r="B2022" s="43" t="s">
        <v>128</v>
      </c>
      <c r="C2022" s="56">
        <v>45974</v>
      </c>
      <c r="D2022" s="43">
        <v>814</v>
      </c>
      <c r="F2022" s="43" t="s">
        <v>1860</v>
      </c>
      <c r="G2022" t="s">
        <v>1826</v>
      </c>
    </row>
    <row r="2023" spans="1:7">
      <c r="A2023" s="618" t="s">
        <v>210</v>
      </c>
      <c r="B2023" s="43" t="s">
        <v>1531</v>
      </c>
      <c r="C2023" s="56">
        <v>45974</v>
      </c>
      <c r="D2023" s="43">
        <v>325</v>
      </c>
      <c r="G2023" t="s">
        <v>1826</v>
      </c>
    </row>
    <row r="2024" spans="1:7">
      <c r="A2024" s="43" t="s">
        <v>210</v>
      </c>
      <c r="B2024" s="43" t="s">
        <v>1531</v>
      </c>
      <c r="C2024" s="56">
        <v>45974</v>
      </c>
      <c r="F2024" s="43" t="s">
        <v>1253</v>
      </c>
      <c r="G2024" t="s">
        <v>1826</v>
      </c>
    </row>
    <row r="2025" spans="1:7">
      <c r="A2025" s="148" t="s">
        <v>227</v>
      </c>
      <c r="B2025" s="43" t="s">
        <v>1861</v>
      </c>
      <c r="C2025" s="56">
        <v>45974</v>
      </c>
      <c r="D2025" s="43">
        <v>606</v>
      </c>
      <c r="G2025" t="s">
        <v>1826</v>
      </c>
    </row>
    <row r="2026" spans="1:7">
      <c r="A2026" s="1062" t="s">
        <v>393</v>
      </c>
      <c r="B2026" s="1063" t="s">
        <v>220</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128</v>
      </c>
      <c r="C2029" s="56">
        <v>45974</v>
      </c>
      <c r="D2029" s="155">
        <v>3382</v>
      </c>
      <c r="G2029" t="s">
        <v>1826</v>
      </c>
    </row>
    <row r="2030" spans="1:7">
      <c r="A2030" s="43" t="s">
        <v>472</v>
      </c>
      <c r="B2030" s="43" t="s">
        <v>128</v>
      </c>
      <c r="C2030" s="56">
        <v>45974</v>
      </c>
      <c r="D2030" s="155">
        <v>1281</v>
      </c>
      <c r="G2030" t="s">
        <v>1826</v>
      </c>
    </row>
    <row r="2031" spans="1:7">
      <c r="A2031" s="247" t="s">
        <v>515</v>
      </c>
      <c r="B2031" s="43" t="s">
        <v>128</v>
      </c>
      <c r="C2031" s="56">
        <v>45974</v>
      </c>
      <c r="D2031" s="43">
        <v>424</v>
      </c>
      <c r="G2031" t="s">
        <v>1826</v>
      </c>
    </row>
    <row r="2032" spans="1:7">
      <c r="A2032" s="247" t="s">
        <v>487</v>
      </c>
      <c r="B2032" s="43" t="s">
        <v>128</v>
      </c>
      <c r="C2032" s="56">
        <v>45974</v>
      </c>
      <c r="D2032" s="43">
        <v>598</v>
      </c>
      <c r="G2032" t="s">
        <v>1826</v>
      </c>
    </row>
    <row r="2033" spans="1:7">
      <c r="A2033" s="141" t="s">
        <v>443</v>
      </c>
      <c r="B2033" s="141" t="s">
        <v>1531</v>
      </c>
      <c r="C2033" s="56">
        <v>45975</v>
      </c>
      <c r="E2033" s="1011">
        <v>5647</v>
      </c>
      <c r="F2033" s="306" t="s">
        <v>1863</v>
      </c>
      <c r="G2033" t="s">
        <v>1826</v>
      </c>
    </row>
    <row r="2034" spans="1:7">
      <c r="A2034" s="304" t="s">
        <v>609</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210</v>
      </c>
      <c r="B2036" s="141" t="s">
        <v>1531</v>
      </c>
      <c r="C2036" s="56">
        <v>45975</v>
      </c>
      <c r="D2036" s="43">
        <v>430</v>
      </c>
      <c r="G2036" t="s">
        <v>1826</v>
      </c>
    </row>
    <row r="2037" spans="1:7">
      <c r="A2037" s="305" t="s">
        <v>227</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614</v>
      </c>
      <c r="B2042" s="304" t="s">
        <v>128</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611</v>
      </c>
      <c r="B2044" s="349" t="s">
        <v>128</v>
      </c>
      <c r="C2044" s="56">
        <v>45978</v>
      </c>
      <c r="D2044" s="43">
        <v>762</v>
      </c>
      <c r="G2044" t="s">
        <v>1826</v>
      </c>
    </row>
    <row r="2045" spans="1:7">
      <c r="A2045" s="141" t="s">
        <v>605</v>
      </c>
      <c r="B2045" s="349" t="s">
        <v>128</v>
      </c>
      <c r="C2045" s="56">
        <v>45978</v>
      </c>
      <c r="D2045" s="43">
        <v>956</v>
      </c>
      <c r="F2045" s="43" t="s">
        <v>1866</v>
      </c>
      <c r="G2045" t="s">
        <v>1826</v>
      </c>
    </row>
    <row r="2046" spans="1:7">
      <c r="A2046" s="305" t="s">
        <v>263</v>
      </c>
      <c r="B2046" s="318" t="s">
        <v>1091</v>
      </c>
      <c r="C2046" s="56">
        <v>45978</v>
      </c>
      <c r="D2046" s="43">
        <v>176</v>
      </c>
      <c r="G2046" t="s">
        <v>1826</v>
      </c>
    </row>
    <row r="2047" spans="1:7">
      <c r="A2047" s="141" t="s">
        <v>263</v>
      </c>
      <c r="B2047" s="349" t="s">
        <v>1091</v>
      </c>
      <c r="C2047" s="56">
        <v>45978</v>
      </c>
      <c r="D2047" s="43">
        <v>270</v>
      </c>
      <c r="G2047" t="s">
        <v>1826</v>
      </c>
    </row>
    <row r="2048" spans="1:7">
      <c r="A2048" s="141" t="s">
        <v>227</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128</v>
      </c>
      <c r="C2050" s="56">
        <v>45978</v>
      </c>
      <c r="D2050" s="155">
        <v>5466</v>
      </c>
      <c r="G2050" t="s">
        <v>1826</v>
      </c>
    </row>
    <row r="2051" spans="1:7">
      <c r="A2051" s="304" t="s">
        <v>472</v>
      </c>
      <c r="B2051" s="304" t="s">
        <v>128</v>
      </c>
      <c r="C2051" s="56">
        <v>45978</v>
      </c>
      <c r="D2051" s="155">
        <v>1662</v>
      </c>
      <c r="G2051" t="s">
        <v>1826</v>
      </c>
    </row>
    <row r="2052" spans="1:7">
      <c r="A2052" s="304" t="s">
        <v>487</v>
      </c>
      <c r="B2052" s="304" t="s">
        <v>128</v>
      </c>
      <c r="C2052" s="56">
        <v>45978</v>
      </c>
      <c r="D2052" s="155">
        <v>1498</v>
      </c>
      <c r="G2052" t="s">
        <v>1826</v>
      </c>
    </row>
    <row r="2053" spans="1:7">
      <c r="A2053" s="304" t="s">
        <v>681</v>
      </c>
      <c r="B2053" s="304" t="s">
        <v>1778</v>
      </c>
      <c r="C2053" s="56">
        <v>45979</v>
      </c>
      <c r="D2053" s="155">
        <v>17</v>
      </c>
      <c r="G2053" t="s">
        <v>1826</v>
      </c>
    </row>
    <row r="2054" spans="1:7">
      <c r="A2054" s="304" t="s">
        <v>1151</v>
      </c>
      <c r="B2054" s="304" t="s">
        <v>1778</v>
      </c>
      <c r="C2054" s="56">
        <v>45979</v>
      </c>
      <c r="D2054" s="155">
        <v>12</v>
      </c>
      <c r="G2054" t="s">
        <v>1826</v>
      </c>
    </row>
    <row r="2055" spans="1:7">
      <c r="A2055" s="43" t="s">
        <v>639</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128</v>
      </c>
      <c r="C2057" s="56">
        <v>45979</v>
      </c>
      <c r="D2057" s="155">
        <v>1679</v>
      </c>
      <c r="F2057" s="43" t="s">
        <v>1868</v>
      </c>
      <c r="G2057" t="s">
        <v>1826</v>
      </c>
    </row>
    <row r="2058" spans="1:7">
      <c r="A2058" s="43" t="s">
        <v>1149</v>
      </c>
      <c r="B2058" s="43" t="s">
        <v>450</v>
      </c>
      <c r="C2058" s="56">
        <v>45979</v>
      </c>
      <c r="F2058" s="43" t="s">
        <v>1869</v>
      </c>
      <c r="G2058" t="s">
        <v>1826</v>
      </c>
    </row>
    <row r="2059" spans="1:7">
      <c r="A2059" t="s">
        <v>611</v>
      </c>
      <c r="B2059" s="43" t="s">
        <v>128</v>
      </c>
      <c r="C2059" s="56">
        <v>45979</v>
      </c>
      <c r="D2059" s="155">
        <v>1530</v>
      </c>
      <c r="F2059" s="43" t="s">
        <v>1870</v>
      </c>
      <c r="G2059" t="s">
        <v>1826</v>
      </c>
    </row>
    <row r="2060" spans="1:7">
      <c r="A2060" s="733" t="s">
        <v>546</v>
      </c>
      <c r="B2060" s="318" t="s">
        <v>1091</v>
      </c>
      <c r="C2060" s="56">
        <v>45979</v>
      </c>
      <c r="D2060" s="43">
        <v>136</v>
      </c>
      <c r="F2060" s="69"/>
      <c r="G2060" t="s">
        <v>1826</v>
      </c>
    </row>
    <row r="2061" spans="1:7">
      <c r="A2061" s="69" t="s">
        <v>263</v>
      </c>
      <c r="B2061" s="43" t="s">
        <v>1531</v>
      </c>
      <c r="C2061" s="56">
        <v>45979</v>
      </c>
      <c r="D2061" s="43">
        <v>120</v>
      </c>
      <c r="F2061" s="69"/>
      <c r="G2061" t="s">
        <v>1826</v>
      </c>
    </row>
    <row r="2062" spans="1:7">
      <c r="A2062" s="618" t="s">
        <v>393</v>
      </c>
      <c r="B2062" s="655" t="s">
        <v>220</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128</v>
      </c>
      <c r="C2064" s="56">
        <v>45979</v>
      </c>
      <c r="D2064" s="155">
        <v>2684</v>
      </c>
      <c r="F2064" s="69"/>
      <c r="G2064" t="s">
        <v>1826</v>
      </c>
    </row>
    <row r="2065" spans="1:7">
      <c r="A2065" s="148" t="s">
        <v>487</v>
      </c>
      <c r="B2065" s="115" t="s">
        <v>128</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609</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128</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611</v>
      </c>
      <c r="B2071" s="307" t="s">
        <v>128</v>
      </c>
      <c r="C2071" s="56">
        <v>45980</v>
      </c>
      <c r="D2071" s="43">
        <v>954</v>
      </c>
      <c r="E2071" s="253"/>
      <c r="F2071" s="91" t="s">
        <v>1875</v>
      </c>
      <c r="G2071" t="s">
        <v>1826</v>
      </c>
    </row>
    <row r="2072" spans="1:7">
      <c r="A2072" s="733" t="s">
        <v>546</v>
      </c>
      <c r="B2072" s="318" t="s">
        <v>1091</v>
      </c>
      <c r="C2072" s="56">
        <v>45980</v>
      </c>
      <c r="D2072" s="43">
        <v>170</v>
      </c>
      <c r="F2072" s="69"/>
      <c r="G2072" t="s">
        <v>1826</v>
      </c>
    </row>
    <row r="2073" spans="1:7">
      <c r="A2073" s="141" t="s">
        <v>263</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611</v>
      </c>
      <c r="B2077" s="141" t="s">
        <v>128</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128</v>
      </c>
      <c r="C2079" s="56">
        <v>45981</v>
      </c>
      <c r="D2079" s="155">
        <v>1624</v>
      </c>
      <c r="F2079" s="69" t="s">
        <v>1879</v>
      </c>
      <c r="G2079" t="s">
        <v>1826</v>
      </c>
    </row>
    <row r="2080" spans="1:7">
      <c r="A2080" s="305" t="s">
        <v>609</v>
      </c>
      <c r="B2080" s="141" t="s">
        <v>1531</v>
      </c>
      <c r="C2080" s="56">
        <v>45981</v>
      </c>
      <c r="E2080" s="139">
        <v>728</v>
      </c>
      <c r="F2080" s="69"/>
      <c r="G2080" t="s">
        <v>1826</v>
      </c>
    </row>
    <row r="2081" spans="1:7">
      <c r="A2081" s="306" t="s">
        <v>210</v>
      </c>
      <c r="B2081" s="318" t="s">
        <v>1091</v>
      </c>
      <c r="C2081" s="56">
        <v>45981</v>
      </c>
      <c r="D2081" s="43">
        <v>195</v>
      </c>
      <c r="F2081" s="69" t="s">
        <v>1880</v>
      </c>
      <c r="G2081" t="s">
        <v>1826</v>
      </c>
    </row>
    <row r="2082" spans="1:7">
      <c r="A2082" s="141" t="s">
        <v>263</v>
      </c>
      <c r="B2082" s="304" t="s">
        <v>1531</v>
      </c>
      <c r="C2082" s="56">
        <v>45981</v>
      </c>
      <c r="F2082" s="69" t="s">
        <v>1881</v>
      </c>
      <c r="G2082" t="s">
        <v>1826</v>
      </c>
    </row>
    <row r="2083" spans="1:7">
      <c r="A2083" s="304" t="s">
        <v>393</v>
      </c>
      <c r="B2083" s="1003" t="s">
        <v>220</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128</v>
      </c>
      <c r="C2086" s="56">
        <v>45981</v>
      </c>
      <c r="D2086" s="155">
        <v>2252</v>
      </c>
      <c r="F2086" s="69"/>
      <c r="G2086" t="s">
        <v>1826</v>
      </c>
    </row>
    <row r="2087" spans="1:7">
      <c r="A2087" s="318" t="s">
        <v>487</v>
      </c>
      <c r="B2087" s="387" t="s">
        <v>128</v>
      </c>
      <c r="C2087" s="56">
        <v>45981</v>
      </c>
      <c r="D2087" s="1083">
        <v>1027</v>
      </c>
      <c r="F2087" s="69"/>
      <c r="G2087" t="s">
        <v>1826</v>
      </c>
    </row>
    <row r="2088" spans="1:7">
      <c r="A2088" s="348" t="s">
        <v>490</v>
      </c>
      <c r="B2088" s="357" t="s">
        <v>128</v>
      </c>
      <c r="C2088" s="56">
        <v>45981</v>
      </c>
      <c r="D2088" s="155">
        <v>1420</v>
      </c>
      <c r="F2088" s="69"/>
      <c r="G2088" t="s">
        <v>1826</v>
      </c>
    </row>
    <row r="2089" spans="1:7">
      <c r="A2089" s="318" t="s">
        <v>493</v>
      </c>
      <c r="B2089" s="387" t="s">
        <v>128</v>
      </c>
      <c r="C2089" s="56">
        <v>45981</v>
      </c>
      <c r="D2089" s="155">
        <v>2376</v>
      </c>
      <c r="F2089" s="69"/>
      <c r="G2089" t="s">
        <v>1826</v>
      </c>
    </row>
    <row r="2090" spans="1:7">
      <c r="A2090" s="348" t="s">
        <v>515</v>
      </c>
      <c r="B2090" s="307" t="s">
        <v>128</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546</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128</v>
      </c>
      <c r="C2097" s="56">
        <v>45982</v>
      </c>
      <c r="D2097" s="43">
        <v>51</v>
      </c>
      <c r="F2097" s="69"/>
      <c r="G2097" t="s">
        <v>1826</v>
      </c>
    </row>
    <row r="2098" spans="1:7">
      <c r="A2098" s="404" t="s">
        <v>515</v>
      </c>
      <c r="B2098" s="173" t="s">
        <v>128</v>
      </c>
      <c r="C2098" s="56">
        <v>45982</v>
      </c>
      <c r="D2098" s="155">
        <v>3007</v>
      </c>
      <c r="F2098" s="69"/>
      <c r="G2098" t="s">
        <v>1826</v>
      </c>
    </row>
    <row r="2099" spans="1:7">
      <c r="A2099" s="404" t="s">
        <v>487</v>
      </c>
      <c r="B2099" s="173" t="s">
        <v>128</v>
      </c>
      <c r="C2099" s="56">
        <v>45982</v>
      </c>
      <c r="D2099" s="43">
        <v>490</v>
      </c>
      <c r="F2099" s="69"/>
      <c r="G2099" t="s">
        <v>1826</v>
      </c>
    </row>
    <row r="2100" spans="1:7">
      <c r="A2100" s="404" t="s">
        <v>490</v>
      </c>
      <c r="B2100" s="173" t="s">
        <v>128</v>
      </c>
      <c r="C2100" s="56">
        <v>45982</v>
      </c>
      <c r="D2100" s="155">
        <v>3043</v>
      </c>
      <c r="F2100" s="69"/>
      <c r="G2100" t="s">
        <v>1826</v>
      </c>
    </row>
    <row r="2101" spans="1:7">
      <c r="A2101" s="404" t="s">
        <v>493</v>
      </c>
      <c r="B2101" s="173" t="s">
        <v>128</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200</v>
      </c>
      <c r="B2109" s="43" t="s">
        <v>128</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611</v>
      </c>
      <c r="B2111" s="1093" t="s">
        <v>128</v>
      </c>
      <c r="C2111" s="56">
        <v>45985</v>
      </c>
      <c r="D2111" s="43">
        <v>805</v>
      </c>
      <c r="F2111" s="69" t="s">
        <v>1890</v>
      </c>
      <c r="G2111" t="s">
        <v>1826</v>
      </c>
    </row>
    <row r="2112" spans="1:7">
      <c r="A2112" s="43" t="s">
        <v>614</v>
      </c>
      <c r="B2112" s="1093" t="s">
        <v>128</v>
      </c>
      <c r="C2112" s="56">
        <v>45985</v>
      </c>
      <c r="D2112" s="43">
        <v>665</v>
      </c>
      <c r="F2112" s="69"/>
      <c r="G2112" t="s">
        <v>1826</v>
      </c>
    </row>
    <row r="2113" spans="1:7">
      <c r="A2113" s="43" t="s">
        <v>431</v>
      </c>
      <c r="B2113" s="1093" t="s">
        <v>128</v>
      </c>
      <c r="C2113" s="56">
        <v>45985</v>
      </c>
      <c r="D2113" s="43">
        <v>572</v>
      </c>
      <c r="F2113" s="69" t="s">
        <v>1891</v>
      </c>
      <c r="G2113" t="s">
        <v>1826</v>
      </c>
    </row>
    <row r="2114" spans="1:7">
      <c r="A2114" s="169" t="s">
        <v>628</v>
      </c>
      <c r="B2114" s="169" t="s">
        <v>1091</v>
      </c>
      <c r="C2114" s="56">
        <v>45985</v>
      </c>
      <c r="D2114" s="43">
        <v>286</v>
      </c>
      <c r="E2114" s="201"/>
      <c r="F2114" s="148"/>
      <c r="G2114" t="s">
        <v>1826</v>
      </c>
    </row>
    <row r="2115" spans="1:7">
      <c r="A2115" s="43" t="s">
        <v>605</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220</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628</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617</v>
      </c>
      <c r="B2128" s="43" t="s">
        <v>128</v>
      </c>
      <c r="C2128" s="56">
        <v>45986</v>
      </c>
      <c r="D2128" s="155">
        <v>1100</v>
      </c>
      <c r="G2128" t="s">
        <v>1826</v>
      </c>
    </row>
    <row r="2129" spans="1:7">
      <c r="A2129" s="43" t="s">
        <v>614</v>
      </c>
      <c r="B2129" s="43" t="s">
        <v>128</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128</v>
      </c>
      <c r="C2136" s="56">
        <v>45986</v>
      </c>
      <c r="D2136" s="155">
        <v>2382</v>
      </c>
      <c r="G2136" t="s">
        <v>1826</v>
      </c>
    </row>
    <row r="2137" spans="1:7">
      <c r="A2137" s="404" t="s">
        <v>453</v>
      </c>
      <c r="B2137" s="173" t="s">
        <v>128</v>
      </c>
      <c r="C2137" s="56">
        <v>45986</v>
      </c>
      <c r="D2137" s="43">
        <v>996</v>
      </c>
      <c r="G2137" t="s">
        <v>1826</v>
      </c>
    </row>
    <row r="2138" spans="1:7">
      <c r="A2138" s="404" t="s">
        <v>496</v>
      </c>
      <c r="B2138" s="173" t="s">
        <v>128</v>
      </c>
      <c r="C2138" s="56">
        <v>45986</v>
      </c>
      <c r="D2138" s="155">
        <v>3634</v>
      </c>
      <c r="G2138" t="s">
        <v>1826</v>
      </c>
    </row>
    <row r="2139" spans="1:7">
      <c r="A2139" s="69" t="s">
        <v>493</v>
      </c>
      <c r="B2139" s="173" t="s">
        <v>128</v>
      </c>
      <c r="C2139" s="56">
        <v>45986</v>
      </c>
      <c r="D2139" s="155">
        <v>3311</v>
      </c>
      <c r="G2139" t="s">
        <v>1826</v>
      </c>
    </row>
    <row r="2140" spans="1:7">
      <c r="A2140" s="69" t="s">
        <v>315</v>
      </c>
      <c r="B2140" s="173" t="s">
        <v>128</v>
      </c>
      <c r="C2140" s="56">
        <v>45986</v>
      </c>
      <c r="D2140" s="155">
        <v>1175</v>
      </c>
      <c r="G2140" t="s">
        <v>1826</v>
      </c>
    </row>
    <row r="2141" spans="1:7">
      <c r="A2141" s="247" t="s">
        <v>490</v>
      </c>
      <c r="B2141" s="173" t="s">
        <v>128</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628</v>
      </c>
      <c r="B2146" s="805" t="s">
        <v>1091</v>
      </c>
      <c r="C2146" s="56">
        <v>45987</v>
      </c>
      <c r="D2146" s="43">
        <v>331</v>
      </c>
      <c r="E2146" s="321">
        <v>1063</v>
      </c>
      <c r="F2146" s="43" t="s">
        <v>1900</v>
      </c>
      <c r="G2146" t="s">
        <v>1826</v>
      </c>
    </row>
    <row r="2147" spans="1:7">
      <c r="A2147" s="1094" t="s">
        <v>614</v>
      </c>
      <c r="B2147" s="304" t="s">
        <v>128</v>
      </c>
      <c r="C2147" s="56">
        <v>45987</v>
      </c>
      <c r="D2147" s="155">
        <v>1024</v>
      </c>
      <c r="F2147" s="43" t="s">
        <v>1901</v>
      </c>
      <c r="G2147" t="s">
        <v>1826</v>
      </c>
    </row>
    <row r="2148" spans="1:7">
      <c r="A2148" s="306" t="s">
        <v>617</v>
      </c>
      <c r="B2148" s="305" t="s">
        <v>128</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220</v>
      </c>
      <c r="C2154" s="56">
        <v>45987</v>
      </c>
      <c r="D2154" s="423"/>
      <c r="E2154" s="43"/>
      <c r="F2154" s="141" t="s">
        <v>1899</v>
      </c>
      <c r="G2154" t="s">
        <v>1826</v>
      </c>
    </row>
    <row r="2155" spans="1:7">
      <c r="A2155" s="141" t="s">
        <v>227</v>
      </c>
      <c r="B2155" s="141" t="s">
        <v>1819</v>
      </c>
      <c r="C2155" s="56">
        <v>45987</v>
      </c>
      <c r="D2155" s="161">
        <v>426</v>
      </c>
      <c r="E2155" s="253"/>
      <c r="F2155" s="169"/>
      <c r="G2155" t="s">
        <v>1826</v>
      </c>
    </row>
    <row r="2156" spans="1:7">
      <c r="A2156" s="141" t="s">
        <v>393</v>
      </c>
      <c r="B2156" s="141" t="s">
        <v>220</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315</v>
      </c>
      <c r="B2159" s="141" t="s">
        <v>128</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128</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128</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611</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531</v>
      </c>
      <c r="B2174" s="306" t="s">
        <v>1617</v>
      </c>
      <c r="C2174" s="56">
        <v>45992</v>
      </c>
      <c r="D2174" s="43">
        <v>602</v>
      </c>
      <c r="F2174" s="43" t="s">
        <v>1912</v>
      </c>
      <c r="G2174" t="s">
        <v>1911</v>
      </c>
    </row>
    <row r="2175" spans="1:7">
      <c r="A2175" s="306" t="s">
        <v>531</v>
      </c>
      <c r="B2175" s="306" t="s">
        <v>1707</v>
      </c>
      <c r="C2175" s="56">
        <v>45992</v>
      </c>
      <c r="F2175" s="337" t="s">
        <v>1913</v>
      </c>
      <c r="G2175" t="s">
        <v>1911</v>
      </c>
    </row>
    <row r="2176" spans="1:7">
      <c r="A2176" s="805" t="s">
        <v>614</v>
      </c>
      <c r="B2176" s="805" t="s">
        <v>128</v>
      </c>
      <c r="C2176" s="56">
        <v>45992</v>
      </c>
      <c r="D2176" s="155">
        <v>1610</v>
      </c>
      <c r="F2176" s="43" t="s">
        <v>1914</v>
      </c>
      <c r="G2176" t="s">
        <v>1911</v>
      </c>
    </row>
    <row r="2177" spans="1:7">
      <c r="A2177" s="1094" t="s">
        <v>617</v>
      </c>
      <c r="B2177" s="304" t="s">
        <v>128</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315</v>
      </c>
      <c r="B2181" s="387" t="s">
        <v>128</v>
      </c>
      <c r="C2181" s="56">
        <v>45992</v>
      </c>
      <c r="D2181" s="155">
        <v>1515</v>
      </c>
      <c r="F2181" s="43" t="s">
        <v>1562</v>
      </c>
      <c r="G2181" t="s">
        <v>1911</v>
      </c>
    </row>
    <row r="2182" spans="1:7">
      <c r="A2182" s="348" t="s">
        <v>496</v>
      </c>
      <c r="B2182" s="357" t="s">
        <v>128</v>
      </c>
      <c r="C2182" s="56">
        <v>45992</v>
      </c>
      <c r="D2182" s="155">
        <v>3376</v>
      </c>
      <c r="G2182" t="s">
        <v>1911</v>
      </c>
    </row>
    <row r="2183" spans="1:7">
      <c r="A2183" s="317" t="s">
        <v>474</v>
      </c>
      <c r="B2183" s="308" t="s">
        <v>128</v>
      </c>
      <c r="C2183" s="56">
        <v>45992</v>
      </c>
      <c r="D2183" s="155">
        <v>3084</v>
      </c>
      <c r="G2183" t="s">
        <v>1911</v>
      </c>
    </row>
    <row r="2184" spans="1:7">
      <c r="A2184" s="311" t="s">
        <v>512</v>
      </c>
      <c r="B2184" s="311" t="s">
        <v>128</v>
      </c>
      <c r="C2184" s="56">
        <v>45992</v>
      </c>
      <c r="D2184" s="155">
        <v>1829</v>
      </c>
      <c r="G2184" t="s">
        <v>1911</v>
      </c>
    </row>
    <row r="2185" spans="1:7">
      <c r="A2185" s="247" t="s">
        <v>477</v>
      </c>
      <c r="B2185" s="759" t="s">
        <v>128</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531</v>
      </c>
      <c r="B2188" s="306" t="s">
        <v>1617</v>
      </c>
      <c r="C2188" s="56">
        <v>45993</v>
      </c>
      <c r="D2188" s="43">
        <v>581</v>
      </c>
      <c r="G2188" t="s">
        <v>1911</v>
      </c>
    </row>
    <row r="2189" spans="1:7">
      <c r="A2189" s="311" t="s">
        <v>531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617</v>
      </c>
      <c r="B2191" s="304" t="s">
        <v>128</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607</v>
      </c>
      <c r="B2193" s="304" t="s">
        <v>1091</v>
      </c>
      <c r="C2193" s="56">
        <v>45993</v>
      </c>
      <c r="D2193" s="43">
        <v>175</v>
      </c>
      <c r="G2193" t="s">
        <v>1911</v>
      </c>
    </row>
    <row r="2194" spans="1:7">
      <c r="A2194" s="311" t="s">
        <v>477</v>
      </c>
      <c r="B2194" s="311" t="s">
        <v>128</v>
      </c>
      <c r="C2194" s="56">
        <v>45993</v>
      </c>
      <c r="D2194" s="155">
        <v>2916</v>
      </c>
      <c r="G2194" t="s">
        <v>1911</v>
      </c>
    </row>
    <row r="2195" spans="1:7">
      <c r="A2195" s="315" t="s">
        <v>512</v>
      </c>
      <c r="B2195" s="315" t="s">
        <v>128</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531</v>
      </c>
      <c r="B2198" s="950" t="s">
        <v>1617</v>
      </c>
      <c r="C2198" s="56">
        <v>45994</v>
      </c>
      <c r="D2198" s="155">
        <v>1029</v>
      </c>
      <c r="F2198" s="43" t="s">
        <v>1923</v>
      </c>
      <c r="G2198" t="s">
        <v>1911</v>
      </c>
    </row>
    <row r="2199" spans="1:7">
      <c r="A2199" s="950" t="s">
        <v>531</v>
      </c>
      <c r="B2199" s="950" t="s">
        <v>1707</v>
      </c>
      <c r="C2199" s="56">
        <v>45994</v>
      </c>
      <c r="F2199" s="337" t="s">
        <v>1924</v>
      </c>
      <c r="G2199" t="s">
        <v>1911</v>
      </c>
    </row>
    <row r="2200" spans="1:7">
      <c r="A2200" s="759" t="s">
        <v>531</v>
      </c>
      <c r="B2200" s="759" t="s">
        <v>1843</v>
      </c>
      <c r="C2200" s="56">
        <v>45994</v>
      </c>
      <c r="D2200" s="43">
        <v>100</v>
      </c>
      <c r="G2200" t="s">
        <v>1911</v>
      </c>
    </row>
    <row r="2201" spans="1:7">
      <c r="A2201" s="756" t="s">
        <v>1153</v>
      </c>
      <c r="B2201" s="756" t="s">
        <v>450</v>
      </c>
      <c r="C2201" s="56">
        <v>45994</v>
      </c>
      <c r="D2201" s="43">
        <v>974</v>
      </c>
      <c r="G2201" t="s">
        <v>1911</v>
      </c>
    </row>
    <row r="2202" spans="1:7">
      <c r="A2202" s="1094" t="s">
        <v>586</v>
      </c>
      <c r="B2202" s="1128" t="s">
        <v>140</v>
      </c>
      <c r="C2202" s="56">
        <v>45994</v>
      </c>
      <c r="D2202" s="43">
        <v>466</v>
      </c>
      <c r="F2202" s="43" t="s">
        <v>1925</v>
      </c>
      <c r="G2202" t="s">
        <v>1911</v>
      </c>
    </row>
    <row r="2203" spans="1:7">
      <c r="A2203" s="756" t="s">
        <v>1154</v>
      </c>
      <c r="B2203" s="1128" t="s">
        <v>447</v>
      </c>
      <c r="C2203" s="56">
        <v>45994</v>
      </c>
      <c r="D2203" s="43">
        <v>383</v>
      </c>
      <c r="G2203" t="s">
        <v>1911</v>
      </c>
    </row>
    <row r="2204" spans="1:7">
      <c r="A2204" s="756" t="s">
        <v>592</v>
      </c>
      <c r="B2204" s="1128" t="s">
        <v>128</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128</v>
      </c>
      <c r="C2206" s="56">
        <v>45994</v>
      </c>
      <c r="D2206" s="155">
        <v>2430</v>
      </c>
      <c r="G2206" t="s">
        <v>1911</v>
      </c>
    </row>
    <row r="2207" spans="1:7">
      <c r="A2207" s="759" t="s">
        <v>512</v>
      </c>
      <c r="B2207" s="759" t="s">
        <v>128</v>
      </c>
      <c r="C2207" s="56">
        <v>45994</v>
      </c>
      <c r="D2207" s="43">
        <v>694</v>
      </c>
      <c r="G2207" t="s">
        <v>1911</v>
      </c>
    </row>
    <row r="2208" spans="1:7">
      <c r="A2208" s="1129" t="s">
        <v>320</v>
      </c>
      <c r="B2208" s="1130" t="s">
        <v>128</v>
      </c>
      <c r="C2208" s="56">
        <v>45994</v>
      </c>
      <c r="D2208" s="43">
        <v>243</v>
      </c>
      <c r="G2208" t="s">
        <v>1911</v>
      </c>
    </row>
    <row r="2209" spans="1:7">
      <c r="A2209" s="306" t="s">
        <v>1156</v>
      </c>
      <c r="B2209" s="306" t="s">
        <v>1778</v>
      </c>
      <c r="C2209" s="56">
        <v>45995</v>
      </c>
      <c r="D2209" s="43">
        <v>272</v>
      </c>
      <c r="F2209" s="43" t="s">
        <v>1927</v>
      </c>
      <c r="G2209" t="s">
        <v>1911</v>
      </c>
    </row>
    <row r="2210" spans="1:7">
      <c r="A2210" s="306" t="s">
        <v>531</v>
      </c>
      <c r="B2210" s="306" t="s">
        <v>1778</v>
      </c>
      <c r="C2210" s="56">
        <v>45995</v>
      </c>
      <c r="D2210" s="43">
        <v>285</v>
      </c>
      <c r="G2210" t="s">
        <v>1911</v>
      </c>
    </row>
    <row r="2211" spans="1:7">
      <c r="A2211" s="311" t="s">
        <v>531</v>
      </c>
      <c r="B2211" s="311" t="s">
        <v>1617</v>
      </c>
      <c r="C2211" s="56">
        <v>45995</v>
      </c>
      <c r="D2211" s="43">
        <v>756</v>
      </c>
      <c r="G2211" t="s">
        <v>1911</v>
      </c>
    </row>
    <row r="2212" spans="1:7">
      <c r="A2212" s="315" t="s">
        <v>531</v>
      </c>
      <c r="B2212" s="315" t="s">
        <v>1707</v>
      </c>
      <c r="C2212" s="56">
        <v>45995</v>
      </c>
      <c r="F2212" s="311" t="s">
        <v>1928</v>
      </c>
      <c r="G2212" t="s">
        <v>1911</v>
      </c>
    </row>
    <row r="2213" spans="1:7">
      <c r="A2213" s="306" t="s">
        <v>434</v>
      </c>
      <c r="B2213" s="306" t="s">
        <v>128</v>
      </c>
      <c r="C2213" s="56">
        <v>45995</v>
      </c>
      <c r="D2213" s="155">
        <v>1431</v>
      </c>
      <c r="F2213" s="43" t="s">
        <v>1929</v>
      </c>
      <c r="G2213" t="s">
        <v>1911</v>
      </c>
    </row>
    <row r="2214" spans="1:7">
      <c r="A2214" s="311" t="s">
        <v>586</v>
      </c>
      <c r="B2214" s="311" t="s">
        <v>140</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592</v>
      </c>
      <c r="B2216" s="315" t="s">
        <v>1932</v>
      </c>
      <c r="C2216" s="56">
        <v>45995</v>
      </c>
      <c r="D2216" s="155">
        <v>1154</v>
      </c>
      <c r="F2216" s="43" t="s">
        <v>1933</v>
      </c>
      <c r="G2216" t="s">
        <v>1911</v>
      </c>
    </row>
    <row r="2217" spans="1:7">
      <c r="A2217" s="1094" t="s">
        <v>586</v>
      </c>
      <c r="B2217" s="1128" t="s">
        <v>140</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315</v>
      </c>
      <c r="B2220" s="306" t="s">
        <v>128</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128</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531</v>
      </c>
      <c r="B2224" s="950" t="s">
        <v>1778</v>
      </c>
      <c r="C2224" s="56">
        <v>45996</v>
      </c>
      <c r="D2224" s="43">
        <v>710</v>
      </c>
      <c r="G2224" t="s">
        <v>1911</v>
      </c>
    </row>
    <row r="2225" spans="1:7">
      <c r="A2225" s="950" t="s">
        <v>531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611</v>
      </c>
      <c r="B2228" s="1134" t="s">
        <v>1531</v>
      </c>
      <c r="C2228" s="56">
        <v>45996</v>
      </c>
      <c r="E2228" s="139">
        <v>446</v>
      </c>
      <c r="F2228" s="756"/>
      <c r="G2228" t="s">
        <v>1911</v>
      </c>
    </row>
    <row r="2229" spans="1:7">
      <c r="A2229" s="647" t="s">
        <v>617</v>
      </c>
      <c r="B2229" s="1134" t="s">
        <v>1531</v>
      </c>
      <c r="C2229" s="56">
        <v>45996</v>
      </c>
      <c r="E2229" s="139">
        <v>422</v>
      </c>
      <c r="F2229" s="1128"/>
      <c r="G2229" t="s">
        <v>1911</v>
      </c>
    </row>
    <row r="2230" spans="1:7">
      <c r="A2230" s="647" t="s">
        <v>617</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128</v>
      </c>
      <c r="C2233" s="56">
        <v>45996</v>
      </c>
      <c r="E2233" s="139">
        <v>636</v>
      </c>
      <c r="F2233" s="950"/>
      <c r="G2233" t="s">
        <v>1911</v>
      </c>
    </row>
    <row r="2234" spans="1:7">
      <c r="A2234" s="311" t="s">
        <v>485</v>
      </c>
      <c r="B2234" s="759" t="s">
        <v>128</v>
      </c>
      <c r="C2234" s="56">
        <v>45996</v>
      </c>
      <c r="F2234" s="759" t="s">
        <v>1941</v>
      </c>
      <c r="G2234" t="s">
        <v>1911</v>
      </c>
    </row>
    <row r="2235" spans="1:7">
      <c r="A2235" s="148" t="s">
        <v>1156</v>
      </c>
      <c r="B2235" s="148" t="s">
        <v>1778</v>
      </c>
      <c r="C2235" s="56">
        <v>45999</v>
      </c>
      <c r="F2235" s="43" t="s">
        <v>1369</v>
      </c>
      <c r="G2235" t="s">
        <v>1911</v>
      </c>
    </row>
    <row r="2236" spans="1:7">
      <c r="A2236" s="148" t="s">
        <v>531</v>
      </c>
      <c r="B2236" s="148" t="s">
        <v>1778</v>
      </c>
      <c r="C2236" s="56">
        <v>45999</v>
      </c>
      <c r="F2236" s="759" t="s">
        <v>1369</v>
      </c>
      <c r="G2236" t="s">
        <v>1911</v>
      </c>
    </row>
    <row r="2237" spans="1:7">
      <c r="A2237" s="148" t="s">
        <v>531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614</v>
      </c>
      <c r="B2240" s="1141" t="s">
        <v>1531</v>
      </c>
      <c r="C2240" s="56">
        <v>45999</v>
      </c>
      <c r="F2240" s="311" t="s">
        <v>1944</v>
      </c>
      <c r="G2240" t="s">
        <v>1911</v>
      </c>
    </row>
    <row r="2241" spans="1:7">
      <c r="A2241" s="1094" t="s">
        <v>586</v>
      </c>
      <c r="B2241" s="1141" t="s">
        <v>140</v>
      </c>
      <c r="C2241" s="56">
        <v>45999</v>
      </c>
      <c r="D2241" s="155">
        <v>1172</v>
      </c>
      <c r="E2241" s="201"/>
      <c r="F2241" s="115" t="s">
        <v>1945</v>
      </c>
      <c r="G2241" t="s">
        <v>1911</v>
      </c>
    </row>
    <row r="2242" spans="1:7">
      <c r="A2242" s="1140" t="s">
        <v>434</v>
      </c>
      <c r="B2242" s="1141" t="s">
        <v>128</v>
      </c>
      <c r="C2242" s="56">
        <v>45999</v>
      </c>
      <c r="D2242" s="321">
        <v>1583</v>
      </c>
      <c r="E2242" s="43"/>
      <c r="F2242" s="43" t="s">
        <v>1946</v>
      </c>
      <c r="G2242" t="s">
        <v>1911</v>
      </c>
    </row>
    <row r="2243" spans="1:7">
      <c r="A2243" s="247" t="s">
        <v>592</v>
      </c>
      <c r="B2243" s="1141" t="s">
        <v>128</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128</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531</v>
      </c>
      <c r="B2248" s="148" t="s">
        <v>1778</v>
      </c>
      <c r="C2248" s="56">
        <v>46000</v>
      </c>
      <c r="F2248" s="311" t="s">
        <v>1369</v>
      </c>
      <c r="G2248" t="s">
        <v>1911</v>
      </c>
    </row>
    <row r="2249" spans="1:7">
      <c r="A2249" s="148" t="s">
        <v>531</v>
      </c>
      <c r="B2249" s="148" t="s">
        <v>1617</v>
      </c>
      <c r="C2249" s="56">
        <v>46000</v>
      </c>
      <c r="D2249" s="43">
        <v>442</v>
      </c>
      <c r="F2249" s="43" t="s">
        <v>1950</v>
      </c>
      <c r="G2249" t="s">
        <v>1911</v>
      </c>
    </row>
    <row r="2250" spans="1:7">
      <c r="A2250" s="148" t="s">
        <v>531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128</v>
      </c>
      <c r="C2253" s="310">
        <v>46000</v>
      </c>
      <c r="D2253" s="155">
        <v>1325</v>
      </c>
      <c r="F2253" s="43" t="s">
        <v>1902</v>
      </c>
      <c r="G2253" t="s">
        <v>1911</v>
      </c>
    </row>
    <row r="2254" spans="1:7">
      <c r="A2254" s="1140" t="s">
        <v>592</v>
      </c>
      <c r="B2254" s="43" t="s">
        <v>1531</v>
      </c>
      <c r="C2254" s="310">
        <v>46000</v>
      </c>
      <c r="E2254" s="139">
        <v>540</v>
      </c>
      <c r="G2254" t="s">
        <v>1911</v>
      </c>
    </row>
    <row r="2255" spans="1:7">
      <c r="A2255" s="805" t="s">
        <v>583</v>
      </c>
      <c r="B2255" s="247" t="s">
        <v>140</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128</v>
      </c>
      <c r="C2258" s="56">
        <v>46000</v>
      </c>
      <c r="D2258" s="155">
        <v>1980</v>
      </c>
      <c r="F2258" s="43" t="s">
        <v>1955</v>
      </c>
      <c r="G2258" t="s">
        <v>1911</v>
      </c>
    </row>
    <row r="2259" spans="1:7">
      <c r="A2259" s="404" t="s">
        <v>505</v>
      </c>
      <c r="B2259" s="173" t="s">
        <v>128</v>
      </c>
      <c r="C2259" s="56">
        <v>46000</v>
      </c>
      <c r="D2259" s="155">
        <v>3343</v>
      </c>
      <c r="G2259" t="s">
        <v>1911</v>
      </c>
    </row>
    <row r="2260" spans="1:7">
      <c r="A2260" s="161" t="s">
        <v>453</v>
      </c>
      <c r="B2260" s="139" t="s">
        <v>128</v>
      </c>
      <c r="C2260" s="56">
        <v>46000</v>
      </c>
      <c r="D2260" s="155">
        <v>2203</v>
      </c>
      <c r="F2260" s="43" t="s">
        <v>1173</v>
      </c>
      <c r="G2260" t="s">
        <v>1911</v>
      </c>
    </row>
    <row r="2261" spans="1:7">
      <c r="A2261" s="955" t="s">
        <v>323</v>
      </c>
      <c r="B2261" s="139" t="s">
        <v>128</v>
      </c>
      <c r="C2261" s="56">
        <v>46000</v>
      </c>
      <c r="D2261" s="155">
        <v>1111</v>
      </c>
      <c r="G2261" t="s">
        <v>1911</v>
      </c>
    </row>
    <row r="2262" spans="1:7">
      <c r="A2262" s="404" t="s">
        <v>508</v>
      </c>
      <c r="B2262" s="173" t="s">
        <v>128</v>
      </c>
      <c r="C2262" s="56">
        <v>46000</v>
      </c>
      <c r="D2262" s="155">
        <v>1743</v>
      </c>
      <c r="G2262" t="s">
        <v>1911</v>
      </c>
    </row>
    <row r="2263" spans="1:7">
      <c r="A2263" s="950" t="s">
        <v>1156</v>
      </c>
      <c r="B2263" s="950" t="s">
        <v>1778</v>
      </c>
      <c r="C2263" s="56">
        <v>46001</v>
      </c>
      <c r="D2263" s="43">
        <v>542</v>
      </c>
      <c r="F2263" s="43" t="s">
        <v>1956</v>
      </c>
      <c r="G2263" t="s">
        <v>1911</v>
      </c>
    </row>
    <row r="2264" spans="1:7">
      <c r="A2264" s="950" t="s">
        <v>531</v>
      </c>
      <c r="B2264" s="950" t="s">
        <v>1778</v>
      </c>
      <c r="C2264" s="56">
        <v>46001</v>
      </c>
      <c r="F2264" s="782" t="s">
        <v>1369</v>
      </c>
      <c r="G2264" t="s">
        <v>1911</v>
      </c>
    </row>
    <row r="2265" spans="1:7">
      <c r="A2265" s="759" t="s">
        <v>531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128</v>
      </c>
      <c r="C2268" s="56">
        <v>46001</v>
      </c>
      <c r="D2268" s="43">
        <v>621</v>
      </c>
      <c r="F2268" s="43" t="s">
        <v>1958</v>
      </c>
      <c r="G2268" t="s">
        <v>1911</v>
      </c>
    </row>
    <row r="2269" spans="1:7">
      <c r="A2269" s="744" t="s">
        <v>583</v>
      </c>
      <c r="B2269" s="759" t="s">
        <v>140</v>
      </c>
      <c r="C2269" s="56">
        <v>46001</v>
      </c>
      <c r="D2269" s="155">
        <v>1084</v>
      </c>
      <c r="F2269" s="43" t="s">
        <v>1959</v>
      </c>
      <c r="G2269" t="s">
        <v>1911</v>
      </c>
    </row>
    <row r="2270" spans="1:7">
      <c r="A2270" s="930" t="s">
        <v>614</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128</v>
      </c>
      <c r="C2273" s="56">
        <v>46001</v>
      </c>
      <c r="D2273" s="155">
        <v>1251</v>
      </c>
      <c r="G2273" t="s">
        <v>1911</v>
      </c>
    </row>
    <row r="2274" spans="1:7">
      <c r="A2274" s="1144" t="s">
        <v>505</v>
      </c>
      <c r="B2274" s="1128" t="s">
        <v>128</v>
      </c>
      <c r="C2274" s="56">
        <v>46001</v>
      </c>
      <c r="D2274" s="43">
        <v>931</v>
      </c>
      <c r="G2274" t="s">
        <v>1911</v>
      </c>
    </row>
    <row r="2275" spans="1:7">
      <c r="A2275" s="756" t="s">
        <v>508</v>
      </c>
      <c r="B2275" s="1003" t="s">
        <v>128</v>
      </c>
      <c r="C2275" s="56">
        <v>46001</v>
      </c>
      <c r="D2275" s="43">
        <v>522</v>
      </c>
      <c r="G2275" t="s">
        <v>1911</v>
      </c>
    </row>
    <row r="2276" spans="1:7">
      <c r="A2276" s="756" t="s">
        <v>512</v>
      </c>
      <c r="B2276" s="731" t="s">
        <v>128</v>
      </c>
      <c r="C2276" s="56">
        <v>46001</v>
      </c>
      <c r="D2276" s="43">
        <v>91</v>
      </c>
      <c r="G2276" t="s">
        <v>1911</v>
      </c>
    </row>
    <row r="2277" spans="1:7">
      <c r="A2277" s="756" t="s">
        <v>453</v>
      </c>
      <c r="B2277" s="1063" t="s">
        <v>128</v>
      </c>
      <c r="C2277" s="56">
        <v>46001</v>
      </c>
      <c r="E2277" s="321">
        <v>3674</v>
      </c>
      <c r="F2277" s="43" t="s">
        <v>1962</v>
      </c>
      <c r="G2277" t="s">
        <v>1911</v>
      </c>
    </row>
    <row r="2278" spans="1:7">
      <c r="A2278" s="756" t="s">
        <v>323</v>
      </c>
      <c r="B2278" s="731" t="s">
        <v>128</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531</v>
      </c>
      <c r="B2281" s="148" t="s">
        <v>1778</v>
      </c>
      <c r="C2281" s="56">
        <v>46002</v>
      </c>
      <c r="F2281" s="782" t="s">
        <v>1369</v>
      </c>
      <c r="G2281" t="s">
        <v>1911</v>
      </c>
    </row>
    <row r="2282" spans="1:7">
      <c r="A2282" s="148" t="s">
        <v>531</v>
      </c>
      <c r="B2282" s="148" t="s">
        <v>1617</v>
      </c>
      <c r="C2282" s="56">
        <v>46002</v>
      </c>
      <c r="F2282" s="311" t="s">
        <v>1965</v>
      </c>
      <c r="G2282" t="s">
        <v>1911</v>
      </c>
    </row>
    <row r="2283" spans="1:7">
      <c r="A2283" s="148" t="s">
        <v>531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577</v>
      </c>
      <c r="B2285" s="1141" t="s">
        <v>140</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128</v>
      </c>
      <c r="C2287" s="56">
        <v>46002</v>
      </c>
      <c r="D2287" s="155">
        <v>3172</v>
      </c>
      <c r="G2287" t="s">
        <v>1911</v>
      </c>
    </row>
    <row r="2288" spans="1:7">
      <c r="A2288" s="1146" t="s">
        <v>487</v>
      </c>
      <c r="B2288" s="69" t="s">
        <v>128</v>
      </c>
      <c r="C2288" s="56">
        <v>46002</v>
      </c>
      <c r="D2288" s="43">
        <v>242</v>
      </c>
      <c r="F2288" s="43" t="s">
        <v>1969</v>
      </c>
      <c r="G2288" t="s">
        <v>1911</v>
      </c>
    </row>
    <row r="2289" spans="1:7">
      <c r="A2289" s="395" t="s">
        <v>508</v>
      </c>
      <c r="B2289" s="43" t="s">
        <v>128</v>
      </c>
      <c r="C2289" s="56">
        <v>46002</v>
      </c>
      <c r="D2289" s="155">
        <v>1194</v>
      </c>
      <c r="G2289" t="s">
        <v>1911</v>
      </c>
    </row>
    <row r="2290" spans="1:7">
      <c r="A2290" s="1147" t="s">
        <v>323</v>
      </c>
      <c r="B2290" s="115" t="s">
        <v>128</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531</v>
      </c>
      <c r="B2293" s="950" t="s">
        <v>1778</v>
      </c>
      <c r="C2293" s="56">
        <v>46003</v>
      </c>
      <c r="D2293" s="43">
        <v>706</v>
      </c>
      <c r="G2293" t="s">
        <v>1911</v>
      </c>
    </row>
    <row r="2294" spans="1:7">
      <c r="A2294" s="759" t="s">
        <v>531</v>
      </c>
      <c r="B2294" s="759" t="s">
        <v>1803</v>
      </c>
      <c r="C2294" s="56">
        <v>46003</v>
      </c>
      <c r="F2294" s="759" t="s">
        <v>1971</v>
      </c>
      <c r="G2294" t="s">
        <v>1911</v>
      </c>
    </row>
    <row r="2295" spans="1:7">
      <c r="A2295" s="950" t="s">
        <v>531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297</v>
      </c>
      <c r="B2297" s="759" t="s">
        <v>1531</v>
      </c>
      <c r="C2297" s="56">
        <v>46003</v>
      </c>
      <c r="D2297" s="155">
        <v>1832</v>
      </c>
      <c r="F2297" s="43" t="s">
        <v>1974</v>
      </c>
      <c r="G2297" t="s">
        <v>1911</v>
      </c>
    </row>
    <row r="2298" spans="1:7">
      <c r="A2298" s="1128" t="s">
        <v>487</v>
      </c>
      <c r="B2298" s="1128" t="s">
        <v>128</v>
      </c>
      <c r="C2298" s="56">
        <v>46003</v>
      </c>
      <c r="F2298" s="337" t="s">
        <v>1975</v>
      </c>
      <c r="G2298" t="s">
        <v>1911</v>
      </c>
    </row>
    <row r="2299" spans="1:7">
      <c r="A2299" s="1144" t="s">
        <v>508</v>
      </c>
      <c r="B2299" s="1144" t="s">
        <v>128</v>
      </c>
      <c r="C2299" s="56">
        <v>46003</v>
      </c>
      <c r="D2299" s="155">
        <v>2811</v>
      </c>
      <c r="G2299" t="s">
        <v>1911</v>
      </c>
    </row>
    <row r="2300" spans="1:7">
      <c r="A2300" s="756" t="s">
        <v>323</v>
      </c>
      <c r="B2300" s="759" t="s">
        <v>128</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531</v>
      </c>
      <c r="B2303" s="148" t="s">
        <v>1778</v>
      </c>
      <c r="C2303" s="56">
        <v>46006</v>
      </c>
      <c r="D2303" s="43">
        <v>735</v>
      </c>
      <c r="G2303" t="s">
        <v>1911</v>
      </c>
    </row>
    <row r="2304" spans="1:7">
      <c r="A2304" s="148" t="s">
        <v>531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577</v>
      </c>
      <c r="B2306" s="1142" t="s">
        <v>140</v>
      </c>
      <c r="C2306" s="56">
        <v>46006</v>
      </c>
      <c r="D2306" s="43">
        <v>689</v>
      </c>
      <c r="F2306" s="43" t="s">
        <v>1979</v>
      </c>
      <c r="G2306" t="s">
        <v>1911</v>
      </c>
    </row>
    <row r="2307" spans="1:7">
      <c r="A2307" s="1094" t="s">
        <v>567</v>
      </c>
      <c r="B2307" s="247" t="s">
        <v>128</v>
      </c>
      <c r="C2307" s="310">
        <v>46006</v>
      </c>
      <c r="D2307" s="155">
        <v>1095</v>
      </c>
      <c r="G2307" t="s">
        <v>1911</v>
      </c>
    </row>
    <row r="2308" spans="1:7">
      <c r="A2308" s="1339" t="s">
        <v>589</v>
      </c>
      <c r="B2308" s="43" t="s">
        <v>128</v>
      </c>
      <c r="C2308" s="310">
        <v>46006</v>
      </c>
      <c r="D2308" s="155">
        <v>1344</v>
      </c>
      <c r="F2308" s="43" t="s">
        <v>1980</v>
      </c>
      <c r="G2308" t="s">
        <v>1911</v>
      </c>
    </row>
    <row r="2309" spans="1:7">
      <c r="A2309" s="1339" t="s">
        <v>614</v>
      </c>
      <c r="B2309" s="43" t="s">
        <v>128</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128</v>
      </c>
      <c r="C2311" s="56">
        <v>46006</v>
      </c>
      <c r="D2311" s="43">
        <v>29</v>
      </c>
      <c r="E2311" s="201"/>
      <c r="F2311" s="115"/>
      <c r="G2311" t="s">
        <v>1911</v>
      </c>
    </row>
    <row r="2312" spans="1:7">
      <c r="A2312" s="1146" t="s">
        <v>462</v>
      </c>
      <c r="B2312" s="69" t="s">
        <v>128</v>
      </c>
      <c r="C2312" s="56">
        <v>46006</v>
      </c>
      <c r="D2312" s="139"/>
      <c r="E2312" s="43"/>
      <c r="F2312" s="756" t="s">
        <v>1392</v>
      </c>
      <c r="G2312" t="s">
        <v>1911</v>
      </c>
    </row>
    <row r="2313" spans="1:7">
      <c r="A2313" s="1146" t="s">
        <v>493</v>
      </c>
      <c r="B2313" s="69" t="s">
        <v>128</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531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577</v>
      </c>
      <c r="B2318" s="1141" t="s">
        <v>140</v>
      </c>
      <c r="C2318" s="56">
        <v>46007</v>
      </c>
      <c r="D2318" s="43">
        <v>586</v>
      </c>
      <c r="F2318" s="43" t="s">
        <v>1986</v>
      </c>
      <c r="G2318" t="s">
        <v>1911</v>
      </c>
    </row>
    <row r="2319" spans="1:7">
      <c r="A2319" s="1094" t="s">
        <v>567</v>
      </c>
      <c r="B2319" s="1141" t="s">
        <v>128</v>
      </c>
      <c r="C2319" s="56">
        <v>46007</v>
      </c>
      <c r="D2319" s="155">
        <v>1676</v>
      </c>
      <c r="F2319" s="43" t="s">
        <v>1987</v>
      </c>
      <c r="G2319" t="s">
        <v>1911</v>
      </c>
    </row>
    <row r="2320" spans="1:7">
      <c r="A2320" s="1140" t="s">
        <v>589</v>
      </c>
      <c r="B2320" t="s">
        <v>128</v>
      </c>
      <c r="C2320" s="56">
        <v>46007</v>
      </c>
      <c r="D2320" s="155">
        <v>1583</v>
      </c>
      <c r="F2320" s="43" t="s">
        <v>1988</v>
      </c>
      <c r="G2320" t="s">
        <v>1911</v>
      </c>
    </row>
    <row r="2321" spans="1:7">
      <c r="A2321" s="432" t="s">
        <v>219</v>
      </c>
      <c r="B2321" s="371" t="s">
        <v>220</v>
      </c>
      <c r="C2321" s="56">
        <v>46007</v>
      </c>
      <c r="D2321" s="43">
        <v>890</v>
      </c>
      <c r="F2321" s="43" t="s">
        <v>1989</v>
      </c>
      <c r="G2321" t="s">
        <v>1911</v>
      </c>
    </row>
    <row r="2322" spans="1:7">
      <c r="A2322" s="43" t="s">
        <v>297</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128</v>
      </c>
      <c r="C2324" s="56">
        <v>46007</v>
      </c>
      <c r="F2324" s="337" t="s">
        <v>1991</v>
      </c>
      <c r="G2324" t="s">
        <v>1911</v>
      </c>
    </row>
    <row r="2325" spans="1:7">
      <c r="A2325" s="69" t="s">
        <v>502</v>
      </c>
      <c r="B2325" s="69" t="s">
        <v>128</v>
      </c>
      <c r="C2325" s="56">
        <v>46007</v>
      </c>
      <c r="D2325" s="155">
        <v>1617</v>
      </c>
      <c r="G2325" t="s">
        <v>1911</v>
      </c>
    </row>
    <row r="2326" spans="1:7">
      <c r="A2326" s="148" t="s">
        <v>1156</v>
      </c>
      <c r="B2326" s="148" t="s">
        <v>1778</v>
      </c>
      <c r="C2326" s="56">
        <v>46008</v>
      </c>
      <c r="D2326" s="43">
        <v>743</v>
      </c>
      <c r="G2326" t="s">
        <v>1911</v>
      </c>
    </row>
    <row r="2327" spans="1:7">
      <c r="A2327" s="148" t="s">
        <v>531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531</v>
      </c>
      <c r="B2329" s="115" t="s">
        <v>1707</v>
      </c>
      <c r="C2329" s="56">
        <v>46008</v>
      </c>
      <c r="F2329" s="925" t="s">
        <v>1993</v>
      </c>
      <c r="G2329" t="s">
        <v>1911</v>
      </c>
    </row>
    <row r="2330" spans="1:7">
      <c r="A2330" s="148" t="s">
        <v>531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577</v>
      </c>
      <c r="B2332" s="1141" t="s">
        <v>140</v>
      </c>
      <c r="C2332" s="56">
        <v>46008</v>
      </c>
      <c r="D2332" s="43">
        <v>199</v>
      </c>
      <c r="F2332" s="43" t="s">
        <v>1994</v>
      </c>
      <c r="G2332" t="s">
        <v>1911</v>
      </c>
    </row>
    <row r="2333" spans="1:7">
      <c r="A2333" s="1094" t="s">
        <v>567</v>
      </c>
      <c r="B2333" s="1141" t="s">
        <v>128</v>
      </c>
      <c r="C2333" s="56">
        <v>46008</v>
      </c>
      <c r="D2333" s="155">
        <v>1139</v>
      </c>
      <c r="F2333" s="43" t="s">
        <v>1995</v>
      </c>
      <c r="G2333" t="s">
        <v>1911</v>
      </c>
    </row>
    <row r="2334" spans="1:7">
      <c r="A2334" s="1140" t="s">
        <v>589</v>
      </c>
      <c r="B2334" t="s">
        <v>128</v>
      </c>
      <c r="C2334" s="56">
        <v>46008</v>
      </c>
      <c r="D2334" s="155">
        <v>1027</v>
      </c>
      <c r="F2334" s="43" t="s">
        <v>1996</v>
      </c>
      <c r="G2334" t="s">
        <v>1911</v>
      </c>
    </row>
    <row r="2335" spans="1:7">
      <c r="A2335" s="1347" t="s">
        <v>586</v>
      </c>
      <c r="B2335" s="1141" t="s">
        <v>140</v>
      </c>
      <c r="C2335" s="56">
        <v>46008</v>
      </c>
      <c r="D2335" s="43">
        <v>163</v>
      </c>
      <c r="F2335" s="43" t="s">
        <v>1997</v>
      </c>
      <c r="G2335" t="s">
        <v>1911</v>
      </c>
    </row>
    <row r="2336" spans="1:7">
      <c r="A2336" s="432" t="s">
        <v>219</v>
      </c>
      <c r="B2336" s="371" t="s">
        <v>220</v>
      </c>
      <c r="C2336" s="56">
        <v>46008</v>
      </c>
      <c r="D2336" s="155">
        <v>1810</v>
      </c>
      <c r="F2336" s="43" t="s">
        <v>1998</v>
      </c>
      <c r="G2336" t="s">
        <v>1911</v>
      </c>
    </row>
    <row r="2337" spans="1:7">
      <c r="A2337" s="43" t="s">
        <v>297</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128</v>
      </c>
      <c r="C2339" s="56">
        <v>46008</v>
      </c>
      <c r="D2339" s="43">
        <v>320</v>
      </c>
      <c r="G2339" t="s">
        <v>1911</v>
      </c>
    </row>
    <row r="2340" spans="1:7">
      <c r="A2340" s="148" t="s">
        <v>502</v>
      </c>
      <c r="B2340" s="148" t="s">
        <v>128</v>
      </c>
      <c r="C2340" s="56">
        <v>46008</v>
      </c>
      <c r="D2340" s="155">
        <v>1083</v>
      </c>
      <c r="G2340" t="s">
        <v>1911</v>
      </c>
    </row>
    <row r="2341" spans="1:7">
      <c r="A2341" s="148" t="s">
        <v>487</v>
      </c>
      <c r="B2341" s="148" t="s">
        <v>128</v>
      </c>
      <c r="C2341" s="56">
        <v>46008</v>
      </c>
      <c r="F2341" s="311" t="s">
        <v>1181</v>
      </c>
      <c r="G2341" t="s">
        <v>1911</v>
      </c>
    </row>
    <row r="2342" spans="1:7">
      <c r="A2342" s="1146" t="s">
        <v>320</v>
      </c>
      <c r="B2342" s="69" t="s">
        <v>128</v>
      </c>
      <c r="C2342" s="56">
        <v>46008</v>
      </c>
      <c r="D2342" s="43">
        <v>372</v>
      </c>
      <c r="G2342" t="s">
        <v>1911</v>
      </c>
    </row>
    <row r="2343" spans="1:7">
      <c r="A2343" s="1146" t="s">
        <v>333</v>
      </c>
      <c r="B2343" s="69" t="s">
        <v>128</v>
      </c>
      <c r="C2343" s="56">
        <v>46008</v>
      </c>
      <c r="D2343" s="43">
        <v>95</v>
      </c>
      <c r="G2343" t="s">
        <v>1911</v>
      </c>
    </row>
    <row r="2344" spans="1:7">
      <c r="A2344" s="1146" t="s">
        <v>508</v>
      </c>
      <c r="B2344" s="69" t="s">
        <v>128</v>
      </c>
      <c r="C2344" s="56">
        <v>46008</v>
      </c>
      <c r="D2344" s="155">
        <v>1049</v>
      </c>
      <c r="G2344" t="s">
        <v>1911</v>
      </c>
    </row>
    <row r="2345" spans="1:7">
      <c r="A2345" s="148" t="s">
        <v>485</v>
      </c>
      <c r="B2345" s="148" t="s">
        <v>128</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531</v>
      </c>
      <c r="B2349" s="306" t="s">
        <v>1707</v>
      </c>
      <c r="C2349" s="56">
        <v>46009</v>
      </c>
      <c r="D2349" s="139"/>
      <c r="E2349" s="43"/>
      <c r="F2349" s="154" t="s">
        <v>1899</v>
      </c>
      <c r="G2349" t="s">
        <v>1911</v>
      </c>
    </row>
    <row r="2350" spans="1:7">
      <c r="A2350" s="317" t="s">
        <v>531</v>
      </c>
      <c r="B2350" s="141" t="s">
        <v>1617</v>
      </c>
      <c r="C2350" s="56">
        <v>46009</v>
      </c>
      <c r="D2350" s="139"/>
      <c r="E2350" s="43"/>
      <c r="F2350" s="154" t="s">
        <v>1899</v>
      </c>
      <c r="G2350" t="s">
        <v>1911</v>
      </c>
    </row>
    <row r="2351" spans="1:7">
      <c r="A2351" s="317" t="s">
        <v>531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577</v>
      </c>
      <c r="B2353" s="307" t="s">
        <v>140</v>
      </c>
      <c r="C2353" s="56">
        <v>46009</v>
      </c>
      <c r="F2353" s="304" t="s">
        <v>1823</v>
      </c>
      <c r="G2353" t="s">
        <v>1911</v>
      </c>
    </row>
    <row r="2354" spans="1:7">
      <c r="A2354" s="802" t="s">
        <v>589</v>
      </c>
      <c r="B2354" s="346" t="s">
        <v>128</v>
      </c>
      <c r="C2354" s="56">
        <v>46009</v>
      </c>
      <c r="D2354" s="155">
        <v>1596</v>
      </c>
      <c r="F2354" s="43" t="s">
        <v>2002</v>
      </c>
      <c r="G2354" t="s">
        <v>1911</v>
      </c>
    </row>
    <row r="2355" spans="1:7">
      <c r="A2355" s="349" t="s">
        <v>583</v>
      </c>
      <c r="B2355" s="387" t="s">
        <v>140</v>
      </c>
      <c r="C2355" s="56">
        <v>46009</v>
      </c>
      <c r="F2355" s="304" t="s">
        <v>1823</v>
      </c>
      <c r="G2355" t="s">
        <v>1911</v>
      </c>
    </row>
    <row r="2356" spans="1:7">
      <c r="A2356" s="349" t="s">
        <v>586</v>
      </c>
      <c r="B2356" s="307" t="s">
        <v>140</v>
      </c>
      <c r="C2356" s="56">
        <v>46009</v>
      </c>
      <c r="F2356" s="304" t="s">
        <v>1823</v>
      </c>
      <c r="G2356" t="s">
        <v>1911</v>
      </c>
    </row>
    <row r="2357" spans="1:7">
      <c r="A2357" s="348" t="s">
        <v>631</v>
      </c>
      <c r="B2357" s="346" t="s">
        <v>128</v>
      </c>
      <c r="C2357" s="56">
        <v>46009</v>
      </c>
      <c r="D2357" s="155">
        <v>1568</v>
      </c>
      <c r="G2357" t="s">
        <v>1911</v>
      </c>
    </row>
    <row r="2358" spans="1:7">
      <c r="A2358" s="141" t="s">
        <v>297</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219</v>
      </c>
      <c r="B2360" s="141" t="s">
        <v>1531</v>
      </c>
      <c r="C2360" s="310">
        <v>46009</v>
      </c>
      <c r="D2360" s="155">
        <v>967</v>
      </c>
      <c r="F2360" s="43" t="s">
        <v>2005</v>
      </c>
    </row>
    <row r="2361" spans="1:7">
      <c r="A2361" s="141" t="s">
        <v>512</v>
      </c>
      <c r="B2361" s="141" t="s">
        <v>128</v>
      </c>
      <c r="C2361" s="310">
        <v>46009</v>
      </c>
      <c r="D2361" s="43">
        <v>652</v>
      </c>
      <c r="G2361" t="s">
        <v>1911</v>
      </c>
    </row>
    <row r="2362" spans="1:7">
      <c r="A2362" s="304" t="s">
        <v>515</v>
      </c>
      <c r="B2362" s="304" t="s">
        <v>128</v>
      </c>
      <c r="C2362" s="56">
        <v>46009</v>
      </c>
      <c r="D2362" s="43">
        <v>396</v>
      </c>
      <c r="G2362" t="s">
        <v>1911</v>
      </c>
    </row>
    <row r="2363" spans="1:7">
      <c r="A2363" s="305" t="s">
        <v>502</v>
      </c>
      <c r="B2363" s="305" t="s">
        <v>128</v>
      </c>
      <c r="C2363" s="56">
        <v>46009</v>
      </c>
      <c r="D2363" s="155">
        <v>1905</v>
      </c>
      <c r="G2363" t="s">
        <v>1911</v>
      </c>
    </row>
    <row r="2364" spans="1:7">
      <c r="A2364" s="306" t="s">
        <v>333</v>
      </c>
      <c r="B2364" s="306" t="s">
        <v>128</v>
      </c>
      <c r="C2364" s="56">
        <v>46009</v>
      </c>
      <c r="D2364" s="43">
        <v>881</v>
      </c>
      <c r="G2364" t="s">
        <v>1911</v>
      </c>
    </row>
    <row r="2365" spans="1:7">
      <c r="A2365" s="141" t="s">
        <v>326</v>
      </c>
      <c r="B2365" s="141" t="s">
        <v>128</v>
      </c>
      <c r="C2365" s="310">
        <v>46009</v>
      </c>
      <c r="D2365" s="155">
        <v>3028</v>
      </c>
      <c r="F2365" s="43" t="s">
        <v>2006</v>
      </c>
      <c r="G2365" t="s">
        <v>1911</v>
      </c>
    </row>
    <row r="2366" spans="1:7">
      <c r="A2366" s="247" t="s">
        <v>485</v>
      </c>
      <c r="B2366" s="141" t="s">
        <v>128</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531</v>
      </c>
      <c r="B2370" s="141" t="s">
        <v>1707</v>
      </c>
      <c r="C2370" s="310">
        <v>46010</v>
      </c>
      <c r="D2370" s="139"/>
      <c r="E2370" s="43"/>
      <c r="F2370" s="154" t="s">
        <v>1899</v>
      </c>
      <c r="G2370" t="s">
        <v>1911</v>
      </c>
    </row>
    <row r="2371" spans="1:7">
      <c r="A2371" s="348" t="s">
        <v>531</v>
      </c>
      <c r="B2371" s="304" t="s">
        <v>1617</v>
      </c>
      <c r="C2371" s="56">
        <v>46010</v>
      </c>
      <c r="D2371" s="139"/>
      <c r="E2371" s="43"/>
      <c r="F2371" s="154" t="s">
        <v>1899</v>
      </c>
      <c r="G2371" t="s">
        <v>1911</v>
      </c>
    </row>
    <row r="2372" spans="1:7">
      <c r="A2372" s="317" t="s">
        <v>531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577</v>
      </c>
      <c r="B2374" s="141" t="s">
        <v>140</v>
      </c>
      <c r="C2374" s="310">
        <v>46010</v>
      </c>
      <c r="E2374" s="139">
        <v>765</v>
      </c>
      <c r="G2374" t="s">
        <v>1911</v>
      </c>
    </row>
    <row r="2375" spans="1:7">
      <c r="A2375" s="805" t="s">
        <v>567</v>
      </c>
      <c r="B2375" s="141" t="s">
        <v>128</v>
      </c>
      <c r="C2375" s="310">
        <v>46010</v>
      </c>
      <c r="E2375" s="139">
        <v>883</v>
      </c>
      <c r="F2375" s="311" t="s">
        <v>2010</v>
      </c>
      <c r="G2375" t="s">
        <v>1911</v>
      </c>
    </row>
    <row r="2376" spans="1:7">
      <c r="A2376" s="141" t="s">
        <v>583</v>
      </c>
      <c r="B2376" s="141" t="s">
        <v>140</v>
      </c>
      <c r="C2376" s="310">
        <v>46010</v>
      </c>
      <c r="E2376" s="139">
        <v>765</v>
      </c>
      <c r="G2376" t="s">
        <v>1911</v>
      </c>
    </row>
    <row r="2377" spans="1:7">
      <c r="A2377" s="141" t="s">
        <v>586</v>
      </c>
      <c r="B2377" s="141" t="s">
        <v>140</v>
      </c>
      <c r="C2377" s="310">
        <v>46010</v>
      </c>
      <c r="E2377" s="139">
        <v>560</v>
      </c>
      <c r="G2377" t="s">
        <v>1911</v>
      </c>
    </row>
    <row r="2378" spans="1:7">
      <c r="A2378" s="169" t="s">
        <v>297</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320</v>
      </c>
      <c r="B2380" s="1352" t="s">
        <v>128</v>
      </c>
      <c r="C2380" s="56">
        <v>46010</v>
      </c>
      <c r="D2380" s="43">
        <v>582</v>
      </c>
      <c r="G2380" t="s">
        <v>1911</v>
      </c>
    </row>
    <row r="2381" spans="1:7">
      <c r="A2381" s="1351" t="s">
        <v>502</v>
      </c>
      <c r="B2381" s="1352" t="s">
        <v>128</v>
      </c>
      <c r="C2381" s="56">
        <v>46010</v>
      </c>
      <c r="D2381" s="155">
        <v>2064</v>
      </c>
      <c r="G2381" t="s">
        <v>1911</v>
      </c>
    </row>
    <row r="2382" spans="1:7">
      <c r="A2382" s="1351" t="s">
        <v>326</v>
      </c>
      <c r="B2382" s="1352" t="s">
        <v>128</v>
      </c>
      <c r="C2382" s="56">
        <v>46010</v>
      </c>
      <c r="D2382" s="155">
        <v>1683</v>
      </c>
      <c r="G2382" t="s">
        <v>1911</v>
      </c>
    </row>
    <row r="2383" spans="1:7">
      <c r="A2383" s="1351" t="s">
        <v>323</v>
      </c>
      <c r="B2383" s="1352" t="s">
        <v>128</v>
      </c>
      <c r="C2383" s="56">
        <v>46010</v>
      </c>
      <c r="D2383" s="155">
        <v>1235</v>
      </c>
      <c r="G2383" t="s">
        <v>1911</v>
      </c>
    </row>
    <row r="2384" spans="1:7">
      <c r="A2384" s="1351" t="s">
        <v>499</v>
      </c>
      <c r="B2384" s="1352" t="s">
        <v>128</v>
      </c>
      <c r="C2384" s="56">
        <v>46010</v>
      </c>
      <c r="F2384" s="43" t="s">
        <v>2013</v>
      </c>
      <c r="G2384" t="s">
        <v>1911</v>
      </c>
    </row>
    <row r="2385" spans="1:7">
      <c r="A2385" s="1351" t="s">
        <v>512</v>
      </c>
      <c r="B2385" s="1352" t="s">
        <v>128</v>
      </c>
      <c r="C2385" s="56">
        <v>46010</v>
      </c>
      <c r="D2385" s="43">
        <v>780</v>
      </c>
      <c r="E2385" s="201"/>
      <c r="F2385" s="115"/>
      <c r="G2385" t="s">
        <v>1911</v>
      </c>
    </row>
    <row r="2386" spans="1:7">
      <c r="A2386" s="1351" t="s">
        <v>1160</v>
      </c>
      <c r="B2386" s="1352" t="s">
        <v>128</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631</v>
      </c>
      <c r="B2390" s="315" t="s">
        <v>128</v>
      </c>
      <c r="C2390" s="56">
        <v>46013</v>
      </c>
      <c r="D2390" s="43">
        <v>380</v>
      </c>
      <c r="G2390" t="s">
        <v>1911</v>
      </c>
    </row>
    <row r="2391" spans="1:7">
      <c r="A2391" s="315" t="s">
        <v>634</v>
      </c>
      <c r="B2391" s="315" t="s">
        <v>128</v>
      </c>
      <c r="C2391" s="56">
        <v>46013</v>
      </c>
      <c r="D2391" s="43">
        <v>523</v>
      </c>
      <c r="G2391" t="s">
        <v>1911</v>
      </c>
    </row>
    <row r="2392" spans="1:7">
      <c r="A2392" s="315" t="s">
        <v>589</v>
      </c>
      <c r="B2392" s="315" t="s">
        <v>128</v>
      </c>
      <c r="C2392" s="56">
        <v>46013</v>
      </c>
      <c r="D2392" s="43">
        <v>342</v>
      </c>
      <c r="F2392" s="311" t="s">
        <v>2016</v>
      </c>
      <c r="G2392" t="s">
        <v>1911</v>
      </c>
    </row>
    <row r="2393" spans="1:7">
      <c r="A2393" s="311" t="s">
        <v>297</v>
      </c>
      <c r="B2393" s="311" t="s">
        <v>1531</v>
      </c>
      <c r="C2393" s="56">
        <v>46013</v>
      </c>
      <c r="D2393" s="43">
        <v>154</v>
      </c>
      <c r="G2393" t="s">
        <v>1911</v>
      </c>
    </row>
    <row r="2394" spans="1:7">
      <c r="A2394" s="756" t="s">
        <v>320</v>
      </c>
      <c r="B2394" s="756" t="s">
        <v>128</v>
      </c>
      <c r="C2394" s="56">
        <v>46013</v>
      </c>
      <c r="D2394" s="43">
        <v>551</v>
      </c>
      <c r="G2394" t="s">
        <v>1911</v>
      </c>
    </row>
    <row r="2395" spans="1:7">
      <c r="A2395" s="1128" t="s">
        <v>502</v>
      </c>
      <c r="B2395" s="1128" t="s">
        <v>128</v>
      </c>
      <c r="C2395" s="56">
        <v>46013</v>
      </c>
      <c r="F2395" s="337" t="s">
        <v>2017</v>
      </c>
      <c r="G2395" t="s">
        <v>1911</v>
      </c>
    </row>
    <row r="2396" spans="1:7">
      <c r="A2396" s="1128" t="s">
        <v>326</v>
      </c>
      <c r="B2396" s="1128" t="s">
        <v>128</v>
      </c>
      <c r="C2396" s="56">
        <v>46013</v>
      </c>
      <c r="D2396" s="43">
        <v>362</v>
      </c>
      <c r="G2396" t="s">
        <v>1911</v>
      </c>
    </row>
    <row r="2397" spans="1:7">
      <c r="A2397" s="1144" t="s">
        <v>333</v>
      </c>
      <c r="B2397" s="1144" t="s">
        <v>128</v>
      </c>
      <c r="C2397" s="56">
        <v>46013</v>
      </c>
      <c r="D2397" s="155">
        <v>3523</v>
      </c>
      <c r="G2397" t="s">
        <v>1911</v>
      </c>
    </row>
    <row r="2398" spans="1:7">
      <c r="A2398" s="759" t="s">
        <v>512</v>
      </c>
      <c r="B2398" s="759" t="s">
        <v>128</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631</v>
      </c>
      <c r="B2401" s="1006" t="s">
        <v>128</v>
      </c>
      <c r="C2401" s="56">
        <v>46014</v>
      </c>
      <c r="F2401" s="337" t="s">
        <v>1557</v>
      </c>
      <c r="G2401" t="s">
        <v>1911</v>
      </c>
    </row>
    <row r="2402" spans="1:7">
      <c r="A2402" s="805" t="s">
        <v>634</v>
      </c>
      <c r="B2402" s="1006" t="s">
        <v>128</v>
      </c>
      <c r="C2402" s="56">
        <v>46014</v>
      </c>
      <c r="D2402" s="43">
        <v>405</v>
      </c>
      <c r="F2402" s="43" t="s">
        <v>1231</v>
      </c>
      <c r="G2402" t="s">
        <v>1911</v>
      </c>
    </row>
    <row r="2403" spans="1:7">
      <c r="A2403" s="805" t="s">
        <v>589</v>
      </c>
      <c r="B2403" s="161" t="s">
        <v>1091</v>
      </c>
      <c r="C2403" s="56">
        <v>46014</v>
      </c>
      <c r="E2403" s="139">
        <v>405</v>
      </c>
      <c r="G2403" t="s">
        <v>1911</v>
      </c>
    </row>
    <row r="2404" spans="1:7">
      <c r="A2404" s="247" t="s">
        <v>512</v>
      </c>
      <c r="B2404" s="1361" t="s">
        <v>128</v>
      </c>
      <c r="C2404" s="56">
        <v>46014</v>
      </c>
      <c r="E2404" s="321">
        <v>14727</v>
      </c>
      <c r="F2404" s="430" t="s">
        <v>2018</v>
      </c>
      <c r="G2404" t="s">
        <v>1911</v>
      </c>
    </row>
    <row r="2405" spans="1:7">
      <c r="A2405" s="247" t="s">
        <v>333</v>
      </c>
      <c r="B2405" s="1352" t="s">
        <v>128</v>
      </c>
      <c r="C2405" s="56">
        <v>46014</v>
      </c>
      <c r="D2405" s="155">
        <v>2384</v>
      </c>
      <c r="G2405" t="s">
        <v>1911</v>
      </c>
    </row>
    <row r="2406" spans="1:7">
      <c r="A2406" s="318" t="s">
        <v>631</v>
      </c>
      <c r="B2406" s="387" t="s">
        <v>1091</v>
      </c>
      <c r="C2406" s="56">
        <v>46015</v>
      </c>
      <c r="E2406" s="321">
        <v>2448</v>
      </c>
      <c r="F2406" s="43" t="s">
        <v>2019</v>
      </c>
      <c r="G2406" t="s">
        <v>1911</v>
      </c>
    </row>
    <row r="2407" spans="1:7">
      <c r="A2407" s="1349" t="s">
        <v>634</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620</v>
      </c>
      <c r="B2411" s="1133" t="s">
        <v>128</v>
      </c>
      <c r="C2411" s="56">
        <v>46020</v>
      </c>
      <c r="D2411" s="155">
        <v>1188</v>
      </c>
      <c r="F2411" s="43" t="s">
        <v>2021</v>
      </c>
      <c r="G2411" t="s">
        <v>1911</v>
      </c>
    </row>
    <row r="2412" spans="1:7">
      <c r="A2412" s="1374" t="s">
        <v>623</v>
      </c>
      <c r="B2412" s="1143" t="s">
        <v>128</v>
      </c>
      <c r="C2412" s="56">
        <v>46020</v>
      </c>
      <c r="D2412" s="43">
        <v>900</v>
      </c>
      <c r="F2412" s="43" t="s">
        <v>2022</v>
      </c>
      <c r="G2412" t="s">
        <v>1911</v>
      </c>
    </row>
    <row r="2413" spans="1:7">
      <c r="A2413" s="744" t="s">
        <v>631</v>
      </c>
      <c r="B2413" s="759" t="s">
        <v>1091</v>
      </c>
      <c r="C2413" s="56">
        <v>46020</v>
      </c>
      <c r="D2413" s="43">
        <v>100</v>
      </c>
      <c r="G2413" t="s">
        <v>1911</v>
      </c>
    </row>
    <row r="2414" spans="1:7">
      <c r="A2414" s="759" t="s">
        <v>320</v>
      </c>
      <c r="B2414" s="759" t="s">
        <v>128</v>
      </c>
      <c r="C2414" s="56">
        <v>46020</v>
      </c>
      <c r="D2414" s="43">
        <v>738</v>
      </c>
      <c r="G2414" t="s">
        <v>1911</v>
      </c>
    </row>
    <row r="2415" spans="1:7">
      <c r="A2415" s="1128" t="s">
        <v>326</v>
      </c>
      <c r="B2415" s="1128" t="s">
        <v>128</v>
      </c>
      <c r="C2415" s="56">
        <v>46020</v>
      </c>
      <c r="D2415" s="155">
        <v>1297</v>
      </c>
      <c r="G2415" t="s">
        <v>1911</v>
      </c>
    </row>
    <row r="2416" spans="1:7">
      <c r="A2416" s="1128" t="s">
        <v>329</v>
      </c>
      <c r="B2416" s="1128" t="s">
        <v>128</v>
      </c>
      <c r="C2416" s="56">
        <v>46020</v>
      </c>
      <c r="D2416" s="155">
        <v>2583</v>
      </c>
      <c r="G2416" t="s">
        <v>1911</v>
      </c>
    </row>
    <row r="2417" spans="1:7">
      <c r="A2417" s="1128" t="s">
        <v>472</v>
      </c>
      <c r="B2417" s="1128" t="s">
        <v>128</v>
      </c>
      <c r="C2417" s="56">
        <v>46020</v>
      </c>
      <c r="D2417" s="43">
        <v>0</v>
      </c>
      <c r="F2417" s="311" t="s">
        <v>2023</v>
      </c>
      <c r="G2417" t="s">
        <v>1911</v>
      </c>
    </row>
    <row r="2418" spans="1:7">
      <c r="A2418" s="1128" t="s">
        <v>477</v>
      </c>
      <c r="B2418" s="1128" t="s">
        <v>128</v>
      </c>
      <c r="C2418" s="56">
        <v>46020</v>
      </c>
      <c r="D2418" s="43">
        <v>0</v>
      </c>
      <c r="F2418" s="311" t="s">
        <v>2023</v>
      </c>
      <c r="G2418" t="s">
        <v>1911</v>
      </c>
    </row>
    <row r="2419" spans="1:7">
      <c r="A2419" s="1128" t="s">
        <v>508</v>
      </c>
      <c r="B2419" s="1128" t="s">
        <v>128</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623</v>
      </c>
      <c r="B2422" s="307" t="s">
        <v>1091</v>
      </c>
      <c r="C2422" s="56">
        <v>46021</v>
      </c>
      <c r="E2422" s="139">
        <v>343</v>
      </c>
      <c r="F2422" s="304"/>
      <c r="G2422" t="s">
        <v>1911</v>
      </c>
    </row>
    <row r="2423" spans="1:7">
      <c r="A2423" s="744" t="s">
        <v>620</v>
      </c>
      <c r="B2423" s="307" t="s">
        <v>128</v>
      </c>
      <c r="C2423" s="56">
        <v>46021</v>
      </c>
      <c r="D2423" s="43">
        <v>0</v>
      </c>
      <c r="F2423" s="311" t="s">
        <v>1392</v>
      </c>
      <c r="G2423" t="s">
        <v>1911</v>
      </c>
    </row>
    <row r="2424" spans="1:7">
      <c r="A2424" s="311" t="s">
        <v>320</v>
      </c>
      <c r="B2424" s="759" t="s">
        <v>128</v>
      </c>
      <c r="C2424" s="56">
        <v>46021</v>
      </c>
      <c r="D2424" s="43">
        <v>466</v>
      </c>
      <c r="G2424" t="s">
        <v>1911</v>
      </c>
    </row>
    <row r="2425" spans="1:7">
      <c r="A2425" s="304" t="s">
        <v>329</v>
      </c>
      <c r="B2425" s="1128" t="s">
        <v>128</v>
      </c>
      <c r="C2425" s="56">
        <v>46021</v>
      </c>
      <c r="D2425" s="155">
        <v>3099</v>
      </c>
      <c r="G2425" t="s">
        <v>1911</v>
      </c>
    </row>
    <row r="2426" spans="1:7">
      <c r="A2426" s="304" t="s">
        <v>474</v>
      </c>
      <c r="B2426" s="1128" t="s">
        <v>128</v>
      </c>
      <c r="C2426" s="56">
        <v>46021</v>
      </c>
      <c r="D2426" s="43">
        <v>0</v>
      </c>
      <c r="F2426" s="311" t="s">
        <v>2023</v>
      </c>
      <c r="G2426" t="s">
        <v>1911</v>
      </c>
    </row>
    <row r="2427" spans="1:7">
      <c r="A2427" s="141" t="s">
        <v>297</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171</v>
      </c>
      <c r="B2433" s="157" t="s">
        <v>128</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267</v>
      </c>
      <c r="B2435" s="157" t="s">
        <v>231</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320</v>
      </c>
      <c r="B2437" s="157" t="s">
        <v>128</v>
      </c>
      <c r="C2437" s="56">
        <v>46027</v>
      </c>
      <c r="D2437" s="155">
        <v>3728</v>
      </c>
      <c r="F2437" s="43" t="s">
        <v>2027</v>
      </c>
      <c r="G2437" t="s">
        <v>2024</v>
      </c>
    </row>
    <row r="2438" spans="1:7">
      <c r="A2438" s="247" t="s">
        <v>329</v>
      </c>
      <c r="B2438" s="157" t="s">
        <v>128</v>
      </c>
      <c r="C2438" s="56">
        <v>46027</v>
      </c>
      <c r="D2438" s="155">
        <v>568</v>
      </c>
      <c r="F2438" s="43" t="s">
        <v>2028</v>
      </c>
      <c r="G2438" t="s">
        <v>2024</v>
      </c>
    </row>
    <row r="2439" spans="1:7">
      <c r="A2439" s="247" t="s">
        <v>267</v>
      </c>
      <c r="B2439" s="157" t="s">
        <v>231</v>
      </c>
      <c r="C2439" s="56">
        <v>46027</v>
      </c>
      <c r="D2439" s="155">
        <v>1105</v>
      </c>
      <c r="F2439" s="43" t="s">
        <v>2025</v>
      </c>
      <c r="G2439" t="s">
        <v>2024</v>
      </c>
    </row>
    <row r="2440" spans="1:7">
      <c r="A2440" s="247" t="s">
        <v>171</v>
      </c>
      <c r="B2440" s="157" t="s">
        <v>128</v>
      </c>
      <c r="C2440" s="56">
        <v>46027</v>
      </c>
      <c r="D2440" s="155">
        <v>1353</v>
      </c>
      <c r="F2440" s="43" t="s">
        <v>2025</v>
      </c>
      <c r="G2440" t="s">
        <v>2024</v>
      </c>
    </row>
    <row r="2441" spans="1:7">
      <c r="A2441" s="247" t="s">
        <v>453</v>
      </c>
      <c r="B2441" s="157" t="s">
        <v>128</v>
      </c>
      <c r="C2441" s="56">
        <v>46028</v>
      </c>
      <c r="D2441" s="43">
        <v>0</v>
      </c>
      <c r="F2441" s="43" t="s">
        <v>2029</v>
      </c>
      <c r="G2441" t="s">
        <v>2024</v>
      </c>
    </row>
    <row r="2442" spans="1:7">
      <c r="A2442" s="247" t="s">
        <v>320</v>
      </c>
      <c r="B2442" s="157" t="s">
        <v>128</v>
      </c>
      <c r="C2442" s="56">
        <v>46028</v>
      </c>
      <c r="D2442" s="155">
        <v>1789</v>
      </c>
      <c r="F2442" s="43" t="s">
        <v>2027</v>
      </c>
      <c r="G2442" t="s">
        <v>2024</v>
      </c>
    </row>
    <row r="2443" spans="1:7">
      <c r="A2443" s="247" t="s">
        <v>336</v>
      </c>
      <c r="B2443" s="157" t="s">
        <v>128</v>
      </c>
      <c r="C2443" s="56">
        <v>46028</v>
      </c>
      <c r="D2443" s="155">
        <v>2362</v>
      </c>
      <c r="F2443" s="43" t="s">
        <v>2027</v>
      </c>
      <c r="G2443" t="s">
        <v>2024</v>
      </c>
    </row>
    <row r="2444" spans="1:7">
      <c r="A2444" s="247" t="s">
        <v>127</v>
      </c>
      <c r="B2444" s="157" t="s">
        <v>128</v>
      </c>
      <c r="C2444" s="56">
        <v>46028</v>
      </c>
      <c r="D2444" s="155">
        <v>1534</v>
      </c>
      <c r="F2444" s="43" t="s">
        <v>2030</v>
      </c>
      <c r="G2444" t="s">
        <v>2024</v>
      </c>
    </row>
    <row r="2445" spans="1:7">
      <c r="A2445" s="247" t="s">
        <v>267</v>
      </c>
      <c r="B2445" s="157" t="s">
        <v>231</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171</v>
      </c>
      <c r="B2447" s="157" t="s">
        <v>128</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128</v>
      </c>
      <c r="C2449" s="56">
        <v>46029</v>
      </c>
      <c r="D2449" s="43">
        <v>0</v>
      </c>
      <c r="F2449" s="43" t="s">
        <v>2032</v>
      </c>
      <c r="G2449" t="s">
        <v>2024</v>
      </c>
    </row>
    <row r="2450" spans="1:7">
      <c r="A2450" s="247" t="s">
        <v>133</v>
      </c>
      <c r="B2450" s="157" t="s">
        <v>128</v>
      </c>
      <c r="C2450" s="56">
        <v>46029</v>
      </c>
      <c r="D2450" s="155">
        <v>1687</v>
      </c>
      <c r="F2450" s="43" t="s">
        <v>2027</v>
      </c>
      <c r="G2450" t="s">
        <v>2024</v>
      </c>
    </row>
    <row r="2451" spans="1:7">
      <c r="A2451" s="247" t="s">
        <v>136</v>
      </c>
      <c r="B2451" s="157" t="s">
        <v>128</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127</v>
      </c>
      <c r="B2453" s="157" t="s">
        <v>128</v>
      </c>
      <c r="C2453" s="56">
        <v>46029</v>
      </c>
      <c r="D2453" s="43">
        <v>180</v>
      </c>
      <c r="F2453" s="43" t="s">
        <v>2034</v>
      </c>
      <c r="G2453" t="s">
        <v>2024</v>
      </c>
    </row>
    <row r="2454" spans="1:7">
      <c r="A2454" s="247" t="s">
        <v>267</v>
      </c>
      <c r="B2454" s="157" t="s">
        <v>231</v>
      </c>
      <c r="C2454" s="56">
        <v>46029</v>
      </c>
      <c r="D2454" s="155">
        <v>2151</v>
      </c>
      <c r="F2454" s="43" t="s">
        <v>2025</v>
      </c>
      <c r="G2454" t="s">
        <v>2024</v>
      </c>
    </row>
    <row r="2455" spans="1:7">
      <c r="A2455" s="247" t="s">
        <v>472</v>
      </c>
      <c r="B2455" s="157" t="s">
        <v>128</v>
      </c>
      <c r="C2455" s="56">
        <v>46029</v>
      </c>
      <c r="G2455" t="s">
        <v>2024</v>
      </c>
    </row>
    <row r="2456" spans="1:7">
      <c r="A2456" s="247" t="s">
        <v>474</v>
      </c>
      <c r="B2456" s="157" t="s">
        <v>128</v>
      </c>
      <c r="C2456" s="56">
        <v>46029</v>
      </c>
      <c r="G2456" t="s">
        <v>2024</v>
      </c>
    </row>
    <row r="2457" spans="1:7">
      <c r="A2457" s="247" t="s">
        <v>477</v>
      </c>
      <c r="B2457" s="157" t="s">
        <v>128</v>
      </c>
      <c r="C2457" s="56">
        <v>46029</v>
      </c>
      <c r="G2457" t="s">
        <v>2024</v>
      </c>
    </row>
    <row r="2458" spans="1:7">
      <c r="A2458" s="247" t="s">
        <v>499</v>
      </c>
      <c r="B2458" s="157" t="s">
        <v>128</v>
      </c>
      <c r="C2458" s="56">
        <v>46029</v>
      </c>
      <c r="G2458" t="s">
        <v>2024</v>
      </c>
    </row>
    <row r="2459" spans="1:7">
      <c r="A2459" s="247" t="s">
        <v>336</v>
      </c>
      <c r="B2459" s="157" t="s">
        <v>128</v>
      </c>
      <c r="C2459" s="56">
        <v>46029</v>
      </c>
      <c r="D2459" s="155">
        <v>3079</v>
      </c>
      <c r="F2459" s="43" t="s">
        <v>2027</v>
      </c>
      <c r="G2459" t="s">
        <v>2024</v>
      </c>
    </row>
    <row r="2460" spans="1:7">
      <c r="A2460" s="247" t="s">
        <v>505</v>
      </c>
      <c r="B2460" s="157" t="s">
        <v>128</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133</v>
      </c>
      <c r="B2463" s="157" t="s">
        <v>128</v>
      </c>
      <c r="C2463" s="56">
        <v>46030</v>
      </c>
      <c r="D2463" s="155">
        <v>1053</v>
      </c>
      <c r="F2463" s="115" t="s">
        <v>2037</v>
      </c>
      <c r="G2463" t="s">
        <v>2024</v>
      </c>
    </row>
    <row r="2464" spans="1:7">
      <c r="A2464" s="247" t="s">
        <v>267</v>
      </c>
      <c r="B2464" s="157"/>
      <c r="C2464" s="56">
        <v>46030</v>
      </c>
      <c r="G2464" t="s">
        <v>2024</v>
      </c>
    </row>
    <row r="2465" spans="1:7">
      <c r="A2465" s="247" t="s">
        <v>339</v>
      </c>
      <c r="B2465" s="157" t="s">
        <v>128</v>
      </c>
      <c r="C2465" s="56">
        <v>46030</v>
      </c>
      <c r="D2465" s="155">
        <v>2367</v>
      </c>
      <c r="F2465" s="43" t="s">
        <v>2027</v>
      </c>
      <c r="G2465" t="s">
        <v>2024</v>
      </c>
    </row>
    <row r="2466" spans="1:7">
      <c r="A2466" s="247" t="s">
        <v>320</v>
      </c>
      <c r="B2466" s="157"/>
      <c r="C2466" s="56">
        <v>46030</v>
      </c>
      <c r="G2466" t="s">
        <v>2024</v>
      </c>
    </row>
    <row r="2467" spans="1:7">
      <c r="A2467" s="247" t="s">
        <v>213</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267</v>
      </c>
      <c r="B2469" s="157" t="s">
        <v>231</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282</v>
      </c>
      <c r="B2471" s="157" t="s">
        <v>2039</v>
      </c>
      <c r="C2471" s="56">
        <v>46031</v>
      </c>
      <c r="D2471" s="43">
        <v>0</v>
      </c>
      <c r="F2471" s="43" t="s">
        <v>2043</v>
      </c>
      <c r="G2471" t="s">
        <v>2024</v>
      </c>
    </row>
    <row r="2472" spans="1:7">
      <c r="A2472" s="247" t="s">
        <v>267</v>
      </c>
      <c r="B2472" s="157" t="s">
        <v>231</v>
      </c>
      <c r="C2472" s="56">
        <v>46031</v>
      </c>
      <c r="D2472" s="155">
        <v>1000</v>
      </c>
      <c r="F2472" s="1448" t="s">
        <v>2044</v>
      </c>
      <c r="G2472" t="s">
        <v>2024</v>
      </c>
    </row>
    <row r="2473" spans="1:7">
      <c r="A2473" s="247" t="s">
        <v>502</v>
      </c>
      <c r="B2473" s="157" t="s">
        <v>128</v>
      </c>
      <c r="C2473" s="56">
        <v>46031</v>
      </c>
      <c r="D2473" s="155">
        <v>104</v>
      </c>
      <c r="F2473" s="1448" t="s">
        <v>2045</v>
      </c>
      <c r="G2473" t="s">
        <v>2024</v>
      </c>
    </row>
    <row r="2474" spans="1:7">
      <c r="A2474" s="247" t="s">
        <v>323</v>
      </c>
      <c r="B2474" s="157" t="s">
        <v>128</v>
      </c>
      <c r="C2474" s="56">
        <v>46031</v>
      </c>
      <c r="E2474" s="321">
        <v>1056</v>
      </c>
      <c r="F2474" s="1448" t="s">
        <v>2046</v>
      </c>
      <c r="G2474" t="s">
        <v>2024</v>
      </c>
    </row>
    <row r="2475" spans="1:7">
      <c r="A2475" s="247" t="s">
        <v>496</v>
      </c>
      <c r="B2475" s="157" t="s">
        <v>128</v>
      </c>
      <c r="C2475" s="56">
        <v>46031</v>
      </c>
      <c r="E2475" s="321">
        <v>1090</v>
      </c>
      <c r="F2475" s="43" t="s">
        <v>2047</v>
      </c>
      <c r="G2475" t="s">
        <v>2024</v>
      </c>
    </row>
    <row r="2476" spans="1:7">
      <c r="A2476" s="247" t="s">
        <v>339</v>
      </c>
      <c r="B2476" s="157" t="s">
        <v>128</v>
      </c>
      <c r="C2476" s="56">
        <v>46031</v>
      </c>
      <c r="D2476" s="43">
        <v>447</v>
      </c>
      <c r="F2476" s="1448" t="s">
        <v>2048</v>
      </c>
      <c r="G2476" t="s">
        <v>2024</v>
      </c>
    </row>
    <row r="2477" spans="1:7">
      <c r="A2477" s="247" t="s">
        <v>293</v>
      </c>
      <c r="B2477" s="157" t="s">
        <v>231</v>
      </c>
      <c r="C2477" s="56">
        <v>46031</v>
      </c>
      <c r="D2477" s="155">
        <v>1319</v>
      </c>
      <c r="F2477" s="1448" t="s">
        <v>2049</v>
      </c>
      <c r="G2477" t="s">
        <v>2024</v>
      </c>
    </row>
    <row r="2478" spans="1:7">
      <c r="A2478" s="247" t="s">
        <v>133</v>
      </c>
      <c r="B2478" s="157" t="s">
        <v>128</v>
      </c>
      <c r="C2478" s="56">
        <v>46034</v>
      </c>
      <c r="D2478" s="43">
        <v>0</v>
      </c>
      <c r="F2478" s="1448" t="s">
        <v>2050</v>
      </c>
      <c r="G2478" t="s">
        <v>2024</v>
      </c>
    </row>
    <row r="2479" spans="1:7">
      <c r="A2479" s="247" t="s">
        <v>559</v>
      </c>
      <c r="B2479" s="157" t="s">
        <v>2039</v>
      </c>
      <c r="C2479" s="56">
        <v>46034</v>
      </c>
      <c r="E2479" s="139">
        <v>640</v>
      </c>
      <c r="F2479" s="1447" t="s">
        <v>561</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128</v>
      </c>
      <c r="C2482" s="56">
        <v>46034</v>
      </c>
      <c r="D2482" s="139">
        <v>858</v>
      </c>
      <c r="E2482" s="43"/>
      <c r="F2482" s="1448" t="s">
        <v>2053</v>
      </c>
      <c r="G2482" t="s">
        <v>2024</v>
      </c>
    </row>
    <row r="2483" spans="1:7">
      <c r="A2483" s="247" t="s">
        <v>345</v>
      </c>
      <c r="B2483" s="157" t="s">
        <v>128</v>
      </c>
      <c r="C2483" s="56">
        <v>46034</v>
      </c>
      <c r="D2483" s="321">
        <v>4915</v>
      </c>
      <c r="E2483" s="43"/>
      <c r="F2483" s="1448" t="s">
        <v>2054</v>
      </c>
      <c r="G2483" t="s">
        <v>2024</v>
      </c>
    </row>
    <row r="2484" spans="1:7">
      <c r="A2484" s="371" t="s">
        <v>342</v>
      </c>
      <c r="B2484" s="820" t="s">
        <v>128</v>
      </c>
      <c r="C2484" s="336">
        <v>46034</v>
      </c>
      <c r="D2484" s="201">
        <v>813</v>
      </c>
      <c r="E2484" s="115"/>
      <c r="F2484" s="1452" t="s">
        <v>2055</v>
      </c>
      <c r="G2484" t="s">
        <v>2024</v>
      </c>
    </row>
    <row r="2485" spans="1:7">
      <c r="A2485" s="247" t="s">
        <v>136</v>
      </c>
      <c r="B2485" s="157" t="s">
        <v>128</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267</v>
      </c>
      <c r="B2487" s="157" t="s">
        <v>231</v>
      </c>
      <c r="C2487" s="56">
        <v>46034</v>
      </c>
      <c r="D2487" s="155">
        <v>1812</v>
      </c>
      <c r="E2487" s="43"/>
      <c r="F2487" s="1448" t="s">
        <v>2059</v>
      </c>
      <c r="G2487" t="s">
        <v>2024</v>
      </c>
    </row>
    <row r="2488" spans="1:7">
      <c r="A2488" s="247" t="s">
        <v>171</v>
      </c>
      <c r="B2488" s="157" t="s">
        <v>128</v>
      </c>
      <c r="C2488" s="56">
        <v>46034</v>
      </c>
      <c r="D2488" s="155">
        <v>1314</v>
      </c>
      <c r="E2488" s="43"/>
      <c r="F2488" s="1448" t="s">
        <v>2060</v>
      </c>
      <c r="G2488" t="s">
        <v>2024</v>
      </c>
    </row>
    <row r="2489" spans="1:7">
      <c r="A2489" s="247" t="s">
        <v>293</v>
      </c>
      <c r="B2489" s="157" t="s">
        <v>231</v>
      </c>
      <c r="C2489" s="56">
        <v>46034</v>
      </c>
      <c r="D2489" s="43">
        <v>926</v>
      </c>
      <c r="E2489" s="43"/>
      <c r="F2489" s="1448" t="s">
        <v>296</v>
      </c>
      <c r="G2489" t="s">
        <v>2024</v>
      </c>
    </row>
    <row r="2490" spans="1:7">
      <c r="A2490" s="247" t="s">
        <v>449</v>
      </c>
      <c r="B2490" s="157" t="s">
        <v>1091</v>
      </c>
      <c r="C2490" s="56">
        <v>46035</v>
      </c>
      <c r="E2490" s="155">
        <v>2112</v>
      </c>
      <c r="F2490" s="1448" t="s">
        <v>2061</v>
      </c>
      <c r="G2490" t="s">
        <v>2024</v>
      </c>
    </row>
    <row r="2491" spans="1:7">
      <c r="A2491" s="247" t="s">
        <v>159</v>
      </c>
      <c r="B2491" s="157" t="s">
        <v>128</v>
      </c>
      <c r="C2491" s="56">
        <v>46035</v>
      </c>
      <c r="E2491" s="155">
        <v>1208</v>
      </c>
      <c r="F2491" s="43" t="s">
        <v>160</v>
      </c>
      <c r="G2491" t="s">
        <v>2024</v>
      </c>
    </row>
    <row r="2492" spans="1:7">
      <c r="A2492" s="247" t="s">
        <v>345</v>
      </c>
      <c r="B2492" s="157" t="s">
        <v>128</v>
      </c>
      <c r="C2492" s="56">
        <v>46035</v>
      </c>
      <c r="D2492" s="43">
        <v>914</v>
      </c>
      <c r="E2492" s="43"/>
      <c r="F2492" s="1442" t="s">
        <v>2062</v>
      </c>
      <c r="G2492" t="s">
        <v>2024</v>
      </c>
    </row>
    <row r="2493" spans="1:7">
      <c r="A2493" s="247" t="s">
        <v>347</v>
      </c>
      <c r="B2493" s="157" t="s">
        <v>128</v>
      </c>
      <c r="C2493" s="56">
        <v>46035</v>
      </c>
      <c r="D2493" s="155">
        <v>6092</v>
      </c>
      <c r="E2493" s="43"/>
      <c r="F2493" s="1442" t="s">
        <v>160</v>
      </c>
      <c r="G2493" t="s">
        <v>2024</v>
      </c>
    </row>
    <row r="2494" spans="1:7">
      <c r="A2494" s="247" t="s">
        <v>342</v>
      </c>
      <c r="B2494" s="157" t="s">
        <v>128</v>
      </c>
      <c r="C2494" s="56">
        <v>46035</v>
      </c>
      <c r="D2494" s="155">
        <v>1491</v>
      </c>
      <c r="E2494" s="43"/>
      <c r="F2494" s="1442" t="s">
        <v>2063</v>
      </c>
      <c r="G2494" t="s">
        <v>2024</v>
      </c>
    </row>
    <row r="2495" spans="1:7">
      <c r="A2495" s="399" t="s">
        <v>349</v>
      </c>
      <c r="B2495" s="1453" t="s">
        <v>128</v>
      </c>
      <c r="C2495" s="344">
        <v>46035</v>
      </c>
      <c r="D2495" s="169">
        <v>822</v>
      </c>
      <c r="E2495" s="253"/>
      <c r="F2495" s="1442" t="s">
        <v>2064</v>
      </c>
      <c r="G2495" t="s">
        <v>2024</v>
      </c>
    </row>
    <row r="2496" spans="1:7">
      <c r="A2496" s="247"/>
      <c r="B2496" s="157"/>
      <c r="G2496" t="s">
        <v>2024</v>
      </c>
    </row>
    <row r="2497" spans="1:7">
      <c r="A2497" s="247"/>
      <c r="B2497" s="157"/>
      <c r="G2497" t="s">
        <v>2024</v>
      </c>
    </row>
    <row r="2498" spans="1:7">
      <c r="A2498" s="247"/>
      <c r="B2498" s="157"/>
      <c r="G2498" t="s">
        <v>2024</v>
      </c>
    </row>
    <row r="2499" spans="1:7">
      <c r="A2499" s="247"/>
      <c r="B2499" s="157"/>
      <c r="G2499" t="s">
        <v>2024</v>
      </c>
    </row>
    <row r="2500" spans="1:7">
      <c r="A2500" s="247"/>
      <c r="B2500" s="157"/>
      <c r="G2500" t="s">
        <v>2024</v>
      </c>
    </row>
    <row r="2501" spans="1:7">
      <c r="A2501" s="247"/>
      <c r="B2501" s="157"/>
      <c r="G2501" t="s">
        <v>2024</v>
      </c>
    </row>
    <row r="2502" spans="1:7">
      <c r="A2502" s="247"/>
      <c r="B2502" s="157"/>
      <c r="G2502" t="s">
        <v>2024</v>
      </c>
    </row>
    <row r="2503" spans="1:7">
      <c r="A2503" s="247"/>
      <c r="B2503" s="157"/>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2065</v>
      </c>
      <c r="W2" s="3" t="s">
        <v>2066</v>
      </c>
      <c r="X2" s="3" t="s">
        <v>2066</v>
      </c>
      <c r="Y2" s="3" t="s">
        <v>2066</v>
      </c>
      <c r="Z2" s="3" t="s">
        <v>2066</v>
      </c>
      <c r="AA2" s="8" t="s">
        <v>2067</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2068</v>
      </c>
      <c r="T3" s="19" t="s">
        <v>2069</v>
      </c>
      <c r="U3" s="19" t="s">
        <v>2070</v>
      </c>
      <c r="V3" s="5" t="s">
        <v>2071</v>
      </c>
      <c r="W3" s="5" t="s">
        <v>44</v>
      </c>
      <c r="X3" s="5" t="s">
        <v>43</v>
      </c>
      <c r="Y3" s="5" t="s">
        <v>2072</v>
      </c>
      <c r="Z3" s="5" t="s">
        <v>46</v>
      </c>
      <c r="AA3" s="89" t="s">
        <v>686</v>
      </c>
      <c r="AB3" s="68" t="s">
        <v>48</v>
      </c>
    </row>
    <row r="4" spans="1:30" ht="24.75" customHeight="1" thickBot="1">
      <c r="A4" s="440" t="s">
        <v>2073</v>
      </c>
      <c r="B4" s="440" t="s">
        <v>2074</v>
      </c>
      <c r="C4" s="16">
        <v>45717</v>
      </c>
      <c r="D4" s="63" t="s">
        <v>2075</v>
      </c>
      <c r="E4" s="51">
        <v>45707</v>
      </c>
      <c r="F4" s="51" t="s">
        <v>207</v>
      </c>
      <c r="G4" s="382" t="s">
        <v>2076</v>
      </c>
      <c r="H4" s="97">
        <v>0</v>
      </c>
      <c r="I4" s="105"/>
      <c r="J4" s="76" t="s">
        <v>63</v>
      </c>
      <c r="K4" s="76" t="s">
        <v>2077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2078</v>
      </c>
    </row>
    <row r="5" spans="1:30" ht="24.75" customHeight="1" thickBot="1">
      <c r="A5" s="440" t="s">
        <v>2079</v>
      </c>
      <c r="B5" s="440" t="s">
        <v>2074</v>
      </c>
      <c r="C5" s="16">
        <v>45717</v>
      </c>
      <c r="D5" s="63" t="s">
        <v>2075</v>
      </c>
      <c r="E5" s="51">
        <v>45707</v>
      </c>
      <c r="F5" s="381" t="s">
        <v>207</v>
      </c>
      <c r="G5" s="382" t="s">
        <v>2080</v>
      </c>
      <c r="H5" s="97">
        <v>0</v>
      </c>
      <c r="I5" s="105"/>
      <c r="J5" s="76" t="s">
        <v>63</v>
      </c>
      <c r="K5" s="76" t="s">
        <v>2077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2081</v>
      </c>
      <c r="B6" s="440" t="s">
        <v>2074</v>
      </c>
      <c r="C6" s="16">
        <v>45717</v>
      </c>
      <c r="D6" s="63" t="s">
        <v>2075</v>
      </c>
      <c r="E6" s="51">
        <v>45707</v>
      </c>
      <c r="F6" s="381" t="s">
        <v>207</v>
      </c>
      <c r="G6" s="382" t="s">
        <v>2082</v>
      </c>
      <c r="H6" s="97">
        <v>0</v>
      </c>
      <c r="I6" s="105"/>
      <c r="J6" s="76" t="s">
        <v>63</v>
      </c>
      <c r="K6" s="76" t="s">
        <v>2077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108</v>
      </c>
      <c r="C7" s="51">
        <v>45930</v>
      </c>
      <c r="D7" s="589" t="s">
        <v>85</v>
      </c>
      <c r="E7" s="375"/>
      <c r="F7" s="589" t="s">
        <v>162</v>
      </c>
      <c r="G7" s="384" t="s">
        <v>780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2083</v>
      </c>
      <c r="B8" s="440" t="s">
        <v>2084</v>
      </c>
      <c r="C8" s="16">
        <v>45748</v>
      </c>
      <c r="D8" s="16" t="s">
        <v>2075</v>
      </c>
      <c r="E8" s="94" t="s">
        <v>52</v>
      </c>
      <c r="F8" s="95" t="s">
        <v>52</v>
      </c>
      <c r="G8" s="620" t="s">
        <v>2085</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2086</v>
      </c>
      <c r="AC8" s="435"/>
      <c r="AD8" s="70"/>
    </row>
    <row r="9" spans="1:30" ht="24.75" customHeight="1">
      <c r="A9" s="449" t="s">
        <v>2087</v>
      </c>
      <c r="B9" s="449" t="s">
        <v>2088</v>
      </c>
      <c r="C9" s="23">
        <v>45741</v>
      </c>
      <c r="D9" s="16" t="s">
        <v>2075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2089</v>
      </c>
    </row>
    <row r="10" spans="1:30" ht="24.75" customHeight="1" thickBot="1">
      <c r="A10" s="26" t="s">
        <v>2090</v>
      </c>
      <c r="B10" s="26" t="s">
        <v>2088</v>
      </c>
      <c r="C10" s="27">
        <v>45741</v>
      </c>
      <c r="D10" s="16" t="s">
        <v>2075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2091</v>
      </c>
      <c r="B11" s="36" t="s">
        <v>2088</v>
      </c>
      <c r="C11" s="37">
        <v>45747</v>
      </c>
      <c r="D11" s="16" t="s">
        <v>2075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2092</v>
      </c>
      <c r="B12" s="26" t="s">
        <v>2088</v>
      </c>
      <c r="C12" s="27">
        <v>45741</v>
      </c>
      <c r="D12" s="16" t="s">
        <v>2075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2089</v>
      </c>
    </row>
    <row r="13" spans="1:30" ht="24.75" customHeight="1" thickBot="1">
      <c r="A13" s="26" t="s">
        <v>2093</v>
      </c>
      <c r="B13" s="26" t="s">
        <v>2088</v>
      </c>
      <c r="C13" s="27">
        <v>45741</v>
      </c>
      <c r="D13" s="27" t="s">
        <v>2075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2089</v>
      </c>
    </row>
    <row r="14" spans="1:30" ht="24.75" customHeight="1" thickBot="1">
      <c r="A14" s="26" t="s">
        <v>2094</v>
      </c>
      <c r="B14" s="26" t="s">
        <v>2088</v>
      </c>
      <c r="C14" s="27">
        <v>45747</v>
      </c>
      <c r="D14" s="27" t="s">
        <v>2075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2095</v>
      </c>
      <c r="B15" s="26" t="s">
        <v>2088</v>
      </c>
      <c r="C15" s="27">
        <v>45741</v>
      </c>
      <c r="D15" s="27" t="s">
        <v>2075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2089</v>
      </c>
    </row>
    <row r="16" spans="1:30" ht="24.75" customHeight="1" thickBot="1">
      <c r="A16" s="26" t="s">
        <v>2096</v>
      </c>
      <c r="B16" s="26" t="s">
        <v>2088</v>
      </c>
      <c r="C16" s="27">
        <v>45741</v>
      </c>
      <c r="D16" s="27" t="s">
        <v>2075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2089</v>
      </c>
    </row>
    <row r="17" spans="1:30" ht="24.75" customHeight="1" thickBot="1">
      <c r="A17" s="36" t="s">
        <v>2097</v>
      </c>
      <c r="B17" s="36" t="s">
        <v>2088</v>
      </c>
      <c r="C17" s="37">
        <v>45747</v>
      </c>
      <c r="D17" s="37" t="s">
        <v>2075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2098</v>
      </c>
      <c r="B18" s="374" t="s">
        <v>2088</v>
      </c>
      <c r="C18" s="51">
        <v>45717</v>
      </c>
      <c r="D18" s="27" t="s">
        <v>2075</v>
      </c>
      <c r="E18" s="85">
        <v>45700</v>
      </c>
      <c r="F18" s="51"/>
      <c r="G18" s="51" t="s">
        <v>2099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2089</v>
      </c>
    </row>
    <row r="19" spans="1:30" ht="24.75" customHeight="1" thickBot="1">
      <c r="A19" s="50" t="s">
        <v>2100</v>
      </c>
      <c r="B19" s="26" t="s">
        <v>2088</v>
      </c>
      <c r="C19" s="51">
        <v>45747</v>
      </c>
      <c r="D19" s="27" t="s">
        <v>2075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2101</v>
      </c>
    </row>
    <row r="20" spans="1:30" ht="24.75" customHeight="1" thickBot="1">
      <c r="A20" s="374" t="s">
        <v>2102</v>
      </c>
      <c r="B20" s="374" t="s">
        <v>2088</v>
      </c>
      <c r="C20" s="375">
        <v>45717</v>
      </c>
      <c r="D20" s="27" t="s">
        <v>2075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2089</v>
      </c>
    </row>
    <row r="21" spans="1:30" ht="24.75" customHeight="1" thickBot="1">
      <c r="A21" s="374" t="s">
        <v>2103</v>
      </c>
      <c r="B21" s="112" t="s">
        <v>50</v>
      </c>
      <c r="C21" s="51">
        <v>45717</v>
      </c>
      <c r="D21" s="27" t="s">
        <v>2104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2105</v>
      </c>
      <c r="B22" s="378" t="s">
        <v>50</v>
      </c>
      <c r="C22" s="51">
        <v>45717</v>
      </c>
      <c r="D22" s="51" t="s">
        <v>2104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2106</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2107</v>
      </c>
      <c r="B24" s="378" t="s">
        <v>50</v>
      </c>
      <c r="C24" s="381">
        <v>45688</v>
      </c>
      <c r="D24" s="390" t="s">
        <v>2106</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2108</v>
      </c>
      <c r="B25" s="113" t="s">
        <v>50</v>
      </c>
      <c r="C25" s="51">
        <v>45747</v>
      </c>
      <c r="D25" s="51" t="s">
        <v>2104</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2109</v>
      </c>
    </row>
    <row r="26" spans="1:30" ht="24.75" customHeight="1">
      <c r="A26" s="101" t="s">
        <v>2110</v>
      </c>
      <c r="B26" s="102" t="s">
        <v>50</v>
      </c>
      <c r="C26" s="77">
        <v>45716</v>
      </c>
      <c r="D26" s="26" t="s">
        <v>2106</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2111</v>
      </c>
      <c r="B27" s="102" t="s">
        <v>50</v>
      </c>
      <c r="C27" s="77">
        <v>45716</v>
      </c>
      <c r="D27" s="50" t="s">
        <v>2106</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2112</v>
      </c>
      <c r="B28" s="1117" t="s">
        <v>50</v>
      </c>
      <c r="C28" s="1110">
        <v>45991</v>
      </c>
      <c r="D28" s="375" t="s">
        <v>85</v>
      </c>
      <c r="E28" s="77">
        <v>45734</v>
      </c>
      <c r="F28" s="1108" t="s">
        <v>68</v>
      </c>
      <c r="G28" s="1119" t="s">
        <v>2113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2114</v>
      </c>
      <c r="B29" s="1117" t="s">
        <v>50</v>
      </c>
      <c r="C29" s="1110">
        <v>46021</v>
      </c>
      <c r="D29" s="375" t="s">
        <v>85</v>
      </c>
      <c r="E29" s="77">
        <v>45743</v>
      </c>
      <c r="F29" s="1108" t="s">
        <v>68</v>
      </c>
      <c r="G29" s="1118" t="s">
        <v>2115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2116</v>
      </c>
      <c r="AC29" s="1114"/>
      <c r="AD29" s="1116"/>
    </row>
    <row r="30" spans="1:30" ht="24.75" customHeight="1">
      <c r="A30" s="374" t="s">
        <v>2117</v>
      </c>
      <c r="B30" s="669" t="s">
        <v>50</v>
      </c>
      <c r="C30" s="375">
        <v>45991</v>
      </c>
      <c r="D30" s="50" t="s">
        <v>85</v>
      </c>
      <c r="E30" s="51">
        <v>45743</v>
      </c>
      <c r="F30" s="50" t="s">
        <v>68</v>
      </c>
      <c r="G30" s="379" t="s">
        <v>2118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2119</v>
      </c>
      <c r="AC30" s="333"/>
      <c r="AD30" s="115"/>
    </row>
    <row r="31" spans="1:30" ht="24.75" customHeight="1">
      <c r="A31" s="374" t="s">
        <v>1108</v>
      </c>
      <c r="B31" s="669" t="s">
        <v>50</v>
      </c>
      <c r="C31" s="375">
        <v>46021</v>
      </c>
      <c r="D31" s="375" t="s">
        <v>85</v>
      </c>
      <c r="E31" s="51">
        <v>45735</v>
      </c>
      <c r="F31" s="50" t="s">
        <v>68</v>
      </c>
      <c r="G31" s="670" t="s">
        <v>2120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2121</v>
      </c>
      <c r="W31" s="34">
        <v>0</v>
      </c>
      <c r="X31" s="34">
        <v>0</v>
      </c>
      <c r="Y31" s="31">
        <v>0</v>
      </c>
      <c r="Z31" s="34">
        <v>0</v>
      </c>
      <c r="AA31" s="31">
        <v>0</v>
      </c>
      <c r="AB31" s="353" t="s">
        <v>2116</v>
      </c>
    </row>
    <row r="32" spans="1:30" ht="24.75" customHeight="1">
      <c r="A32" s="905" t="s">
        <v>2122</v>
      </c>
      <c r="B32" s="1109" t="s">
        <v>50</v>
      </c>
      <c r="C32" s="985">
        <v>45717</v>
      </c>
      <c r="D32" s="985" t="s">
        <v>2104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2123</v>
      </c>
      <c r="B33" s="989" t="s">
        <v>50</v>
      </c>
      <c r="C33" s="907">
        <v>45989</v>
      </c>
      <c r="D33" s="907" t="s">
        <v>2124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2125</v>
      </c>
    </row>
    <row r="34" spans="1:30" ht="24.75" customHeight="1">
      <c r="A34" s="905" t="s">
        <v>2126</v>
      </c>
      <c r="B34" s="1109" t="s">
        <v>50</v>
      </c>
      <c r="C34" s="985">
        <v>45717</v>
      </c>
      <c r="D34" s="985" t="s">
        <v>2104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2127</v>
      </c>
      <c r="B35" s="1109" t="s">
        <v>50</v>
      </c>
      <c r="C35" s="985">
        <v>45717</v>
      </c>
      <c r="D35" s="985" t="s">
        <v>2104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2128</v>
      </c>
      <c r="B36" s="1109" t="s">
        <v>50</v>
      </c>
      <c r="C36" s="985">
        <v>45717</v>
      </c>
      <c r="D36" s="985" t="s">
        <v>2104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2129</v>
      </c>
      <c r="Q1" s="159" t="s">
        <v>2130</v>
      </c>
      <c r="R1" s="127" t="s">
        <v>2131</v>
      </c>
      <c r="S1" s="127" t="s">
        <v>2132</v>
      </c>
      <c r="T1" s="159" t="s">
        <v>2133</v>
      </c>
      <c r="U1" s="127" t="s">
        <v>1236</v>
      </c>
      <c r="V1" s="160" t="s">
        <v>2134</v>
      </c>
      <c r="W1" s="160" t="s">
        <v>2135</v>
      </c>
      <c r="X1" s="163" t="s">
        <v>2136</v>
      </c>
      <c r="Y1" s="258" t="e" cm="1">
        <f t="array" ref="Y1">VLOOKUP(#REF!,#REF!, FALSE)</f>
        <v>#REF!</v>
      </c>
    </row>
    <row r="2" spans="1:25">
      <c r="A2" s="178" t="s">
        <v>540</v>
      </c>
      <c r="B2" s="180" t="s">
        <v>206</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543</v>
      </c>
      <c r="B3" s="530" t="s">
        <v>206</v>
      </c>
      <c r="C3" s="689">
        <v>45742</v>
      </c>
      <c r="D3" s="690" t="s">
        <v>545</v>
      </c>
      <c r="E3" s="191"/>
      <c r="F3" s="138"/>
      <c r="G3" s="138"/>
      <c r="H3" s="185">
        <v>0</v>
      </c>
      <c r="I3" s="181"/>
      <c r="J3" s="185" t="s">
        <v>57</v>
      </c>
      <c r="K3" s="185" t="s">
        <v>57</v>
      </c>
      <c r="L3" s="185" t="s">
        <v>63</v>
      </c>
      <c r="M3" s="193">
        <v>45716</v>
      </c>
      <c r="N3" s="87" t="s">
        <v>331</v>
      </c>
      <c r="O3" s="54">
        <v>45721</v>
      </c>
      <c r="P3" s="87" t="s">
        <v>331</v>
      </c>
      <c r="Q3" s="69" t="s">
        <v>331</v>
      </c>
      <c r="R3" s="69" t="s">
        <v>331</v>
      </c>
      <c r="S3" s="69" t="s">
        <v>56</v>
      </c>
      <c r="T3" s="69" t="s">
        <v>331</v>
      </c>
      <c r="U3" s="69" t="s">
        <v>331</v>
      </c>
      <c r="V3" s="69" t="s">
        <v>91</v>
      </c>
      <c r="W3" s="79"/>
      <c r="X3" s="69" t="s">
        <v>91</v>
      </c>
      <c r="Y3" t="e">
        <f>VLOOKUP(A3,#REF!,2,FALSE)</f>
        <v>#REF!</v>
      </c>
    </row>
    <row r="4" spans="1:25">
      <c r="A4" s="365" t="s">
        <v>2137</v>
      </c>
      <c r="B4" s="407" t="s">
        <v>206</v>
      </c>
      <c r="C4" s="408">
        <v>45742</v>
      </c>
      <c r="D4" s="696" t="s">
        <v>2138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549</v>
      </c>
      <c r="B5" s="407" t="s">
        <v>206</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688</v>
      </c>
      <c r="B6" s="407" t="s">
        <v>206</v>
      </c>
      <c r="C6" s="408">
        <v>45747</v>
      </c>
      <c r="D6" s="693" t="s">
        <v>690</v>
      </c>
      <c r="E6" s="190"/>
      <c r="F6" s="137"/>
      <c r="G6" s="137"/>
      <c r="H6" s="185">
        <v>56</v>
      </c>
      <c r="I6" s="181"/>
      <c r="J6" s="188" t="s">
        <v>57</v>
      </c>
      <c r="K6" s="188" t="s">
        <v>57</v>
      </c>
      <c r="L6" s="185" t="s">
        <v>63</v>
      </c>
      <c r="M6" s="195">
        <v>45701</v>
      </c>
      <c r="N6" s="30" t="s">
        <v>331</v>
      </c>
      <c r="O6" s="356">
        <v>45718</v>
      </c>
      <c r="P6" s="30" t="s">
        <v>331</v>
      </c>
      <c r="Q6" s="334" t="s">
        <v>331</v>
      </c>
      <c r="R6" s="43" t="s">
        <v>2139</v>
      </c>
      <c r="S6" s="43" t="s">
        <v>331</v>
      </c>
      <c r="T6" s="43" t="s">
        <v>331</v>
      </c>
      <c r="U6" s="157" t="s">
        <v>331</v>
      </c>
      <c r="V6" s="69" t="s">
        <v>91</v>
      </c>
      <c r="W6" s="79"/>
      <c r="X6" s="69" t="s">
        <v>91</v>
      </c>
      <c r="Y6" t="e">
        <f>VLOOKUP(A6,#REF!,2,FALSE)</f>
        <v>#REF!</v>
      </c>
    </row>
    <row r="7" spans="1:25">
      <c r="A7" s="385" t="s">
        <v>1059</v>
      </c>
      <c r="B7" s="686" t="s">
        <v>206</v>
      </c>
      <c r="C7" s="386">
        <v>45742</v>
      </c>
      <c r="D7" s="411" t="s">
        <v>556</v>
      </c>
      <c r="E7" s="522"/>
      <c r="F7" s="523"/>
      <c r="G7" s="523"/>
      <c r="H7" s="179">
        <v>60</v>
      </c>
      <c r="I7" s="181"/>
      <c r="J7" s="185" t="s">
        <v>57</v>
      </c>
      <c r="K7" s="185" t="s">
        <v>57</v>
      </c>
      <c r="L7" s="185" t="s">
        <v>63</v>
      </c>
      <c r="M7" s="193">
        <v>45716</v>
      </c>
      <c r="N7" s="30" t="s">
        <v>331</v>
      </c>
      <c r="O7" s="79" t="s">
        <v>331</v>
      </c>
      <c r="P7" s="30" t="s">
        <v>331</v>
      </c>
      <c r="Q7" s="334" t="s">
        <v>331</v>
      </c>
      <c r="R7" s="43" t="s">
        <v>2139</v>
      </c>
      <c r="S7" s="43" t="s">
        <v>331</v>
      </c>
      <c r="T7" s="43" t="s">
        <v>331</v>
      </c>
      <c r="U7" s="43" t="s">
        <v>331</v>
      </c>
      <c r="V7" s="69" t="s">
        <v>91</v>
      </c>
      <c r="W7" s="30"/>
      <c r="X7" s="69" t="s">
        <v>91</v>
      </c>
      <c r="Y7" t="e">
        <f>VLOOKUP(A7,#REF!,2,FALSE)</f>
        <v>#REF!</v>
      </c>
    </row>
    <row r="8" spans="1:25">
      <c r="A8" s="175" t="s">
        <v>552</v>
      </c>
      <c r="B8" s="180" t="s">
        <v>206</v>
      </c>
      <c r="C8" s="176">
        <v>45742</v>
      </c>
      <c r="D8" s="185" t="s">
        <v>2140</v>
      </c>
      <c r="E8" s="120"/>
      <c r="F8" s="108"/>
      <c r="G8" s="108"/>
      <c r="H8" s="179">
        <v>84</v>
      </c>
      <c r="I8" s="181"/>
      <c r="J8" s="185" t="s">
        <v>57</v>
      </c>
      <c r="K8" s="185" t="s">
        <v>57</v>
      </c>
      <c r="L8" s="185" t="s">
        <v>63</v>
      </c>
      <c r="M8" s="193">
        <v>45716</v>
      </c>
      <c r="N8" s="30" t="s">
        <v>331</v>
      </c>
      <c r="O8" s="30" t="s">
        <v>331</v>
      </c>
      <c r="P8" s="711" t="s">
        <v>331</v>
      </c>
      <c r="Q8" s="69" t="s">
        <v>331</v>
      </c>
      <c r="R8" s="43" t="s">
        <v>2139</v>
      </c>
      <c r="S8" s="43" t="s">
        <v>331</v>
      </c>
      <c r="T8" s="43" t="s">
        <v>331</v>
      </c>
      <c r="U8" s="43" t="s">
        <v>331</v>
      </c>
      <c r="V8" s="69" t="s">
        <v>91</v>
      </c>
      <c r="W8" s="30"/>
      <c r="X8" s="69" t="s">
        <v>91</v>
      </c>
      <c r="Y8" t="e">
        <f>VLOOKUP(A8,#REF!,2,FALSE)</f>
        <v>#REF!</v>
      </c>
    </row>
    <row r="9" spans="1:25">
      <c r="A9" s="175" t="s">
        <v>1061</v>
      </c>
      <c r="B9" s="180" t="s">
        <v>206</v>
      </c>
      <c r="C9" s="176">
        <v>45742</v>
      </c>
      <c r="D9" s="519" t="s">
        <v>553</v>
      </c>
      <c r="E9" s="191"/>
      <c r="F9" s="138"/>
      <c r="G9" s="138"/>
      <c r="H9" s="185">
        <v>79</v>
      </c>
      <c r="I9" s="181"/>
      <c r="J9" s="185" t="s">
        <v>57</v>
      </c>
      <c r="K9" s="185" t="s">
        <v>57</v>
      </c>
      <c r="L9" s="185" t="s">
        <v>63</v>
      </c>
      <c r="M9" s="193">
        <v>45716</v>
      </c>
      <c r="N9" s="119" t="s">
        <v>331</v>
      </c>
      <c r="O9" s="54">
        <v>45718</v>
      </c>
      <c r="P9" s="119" t="s">
        <v>331</v>
      </c>
      <c r="Q9" s="69" t="s">
        <v>331</v>
      </c>
      <c r="R9" s="43" t="s">
        <v>2139</v>
      </c>
      <c r="S9" s="43" t="s">
        <v>331</v>
      </c>
      <c r="T9" s="43" t="s">
        <v>331</v>
      </c>
      <c r="U9" s="43" t="s">
        <v>331</v>
      </c>
      <c r="V9" s="69" t="s">
        <v>91</v>
      </c>
      <c r="W9" s="30"/>
      <c r="X9" s="69" t="s">
        <v>91</v>
      </c>
      <c r="Y9" t="e">
        <f>VLOOKUP(A9,#REF!,2,FALSE)</f>
        <v>#REF!</v>
      </c>
    </row>
    <row r="10" spans="1:25">
      <c r="A10" s="175" t="s">
        <v>1063</v>
      </c>
      <c r="B10" s="180" t="s">
        <v>206</v>
      </c>
      <c r="C10" s="314">
        <v>45742</v>
      </c>
      <c r="D10" s="410" t="s">
        <v>1062</v>
      </c>
      <c r="E10" s="191"/>
      <c r="F10" s="138"/>
      <c r="G10" s="138"/>
      <c r="H10" s="185">
        <v>83</v>
      </c>
      <c r="I10" s="181"/>
      <c r="J10" s="185" t="s">
        <v>57</v>
      </c>
      <c r="K10" s="185" t="s">
        <v>57</v>
      </c>
      <c r="L10" s="185" t="s">
        <v>63</v>
      </c>
      <c r="M10" s="193">
        <v>45716</v>
      </c>
      <c r="N10" s="30" t="s">
        <v>331</v>
      </c>
      <c r="O10" s="30" t="s">
        <v>331</v>
      </c>
      <c r="P10" s="30" t="s">
        <v>331</v>
      </c>
      <c r="Q10" s="43" t="s">
        <v>331</v>
      </c>
      <c r="R10" s="43" t="s">
        <v>2139</v>
      </c>
      <c r="S10" s="43" t="s">
        <v>331</v>
      </c>
      <c r="T10" s="43" t="s">
        <v>331</v>
      </c>
      <c r="U10" s="161" t="s">
        <v>331</v>
      </c>
      <c r="V10" s="334" t="s">
        <v>91</v>
      </c>
      <c r="W10" s="30"/>
      <c r="X10" s="69" t="s">
        <v>91</v>
      </c>
      <c r="Y10" t="e">
        <f>VLOOKUP(A10,#REF!,2,FALSE)</f>
        <v>#REF!</v>
      </c>
    </row>
    <row r="11" spans="1:25">
      <c r="A11" s="181" t="s">
        <v>554</v>
      </c>
      <c r="B11" s="422" t="s">
        <v>206</v>
      </c>
      <c r="C11" s="176">
        <v>45991</v>
      </c>
      <c r="D11" s="534" t="s">
        <v>556</v>
      </c>
      <c r="E11" s="120">
        <v>31</v>
      </c>
      <c r="F11" s="108"/>
      <c r="G11" s="108"/>
      <c r="H11" s="185">
        <v>31</v>
      </c>
      <c r="I11" s="181"/>
      <c r="J11" s="185" t="s">
        <v>57</v>
      </c>
      <c r="K11" s="185" t="s">
        <v>57</v>
      </c>
      <c r="L11" s="185" t="s">
        <v>63</v>
      </c>
      <c r="M11" s="195">
        <v>45716</v>
      </c>
      <c r="N11" s="30" t="s">
        <v>64</v>
      </c>
      <c r="O11" s="54">
        <v>45716</v>
      </c>
      <c r="P11" s="87" t="s">
        <v>331</v>
      </c>
      <c r="Q11" s="69" t="s">
        <v>331</v>
      </c>
      <c r="R11" s="43" t="s">
        <v>2139</v>
      </c>
      <c r="S11" s="43" t="s">
        <v>331</v>
      </c>
      <c r="T11" s="43" t="s">
        <v>331</v>
      </c>
      <c r="U11" s="334" t="s">
        <v>91</v>
      </c>
      <c r="V11" s="69" t="s">
        <v>91</v>
      </c>
      <c r="W11" s="30"/>
      <c r="X11" s="43"/>
    </row>
    <row r="12" spans="1:25">
      <c r="A12" s="175" t="s">
        <v>399</v>
      </c>
      <c r="B12" s="180" t="s">
        <v>206</v>
      </c>
      <c r="C12" s="176">
        <v>45772</v>
      </c>
      <c r="D12" s="199" t="s">
        <v>556</v>
      </c>
      <c r="E12" s="191"/>
      <c r="F12" s="138"/>
      <c r="G12" s="138"/>
      <c r="H12" s="185">
        <v>31</v>
      </c>
      <c r="I12" s="181"/>
      <c r="J12" s="185" t="s">
        <v>57</v>
      </c>
      <c r="K12" s="185" t="s">
        <v>57</v>
      </c>
      <c r="L12" s="185" t="s">
        <v>63</v>
      </c>
      <c r="M12" s="193">
        <v>45716</v>
      </c>
      <c r="N12" s="30" t="s">
        <v>64</v>
      </c>
      <c r="O12" s="54">
        <v>45716</v>
      </c>
      <c r="P12" s="87" t="s">
        <v>331</v>
      </c>
      <c r="Q12" s="69" t="s">
        <v>331</v>
      </c>
      <c r="R12" s="43" t="s">
        <v>2139</v>
      </c>
      <c r="S12" s="43" t="s">
        <v>331</v>
      </c>
      <c r="T12" s="43" t="s">
        <v>331</v>
      </c>
      <c r="U12" s="69" t="s">
        <v>91</v>
      </c>
      <c r="V12" s="69" t="s">
        <v>91</v>
      </c>
      <c r="W12" s="30"/>
      <c r="X12" s="69" t="s">
        <v>91</v>
      </c>
      <c r="Y12" t="e">
        <f>VLOOKUP(A12,#REF!,2,FALSE)</f>
        <v>#REF!</v>
      </c>
    </row>
    <row r="13" spans="1:25">
      <c r="A13" s="178" t="s">
        <v>263</v>
      </c>
      <c r="B13" s="180" t="s">
        <v>206</v>
      </c>
      <c r="C13" s="409">
        <v>45960</v>
      </c>
      <c r="D13" s="418" t="s">
        <v>2141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402</v>
      </c>
      <c r="B14" s="180" t="s">
        <v>206</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961</v>
      </c>
      <c r="B15" s="180" t="s">
        <v>206</v>
      </c>
      <c r="C15" s="314">
        <v>45711</v>
      </c>
      <c r="D15" s="635" t="s">
        <v>963</v>
      </c>
      <c r="E15" s="120"/>
      <c r="F15" s="108"/>
      <c r="G15" s="108"/>
      <c r="H15" s="185">
        <v>0</v>
      </c>
      <c r="I15" s="181"/>
      <c r="J15" s="185" t="s">
        <v>57</v>
      </c>
      <c r="K15" s="185" t="s">
        <v>57</v>
      </c>
      <c r="L15" s="185" t="s">
        <v>63</v>
      </c>
      <c r="M15" s="195">
        <v>45701</v>
      </c>
      <c r="N15" s="30" t="s">
        <v>331</v>
      </c>
      <c r="O15" s="54">
        <v>45718</v>
      </c>
      <c r="P15" s="30" t="s">
        <v>331</v>
      </c>
      <c r="Q15" s="43" t="s">
        <v>331</v>
      </c>
      <c r="R15" s="43" t="s">
        <v>331</v>
      </c>
      <c r="S15" s="43" t="s">
        <v>56</v>
      </c>
      <c r="T15" s="43" t="s">
        <v>331</v>
      </c>
      <c r="U15" s="43" t="s">
        <v>331</v>
      </c>
      <c r="V15" s="43" t="s">
        <v>331</v>
      </c>
      <c r="W15" s="54">
        <v>45856</v>
      </c>
      <c r="X15" s="69" t="s">
        <v>2142</v>
      </c>
      <c r="Y15" t="e">
        <f>VLOOKUP(A15,#REF!,2,FALSE)</f>
        <v>#REF!</v>
      </c>
    </row>
    <row r="16" spans="1:25">
      <c r="A16" s="175" t="s">
        <v>692</v>
      </c>
      <c r="B16" s="180" t="s">
        <v>206</v>
      </c>
      <c r="C16" s="314">
        <v>45742</v>
      </c>
      <c r="D16" s="699" t="s">
        <v>694</v>
      </c>
      <c r="E16" s="191"/>
      <c r="F16" s="138"/>
      <c r="G16" s="138"/>
      <c r="H16" s="185">
        <v>0</v>
      </c>
      <c r="I16" s="181"/>
      <c r="J16" s="185" t="s">
        <v>57</v>
      </c>
      <c r="K16" s="185" t="s">
        <v>57</v>
      </c>
      <c r="L16" s="185" t="s">
        <v>63</v>
      </c>
      <c r="M16" s="195" t="s">
        <v>2143</v>
      </c>
      <c r="N16" s="30" t="s">
        <v>331</v>
      </c>
      <c r="O16" s="54" t="s">
        <v>2143</v>
      </c>
      <c r="P16" s="30" t="s">
        <v>331</v>
      </c>
      <c r="Q16" s="69" t="s">
        <v>331</v>
      </c>
      <c r="R16" s="43" t="s">
        <v>331</v>
      </c>
      <c r="S16" s="43" t="s">
        <v>56</v>
      </c>
      <c r="T16" s="43" t="s">
        <v>331</v>
      </c>
      <c r="U16" s="69" t="s">
        <v>91</v>
      </c>
      <c r="V16" s="69" t="s">
        <v>91</v>
      </c>
      <c r="W16" s="30"/>
      <c r="X16" s="69" t="s">
        <v>91</v>
      </c>
      <c r="Y16" t="e">
        <f>VLOOKUP(A16,#REF!,2,FALSE)</f>
        <v>#REF!</v>
      </c>
    </row>
    <row r="17" spans="1:25">
      <c r="A17" s="178" t="s">
        <v>557</v>
      </c>
      <c r="B17" s="180" t="s">
        <v>206</v>
      </c>
      <c r="C17" s="177">
        <v>45991</v>
      </c>
      <c r="D17" s="714" t="s">
        <v>558</v>
      </c>
      <c r="E17" s="191"/>
      <c r="F17" s="138"/>
      <c r="G17" s="138"/>
      <c r="H17" s="185">
        <v>0</v>
      </c>
      <c r="I17" s="181"/>
      <c r="J17" s="185" t="s">
        <v>57</v>
      </c>
      <c r="K17" s="185" t="s">
        <v>57</v>
      </c>
      <c r="L17" s="185" t="s">
        <v>63</v>
      </c>
      <c r="M17" s="195">
        <v>45863</v>
      </c>
      <c r="N17" s="30" t="s">
        <v>331</v>
      </c>
      <c r="O17" s="54">
        <v>45863</v>
      </c>
      <c r="P17" s="30" t="s">
        <v>331</v>
      </c>
      <c r="Q17" s="69" t="s">
        <v>331</v>
      </c>
      <c r="R17" s="43" t="s">
        <v>331</v>
      </c>
      <c r="S17" s="43" t="s">
        <v>56</v>
      </c>
      <c r="T17" s="43" t="s">
        <v>331</v>
      </c>
      <c r="U17" s="69" t="s">
        <v>91</v>
      </c>
      <c r="V17" s="69" t="s">
        <v>91</v>
      </c>
      <c r="W17" s="30"/>
      <c r="X17" s="43"/>
    </row>
    <row r="18" spans="1:25">
      <c r="A18" s="178" t="s">
        <v>559</v>
      </c>
      <c r="B18" s="180" t="s">
        <v>206</v>
      </c>
      <c r="C18" s="409">
        <v>45991</v>
      </c>
      <c r="D18" s="410" t="s">
        <v>560</v>
      </c>
      <c r="E18" s="191"/>
      <c r="F18" s="138"/>
      <c r="G18" s="138"/>
      <c r="H18" s="185">
        <v>0</v>
      </c>
      <c r="I18" s="181"/>
      <c r="J18" s="185" t="s">
        <v>57</v>
      </c>
      <c r="K18" s="185" t="s">
        <v>57</v>
      </c>
      <c r="L18" s="185" t="s">
        <v>63</v>
      </c>
      <c r="M18" s="195">
        <v>45881</v>
      </c>
      <c r="N18" s="30" t="s">
        <v>331</v>
      </c>
      <c r="O18" s="195">
        <v>45881</v>
      </c>
      <c r="P18" s="30" t="s">
        <v>331</v>
      </c>
      <c r="Q18" s="69" t="s">
        <v>331</v>
      </c>
      <c r="R18" s="43" t="s">
        <v>331</v>
      </c>
      <c r="S18" s="43" t="s">
        <v>56</v>
      </c>
      <c r="T18" s="43" t="s">
        <v>331</v>
      </c>
      <c r="U18" s="69" t="s">
        <v>91</v>
      </c>
      <c r="V18" s="69" t="s">
        <v>91</v>
      </c>
      <c r="W18" s="30"/>
      <c r="X18" s="43"/>
    </row>
    <row r="19" spans="1:25">
      <c r="A19" s="178" t="s">
        <v>966</v>
      </c>
      <c r="B19" s="529" t="s">
        <v>108</v>
      </c>
      <c r="C19" s="177">
        <v>45899</v>
      </c>
      <c r="D19" s="697"/>
      <c r="E19" s="191"/>
      <c r="F19" s="138"/>
      <c r="G19" s="138"/>
      <c r="H19" s="185">
        <v>50</v>
      </c>
      <c r="I19" s="181"/>
      <c r="J19" s="179" t="s">
        <v>57</v>
      </c>
      <c r="K19" s="179" t="s">
        <v>57</v>
      </c>
      <c r="L19" s="179" t="s">
        <v>56</v>
      </c>
      <c r="M19" s="195">
        <v>45873</v>
      </c>
      <c r="N19" s="87" t="s">
        <v>331</v>
      </c>
      <c r="O19" s="54">
        <v>45873</v>
      </c>
      <c r="P19" s="87" t="s">
        <v>331</v>
      </c>
      <c r="Q19" s="69" t="s">
        <v>331</v>
      </c>
      <c r="R19" s="69" t="s">
        <v>331</v>
      </c>
      <c r="S19" s="69" t="s">
        <v>56</v>
      </c>
      <c r="T19" s="69" t="s">
        <v>331</v>
      </c>
      <c r="U19" s="69" t="s">
        <v>331</v>
      </c>
      <c r="V19" s="69" t="s">
        <v>91</v>
      </c>
      <c r="W19" s="30"/>
      <c r="X19" s="43"/>
    </row>
    <row r="20" spans="1:25">
      <c r="A20" s="178" t="s">
        <v>695</v>
      </c>
      <c r="B20" s="175" t="s">
        <v>108</v>
      </c>
      <c r="C20" s="176">
        <v>45742</v>
      </c>
      <c r="D20" s="179" t="s">
        <v>696</v>
      </c>
      <c r="E20" s="172"/>
      <c r="F20" s="129"/>
      <c r="G20" s="129"/>
      <c r="H20" s="179">
        <v>0</v>
      </c>
      <c r="I20" s="181"/>
      <c r="J20" s="179" t="s">
        <v>57</v>
      </c>
      <c r="K20" s="179" t="s">
        <v>57</v>
      </c>
      <c r="L20" s="179" t="s">
        <v>63</v>
      </c>
      <c r="M20" s="193">
        <v>45708</v>
      </c>
      <c r="N20" s="87" t="s">
        <v>331</v>
      </c>
      <c r="O20" s="124">
        <v>45709</v>
      </c>
      <c r="P20" s="87" t="s">
        <v>331</v>
      </c>
      <c r="Q20" s="69" t="s">
        <v>331</v>
      </c>
      <c r="R20" s="69" t="s">
        <v>331</v>
      </c>
      <c r="S20" s="69" t="s">
        <v>56</v>
      </c>
      <c r="T20" s="69" t="s">
        <v>331</v>
      </c>
      <c r="U20" s="69" t="s">
        <v>331</v>
      </c>
      <c r="V20" s="69" t="s">
        <v>331</v>
      </c>
      <c r="W20" s="54">
        <v>45811</v>
      </c>
      <c r="X20" s="69" t="s">
        <v>2142</v>
      </c>
      <c r="Y20" t="e">
        <f>VLOOKUP(A20,#REF!,2,FALSE)</f>
        <v>#REF!</v>
      </c>
    </row>
    <row r="21" spans="1:25">
      <c r="A21" s="178" t="s">
        <v>697</v>
      </c>
      <c r="B21" s="175" t="s">
        <v>108</v>
      </c>
      <c r="C21" s="176">
        <v>45772</v>
      </c>
      <c r="D21" s="619" t="s">
        <v>699</v>
      </c>
      <c r="E21" s="191"/>
      <c r="F21" s="138"/>
      <c r="G21" s="138"/>
      <c r="H21" s="185">
        <v>0</v>
      </c>
      <c r="I21" s="181"/>
      <c r="J21" s="179" t="s">
        <v>57</v>
      </c>
      <c r="K21" s="179" t="s">
        <v>57</v>
      </c>
      <c r="L21" s="179" t="s">
        <v>63</v>
      </c>
      <c r="M21" s="195">
        <v>45708</v>
      </c>
      <c r="N21" s="87" t="s">
        <v>331</v>
      </c>
      <c r="O21" s="54">
        <v>45737</v>
      </c>
      <c r="P21" s="87" t="s">
        <v>331</v>
      </c>
      <c r="Q21" s="69" t="s">
        <v>331</v>
      </c>
      <c r="R21" s="69" t="s">
        <v>331</v>
      </c>
      <c r="S21" s="69" t="s">
        <v>56</v>
      </c>
      <c r="T21" s="69" t="s">
        <v>331</v>
      </c>
      <c r="U21" s="69" t="s">
        <v>331</v>
      </c>
      <c r="V21" s="69" t="s">
        <v>331</v>
      </c>
      <c r="W21" s="54">
        <v>45779</v>
      </c>
      <c r="X21" s="69" t="s">
        <v>2142</v>
      </c>
      <c r="Y21" t="e">
        <f>VLOOKUP(A21,#REF!,2,FALSE)</f>
        <v>#REF!</v>
      </c>
    </row>
    <row r="22" spans="1:25">
      <c r="A22" s="175" t="s">
        <v>701</v>
      </c>
      <c r="B22" s="175" t="s">
        <v>108</v>
      </c>
      <c r="C22" s="176">
        <v>45868</v>
      </c>
      <c r="D22" s="619" t="s">
        <v>702</v>
      </c>
      <c r="E22" s="191"/>
      <c r="F22" s="138"/>
      <c r="G22" s="138"/>
      <c r="H22" s="185">
        <v>0</v>
      </c>
      <c r="I22" s="181"/>
      <c r="J22" s="179" t="s">
        <v>57</v>
      </c>
      <c r="K22" s="179" t="s">
        <v>57</v>
      </c>
      <c r="L22" s="179" t="s">
        <v>63</v>
      </c>
      <c r="M22" s="195" t="s">
        <v>56</v>
      </c>
      <c r="N22" s="87" t="s">
        <v>331</v>
      </c>
      <c r="O22" s="54">
        <v>45814</v>
      </c>
      <c r="P22" s="87" t="s">
        <v>331</v>
      </c>
      <c r="Q22" s="69" t="s">
        <v>331</v>
      </c>
      <c r="R22" s="69" t="s">
        <v>331</v>
      </c>
      <c r="S22" s="69" t="s">
        <v>56</v>
      </c>
      <c r="T22" s="69" t="s">
        <v>331</v>
      </c>
      <c r="U22" s="69" t="s">
        <v>331</v>
      </c>
      <c r="V22" s="69" t="s">
        <v>331</v>
      </c>
      <c r="W22" s="54">
        <v>45848</v>
      </c>
      <c r="X22" s="69" t="s">
        <v>2142</v>
      </c>
    </row>
    <row r="23" spans="1:25">
      <c r="A23" s="175" t="s">
        <v>967</v>
      </c>
      <c r="B23" s="175" t="s">
        <v>108</v>
      </c>
      <c r="C23" s="176">
        <v>45838</v>
      </c>
      <c r="D23" s="179" t="s">
        <v>968</v>
      </c>
      <c r="E23" s="191"/>
      <c r="F23" s="138"/>
      <c r="G23" s="138"/>
      <c r="H23" s="185">
        <v>0</v>
      </c>
      <c r="I23" s="181"/>
      <c r="J23" s="179" t="s">
        <v>57</v>
      </c>
      <c r="K23" s="179" t="s">
        <v>57</v>
      </c>
      <c r="L23" s="179" t="s">
        <v>63</v>
      </c>
      <c r="M23" s="195">
        <v>45786</v>
      </c>
      <c r="N23" s="87" t="s">
        <v>331</v>
      </c>
      <c r="O23" s="54">
        <v>45789</v>
      </c>
      <c r="P23" s="87" t="s">
        <v>331</v>
      </c>
      <c r="Q23" s="69" t="s">
        <v>331</v>
      </c>
      <c r="R23" s="69" t="s">
        <v>331</v>
      </c>
      <c r="S23" s="69" t="s">
        <v>56</v>
      </c>
      <c r="T23" s="69" t="s">
        <v>331</v>
      </c>
      <c r="U23" s="69" t="s">
        <v>331</v>
      </c>
      <c r="V23" s="69" t="s">
        <v>331</v>
      </c>
      <c r="W23" s="30"/>
      <c r="X23" s="69"/>
    </row>
    <row r="24" spans="1:25">
      <c r="A24" s="175" t="s">
        <v>704</v>
      </c>
      <c r="B24" s="175" t="s">
        <v>108</v>
      </c>
      <c r="C24" s="176">
        <v>45807</v>
      </c>
      <c r="D24" s="200" t="s">
        <v>705</v>
      </c>
      <c r="E24" s="191"/>
      <c r="F24" s="138"/>
      <c r="G24" s="138"/>
      <c r="H24" s="185">
        <v>0</v>
      </c>
      <c r="I24" s="181"/>
      <c r="J24" s="179" t="s">
        <v>57</v>
      </c>
      <c r="K24" s="179" t="s">
        <v>57</v>
      </c>
      <c r="L24" s="179" t="s">
        <v>63</v>
      </c>
      <c r="M24" s="195">
        <v>45778</v>
      </c>
      <c r="N24" s="87" t="s">
        <v>331</v>
      </c>
      <c r="O24" s="54">
        <v>45782</v>
      </c>
      <c r="P24" s="87" t="s">
        <v>331</v>
      </c>
      <c r="Q24" s="69" t="s">
        <v>331</v>
      </c>
      <c r="R24" s="69" t="s">
        <v>331</v>
      </c>
      <c r="S24" s="69" t="s">
        <v>56</v>
      </c>
      <c r="T24" s="69" t="s">
        <v>331</v>
      </c>
      <c r="U24" s="69" t="s">
        <v>331</v>
      </c>
      <c r="V24" s="69" t="s">
        <v>331</v>
      </c>
      <c r="W24" s="54">
        <v>45826</v>
      </c>
      <c r="X24" s="69" t="s">
        <v>2142</v>
      </c>
    </row>
    <row r="25" spans="1:25">
      <c r="A25" s="175" t="s">
        <v>707</v>
      </c>
      <c r="B25" s="175" t="s">
        <v>108</v>
      </c>
      <c r="C25" s="176">
        <v>45787</v>
      </c>
      <c r="D25" s="200" t="s">
        <v>708</v>
      </c>
      <c r="E25" s="172"/>
      <c r="F25" s="129"/>
      <c r="G25" s="129"/>
      <c r="H25" s="179">
        <v>0</v>
      </c>
      <c r="I25" s="181"/>
      <c r="J25" s="179" t="s">
        <v>57</v>
      </c>
      <c r="K25" s="179" t="s">
        <v>57</v>
      </c>
      <c r="L25" s="179" t="s">
        <v>63</v>
      </c>
      <c r="M25" s="193">
        <v>45716</v>
      </c>
      <c r="N25" s="87" t="s">
        <v>331</v>
      </c>
      <c r="O25" s="124">
        <v>45716</v>
      </c>
      <c r="P25" s="87" t="s">
        <v>331</v>
      </c>
      <c r="Q25" s="69" t="s">
        <v>331</v>
      </c>
      <c r="R25" s="69" t="s">
        <v>331</v>
      </c>
      <c r="S25" s="69" t="s">
        <v>56</v>
      </c>
      <c r="T25" s="69" t="s">
        <v>331</v>
      </c>
      <c r="U25" s="69" t="s">
        <v>331</v>
      </c>
      <c r="V25" s="69" t="s">
        <v>331</v>
      </c>
      <c r="W25" s="54">
        <v>45793</v>
      </c>
      <c r="X25" s="69" t="s">
        <v>2142</v>
      </c>
      <c r="Y25" t="e">
        <f>VLOOKUP(A25,#REF!,2,FALSE)</f>
        <v>#REF!</v>
      </c>
    </row>
    <row r="26" spans="1:25">
      <c r="A26" s="180" t="s">
        <v>709</v>
      </c>
      <c r="B26" s="175" t="s">
        <v>108</v>
      </c>
      <c r="C26" s="183">
        <v>45868</v>
      </c>
      <c r="D26" s="200" t="s">
        <v>710</v>
      </c>
      <c r="E26" s="192"/>
      <c r="F26" s="136"/>
      <c r="G26" s="136"/>
      <c r="H26" s="188">
        <v>0</v>
      </c>
      <c r="I26" s="181"/>
      <c r="J26" s="188" t="s">
        <v>57</v>
      </c>
      <c r="K26" s="188" t="s">
        <v>57</v>
      </c>
      <c r="L26" s="188" t="s">
        <v>63</v>
      </c>
      <c r="M26" s="195" t="s">
        <v>56</v>
      </c>
      <c r="N26" s="87" t="s">
        <v>331</v>
      </c>
      <c r="O26" s="54">
        <v>45840</v>
      </c>
      <c r="P26" s="87" t="s">
        <v>331</v>
      </c>
      <c r="Q26" s="69" t="s">
        <v>331</v>
      </c>
      <c r="R26" s="69" t="s">
        <v>331</v>
      </c>
      <c r="S26" s="69" t="s">
        <v>56</v>
      </c>
      <c r="T26" s="69" t="s">
        <v>331</v>
      </c>
      <c r="U26" s="69" t="s">
        <v>331</v>
      </c>
      <c r="V26" s="69" t="s">
        <v>331</v>
      </c>
      <c r="W26" s="30"/>
      <c r="X26" s="69"/>
    </row>
    <row r="27" spans="1:25">
      <c r="A27" s="180" t="s">
        <v>972</v>
      </c>
      <c r="B27" s="175" t="s">
        <v>108</v>
      </c>
      <c r="C27" s="183">
        <v>45868</v>
      </c>
      <c r="D27" s="179" t="s">
        <v>973</v>
      </c>
      <c r="E27" s="192"/>
      <c r="F27" s="136"/>
      <c r="G27" s="136"/>
      <c r="H27" s="188">
        <v>0</v>
      </c>
      <c r="I27" s="181"/>
      <c r="J27" s="188" t="s">
        <v>57</v>
      </c>
      <c r="K27" s="188" t="s">
        <v>57</v>
      </c>
      <c r="L27" s="188" t="s">
        <v>63</v>
      </c>
      <c r="M27" s="195" t="s">
        <v>56</v>
      </c>
      <c r="N27" s="87" t="s">
        <v>331</v>
      </c>
      <c r="O27" s="54">
        <v>45853</v>
      </c>
      <c r="P27" s="87" t="s">
        <v>331</v>
      </c>
      <c r="Q27" s="69" t="s">
        <v>331</v>
      </c>
      <c r="R27" s="69" t="s">
        <v>331</v>
      </c>
      <c r="S27" s="69" t="s">
        <v>56</v>
      </c>
      <c r="T27" s="69" t="s">
        <v>331</v>
      </c>
      <c r="U27" s="69" t="s">
        <v>331</v>
      </c>
      <c r="V27" s="69" t="s">
        <v>331</v>
      </c>
      <c r="W27" s="30"/>
      <c r="X27" s="69"/>
    </row>
    <row r="28" spans="1:25">
      <c r="A28" s="180" t="s">
        <v>975</v>
      </c>
      <c r="B28" s="175" t="s">
        <v>108</v>
      </c>
      <c r="C28" s="183">
        <v>45868</v>
      </c>
      <c r="D28" s="179" t="s">
        <v>976</v>
      </c>
      <c r="E28" s="192"/>
      <c r="F28" s="136"/>
      <c r="G28" s="136"/>
      <c r="H28" s="188">
        <v>0</v>
      </c>
      <c r="I28" s="181"/>
      <c r="J28" s="188" t="s">
        <v>57</v>
      </c>
      <c r="K28" s="188" t="s">
        <v>57</v>
      </c>
      <c r="L28" s="188" t="s">
        <v>63</v>
      </c>
      <c r="M28" s="195">
        <v>45793</v>
      </c>
      <c r="N28" s="87" t="s">
        <v>331</v>
      </c>
      <c r="O28" s="54">
        <v>45793</v>
      </c>
      <c r="P28" s="87" t="s">
        <v>331</v>
      </c>
      <c r="Q28" s="69" t="s">
        <v>331</v>
      </c>
      <c r="R28" s="69" t="s">
        <v>331</v>
      </c>
      <c r="S28" s="69" t="s">
        <v>56</v>
      </c>
      <c r="T28" s="69" t="s">
        <v>331</v>
      </c>
      <c r="U28" s="69" t="s">
        <v>331</v>
      </c>
      <c r="V28" s="69" t="s">
        <v>331</v>
      </c>
      <c r="W28" s="30"/>
      <c r="X28" s="69"/>
    </row>
    <row r="29" spans="1:25">
      <c r="A29" s="178" t="s">
        <v>712</v>
      </c>
      <c r="B29" s="175" t="s">
        <v>108</v>
      </c>
      <c r="C29" s="176">
        <v>45711</v>
      </c>
      <c r="D29" s="199" t="s">
        <v>401</v>
      </c>
      <c r="E29" s="701"/>
      <c r="F29" s="705"/>
      <c r="G29" s="705"/>
      <c r="H29" s="179">
        <v>54</v>
      </c>
      <c r="I29" s="181"/>
      <c r="J29" s="189" t="s">
        <v>57</v>
      </c>
      <c r="K29" s="189" t="s">
        <v>57</v>
      </c>
      <c r="L29" s="179" t="s">
        <v>63</v>
      </c>
      <c r="M29" s="195">
        <v>45659</v>
      </c>
      <c r="N29" s="30" t="s">
        <v>331</v>
      </c>
      <c r="O29" s="124">
        <v>45692</v>
      </c>
      <c r="P29" s="30" t="s">
        <v>331</v>
      </c>
      <c r="Q29" s="43" t="s">
        <v>331</v>
      </c>
      <c r="R29" s="43" t="s">
        <v>331</v>
      </c>
      <c r="S29" s="43" t="s">
        <v>331</v>
      </c>
      <c r="T29" s="43" t="s">
        <v>331</v>
      </c>
      <c r="U29" s="43" t="s">
        <v>331</v>
      </c>
      <c r="V29" s="69" t="s">
        <v>331</v>
      </c>
      <c r="W29" s="54">
        <v>45789</v>
      </c>
      <c r="X29" s="69" t="s">
        <v>2142</v>
      </c>
      <c r="Y29" t="e">
        <f>VLOOKUP(A29,#REF!,2,FALSE)</f>
        <v>#REF!</v>
      </c>
    </row>
    <row r="30" spans="1:25">
      <c r="A30" s="175" t="s">
        <v>714</v>
      </c>
      <c r="B30" s="175" t="s">
        <v>108</v>
      </c>
      <c r="C30" s="176">
        <v>45711</v>
      </c>
      <c r="D30" s="176" t="s">
        <v>715</v>
      </c>
      <c r="E30" s="701"/>
      <c r="F30" s="705"/>
      <c r="G30" s="705"/>
      <c r="H30" s="179">
        <v>49</v>
      </c>
      <c r="I30" s="181"/>
      <c r="J30" s="189" t="s">
        <v>57</v>
      </c>
      <c r="K30" s="189" t="s">
        <v>57</v>
      </c>
      <c r="L30" s="179" t="s">
        <v>63</v>
      </c>
      <c r="M30" s="193">
        <v>45713</v>
      </c>
      <c r="N30" s="30" t="s">
        <v>331</v>
      </c>
      <c r="O30" s="124">
        <v>45692</v>
      </c>
      <c r="P30" s="30" t="s">
        <v>331</v>
      </c>
      <c r="Q30" s="43" t="s">
        <v>331</v>
      </c>
      <c r="R30" s="43" t="s">
        <v>331</v>
      </c>
      <c r="S30" s="43" t="s">
        <v>331</v>
      </c>
      <c r="T30" s="43" t="s">
        <v>331</v>
      </c>
      <c r="U30" s="115" t="s">
        <v>331</v>
      </c>
      <c r="V30" s="69" t="s">
        <v>331</v>
      </c>
      <c r="W30" s="54">
        <v>45789</v>
      </c>
      <c r="X30" s="69" t="s">
        <v>2142</v>
      </c>
      <c r="Y30" t="e">
        <f>VLOOKUP(A30,#REF!,2,FALSE)</f>
        <v>#REF!</v>
      </c>
    </row>
    <row r="31" spans="1:25">
      <c r="A31" s="178" t="s">
        <v>716</v>
      </c>
      <c r="B31" s="175" t="s">
        <v>108</v>
      </c>
      <c r="C31" s="176">
        <v>45716</v>
      </c>
      <c r="D31" s="179" t="s">
        <v>717</v>
      </c>
      <c r="E31" s="172"/>
      <c r="F31" s="129"/>
      <c r="G31" s="129"/>
      <c r="H31" s="179">
        <v>56</v>
      </c>
      <c r="I31" s="181"/>
      <c r="J31" s="179" t="s">
        <v>57</v>
      </c>
      <c r="K31" s="179" t="s">
        <v>57</v>
      </c>
      <c r="L31" s="179" t="s">
        <v>63</v>
      </c>
      <c r="M31" s="195">
        <v>45707</v>
      </c>
      <c r="N31" s="30" t="s">
        <v>331</v>
      </c>
      <c r="O31" s="54">
        <v>45707</v>
      </c>
      <c r="P31" s="87" t="s">
        <v>331</v>
      </c>
      <c r="Q31" s="43" t="s">
        <v>331</v>
      </c>
      <c r="R31" s="43" t="s">
        <v>2139</v>
      </c>
      <c r="S31" s="43" t="s">
        <v>331</v>
      </c>
      <c r="T31" s="139" t="s">
        <v>331</v>
      </c>
      <c r="U31" s="115" t="s">
        <v>331</v>
      </c>
      <c r="V31" s="69" t="s">
        <v>331</v>
      </c>
      <c r="W31" s="54">
        <v>45779</v>
      </c>
      <c r="X31" s="69" t="s">
        <v>2142</v>
      </c>
      <c r="Y31" t="e">
        <f>VLOOKUP(A31,#REF!,2,FALSE)</f>
        <v>#REF!</v>
      </c>
    </row>
    <row r="32" spans="1:25">
      <c r="A32" s="178" t="s">
        <v>718</v>
      </c>
      <c r="B32" s="175" t="s">
        <v>108</v>
      </c>
      <c r="C32" s="176">
        <v>45772</v>
      </c>
      <c r="D32" s="619" t="s">
        <v>719</v>
      </c>
      <c r="E32" s="172"/>
      <c r="F32" s="129"/>
      <c r="G32" s="129"/>
      <c r="H32" s="179">
        <v>82</v>
      </c>
      <c r="I32" s="181"/>
      <c r="J32" s="179" t="s">
        <v>57</v>
      </c>
      <c r="K32" s="179" t="s">
        <v>57</v>
      </c>
      <c r="L32" s="179" t="s">
        <v>63</v>
      </c>
      <c r="M32" s="195">
        <v>45756</v>
      </c>
      <c r="N32" s="30" t="s">
        <v>331</v>
      </c>
      <c r="O32" s="54">
        <v>45756</v>
      </c>
      <c r="P32" s="30" t="s">
        <v>331</v>
      </c>
      <c r="Q32" s="69" t="s">
        <v>331</v>
      </c>
      <c r="R32" s="69" t="s">
        <v>2139</v>
      </c>
      <c r="S32" s="43" t="s">
        <v>331</v>
      </c>
      <c r="T32" s="139" t="s">
        <v>331</v>
      </c>
      <c r="U32" s="43" t="s">
        <v>331</v>
      </c>
      <c r="V32" s="69" t="s">
        <v>331</v>
      </c>
      <c r="W32" s="54">
        <v>45792</v>
      </c>
      <c r="X32" s="69" t="s">
        <v>2142</v>
      </c>
    </row>
    <row r="33" spans="1:25">
      <c r="A33" s="178" t="s">
        <v>720</v>
      </c>
      <c r="B33" s="175" t="s">
        <v>108</v>
      </c>
      <c r="C33" s="176">
        <v>45772</v>
      </c>
      <c r="D33" s="200" t="s">
        <v>721</v>
      </c>
      <c r="E33" s="191"/>
      <c r="F33" s="138"/>
      <c r="G33" s="138"/>
      <c r="H33" s="185">
        <v>79</v>
      </c>
      <c r="I33" s="181"/>
      <c r="J33" s="179" t="s">
        <v>57</v>
      </c>
      <c r="K33" s="179" t="s">
        <v>57</v>
      </c>
      <c r="L33" s="179" t="s">
        <v>63</v>
      </c>
      <c r="M33" s="193">
        <v>45749</v>
      </c>
      <c r="N33" s="30" t="s">
        <v>331</v>
      </c>
      <c r="O33" s="124">
        <v>45749</v>
      </c>
      <c r="P33" s="30" t="s">
        <v>331</v>
      </c>
      <c r="Q33" s="69" t="s">
        <v>331</v>
      </c>
      <c r="R33" s="69" t="s">
        <v>2139</v>
      </c>
      <c r="S33" s="43" t="s">
        <v>331</v>
      </c>
      <c r="T33" s="139" t="s">
        <v>331</v>
      </c>
      <c r="U33" s="43" t="s">
        <v>331</v>
      </c>
      <c r="V33" s="334" t="s">
        <v>331</v>
      </c>
      <c r="W33" s="54">
        <v>45812</v>
      </c>
      <c r="X33" s="69" t="s">
        <v>2142</v>
      </c>
      <c r="Y33" t="e">
        <f>VLOOKUP(A33,#REF!,2,FALSE)</f>
        <v>#REF!</v>
      </c>
    </row>
    <row r="34" spans="1:25">
      <c r="A34" s="178" t="s">
        <v>722</v>
      </c>
      <c r="B34" s="175" t="s">
        <v>108</v>
      </c>
      <c r="C34" s="176">
        <v>45772</v>
      </c>
      <c r="D34" s="200" t="s">
        <v>723</v>
      </c>
      <c r="E34" s="191"/>
      <c r="F34" s="138"/>
      <c r="G34" s="138"/>
      <c r="H34" s="185">
        <v>59</v>
      </c>
      <c r="I34" s="181"/>
      <c r="J34" s="179" t="s">
        <v>57</v>
      </c>
      <c r="K34" s="179" t="s">
        <v>57</v>
      </c>
      <c r="L34" s="179" t="s">
        <v>63</v>
      </c>
      <c r="M34" s="193">
        <v>45750</v>
      </c>
      <c r="N34" s="30" t="s">
        <v>331</v>
      </c>
      <c r="O34" s="124">
        <v>45750</v>
      </c>
      <c r="P34" s="30" t="s">
        <v>331</v>
      </c>
      <c r="Q34" s="69" t="s">
        <v>331</v>
      </c>
      <c r="R34" s="69" t="s">
        <v>2139</v>
      </c>
      <c r="S34" s="43" t="s">
        <v>331</v>
      </c>
      <c r="T34" s="139" t="s">
        <v>331</v>
      </c>
      <c r="U34" s="43" t="s">
        <v>331</v>
      </c>
      <c r="V34" s="404" t="s">
        <v>331</v>
      </c>
      <c r="W34" s="166">
        <v>45797</v>
      </c>
      <c r="X34" s="69" t="s">
        <v>2142</v>
      </c>
    </row>
    <row r="35" spans="1:25">
      <c r="A35" s="178" t="s">
        <v>724</v>
      </c>
      <c r="B35" s="175" t="s">
        <v>108</v>
      </c>
      <c r="C35" s="176">
        <v>45688</v>
      </c>
      <c r="D35" s="176" t="s">
        <v>726</v>
      </c>
      <c r="E35" s="701"/>
      <c r="F35" s="705"/>
      <c r="G35" s="705"/>
      <c r="H35" s="179">
        <v>23</v>
      </c>
      <c r="I35" s="181"/>
      <c r="J35" s="189" t="s">
        <v>57</v>
      </c>
      <c r="K35" s="189" t="s">
        <v>57</v>
      </c>
      <c r="L35" s="179" t="s">
        <v>63</v>
      </c>
      <c r="M35" s="195">
        <v>45659</v>
      </c>
      <c r="N35" s="30" t="s">
        <v>331</v>
      </c>
      <c r="O35" s="124">
        <v>45659</v>
      </c>
      <c r="P35" s="87" t="s">
        <v>331</v>
      </c>
      <c r="Q35" s="43" t="s">
        <v>331</v>
      </c>
      <c r="R35" s="43" t="s">
        <v>2139</v>
      </c>
      <c r="S35" s="43" t="s">
        <v>331</v>
      </c>
      <c r="T35" s="139" t="s">
        <v>331</v>
      </c>
      <c r="U35" s="169" t="s">
        <v>331</v>
      </c>
      <c r="V35" s="69" t="s">
        <v>331</v>
      </c>
      <c r="W35" s="54">
        <v>45789</v>
      </c>
      <c r="X35" s="334" t="s">
        <v>2142</v>
      </c>
      <c r="Y35" t="e">
        <f>VLOOKUP(A35,#REF!,2,FALSE)</f>
        <v>#REF!</v>
      </c>
    </row>
    <row r="36" spans="1:25">
      <c r="A36" s="178" t="s">
        <v>727</v>
      </c>
      <c r="B36" s="175" t="s">
        <v>108</v>
      </c>
      <c r="C36" s="176">
        <v>45688</v>
      </c>
      <c r="D36" s="176" t="s">
        <v>728</v>
      </c>
      <c r="E36" s="701"/>
      <c r="F36" s="705"/>
      <c r="G36" s="705"/>
      <c r="H36" s="179">
        <v>70</v>
      </c>
      <c r="I36" s="181"/>
      <c r="J36" s="189" t="s">
        <v>57</v>
      </c>
      <c r="K36" s="189" t="s">
        <v>57</v>
      </c>
      <c r="L36" s="179" t="s">
        <v>63</v>
      </c>
      <c r="M36" s="195">
        <v>45659</v>
      </c>
      <c r="N36" s="30" t="s">
        <v>331</v>
      </c>
      <c r="O36" s="124">
        <v>45659</v>
      </c>
      <c r="P36" s="87" t="s">
        <v>331</v>
      </c>
      <c r="Q36" s="43" t="s">
        <v>331</v>
      </c>
      <c r="R36" s="43" t="s">
        <v>2139</v>
      </c>
      <c r="S36" s="43" t="s">
        <v>331</v>
      </c>
      <c r="T36" s="139" t="s">
        <v>331</v>
      </c>
      <c r="U36" s="43" t="s">
        <v>331</v>
      </c>
      <c r="V36" s="69" t="s">
        <v>331</v>
      </c>
      <c r="W36" s="54">
        <v>45824</v>
      </c>
      <c r="X36" s="334" t="s">
        <v>2142</v>
      </c>
      <c r="Y36" t="e">
        <f>VLOOKUP(A36,#REF!,2,FALSE)</f>
        <v>#REF!</v>
      </c>
    </row>
    <row r="37" spans="1:25">
      <c r="A37" s="178" t="s">
        <v>729</v>
      </c>
      <c r="B37" s="175" t="s">
        <v>108</v>
      </c>
      <c r="C37" s="176">
        <v>45688</v>
      </c>
      <c r="D37" s="176" t="s">
        <v>730</v>
      </c>
      <c r="E37" s="701"/>
      <c r="F37" s="705"/>
      <c r="G37" s="705"/>
      <c r="H37" s="179">
        <v>75</v>
      </c>
      <c r="I37" s="181"/>
      <c r="J37" s="189" t="s">
        <v>57</v>
      </c>
      <c r="K37" s="189" t="s">
        <v>57</v>
      </c>
      <c r="L37" s="179" t="s">
        <v>63</v>
      </c>
      <c r="M37" s="49" t="s">
        <v>331</v>
      </c>
      <c r="N37" s="30" t="s">
        <v>331</v>
      </c>
      <c r="O37" s="124">
        <v>45672</v>
      </c>
      <c r="P37" s="30" t="s">
        <v>331</v>
      </c>
      <c r="Q37" s="43" t="s">
        <v>331</v>
      </c>
      <c r="R37" s="43" t="s">
        <v>2139</v>
      </c>
      <c r="S37" s="43" t="s">
        <v>331</v>
      </c>
      <c r="T37" s="43" t="s">
        <v>331</v>
      </c>
      <c r="U37" s="169" t="s">
        <v>331</v>
      </c>
      <c r="V37" s="69" t="s">
        <v>331</v>
      </c>
      <c r="W37" s="156">
        <v>45789</v>
      </c>
      <c r="X37" s="69" t="s">
        <v>2142</v>
      </c>
      <c r="Y37" t="e">
        <f>VLOOKUP(A37,#REF!,2,FALSE)</f>
        <v>#REF!</v>
      </c>
    </row>
    <row r="38" spans="1:25">
      <c r="A38" s="178" t="s">
        <v>731</v>
      </c>
      <c r="B38" s="175" t="s">
        <v>108</v>
      </c>
      <c r="C38" s="176">
        <v>45688</v>
      </c>
      <c r="D38" s="176" t="s">
        <v>733</v>
      </c>
      <c r="E38" s="701"/>
      <c r="F38" s="705"/>
      <c r="G38" s="705"/>
      <c r="H38" s="179">
        <v>65</v>
      </c>
      <c r="I38" s="181"/>
      <c r="J38" s="189" t="s">
        <v>57</v>
      </c>
      <c r="K38" s="189" t="s">
        <v>57</v>
      </c>
      <c r="L38" s="179" t="s">
        <v>63</v>
      </c>
      <c r="M38" s="193">
        <v>45673</v>
      </c>
      <c r="N38" s="30" t="s">
        <v>331</v>
      </c>
      <c r="O38" s="124">
        <v>45673</v>
      </c>
      <c r="P38" s="30" t="s">
        <v>331</v>
      </c>
      <c r="Q38" s="43" t="s">
        <v>331</v>
      </c>
      <c r="R38" s="43" t="s">
        <v>2139</v>
      </c>
      <c r="S38" s="43" t="s">
        <v>331</v>
      </c>
      <c r="T38" s="43" t="s">
        <v>331</v>
      </c>
      <c r="U38" s="169" t="s">
        <v>331</v>
      </c>
      <c r="V38" s="69" t="s">
        <v>331</v>
      </c>
      <c r="W38" s="54">
        <v>45789</v>
      </c>
      <c r="X38" s="69" t="s">
        <v>2142</v>
      </c>
      <c r="Y38" t="e">
        <f>VLOOKUP(A38,#REF!,2,FALSE)</f>
        <v>#REF!</v>
      </c>
    </row>
    <row r="39" spans="1:25">
      <c r="A39" s="178" t="s">
        <v>734</v>
      </c>
      <c r="B39" s="175" t="s">
        <v>108</v>
      </c>
      <c r="C39" s="176">
        <v>45688</v>
      </c>
      <c r="D39" s="176" t="s">
        <v>735</v>
      </c>
      <c r="E39" s="701"/>
      <c r="F39" s="705"/>
      <c r="G39" s="705"/>
      <c r="H39" s="179">
        <v>81</v>
      </c>
      <c r="I39" s="181"/>
      <c r="J39" s="189" t="s">
        <v>57</v>
      </c>
      <c r="K39" s="189" t="s">
        <v>57</v>
      </c>
      <c r="L39" s="179" t="s">
        <v>63</v>
      </c>
      <c r="M39" s="49" t="s">
        <v>331</v>
      </c>
      <c r="N39" s="30" t="s">
        <v>331</v>
      </c>
      <c r="O39" s="124">
        <v>45672</v>
      </c>
      <c r="P39" s="30" t="s">
        <v>331</v>
      </c>
      <c r="Q39" s="43" t="s">
        <v>331</v>
      </c>
      <c r="R39" s="43" t="s">
        <v>2139</v>
      </c>
      <c r="S39" s="43" t="s">
        <v>331</v>
      </c>
      <c r="T39" s="43" t="s">
        <v>331</v>
      </c>
      <c r="U39" s="169" t="s">
        <v>331</v>
      </c>
      <c r="V39" s="69" t="s">
        <v>331</v>
      </c>
      <c r="W39" s="54">
        <v>45789</v>
      </c>
      <c r="X39" s="69" t="s">
        <v>2142</v>
      </c>
      <c r="Y39" t="e">
        <f>VLOOKUP(A39,#REF!,2,FALSE)</f>
        <v>#REF!</v>
      </c>
    </row>
    <row r="40" spans="1:25">
      <c r="A40" s="175" t="s">
        <v>736</v>
      </c>
      <c r="B40" s="175" t="s">
        <v>108</v>
      </c>
      <c r="C40" s="176">
        <v>45742</v>
      </c>
      <c r="D40" s="179" t="s">
        <v>737</v>
      </c>
      <c r="E40" s="172"/>
      <c r="F40" s="129"/>
      <c r="G40" s="129"/>
      <c r="H40" s="179">
        <v>50</v>
      </c>
      <c r="I40" s="181"/>
      <c r="J40" s="179" t="s">
        <v>57</v>
      </c>
      <c r="K40" s="179" t="s">
        <v>57</v>
      </c>
      <c r="L40" s="179" t="s">
        <v>63</v>
      </c>
      <c r="M40" s="193">
        <v>45705</v>
      </c>
      <c r="N40" s="30" t="s">
        <v>331</v>
      </c>
      <c r="O40" s="124">
        <v>45715</v>
      </c>
      <c r="P40" s="30" t="s">
        <v>331</v>
      </c>
      <c r="Q40" s="43" t="s">
        <v>331</v>
      </c>
      <c r="R40" s="43" t="s">
        <v>331</v>
      </c>
      <c r="S40" s="43" t="s">
        <v>331</v>
      </c>
      <c r="T40" s="43" t="s">
        <v>331</v>
      </c>
      <c r="U40" s="43" t="s">
        <v>331</v>
      </c>
      <c r="V40" s="69" t="s">
        <v>331</v>
      </c>
      <c r="W40" s="54">
        <v>45789</v>
      </c>
      <c r="X40" s="69" t="s">
        <v>2142</v>
      </c>
      <c r="Y40" t="e">
        <f>VLOOKUP(A40,#REF!,2,FALSE)</f>
        <v>#REF!</v>
      </c>
    </row>
    <row r="41" spans="1:25">
      <c r="A41" s="178" t="s">
        <v>738</v>
      </c>
      <c r="B41" s="175" t="s">
        <v>108</v>
      </c>
      <c r="C41" s="176">
        <v>45742</v>
      </c>
      <c r="D41" s="200" t="s">
        <v>739</v>
      </c>
      <c r="E41" s="191"/>
      <c r="F41" s="138"/>
      <c r="G41" s="138"/>
      <c r="H41" s="185">
        <v>52</v>
      </c>
      <c r="I41" s="181"/>
      <c r="J41" s="179" t="s">
        <v>57</v>
      </c>
      <c r="K41" s="179" t="s">
        <v>57</v>
      </c>
      <c r="L41" s="179" t="s">
        <v>63</v>
      </c>
      <c r="M41" s="195">
        <v>45741</v>
      </c>
      <c r="N41" s="87" t="s">
        <v>331</v>
      </c>
      <c r="O41" s="54">
        <v>45729</v>
      </c>
      <c r="P41" s="87" t="s">
        <v>331</v>
      </c>
      <c r="Q41" s="43" t="s">
        <v>331</v>
      </c>
      <c r="R41" s="43" t="s">
        <v>331</v>
      </c>
      <c r="S41" s="43" t="s">
        <v>331</v>
      </c>
      <c r="T41" s="43" t="s">
        <v>331</v>
      </c>
      <c r="U41" s="169" t="s">
        <v>331</v>
      </c>
      <c r="V41" s="69" t="s">
        <v>331</v>
      </c>
      <c r="W41" s="54">
        <v>45789</v>
      </c>
      <c r="X41" s="69" t="s">
        <v>2142</v>
      </c>
      <c r="Y41" t="e">
        <f>VLOOKUP(A41,#REF!,2,FALSE)</f>
        <v>#REF!</v>
      </c>
    </row>
    <row r="42" spans="1:25" ht="13.5" customHeight="1">
      <c r="A42" s="178" t="s">
        <v>740</v>
      </c>
      <c r="B42" s="175" t="s">
        <v>108</v>
      </c>
      <c r="C42" s="176">
        <v>45772</v>
      </c>
      <c r="D42" s="200" t="s">
        <v>741</v>
      </c>
      <c r="E42" s="198"/>
      <c r="F42" s="168"/>
      <c r="G42" s="168"/>
      <c r="H42" s="185">
        <v>86</v>
      </c>
      <c r="I42" s="181"/>
      <c r="J42" s="179" t="s">
        <v>57</v>
      </c>
      <c r="K42" s="179" t="s">
        <v>57</v>
      </c>
      <c r="L42" s="179" t="s">
        <v>63</v>
      </c>
      <c r="M42" s="195">
        <v>45737</v>
      </c>
      <c r="N42" s="87" t="s">
        <v>331</v>
      </c>
      <c r="O42" s="54">
        <v>45737</v>
      </c>
      <c r="P42" s="87" t="s">
        <v>331</v>
      </c>
      <c r="Q42" s="43" t="s">
        <v>331</v>
      </c>
      <c r="R42" s="43" t="s">
        <v>331</v>
      </c>
      <c r="S42" s="43" t="s">
        <v>331</v>
      </c>
      <c r="T42" s="43" t="s">
        <v>331</v>
      </c>
      <c r="U42" s="43" t="s">
        <v>331</v>
      </c>
      <c r="V42" s="69" t="s">
        <v>331</v>
      </c>
      <c r="W42" s="54">
        <v>45789</v>
      </c>
      <c r="X42" s="69" t="s">
        <v>2142</v>
      </c>
      <c r="Y42" t="e">
        <f>VLOOKUP(A42,#REF!,2,FALSE)</f>
        <v>#REF!</v>
      </c>
    </row>
    <row r="43" spans="1:25" ht="13.5" customHeight="1">
      <c r="A43" s="175" t="s">
        <v>742</v>
      </c>
      <c r="B43" s="175" t="s">
        <v>108</v>
      </c>
      <c r="C43" s="176">
        <v>45716</v>
      </c>
      <c r="D43" s="200" t="s">
        <v>743</v>
      </c>
      <c r="E43" s="537"/>
      <c r="F43" s="392"/>
      <c r="G43" s="392"/>
      <c r="H43" s="179">
        <v>51</v>
      </c>
      <c r="I43" s="181"/>
      <c r="J43" s="179" t="s">
        <v>57</v>
      </c>
      <c r="K43" s="179" t="s">
        <v>57</v>
      </c>
      <c r="L43" s="179" t="s">
        <v>63</v>
      </c>
      <c r="M43" s="49" t="s">
        <v>331</v>
      </c>
      <c r="N43" s="30" t="s">
        <v>331</v>
      </c>
      <c r="O43" s="124">
        <v>45726</v>
      </c>
      <c r="P43" s="30" t="s">
        <v>331</v>
      </c>
      <c r="Q43" s="43" t="s">
        <v>331</v>
      </c>
      <c r="R43" s="43" t="s">
        <v>331</v>
      </c>
      <c r="S43" s="43" t="s">
        <v>331</v>
      </c>
      <c r="T43" s="43" t="s">
        <v>331</v>
      </c>
      <c r="U43" s="43" t="s">
        <v>331</v>
      </c>
      <c r="V43" s="69" t="s">
        <v>331</v>
      </c>
      <c r="W43" s="54">
        <v>45786</v>
      </c>
      <c r="X43" s="69" t="s">
        <v>2142</v>
      </c>
      <c r="Y43" t="e">
        <f>VLOOKUP(A43,#REF!,2,FALSE)</f>
        <v>#REF!</v>
      </c>
    </row>
    <row r="44" spans="1:25">
      <c r="A44" s="178" t="s">
        <v>746</v>
      </c>
      <c r="B44" s="175" t="s">
        <v>108</v>
      </c>
      <c r="C44" s="176">
        <v>45772</v>
      </c>
      <c r="D44" s="200" t="s">
        <v>745</v>
      </c>
      <c r="E44" s="191"/>
      <c r="F44" s="138"/>
      <c r="G44" s="138"/>
      <c r="H44" s="185">
        <v>35</v>
      </c>
      <c r="I44" s="181"/>
      <c r="J44" s="179" t="s">
        <v>57</v>
      </c>
      <c r="K44" s="179" t="s">
        <v>57</v>
      </c>
      <c r="L44" s="179" t="s">
        <v>63</v>
      </c>
      <c r="M44" s="195">
        <v>45736</v>
      </c>
      <c r="N44" s="30" t="s">
        <v>331</v>
      </c>
      <c r="O44" s="54">
        <v>45741</v>
      </c>
      <c r="P44" s="30" t="s">
        <v>331</v>
      </c>
      <c r="Q44" s="43" t="s">
        <v>331</v>
      </c>
      <c r="R44" s="43" t="s">
        <v>331</v>
      </c>
      <c r="S44" s="43" t="s">
        <v>331</v>
      </c>
      <c r="T44" s="43" t="s">
        <v>331</v>
      </c>
      <c r="U44" s="43" t="s">
        <v>331</v>
      </c>
      <c r="V44" s="69" t="s">
        <v>331</v>
      </c>
      <c r="W44" s="54">
        <v>45789</v>
      </c>
      <c r="X44" s="69" t="s">
        <v>2142</v>
      </c>
      <c r="Y44" t="e">
        <f>VLOOKUP(A44,#REF!,2,FALSE)</f>
        <v>#REF!</v>
      </c>
    </row>
    <row r="45" spans="1:25">
      <c r="A45" s="178" t="s">
        <v>748</v>
      </c>
      <c r="B45" s="175" t="s">
        <v>108</v>
      </c>
      <c r="C45" s="183">
        <v>45711</v>
      </c>
      <c r="D45" s="183" t="s">
        <v>749</v>
      </c>
      <c r="E45" s="702"/>
      <c r="F45" s="706"/>
      <c r="G45" s="706"/>
      <c r="H45" s="179">
        <v>22</v>
      </c>
      <c r="I45" s="181"/>
      <c r="J45" s="179" t="s">
        <v>57</v>
      </c>
      <c r="K45" s="179" t="s">
        <v>57</v>
      </c>
      <c r="L45" s="179" t="s">
        <v>63</v>
      </c>
      <c r="M45" s="49" t="s">
        <v>331</v>
      </c>
      <c r="N45" s="30" t="s">
        <v>331</v>
      </c>
      <c r="O45" s="124">
        <v>45695</v>
      </c>
      <c r="P45" s="30" t="s">
        <v>331</v>
      </c>
      <c r="Q45" s="43" t="s">
        <v>331</v>
      </c>
      <c r="R45" s="43" t="s">
        <v>331</v>
      </c>
      <c r="S45" s="43" t="s">
        <v>331</v>
      </c>
      <c r="T45" s="43" t="s">
        <v>331</v>
      </c>
      <c r="U45" s="43" t="s">
        <v>331</v>
      </c>
      <c r="V45" s="69" t="s">
        <v>331</v>
      </c>
      <c r="W45" s="54">
        <v>45789</v>
      </c>
      <c r="X45" s="69" t="s">
        <v>2142</v>
      </c>
      <c r="Y45" t="e">
        <f>VLOOKUP(A45,#REF!,2,FALSE)</f>
        <v>#REF!</v>
      </c>
    </row>
    <row r="46" spans="1:25">
      <c r="A46" s="178" t="s">
        <v>980</v>
      </c>
      <c r="B46" s="175" t="s">
        <v>108</v>
      </c>
      <c r="C46" s="183">
        <v>45868</v>
      </c>
      <c r="D46" s="179" t="s">
        <v>981</v>
      </c>
      <c r="E46" s="702"/>
      <c r="F46" s="706"/>
      <c r="G46" s="706"/>
      <c r="H46" s="179">
        <v>90</v>
      </c>
      <c r="I46" s="181"/>
      <c r="J46" s="179" t="s">
        <v>57</v>
      </c>
      <c r="K46" s="179" t="s">
        <v>57</v>
      </c>
      <c r="L46" s="179" t="s">
        <v>63</v>
      </c>
      <c r="M46" s="195">
        <v>45797</v>
      </c>
      <c r="N46" s="30" t="s">
        <v>331</v>
      </c>
      <c r="O46" s="124">
        <v>45810</v>
      </c>
      <c r="P46" s="30" t="s">
        <v>331</v>
      </c>
      <c r="Q46" s="43" t="s">
        <v>331</v>
      </c>
      <c r="R46" s="43" t="s">
        <v>331</v>
      </c>
      <c r="S46" s="43" t="s">
        <v>331</v>
      </c>
      <c r="T46" s="43" t="s">
        <v>331</v>
      </c>
      <c r="U46" s="43" t="s">
        <v>331</v>
      </c>
      <c r="V46" s="69" t="s">
        <v>331</v>
      </c>
      <c r="W46" s="54">
        <v>45847</v>
      </c>
      <c r="X46" s="69" t="s">
        <v>2142</v>
      </c>
    </row>
    <row r="47" spans="1:25">
      <c r="A47" s="178" t="s">
        <v>983</v>
      </c>
      <c r="B47" s="529" t="s">
        <v>108</v>
      </c>
      <c r="C47" s="177">
        <v>45899</v>
      </c>
      <c r="D47" s="179" t="s">
        <v>984</v>
      </c>
      <c r="E47" s="191"/>
      <c r="F47" s="138"/>
      <c r="G47" s="138"/>
      <c r="H47" s="185">
        <v>62</v>
      </c>
      <c r="I47" s="181"/>
      <c r="J47" s="185" t="s">
        <v>57</v>
      </c>
      <c r="K47" s="185" t="s">
        <v>57</v>
      </c>
      <c r="L47" s="185" t="s">
        <v>63</v>
      </c>
      <c r="M47" s="195">
        <v>45880</v>
      </c>
      <c r="N47" s="30" t="s">
        <v>331</v>
      </c>
      <c r="O47" s="54">
        <v>45880</v>
      </c>
      <c r="P47" s="87" t="s">
        <v>331</v>
      </c>
      <c r="Q47" s="43" t="s">
        <v>331</v>
      </c>
      <c r="R47" s="43" t="s">
        <v>331</v>
      </c>
      <c r="S47" s="43" t="s">
        <v>56</v>
      </c>
      <c r="T47" s="43" t="s">
        <v>331</v>
      </c>
      <c r="U47" s="43" t="s">
        <v>331</v>
      </c>
      <c r="V47" s="69" t="s">
        <v>91</v>
      </c>
      <c r="X47" s="43"/>
    </row>
    <row r="48" spans="1:25">
      <c r="A48" s="178" t="s">
        <v>986</v>
      </c>
      <c r="B48" s="529" t="s">
        <v>108</v>
      </c>
      <c r="C48" s="177">
        <v>45930</v>
      </c>
      <c r="D48" s="179" t="s">
        <v>987</v>
      </c>
      <c r="E48" s="191"/>
      <c r="F48" s="138"/>
      <c r="G48" s="138"/>
      <c r="H48" s="185">
        <v>85</v>
      </c>
      <c r="I48" s="181"/>
      <c r="J48" s="179" t="s">
        <v>57</v>
      </c>
      <c r="K48" s="179" t="s">
        <v>57</v>
      </c>
      <c r="L48" s="179" t="s">
        <v>63</v>
      </c>
      <c r="M48" s="195">
        <v>45882</v>
      </c>
      <c r="N48" s="87" t="s">
        <v>331</v>
      </c>
      <c r="O48" s="54">
        <v>45882</v>
      </c>
      <c r="P48" s="87" t="s">
        <v>331</v>
      </c>
      <c r="Q48" s="157" t="s">
        <v>331</v>
      </c>
      <c r="R48" s="157" t="s">
        <v>331</v>
      </c>
      <c r="S48" s="43" t="s">
        <v>331</v>
      </c>
      <c r="T48" s="43" t="s">
        <v>331</v>
      </c>
      <c r="U48" s="69" t="s">
        <v>331</v>
      </c>
      <c r="V48" s="69" t="s">
        <v>91</v>
      </c>
      <c r="W48" s="69"/>
      <c r="X48" s="43"/>
    </row>
    <row r="49" spans="1:56">
      <c r="A49" s="178" t="s">
        <v>750</v>
      </c>
      <c r="B49" s="175" t="s">
        <v>108</v>
      </c>
      <c r="C49" s="177">
        <v>45899</v>
      </c>
      <c r="D49" s="363" t="s">
        <v>751</v>
      </c>
      <c r="E49" s="191"/>
      <c r="F49" s="138"/>
      <c r="G49" s="138"/>
      <c r="H49" s="179">
        <v>77</v>
      </c>
      <c r="I49" s="181"/>
      <c r="J49" s="185" t="s">
        <v>57</v>
      </c>
      <c r="K49" s="185" t="s">
        <v>57</v>
      </c>
      <c r="L49" s="185" t="s">
        <v>63</v>
      </c>
      <c r="M49" s="195">
        <v>45840</v>
      </c>
      <c r="N49" s="87" t="s">
        <v>331</v>
      </c>
      <c r="O49" s="54">
        <v>45840</v>
      </c>
      <c r="P49" s="87" t="s">
        <v>331</v>
      </c>
      <c r="Q49" s="43" t="s">
        <v>331</v>
      </c>
      <c r="R49" s="43" t="s">
        <v>331</v>
      </c>
      <c r="S49" s="43" t="s">
        <v>56</v>
      </c>
      <c r="T49" s="43" t="s">
        <v>331</v>
      </c>
      <c r="U49" s="43" t="s">
        <v>331</v>
      </c>
      <c r="V49" s="69" t="s">
        <v>331</v>
      </c>
      <c r="W49" s="54">
        <v>45877</v>
      </c>
      <c r="X49" s="69" t="s">
        <v>2142</v>
      </c>
    </row>
    <row r="50" spans="1:56">
      <c r="A50" s="178" t="s">
        <v>752</v>
      </c>
      <c r="B50" s="175" t="s">
        <v>108</v>
      </c>
      <c r="C50" s="409">
        <v>45899</v>
      </c>
      <c r="D50" s="369" t="s">
        <v>753</v>
      </c>
      <c r="E50" s="191"/>
      <c r="F50" s="138"/>
      <c r="G50" s="138"/>
      <c r="H50" s="179">
        <v>81</v>
      </c>
      <c r="I50" s="181"/>
      <c r="J50" s="185" t="s">
        <v>57</v>
      </c>
      <c r="K50" s="185" t="s">
        <v>57</v>
      </c>
      <c r="L50" s="185" t="s">
        <v>63</v>
      </c>
      <c r="M50" s="195">
        <v>45847</v>
      </c>
      <c r="N50" s="87" t="s">
        <v>331</v>
      </c>
      <c r="O50" s="54">
        <v>45847</v>
      </c>
      <c r="P50" s="87" t="s">
        <v>331</v>
      </c>
      <c r="Q50" s="43" t="s">
        <v>331</v>
      </c>
      <c r="R50" s="43" t="s">
        <v>331</v>
      </c>
      <c r="S50" s="43" t="s">
        <v>56</v>
      </c>
      <c r="T50" s="43" t="s">
        <v>331</v>
      </c>
      <c r="U50" s="43" t="s">
        <v>331</v>
      </c>
      <c r="V50" s="69" t="s">
        <v>331</v>
      </c>
      <c r="W50" s="54">
        <v>45895</v>
      </c>
      <c r="X50" s="69" t="s">
        <v>2142</v>
      </c>
    </row>
    <row r="51" spans="1:56">
      <c r="A51" s="178" t="s">
        <v>755</v>
      </c>
      <c r="B51" s="175" t="s">
        <v>108</v>
      </c>
      <c r="C51" s="409">
        <v>45899</v>
      </c>
      <c r="D51" s="369" t="s">
        <v>756</v>
      </c>
      <c r="E51" s="191"/>
      <c r="F51" s="138"/>
      <c r="G51" s="138"/>
      <c r="H51" s="179">
        <v>86</v>
      </c>
      <c r="I51" s="181"/>
      <c r="J51" s="185" t="s">
        <v>57</v>
      </c>
      <c r="K51" s="185" t="s">
        <v>57</v>
      </c>
      <c r="L51" s="185" t="s">
        <v>63</v>
      </c>
      <c r="M51" s="195">
        <v>45840</v>
      </c>
      <c r="N51" s="87" t="s">
        <v>331</v>
      </c>
      <c r="O51" s="54">
        <v>45840</v>
      </c>
      <c r="P51" s="87" t="s">
        <v>331</v>
      </c>
      <c r="Q51" s="43" t="s">
        <v>331</v>
      </c>
      <c r="R51" s="43" t="s">
        <v>331</v>
      </c>
      <c r="S51" s="43" t="s">
        <v>56</v>
      </c>
      <c r="T51" s="43" t="s">
        <v>331</v>
      </c>
      <c r="U51" s="43" t="s">
        <v>331</v>
      </c>
      <c r="V51" s="69" t="s">
        <v>331</v>
      </c>
      <c r="W51" s="54">
        <v>45877</v>
      </c>
      <c r="X51" s="69" t="s">
        <v>2142</v>
      </c>
    </row>
    <row r="52" spans="1:56">
      <c r="A52" s="178" t="s">
        <v>758</v>
      </c>
      <c r="B52" s="175" t="s">
        <v>108</v>
      </c>
      <c r="C52" s="177">
        <v>45868</v>
      </c>
      <c r="D52" s="518" t="s">
        <v>759</v>
      </c>
      <c r="E52" s="191"/>
      <c r="F52" s="138"/>
      <c r="G52" s="138"/>
      <c r="H52" s="185">
        <v>66</v>
      </c>
      <c r="I52" s="181"/>
      <c r="J52" s="179" t="s">
        <v>57</v>
      </c>
      <c r="K52" s="179" t="s">
        <v>57</v>
      </c>
      <c r="L52" s="179" t="s">
        <v>63</v>
      </c>
      <c r="M52" s="195">
        <v>45833</v>
      </c>
      <c r="N52" s="87" t="s">
        <v>331</v>
      </c>
      <c r="O52" s="54">
        <v>45833</v>
      </c>
      <c r="P52" s="30" t="s">
        <v>331</v>
      </c>
      <c r="Q52" s="43" t="s">
        <v>331</v>
      </c>
      <c r="R52" s="43" t="s">
        <v>331</v>
      </c>
      <c r="S52" s="43" t="s">
        <v>331</v>
      </c>
      <c r="T52" s="43" t="s">
        <v>331</v>
      </c>
      <c r="U52" s="43" t="s">
        <v>331</v>
      </c>
      <c r="V52" s="69" t="s">
        <v>331</v>
      </c>
      <c r="W52" s="54">
        <v>45848</v>
      </c>
      <c r="X52" s="69" t="s">
        <v>2142</v>
      </c>
    </row>
    <row r="53" spans="1:56">
      <c r="A53" s="178" t="s">
        <v>761</v>
      </c>
      <c r="B53" s="175" t="s">
        <v>108</v>
      </c>
      <c r="C53" s="409">
        <v>45868</v>
      </c>
      <c r="D53" s="369" t="s">
        <v>762</v>
      </c>
      <c r="E53" s="191"/>
      <c r="F53" s="138"/>
      <c r="G53" s="138"/>
      <c r="H53" s="185">
        <v>43</v>
      </c>
      <c r="I53" s="181"/>
      <c r="J53" s="179" t="s">
        <v>57</v>
      </c>
      <c r="K53" s="179" t="s">
        <v>57</v>
      </c>
      <c r="L53" s="179" t="s">
        <v>63</v>
      </c>
      <c r="M53" s="195">
        <v>45840</v>
      </c>
      <c r="N53" s="87" t="s">
        <v>331</v>
      </c>
      <c r="O53" s="54">
        <v>45840</v>
      </c>
      <c r="P53" s="87" t="s">
        <v>331</v>
      </c>
      <c r="Q53" s="43" t="s">
        <v>56</v>
      </c>
      <c r="R53" s="43" t="s">
        <v>331</v>
      </c>
      <c r="S53" s="43" t="s">
        <v>331</v>
      </c>
      <c r="T53" s="43" t="s">
        <v>331</v>
      </c>
      <c r="U53" s="43" t="s">
        <v>331</v>
      </c>
      <c r="V53" s="69" t="s">
        <v>331</v>
      </c>
      <c r="W53" s="54">
        <v>45916</v>
      </c>
      <c r="X53" s="69" t="s">
        <v>2142</v>
      </c>
    </row>
    <row r="54" spans="1:56">
      <c r="A54" s="178" t="s">
        <v>996</v>
      </c>
      <c r="B54" s="529" t="s">
        <v>108</v>
      </c>
      <c r="C54" s="177">
        <v>45899</v>
      </c>
      <c r="D54" s="697"/>
      <c r="E54" s="191"/>
      <c r="F54" s="138"/>
      <c r="G54" s="138"/>
      <c r="H54" s="185">
        <v>73</v>
      </c>
      <c r="I54" s="181"/>
      <c r="J54" s="185" t="s">
        <v>57</v>
      </c>
      <c r="K54" s="185" t="s">
        <v>57</v>
      </c>
      <c r="L54" s="185" t="s">
        <v>63</v>
      </c>
      <c r="M54" s="195">
        <v>45887</v>
      </c>
      <c r="N54" s="87" t="s">
        <v>331</v>
      </c>
      <c r="O54" s="54">
        <v>45887</v>
      </c>
      <c r="P54" s="87" t="s">
        <v>331</v>
      </c>
      <c r="Q54" s="43" t="s">
        <v>331</v>
      </c>
      <c r="R54" s="43" t="s">
        <v>331</v>
      </c>
      <c r="S54" s="43" t="s">
        <v>331</v>
      </c>
      <c r="T54" s="43" t="s">
        <v>331</v>
      </c>
      <c r="U54" s="43" t="s">
        <v>331</v>
      </c>
      <c r="V54" s="69" t="s">
        <v>91</v>
      </c>
      <c r="W54" s="69"/>
      <c r="X54" s="43"/>
    </row>
    <row r="55" spans="1:56">
      <c r="A55" s="178" t="s">
        <v>999</v>
      </c>
      <c r="B55" s="529" t="s">
        <v>108</v>
      </c>
      <c r="C55" s="177">
        <v>45899</v>
      </c>
      <c r="D55" s="181"/>
      <c r="E55" s="191"/>
      <c r="F55" s="138"/>
      <c r="G55" s="138"/>
      <c r="H55" s="185">
        <v>70</v>
      </c>
      <c r="I55" s="181"/>
      <c r="J55" s="185" t="s">
        <v>57</v>
      </c>
      <c r="K55" s="185" t="s">
        <v>57</v>
      </c>
      <c r="L55" s="185" t="s">
        <v>63</v>
      </c>
      <c r="M55" s="195">
        <v>45887</v>
      </c>
      <c r="N55" s="87" t="s">
        <v>331</v>
      </c>
      <c r="O55" s="54">
        <v>45887</v>
      </c>
      <c r="P55" s="87" t="s">
        <v>331</v>
      </c>
      <c r="Q55" s="115" t="s">
        <v>331</v>
      </c>
      <c r="R55" s="115" t="s">
        <v>331</v>
      </c>
      <c r="S55" s="115" t="s">
        <v>331</v>
      </c>
      <c r="T55" s="115" t="s">
        <v>331</v>
      </c>
      <c r="U55" s="43" t="s">
        <v>331</v>
      </c>
      <c r="V55" s="69" t="s">
        <v>91</v>
      </c>
      <c r="W55" s="69"/>
      <c r="X55" s="43"/>
    </row>
    <row r="56" spans="1:56">
      <c r="A56" s="178" t="s">
        <v>1002</v>
      </c>
      <c r="B56" s="529" t="s">
        <v>108</v>
      </c>
      <c r="C56" s="177">
        <v>45899</v>
      </c>
      <c r="D56" s="181"/>
      <c r="E56" s="191"/>
      <c r="F56" s="138"/>
      <c r="G56" s="138"/>
      <c r="H56" s="185">
        <v>84</v>
      </c>
      <c r="I56" s="181"/>
      <c r="J56" s="185" t="s">
        <v>57</v>
      </c>
      <c r="K56" s="185" t="s">
        <v>57</v>
      </c>
      <c r="L56" s="185" t="s">
        <v>63</v>
      </c>
      <c r="M56" s="195">
        <v>45887</v>
      </c>
      <c r="N56" s="87" t="s">
        <v>331</v>
      </c>
      <c r="O56" s="54">
        <v>45887</v>
      </c>
      <c r="P56" s="328" t="s">
        <v>331</v>
      </c>
      <c r="Q56" s="43" t="s">
        <v>331</v>
      </c>
      <c r="R56" s="43" t="s">
        <v>331</v>
      </c>
      <c r="S56" s="43" t="s">
        <v>331</v>
      </c>
      <c r="T56" s="43" t="s">
        <v>331</v>
      </c>
      <c r="U56" s="43" t="s">
        <v>331</v>
      </c>
      <c r="V56" s="69" t="s">
        <v>91</v>
      </c>
      <c r="W56" s="69"/>
      <c r="X56" s="43"/>
    </row>
    <row r="57" spans="1:56">
      <c r="A57" s="178" t="s">
        <v>764</v>
      </c>
      <c r="B57" s="178" t="s">
        <v>108</v>
      </c>
      <c r="C57" s="177">
        <v>45862</v>
      </c>
      <c r="D57" s="619" t="s">
        <v>765</v>
      </c>
      <c r="E57" s="191"/>
      <c r="F57" s="138"/>
      <c r="G57" s="138"/>
      <c r="H57" s="185">
        <v>62</v>
      </c>
      <c r="I57" s="181"/>
      <c r="J57" s="185" t="s">
        <v>57</v>
      </c>
      <c r="K57" s="185" t="s">
        <v>57</v>
      </c>
      <c r="L57" s="185" t="s">
        <v>63</v>
      </c>
      <c r="M57" s="195">
        <v>45762</v>
      </c>
      <c r="N57" s="87" t="s">
        <v>331</v>
      </c>
      <c r="O57" s="124">
        <v>45783</v>
      </c>
      <c r="P57" s="328" t="s">
        <v>331</v>
      </c>
      <c r="Q57" s="43" t="s">
        <v>331</v>
      </c>
      <c r="R57" s="43" t="s">
        <v>2139</v>
      </c>
      <c r="S57" s="43" t="s">
        <v>331</v>
      </c>
      <c r="T57" s="43" t="s">
        <v>331</v>
      </c>
      <c r="U57" s="43" t="s">
        <v>331</v>
      </c>
      <c r="V57" s="69" t="s">
        <v>331</v>
      </c>
      <c r="W57" s="54">
        <v>45813</v>
      </c>
      <c r="X57" s="69" t="s">
        <v>2142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108</v>
      </c>
      <c r="C58" s="177">
        <v>45862</v>
      </c>
      <c r="D58" s="619" t="s">
        <v>767</v>
      </c>
      <c r="E58" s="191"/>
      <c r="F58" s="138"/>
      <c r="G58" s="138"/>
      <c r="H58" s="185">
        <v>89</v>
      </c>
      <c r="I58" s="181"/>
      <c r="J58" s="185" t="s">
        <v>57</v>
      </c>
      <c r="K58" s="185" t="s">
        <v>57</v>
      </c>
      <c r="L58" s="185" t="s">
        <v>63</v>
      </c>
      <c r="M58" s="195">
        <v>45762</v>
      </c>
      <c r="N58" s="87" t="s">
        <v>331</v>
      </c>
      <c r="O58" s="54">
        <v>45776</v>
      </c>
      <c r="P58" s="328" t="s">
        <v>331</v>
      </c>
      <c r="Q58" s="43" t="s">
        <v>331</v>
      </c>
      <c r="R58" s="43" t="s">
        <v>2139</v>
      </c>
      <c r="S58" s="43" t="s">
        <v>331</v>
      </c>
      <c r="T58" s="43" t="s">
        <v>331</v>
      </c>
      <c r="U58" s="43" t="s">
        <v>331</v>
      </c>
      <c r="V58" s="334" t="s">
        <v>331</v>
      </c>
      <c r="W58" s="54">
        <v>45796</v>
      </c>
      <c r="X58" s="69" t="s">
        <v>2142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108</v>
      </c>
      <c r="C59" s="177">
        <v>45862</v>
      </c>
      <c r="D59" s="619" t="s">
        <v>769</v>
      </c>
      <c r="E59" s="191"/>
      <c r="F59" s="138"/>
      <c r="G59" s="138"/>
      <c r="H59" s="185">
        <v>87</v>
      </c>
      <c r="I59" s="181"/>
      <c r="J59" s="185" t="s">
        <v>57</v>
      </c>
      <c r="K59" s="185" t="s">
        <v>57</v>
      </c>
      <c r="L59" s="185" t="s">
        <v>63</v>
      </c>
      <c r="M59" s="195">
        <v>45762</v>
      </c>
      <c r="N59" s="87" t="s">
        <v>331</v>
      </c>
      <c r="O59" s="30" t="s">
        <v>2121</v>
      </c>
      <c r="P59" s="328" t="s">
        <v>331</v>
      </c>
      <c r="Q59" s="43" t="s">
        <v>331</v>
      </c>
      <c r="R59" s="43" t="s">
        <v>2139</v>
      </c>
      <c r="S59" s="43" t="s">
        <v>331</v>
      </c>
      <c r="T59" s="43" t="s">
        <v>331</v>
      </c>
      <c r="U59" s="43" t="s">
        <v>331</v>
      </c>
      <c r="V59" s="334" t="s">
        <v>331</v>
      </c>
      <c r="W59" s="54">
        <v>45796</v>
      </c>
      <c r="X59" s="69" t="s">
        <v>2142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108</v>
      </c>
      <c r="C60" s="177">
        <v>45868</v>
      </c>
      <c r="D60" s="200" t="s">
        <v>771</v>
      </c>
      <c r="E60" s="191"/>
      <c r="F60" s="138"/>
      <c r="G60" s="138"/>
      <c r="H60" s="185">
        <v>60</v>
      </c>
      <c r="I60" s="181"/>
      <c r="J60" s="185" t="s">
        <v>57</v>
      </c>
      <c r="K60" s="185" t="s">
        <v>57</v>
      </c>
      <c r="L60" s="185" t="s">
        <v>63</v>
      </c>
      <c r="M60" s="195">
        <v>45790</v>
      </c>
      <c r="N60" s="87" t="s">
        <v>331</v>
      </c>
      <c r="O60" s="54">
        <v>45812</v>
      </c>
      <c r="P60" s="328" t="s">
        <v>331</v>
      </c>
      <c r="Q60" s="43" t="s">
        <v>331</v>
      </c>
      <c r="R60" s="43" t="s">
        <v>2139</v>
      </c>
      <c r="S60" s="43" t="s">
        <v>331</v>
      </c>
      <c r="T60" s="43" t="s">
        <v>331</v>
      </c>
      <c r="U60" s="43" t="s">
        <v>331</v>
      </c>
      <c r="V60" s="334" t="s">
        <v>331</v>
      </c>
      <c r="W60" s="54">
        <v>45824</v>
      </c>
      <c r="X60" s="69" t="s">
        <v>2142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108</v>
      </c>
      <c r="C61" s="176">
        <v>45688</v>
      </c>
      <c r="D61" s="176" t="s">
        <v>776</v>
      </c>
      <c r="E61" s="701"/>
      <c r="F61" s="705"/>
      <c r="G61" s="705"/>
      <c r="H61" s="179">
        <v>0</v>
      </c>
      <c r="I61" s="181"/>
      <c r="J61" s="189" t="s">
        <v>57</v>
      </c>
      <c r="K61" s="189" t="s">
        <v>57</v>
      </c>
      <c r="L61" s="179" t="s">
        <v>63</v>
      </c>
      <c r="M61" s="100" t="s">
        <v>331</v>
      </c>
      <c r="N61" s="87" t="s">
        <v>331</v>
      </c>
      <c r="O61" s="124">
        <v>45673</v>
      </c>
      <c r="P61" s="328" t="s">
        <v>331</v>
      </c>
      <c r="Q61" s="43" t="s">
        <v>331</v>
      </c>
      <c r="R61" s="69" t="s">
        <v>64</v>
      </c>
      <c r="S61" s="43" t="s">
        <v>56</v>
      </c>
      <c r="T61" s="43" t="s">
        <v>331</v>
      </c>
      <c r="U61" s="161" t="s">
        <v>331</v>
      </c>
      <c r="V61" s="69" t="s">
        <v>331</v>
      </c>
      <c r="W61" s="54">
        <v>45758</v>
      </c>
      <c r="X61" s="69" t="s">
        <v>2142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108</v>
      </c>
      <c r="C62" s="177">
        <v>45868</v>
      </c>
      <c r="D62" s="200" t="s">
        <v>797</v>
      </c>
      <c r="E62" s="191"/>
      <c r="F62" s="138"/>
      <c r="G62" s="138"/>
      <c r="H62" s="185">
        <v>0</v>
      </c>
      <c r="I62" s="181"/>
      <c r="J62" s="179" t="s">
        <v>57</v>
      </c>
      <c r="K62" s="179" t="s">
        <v>57</v>
      </c>
      <c r="L62" s="179" t="s">
        <v>63</v>
      </c>
      <c r="M62" s="195">
        <v>45848</v>
      </c>
      <c r="N62" s="87" t="s">
        <v>331</v>
      </c>
      <c r="O62" s="54">
        <v>45848</v>
      </c>
      <c r="P62" s="328" t="s">
        <v>331</v>
      </c>
      <c r="Q62" s="43" t="s">
        <v>331</v>
      </c>
      <c r="R62" s="43" t="s">
        <v>331</v>
      </c>
      <c r="S62" s="43" t="s">
        <v>56</v>
      </c>
      <c r="T62" s="43" t="s">
        <v>331</v>
      </c>
      <c r="U62" s="43" t="s">
        <v>331</v>
      </c>
      <c r="V62" s="43" t="s">
        <v>331</v>
      </c>
      <c r="W62" s="54">
        <v>45876</v>
      </c>
      <c r="X62" s="69" t="s">
        <v>2142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108</v>
      </c>
      <c r="C63" s="177">
        <v>45930</v>
      </c>
      <c r="D63" s="181"/>
      <c r="E63" s="191"/>
      <c r="F63" s="191"/>
      <c r="G63" s="191"/>
      <c r="H63" s="185">
        <v>0</v>
      </c>
      <c r="I63" s="181"/>
      <c r="J63" s="185" t="s">
        <v>57</v>
      </c>
      <c r="K63" s="185" t="s">
        <v>57</v>
      </c>
      <c r="L63" s="185" t="s">
        <v>63</v>
      </c>
      <c r="M63" s="195">
        <v>45884</v>
      </c>
      <c r="N63" s="87" t="s">
        <v>331</v>
      </c>
      <c r="O63" s="54">
        <v>45882</v>
      </c>
      <c r="P63" s="328" t="s">
        <v>331</v>
      </c>
      <c r="Q63" s="43" t="s">
        <v>331</v>
      </c>
      <c r="R63" s="43" t="s">
        <v>331</v>
      </c>
      <c r="S63" s="43" t="s">
        <v>56</v>
      </c>
      <c r="T63" s="43" t="s">
        <v>331</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108</v>
      </c>
      <c r="C64" s="177">
        <v>45899</v>
      </c>
      <c r="D64" s="698" t="s">
        <v>800</v>
      </c>
      <c r="E64" s="198"/>
      <c r="F64" s="168"/>
      <c r="G64" s="168"/>
      <c r="H64" s="185">
        <v>0</v>
      </c>
      <c r="I64" s="181"/>
      <c r="J64" s="185" t="s">
        <v>57</v>
      </c>
      <c r="K64" s="185" t="s">
        <v>57</v>
      </c>
      <c r="L64" s="185" t="s">
        <v>63</v>
      </c>
      <c r="M64" s="195">
        <v>45884</v>
      </c>
      <c r="N64" s="87" t="s">
        <v>331</v>
      </c>
      <c r="O64" s="54">
        <v>45884</v>
      </c>
      <c r="P64" s="328" t="s">
        <v>331</v>
      </c>
      <c r="Q64" s="43" t="s">
        <v>331</v>
      </c>
      <c r="R64" s="43" t="s">
        <v>331</v>
      </c>
      <c r="S64" s="43" t="s">
        <v>56</v>
      </c>
      <c r="T64" s="43" t="s">
        <v>331</v>
      </c>
      <c r="U64" s="43" t="s">
        <v>331</v>
      </c>
      <c r="V64" s="43" t="s">
        <v>331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108</v>
      </c>
      <c r="C65" s="177">
        <v>45868</v>
      </c>
      <c r="D65" s="698" t="s">
        <v>803</v>
      </c>
      <c r="E65" s="191"/>
      <c r="F65" s="191"/>
      <c r="G65" s="191"/>
      <c r="H65" s="185">
        <v>0</v>
      </c>
      <c r="I65" s="181"/>
      <c r="J65" s="179" t="s">
        <v>57</v>
      </c>
      <c r="K65" s="179" t="s">
        <v>57</v>
      </c>
      <c r="L65" s="179" t="s">
        <v>63</v>
      </c>
      <c r="M65" s="195">
        <v>45824</v>
      </c>
      <c r="N65" s="87" t="s">
        <v>331</v>
      </c>
      <c r="O65" s="54">
        <v>45824</v>
      </c>
      <c r="P65" s="328" t="s">
        <v>331</v>
      </c>
      <c r="Q65" s="43" t="s">
        <v>331</v>
      </c>
      <c r="R65" s="43" t="s">
        <v>331</v>
      </c>
      <c r="S65" s="43" t="s">
        <v>56</v>
      </c>
      <c r="T65" s="43" t="s">
        <v>331</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108</v>
      </c>
      <c r="C66" s="176">
        <v>45838</v>
      </c>
      <c r="D66" s="700" t="s">
        <v>1015</v>
      </c>
      <c r="E66" s="701"/>
      <c r="F66" s="705"/>
      <c r="G66" s="705"/>
      <c r="H66" s="179">
        <v>0</v>
      </c>
      <c r="I66" s="181"/>
      <c r="J66" s="189" t="s">
        <v>57</v>
      </c>
      <c r="K66" s="189" t="s">
        <v>57</v>
      </c>
      <c r="L66" s="179" t="s">
        <v>63</v>
      </c>
      <c r="M66" s="193">
        <v>45818</v>
      </c>
      <c r="N66" s="87" t="s">
        <v>331</v>
      </c>
      <c r="O66" s="124">
        <v>45817</v>
      </c>
      <c r="P66" s="328" t="s">
        <v>331</v>
      </c>
      <c r="Q66" s="157" t="s">
        <v>331</v>
      </c>
      <c r="R66" s="43" t="s">
        <v>331</v>
      </c>
      <c r="S66" s="43" t="s">
        <v>56</v>
      </c>
      <c r="T66" s="43" t="s">
        <v>331</v>
      </c>
      <c r="U66" s="43" t="s">
        <v>331</v>
      </c>
      <c r="V66" s="43" t="s">
        <v>331</v>
      </c>
      <c r="W66" s="54">
        <v>45876</v>
      </c>
      <c r="X66" s="69" t="s">
        <v>2142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108</v>
      </c>
      <c r="C67" s="177">
        <v>45899</v>
      </c>
      <c r="D67" s="181"/>
      <c r="E67" s="191"/>
      <c r="F67" s="138"/>
      <c r="G67" s="138"/>
      <c r="H67" s="185">
        <v>0</v>
      </c>
      <c r="I67" s="181"/>
      <c r="J67" s="185" t="s">
        <v>57</v>
      </c>
      <c r="K67" s="185" t="s">
        <v>57</v>
      </c>
      <c r="L67" s="185" t="s">
        <v>63</v>
      </c>
      <c r="M67" s="195">
        <v>45876</v>
      </c>
      <c r="N67" s="87" t="s">
        <v>331</v>
      </c>
      <c r="O67" s="54">
        <v>45876</v>
      </c>
      <c r="P67" s="328" t="s">
        <v>331</v>
      </c>
      <c r="Q67" s="157" t="s">
        <v>331</v>
      </c>
      <c r="R67" s="157" t="s">
        <v>331</v>
      </c>
      <c r="S67" s="43" t="s">
        <v>56</v>
      </c>
      <c r="T67" s="43" t="s">
        <v>331</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108</v>
      </c>
      <c r="C68" s="176">
        <v>45716</v>
      </c>
      <c r="D68" s="179"/>
      <c r="E68" s="172"/>
      <c r="F68" s="129"/>
      <c r="G68" s="129"/>
      <c r="H68" s="179">
        <v>0</v>
      </c>
      <c r="I68" s="181"/>
      <c r="J68" s="179" t="s">
        <v>92</v>
      </c>
      <c r="K68" s="179" t="s">
        <v>92</v>
      </c>
      <c r="L68" s="179" t="s">
        <v>63</v>
      </c>
      <c r="M68" s="49" t="s">
        <v>331</v>
      </c>
      <c r="N68" s="87" t="s">
        <v>331</v>
      </c>
      <c r="O68" s="87" t="s">
        <v>331</v>
      </c>
      <c r="P68" s="328" t="s">
        <v>331</v>
      </c>
      <c r="Q68" s="43" t="s">
        <v>331</v>
      </c>
      <c r="R68" s="43" t="s">
        <v>331</v>
      </c>
      <c r="S68" s="43" t="s">
        <v>56</v>
      </c>
      <c r="T68" s="43" t="s">
        <v>331</v>
      </c>
      <c r="U68" s="43" t="s">
        <v>331</v>
      </c>
      <c r="V68" s="334" t="s">
        <v>331</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108</v>
      </c>
      <c r="C69" s="177">
        <v>45899</v>
      </c>
      <c r="D69" s="200" t="s">
        <v>783</v>
      </c>
      <c r="E69" s="719"/>
      <c r="F69" s="720"/>
      <c r="G69" s="720"/>
      <c r="H69" s="185">
        <v>0</v>
      </c>
      <c r="I69" s="181"/>
      <c r="J69" s="185" t="s">
        <v>57</v>
      </c>
      <c r="K69" s="185" t="s">
        <v>57</v>
      </c>
      <c r="L69" s="185" t="s">
        <v>63</v>
      </c>
      <c r="M69" s="195">
        <v>45870</v>
      </c>
      <c r="N69" s="87" t="s">
        <v>331</v>
      </c>
      <c r="O69" s="54">
        <v>45870</v>
      </c>
      <c r="P69" s="328" t="s">
        <v>331</v>
      </c>
      <c r="Q69" s="43" t="s">
        <v>331</v>
      </c>
      <c r="R69" s="43" t="s">
        <v>331</v>
      </c>
      <c r="S69" s="43" t="s">
        <v>56</v>
      </c>
      <c r="T69" s="43" t="s">
        <v>331</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108</v>
      </c>
      <c r="C70" s="183">
        <v>45716</v>
      </c>
      <c r="D70" s="183" t="s">
        <v>786</v>
      </c>
      <c r="E70" s="702"/>
      <c r="F70" s="706"/>
      <c r="G70" s="706"/>
      <c r="H70" s="179">
        <v>0</v>
      </c>
      <c r="I70" s="181"/>
      <c r="J70" s="179" t="s">
        <v>57</v>
      </c>
      <c r="K70" s="179" t="s">
        <v>57</v>
      </c>
      <c r="L70" s="179" t="s">
        <v>63</v>
      </c>
      <c r="M70" s="193">
        <v>45705</v>
      </c>
      <c r="N70" s="30" t="s">
        <v>331</v>
      </c>
      <c r="O70" s="124">
        <v>45705</v>
      </c>
      <c r="P70" s="79" t="s">
        <v>331</v>
      </c>
      <c r="Q70" s="43" t="s">
        <v>331</v>
      </c>
      <c r="R70" s="43" t="s">
        <v>331</v>
      </c>
      <c r="S70" s="43" t="s">
        <v>56</v>
      </c>
      <c r="T70" s="43" t="s">
        <v>331</v>
      </c>
      <c r="U70" s="43" t="s">
        <v>331</v>
      </c>
      <c r="V70" s="334" t="s">
        <v>331</v>
      </c>
      <c r="W70" s="540"/>
      <c r="X70" s="69" t="s">
        <v>2142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108</v>
      </c>
      <c r="C71" s="177">
        <v>45899</v>
      </c>
      <c r="D71" s="200" t="s">
        <v>789</v>
      </c>
      <c r="H71" s="185">
        <v>0</v>
      </c>
      <c r="I71" s="181"/>
      <c r="J71" s="185" t="s">
        <v>57</v>
      </c>
      <c r="K71" s="185" t="s">
        <v>57</v>
      </c>
      <c r="L71" s="185" t="s">
        <v>63</v>
      </c>
      <c r="M71" s="195">
        <v>45870</v>
      </c>
      <c r="N71" s="30" t="s">
        <v>331</v>
      </c>
      <c r="O71" s="54">
        <v>45870</v>
      </c>
      <c r="P71" s="79" t="s">
        <v>331</v>
      </c>
      <c r="Q71" s="43" t="s">
        <v>331</v>
      </c>
      <c r="R71" s="43" t="s">
        <v>331</v>
      </c>
      <c r="S71" s="43" t="s">
        <v>56</v>
      </c>
      <c r="T71" s="43" t="s">
        <v>331</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108</v>
      </c>
      <c r="C72" s="177">
        <v>45899</v>
      </c>
      <c r="D72" s="181"/>
      <c r="E72" s="191"/>
      <c r="F72" s="138"/>
      <c r="G72" s="138"/>
      <c r="H72" s="185">
        <v>0</v>
      </c>
      <c r="I72" s="181"/>
      <c r="J72" s="185" t="s">
        <v>57</v>
      </c>
      <c r="K72" s="185" t="s">
        <v>57</v>
      </c>
      <c r="L72" s="185" t="s">
        <v>63</v>
      </c>
      <c r="M72" s="195">
        <v>45882</v>
      </c>
      <c r="N72" s="87" t="s">
        <v>331</v>
      </c>
      <c r="O72" s="54">
        <v>45882</v>
      </c>
      <c r="P72" s="328" t="s">
        <v>331</v>
      </c>
      <c r="Q72" s="157" t="s">
        <v>331</v>
      </c>
      <c r="R72" s="43" t="s">
        <v>331</v>
      </c>
      <c r="S72" s="43" t="s">
        <v>56</v>
      </c>
      <c r="T72" s="43" t="s">
        <v>331</v>
      </c>
      <c r="U72" s="43" t="s">
        <v>331</v>
      </c>
      <c r="V72" s="43" t="s">
        <v>331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108</v>
      </c>
      <c r="C73" s="183">
        <v>45838</v>
      </c>
      <c r="D73" s="619" t="s">
        <v>438</v>
      </c>
      <c r="E73" s="728"/>
      <c r="F73" s="729"/>
      <c r="G73" s="729"/>
      <c r="H73" s="179">
        <v>0</v>
      </c>
      <c r="I73" s="181"/>
      <c r="J73" s="179" t="s">
        <v>57</v>
      </c>
      <c r="K73" s="179" t="s">
        <v>57</v>
      </c>
      <c r="L73" s="179" t="s">
        <v>63</v>
      </c>
      <c r="M73" s="193">
        <v>45790</v>
      </c>
      <c r="N73" s="30" t="s">
        <v>331</v>
      </c>
      <c r="O73" s="124">
        <v>45790</v>
      </c>
      <c r="P73" s="79" t="s">
        <v>331</v>
      </c>
      <c r="Q73" s="43" t="s">
        <v>331</v>
      </c>
      <c r="R73" s="43" t="s">
        <v>331</v>
      </c>
      <c r="S73" s="43" t="s">
        <v>56</v>
      </c>
      <c r="T73" s="43" t="s">
        <v>331</v>
      </c>
      <c r="U73" s="43" t="s">
        <v>331</v>
      </c>
      <c r="V73" s="334" t="s">
        <v>331</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108</v>
      </c>
      <c r="C74" s="177">
        <v>45899</v>
      </c>
      <c r="D74" s="200" t="s">
        <v>792</v>
      </c>
      <c r="E74" s="191"/>
      <c r="F74" s="138"/>
      <c r="G74" s="138"/>
      <c r="H74" s="185">
        <v>0</v>
      </c>
      <c r="I74" s="181"/>
      <c r="J74" s="185" t="s">
        <v>57</v>
      </c>
      <c r="K74" s="185" t="s">
        <v>57</v>
      </c>
      <c r="L74" s="185" t="s">
        <v>63</v>
      </c>
      <c r="M74" s="195">
        <v>45868</v>
      </c>
      <c r="N74" s="30" t="s">
        <v>331</v>
      </c>
      <c r="O74" s="54">
        <v>45871</v>
      </c>
      <c r="P74" s="79" t="s">
        <v>331</v>
      </c>
      <c r="Q74" s="43" t="s">
        <v>331</v>
      </c>
      <c r="R74" s="43" t="s">
        <v>331</v>
      </c>
      <c r="S74" s="43" t="s">
        <v>56</v>
      </c>
      <c r="T74" s="43" t="s">
        <v>331</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108</v>
      </c>
      <c r="C75" s="177">
        <v>45868</v>
      </c>
      <c r="D75" s="619" t="s">
        <v>1024</v>
      </c>
      <c r="E75" s="191"/>
      <c r="F75" s="138"/>
      <c r="G75" s="138"/>
      <c r="H75" s="185">
        <v>0</v>
      </c>
      <c r="I75" s="181"/>
      <c r="J75" s="185" t="s">
        <v>57</v>
      </c>
      <c r="K75" s="185" t="s">
        <v>57</v>
      </c>
      <c r="L75" s="185" t="s">
        <v>63</v>
      </c>
      <c r="M75" s="195">
        <v>45853</v>
      </c>
      <c r="N75" s="30" t="s">
        <v>331</v>
      </c>
      <c r="O75" s="54">
        <v>45853</v>
      </c>
      <c r="P75" s="79" t="s">
        <v>331</v>
      </c>
      <c r="Q75" s="43" t="s">
        <v>331</v>
      </c>
      <c r="R75" s="43" t="s">
        <v>331</v>
      </c>
      <c r="S75" s="43" t="s">
        <v>56</v>
      </c>
      <c r="T75" s="43" t="s">
        <v>331</v>
      </c>
      <c r="U75" s="43" t="s">
        <v>331</v>
      </c>
      <c r="V75" s="43" t="s">
        <v>331</v>
      </c>
      <c r="W75" s="54">
        <v>45905</v>
      </c>
      <c r="X75" s="69" t="s">
        <v>2142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108</v>
      </c>
      <c r="C76" s="177">
        <v>45868</v>
      </c>
      <c r="D76" s="199" t="s">
        <v>1027</v>
      </c>
      <c r="E76" s="191"/>
      <c r="F76" s="138"/>
      <c r="G76" s="138"/>
      <c r="H76" s="185">
        <v>0</v>
      </c>
      <c r="I76" s="181"/>
      <c r="J76" s="179" t="s">
        <v>57</v>
      </c>
      <c r="K76" s="179" t="s">
        <v>57</v>
      </c>
      <c r="L76" s="179" t="s">
        <v>63</v>
      </c>
      <c r="M76" s="195">
        <v>45838</v>
      </c>
      <c r="N76" s="87" t="s">
        <v>331</v>
      </c>
      <c r="O76" s="54">
        <v>45838</v>
      </c>
      <c r="P76" s="87" t="s">
        <v>331</v>
      </c>
      <c r="Q76" s="169" t="s">
        <v>331</v>
      </c>
      <c r="R76" s="169" t="s">
        <v>331</v>
      </c>
      <c r="S76" s="169" t="s">
        <v>56</v>
      </c>
      <c r="T76" s="169" t="s">
        <v>331</v>
      </c>
      <c r="U76" s="43" t="s">
        <v>331</v>
      </c>
      <c r="V76" s="43" t="s">
        <v>331</v>
      </c>
      <c r="W76" s="54">
        <v>45895</v>
      </c>
      <c r="X76" s="69" t="s">
        <v>2142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108</v>
      </c>
      <c r="C77" s="400">
        <v>45930</v>
      </c>
      <c r="D77" s="181"/>
      <c r="E77" s="198"/>
      <c r="F77" s="168"/>
      <c r="G77" s="168"/>
      <c r="H77" s="185">
        <v>0</v>
      </c>
      <c r="I77" s="181"/>
      <c r="J77" s="185" t="s">
        <v>57</v>
      </c>
      <c r="K77" s="185" t="s">
        <v>57</v>
      </c>
      <c r="L77" s="185" t="s">
        <v>63</v>
      </c>
      <c r="M77" s="195">
        <v>45902</v>
      </c>
      <c r="N77" s="87" t="s">
        <v>331</v>
      </c>
      <c r="O77" s="54">
        <v>45902</v>
      </c>
      <c r="P77" s="328" t="s">
        <v>331</v>
      </c>
      <c r="Q77" s="43" t="s">
        <v>331</v>
      </c>
      <c r="R77" s="43" t="s">
        <v>331</v>
      </c>
      <c r="S77" s="43" t="s">
        <v>56</v>
      </c>
      <c r="T77" s="43" t="s">
        <v>331</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108</v>
      </c>
      <c r="C78" s="400">
        <v>45930</v>
      </c>
      <c r="D78" s="181"/>
      <c r="E78" s="198"/>
      <c r="F78" s="168"/>
      <c r="G78" s="168"/>
      <c r="H78" s="185">
        <v>0</v>
      </c>
      <c r="I78" s="181"/>
      <c r="J78" s="185" t="s">
        <v>57</v>
      </c>
      <c r="K78" s="185" t="s">
        <v>57</v>
      </c>
      <c r="L78" s="185" t="s">
        <v>63</v>
      </c>
      <c r="M78" s="195">
        <v>45902</v>
      </c>
      <c r="N78" s="87" t="s">
        <v>331</v>
      </c>
      <c r="O78" s="54">
        <v>45902</v>
      </c>
      <c r="P78" s="328" t="s">
        <v>331</v>
      </c>
      <c r="Q78" s="43" t="s">
        <v>331</v>
      </c>
      <c r="R78" s="43" t="s">
        <v>331</v>
      </c>
      <c r="S78" s="43" t="s">
        <v>56</v>
      </c>
      <c r="T78" s="43" t="s">
        <v>331</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108</v>
      </c>
      <c r="C79" s="408">
        <v>45792</v>
      </c>
      <c r="D79" s="176" t="s">
        <v>807</v>
      </c>
      <c r="E79" s="701"/>
      <c r="F79" s="705"/>
      <c r="G79" s="705"/>
      <c r="H79" s="179">
        <v>0</v>
      </c>
      <c r="I79" s="181"/>
      <c r="J79" s="179" t="s">
        <v>57</v>
      </c>
      <c r="K79" s="179" t="s">
        <v>57</v>
      </c>
      <c r="L79" s="179" t="s">
        <v>63</v>
      </c>
      <c r="M79" s="100" t="s">
        <v>331</v>
      </c>
      <c r="N79" s="87" t="s">
        <v>331</v>
      </c>
      <c r="O79" s="87" t="s">
        <v>331</v>
      </c>
      <c r="P79" s="87" t="s">
        <v>331</v>
      </c>
      <c r="Q79" s="43" t="s">
        <v>56</v>
      </c>
      <c r="R79" s="43" t="s">
        <v>56</v>
      </c>
      <c r="S79" s="43" t="s">
        <v>56</v>
      </c>
      <c r="T79" s="43" t="s">
        <v>331</v>
      </c>
      <c r="U79" s="43" t="s">
        <v>331</v>
      </c>
      <c r="V79" s="334" t="s">
        <v>331</v>
      </c>
      <c r="W79" s="54">
        <v>45820</v>
      </c>
      <c r="X79" s="69" t="s">
        <v>2142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108</v>
      </c>
      <c r="C80" s="400">
        <v>45787</v>
      </c>
      <c r="D80" s="619" t="s">
        <v>809</v>
      </c>
      <c r="E80" s="198"/>
      <c r="F80" s="168"/>
      <c r="G80" s="168"/>
      <c r="H80" s="185">
        <v>0</v>
      </c>
      <c r="I80" s="181"/>
      <c r="J80" s="185" t="s">
        <v>57</v>
      </c>
      <c r="K80" s="185" t="s">
        <v>57</v>
      </c>
      <c r="L80" s="185" t="s">
        <v>63</v>
      </c>
      <c r="M80" s="49" t="s">
        <v>52</v>
      </c>
      <c r="N80" s="87" t="s">
        <v>331</v>
      </c>
      <c r="O80" s="30" t="s">
        <v>52</v>
      </c>
      <c r="P80" s="87" t="s">
        <v>331</v>
      </c>
      <c r="Q80" s="43" t="s">
        <v>56</v>
      </c>
      <c r="R80" s="43" t="s">
        <v>56</v>
      </c>
      <c r="S80" s="43" t="s">
        <v>56</v>
      </c>
      <c r="T80" s="43" t="s">
        <v>331</v>
      </c>
      <c r="U80" s="43" t="s">
        <v>331</v>
      </c>
      <c r="V80" s="69" t="s">
        <v>331</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2144</v>
      </c>
      <c r="B81" s="529" t="s">
        <v>108</v>
      </c>
      <c r="C81" s="176">
        <v>45688</v>
      </c>
      <c r="D81" s="619" t="s">
        <v>811</v>
      </c>
      <c r="E81" s="172"/>
      <c r="F81" s="129"/>
      <c r="G81" s="129"/>
      <c r="H81" s="179">
        <v>48</v>
      </c>
      <c r="I81" s="181"/>
      <c r="J81" s="179" t="s">
        <v>57</v>
      </c>
      <c r="K81" s="179" t="s">
        <v>57</v>
      </c>
      <c r="L81" s="179" t="s">
        <v>56</v>
      </c>
      <c r="M81" s="100" t="s">
        <v>331</v>
      </c>
      <c r="N81" s="87" t="s">
        <v>331</v>
      </c>
      <c r="O81" s="124">
        <v>45678</v>
      </c>
      <c r="P81" s="87" t="s">
        <v>331</v>
      </c>
      <c r="Q81" s="43" t="s">
        <v>331</v>
      </c>
      <c r="R81" s="43" t="s">
        <v>2139</v>
      </c>
      <c r="S81" s="43" t="s">
        <v>331</v>
      </c>
      <c r="T81" s="43" t="s">
        <v>331</v>
      </c>
      <c r="U81" s="115" t="s">
        <v>331</v>
      </c>
      <c r="V81" s="69" t="s">
        <v>331</v>
      </c>
      <c r="W81" s="54">
        <v>45789</v>
      </c>
      <c r="X81" s="69" t="s">
        <v>2142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108</v>
      </c>
      <c r="C82" s="400">
        <v>45899</v>
      </c>
      <c r="D82" s="181"/>
      <c r="E82" s="191"/>
      <c r="F82" s="138"/>
      <c r="G82" s="138"/>
      <c r="H82" s="185">
        <v>208</v>
      </c>
      <c r="I82" s="181"/>
      <c r="J82" s="179" t="s">
        <v>57</v>
      </c>
      <c r="K82" s="179" t="s">
        <v>57</v>
      </c>
      <c r="L82" s="179" t="s">
        <v>56</v>
      </c>
      <c r="M82" s="195">
        <v>45874</v>
      </c>
      <c r="N82" s="87" t="s">
        <v>331</v>
      </c>
      <c r="O82" s="54">
        <v>45874</v>
      </c>
      <c r="P82" s="87" t="s">
        <v>331</v>
      </c>
      <c r="Q82" s="43" t="s">
        <v>331</v>
      </c>
      <c r="R82" s="43" t="s">
        <v>2139</v>
      </c>
      <c r="S82" s="43" t="s">
        <v>331</v>
      </c>
      <c r="T82" s="43" t="s">
        <v>331</v>
      </c>
      <c r="U82" s="115" t="s">
        <v>331</v>
      </c>
      <c r="V82" s="69" t="s">
        <v>331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679</v>
      </c>
      <c r="B83" s="182" t="s">
        <v>50</v>
      </c>
      <c r="C83" s="531">
        <v>45716</v>
      </c>
      <c r="D83" s="184" t="s">
        <v>550</v>
      </c>
      <c r="E83" s="192"/>
      <c r="F83" s="136"/>
      <c r="G83" s="136"/>
      <c r="H83" s="188">
        <v>0</v>
      </c>
      <c r="I83" s="181"/>
      <c r="J83" s="188" t="s">
        <v>57</v>
      </c>
      <c r="K83" s="188" t="s">
        <v>57</v>
      </c>
      <c r="L83" s="179" t="s">
        <v>63</v>
      </c>
      <c r="M83" s="194">
        <v>45705</v>
      </c>
      <c r="N83" s="87" t="s">
        <v>331</v>
      </c>
      <c r="O83" s="54">
        <v>45706</v>
      </c>
      <c r="P83" s="87" t="s">
        <v>331</v>
      </c>
      <c r="Q83" s="165" t="s">
        <v>331</v>
      </c>
      <c r="R83" s="69" t="s">
        <v>331</v>
      </c>
      <c r="S83" s="69" t="s">
        <v>56</v>
      </c>
      <c r="T83" s="69" t="s">
        <v>331</v>
      </c>
      <c r="U83" s="43" t="s">
        <v>331</v>
      </c>
      <c r="V83" s="43" t="s">
        <v>331</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331</v>
      </c>
      <c r="O84" s="54">
        <v>45728</v>
      </c>
      <c r="P84" s="30" t="s">
        <v>331</v>
      </c>
      <c r="Q84" s="169" t="s">
        <v>331</v>
      </c>
      <c r="R84" s="169" t="s">
        <v>2139</v>
      </c>
      <c r="S84" s="169" t="s">
        <v>331</v>
      </c>
      <c r="T84" s="169" t="s">
        <v>331</v>
      </c>
      <c r="U84" s="91" t="s">
        <v>331</v>
      </c>
      <c r="V84" s="69" t="s">
        <v>331</v>
      </c>
      <c r="W84" s="195">
        <v>45875</v>
      </c>
      <c r="X84" s="69" t="s">
        <v>2142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331</v>
      </c>
      <c r="O85" s="54">
        <v>45719</v>
      </c>
      <c r="P85" s="30" t="s">
        <v>331</v>
      </c>
      <c r="Q85" s="43" t="s">
        <v>331</v>
      </c>
      <c r="R85" s="169" t="s">
        <v>2139</v>
      </c>
      <c r="S85" s="169" t="s">
        <v>331</v>
      </c>
      <c r="T85" s="169" t="s">
        <v>331</v>
      </c>
      <c r="U85" s="91" t="s">
        <v>331</v>
      </c>
      <c r="V85" s="91" t="s">
        <v>331</v>
      </c>
      <c r="W85" s="195">
        <v>45874</v>
      </c>
      <c r="X85" s="69" t="s">
        <v>2142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331</v>
      </c>
      <c r="O86" s="195">
        <v>45728</v>
      </c>
      <c r="P86" s="30" t="s">
        <v>331</v>
      </c>
      <c r="Q86" s="43" t="s">
        <v>331</v>
      </c>
      <c r="R86" s="43" t="s">
        <v>2139</v>
      </c>
      <c r="S86" s="43" t="s">
        <v>331</v>
      </c>
      <c r="T86" s="43" t="s">
        <v>331</v>
      </c>
      <c r="U86" s="69" t="s">
        <v>331</v>
      </c>
      <c r="V86" s="69" t="s">
        <v>331</v>
      </c>
      <c r="W86" s="54">
        <v>45824</v>
      </c>
      <c r="X86" s="69" t="s">
        <v>2142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331</v>
      </c>
      <c r="O87" s="30" t="s">
        <v>331</v>
      </c>
      <c r="P87" s="30" t="s">
        <v>331</v>
      </c>
      <c r="Q87" s="43" t="s">
        <v>331</v>
      </c>
      <c r="R87" s="43" t="s">
        <v>2139</v>
      </c>
      <c r="S87" s="43" t="s">
        <v>331</v>
      </c>
      <c r="T87" s="43" t="s">
        <v>331</v>
      </c>
      <c r="U87" s="157" t="s">
        <v>331</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331</v>
      </c>
      <c r="O88" s="54">
        <v>45728</v>
      </c>
      <c r="P88" s="30" t="s">
        <v>331</v>
      </c>
      <c r="Q88" s="43" t="s">
        <v>331</v>
      </c>
      <c r="R88" s="43" t="s">
        <v>2139</v>
      </c>
      <c r="S88" s="43" t="s">
        <v>331</v>
      </c>
      <c r="T88" s="43" t="s">
        <v>331</v>
      </c>
      <c r="U88" s="157" t="s">
        <v>331</v>
      </c>
      <c r="V88" s="157" t="s">
        <v>331</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331</v>
      </c>
      <c r="O89" s="54">
        <v>45722</v>
      </c>
      <c r="P89" s="30" t="s">
        <v>331</v>
      </c>
      <c r="Q89" s="69" t="s">
        <v>331</v>
      </c>
      <c r="R89" s="43" t="s">
        <v>2139</v>
      </c>
      <c r="S89" s="69" t="s">
        <v>331</v>
      </c>
      <c r="T89" s="69" t="s">
        <v>331</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652</v>
      </c>
      <c r="B90" s="182" t="s">
        <v>50</v>
      </c>
      <c r="C90" s="176">
        <v>45742</v>
      </c>
      <c r="D90" s="211" t="s">
        <v>654</v>
      </c>
      <c r="E90" s="191"/>
      <c r="F90" s="138"/>
      <c r="G90" s="138"/>
      <c r="H90" s="185">
        <v>71</v>
      </c>
      <c r="I90" s="181"/>
      <c r="J90" s="185" t="s">
        <v>57</v>
      </c>
      <c r="K90" s="185" t="s">
        <v>57</v>
      </c>
      <c r="L90" s="185" t="s">
        <v>63</v>
      </c>
      <c r="M90" s="195">
        <v>45716</v>
      </c>
      <c r="N90" s="30" t="s">
        <v>331</v>
      </c>
      <c r="O90" s="54">
        <v>45727</v>
      </c>
      <c r="P90" s="30" t="s">
        <v>331</v>
      </c>
      <c r="Q90" s="69" t="s">
        <v>331</v>
      </c>
      <c r="R90" s="43" t="s">
        <v>2139</v>
      </c>
      <c r="S90" s="69" t="s">
        <v>331</v>
      </c>
      <c r="T90" s="69" t="s">
        <v>331</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331</v>
      </c>
      <c r="O91" s="54">
        <v>45723</v>
      </c>
      <c r="P91" s="30" t="s">
        <v>331</v>
      </c>
      <c r="Q91" s="69" t="s">
        <v>331</v>
      </c>
      <c r="R91" s="43" t="s">
        <v>2139</v>
      </c>
      <c r="S91" s="69" t="s">
        <v>331</v>
      </c>
      <c r="T91" s="69" t="s">
        <v>331</v>
      </c>
      <c r="U91" s="69" t="s">
        <v>331</v>
      </c>
      <c r="V91" s="69" t="s">
        <v>331</v>
      </c>
      <c r="W91" s="54">
        <v>45831</v>
      </c>
      <c r="X91" s="69" t="s">
        <v>2142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331</v>
      </c>
      <c r="O92" s="54">
        <v>45726</v>
      </c>
      <c r="P92" s="30" t="s">
        <v>331</v>
      </c>
      <c r="Q92" s="148" t="s">
        <v>331</v>
      </c>
      <c r="R92" s="43" t="s">
        <v>2139</v>
      </c>
      <c r="S92" s="69" t="s">
        <v>331</v>
      </c>
      <c r="T92" s="69" t="s">
        <v>331</v>
      </c>
      <c r="U92" s="334" t="s">
        <v>331</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331</v>
      </c>
      <c r="O93" s="54">
        <v>45727</v>
      </c>
      <c r="P93" s="79" t="s">
        <v>331</v>
      </c>
      <c r="Q93" s="43" t="s">
        <v>331</v>
      </c>
      <c r="R93" s="43" t="s">
        <v>2139</v>
      </c>
      <c r="S93" s="43" t="s">
        <v>331</v>
      </c>
      <c r="T93" s="43" t="s">
        <v>331</v>
      </c>
      <c r="U93" s="334" t="s">
        <v>331</v>
      </c>
      <c r="V93" s="69" t="s">
        <v>331</v>
      </c>
      <c r="W93" s="54">
        <v>45789</v>
      </c>
      <c r="X93" s="69" t="s">
        <v>2142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656</v>
      </c>
      <c r="B94" s="182" t="s">
        <v>50</v>
      </c>
      <c r="C94" s="183">
        <v>45711</v>
      </c>
      <c r="D94" s="184" t="s">
        <v>658</v>
      </c>
      <c r="E94" s="192"/>
      <c r="F94" s="136"/>
      <c r="G94" s="136"/>
      <c r="H94" s="188">
        <v>86</v>
      </c>
      <c r="I94" s="181"/>
      <c r="J94" s="188" t="s">
        <v>57</v>
      </c>
      <c r="K94" s="188" t="s">
        <v>57</v>
      </c>
      <c r="L94" s="188" t="s">
        <v>63</v>
      </c>
      <c r="M94" s="194">
        <v>45714</v>
      </c>
      <c r="N94" s="30" t="s">
        <v>331</v>
      </c>
      <c r="O94" s="54">
        <v>45693</v>
      </c>
      <c r="P94" s="79" t="s">
        <v>331</v>
      </c>
      <c r="Q94" s="69" t="s">
        <v>331</v>
      </c>
      <c r="R94" s="69" t="s">
        <v>2139</v>
      </c>
      <c r="S94" s="69" t="s">
        <v>331</v>
      </c>
      <c r="T94" s="69" t="s">
        <v>331</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331</v>
      </c>
      <c r="O95" s="195">
        <v>45694</v>
      </c>
      <c r="P95" s="79" t="s">
        <v>331</v>
      </c>
      <c r="Q95" s="69" t="s">
        <v>331</v>
      </c>
      <c r="R95" s="69" t="s">
        <v>2139</v>
      </c>
      <c r="S95" s="69" t="s">
        <v>331</v>
      </c>
      <c r="T95" s="43" t="s">
        <v>331</v>
      </c>
      <c r="U95" s="69" t="s">
        <v>331</v>
      </c>
      <c r="V95" s="69" t="s">
        <v>331</v>
      </c>
      <c r="W95" s="54">
        <v>45814</v>
      </c>
      <c r="X95" s="69" t="s">
        <v>2142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660</v>
      </c>
      <c r="B96" s="182" t="s">
        <v>50</v>
      </c>
      <c r="C96" s="183">
        <v>45711</v>
      </c>
      <c r="D96" s="694" t="s">
        <v>661</v>
      </c>
      <c r="E96" s="192"/>
      <c r="F96" s="136"/>
      <c r="G96" s="136"/>
      <c r="H96" s="188">
        <v>89</v>
      </c>
      <c r="I96" s="181"/>
      <c r="J96" s="188" t="s">
        <v>57</v>
      </c>
      <c r="K96" s="188" t="s">
        <v>57</v>
      </c>
      <c r="L96" s="188" t="s">
        <v>63</v>
      </c>
      <c r="M96" s="194">
        <v>45695</v>
      </c>
      <c r="N96" s="30" t="s">
        <v>331</v>
      </c>
      <c r="O96" s="54">
        <v>45694</v>
      </c>
      <c r="P96" s="30" t="s">
        <v>331</v>
      </c>
      <c r="Q96" s="69" t="s">
        <v>331</v>
      </c>
      <c r="R96" s="91" t="s">
        <v>2139</v>
      </c>
      <c r="S96" s="69" t="s">
        <v>331</v>
      </c>
      <c r="T96" s="69" t="s">
        <v>331</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661</v>
      </c>
      <c r="E97" s="192"/>
      <c r="F97" s="136"/>
      <c r="G97" s="136"/>
      <c r="H97" s="188">
        <v>86</v>
      </c>
      <c r="I97" s="181"/>
      <c r="J97" s="188" t="s">
        <v>57</v>
      </c>
      <c r="K97" s="188" t="s">
        <v>57</v>
      </c>
      <c r="L97" s="188" t="s">
        <v>63</v>
      </c>
      <c r="M97" s="194">
        <v>45698</v>
      </c>
      <c r="N97" s="30" t="s">
        <v>331</v>
      </c>
      <c r="O97" s="54">
        <v>45688</v>
      </c>
      <c r="P97" s="30" t="s">
        <v>331</v>
      </c>
      <c r="Q97" s="69" t="s">
        <v>331</v>
      </c>
      <c r="R97" s="69" t="s">
        <v>2139</v>
      </c>
      <c r="S97" s="69" t="s">
        <v>331</v>
      </c>
      <c r="T97" s="69" t="s">
        <v>331</v>
      </c>
      <c r="U97" s="69" t="s">
        <v>331</v>
      </c>
      <c r="V97" s="43" t="s">
        <v>331</v>
      </c>
      <c r="W97" s="54">
        <v>45824</v>
      </c>
      <c r="X97" s="69" t="s">
        <v>2142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663</v>
      </c>
      <c r="B98" s="182" t="s">
        <v>50</v>
      </c>
      <c r="C98" s="183">
        <v>45711</v>
      </c>
      <c r="D98" s="691" t="s">
        <v>664</v>
      </c>
      <c r="E98" s="192"/>
      <c r="F98" s="136"/>
      <c r="G98" s="136"/>
      <c r="H98" s="188">
        <v>77</v>
      </c>
      <c r="I98" s="181"/>
      <c r="J98" s="188" t="s">
        <v>57</v>
      </c>
      <c r="K98" s="188" t="s">
        <v>57</v>
      </c>
      <c r="L98" s="188" t="s">
        <v>63</v>
      </c>
      <c r="M98" s="194">
        <v>45686</v>
      </c>
      <c r="N98" s="30" t="s">
        <v>331</v>
      </c>
      <c r="O98" s="54">
        <v>45692</v>
      </c>
      <c r="P98" s="30" t="s">
        <v>331</v>
      </c>
      <c r="Q98" s="43" t="s">
        <v>331</v>
      </c>
      <c r="R98" s="43" t="s">
        <v>2139</v>
      </c>
      <c r="S98" s="43" t="s">
        <v>331</v>
      </c>
      <c r="T98" s="43" t="s">
        <v>331</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331</v>
      </c>
      <c r="O99" s="54">
        <v>45692</v>
      </c>
      <c r="P99" s="30" t="s">
        <v>331</v>
      </c>
      <c r="Q99" s="43" t="s">
        <v>331</v>
      </c>
      <c r="R99" s="43" t="s">
        <v>2139</v>
      </c>
      <c r="S99" s="43" t="s">
        <v>331</v>
      </c>
      <c r="T99" s="115" t="s">
        <v>331</v>
      </c>
      <c r="U99" s="148" t="s">
        <v>331</v>
      </c>
      <c r="V99" s="69" t="s">
        <v>331</v>
      </c>
      <c r="W99" s="54">
        <v>45814</v>
      </c>
      <c r="X99" s="69" t="s">
        <v>2142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331</v>
      </c>
      <c r="O100" s="166">
        <v>45691</v>
      </c>
      <c r="P100" s="30" t="s">
        <v>331</v>
      </c>
      <c r="Q100" s="43" t="s">
        <v>331</v>
      </c>
      <c r="R100" s="43" t="s">
        <v>2139</v>
      </c>
      <c r="S100" s="43" t="s">
        <v>331</v>
      </c>
      <c r="T100" s="43" t="s">
        <v>331</v>
      </c>
      <c r="U100" s="69" t="s">
        <v>331</v>
      </c>
      <c r="V100" s="157" t="s">
        <v>331</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666</v>
      </c>
      <c r="B101" s="182" t="s">
        <v>50</v>
      </c>
      <c r="C101" s="183">
        <v>45711</v>
      </c>
      <c r="D101" s="184" t="s">
        <v>668</v>
      </c>
      <c r="E101" s="727"/>
      <c r="F101" s="727"/>
      <c r="G101" s="727"/>
      <c r="H101" s="188">
        <v>84</v>
      </c>
      <c r="I101" s="181"/>
      <c r="J101" s="188" t="s">
        <v>57</v>
      </c>
      <c r="K101" s="188" t="s">
        <v>57</v>
      </c>
      <c r="L101" s="188" t="s">
        <v>63</v>
      </c>
      <c r="M101" s="194">
        <v>45698</v>
      </c>
      <c r="N101" s="30" t="s">
        <v>331</v>
      </c>
      <c r="O101" s="54">
        <v>45695</v>
      </c>
      <c r="P101" s="30" t="s">
        <v>331</v>
      </c>
      <c r="Q101" s="43" t="s">
        <v>331</v>
      </c>
      <c r="R101" s="43" t="s">
        <v>2139</v>
      </c>
      <c r="S101" s="43" t="s">
        <v>331</v>
      </c>
      <c r="T101" s="43" t="s">
        <v>331</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331</v>
      </c>
      <c r="N102" s="30" t="s">
        <v>331</v>
      </c>
      <c r="O102" s="54">
        <v>45699</v>
      </c>
      <c r="P102" s="87" t="s">
        <v>331</v>
      </c>
      <c r="Q102" s="88" t="s">
        <v>331</v>
      </c>
      <c r="R102" s="43" t="s">
        <v>2139</v>
      </c>
      <c r="S102" s="43" t="s">
        <v>331</v>
      </c>
      <c r="T102" s="43" t="s">
        <v>331</v>
      </c>
      <c r="U102" s="43" t="s">
        <v>331</v>
      </c>
      <c r="V102" s="165" t="s">
        <v>331</v>
      </c>
      <c r="W102" s="54">
        <v>45835</v>
      </c>
      <c r="X102" s="69" t="s">
        <v>2142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331</v>
      </c>
      <c r="O103" s="54">
        <v>45675</v>
      </c>
      <c r="P103" s="87" t="s">
        <v>331</v>
      </c>
      <c r="Q103" s="43" t="s">
        <v>331</v>
      </c>
      <c r="R103" s="43" t="s">
        <v>2139</v>
      </c>
      <c r="S103" s="43" t="s">
        <v>331</v>
      </c>
      <c r="T103" s="43" t="s">
        <v>331</v>
      </c>
      <c r="U103" s="43" t="s">
        <v>331</v>
      </c>
      <c r="V103" s="139" t="s">
        <v>331</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331</v>
      </c>
      <c r="N104" s="119" t="s">
        <v>331</v>
      </c>
      <c r="O104" s="54">
        <v>45675</v>
      </c>
      <c r="P104" s="213" t="s">
        <v>331</v>
      </c>
      <c r="Q104" s="43" t="s">
        <v>331</v>
      </c>
      <c r="R104" s="43" t="s">
        <v>2139</v>
      </c>
      <c r="S104" s="43" t="s">
        <v>331</v>
      </c>
      <c r="T104" s="43" t="s">
        <v>331</v>
      </c>
      <c r="U104" s="43" t="s">
        <v>331</v>
      </c>
      <c r="V104" s="139" t="s">
        <v>331</v>
      </c>
      <c r="W104" s="54">
        <v>45820</v>
      </c>
      <c r="X104" s="69" t="s">
        <v>2142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331</v>
      </c>
      <c r="O105" s="54">
        <v>45743</v>
      </c>
      <c r="P105" s="87" t="s">
        <v>331</v>
      </c>
      <c r="Q105" s="157" t="s">
        <v>331</v>
      </c>
      <c r="R105" s="69" t="s">
        <v>2139</v>
      </c>
      <c r="S105" s="43" t="s">
        <v>331</v>
      </c>
      <c r="T105" s="43" t="s">
        <v>331</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331</v>
      </c>
      <c r="O106" s="54">
        <v>45679</v>
      </c>
      <c r="P106" s="87" t="s">
        <v>331</v>
      </c>
      <c r="Q106" s="43" t="s">
        <v>331</v>
      </c>
      <c r="R106" s="43" t="s">
        <v>2139</v>
      </c>
      <c r="S106" s="43" t="s">
        <v>331</v>
      </c>
      <c r="T106" s="43" t="s">
        <v>331</v>
      </c>
      <c r="U106" s="43" t="s">
        <v>331</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331</v>
      </c>
      <c r="O107" s="54">
        <v>45749</v>
      </c>
      <c r="P107" s="30" t="s">
        <v>331</v>
      </c>
      <c r="Q107" s="43" t="s">
        <v>331</v>
      </c>
      <c r="R107" s="43" t="s">
        <v>2139</v>
      </c>
      <c r="S107" s="43" t="s">
        <v>331</v>
      </c>
      <c r="T107" s="43" t="s">
        <v>331</v>
      </c>
      <c r="U107" s="43" t="s">
        <v>331</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331</v>
      </c>
      <c r="O108" s="54">
        <v>45749</v>
      </c>
      <c r="P108" s="30" t="s">
        <v>331</v>
      </c>
      <c r="Q108" s="43" t="s">
        <v>331</v>
      </c>
      <c r="R108" s="334" t="s">
        <v>2139</v>
      </c>
      <c r="S108" s="43" t="s">
        <v>331</v>
      </c>
      <c r="T108" s="43" t="s">
        <v>331</v>
      </c>
      <c r="U108" s="88" t="s">
        <v>331</v>
      </c>
      <c r="V108" s="481" t="s">
        <v>331</v>
      </c>
      <c r="W108" s="356">
        <v>45798</v>
      </c>
      <c r="X108" s="69" t="s">
        <v>2142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331</v>
      </c>
      <c r="O109" s="54">
        <v>45744</v>
      </c>
      <c r="P109" s="79" t="s">
        <v>331</v>
      </c>
      <c r="Q109" s="43" t="s">
        <v>331</v>
      </c>
      <c r="R109" s="334" t="s">
        <v>2139</v>
      </c>
      <c r="S109" s="43" t="s">
        <v>331</v>
      </c>
      <c r="T109" s="43" t="s">
        <v>331</v>
      </c>
      <c r="U109" s="43" t="s">
        <v>2145</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331</v>
      </c>
      <c r="O110" s="54">
        <v>45691</v>
      </c>
      <c r="P110" s="79" t="s">
        <v>331</v>
      </c>
      <c r="Q110" s="43" t="s">
        <v>331</v>
      </c>
      <c r="R110" s="334" t="s">
        <v>2139</v>
      </c>
      <c r="S110" s="43" t="s">
        <v>331</v>
      </c>
      <c r="T110" s="43" t="s">
        <v>331</v>
      </c>
      <c r="U110" s="88" t="s">
        <v>331</v>
      </c>
      <c r="V110" s="481" t="s">
        <v>331</v>
      </c>
      <c r="W110" s="356">
        <v>45902</v>
      </c>
      <c r="X110" s="69" t="s">
        <v>2142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331</v>
      </c>
      <c r="O111" s="54">
        <v>45708</v>
      </c>
      <c r="P111" s="30" t="s">
        <v>331</v>
      </c>
      <c r="Q111" s="169" t="s">
        <v>331</v>
      </c>
      <c r="R111" s="69" t="s">
        <v>2139</v>
      </c>
      <c r="S111" s="43" t="s">
        <v>331</v>
      </c>
      <c r="T111" s="43" t="s">
        <v>331</v>
      </c>
      <c r="U111" s="43" t="s">
        <v>331</v>
      </c>
      <c r="V111" s="201" t="s">
        <v>331</v>
      </c>
      <c r="W111" s="166">
        <v>45790</v>
      </c>
      <c r="X111" s="69" t="s">
        <v>2142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331</v>
      </c>
      <c r="O112" s="166">
        <v>45744</v>
      </c>
      <c r="P112" s="114" t="s">
        <v>331</v>
      </c>
      <c r="Q112" s="115" t="s">
        <v>331</v>
      </c>
      <c r="R112" s="148" t="s">
        <v>2139</v>
      </c>
      <c r="S112" s="43" t="s">
        <v>331</v>
      </c>
      <c r="T112" s="43" t="s">
        <v>331</v>
      </c>
      <c r="U112" s="43" t="s">
        <v>331</v>
      </c>
      <c r="V112" s="201" t="s">
        <v>331</v>
      </c>
      <c r="W112" s="479">
        <v>45791</v>
      </c>
      <c r="X112" s="69" t="s">
        <v>2142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331</v>
      </c>
      <c r="O113" s="166">
        <v>45755</v>
      </c>
      <c r="P113" s="114" t="s">
        <v>331</v>
      </c>
      <c r="Q113" s="115" t="s">
        <v>331</v>
      </c>
      <c r="R113" s="148" t="s">
        <v>2139</v>
      </c>
      <c r="S113" s="115" t="s">
        <v>331</v>
      </c>
      <c r="T113" s="43" t="s">
        <v>331</v>
      </c>
      <c r="U113" s="43" t="s">
        <v>331</v>
      </c>
      <c r="V113" s="201" t="s">
        <v>331</v>
      </c>
      <c r="W113" s="479">
        <v>45791</v>
      </c>
      <c r="X113" s="148" t="s">
        <v>2142</v>
      </c>
    </row>
    <row r="114" spans="1:25">
      <c r="A114" s="178" t="s">
        <v>874</v>
      </c>
      <c r="B114" s="182" t="s">
        <v>50</v>
      </c>
      <c r="C114" s="314">
        <v>45772</v>
      </c>
      <c r="D114" s="410" t="s">
        <v>875</v>
      </c>
      <c r="H114" s="185">
        <v>75</v>
      </c>
      <c r="I114" s="181"/>
      <c r="J114" s="179" t="s">
        <v>57</v>
      </c>
      <c r="K114" s="420" t="s">
        <v>57</v>
      </c>
      <c r="L114" s="179" t="s">
        <v>63</v>
      </c>
      <c r="M114" s="193">
        <v>45741</v>
      </c>
      <c r="N114" s="114" t="s">
        <v>331</v>
      </c>
      <c r="O114" s="54">
        <v>45747</v>
      </c>
      <c r="P114" s="114" t="s">
        <v>331</v>
      </c>
      <c r="Q114" s="115" t="s">
        <v>331</v>
      </c>
      <c r="R114" s="148" t="s">
        <v>2139</v>
      </c>
      <c r="S114" s="115" t="s">
        <v>331</v>
      </c>
      <c r="T114" s="43" t="s">
        <v>331</v>
      </c>
      <c r="U114" s="157" t="s">
        <v>331</v>
      </c>
      <c r="V114" s="201" t="s">
        <v>331</v>
      </c>
      <c r="W114" s="54">
        <v>45798</v>
      </c>
      <c r="X114" s="69" t="s">
        <v>2142</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331</v>
      </c>
      <c r="O115" s="124">
        <v>45757</v>
      </c>
      <c r="P115" s="30" t="s">
        <v>331</v>
      </c>
      <c r="Q115" s="43" t="s">
        <v>331</v>
      </c>
      <c r="R115" s="69" t="s">
        <v>2139</v>
      </c>
      <c r="S115" s="43" t="s">
        <v>331</v>
      </c>
      <c r="T115" s="43" t="s">
        <v>331</v>
      </c>
      <c r="U115" s="43" t="s">
        <v>331</v>
      </c>
      <c r="V115" s="88" t="s">
        <v>331</v>
      </c>
      <c r="W115" s="54">
        <v>45814</v>
      </c>
      <c r="X115" s="69" t="s">
        <v>2142</v>
      </c>
    </row>
    <row r="116" spans="1:25">
      <c r="A116" s="178" t="s">
        <v>878</v>
      </c>
      <c r="B116" s="182" t="s">
        <v>50</v>
      </c>
      <c r="C116" s="314">
        <v>45772</v>
      </c>
      <c r="D116" s="716" t="s">
        <v>880</v>
      </c>
      <c r="H116" s="179">
        <v>50</v>
      </c>
      <c r="I116" s="181"/>
      <c r="J116" s="179" t="s">
        <v>57</v>
      </c>
      <c r="K116" s="420" t="s">
        <v>57</v>
      </c>
      <c r="L116" s="179" t="s">
        <v>63</v>
      </c>
      <c r="M116" s="193">
        <v>45757</v>
      </c>
      <c r="N116" s="30" t="s">
        <v>331</v>
      </c>
      <c r="O116" s="124">
        <v>45757</v>
      </c>
      <c r="P116" s="30" t="s">
        <v>331</v>
      </c>
      <c r="Q116" s="43" t="s">
        <v>331</v>
      </c>
      <c r="R116" s="69" t="s">
        <v>2139</v>
      </c>
      <c r="S116" s="43" t="s">
        <v>331</v>
      </c>
      <c r="T116" s="43" t="s">
        <v>331</v>
      </c>
      <c r="U116" s="43" t="s">
        <v>331</v>
      </c>
      <c r="V116" s="481" t="s">
        <v>331</v>
      </c>
      <c r="W116" s="54">
        <v>45807</v>
      </c>
      <c r="X116" s="69" t="s">
        <v>2142</v>
      </c>
    </row>
    <row r="117" spans="1:25">
      <c r="A117" s="178" t="s">
        <v>882</v>
      </c>
      <c r="B117" s="182" t="s">
        <v>50</v>
      </c>
      <c r="C117" s="314">
        <v>45772</v>
      </c>
      <c r="D117" s="518" t="s">
        <v>883</v>
      </c>
      <c r="H117" s="179">
        <v>76</v>
      </c>
      <c r="I117" s="181"/>
      <c r="J117" s="179" t="s">
        <v>57</v>
      </c>
      <c r="K117" s="420" t="s">
        <v>57</v>
      </c>
      <c r="L117" s="179" t="s">
        <v>63</v>
      </c>
      <c r="M117" s="193">
        <v>45757</v>
      </c>
      <c r="N117" s="87" t="s">
        <v>331</v>
      </c>
      <c r="O117" s="124">
        <v>45757</v>
      </c>
      <c r="P117" s="30" t="s">
        <v>331</v>
      </c>
      <c r="Q117" s="43" t="s">
        <v>331</v>
      </c>
      <c r="R117" s="69" t="s">
        <v>2139</v>
      </c>
      <c r="S117" s="43" t="s">
        <v>331</v>
      </c>
      <c r="T117" s="43" t="s">
        <v>331</v>
      </c>
      <c r="U117" s="43" t="s">
        <v>331</v>
      </c>
      <c r="V117" s="88" t="s">
        <v>331</v>
      </c>
      <c r="W117" s="54">
        <v>45811</v>
      </c>
      <c r="X117" s="69" t="s">
        <v>2142</v>
      </c>
    </row>
    <row r="118" spans="1:25">
      <c r="A118" s="178" t="s">
        <v>884</v>
      </c>
      <c r="B118" s="182" t="s">
        <v>50</v>
      </c>
      <c r="C118" s="314">
        <v>45772</v>
      </c>
      <c r="D118" s="179" t="s">
        <v>886</v>
      </c>
      <c r="H118" s="185">
        <v>88</v>
      </c>
      <c r="I118" s="181"/>
      <c r="J118" s="179" t="s">
        <v>57</v>
      </c>
      <c r="K118" s="420" t="s">
        <v>57</v>
      </c>
      <c r="L118" s="179" t="s">
        <v>63</v>
      </c>
      <c r="M118" s="193">
        <v>45757</v>
      </c>
      <c r="N118" s="87" t="s">
        <v>331</v>
      </c>
      <c r="O118" s="124">
        <v>45757</v>
      </c>
      <c r="P118" s="87" t="s">
        <v>331</v>
      </c>
      <c r="Q118" s="43" t="s">
        <v>331</v>
      </c>
      <c r="R118" s="43" t="s">
        <v>2139</v>
      </c>
      <c r="S118" s="43" t="s">
        <v>331</v>
      </c>
      <c r="T118" s="43" t="s">
        <v>331</v>
      </c>
      <c r="U118" s="157" t="s">
        <v>331</v>
      </c>
      <c r="V118" s="88" t="s">
        <v>331</v>
      </c>
      <c r="W118" s="54">
        <v>45810</v>
      </c>
      <c r="X118" s="69" t="s">
        <v>2142</v>
      </c>
    </row>
    <row r="119" spans="1:25">
      <c r="A119" s="178" t="s">
        <v>888</v>
      </c>
      <c r="B119" s="182" t="s">
        <v>50</v>
      </c>
      <c r="C119" s="314">
        <v>45772</v>
      </c>
      <c r="D119" s="179" t="s">
        <v>889</v>
      </c>
      <c r="H119" s="185">
        <v>86</v>
      </c>
      <c r="I119" s="181"/>
      <c r="J119" s="179" t="s">
        <v>57</v>
      </c>
      <c r="K119" s="420" t="s">
        <v>57</v>
      </c>
      <c r="L119" s="179" t="s">
        <v>63</v>
      </c>
      <c r="M119" s="195">
        <v>45756</v>
      </c>
      <c r="N119" s="30" t="s">
        <v>331</v>
      </c>
      <c r="O119" s="124">
        <v>45757</v>
      </c>
      <c r="P119" s="30" t="s">
        <v>331</v>
      </c>
      <c r="Q119" s="69" t="s">
        <v>331</v>
      </c>
      <c r="R119" s="69" t="s">
        <v>2139</v>
      </c>
      <c r="S119" s="43" t="s">
        <v>331</v>
      </c>
      <c r="T119" s="43" t="s">
        <v>331</v>
      </c>
      <c r="U119" s="157" t="s">
        <v>331</v>
      </c>
      <c r="V119" s="88" t="s">
        <v>331</v>
      </c>
      <c r="W119" s="54">
        <v>45813</v>
      </c>
      <c r="X119" s="69" t="s">
        <v>2142</v>
      </c>
    </row>
    <row r="120" spans="1:25">
      <c r="A120" s="178" t="s">
        <v>890</v>
      </c>
      <c r="B120" s="182" t="s">
        <v>50</v>
      </c>
      <c r="C120" s="314">
        <v>45772</v>
      </c>
      <c r="D120" s="519" t="s">
        <v>891</v>
      </c>
      <c r="H120" s="185">
        <v>84</v>
      </c>
      <c r="I120" s="181"/>
      <c r="J120" s="179" t="s">
        <v>57</v>
      </c>
      <c r="K120" s="420" t="s">
        <v>57</v>
      </c>
      <c r="L120" s="179" t="s">
        <v>63</v>
      </c>
      <c r="M120" s="195">
        <v>45741</v>
      </c>
      <c r="N120" s="30" t="s">
        <v>331</v>
      </c>
      <c r="O120" s="54">
        <v>45748</v>
      </c>
      <c r="P120" s="30" t="s">
        <v>331</v>
      </c>
      <c r="Q120" s="43" t="s">
        <v>331</v>
      </c>
      <c r="R120" s="69" t="s">
        <v>2139</v>
      </c>
      <c r="S120" s="43" t="s">
        <v>331</v>
      </c>
      <c r="T120" s="43" t="s">
        <v>331</v>
      </c>
      <c r="U120" s="43" t="s">
        <v>331</v>
      </c>
      <c r="V120" s="88" t="s">
        <v>331</v>
      </c>
      <c r="W120" s="54">
        <v>45811</v>
      </c>
      <c r="X120" s="69" t="s">
        <v>2142</v>
      </c>
    </row>
    <row r="121" spans="1:25">
      <c r="A121" s="366" t="s">
        <v>892</v>
      </c>
      <c r="B121" s="688" t="s">
        <v>50</v>
      </c>
      <c r="C121" s="689">
        <v>45772</v>
      </c>
      <c r="D121" s="363" t="s">
        <v>893</v>
      </c>
      <c r="H121" s="341">
        <v>87</v>
      </c>
      <c r="I121" s="339"/>
      <c r="J121" s="363" t="s">
        <v>57</v>
      </c>
      <c r="K121" s="709" t="s">
        <v>57</v>
      </c>
      <c r="L121" s="179" t="s">
        <v>63</v>
      </c>
      <c r="M121" s="193">
        <v>45757</v>
      </c>
      <c r="N121" s="30" t="s">
        <v>331</v>
      </c>
      <c r="O121" s="124">
        <v>45757</v>
      </c>
      <c r="P121" s="30" t="s">
        <v>331</v>
      </c>
      <c r="Q121" s="69" t="s">
        <v>331</v>
      </c>
      <c r="R121" s="69" t="s">
        <v>2139</v>
      </c>
      <c r="S121" s="43" t="s">
        <v>331</v>
      </c>
      <c r="T121" s="43" t="s">
        <v>331</v>
      </c>
      <c r="U121" s="43" t="s">
        <v>331</v>
      </c>
      <c r="V121" s="69" t="s">
        <v>91</v>
      </c>
      <c r="W121" s="54">
        <v>45838</v>
      </c>
      <c r="X121" s="69" t="s">
        <v>91</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331</v>
      </c>
      <c r="O122" s="54">
        <v>45747</v>
      </c>
      <c r="P122" s="30" t="s">
        <v>331</v>
      </c>
      <c r="Q122" s="69" t="s">
        <v>331</v>
      </c>
      <c r="R122" s="69" t="s">
        <v>2139</v>
      </c>
      <c r="S122" s="43" t="s">
        <v>331</v>
      </c>
      <c r="T122" s="43" t="s">
        <v>331</v>
      </c>
      <c r="U122" s="157" t="s">
        <v>331</v>
      </c>
      <c r="V122" s="157" t="s">
        <v>331</v>
      </c>
      <c r="W122" s="54">
        <v>45789</v>
      </c>
      <c r="X122" s="69" t="s">
        <v>2142</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331</v>
      </c>
      <c r="O123" s="54">
        <v>45744</v>
      </c>
      <c r="P123" s="30" t="s">
        <v>331</v>
      </c>
      <c r="Q123" s="43" t="s">
        <v>331</v>
      </c>
      <c r="R123" s="69" t="s">
        <v>2139</v>
      </c>
      <c r="S123" s="43" t="s">
        <v>331</v>
      </c>
      <c r="T123" s="43" t="s">
        <v>331</v>
      </c>
      <c r="U123" s="43" t="s">
        <v>331</v>
      </c>
      <c r="V123" s="69" t="s">
        <v>331</v>
      </c>
      <c r="W123" s="54">
        <v>45811</v>
      </c>
      <c r="X123" s="69" t="s">
        <v>2142</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331</v>
      </c>
      <c r="O124" s="54">
        <v>45744</v>
      </c>
      <c r="P124" s="30" t="s">
        <v>331</v>
      </c>
      <c r="Q124" s="43" t="s">
        <v>331</v>
      </c>
      <c r="R124" s="69" t="s">
        <v>2139</v>
      </c>
      <c r="S124" s="43" t="s">
        <v>331</v>
      </c>
      <c r="T124" s="43" t="s">
        <v>331</v>
      </c>
      <c r="U124" s="43" t="s">
        <v>2145</v>
      </c>
      <c r="V124" s="69" t="s">
        <v>91</v>
      </c>
      <c r="W124" s="54">
        <v>45832</v>
      </c>
      <c r="X124" s="69" t="s">
        <v>91</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331</v>
      </c>
      <c r="N125" s="30" t="s">
        <v>331</v>
      </c>
      <c r="O125" s="54">
        <v>45679</v>
      </c>
      <c r="P125" s="30" t="s">
        <v>331</v>
      </c>
      <c r="Q125" s="69" t="s">
        <v>331</v>
      </c>
      <c r="R125" s="43" t="s">
        <v>2139</v>
      </c>
      <c r="S125" s="43" t="s">
        <v>331</v>
      </c>
      <c r="T125" s="43" t="s">
        <v>331</v>
      </c>
      <c r="U125" s="43" t="s">
        <v>331</v>
      </c>
      <c r="V125" s="43" t="s">
        <v>331</v>
      </c>
      <c r="W125" s="54">
        <v>45814</v>
      </c>
      <c r="X125" s="69" t="s">
        <v>2142</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331</v>
      </c>
      <c r="N126" s="30" t="s">
        <v>331</v>
      </c>
      <c r="O126" s="54">
        <v>45720</v>
      </c>
      <c r="P126" s="30" t="s">
        <v>331</v>
      </c>
      <c r="Q126" s="69" t="s">
        <v>331</v>
      </c>
      <c r="R126" s="43" t="s">
        <v>2139</v>
      </c>
      <c r="S126" s="43" t="s">
        <v>331</v>
      </c>
      <c r="T126" s="43" t="s">
        <v>331</v>
      </c>
      <c r="U126" s="43" t="s">
        <v>331</v>
      </c>
      <c r="V126" s="88" t="s">
        <v>331</v>
      </c>
      <c r="W126" s="54">
        <v>45819</v>
      </c>
      <c r="X126" s="69" t="s">
        <v>2142</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331</v>
      </c>
      <c r="O127" s="54">
        <v>45679</v>
      </c>
      <c r="P127" s="30" t="s">
        <v>331</v>
      </c>
      <c r="Q127" s="43" t="s">
        <v>331</v>
      </c>
      <c r="R127" s="43" t="s">
        <v>2139</v>
      </c>
      <c r="S127" s="43" t="s">
        <v>331</v>
      </c>
      <c r="T127" s="43" t="s">
        <v>331</v>
      </c>
      <c r="U127" s="43" t="s">
        <v>331</v>
      </c>
      <c r="V127" s="88" t="s">
        <v>331</v>
      </c>
      <c r="W127" s="54">
        <v>45812</v>
      </c>
      <c r="X127" s="69" t="s">
        <v>2142</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331</v>
      </c>
      <c r="O128" s="347">
        <v>45694</v>
      </c>
      <c r="P128" s="87" t="s">
        <v>331</v>
      </c>
      <c r="Q128" s="43" t="s">
        <v>331</v>
      </c>
      <c r="R128" s="43" t="s">
        <v>2139</v>
      </c>
      <c r="S128" s="43" t="s">
        <v>331</v>
      </c>
      <c r="T128" s="43" t="s">
        <v>331</v>
      </c>
      <c r="U128" s="43" t="s">
        <v>331</v>
      </c>
      <c r="V128" s="88" t="s">
        <v>331</v>
      </c>
      <c r="W128" s="166">
        <v>45883</v>
      </c>
      <c r="X128" s="69" t="s">
        <v>2142</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331</v>
      </c>
      <c r="O129" s="166">
        <v>45720</v>
      </c>
      <c r="P129" s="114" t="s">
        <v>331</v>
      </c>
      <c r="Q129" s="148" t="s">
        <v>331</v>
      </c>
      <c r="R129" s="43" t="s">
        <v>2139</v>
      </c>
      <c r="S129" s="43" t="s">
        <v>331</v>
      </c>
      <c r="T129" s="115" t="s">
        <v>331</v>
      </c>
      <c r="U129" s="115" t="s">
        <v>331</v>
      </c>
      <c r="V129" s="88" t="s">
        <v>331</v>
      </c>
      <c r="W129" s="166">
        <v>45814</v>
      </c>
      <c r="X129" s="69" t="s">
        <v>2142</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331</v>
      </c>
      <c r="O130" s="54">
        <v>45698</v>
      </c>
      <c r="P130" s="30" t="s">
        <v>331</v>
      </c>
      <c r="Q130" s="69" t="s">
        <v>331</v>
      </c>
      <c r="R130" s="43" t="s">
        <v>2139</v>
      </c>
      <c r="S130" s="43" t="s">
        <v>331</v>
      </c>
      <c r="T130" s="43" t="s">
        <v>331</v>
      </c>
      <c r="U130" s="43" t="s">
        <v>331</v>
      </c>
      <c r="V130" s="88" t="s">
        <v>331</v>
      </c>
      <c r="W130" s="54">
        <v>45798</v>
      </c>
      <c r="X130" s="69" t="s">
        <v>2142</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331</v>
      </c>
      <c r="N131" s="49" t="s">
        <v>331</v>
      </c>
      <c r="O131" s="30" t="s">
        <v>331</v>
      </c>
      <c r="P131" s="30" t="s">
        <v>331</v>
      </c>
      <c r="Q131" s="43" t="s">
        <v>331</v>
      </c>
      <c r="R131" s="43" t="s">
        <v>2139</v>
      </c>
      <c r="S131" s="43" t="s">
        <v>331</v>
      </c>
      <c r="T131" s="157" t="s">
        <v>331</v>
      </c>
      <c r="U131" s="157" t="s">
        <v>331</v>
      </c>
      <c r="V131" s="88" t="s">
        <v>331</v>
      </c>
      <c r="W131" s="30"/>
      <c r="X131" s="69" t="s">
        <v>91</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331</v>
      </c>
      <c r="O132" s="54">
        <v>45691</v>
      </c>
      <c r="P132" s="87" t="s">
        <v>331</v>
      </c>
      <c r="Q132" s="43" t="s">
        <v>331</v>
      </c>
      <c r="R132" s="43" t="s">
        <v>2139</v>
      </c>
      <c r="S132" s="43" t="s">
        <v>331</v>
      </c>
      <c r="T132" s="43" t="s">
        <v>331</v>
      </c>
      <c r="U132" s="43" t="s">
        <v>331</v>
      </c>
      <c r="V132" s="43" t="s">
        <v>331</v>
      </c>
      <c r="W132" s="54">
        <v>45820</v>
      </c>
      <c r="X132" s="69" t="s">
        <v>2142</v>
      </c>
      <c r="Y132" t="e">
        <f>VLOOKUP(A132,#REF!,2,FALSE)</f>
        <v>#REF!</v>
      </c>
    </row>
    <row r="133" spans="1:25" ht="15" customHeight="1">
      <c r="A133" s="358" t="s">
        <v>911</v>
      </c>
      <c r="B133" s="406" t="s">
        <v>50</v>
      </c>
      <c r="C133" s="367">
        <v>45742</v>
      </c>
      <c r="D133" s="419" t="s">
        <v>2146</v>
      </c>
      <c r="E133" s="361"/>
      <c r="F133" s="361"/>
      <c r="G133" s="361"/>
      <c r="H133" s="361">
        <v>38</v>
      </c>
      <c r="I133" s="360"/>
      <c r="J133" s="361" t="s">
        <v>57</v>
      </c>
      <c r="K133" s="361" t="s">
        <v>57</v>
      </c>
      <c r="L133" s="361" t="s">
        <v>63</v>
      </c>
      <c r="M133" s="49" t="s">
        <v>331</v>
      </c>
      <c r="N133" s="49" t="s">
        <v>331</v>
      </c>
      <c r="O133" s="54">
        <v>45701</v>
      </c>
      <c r="P133" s="30" t="s">
        <v>331</v>
      </c>
      <c r="Q133" s="69" t="s">
        <v>331</v>
      </c>
      <c r="R133" s="43" t="s">
        <v>2139</v>
      </c>
      <c r="S133" s="43" t="s">
        <v>331</v>
      </c>
      <c r="T133" s="43" t="s">
        <v>331</v>
      </c>
      <c r="U133" s="43" t="s">
        <v>331</v>
      </c>
      <c r="V133" s="69" t="s">
        <v>331</v>
      </c>
      <c r="W133" s="54">
        <v>45821</v>
      </c>
      <c r="X133" s="69" t="s">
        <v>2142</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331</v>
      </c>
      <c r="O134" s="54">
        <v>45709</v>
      </c>
      <c r="P134" s="30" t="s">
        <v>331</v>
      </c>
      <c r="Q134" s="43" t="s">
        <v>331</v>
      </c>
      <c r="R134" s="43" t="s">
        <v>2139</v>
      </c>
      <c r="S134" s="43" t="s">
        <v>331</v>
      </c>
      <c r="T134" s="43" t="s">
        <v>331</v>
      </c>
      <c r="U134" s="69" t="s">
        <v>91</v>
      </c>
      <c r="V134" s="69" t="s">
        <v>91</v>
      </c>
      <c r="W134" s="54">
        <v>45825</v>
      </c>
      <c r="X134" s="69" t="s">
        <v>91</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331</v>
      </c>
      <c r="N135" s="49" t="s">
        <v>331</v>
      </c>
      <c r="O135" s="195">
        <v>45720</v>
      </c>
      <c r="P135" s="49" t="s">
        <v>331</v>
      </c>
      <c r="Q135" s="69" t="s">
        <v>331</v>
      </c>
      <c r="R135" s="43" t="s">
        <v>2139</v>
      </c>
      <c r="S135" s="43" t="s">
        <v>331</v>
      </c>
      <c r="T135" s="43" t="s">
        <v>331</v>
      </c>
      <c r="U135" s="157" t="s">
        <v>331</v>
      </c>
      <c r="V135" s="43" t="s">
        <v>331</v>
      </c>
      <c r="W135" s="54">
        <v>45819</v>
      </c>
      <c r="X135" s="69" t="s">
        <v>2142</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331</v>
      </c>
      <c r="O136" s="54">
        <v>45691</v>
      </c>
      <c r="P136" s="30" t="s">
        <v>331</v>
      </c>
      <c r="Q136" s="43" t="s">
        <v>331</v>
      </c>
      <c r="R136" s="43" t="s">
        <v>2139</v>
      </c>
      <c r="S136" s="43" t="s">
        <v>331</v>
      </c>
      <c r="T136" s="43" t="s">
        <v>331</v>
      </c>
      <c r="U136" s="43" t="s">
        <v>331</v>
      </c>
      <c r="V136" s="43" t="s">
        <v>331</v>
      </c>
      <c r="W136" s="54">
        <v>45791</v>
      </c>
      <c r="X136" s="69" t="s">
        <v>2142</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331</v>
      </c>
      <c r="O137" s="30" t="s">
        <v>331</v>
      </c>
      <c r="P137" s="49" t="s">
        <v>331</v>
      </c>
      <c r="Q137" s="69" t="s">
        <v>331</v>
      </c>
      <c r="R137" s="43" t="s">
        <v>2139</v>
      </c>
      <c r="S137" s="43" t="s">
        <v>331</v>
      </c>
      <c r="T137" s="43" t="s">
        <v>331</v>
      </c>
      <c r="U137" s="157" t="s">
        <v>331</v>
      </c>
      <c r="V137" s="69" t="s">
        <v>91</v>
      </c>
      <c r="W137" s="30"/>
      <c r="X137" s="69" t="s">
        <v>91</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331</v>
      </c>
      <c r="O138" s="124">
        <v>45707</v>
      </c>
      <c r="P138" s="30" t="s">
        <v>331</v>
      </c>
      <c r="Q138" s="43" t="s">
        <v>331</v>
      </c>
      <c r="R138" s="43" t="s">
        <v>2139</v>
      </c>
      <c r="S138" s="43" t="s">
        <v>331</v>
      </c>
      <c r="T138" s="43" t="s">
        <v>331</v>
      </c>
      <c r="U138" s="43" t="s">
        <v>331</v>
      </c>
      <c r="V138" s="43" t="s">
        <v>331</v>
      </c>
      <c r="W138" s="54">
        <v>45790</v>
      </c>
      <c r="X138" s="69" t="s">
        <v>2142</v>
      </c>
      <c r="Y138" t="e">
        <f>VLOOKUP(A138,#REF!,2,FALSE)</f>
        <v>#REF!</v>
      </c>
    </row>
    <row r="139" spans="1:25" ht="15" customHeight="1">
      <c r="A139" s="358" t="s">
        <v>2147</v>
      </c>
      <c r="B139" s="182" t="s">
        <v>50</v>
      </c>
      <c r="C139" s="408">
        <v>45742</v>
      </c>
      <c r="D139" s="361" t="s">
        <v>2148</v>
      </c>
      <c r="E139" s="521"/>
      <c r="F139" s="361"/>
      <c r="G139" s="361"/>
      <c r="H139" s="361">
        <v>87</v>
      </c>
      <c r="I139" s="360"/>
      <c r="J139" s="361" t="s">
        <v>57</v>
      </c>
      <c r="K139" s="361" t="s">
        <v>57</v>
      </c>
      <c r="L139" s="361" t="s">
        <v>63</v>
      </c>
      <c r="M139" s="49" t="s">
        <v>331</v>
      </c>
      <c r="N139" s="30" t="s">
        <v>331</v>
      </c>
      <c r="O139" s="30" t="s">
        <v>331</v>
      </c>
      <c r="P139" s="30" t="s">
        <v>331</v>
      </c>
      <c r="Q139" s="43" t="s">
        <v>331</v>
      </c>
      <c r="R139" s="43" t="s">
        <v>2139</v>
      </c>
      <c r="S139" s="43" t="s">
        <v>331</v>
      </c>
      <c r="T139" s="43" t="s">
        <v>331</v>
      </c>
      <c r="U139" s="157" t="s">
        <v>331</v>
      </c>
      <c r="V139" s="69" t="s">
        <v>91</v>
      </c>
      <c r="W139" s="30"/>
      <c r="X139" s="69" t="s">
        <v>91</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331</v>
      </c>
      <c r="O140" s="54">
        <v>45743</v>
      </c>
      <c r="P140" s="87" t="s">
        <v>331</v>
      </c>
      <c r="Q140" s="88" t="s">
        <v>331</v>
      </c>
      <c r="R140" s="43" t="s">
        <v>2139</v>
      </c>
      <c r="S140" s="43" t="s">
        <v>331</v>
      </c>
      <c r="T140" s="43" t="s">
        <v>331</v>
      </c>
      <c r="U140" s="88" t="s">
        <v>331</v>
      </c>
      <c r="V140" s="69" t="s">
        <v>331</v>
      </c>
      <c r="W140" s="54">
        <v>45819</v>
      </c>
      <c r="X140" s="69" t="s">
        <v>2142</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331</v>
      </c>
      <c r="O141" s="195">
        <v>45743</v>
      </c>
      <c r="P141" s="87" t="s">
        <v>331</v>
      </c>
      <c r="Q141" s="88" t="s">
        <v>331</v>
      </c>
      <c r="R141" s="43" t="s">
        <v>2139</v>
      </c>
      <c r="S141" s="43" t="s">
        <v>331</v>
      </c>
      <c r="T141" s="43" t="s">
        <v>331</v>
      </c>
      <c r="U141" s="88" t="s">
        <v>331</v>
      </c>
      <c r="V141" s="88" t="s">
        <v>331</v>
      </c>
      <c r="W141" s="54">
        <v>45811</v>
      </c>
      <c r="X141" s="69" t="s">
        <v>2142</v>
      </c>
      <c r="Y141" t="e">
        <f>VLOOKUP(A141,#REF!,2,FALSE)</f>
        <v>#REF!</v>
      </c>
    </row>
    <row r="142" spans="1:25" ht="15" customHeight="1">
      <c r="A142" s="358" t="s">
        <v>2149</v>
      </c>
      <c r="B142" s="406" t="s">
        <v>50</v>
      </c>
      <c r="C142" s="408">
        <v>45742</v>
      </c>
      <c r="D142" s="361" t="s">
        <v>2150</v>
      </c>
      <c r="E142" s="521"/>
      <c r="F142" s="361"/>
      <c r="G142" s="361"/>
      <c r="H142" s="361">
        <v>87</v>
      </c>
      <c r="I142" s="360"/>
      <c r="J142" s="361" t="s">
        <v>57</v>
      </c>
      <c r="K142" s="361" t="s">
        <v>57</v>
      </c>
      <c r="L142" s="361" t="s">
        <v>63</v>
      </c>
      <c r="M142" s="49" t="s">
        <v>331</v>
      </c>
      <c r="N142" s="49" t="s">
        <v>331</v>
      </c>
      <c r="O142" s="195">
        <v>45691</v>
      </c>
      <c r="P142" s="30" t="s">
        <v>331</v>
      </c>
      <c r="Q142" s="69" t="s">
        <v>331</v>
      </c>
      <c r="R142" s="43" t="s">
        <v>2139</v>
      </c>
      <c r="S142" s="43" t="s">
        <v>331</v>
      </c>
      <c r="T142" s="43" t="s">
        <v>331</v>
      </c>
      <c r="U142" s="157" t="s">
        <v>331</v>
      </c>
      <c r="V142" s="69" t="s">
        <v>91</v>
      </c>
      <c r="W142" s="30"/>
      <c r="X142" s="69" t="s">
        <v>91</v>
      </c>
      <c r="Y142" t="e">
        <f>VLOOKUP(A142,#REF!,2,FALSE)</f>
        <v>#REF!</v>
      </c>
    </row>
    <row r="143" spans="1:25" ht="15" customHeight="1">
      <c r="A143" s="358" t="s">
        <v>670</v>
      </c>
      <c r="B143" s="406" t="s">
        <v>50</v>
      </c>
      <c r="C143" s="723">
        <v>45688</v>
      </c>
      <c r="D143" s="520" t="s">
        <v>672</v>
      </c>
      <c r="E143" s="520"/>
      <c r="F143" s="520"/>
      <c r="G143" s="520"/>
      <c r="H143" s="419">
        <v>79</v>
      </c>
      <c r="I143" s="360"/>
      <c r="J143" s="539" t="s">
        <v>57</v>
      </c>
      <c r="K143" s="539" t="s">
        <v>57</v>
      </c>
      <c r="L143" s="361" t="s">
        <v>63</v>
      </c>
      <c r="M143" s="49" t="s">
        <v>331</v>
      </c>
      <c r="N143" s="49" t="s">
        <v>331</v>
      </c>
      <c r="O143" s="195">
        <v>45675</v>
      </c>
      <c r="P143" s="30" t="s">
        <v>331</v>
      </c>
      <c r="Q143" s="69" t="s">
        <v>331</v>
      </c>
      <c r="R143" s="43" t="s">
        <v>2139</v>
      </c>
      <c r="S143" s="43" t="s">
        <v>331</v>
      </c>
      <c r="T143" s="43" t="s">
        <v>331</v>
      </c>
      <c r="U143" s="157" t="s">
        <v>331</v>
      </c>
      <c r="V143" s="69" t="s">
        <v>91</v>
      </c>
      <c r="W143" s="30"/>
      <c r="X143" s="69" t="s">
        <v>91</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331</v>
      </c>
      <c r="O144" s="195">
        <v>45749</v>
      </c>
      <c r="P144" s="30" t="s">
        <v>331</v>
      </c>
      <c r="Q144" s="43" t="s">
        <v>331</v>
      </c>
      <c r="R144" s="43" t="s">
        <v>331</v>
      </c>
      <c r="S144" s="43" t="s">
        <v>56</v>
      </c>
      <c r="T144" s="43" t="s">
        <v>331</v>
      </c>
      <c r="U144" s="88" t="s">
        <v>331</v>
      </c>
      <c r="V144" s="88" t="s">
        <v>331</v>
      </c>
      <c r="W144" s="54">
        <v>45888</v>
      </c>
      <c r="X144" s="69" t="s">
        <v>2142</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2112</v>
      </c>
      <c r="B146" s="406" t="s">
        <v>50</v>
      </c>
      <c r="C146" s="359">
        <v>45991</v>
      </c>
      <c r="D146" s="418" t="s">
        <v>2113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1132</v>
      </c>
      <c r="B147" s="687" t="s">
        <v>50</v>
      </c>
      <c r="C147" s="579">
        <v>45991</v>
      </c>
      <c r="D147" s="410" t="s">
        <v>2115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331</v>
      </c>
      <c r="O148" s="195">
        <v>45744</v>
      </c>
      <c r="P148" s="49" t="s">
        <v>331</v>
      </c>
      <c r="Q148" s="43" t="s">
        <v>331</v>
      </c>
      <c r="R148" s="43" t="s">
        <v>331</v>
      </c>
      <c r="S148" s="43" t="s">
        <v>56</v>
      </c>
      <c r="T148" s="43" t="s">
        <v>331</v>
      </c>
      <c r="U148" s="69" t="s">
        <v>91</v>
      </c>
      <c r="V148" s="69" t="s">
        <v>91</v>
      </c>
      <c r="W148" s="30"/>
      <c r="X148" s="69" t="s">
        <v>91</v>
      </c>
      <c r="Y148" t="e">
        <f>VLOOKUP(A148,#REF!,2,FALSE)</f>
        <v>#REF!</v>
      </c>
    </row>
    <row r="149" spans="1:25" ht="15" customHeight="1">
      <c r="A149" s="365" t="s">
        <v>2151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2139</v>
      </c>
      <c r="S149" s="69" t="s">
        <v>64</v>
      </c>
      <c r="T149" s="69" t="s">
        <v>64</v>
      </c>
      <c r="U149" s="69" t="s">
        <v>91</v>
      </c>
      <c r="V149" s="69" t="s">
        <v>91</v>
      </c>
      <c r="W149" s="30"/>
      <c r="X149" s="69" t="s">
        <v>91</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331</v>
      </c>
      <c r="O150" s="195">
        <v>45744</v>
      </c>
      <c r="P150" s="100" t="s">
        <v>331</v>
      </c>
      <c r="Q150" s="69" t="s">
        <v>331</v>
      </c>
      <c r="R150" s="43" t="s">
        <v>2139</v>
      </c>
      <c r="S150" s="43" t="s">
        <v>331</v>
      </c>
      <c r="T150" s="43" t="s">
        <v>331</v>
      </c>
      <c r="U150" s="69" t="s">
        <v>91</v>
      </c>
      <c r="V150" s="69" t="s">
        <v>91</v>
      </c>
      <c r="W150" s="30"/>
      <c r="X150" s="69" t="s">
        <v>91</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331</v>
      </c>
      <c r="O151" s="195">
        <v>45698</v>
      </c>
      <c r="P151" s="100" t="s">
        <v>331</v>
      </c>
      <c r="Q151" s="69" t="s">
        <v>331</v>
      </c>
      <c r="R151" s="43" t="s">
        <v>2139</v>
      </c>
      <c r="S151" s="43" t="s">
        <v>331</v>
      </c>
      <c r="T151" s="43" t="s">
        <v>331</v>
      </c>
      <c r="U151" s="69" t="s">
        <v>91</v>
      </c>
      <c r="V151" s="69" t="s">
        <v>91</v>
      </c>
      <c r="W151" s="54">
        <v>45818</v>
      </c>
      <c r="X151" s="69" t="s">
        <v>91</v>
      </c>
      <c r="Y151" t="e">
        <f>VLOOKUP(A151,#REF!,2,FALSE)</f>
        <v>#REF!</v>
      </c>
    </row>
    <row r="152" spans="1:25" ht="15" customHeight="1">
      <c r="A152" s="358" t="s">
        <v>1115</v>
      </c>
      <c r="B152" s="406" t="s">
        <v>50</v>
      </c>
      <c r="C152" s="400">
        <v>45991</v>
      </c>
      <c r="D152" s="410" t="s">
        <v>677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331</v>
      </c>
      <c r="O153" s="195">
        <v>45696</v>
      </c>
      <c r="P153" s="30" t="s">
        <v>331</v>
      </c>
      <c r="Q153" s="69" t="s">
        <v>331</v>
      </c>
      <c r="R153" s="43" t="s">
        <v>2139</v>
      </c>
      <c r="S153" s="43" t="s">
        <v>331</v>
      </c>
      <c r="T153" s="157" t="s">
        <v>331</v>
      </c>
      <c r="U153" s="157" t="s">
        <v>331</v>
      </c>
      <c r="V153" s="43" t="s">
        <v>331</v>
      </c>
      <c r="W153" s="54">
        <v>45807</v>
      </c>
      <c r="X153" s="69" t="s">
        <v>2142</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331</v>
      </c>
      <c r="O154" s="347">
        <v>45696</v>
      </c>
      <c r="P154" s="30" t="s">
        <v>331</v>
      </c>
      <c r="Q154" s="69" t="s">
        <v>331</v>
      </c>
      <c r="R154" s="43" t="s">
        <v>2139</v>
      </c>
      <c r="S154" s="43" t="s">
        <v>331</v>
      </c>
      <c r="T154" s="157" t="s">
        <v>331</v>
      </c>
      <c r="U154" s="157" t="s">
        <v>331</v>
      </c>
      <c r="V154" s="43" t="s">
        <v>331</v>
      </c>
      <c r="W154" s="166">
        <v>45792</v>
      </c>
      <c r="X154" s="148" t="s">
        <v>2142</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331</v>
      </c>
      <c r="O155" s="54">
        <v>45699</v>
      </c>
      <c r="P155" s="49" t="s">
        <v>331</v>
      </c>
      <c r="Q155" s="69" t="s">
        <v>331</v>
      </c>
      <c r="R155" s="43" t="s">
        <v>2139</v>
      </c>
      <c r="S155" s="43" t="s">
        <v>331</v>
      </c>
      <c r="T155" s="43" t="s">
        <v>331</v>
      </c>
      <c r="U155" s="157" t="s">
        <v>331</v>
      </c>
      <c r="V155" s="43" t="s">
        <v>331</v>
      </c>
      <c r="W155" s="356">
        <v>45821</v>
      </c>
      <c r="X155" s="69" t="s">
        <v>2142</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331</v>
      </c>
      <c r="O156" s="54">
        <v>45699</v>
      </c>
      <c r="P156" s="49" t="s">
        <v>331</v>
      </c>
      <c r="Q156" s="69" t="s">
        <v>331</v>
      </c>
      <c r="R156" s="43" t="s">
        <v>2139</v>
      </c>
      <c r="S156" s="43" t="s">
        <v>331</v>
      </c>
      <c r="T156" s="43" t="s">
        <v>331</v>
      </c>
      <c r="U156" s="69" t="s">
        <v>331</v>
      </c>
      <c r="V156" s="69" t="s">
        <v>91</v>
      </c>
      <c r="W156" s="356">
        <v>45747</v>
      </c>
      <c r="X156" s="69" t="s">
        <v>91</v>
      </c>
      <c r="Y156" t="e">
        <f>VLOOKUP(A156,#REF!,2,FALSE)</f>
        <v>#REF!</v>
      </c>
    </row>
    <row r="157" spans="1:25" ht="15" customHeight="1">
      <c r="A157" s="365" t="s">
        <v>1108</v>
      </c>
      <c r="B157" s="406" t="s">
        <v>50</v>
      </c>
      <c r="C157" s="400">
        <v>45991</v>
      </c>
      <c r="D157" s="418" t="s">
        <v>2120</v>
      </c>
      <c r="E157" s="704"/>
      <c r="F157" s="419"/>
      <c r="G157" s="419"/>
      <c r="H157" s="419">
        <v>79</v>
      </c>
      <c r="I157" s="360"/>
      <c r="J157" s="361" t="s">
        <v>57</v>
      </c>
      <c r="K157" s="553" t="s">
        <v>57</v>
      </c>
      <c r="L157" s="361" t="s">
        <v>63</v>
      </c>
      <c r="M157" s="195">
        <v>45735</v>
      </c>
      <c r="N157" s="30" t="s">
        <v>64</v>
      </c>
      <c r="O157" s="54">
        <v>45737</v>
      </c>
      <c r="P157" s="49" t="s">
        <v>64</v>
      </c>
      <c r="Q157" s="69" t="s">
        <v>64</v>
      </c>
      <c r="R157" s="69" t="s">
        <v>2139</v>
      </c>
      <c r="S157" s="69" t="s">
        <v>64</v>
      </c>
      <c r="T157" s="69" t="s">
        <v>64</v>
      </c>
      <c r="U157" s="69" t="s">
        <v>91</v>
      </c>
      <c r="V157" s="69"/>
      <c r="W157" s="79"/>
      <c r="X157" s="69" t="s">
        <v>91</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331</v>
      </c>
      <c r="O158" s="54">
        <v>45736</v>
      </c>
      <c r="P158" s="49" t="s">
        <v>331</v>
      </c>
      <c r="Q158" s="69" t="s">
        <v>331</v>
      </c>
      <c r="R158" s="43" t="s">
        <v>2139</v>
      </c>
      <c r="S158" s="43" t="s">
        <v>331</v>
      </c>
      <c r="T158" s="43" t="s">
        <v>331</v>
      </c>
      <c r="U158" s="157" t="s">
        <v>331</v>
      </c>
      <c r="V158" s="157" t="s">
        <v>331</v>
      </c>
      <c r="W158" s="356">
        <v>45817</v>
      </c>
      <c r="X158" s="69" t="s">
        <v>2142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331</v>
      </c>
      <c r="O159" s="30" t="s">
        <v>331</v>
      </c>
      <c r="P159" s="49" t="s">
        <v>331</v>
      </c>
      <c r="Q159" s="43" t="s">
        <v>331</v>
      </c>
      <c r="R159" s="43" t="s">
        <v>331</v>
      </c>
      <c r="S159" s="43" t="s">
        <v>56</v>
      </c>
      <c r="T159" s="43" t="s">
        <v>331</v>
      </c>
      <c r="U159" s="43" t="s">
        <v>331</v>
      </c>
      <c r="V159" s="69" t="s">
        <v>91</v>
      </c>
      <c r="W159" s="79"/>
      <c r="X159" s="69" t="s">
        <v>91</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331</v>
      </c>
      <c r="O160" s="54">
        <v>45723</v>
      </c>
      <c r="P160" s="49" t="s">
        <v>331</v>
      </c>
      <c r="Q160" s="43" t="s">
        <v>331</v>
      </c>
      <c r="R160" s="43" t="s">
        <v>331</v>
      </c>
      <c r="S160" s="43" t="s">
        <v>56</v>
      </c>
      <c r="T160" s="43" t="s">
        <v>331</v>
      </c>
      <c r="U160" s="43" t="s">
        <v>331</v>
      </c>
      <c r="V160" s="69" t="s">
        <v>331</v>
      </c>
      <c r="W160" s="356">
        <v>45897</v>
      </c>
      <c r="X160" s="69" t="s">
        <v>2142</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331</v>
      </c>
      <c r="O161" s="156">
        <v>45726</v>
      </c>
      <c r="P161" s="49" t="s">
        <v>331</v>
      </c>
      <c r="Q161" s="43" t="s">
        <v>331</v>
      </c>
      <c r="R161" s="43" t="s">
        <v>331</v>
      </c>
      <c r="S161" s="43" t="s">
        <v>56</v>
      </c>
      <c r="T161" s="43" t="s">
        <v>331</v>
      </c>
      <c r="U161" s="43" t="s">
        <v>331</v>
      </c>
      <c r="V161" s="88" t="s">
        <v>331</v>
      </c>
      <c r="W161" s="54">
        <v>45814</v>
      </c>
      <c r="X161" s="69" t="s">
        <v>2142</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331</v>
      </c>
      <c r="O162" s="582">
        <v>45693</v>
      </c>
      <c r="P162" s="30" t="s">
        <v>331</v>
      </c>
      <c r="Q162" s="43" t="s">
        <v>331</v>
      </c>
      <c r="R162" s="43" t="s">
        <v>331</v>
      </c>
      <c r="S162" s="43" t="s">
        <v>56</v>
      </c>
      <c r="T162" s="43" t="s">
        <v>331</v>
      </c>
      <c r="U162" s="43" t="s">
        <v>331</v>
      </c>
      <c r="V162" s="88" t="s">
        <v>331</v>
      </c>
      <c r="W162" s="356">
        <v>45838</v>
      </c>
      <c r="X162" s="69" t="s">
        <v>2142</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331</v>
      </c>
      <c r="O163" s="54">
        <v>45693</v>
      </c>
      <c r="P163" s="30" t="s">
        <v>331</v>
      </c>
      <c r="Q163" s="69" t="s">
        <v>331</v>
      </c>
      <c r="R163" s="69" t="s">
        <v>331</v>
      </c>
      <c r="S163" s="43" t="s">
        <v>56</v>
      </c>
      <c r="T163" s="43" t="s">
        <v>331</v>
      </c>
      <c r="U163" s="69" t="s">
        <v>331</v>
      </c>
      <c r="V163" s="69" t="s">
        <v>91</v>
      </c>
      <c r="W163" s="79"/>
      <c r="X163" s="69" t="s">
        <v>91</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331</v>
      </c>
      <c r="N164" s="30" t="s">
        <v>331</v>
      </c>
      <c r="O164" s="40" t="s">
        <v>331</v>
      </c>
      <c r="P164" s="87" t="s">
        <v>331</v>
      </c>
      <c r="Q164" s="43" t="s">
        <v>331</v>
      </c>
      <c r="R164" s="43" t="s">
        <v>331</v>
      </c>
      <c r="S164" s="43" t="s">
        <v>56</v>
      </c>
      <c r="T164" s="43" t="s">
        <v>331</v>
      </c>
      <c r="U164" s="43" t="s">
        <v>331</v>
      </c>
      <c r="V164" s="43" t="s">
        <v>331</v>
      </c>
      <c r="W164" s="79"/>
      <c r="X164" s="69" t="s">
        <v>91</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331</v>
      </c>
      <c r="N165" s="30" t="s">
        <v>331</v>
      </c>
      <c r="O165" s="582">
        <v>45818</v>
      </c>
      <c r="P165" s="87" t="s">
        <v>331</v>
      </c>
      <c r="Q165" s="43" t="s">
        <v>331</v>
      </c>
      <c r="R165" s="43" t="s">
        <v>331</v>
      </c>
      <c r="S165" s="43" t="s">
        <v>56</v>
      </c>
      <c r="T165" s="43" t="s">
        <v>331</v>
      </c>
      <c r="U165" s="43" t="s">
        <v>331</v>
      </c>
      <c r="V165" s="43" t="s">
        <v>331</v>
      </c>
      <c r="W165" s="356">
        <v>45854</v>
      </c>
      <c r="X165" s="69" t="s">
        <v>2142</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331</v>
      </c>
      <c r="N166" s="30" t="s">
        <v>331</v>
      </c>
      <c r="O166" s="582">
        <v>45693</v>
      </c>
      <c r="P166" s="87" t="s">
        <v>331</v>
      </c>
      <c r="Q166" s="43" t="s">
        <v>331</v>
      </c>
      <c r="R166" s="43" t="s">
        <v>331</v>
      </c>
      <c r="S166" s="43" t="s">
        <v>56</v>
      </c>
      <c r="T166" s="43" t="s">
        <v>331</v>
      </c>
      <c r="U166" s="43" t="s">
        <v>331</v>
      </c>
      <c r="V166" s="43" t="s">
        <v>331</v>
      </c>
      <c r="W166" s="79"/>
      <c r="X166" s="69" t="s">
        <v>91</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331</v>
      </c>
      <c r="O167" s="582">
        <v>45720</v>
      </c>
      <c r="P167" s="87" t="s">
        <v>331</v>
      </c>
      <c r="Q167" s="43" t="s">
        <v>331</v>
      </c>
      <c r="R167" s="43" t="s">
        <v>331</v>
      </c>
      <c r="S167" s="43" t="s">
        <v>56</v>
      </c>
      <c r="T167" s="43" t="s">
        <v>331</v>
      </c>
      <c r="U167" s="43" t="s">
        <v>331</v>
      </c>
      <c r="V167" s="43" t="s">
        <v>331</v>
      </c>
      <c r="W167" s="356">
        <v>45902</v>
      </c>
      <c r="X167" s="69" t="s">
        <v>2142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331</v>
      </c>
      <c r="O172" s="40" t="s">
        <v>52</v>
      </c>
      <c r="P172" s="87" t="s">
        <v>331</v>
      </c>
      <c r="Q172" s="43" t="s">
        <v>56</v>
      </c>
      <c r="R172" s="43" t="s">
        <v>56</v>
      </c>
      <c r="S172" s="43" t="s">
        <v>56</v>
      </c>
      <c r="T172" s="43" t="s">
        <v>331</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2152</v>
      </c>
      <c r="C1" s="1458"/>
      <c r="D1" s="558"/>
      <c r="E1" s="1458" t="s">
        <v>2153</v>
      </c>
      <c r="F1" s="1458"/>
    </row>
    <row r="2" spans="1:25">
      <c r="B2" s="44" t="s">
        <v>2154</v>
      </c>
      <c r="E2" s="44" t="s">
        <v>22</v>
      </c>
      <c r="F2" t="s">
        <v>1079</v>
      </c>
      <c r="P2" s="44" t="s">
        <v>27</v>
      </c>
      <c r="Q2" t="s">
        <v>2155</v>
      </c>
    </row>
    <row r="3" spans="1:25">
      <c r="B3" s="44" t="s">
        <v>22</v>
      </c>
      <c r="C3" t="s">
        <v>1085</v>
      </c>
      <c r="K3" s="44" t="s">
        <v>2156</v>
      </c>
      <c r="L3" t="s">
        <v>2157</v>
      </c>
      <c r="P3" s="44" t="s">
        <v>2156</v>
      </c>
      <c r="Q3" t="s">
        <v>2157</v>
      </c>
    </row>
    <row r="4" spans="1:25">
      <c r="B4" t="s">
        <v>128</v>
      </c>
      <c r="C4">
        <v>69424</v>
      </c>
      <c r="E4" s="44" t="s">
        <v>2154</v>
      </c>
      <c r="F4" t="s">
        <v>1085</v>
      </c>
      <c r="W4" t="s">
        <v>2158</v>
      </c>
      <c r="X4">
        <v>22</v>
      </c>
    </row>
    <row r="5" spans="1:25">
      <c r="B5" t="s">
        <v>85</v>
      </c>
      <c r="C5">
        <v>28636</v>
      </c>
      <c r="E5" t="s">
        <v>1085</v>
      </c>
      <c r="F5">
        <v>160466</v>
      </c>
      <c r="K5" s="44" t="s">
        <v>2159</v>
      </c>
      <c r="P5" s="44" t="s">
        <v>2159</v>
      </c>
      <c r="W5" t="s">
        <v>2160</v>
      </c>
      <c r="X5">
        <v>13</v>
      </c>
    </row>
    <row r="6" spans="1:25">
      <c r="B6" t="s">
        <v>1112</v>
      </c>
      <c r="C6">
        <v>208773</v>
      </c>
      <c r="K6" s="44" t="s">
        <v>27</v>
      </c>
      <c r="L6" s="44" t="s">
        <v>2161</v>
      </c>
      <c r="M6" t="s">
        <v>1085</v>
      </c>
      <c r="P6" s="44" t="s">
        <v>2162</v>
      </c>
      <c r="Q6" s="44" t="s">
        <v>2161</v>
      </c>
      <c r="R6" t="s">
        <v>1085</v>
      </c>
    </row>
    <row r="7" spans="1:25">
      <c r="B7" t="s">
        <v>51</v>
      </c>
      <c r="C7">
        <v>446</v>
      </c>
      <c r="K7" t="s">
        <v>2155</v>
      </c>
      <c r="L7" t="s">
        <v>695</v>
      </c>
      <c r="M7">
        <v>1</v>
      </c>
      <c r="P7" t="s">
        <v>2163</v>
      </c>
      <c r="R7">
        <v>1</v>
      </c>
      <c r="X7" t="s">
        <v>2164</v>
      </c>
      <c r="Y7" t="s">
        <v>2165</v>
      </c>
    </row>
    <row r="8" spans="1:25">
      <c r="B8" t="s">
        <v>22</v>
      </c>
      <c r="C8">
        <v>0</v>
      </c>
      <c r="L8" t="s">
        <v>697</v>
      </c>
      <c r="M8">
        <v>1</v>
      </c>
      <c r="P8" t="s">
        <v>2166</v>
      </c>
      <c r="R8">
        <v>1</v>
      </c>
      <c r="V8" t="s">
        <v>2167</v>
      </c>
      <c r="W8" s="257">
        <v>203521</v>
      </c>
      <c r="X8" s="313">
        <f>X5/X4</f>
        <v>0.59090909090909094</v>
      </c>
      <c r="Y8" s="313">
        <f>W9/W8</f>
        <v>0.31446386367991508</v>
      </c>
    </row>
    <row r="9" spans="1:25">
      <c r="B9" t="s">
        <v>220</v>
      </c>
      <c r="C9">
        <v>7128</v>
      </c>
      <c r="L9" t="s">
        <v>2168</v>
      </c>
      <c r="M9">
        <v>1</v>
      </c>
      <c r="P9" t="s">
        <v>2169</v>
      </c>
      <c r="Q9" t="s">
        <v>2168</v>
      </c>
      <c r="R9">
        <v>1</v>
      </c>
      <c r="V9" t="s">
        <v>2170</v>
      </c>
      <c r="W9">
        <v>64000</v>
      </c>
    </row>
    <row r="10" spans="1:25">
      <c r="B10" t="s">
        <v>231</v>
      </c>
      <c r="C10">
        <v>29359</v>
      </c>
      <c r="L10" t="s">
        <v>855</v>
      </c>
      <c r="M10">
        <v>1</v>
      </c>
      <c r="Q10" t="s">
        <v>859</v>
      </c>
      <c r="R10">
        <v>1</v>
      </c>
    </row>
    <row r="11" spans="1:25">
      <c r="B11" t="s">
        <v>201</v>
      </c>
      <c r="C11">
        <v>103</v>
      </c>
      <c r="L11" t="s">
        <v>859</v>
      </c>
      <c r="M11">
        <v>1</v>
      </c>
      <c r="Q11" t="s">
        <v>862</v>
      </c>
      <c r="R11">
        <v>1</v>
      </c>
    </row>
    <row r="12" spans="1:25">
      <c r="B12" t="s">
        <v>140</v>
      </c>
      <c r="C12">
        <v>13766</v>
      </c>
      <c r="L12" t="s">
        <v>862</v>
      </c>
      <c r="M12">
        <v>1</v>
      </c>
      <c r="Q12" t="s">
        <v>2171</v>
      </c>
      <c r="R12">
        <v>1</v>
      </c>
    </row>
    <row r="13" spans="1:25">
      <c r="B13" t="s">
        <v>177</v>
      </c>
      <c r="C13">
        <v>3</v>
      </c>
      <c r="L13" t="s">
        <v>2172</v>
      </c>
      <c r="M13">
        <v>1</v>
      </c>
      <c r="Q13" t="s">
        <v>1036</v>
      </c>
      <c r="R13">
        <v>1</v>
      </c>
    </row>
    <row r="14" spans="1:25">
      <c r="B14" t="s">
        <v>67</v>
      </c>
      <c r="C14">
        <v>3796</v>
      </c>
      <c r="L14" t="s">
        <v>876</v>
      </c>
      <c r="M14">
        <v>1</v>
      </c>
      <c r="P14" t="s">
        <v>2173</v>
      </c>
      <c r="R14">
        <v>5</v>
      </c>
    </row>
    <row r="15" spans="1:25">
      <c r="B15" t="s">
        <v>60</v>
      </c>
      <c r="C15">
        <v>10847</v>
      </c>
      <c r="L15" t="s">
        <v>2171</v>
      </c>
      <c r="M15">
        <v>1</v>
      </c>
      <c r="P15" t="s">
        <v>1112</v>
      </c>
      <c r="R15">
        <v>12</v>
      </c>
    </row>
    <row r="16" spans="1:25">
      <c r="B16" t="s">
        <v>264</v>
      </c>
      <c r="C16">
        <v>8622</v>
      </c>
      <c r="L16" t="s">
        <v>878</v>
      </c>
      <c r="M16">
        <v>1</v>
      </c>
      <c r="P16" t="s">
        <v>1082</v>
      </c>
      <c r="R16">
        <v>19</v>
      </c>
    </row>
    <row r="17" spans="2:13">
      <c r="B17" t="s">
        <v>217</v>
      </c>
      <c r="C17">
        <v>0</v>
      </c>
      <c r="L17" t="s">
        <v>882</v>
      </c>
      <c r="M17">
        <v>1</v>
      </c>
    </row>
    <row r="18" spans="2:13">
      <c r="B18" t="s">
        <v>1082</v>
      </c>
      <c r="C18">
        <v>380903</v>
      </c>
      <c r="L18" t="s">
        <v>884</v>
      </c>
      <c r="M18">
        <v>1</v>
      </c>
    </row>
    <row r="19" spans="2:13">
      <c r="L19" t="s">
        <v>888</v>
      </c>
      <c r="M19">
        <v>1</v>
      </c>
    </row>
    <row r="20" spans="2:13">
      <c r="L20" t="s">
        <v>892</v>
      </c>
      <c r="M20">
        <v>1</v>
      </c>
    </row>
    <row r="21" spans="2:13">
      <c r="L21" t="s">
        <v>2174</v>
      </c>
      <c r="M21">
        <v>1</v>
      </c>
    </row>
    <row r="22" spans="2:13">
      <c r="L22" t="s">
        <v>1036</v>
      </c>
      <c r="M22">
        <v>1</v>
      </c>
    </row>
    <row r="23" spans="2:13">
      <c r="L23" t="s">
        <v>924</v>
      </c>
      <c r="M23">
        <v>1</v>
      </c>
    </row>
    <row r="24" spans="2:13">
      <c r="L24" t="s">
        <v>947</v>
      </c>
      <c r="M24">
        <v>1</v>
      </c>
    </row>
    <row r="25" spans="2:13">
      <c r="L25" t="s">
        <v>173</v>
      </c>
      <c r="M25">
        <v>1</v>
      </c>
    </row>
    <row r="26" spans="2:13">
      <c r="K26" t="s">
        <v>2175</v>
      </c>
      <c r="M26">
        <v>19</v>
      </c>
    </row>
    <row r="27" spans="2:13">
      <c r="K27" t="s">
        <v>2176</v>
      </c>
      <c r="L27" t="s">
        <v>870</v>
      </c>
      <c r="M27">
        <v>1</v>
      </c>
    </row>
    <row r="28" spans="2:13">
      <c r="L28" t="s">
        <v>872</v>
      </c>
      <c r="M28">
        <v>1</v>
      </c>
    </row>
    <row r="29" spans="2:13">
      <c r="L29" t="s">
        <v>874</v>
      </c>
      <c r="M29">
        <v>1</v>
      </c>
    </row>
    <row r="30" spans="2:13">
      <c r="L30" t="s">
        <v>890</v>
      </c>
      <c r="M30">
        <v>1</v>
      </c>
    </row>
    <row r="31" spans="2:13">
      <c r="L31" t="s">
        <v>894</v>
      </c>
      <c r="M31">
        <v>1</v>
      </c>
    </row>
    <row r="32" spans="2:13">
      <c r="L32" t="s">
        <v>2177</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2178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2179</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2180</v>
      </c>
      <c r="S2" s="3" t="s">
        <v>2065</v>
      </c>
      <c r="T2" s="264" t="s">
        <v>2066</v>
      </c>
      <c r="U2" s="264" t="s">
        <v>2066</v>
      </c>
      <c r="V2" s="264" t="s">
        <v>2066</v>
      </c>
      <c r="W2" s="264" t="s">
        <v>2066</v>
      </c>
      <c r="X2" s="264" t="s">
        <v>2067</v>
      </c>
      <c r="Y2" s="264" t="s">
        <v>2181</v>
      </c>
    </row>
    <row r="3" spans="1:26" ht="15.75" thickBot="1">
      <c r="A3" s="263" t="s">
        <v>2161</v>
      </c>
      <c r="B3" s="259" t="s">
        <v>20</v>
      </c>
      <c r="C3" s="259" t="s">
        <v>2182</v>
      </c>
      <c r="D3" s="259" t="s">
        <v>26</v>
      </c>
      <c r="E3" s="259" t="s">
        <v>2156</v>
      </c>
      <c r="F3" s="259" t="s">
        <v>2183</v>
      </c>
      <c r="G3" s="259" t="s">
        <v>27</v>
      </c>
      <c r="H3" s="207" t="s">
        <v>28</v>
      </c>
      <c r="I3" s="207" t="s">
        <v>2184</v>
      </c>
      <c r="J3" s="207" t="s">
        <v>2185</v>
      </c>
      <c r="K3" s="207" t="s">
        <v>2186</v>
      </c>
      <c r="L3" s="207" t="s">
        <v>2142</v>
      </c>
      <c r="M3" s="207" t="s">
        <v>2187</v>
      </c>
      <c r="N3" s="207" t="s">
        <v>2188</v>
      </c>
      <c r="O3" s="206" t="s">
        <v>2070</v>
      </c>
      <c r="P3" s="260" t="s">
        <v>2162</v>
      </c>
      <c r="Q3" s="261" t="s">
        <v>34</v>
      </c>
      <c r="R3" s="261" t="s">
        <v>2184</v>
      </c>
      <c r="S3" s="5" t="s">
        <v>2071</v>
      </c>
      <c r="T3" s="261" t="s">
        <v>2189</v>
      </c>
      <c r="U3" s="261" t="s">
        <v>43</v>
      </c>
      <c r="V3" s="261" t="s">
        <v>2072</v>
      </c>
      <c r="W3" s="261" t="s">
        <v>46</v>
      </c>
      <c r="X3" s="261" t="s">
        <v>686</v>
      </c>
      <c r="Y3" s="261" t="s">
        <v>2190</v>
      </c>
      <c r="Z3" s="312" t="s">
        <v>2191</v>
      </c>
    </row>
    <row r="4" spans="1:26" ht="15.75" thickBot="1">
      <c r="A4" s="121" t="s">
        <v>77</v>
      </c>
      <c r="B4" s="102" t="s">
        <v>50</v>
      </c>
      <c r="C4" s="77">
        <v>45807</v>
      </c>
      <c r="D4" s="268"/>
      <c r="E4" s="269" t="s">
        <v>2192</v>
      </c>
      <c r="F4" s="268"/>
      <c r="G4" s="270" t="s">
        <v>2155</v>
      </c>
      <c r="H4" s="268"/>
      <c r="I4" s="268"/>
      <c r="J4" s="271"/>
      <c r="K4" s="205"/>
      <c r="L4" s="205"/>
      <c r="M4" s="205"/>
      <c r="N4" s="272"/>
      <c r="O4" s="273"/>
      <c r="P4" s="274" t="s">
        <v>2193</v>
      </c>
      <c r="Q4" s="275" t="s">
        <v>82</v>
      </c>
      <c r="R4" s="131" t="s">
        <v>2194</v>
      </c>
      <c r="S4" s="131"/>
      <c r="T4" s="276"/>
      <c r="U4" s="277"/>
      <c r="V4" s="277"/>
      <c r="W4" s="277"/>
      <c r="X4" s="277"/>
      <c r="Y4" s="277"/>
      <c r="Z4" t="e">
        <f>VLOOKUP(A4,#REF!,9,FALSE)</f>
        <v>#REF!</v>
      </c>
    </row>
    <row r="5" spans="1:26" ht="15.75" thickBot="1">
      <c r="A5" s="278" t="s">
        <v>2112</v>
      </c>
      <c r="B5" s="102" t="s">
        <v>50</v>
      </c>
      <c r="C5" s="215">
        <v>45807</v>
      </c>
      <c r="D5" s="268"/>
      <c r="E5" s="269" t="s">
        <v>2192</v>
      </c>
      <c r="F5" s="268"/>
      <c r="G5" s="270" t="s">
        <v>2155</v>
      </c>
      <c r="H5" s="268"/>
      <c r="I5" s="268"/>
      <c r="J5" s="279"/>
      <c r="K5" s="205"/>
      <c r="L5" s="205"/>
      <c r="M5" s="205"/>
      <c r="N5" s="272"/>
      <c r="O5" s="273"/>
      <c r="P5" s="274" t="s">
        <v>2193</v>
      </c>
      <c r="Q5" s="275" t="s">
        <v>82</v>
      </c>
      <c r="R5" s="131" t="s">
        <v>2194</v>
      </c>
      <c r="S5" s="131"/>
      <c r="T5" s="276"/>
      <c r="U5" s="277"/>
      <c r="V5" s="277"/>
      <c r="W5" s="277"/>
      <c r="X5" s="277"/>
      <c r="Y5" s="277"/>
      <c r="Z5" t="e">
        <f>VLOOKUP(A5,#REF!,9,FALSE)</f>
        <v>#REF!</v>
      </c>
    </row>
    <row r="6" spans="1:26" ht="15.75" thickBot="1">
      <c r="A6" s="121" t="s">
        <v>1109</v>
      </c>
      <c r="B6" s="102" t="s">
        <v>50</v>
      </c>
      <c r="C6" s="215">
        <v>45807</v>
      </c>
      <c r="D6" s="268"/>
      <c r="E6" s="269" t="s">
        <v>2192</v>
      </c>
      <c r="F6" s="268"/>
      <c r="G6" s="270" t="s">
        <v>2155</v>
      </c>
      <c r="H6" s="268"/>
      <c r="I6" s="268"/>
      <c r="J6" s="279"/>
      <c r="K6" s="205"/>
      <c r="L6" s="205"/>
      <c r="M6" s="205"/>
      <c r="N6" s="272"/>
      <c r="O6" s="273"/>
      <c r="P6" s="274" t="s">
        <v>2193</v>
      </c>
      <c r="Q6" s="275" t="s">
        <v>82</v>
      </c>
      <c r="R6" s="131" t="s">
        <v>2194</v>
      </c>
      <c r="S6" s="131"/>
      <c r="T6" s="276"/>
      <c r="U6" s="277"/>
      <c r="V6" s="277"/>
      <c r="W6" s="277"/>
      <c r="X6" s="277"/>
      <c r="Y6" s="277"/>
      <c r="Z6" t="e">
        <f>VLOOKUP(A6,#REF!,9,FALSE)</f>
        <v>#REF!</v>
      </c>
    </row>
    <row r="7" spans="1:26" ht="15.75" thickBot="1">
      <c r="A7" s="121" t="s">
        <v>1126</v>
      </c>
      <c r="B7" s="102" t="s">
        <v>50</v>
      </c>
      <c r="C7" s="215">
        <v>45807</v>
      </c>
      <c r="D7" s="268"/>
      <c r="E7" s="269" t="s">
        <v>2192</v>
      </c>
      <c r="F7" s="268"/>
      <c r="G7" s="270" t="s">
        <v>2155</v>
      </c>
      <c r="H7" s="268"/>
      <c r="I7" s="268"/>
      <c r="J7" s="279"/>
      <c r="K7" s="205"/>
      <c r="L7" s="205"/>
      <c r="M7" s="205"/>
      <c r="N7" s="272"/>
      <c r="O7" s="273"/>
      <c r="P7" s="274" t="s">
        <v>2193</v>
      </c>
      <c r="Q7" s="275" t="s">
        <v>82</v>
      </c>
      <c r="R7" s="131" t="s">
        <v>2194</v>
      </c>
      <c r="S7" s="131"/>
      <c r="T7" s="276"/>
      <c r="U7" s="277"/>
      <c r="V7" s="277"/>
      <c r="W7" s="277"/>
      <c r="X7" s="277"/>
      <c r="Y7" s="277"/>
      <c r="Z7" t="e">
        <f>VLOOKUP(A7,#REF!,9,FALSE)</f>
        <v>#REF!</v>
      </c>
    </row>
    <row r="8" spans="1:26" ht="15.75" thickBot="1">
      <c r="A8" s="278" t="s">
        <v>2195</v>
      </c>
      <c r="B8" s="102" t="s">
        <v>50</v>
      </c>
      <c r="C8" s="215">
        <v>45807</v>
      </c>
      <c r="D8" s="268"/>
      <c r="E8" s="269" t="s">
        <v>2192</v>
      </c>
      <c r="F8" s="268"/>
      <c r="G8" s="270" t="s">
        <v>2155</v>
      </c>
      <c r="H8" s="268"/>
      <c r="I8" s="268"/>
      <c r="J8" s="279"/>
      <c r="K8" s="205"/>
      <c r="L8" s="205"/>
      <c r="M8" s="205"/>
      <c r="N8" s="272"/>
      <c r="O8" s="273"/>
      <c r="P8" s="274" t="s">
        <v>2166</v>
      </c>
      <c r="Q8" s="275" t="s">
        <v>2196</v>
      </c>
      <c r="R8" s="131" t="s">
        <v>2197</v>
      </c>
      <c r="S8" s="131"/>
      <c r="T8" s="276"/>
      <c r="U8" s="277"/>
      <c r="V8" s="277"/>
      <c r="W8" s="277"/>
      <c r="X8" s="277"/>
      <c r="Y8" s="277"/>
      <c r="Z8" t="e">
        <f>VLOOKUP(A8,#REF!,9,FALSE)</f>
        <v>#REF!</v>
      </c>
    </row>
    <row r="9" spans="1:26" ht="15.75" thickBot="1">
      <c r="A9" s="121" t="s">
        <v>1134</v>
      </c>
      <c r="B9" s="102" t="s">
        <v>50</v>
      </c>
      <c r="C9" s="215">
        <v>45807</v>
      </c>
      <c r="D9" s="280"/>
      <c r="E9" s="269" t="s">
        <v>2192</v>
      </c>
      <c r="F9" s="280"/>
      <c r="G9" s="281" t="s">
        <v>2155</v>
      </c>
      <c r="H9" s="268"/>
      <c r="I9" s="268"/>
      <c r="J9" s="279"/>
      <c r="K9" s="205"/>
      <c r="L9" s="205"/>
      <c r="M9" s="205"/>
      <c r="N9" s="272"/>
      <c r="O9" s="273"/>
      <c r="P9" s="274" t="s">
        <v>2193</v>
      </c>
      <c r="Q9" s="275" t="s">
        <v>82</v>
      </c>
      <c r="R9" s="131" t="s">
        <v>2194</v>
      </c>
      <c r="S9" s="131"/>
      <c r="T9" s="276"/>
      <c r="U9" s="277"/>
      <c r="V9" s="277"/>
      <c r="W9" s="277"/>
      <c r="X9" s="277"/>
      <c r="Y9" s="277"/>
      <c r="Z9" t="e">
        <f>VLOOKUP(A9,#REF!,9,FALSE)</f>
        <v>#REF!</v>
      </c>
    </row>
    <row r="10" spans="1:26" ht="15.75" thickBot="1">
      <c r="A10" s="121" t="s">
        <v>1111</v>
      </c>
      <c r="B10" s="102" t="s">
        <v>50</v>
      </c>
      <c r="C10" s="215" t="e">
        <v>#N/A</v>
      </c>
      <c r="D10" s="282"/>
      <c r="E10" s="269" t="s">
        <v>2192</v>
      </c>
      <c r="F10" s="282"/>
      <c r="G10" s="283" t="s">
        <v>2155</v>
      </c>
      <c r="H10" s="230"/>
      <c r="I10" s="230"/>
      <c r="J10" s="45"/>
      <c r="K10" s="204"/>
      <c r="L10" s="204"/>
      <c r="M10" s="204"/>
      <c r="N10" s="284"/>
      <c r="O10" s="285"/>
      <c r="P10" s="274" t="s">
        <v>2193</v>
      </c>
      <c r="Q10" s="275" t="s">
        <v>58</v>
      </c>
      <c r="R10" s="131" t="s">
        <v>2194</v>
      </c>
      <c r="S10" s="131"/>
      <c r="T10" s="276"/>
      <c r="U10" s="277"/>
      <c r="V10" s="277"/>
      <c r="W10" s="277"/>
      <c r="X10" s="277"/>
      <c r="Y10" s="277"/>
      <c r="Z10" t="e">
        <f>VLOOKUP(A10,#REF!,9,FALSE)</f>
        <v>#REF!</v>
      </c>
    </row>
    <row r="11" spans="1:26" ht="15.75" thickBot="1">
      <c r="A11" s="121" t="s">
        <v>525</v>
      </c>
      <c r="B11" s="102" t="s">
        <v>50</v>
      </c>
      <c r="C11" s="215">
        <v>45807</v>
      </c>
      <c r="D11" s="282"/>
      <c r="E11" s="269" t="s">
        <v>2192</v>
      </c>
      <c r="F11" s="282"/>
      <c r="G11" s="283" t="s">
        <v>2155</v>
      </c>
      <c r="H11" s="230"/>
      <c r="I11" s="230"/>
      <c r="J11" s="45"/>
      <c r="K11" s="204"/>
      <c r="L11" s="204"/>
      <c r="M11" s="204"/>
      <c r="N11" s="284"/>
      <c r="O11" s="285"/>
      <c r="P11" s="274" t="s">
        <v>2193</v>
      </c>
      <c r="Q11" s="275" t="s">
        <v>82</v>
      </c>
      <c r="R11" s="131" t="s">
        <v>2194</v>
      </c>
      <c r="S11" s="131"/>
      <c r="T11" s="276"/>
      <c r="U11" s="277"/>
      <c r="V11" s="277"/>
      <c r="W11" s="277"/>
      <c r="X11" s="277"/>
      <c r="Y11" s="277"/>
      <c r="Z11" t="e">
        <f>VLOOKUP(A11,#REF!,9,FALSE)</f>
        <v>#REF!</v>
      </c>
    </row>
    <row r="12" spans="1:26" ht="15.75" thickBot="1">
      <c r="A12" s="121" t="s">
        <v>1106</v>
      </c>
      <c r="B12" s="102" t="s">
        <v>50</v>
      </c>
      <c r="C12" s="215" t="e">
        <v>#N/A</v>
      </c>
      <c r="D12" s="282"/>
      <c r="E12" s="269" t="s">
        <v>2192</v>
      </c>
      <c r="F12" s="282"/>
      <c r="G12" s="283" t="s">
        <v>2155</v>
      </c>
      <c r="H12" s="230"/>
      <c r="I12" s="230"/>
      <c r="J12" s="45"/>
      <c r="K12" s="204"/>
      <c r="L12" s="204"/>
      <c r="M12" s="204"/>
      <c r="N12" s="284"/>
      <c r="O12" s="285"/>
      <c r="P12" s="274" t="s">
        <v>2193</v>
      </c>
      <c r="Q12" s="275" t="s">
        <v>82</v>
      </c>
      <c r="R12" s="131" t="s">
        <v>2194</v>
      </c>
      <c r="S12" s="131"/>
      <c r="T12" s="276"/>
      <c r="U12" s="277"/>
      <c r="V12" s="277"/>
      <c r="W12" s="277"/>
      <c r="X12" s="277"/>
      <c r="Y12" s="277"/>
      <c r="Z12" t="e">
        <f>VLOOKUP(A12,#REF!,9,FALSE)</f>
        <v>#REF!</v>
      </c>
    </row>
    <row r="13" spans="1:26" ht="15.75" thickBot="1">
      <c r="A13" s="121" t="s">
        <v>1132</v>
      </c>
      <c r="B13" s="102" t="s">
        <v>50</v>
      </c>
      <c r="C13" s="215" t="e">
        <v>#N/A</v>
      </c>
      <c r="D13" s="282"/>
      <c r="E13" s="269" t="s">
        <v>2192</v>
      </c>
      <c r="F13" s="282"/>
      <c r="G13" s="283" t="s">
        <v>2155</v>
      </c>
      <c r="H13" s="230"/>
      <c r="I13" s="230"/>
      <c r="J13" s="45"/>
      <c r="K13" s="204"/>
      <c r="L13" s="204"/>
      <c r="M13" s="204"/>
      <c r="N13" s="284"/>
      <c r="O13" s="285"/>
      <c r="P13" s="274" t="s">
        <v>2193</v>
      </c>
      <c r="Q13" s="275" t="s">
        <v>82</v>
      </c>
      <c r="R13" s="131" t="s">
        <v>2194</v>
      </c>
      <c r="S13" s="131"/>
      <c r="T13" s="276"/>
      <c r="U13" s="277"/>
      <c r="V13" s="277"/>
      <c r="W13" s="277"/>
      <c r="X13" s="277"/>
      <c r="Y13" s="277"/>
      <c r="Z13" t="e">
        <f>VLOOKUP(A13,#REF!,9,FALSE)</f>
        <v>#REF!</v>
      </c>
    </row>
    <row r="14" spans="1:26" ht="15.75" thickBot="1">
      <c r="A14" s="278" t="s">
        <v>521</v>
      </c>
      <c r="B14" s="102" t="s">
        <v>50</v>
      </c>
      <c r="C14" s="215">
        <v>45807</v>
      </c>
      <c r="D14" s="282"/>
      <c r="E14" s="269" t="s">
        <v>2192</v>
      </c>
      <c r="F14" s="282"/>
      <c r="G14" s="283" t="s">
        <v>2155</v>
      </c>
      <c r="H14" s="230"/>
      <c r="I14" s="230"/>
      <c r="J14" s="45"/>
      <c r="K14" s="204"/>
      <c r="L14" s="204"/>
      <c r="M14" s="204"/>
      <c r="N14" s="284"/>
      <c r="O14" s="285"/>
      <c r="P14" s="274" t="s">
        <v>2193</v>
      </c>
      <c r="Q14" s="275" t="s">
        <v>82</v>
      </c>
      <c r="R14" s="131" t="s">
        <v>2194</v>
      </c>
      <c r="S14" s="131"/>
      <c r="T14" s="276"/>
      <c r="U14" s="277"/>
      <c r="V14" s="277"/>
      <c r="W14" s="277"/>
      <c r="X14" s="277"/>
      <c r="Y14" s="277"/>
      <c r="Z14" t="e">
        <f>VLOOKUP(A14,#REF!,9,FALSE)</f>
        <v>#REF!</v>
      </c>
    </row>
    <row r="15" spans="1:26" ht="15.75" thickBot="1">
      <c r="A15" s="121" t="s">
        <v>1110</v>
      </c>
      <c r="B15" s="102" t="s">
        <v>50</v>
      </c>
      <c r="C15" s="215" t="e">
        <v>#N/A</v>
      </c>
      <c r="D15" s="282"/>
      <c r="E15" s="269" t="s">
        <v>2192</v>
      </c>
      <c r="F15" s="282"/>
      <c r="G15" s="283" t="s">
        <v>2155</v>
      </c>
      <c r="H15" s="230"/>
      <c r="I15" s="230"/>
      <c r="J15" s="45"/>
      <c r="K15" s="204"/>
      <c r="L15" s="204"/>
      <c r="M15" s="204"/>
      <c r="N15" s="284"/>
      <c r="O15" s="285"/>
      <c r="P15" s="274" t="s">
        <v>2193</v>
      </c>
      <c r="Q15" s="275" t="s">
        <v>82</v>
      </c>
      <c r="R15" s="131" t="s">
        <v>2194</v>
      </c>
      <c r="S15" s="131"/>
      <c r="T15" s="276"/>
      <c r="U15" s="277"/>
      <c r="V15" s="277"/>
      <c r="W15" s="277"/>
      <c r="X15" s="277"/>
      <c r="Y15" s="277"/>
      <c r="Z15" t="e">
        <f>VLOOKUP(A15,#REF!,9,FALSE)</f>
        <v>#REF!</v>
      </c>
    </row>
    <row r="16" spans="1:26" ht="15.75" thickBot="1">
      <c r="A16" s="286" t="s">
        <v>2198</v>
      </c>
      <c r="B16" s="102" t="s">
        <v>50</v>
      </c>
      <c r="C16" s="215" t="e">
        <v>#N/A</v>
      </c>
      <c r="D16" s="282"/>
      <c r="E16" s="269" t="s">
        <v>2192</v>
      </c>
      <c r="F16" s="282"/>
      <c r="G16" s="283" t="s">
        <v>2155</v>
      </c>
      <c r="H16" s="230"/>
      <c r="I16" s="230"/>
      <c r="J16" s="45"/>
      <c r="K16" s="204"/>
      <c r="L16" s="204"/>
      <c r="M16" s="204"/>
      <c r="N16" s="284"/>
      <c r="O16" s="285"/>
      <c r="P16" s="274" t="s">
        <v>2193</v>
      </c>
      <c r="Q16" s="275" t="s">
        <v>82</v>
      </c>
      <c r="R16" s="131" t="s">
        <v>2194</v>
      </c>
      <c r="S16" s="131"/>
      <c r="T16" s="276"/>
      <c r="U16" s="277"/>
      <c r="V16" s="277"/>
      <c r="W16" s="277"/>
      <c r="X16" s="277"/>
      <c r="Y16" s="277"/>
      <c r="Z16" t="e">
        <f>VLOOKUP(A16,#REF!,9,FALSE)</f>
        <v>#REF!</v>
      </c>
    </row>
    <row r="17" spans="1:26" ht="15.75" thickBot="1">
      <c r="A17" s="275" t="s">
        <v>947</v>
      </c>
      <c r="B17" s="102" t="s">
        <v>50</v>
      </c>
      <c r="C17" s="215" t="e">
        <v>#N/A</v>
      </c>
      <c r="D17" s="282"/>
      <c r="E17" s="269" t="s">
        <v>2157</v>
      </c>
      <c r="F17" s="282"/>
      <c r="G17" s="283" t="s">
        <v>2155</v>
      </c>
      <c r="H17" s="230"/>
      <c r="I17" s="230"/>
      <c r="J17" s="45"/>
      <c r="K17" s="204"/>
      <c r="L17" s="204"/>
      <c r="M17" s="204"/>
      <c r="N17" s="284"/>
      <c r="O17" s="285"/>
      <c r="P17" s="274"/>
      <c r="Q17" s="275" t="s">
        <v>82</v>
      </c>
      <c r="R17" s="131" t="s">
        <v>2194</v>
      </c>
      <c r="S17" s="131"/>
      <c r="T17" s="276"/>
      <c r="U17" s="277"/>
      <c r="V17" s="277"/>
      <c r="W17" s="277"/>
      <c r="X17" s="277"/>
      <c r="Y17" s="277"/>
      <c r="Z17" t="e">
        <f>VLOOKUP(A17,#REF!,9,FALSE)</f>
        <v>#REF!</v>
      </c>
    </row>
    <row r="18" spans="1:26" ht="15.75" thickBot="1">
      <c r="A18" s="275" t="s">
        <v>924</v>
      </c>
      <c r="B18" s="102" t="s">
        <v>50</v>
      </c>
      <c r="C18" s="215">
        <v>45807</v>
      </c>
      <c r="D18" s="282"/>
      <c r="E18" s="269" t="s">
        <v>2157</v>
      </c>
      <c r="F18" s="282"/>
      <c r="G18" s="283" t="s">
        <v>2155</v>
      </c>
      <c r="H18" s="230"/>
      <c r="I18" s="230"/>
      <c r="J18" s="45"/>
      <c r="K18" s="204"/>
      <c r="L18" s="204"/>
      <c r="M18" s="204"/>
      <c r="N18" s="284"/>
      <c r="O18" s="285"/>
      <c r="P18" s="274" t="s">
        <v>2163</v>
      </c>
      <c r="Q18" s="275"/>
      <c r="R18" s="131" t="s">
        <v>2194</v>
      </c>
      <c r="S18" s="131"/>
      <c r="T18" s="276"/>
      <c r="U18" s="277"/>
      <c r="V18" s="277"/>
      <c r="W18" s="277"/>
      <c r="X18" s="277"/>
      <c r="Y18" s="277"/>
      <c r="Z18" t="e">
        <f>VLOOKUP(A18,#REF!,9,FALSE)</f>
        <v>#REF!</v>
      </c>
    </row>
    <row r="19" spans="1:26" ht="15.75" thickBot="1">
      <c r="A19" s="275" t="s">
        <v>927</v>
      </c>
      <c r="B19" s="102" t="s">
        <v>50</v>
      </c>
      <c r="C19" s="215" t="e">
        <v>#N/A</v>
      </c>
      <c r="D19" s="282"/>
      <c r="E19" s="269" t="s">
        <v>2157</v>
      </c>
      <c r="F19" s="282"/>
      <c r="G19" s="283" t="s">
        <v>2176</v>
      </c>
      <c r="H19" s="230"/>
      <c r="I19" s="230"/>
      <c r="J19" s="45"/>
      <c r="K19" s="204"/>
      <c r="L19" s="204"/>
      <c r="M19" s="204"/>
      <c r="N19" s="284"/>
      <c r="O19" s="285"/>
      <c r="P19" s="274"/>
      <c r="Q19" s="275" t="s">
        <v>2176</v>
      </c>
      <c r="R19" s="131" t="s">
        <v>2194</v>
      </c>
      <c r="S19" s="131"/>
      <c r="T19" s="276"/>
      <c r="U19" s="277"/>
      <c r="V19" s="277"/>
      <c r="W19" s="277"/>
      <c r="X19" s="277"/>
      <c r="Y19" s="277"/>
      <c r="Z19" t="e">
        <f>VLOOKUP(A19,#REF!,9,FALSE)</f>
        <v>#REF!</v>
      </c>
    </row>
    <row r="20" spans="1:26" ht="15.75" thickBot="1">
      <c r="A20" s="275" t="s">
        <v>870</v>
      </c>
      <c r="B20" s="102" t="s">
        <v>50</v>
      </c>
      <c r="C20" s="215" t="e">
        <v>#N/A</v>
      </c>
      <c r="D20" s="282"/>
      <c r="E20" s="269" t="s">
        <v>2157</v>
      </c>
      <c r="F20" s="282"/>
      <c r="G20" s="283" t="s">
        <v>2176</v>
      </c>
      <c r="H20" s="230"/>
      <c r="I20" s="230"/>
      <c r="J20" s="45"/>
      <c r="K20" s="204"/>
      <c r="L20" s="204"/>
      <c r="M20" s="204"/>
      <c r="N20" s="284"/>
      <c r="O20" s="285"/>
      <c r="P20" s="274"/>
      <c r="Q20" s="275" t="s">
        <v>2176</v>
      </c>
      <c r="R20" s="131" t="s">
        <v>2194</v>
      </c>
      <c r="S20" s="131"/>
      <c r="T20" s="276"/>
      <c r="U20" s="277"/>
      <c r="V20" s="277"/>
      <c r="W20" s="277"/>
      <c r="X20" s="277"/>
      <c r="Y20" s="277"/>
      <c r="Z20" t="e">
        <f>VLOOKUP(A20,#REF!,9,FALSE)</f>
        <v>#REF!</v>
      </c>
    </row>
    <row r="21" spans="1:26" s="214" customFormat="1" ht="15.75" thickBot="1">
      <c r="A21" s="262" t="s">
        <v>2172</v>
      </c>
      <c r="B21" s="102" t="e">
        <v>#N/A</v>
      </c>
      <c r="C21" s="231">
        <v>45807</v>
      </c>
      <c r="D21" s="282"/>
      <c r="E21" s="269" t="s">
        <v>2157</v>
      </c>
      <c r="F21" s="282"/>
      <c r="G21" s="283" t="s">
        <v>2155</v>
      </c>
      <c r="H21" s="230"/>
      <c r="I21" s="230"/>
      <c r="J21" s="230"/>
      <c r="K21" s="229"/>
      <c r="L21" s="229"/>
      <c r="M21" s="229"/>
      <c r="N21" s="284"/>
      <c r="O21" s="285"/>
      <c r="P21" s="274"/>
      <c r="Q21" s="225" t="s">
        <v>64</v>
      </c>
      <c r="R21" s="131" t="s">
        <v>2194</v>
      </c>
      <c r="S21" s="228"/>
      <c r="T21" s="227"/>
      <c r="U21" s="226"/>
      <c r="V21" s="226"/>
      <c r="W21" s="226"/>
      <c r="X21" s="226"/>
      <c r="Y21" s="226" t="s">
        <v>2199</v>
      </c>
      <c r="Z21" t="e">
        <f>VLOOKUP(A21,#REF!,9,FALSE)</f>
        <v>#REF!</v>
      </c>
    </row>
    <row r="22" spans="1:26" ht="15.75" thickBot="1">
      <c r="A22" s="275" t="s">
        <v>872</v>
      </c>
      <c r="B22" s="102" t="s">
        <v>50</v>
      </c>
      <c r="C22" s="215" t="e">
        <v>#N/A</v>
      </c>
      <c r="D22" s="282"/>
      <c r="E22" s="269" t="s">
        <v>2157</v>
      </c>
      <c r="F22" s="282"/>
      <c r="G22" s="283" t="s">
        <v>2176</v>
      </c>
      <c r="H22" s="230"/>
      <c r="I22" s="230"/>
      <c r="J22" s="45"/>
      <c r="K22" s="204"/>
      <c r="L22" s="204"/>
      <c r="M22" s="204"/>
      <c r="N22" s="284"/>
      <c r="O22" s="285"/>
      <c r="P22" s="274"/>
      <c r="Q22" s="275" t="s">
        <v>2176</v>
      </c>
      <c r="R22" s="131" t="s">
        <v>2194</v>
      </c>
      <c r="S22" s="131"/>
      <c r="T22" s="276"/>
      <c r="U22" s="277"/>
      <c r="V22" s="277"/>
      <c r="W22" s="277"/>
      <c r="X22" s="277"/>
      <c r="Y22" s="277"/>
      <c r="Z22" t="e">
        <f>VLOOKUP(A22,#REF!,9,FALSE)</f>
        <v>#REF!</v>
      </c>
    </row>
    <row r="23" spans="1:26" ht="15.75" thickBot="1">
      <c r="A23" s="275" t="s">
        <v>855</v>
      </c>
      <c r="B23" s="102" t="s">
        <v>50</v>
      </c>
      <c r="C23" s="215" t="e">
        <v>#N/A</v>
      </c>
      <c r="D23" s="282"/>
      <c r="E23" s="269" t="s">
        <v>2157</v>
      </c>
      <c r="F23" s="282"/>
      <c r="G23" s="283" t="s">
        <v>2155</v>
      </c>
      <c r="H23" s="230"/>
      <c r="I23" s="230"/>
      <c r="J23" s="45"/>
      <c r="K23" s="204"/>
      <c r="L23" s="204"/>
      <c r="M23" s="204"/>
      <c r="N23" s="284"/>
      <c r="O23" s="285"/>
      <c r="P23" s="274"/>
      <c r="Q23" s="275" t="s">
        <v>64</v>
      </c>
      <c r="R23" s="131" t="s">
        <v>2194</v>
      </c>
      <c r="S23" s="131"/>
      <c r="T23" s="276"/>
      <c r="U23" s="277"/>
      <c r="V23" s="277"/>
      <c r="W23" s="277"/>
      <c r="X23" s="277"/>
      <c r="Y23" s="277" t="s">
        <v>2200</v>
      </c>
      <c r="Z23" t="e">
        <f>VLOOKUP(A23,#REF!,9,FALSE)</f>
        <v>#REF!</v>
      </c>
    </row>
    <row r="24" spans="1:26" s="214" customFormat="1" ht="69.599999999999994" customHeight="1" thickBot="1">
      <c r="A24" s="225" t="s">
        <v>2168</v>
      </c>
      <c r="B24" s="232" t="e">
        <v>#N/A</v>
      </c>
      <c r="C24" s="231">
        <v>45716</v>
      </c>
      <c r="D24" s="282"/>
      <c r="E24" s="269" t="s">
        <v>2157</v>
      </c>
      <c r="F24" s="282"/>
      <c r="G24" s="283" t="s">
        <v>2155</v>
      </c>
      <c r="H24" s="230"/>
      <c r="I24" s="230"/>
      <c r="J24" s="230"/>
      <c r="K24" s="229"/>
      <c r="L24" s="229"/>
      <c r="M24" s="229"/>
      <c r="N24" s="284"/>
      <c r="O24" s="285"/>
      <c r="P24" s="274" t="s">
        <v>2169</v>
      </c>
      <c r="Q24" s="225" t="s">
        <v>64</v>
      </c>
      <c r="R24" s="131" t="s">
        <v>2194</v>
      </c>
      <c r="S24" s="228"/>
      <c r="T24" s="227"/>
      <c r="U24" s="226"/>
      <c r="V24" s="226"/>
      <c r="W24" s="226"/>
      <c r="X24" s="226"/>
      <c r="Y24" s="226" t="s">
        <v>2200</v>
      </c>
      <c r="Z24" t="e">
        <f>VLOOKUP(A24,#REF!,9,FALSE)</f>
        <v>#REF!</v>
      </c>
    </row>
    <row r="25" spans="1:26" ht="15.75" thickBot="1">
      <c r="A25" s="275" t="s">
        <v>859</v>
      </c>
      <c r="B25" s="102" t="s">
        <v>50</v>
      </c>
      <c r="C25" s="215">
        <v>45772</v>
      </c>
      <c r="D25" s="282"/>
      <c r="E25" s="269" t="s">
        <v>2157</v>
      </c>
      <c r="F25" s="282"/>
      <c r="G25" s="283" t="s">
        <v>2155</v>
      </c>
      <c r="H25" s="230"/>
      <c r="I25" s="230"/>
      <c r="J25" s="45"/>
      <c r="K25" s="204"/>
      <c r="L25" s="204"/>
      <c r="M25" s="204"/>
      <c r="N25" s="284"/>
      <c r="O25" s="285"/>
      <c r="P25" s="274" t="s">
        <v>2169</v>
      </c>
      <c r="Q25" s="275" t="s">
        <v>64</v>
      </c>
      <c r="R25" s="131" t="s">
        <v>2194</v>
      </c>
      <c r="S25" s="131"/>
      <c r="T25" s="276"/>
      <c r="U25" s="277"/>
      <c r="V25" s="277"/>
      <c r="W25" s="277"/>
      <c r="X25" s="277"/>
      <c r="Y25" s="277"/>
      <c r="Z25" t="e">
        <f>VLOOKUP(A25,#REF!,9,FALSE)</f>
        <v>#REF!</v>
      </c>
    </row>
    <row r="26" spans="1:26" ht="15.75" thickBot="1">
      <c r="A26" s="275" t="s">
        <v>862</v>
      </c>
      <c r="B26" s="102" t="s">
        <v>50</v>
      </c>
      <c r="C26" s="215">
        <v>45772</v>
      </c>
      <c r="D26" s="282"/>
      <c r="E26" s="269" t="s">
        <v>2157</v>
      </c>
      <c r="F26" s="282"/>
      <c r="G26" s="283" t="s">
        <v>2155</v>
      </c>
      <c r="H26" s="230"/>
      <c r="I26" s="230"/>
      <c r="J26" s="45"/>
      <c r="K26" s="204"/>
      <c r="L26" s="204"/>
      <c r="M26" s="204"/>
      <c r="N26" s="284"/>
      <c r="O26" s="285"/>
      <c r="P26" s="274" t="s">
        <v>2169</v>
      </c>
      <c r="Q26" s="275" t="s">
        <v>64</v>
      </c>
      <c r="R26" s="131" t="s">
        <v>2194</v>
      </c>
      <c r="S26" s="131"/>
      <c r="T26" s="276"/>
      <c r="U26" s="277"/>
      <c r="V26" s="277"/>
      <c r="W26" s="277"/>
      <c r="X26" s="277"/>
      <c r="Y26" s="277"/>
      <c r="Z26" t="e">
        <f>VLOOKUP(A26,#REF!,9,FALSE)</f>
        <v>#REF!</v>
      </c>
    </row>
    <row r="27" spans="1:26" ht="15.75" thickBot="1">
      <c r="A27" s="275" t="s">
        <v>1036</v>
      </c>
      <c r="B27" s="102" t="s">
        <v>50</v>
      </c>
      <c r="C27" s="215">
        <v>45772</v>
      </c>
      <c r="D27" s="282"/>
      <c r="E27" s="269" t="s">
        <v>2157</v>
      </c>
      <c r="F27" s="282"/>
      <c r="G27" s="283" t="s">
        <v>2155</v>
      </c>
      <c r="H27" s="230"/>
      <c r="I27" s="230"/>
      <c r="J27" s="45"/>
      <c r="K27" s="204"/>
      <c r="L27" s="204"/>
      <c r="M27" s="204"/>
      <c r="N27" s="284"/>
      <c r="O27" s="285"/>
      <c r="P27" s="274" t="s">
        <v>2169</v>
      </c>
      <c r="Q27" s="275" t="s">
        <v>64</v>
      </c>
      <c r="R27" s="131" t="s">
        <v>2194</v>
      </c>
      <c r="S27" s="131"/>
      <c r="T27" s="276"/>
      <c r="U27" s="277"/>
      <c r="V27" s="277"/>
      <c r="W27" s="277"/>
      <c r="X27" s="277"/>
      <c r="Y27" s="277"/>
      <c r="Z27" t="e">
        <f>VLOOKUP(A27,#REF!,9,FALSE)</f>
        <v>#REF!</v>
      </c>
    </row>
    <row r="28" spans="1:26" ht="70.150000000000006" customHeight="1" thickBot="1">
      <c r="A28" s="225" t="s">
        <v>2171</v>
      </c>
      <c r="B28" s="232"/>
      <c r="C28" s="231"/>
      <c r="D28" s="282"/>
      <c r="E28" s="269" t="s">
        <v>2157</v>
      </c>
      <c r="F28" s="282"/>
      <c r="G28" s="283" t="s">
        <v>2155</v>
      </c>
      <c r="H28" s="230"/>
      <c r="I28" s="230"/>
      <c r="J28" s="230"/>
      <c r="K28" s="229"/>
      <c r="L28" s="229"/>
      <c r="M28" s="229"/>
      <c r="N28" s="284"/>
      <c r="O28" s="285"/>
      <c r="P28" s="274" t="s">
        <v>2169</v>
      </c>
      <c r="Q28" s="225" t="s">
        <v>64</v>
      </c>
      <c r="R28" s="131" t="s">
        <v>2194</v>
      </c>
      <c r="S28" s="228"/>
      <c r="T28" s="227"/>
      <c r="U28" s="226"/>
      <c r="V28" s="226"/>
      <c r="W28" s="226"/>
      <c r="X28" s="226"/>
      <c r="Y28" s="288" t="s">
        <v>2201</v>
      </c>
      <c r="Z28" t="e">
        <f>VLOOKUP(A28,#REF!,9,FALSE)</f>
        <v>#REF!</v>
      </c>
    </row>
    <row r="29" spans="1:26" s="214" customFormat="1" ht="69.599999999999994" customHeight="1" thickBot="1">
      <c r="A29" s="225" t="s">
        <v>2174</v>
      </c>
      <c r="B29" s="232" t="e">
        <v>#N/A</v>
      </c>
      <c r="C29" s="231" t="e">
        <v>#N/A</v>
      </c>
      <c r="D29" s="282"/>
      <c r="E29" s="269" t="s">
        <v>2157</v>
      </c>
      <c r="F29" s="282"/>
      <c r="G29" s="283" t="s">
        <v>2155</v>
      </c>
      <c r="H29" s="230"/>
      <c r="I29" s="230"/>
      <c r="J29" s="230"/>
      <c r="K29" s="229"/>
      <c r="L29" s="229"/>
      <c r="M29" s="229"/>
      <c r="N29" s="284"/>
      <c r="O29" s="285"/>
      <c r="P29" s="274"/>
      <c r="Q29" s="220" t="s">
        <v>64</v>
      </c>
      <c r="R29" s="131" t="s">
        <v>2194</v>
      </c>
      <c r="S29" s="228"/>
      <c r="T29" s="227"/>
      <c r="U29" s="226"/>
      <c r="V29" s="226"/>
      <c r="W29" s="226"/>
      <c r="X29" s="226"/>
      <c r="Y29" s="226" t="s">
        <v>2201</v>
      </c>
      <c r="Z29" t="e">
        <f>VLOOKUP(A29,#REF!,9,FALSE)</f>
        <v>#REF!</v>
      </c>
    </row>
    <row r="30" spans="1:26" ht="15.75" thickBot="1">
      <c r="A30" s="275" t="s">
        <v>890</v>
      </c>
      <c r="B30" s="102" t="s">
        <v>50</v>
      </c>
      <c r="C30" s="215">
        <v>45772</v>
      </c>
      <c r="D30" s="282"/>
      <c r="E30" s="269" t="s">
        <v>2157</v>
      </c>
      <c r="F30" s="282"/>
      <c r="G30" s="283" t="s">
        <v>2176</v>
      </c>
      <c r="H30" s="230"/>
      <c r="I30" s="230"/>
      <c r="J30" s="45"/>
      <c r="K30" s="204"/>
      <c r="L30" s="204"/>
      <c r="M30" s="204"/>
      <c r="N30" s="284"/>
      <c r="O30" s="285"/>
      <c r="P30" s="274"/>
      <c r="Q30" s="275" t="s">
        <v>2176</v>
      </c>
      <c r="R30" s="131" t="s">
        <v>2194</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2157</v>
      </c>
      <c r="F31" s="289"/>
      <c r="G31" s="290" t="s">
        <v>2176</v>
      </c>
      <c r="H31" s="222"/>
      <c r="I31" s="222"/>
      <c r="J31" s="236"/>
      <c r="K31" s="237"/>
      <c r="L31" s="237"/>
      <c r="M31" s="237"/>
      <c r="N31" s="222"/>
      <c r="O31" s="291"/>
      <c r="P31" s="274"/>
      <c r="Q31" s="233" t="s">
        <v>2176</v>
      </c>
      <c r="R31" s="131" t="s">
        <v>2194</v>
      </c>
      <c r="S31" s="238"/>
      <c r="T31" s="239"/>
      <c r="U31" s="240"/>
      <c r="V31" s="240"/>
      <c r="W31" s="240"/>
      <c r="X31" s="240"/>
      <c r="Y31" s="240" t="s">
        <v>2202</v>
      </c>
      <c r="Z31" t="e">
        <f>VLOOKUP(A31,#REF!,9,FALSE)</f>
        <v>#REF!</v>
      </c>
    </row>
    <row r="32" spans="1:26" ht="15.75" thickBot="1">
      <c r="A32" s="275" t="s">
        <v>894</v>
      </c>
      <c r="B32" s="102" t="s">
        <v>50</v>
      </c>
      <c r="C32" s="215">
        <v>45772</v>
      </c>
      <c r="D32" s="282"/>
      <c r="E32" s="269" t="s">
        <v>2157</v>
      </c>
      <c r="F32" s="282"/>
      <c r="G32" s="283" t="s">
        <v>2176</v>
      </c>
      <c r="H32" s="230"/>
      <c r="I32" s="230"/>
      <c r="J32" s="45"/>
      <c r="K32" s="204"/>
      <c r="L32" s="204"/>
      <c r="M32" s="204"/>
      <c r="N32" s="284"/>
      <c r="O32" s="285"/>
      <c r="P32" s="274"/>
      <c r="Q32" s="275" t="s">
        <v>2176</v>
      </c>
      <c r="R32" s="131" t="s">
        <v>2194</v>
      </c>
      <c r="S32" s="131"/>
      <c r="T32" s="276"/>
      <c r="U32" s="277"/>
      <c r="V32" s="277"/>
      <c r="W32" s="277"/>
      <c r="X32" s="277"/>
      <c r="Y32" s="277"/>
      <c r="Z32" t="e">
        <f>VLOOKUP(A32,#REF!,9,FALSE)</f>
        <v>#REF!</v>
      </c>
    </row>
    <row r="33" spans="1:26" ht="15.75" thickBot="1">
      <c r="A33" s="275" t="s">
        <v>882</v>
      </c>
      <c r="B33" s="102" t="s">
        <v>50</v>
      </c>
      <c r="C33" s="215">
        <v>45831</v>
      </c>
      <c r="D33" s="282"/>
      <c r="E33" s="269" t="s">
        <v>2157</v>
      </c>
      <c r="F33" s="282"/>
      <c r="G33" s="283" t="s">
        <v>2155</v>
      </c>
      <c r="H33" s="230"/>
      <c r="I33" s="230"/>
      <c r="J33" s="45"/>
      <c r="K33" s="204"/>
      <c r="L33" s="204"/>
      <c r="M33" s="204"/>
      <c r="N33" s="284"/>
      <c r="O33" s="285"/>
      <c r="P33" s="274"/>
      <c r="Q33" s="225" t="s">
        <v>64</v>
      </c>
      <c r="R33" s="131" t="s">
        <v>2194</v>
      </c>
      <c r="S33" s="131"/>
      <c r="T33" s="276"/>
      <c r="U33" s="277"/>
      <c r="V33" s="277"/>
      <c r="W33" s="277"/>
      <c r="X33" s="277"/>
      <c r="Y33" s="277"/>
      <c r="Z33" t="e">
        <f>VLOOKUP(A33,#REF!,9,FALSE)</f>
        <v>#REF!</v>
      </c>
    </row>
    <row r="34" spans="1:26" ht="15.75" thickBot="1">
      <c r="A34" s="275" t="s">
        <v>876</v>
      </c>
      <c r="B34" s="102" t="s">
        <v>50</v>
      </c>
      <c r="C34" s="215">
        <v>45831</v>
      </c>
      <c r="D34" s="282"/>
      <c r="E34" s="269" t="s">
        <v>2157</v>
      </c>
      <c r="F34" s="282"/>
      <c r="G34" s="283" t="s">
        <v>2155</v>
      </c>
      <c r="H34" s="230"/>
      <c r="I34" s="230"/>
      <c r="J34" s="45"/>
      <c r="K34" s="204"/>
      <c r="L34" s="204"/>
      <c r="M34" s="204"/>
      <c r="N34" s="284"/>
      <c r="O34" s="285"/>
      <c r="P34" s="274"/>
      <c r="Q34" s="275" t="s">
        <v>64</v>
      </c>
      <c r="R34" s="131" t="s">
        <v>2194</v>
      </c>
      <c r="S34" s="131"/>
      <c r="T34" s="276"/>
      <c r="U34" s="277"/>
      <c r="V34" s="277"/>
      <c r="W34" s="277"/>
      <c r="X34" s="277"/>
      <c r="Y34" s="277"/>
      <c r="Z34" t="e">
        <f>VLOOKUP(A34,#REF!,9,FALSE)</f>
        <v>#REF!</v>
      </c>
    </row>
    <row r="35" spans="1:26" ht="15.75" thickBot="1">
      <c r="A35" s="275" t="s">
        <v>878</v>
      </c>
      <c r="B35" s="102" t="s">
        <v>50</v>
      </c>
      <c r="C35" s="215">
        <v>45831</v>
      </c>
      <c r="D35" s="282"/>
      <c r="E35" s="269" t="s">
        <v>2157</v>
      </c>
      <c r="F35" s="282"/>
      <c r="G35" s="283" t="s">
        <v>2155</v>
      </c>
      <c r="H35" s="230"/>
      <c r="I35" s="230"/>
      <c r="J35" s="45"/>
      <c r="K35" s="204"/>
      <c r="L35" s="204"/>
      <c r="M35" s="204"/>
      <c r="N35" s="284"/>
      <c r="O35" s="285"/>
      <c r="P35" s="274"/>
      <c r="Q35" s="275" t="s">
        <v>64</v>
      </c>
      <c r="R35" s="131" t="s">
        <v>2194</v>
      </c>
      <c r="S35" s="131"/>
      <c r="T35" s="276"/>
      <c r="U35" s="277"/>
      <c r="V35" s="277"/>
      <c r="W35" s="277"/>
      <c r="X35" s="277"/>
      <c r="Y35" s="277"/>
      <c r="Z35" t="e">
        <f>VLOOKUP(A35,#REF!,9,FALSE)</f>
        <v>#REF!</v>
      </c>
    </row>
    <row r="36" spans="1:26" ht="15.75" thickBot="1">
      <c r="A36" s="275" t="s">
        <v>874</v>
      </c>
      <c r="B36" s="102" t="s">
        <v>50</v>
      </c>
      <c r="C36" s="215">
        <v>45772</v>
      </c>
      <c r="D36" s="282"/>
      <c r="E36" s="269" t="s">
        <v>2157</v>
      </c>
      <c r="F36" s="282"/>
      <c r="G36" s="283" t="s">
        <v>2176</v>
      </c>
      <c r="H36" s="230"/>
      <c r="I36" s="230"/>
      <c r="J36" s="45"/>
      <c r="K36" s="204"/>
      <c r="L36" s="204"/>
      <c r="M36" s="204"/>
      <c r="N36" s="284"/>
      <c r="O36" s="285"/>
      <c r="P36" s="274"/>
      <c r="Q36" s="275" t="s">
        <v>2176</v>
      </c>
      <c r="R36" s="131" t="s">
        <v>2194</v>
      </c>
      <c r="S36" s="131"/>
      <c r="T36" s="276"/>
      <c r="U36" s="277"/>
      <c r="V36" s="277"/>
      <c r="W36" s="277"/>
      <c r="X36" s="277"/>
      <c r="Y36" s="277"/>
      <c r="Z36" t="e">
        <f>VLOOKUP(A36,#REF!,9,FALSE)</f>
        <v>#REF!</v>
      </c>
    </row>
    <row r="37" spans="1:26" ht="15.75" thickBot="1">
      <c r="A37" s="275" t="s">
        <v>884</v>
      </c>
      <c r="B37" s="102" t="s">
        <v>50</v>
      </c>
      <c r="C37" s="215">
        <v>45831</v>
      </c>
      <c r="D37" s="282"/>
      <c r="E37" s="269" t="s">
        <v>2157</v>
      </c>
      <c r="F37" s="282"/>
      <c r="G37" s="283" t="s">
        <v>2155</v>
      </c>
      <c r="H37" s="230"/>
      <c r="I37" s="230"/>
      <c r="J37" s="45"/>
      <c r="K37" s="204"/>
      <c r="L37" s="204"/>
      <c r="M37" s="204"/>
      <c r="N37" s="284"/>
      <c r="O37" s="285"/>
      <c r="P37" s="274"/>
      <c r="Q37" s="275" t="s">
        <v>64</v>
      </c>
      <c r="R37" s="131" t="s">
        <v>2194</v>
      </c>
      <c r="S37" s="131"/>
      <c r="T37" s="276"/>
      <c r="U37" s="277"/>
      <c r="V37" s="277"/>
      <c r="W37" s="277"/>
      <c r="X37" s="277"/>
      <c r="Y37" s="277"/>
      <c r="Z37" t="e">
        <f>VLOOKUP(A37,#REF!,9,FALSE)</f>
        <v>#REF!</v>
      </c>
    </row>
    <row r="38" spans="1:26" ht="15.75" thickBot="1">
      <c r="A38" s="275" t="s">
        <v>888</v>
      </c>
      <c r="B38" s="102" t="s">
        <v>50</v>
      </c>
      <c r="C38" s="215">
        <v>45831</v>
      </c>
      <c r="D38" s="282"/>
      <c r="E38" s="269" t="s">
        <v>2157</v>
      </c>
      <c r="F38" s="282"/>
      <c r="G38" s="283" t="s">
        <v>2155</v>
      </c>
      <c r="H38" s="230"/>
      <c r="I38" s="230"/>
      <c r="J38" s="45"/>
      <c r="K38" s="204"/>
      <c r="L38" s="204"/>
      <c r="M38" s="204"/>
      <c r="N38" s="284"/>
      <c r="O38" s="285"/>
      <c r="P38" s="274"/>
      <c r="Q38" s="275" t="s">
        <v>64</v>
      </c>
      <c r="R38" s="131" t="s">
        <v>2194</v>
      </c>
      <c r="S38" s="131"/>
      <c r="T38" s="276"/>
      <c r="U38" s="277"/>
      <c r="V38" s="277"/>
      <c r="W38" s="277"/>
      <c r="X38" s="277"/>
      <c r="Y38" s="277"/>
      <c r="Z38" t="e">
        <f>VLOOKUP(A38,#REF!,9,FALSE)</f>
        <v>#REF!</v>
      </c>
    </row>
    <row r="39" spans="1:26" s="216" customFormat="1" ht="70.150000000000006" customHeight="1" thickBot="1">
      <c r="A39" s="220" t="s">
        <v>2177</v>
      </c>
      <c r="B39" s="224" t="e">
        <v>#N/A</v>
      </c>
      <c r="C39" s="223" t="e">
        <v>#N/A</v>
      </c>
      <c r="D39" s="289"/>
      <c r="E39" s="269" t="s">
        <v>2157</v>
      </c>
      <c r="F39" s="289"/>
      <c r="G39" s="290" t="s">
        <v>2176</v>
      </c>
      <c r="H39" s="222"/>
      <c r="I39" s="222"/>
      <c r="J39" s="222"/>
      <c r="K39" s="221"/>
      <c r="L39" s="221"/>
      <c r="M39" s="221"/>
      <c r="N39" s="222"/>
      <c r="O39" s="291"/>
      <c r="P39" s="274"/>
      <c r="Q39" s="220" t="s">
        <v>2176</v>
      </c>
      <c r="R39" s="131" t="s">
        <v>2194</v>
      </c>
      <c r="S39" s="219"/>
      <c r="T39" s="218"/>
      <c r="U39" s="217"/>
      <c r="V39" s="217"/>
      <c r="W39" s="217"/>
      <c r="X39" s="217"/>
      <c r="Y39" s="217" t="s">
        <v>2201</v>
      </c>
      <c r="Z39" t="e">
        <f>VLOOKUP(A39,#REF!,9,FALSE)</f>
        <v>#REF!</v>
      </c>
    </row>
    <row r="40" spans="1:26" ht="15.75" thickBot="1">
      <c r="A40" s="275" t="s">
        <v>892</v>
      </c>
      <c r="B40" s="102" t="s">
        <v>50</v>
      </c>
      <c r="C40" s="215">
        <v>45831</v>
      </c>
      <c r="D40" s="282"/>
      <c r="E40" s="269" t="s">
        <v>2157</v>
      </c>
      <c r="F40" s="282"/>
      <c r="G40" s="283" t="s">
        <v>2155</v>
      </c>
      <c r="H40" s="230"/>
      <c r="I40" s="230"/>
      <c r="J40" s="45"/>
      <c r="K40" s="204"/>
      <c r="L40" s="204"/>
      <c r="M40" s="204"/>
      <c r="N40" s="284"/>
      <c r="O40" s="285"/>
      <c r="P40" s="274"/>
      <c r="Q40" s="275" t="s">
        <v>64</v>
      </c>
      <c r="R40" s="131" t="s">
        <v>2194</v>
      </c>
      <c r="S40" s="131"/>
      <c r="T40" s="276"/>
      <c r="U40" s="277"/>
      <c r="V40" s="277"/>
      <c r="W40" s="277"/>
      <c r="X40" s="277"/>
      <c r="Y40" s="277"/>
      <c r="Z40" t="e">
        <f>VLOOKUP(A40,#REF!,9,FALSE)</f>
        <v>#REF!</v>
      </c>
    </row>
    <row r="41" spans="1:26" ht="15.75" thickBot="1">
      <c r="A41" s="275" t="s">
        <v>88</v>
      </c>
      <c r="B41" s="102" t="s">
        <v>50</v>
      </c>
      <c r="C41" s="215">
        <v>45807</v>
      </c>
      <c r="D41" s="282"/>
      <c r="E41" s="269" t="s">
        <v>2192</v>
      </c>
      <c r="F41" s="282"/>
      <c r="G41" s="283" t="s">
        <v>2155</v>
      </c>
      <c r="H41" s="230"/>
      <c r="I41" s="230"/>
      <c r="J41" s="45"/>
      <c r="K41" s="204"/>
      <c r="L41" s="204"/>
      <c r="M41" s="204"/>
      <c r="N41" s="284"/>
      <c r="O41" s="285"/>
      <c r="P41" s="274" t="s">
        <v>2193</v>
      </c>
      <c r="Q41" s="275" t="s">
        <v>58</v>
      </c>
      <c r="R41" s="131" t="s">
        <v>2194</v>
      </c>
      <c r="S41" s="131"/>
      <c r="T41" s="276"/>
      <c r="U41" s="277"/>
      <c r="V41" s="277"/>
      <c r="W41" s="277"/>
      <c r="X41" s="277"/>
      <c r="Y41" s="277"/>
      <c r="Z41" t="e">
        <f>VLOOKUP(A41,#REF!,9,FALSE)</f>
        <v>#REF!</v>
      </c>
    </row>
    <row r="42" spans="1:26" ht="15.75" thickBot="1">
      <c r="A42" s="275" t="s">
        <v>84</v>
      </c>
      <c r="B42" s="102" t="s">
        <v>50</v>
      </c>
      <c r="C42" s="215">
        <v>45807</v>
      </c>
      <c r="D42" s="282"/>
      <c r="E42" s="269" t="s">
        <v>2192</v>
      </c>
      <c r="F42" s="282"/>
      <c r="G42" s="283" t="s">
        <v>2155</v>
      </c>
      <c r="H42" s="230"/>
      <c r="I42" s="230"/>
      <c r="J42" s="45"/>
      <c r="K42" s="204"/>
      <c r="L42" s="204"/>
      <c r="M42" s="204"/>
      <c r="N42" s="284"/>
      <c r="O42" s="285"/>
      <c r="P42" s="274" t="s">
        <v>2193</v>
      </c>
      <c r="Q42" s="275" t="s">
        <v>64</v>
      </c>
      <c r="R42" s="131" t="s">
        <v>2194</v>
      </c>
      <c r="S42" s="131"/>
      <c r="T42" s="276"/>
      <c r="U42" s="277"/>
      <c r="V42" s="277"/>
      <c r="W42" s="277"/>
      <c r="X42" s="277"/>
      <c r="Y42" s="277"/>
      <c r="Z42" t="e">
        <f>VLOOKUP(A42,#REF!,9,FALSE)</f>
        <v>#REF!</v>
      </c>
    </row>
    <row r="43" spans="1:26" ht="15.75" thickBot="1">
      <c r="A43" s="275" t="s">
        <v>528</v>
      </c>
      <c r="B43" s="102" t="s">
        <v>50</v>
      </c>
      <c r="C43" s="215">
        <v>45807</v>
      </c>
      <c r="D43" s="282"/>
      <c r="E43" s="269" t="s">
        <v>2192</v>
      </c>
      <c r="F43" s="282"/>
      <c r="G43" s="283" t="s">
        <v>2155</v>
      </c>
      <c r="H43" s="230"/>
      <c r="I43" s="230"/>
      <c r="J43" s="45"/>
      <c r="K43" s="204"/>
      <c r="L43" s="204"/>
      <c r="M43" s="204"/>
      <c r="N43" s="284"/>
      <c r="O43" s="285"/>
      <c r="P43" s="274" t="s">
        <v>2193</v>
      </c>
      <c r="Q43" s="275" t="s">
        <v>58</v>
      </c>
      <c r="R43" s="131" t="s">
        <v>2194</v>
      </c>
      <c r="S43" s="131"/>
      <c r="T43" s="276"/>
      <c r="U43" s="277"/>
      <c r="V43" s="277"/>
      <c r="W43" s="277"/>
      <c r="X43" s="277"/>
      <c r="Y43" s="277"/>
      <c r="Z43" t="e">
        <f>VLOOKUP(A43,#REF!,9,FALSE)</f>
        <v>#REF!</v>
      </c>
    </row>
    <row r="44" spans="1:26" ht="15.75" thickBot="1">
      <c r="A44" s="275" t="s">
        <v>80</v>
      </c>
      <c r="B44" s="102" t="s">
        <v>50</v>
      </c>
      <c r="C44" s="215">
        <v>45807</v>
      </c>
      <c r="D44" s="282"/>
      <c r="E44" s="269" t="s">
        <v>2192</v>
      </c>
      <c r="F44" s="282"/>
      <c r="G44" s="283" t="s">
        <v>2155</v>
      </c>
      <c r="H44" s="230"/>
      <c r="I44" s="230"/>
      <c r="J44" s="45"/>
      <c r="K44" s="204"/>
      <c r="L44" s="204"/>
      <c r="M44" s="204"/>
      <c r="N44" s="284"/>
      <c r="O44" s="285"/>
      <c r="P44" s="274" t="s">
        <v>2163</v>
      </c>
      <c r="Q44" s="275" t="s">
        <v>64</v>
      </c>
      <c r="R44" s="131" t="s">
        <v>2194</v>
      </c>
      <c r="S44" s="131"/>
      <c r="T44" s="276"/>
      <c r="U44" s="277"/>
      <c r="V44" s="277"/>
      <c r="W44" s="277"/>
      <c r="X44" s="277"/>
      <c r="Y44" s="277"/>
      <c r="Z44" t="e">
        <f>VLOOKUP(A44,#REF!,9,FALSE)</f>
        <v>#REF!</v>
      </c>
    </row>
    <row r="45" spans="1:26" ht="15.75" thickBot="1">
      <c r="A45" s="335" t="s">
        <v>695</v>
      </c>
      <c r="B45" s="102" t="s">
        <v>50</v>
      </c>
      <c r="C45" s="215">
        <v>45807</v>
      </c>
      <c r="D45" s="282"/>
      <c r="E45" s="269" t="s">
        <v>2157</v>
      </c>
      <c r="F45" s="282"/>
      <c r="G45" s="283" t="s">
        <v>2155</v>
      </c>
      <c r="H45" s="230"/>
      <c r="I45" s="230"/>
      <c r="J45" s="45"/>
      <c r="K45" s="204"/>
      <c r="L45" s="204"/>
      <c r="M45" s="204"/>
      <c r="N45" s="284"/>
      <c r="O45" s="285"/>
      <c r="P45" s="274"/>
      <c r="Q45" s="275" t="s">
        <v>58</v>
      </c>
      <c r="R45" s="131" t="s">
        <v>2194</v>
      </c>
      <c r="S45" s="131"/>
      <c r="T45" s="276"/>
      <c r="U45" s="277"/>
      <c r="V45" s="277"/>
      <c r="W45" s="277"/>
      <c r="X45" s="277"/>
      <c r="Y45" s="277"/>
      <c r="Z45" t="e">
        <f>VLOOKUP(A45,#REF!,9,FALSE)</f>
        <v>#REF!</v>
      </c>
    </row>
    <row r="46" spans="1:26" ht="15.75" thickBot="1">
      <c r="A46" s="292" t="s">
        <v>697</v>
      </c>
      <c r="B46" s="102" t="s">
        <v>50</v>
      </c>
      <c r="C46" s="215">
        <v>45807</v>
      </c>
      <c r="D46" s="282"/>
      <c r="E46" s="269" t="s">
        <v>2157</v>
      </c>
      <c r="F46" s="282"/>
      <c r="G46" s="290" t="s">
        <v>2155</v>
      </c>
      <c r="H46" s="230"/>
      <c r="I46" s="230"/>
      <c r="J46" s="45"/>
      <c r="K46" s="204"/>
      <c r="L46" s="204"/>
      <c r="M46" s="204"/>
      <c r="N46" s="284"/>
      <c r="O46" s="285"/>
      <c r="P46" s="274"/>
      <c r="Q46" s="275" t="s">
        <v>58</v>
      </c>
      <c r="R46" s="131" t="s">
        <v>2194</v>
      </c>
      <c r="S46" s="131"/>
      <c r="T46" s="276"/>
      <c r="U46" s="277"/>
      <c r="V46" s="277"/>
      <c r="W46" s="277"/>
      <c r="X46" s="277"/>
      <c r="Y46" s="277"/>
      <c r="Z46" t="e">
        <f>VLOOKUP(A46,#REF!,9,FALSE)</f>
        <v>#REF!</v>
      </c>
    </row>
    <row r="47" spans="1:26" ht="15.75" thickBot="1">
      <c r="A47" s="293" t="s">
        <v>173</v>
      </c>
      <c r="B47" s="102" t="s">
        <v>50</v>
      </c>
      <c r="C47" s="215">
        <v>45807</v>
      </c>
      <c r="D47" s="282"/>
      <c r="E47" s="269" t="s">
        <v>2157</v>
      </c>
      <c r="F47" s="282"/>
      <c r="G47" s="283" t="s">
        <v>2155</v>
      </c>
      <c r="H47" s="230"/>
      <c r="I47" s="230"/>
      <c r="J47" s="45"/>
      <c r="K47" s="204"/>
      <c r="L47" s="204"/>
      <c r="M47" s="204"/>
      <c r="N47" s="284"/>
      <c r="O47" s="285"/>
      <c r="P47" s="274" t="s">
        <v>2166</v>
      </c>
      <c r="Q47" s="275" t="s">
        <v>58</v>
      </c>
      <c r="R47" s="131" t="s">
        <v>2197</v>
      </c>
      <c r="S47" s="131"/>
      <c r="T47" s="276"/>
      <c r="U47" s="277"/>
      <c r="V47" s="277"/>
      <c r="W47" s="277"/>
      <c r="X47" s="277"/>
      <c r="Y47" s="277"/>
      <c r="Z47" t="e">
        <f>VLOOKUP(A47,#REF!,9,FALSE)</f>
        <v>#REF!</v>
      </c>
    </row>
    <row r="48" spans="1:26" ht="15.75" thickBot="1">
      <c r="A48" s="292" t="s">
        <v>746</v>
      </c>
      <c r="B48" s="102" t="s">
        <v>50</v>
      </c>
      <c r="C48" s="215">
        <v>45807</v>
      </c>
      <c r="D48" s="282"/>
      <c r="E48" s="269" t="s">
        <v>2157</v>
      </c>
      <c r="F48" s="282"/>
      <c r="G48" s="290" t="s">
        <v>2176</v>
      </c>
      <c r="H48" s="230"/>
      <c r="I48" s="230"/>
      <c r="J48" s="45"/>
      <c r="K48" s="204"/>
      <c r="L48" s="204"/>
      <c r="M48" s="204"/>
      <c r="N48" s="284"/>
      <c r="O48" s="285"/>
      <c r="P48" s="274" t="s">
        <v>2203</v>
      </c>
      <c r="Q48" s="275" t="s">
        <v>2176</v>
      </c>
      <c r="R48" s="131" t="s">
        <v>2194</v>
      </c>
      <c r="S48" s="131"/>
      <c r="T48" s="276"/>
      <c r="U48" s="277"/>
      <c r="V48" s="277"/>
      <c r="W48" s="277"/>
      <c r="X48" s="277"/>
      <c r="Y48" s="277"/>
      <c r="Z48" t="e">
        <f>VLOOKUP(A48,#REF!,9,FALSE)</f>
        <v>#REF!</v>
      </c>
    </row>
    <row r="49" spans="1:26" ht="15.75" thickBot="1">
      <c r="A49" s="292" t="s">
        <v>740</v>
      </c>
      <c r="B49" s="102" t="s">
        <v>108</v>
      </c>
      <c r="C49" s="215">
        <v>45772</v>
      </c>
      <c r="D49" s="282"/>
      <c r="E49" s="269" t="s">
        <v>2157</v>
      </c>
      <c r="F49" s="282"/>
      <c r="G49" s="290" t="s">
        <v>2176</v>
      </c>
      <c r="H49" s="230"/>
      <c r="I49" s="230"/>
      <c r="J49" s="45"/>
      <c r="K49" s="204"/>
      <c r="L49" s="204"/>
      <c r="M49" s="204"/>
      <c r="N49" s="284"/>
      <c r="O49" s="285"/>
      <c r="P49" s="274" t="s">
        <v>2203</v>
      </c>
      <c r="Q49" s="275" t="s">
        <v>2176</v>
      </c>
      <c r="R49" s="131" t="s">
        <v>2194</v>
      </c>
      <c r="S49" s="131"/>
      <c r="T49" s="276"/>
      <c r="U49" s="277"/>
      <c r="V49" s="277"/>
      <c r="W49" s="277"/>
      <c r="X49" s="277"/>
      <c r="Y49" s="277"/>
      <c r="Z49" t="e">
        <f>VLOOKUP(A49,#REF!,9,FALSE)</f>
        <v>#REF!</v>
      </c>
    </row>
    <row r="50" spans="1:26" ht="15.75" thickBot="1">
      <c r="A50" s="292" t="s">
        <v>738</v>
      </c>
      <c r="B50" s="102" t="s">
        <v>108</v>
      </c>
      <c r="C50" s="215">
        <v>45772</v>
      </c>
      <c r="D50" s="282"/>
      <c r="E50" s="269" t="s">
        <v>2157</v>
      </c>
      <c r="F50" s="282"/>
      <c r="G50" s="290" t="s">
        <v>2176</v>
      </c>
      <c r="H50" s="230"/>
      <c r="I50" s="230"/>
      <c r="J50" s="45"/>
      <c r="K50" s="204"/>
      <c r="L50" s="204"/>
      <c r="M50" s="204"/>
      <c r="N50" s="284"/>
      <c r="O50" s="285"/>
      <c r="P50" s="274" t="s">
        <v>2203</v>
      </c>
      <c r="Q50" s="275" t="s">
        <v>2176</v>
      </c>
      <c r="R50" s="131" t="s">
        <v>2194</v>
      </c>
      <c r="S50" s="131"/>
      <c r="T50" s="276"/>
      <c r="U50" s="277"/>
      <c r="V50" s="277"/>
      <c r="W50" s="277"/>
      <c r="X50" s="277"/>
      <c r="Y50" s="277"/>
      <c r="Z50" t="e">
        <f>VLOOKUP(A50,#REF!,9,FALSE)</f>
        <v>#REF!</v>
      </c>
    </row>
    <row r="51" spans="1:26" ht="15.75" thickBot="1">
      <c r="A51" s="292" t="s">
        <v>744</v>
      </c>
      <c r="B51" s="102" t="e">
        <v>#N/A</v>
      </c>
      <c r="C51" s="215" t="e">
        <v>#N/A</v>
      </c>
      <c r="D51" s="282"/>
      <c r="E51" s="269" t="s">
        <v>2157</v>
      </c>
      <c r="F51" s="282"/>
      <c r="G51" s="290" t="s">
        <v>2176</v>
      </c>
      <c r="H51" s="230"/>
      <c r="I51" s="230"/>
      <c r="J51" s="45"/>
      <c r="K51" s="204"/>
      <c r="L51" s="204"/>
      <c r="M51" s="204"/>
      <c r="N51" s="284"/>
      <c r="O51" s="285"/>
      <c r="P51" s="274" t="s">
        <v>2203</v>
      </c>
      <c r="Q51" s="275" t="s">
        <v>2176</v>
      </c>
      <c r="R51" s="131" t="s">
        <v>2194</v>
      </c>
      <c r="S51" s="131"/>
      <c r="T51" s="276"/>
      <c r="U51" s="277"/>
      <c r="V51" s="277"/>
      <c r="W51" s="277"/>
      <c r="X51" s="277"/>
      <c r="Y51" s="277"/>
      <c r="Z51" t="e">
        <f>VLOOKUP(A51,#REF!,9,FALSE)</f>
        <v>#REF!</v>
      </c>
    </row>
    <row r="52" spans="1:26" ht="13.9" customHeight="1" thickBot="1">
      <c r="A52" s="292" t="s">
        <v>720</v>
      </c>
      <c r="B52" s="102" t="s">
        <v>108</v>
      </c>
      <c r="C52" s="215">
        <v>45925</v>
      </c>
      <c r="D52" s="282"/>
      <c r="E52" s="269" t="s">
        <v>2192</v>
      </c>
      <c r="F52" s="282"/>
      <c r="G52" s="283" t="s">
        <v>2155</v>
      </c>
      <c r="H52" s="230"/>
      <c r="I52" s="230"/>
      <c r="J52" s="45"/>
      <c r="K52" s="204"/>
      <c r="L52" s="204"/>
      <c r="M52" s="204"/>
      <c r="N52" s="284"/>
      <c r="O52" s="285"/>
      <c r="P52" s="274" t="s">
        <v>2193</v>
      </c>
      <c r="Q52" s="275" t="s">
        <v>64</v>
      </c>
      <c r="R52" s="131" t="s">
        <v>2194</v>
      </c>
      <c r="S52" s="131"/>
      <c r="T52" s="276"/>
      <c r="U52" s="277"/>
      <c r="V52" s="277"/>
      <c r="W52" s="277"/>
      <c r="X52" s="277"/>
      <c r="Y52" s="277"/>
      <c r="Z52" t="e">
        <f>VLOOKUP(A52,#REF!,9,FALSE)</f>
        <v>#REF!</v>
      </c>
    </row>
    <row r="53" spans="1:26" ht="15.75" thickBot="1">
      <c r="A53" s="292" t="s">
        <v>722</v>
      </c>
      <c r="B53" s="102" t="s">
        <v>108</v>
      </c>
      <c r="C53" s="215">
        <v>45925</v>
      </c>
      <c r="D53" s="282"/>
      <c r="E53" s="269" t="s">
        <v>2192</v>
      </c>
      <c r="F53" s="282"/>
      <c r="G53" s="283" t="s">
        <v>2155</v>
      </c>
      <c r="H53" s="230"/>
      <c r="I53" s="230"/>
      <c r="J53" s="45"/>
      <c r="K53" s="204"/>
      <c r="L53" s="204"/>
      <c r="M53" s="204"/>
      <c r="N53" s="284"/>
      <c r="O53" s="285"/>
      <c r="P53" s="274" t="s">
        <v>2193</v>
      </c>
      <c r="Q53" s="275" t="s">
        <v>64</v>
      </c>
      <c r="R53" s="131" t="s">
        <v>2194</v>
      </c>
      <c r="S53" s="131"/>
      <c r="T53" s="276"/>
      <c r="U53" s="277"/>
      <c r="V53" s="277"/>
      <c r="W53" s="277"/>
      <c r="X53" s="277"/>
      <c r="Y53" s="277"/>
      <c r="Z53" t="e">
        <f>VLOOKUP(A53,#REF!,9,FALSE)</f>
        <v>#REF!</v>
      </c>
    </row>
    <row r="54" spans="1:26" ht="15.75" thickBot="1">
      <c r="A54" s="292" t="s">
        <v>718</v>
      </c>
      <c r="B54" s="102" t="s">
        <v>108</v>
      </c>
      <c r="C54" s="215">
        <v>45925</v>
      </c>
      <c r="D54" s="282"/>
      <c r="E54" s="269" t="s">
        <v>2192</v>
      </c>
      <c r="F54" s="282"/>
      <c r="G54" s="283" t="s">
        <v>2155</v>
      </c>
      <c r="H54" s="230"/>
      <c r="I54" s="230"/>
      <c r="J54" s="45"/>
      <c r="K54" s="204"/>
      <c r="L54" s="204"/>
      <c r="M54" s="204"/>
      <c r="N54" s="284"/>
      <c r="O54" s="285"/>
      <c r="P54" s="274" t="s">
        <v>2193</v>
      </c>
      <c r="Q54" s="275" t="s">
        <v>64</v>
      </c>
      <c r="R54" s="131" t="s">
        <v>2194</v>
      </c>
      <c r="S54" s="131"/>
      <c r="T54" s="276"/>
      <c r="U54" s="277"/>
      <c r="V54" s="277"/>
      <c r="W54" s="277"/>
      <c r="X54" s="277"/>
      <c r="Y54" s="277"/>
      <c r="Z54" t="e">
        <f>VLOOKUP(A54,#REF!,9,FALSE)</f>
        <v>#REF!</v>
      </c>
    </row>
    <row r="55" spans="1:26" ht="15.75" thickBot="1">
      <c r="A55" s="292" t="s">
        <v>770</v>
      </c>
      <c r="B55" s="102" t="s">
        <v>108</v>
      </c>
      <c r="C55" s="215">
        <v>45862</v>
      </c>
      <c r="D55" s="282"/>
      <c r="E55" s="269" t="s">
        <v>2192</v>
      </c>
      <c r="F55" s="282"/>
      <c r="G55" s="283" t="s">
        <v>2155</v>
      </c>
      <c r="H55" s="230"/>
      <c r="I55" s="230"/>
      <c r="J55" s="45"/>
      <c r="K55" s="204"/>
      <c r="L55" s="204"/>
      <c r="M55" s="204"/>
      <c r="N55" s="284"/>
      <c r="O55" s="285"/>
      <c r="P55" s="274" t="s">
        <v>2166</v>
      </c>
      <c r="Q55" s="275" t="s">
        <v>58</v>
      </c>
      <c r="R55" s="131" t="s">
        <v>2197</v>
      </c>
      <c r="S55" s="131"/>
      <c r="T55" s="276"/>
      <c r="U55" s="277"/>
      <c r="V55" s="277"/>
      <c r="W55" s="277"/>
      <c r="X55" s="277"/>
      <c r="Y55" s="277"/>
      <c r="Z55" t="e">
        <f>VLOOKUP(A55,#REF!,9,FALSE)</f>
        <v>#REF!</v>
      </c>
    </row>
    <row r="56" spans="1:26" ht="15.75" thickBot="1">
      <c r="A56" s="292" t="s">
        <v>125</v>
      </c>
      <c r="B56" s="102"/>
      <c r="C56" s="215" t="e">
        <v>#N/A</v>
      </c>
      <c r="D56" s="282"/>
      <c r="E56" s="269" t="s">
        <v>2192</v>
      </c>
      <c r="F56" s="282"/>
      <c r="G56" s="283" t="s">
        <v>2155</v>
      </c>
      <c r="H56" s="230"/>
      <c r="I56" s="230"/>
      <c r="J56" s="45"/>
      <c r="K56" s="204"/>
      <c r="L56" s="204"/>
      <c r="M56" s="204"/>
      <c r="N56" s="284"/>
      <c r="O56" s="285"/>
      <c r="P56" s="274" t="s">
        <v>2204</v>
      </c>
      <c r="Q56" s="275" t="s">
        <v>58</v>
      </c>
      <c r="R56" s="131" t="s">
        <v>2197</v>
      </c>
      <c r="S56" s="131"/>
      <c r="T56" s="276"/>
      <c r="U56" s="277"/>
      <c r="V56" s="277"/>
      <c r="W56" s="277"/>
      <c r="X56" s="277"/>
      <c r="Y56" s="277"/>
      <c r="Z56" t="e">
        <f>VLOOKUP(A56,#REF!,9,FALSE)</f>
        <v>#REF!</v>
      </c>
    </row>
    <row r="57" spans="1:26" ht="15.75" thickBot="1">
      <c r="A57" s="162" t="s">
        <v>2205</v>
      </c>
      <c r="B57" s="102" t="s">
        <v>108</v>
      </c>
      <c r="C57" s="294">
        <v>45787</v>
      </c>
      <c r="D57" s="282"/>
      <c r="E57" s="269" t="s">
        <v>2192</v>
      </c>
      <c r="F57" s="282"/>
      <c r="G57" s="283" t="s">
        <v>2155</v>
      </c>
      <c r="H57" s="230"/>
      <c r="I57" s="230"/>
      <c r="J57" s="45"/>
      <c r="K57" s="204"/>
      <c r="L57" s="204"/>
      <c r="M57" s="204"/>
      <c r="N57" s="284"/>
      <c r="O57" s="285"/>
      <c r="P57" s="274" t="s">
        <v>2166</v>
      </c>
      <c r="Q57" s="275" t="s">
        <v>2206</v>
      </c>
      <c r="R57" s="131" t="s">
        <v>2197</v>
      </c>
      <c r="S57" s="131"/>
      <c r="T57" s="276"/>
      <c r="U57" s="277"/>
      <c r="V57" s="277"/>
      <c r="W57" s="277"/>
      <c r="X57" s="277"/>
      <c r="Y57" s="277"/>
      <c r="Z57" t="e">
        <f>VLOOKUP(A57,#REF!,9,FALSE)</f>
        <v>#REF!</v>
      </c>
    </row>
    <row r="58" spans="1:26" ht="15.75" thickBot="1">
      <c r="A58" s="622" t="s">
        <v>718</v>
      </c>
      <c r="B58" s="102" t="s">
        <v>50</v>
      </c>
      <c r="C58" s="296">
        <v>45807</v>
      </c>
      <c r="D58" s="282"/>
      <c r="E58" s="269" t="s">
        <v>2157</v>
      </c>
      <c r="F58" s="282"/>
      <c r="G58" s="283" t="s">
        <v>2155</v>
      </c>
      <c r="H58" s="230"/>
      <c r="I58" s="230"/>
      <c r="J58" s="45"/>
      <c r="K58" s="204"/>
      <c r="L58" s="204"/>
      <c r="M58" s="204"/>
      <c r="N58" s="284"/>
      <c r="O58" s="285"/>
      <c r="P58" s="287"/>
      <c r="Q58" s="275" t="s">
        <v>64</v>
      </c>
      <c r="R58" s="131" t="s">
        <v>2194</v>
      </c>
      <c r="S58" s="131"/>
      <c r="T58" s="276"/>
      <c r="U58" s="277"/>
      <c r="V58" s="277"/>
      <c r="W58" s="277"/>
      <c r="X58" s="277"/>
      <c r="Y58" s="277"/>
    </row>
    <row r="59" spans="1:26" ht="15.75" thickBot="1">
      <c r="A59" s="622" t="s">
        <v>720</v>
      </c>
      <c r="B59" s="102" t="s">
        <v>108</v>
      </c>
      <c r="C59" s="296">
        <v>45772</v>
      </c>
      <c r="D59" s="282"/>
      <c r="E59" s="269" t="s">
        <v>2157</v>
      </c>
      <c r="F59" s="282"/>
      <c r="G59" s="283" t="s">
        <v>2155</v>
      </c>
      <c r="H59" s="230"/>
      <c r="I59" s="230"/>
      <c r="J59" s="45"/>
      <c r="K59" s="204"/>
      <c r="L59" s="204"/>
      <c r="M59" s="204"/>
      <c r="N59" s="284"/>
      <c r="O59" s="285"/>
      <c r="P59" s="287"/>
      <c r="Q59" s="275" t="s">
        <v>64</v>
      </c>
      <c r="R59" s="131" t="s">
        <v>2194</v>
      </c>
      <c r="S59" s="131"/>
      <c r="T59" s="276"/>
      <c r="U59" s="277"/>
      <c r="V59" s="277"/>
      <c r="W59" s="277"/>
      <c r="X59" s="277"/>
      <c r="Y59" s="277"/>
    </row>
    <row r="60" spans="1:26" ht="15.75" thickBot="1">
      <c r="A60" s="623" t="s">
        <v>722</v>
      </c>
      <c r="B60" s="102" t="s">
        <v>108</v>
      </c>
      <c r="C60" s="296">
        <v>45772</v>
      </c>
      <c r="D60" s="282"/>
      <c r="E60" s="269" t="s">
        <v>2157</v>
      </c>
      <c r="F60" s="282"/>
      <c r="G60" s="283" t="s">
        <v>2155</v>
      </c>
      <c r="H60" s="230"/>
      <c r="I60" s="230"/>
      <c r="J60" s="45"/>
      <c r="K60" s="204"/>
      <c r="L60" s="204"/>
      <c r="M60" s="204"/>
      <c r="N60" s="284"/>
      <c r="O60" s="285"/>
      <c r="P60" s="287"/>
      <c r="Q60" s="275" t="s">
        <v>64</v>
      </c>
      <c r="R60" s="131" t="s">
        <v>2194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2186</v>
      </c>
      <c r="B70" s="301">
        <f>SUM(K4:K9)</f>
        <v>0</v>
      </c>
      <c r="C70" s="302" t="e">
        <f>B70/B73</f>
        <v>#DIV/0!</v>
      </c>
    </row>
    <row r="71" spans="1:25">
      <c r="A71" s="300" t="s">
        <v>2142</v>
      </c>
      <c r="B71" s="301">
        <f>SUM(L4:L9)</f>
        <v>0</v>
      </c>
      <c r="C71" s="302" t="e">
        <f>B71/B73</f>
        <v>#DIV/0!</v>
      </c>
    </row>
    <row r="72" spans="1:25">
      <c r="A72" s="300" t="s">
        <v>2187</v>
      </c>
      <c r="B72" s="301">
        <f>SUM(M4:M9)</f>
        <v>0</v>
      </c>
      <c r="C72" s="302" t="e">
        <f>B72/B73</f>
        <v>#DIV/0!</v>
      </c>
    </row>
    <row r="73" spans="1:25">
      <c r="A73" s="300" t="s">
        <v>1085</v>
      </c>
      <c r="B73" s="301">
        <f>SUM(B70:B72)</f>
        <v>0</v>
      </c>
      <c r="C73" s="279"/>
    </row>
    <row r="80" spans="1:25">
      <c r="A80" t="s">
        <v>2207</v>
      </c>
    </row>
    <row r="81" spans="1:1">
      <c r="A81" t="s">
        <v>2208</v>
      </c>
    </row>
    <row r="82" spans="1:1">
      <c r="A82" t="s">
        <v>2193</v>
      </c>
    </row>
    <row r="83" spans="1:1">
      <c r="A83" t="s">
        <v>2209</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E3E12D1-9894-4A36-A2A4-78ABFDC456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2026-01-13T20:02:06Z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