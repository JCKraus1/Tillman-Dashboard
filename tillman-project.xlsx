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08" documentId="8_{E14B221E-02E2-46A3-8CEC-C736815F2DD5}" xr6:coauthVersionLast="47" xr6:coauthVersionMax="47" xr10:uidLastSave="{C1C3E31E-225F-4AB8-817F-D4DE0343F49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99" r:id="rId12"/>
    <pivotCache cacheId="400" r:id="rId13"/>
    <pivotCache cacheId="401" r:id="rId14"/>
    <pivotCache cacheId="402" r:id="rId15"/>
    <pivotCache cacheId="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<sst xmlns="http://schemas.openxmlformats.org/spreadsheetml/2006/main" count="16213" uniqueCount="2097">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</sst>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AC103" activePane="topRight" state="frozen"/>
      <selection pane="topRight" activeCell="AD113" sqref="AD11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6">
        <v>4562</v>
      </c>
      <c r="X95" s="1212">
        <f t="shared" si="5"/>
        <v>490</v>
      </c>
      <c r="Y95" s="662">
        <f t="shared" si="6"/>
        <v>0.90300870942201106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315</v>
      </c>
      <c r="AE96" s="1276"/>
    </row>
    <row r="97" spans="1:31" ht="24.75" customHeight="1">
      <c r="A97" s="1205" t="s">
        <v>316</v>
      </c>
      <c r="B97" s="831" t="s">
        <v>307</v>
      </c>
      <c r="C97" s="1206">
        <v>46006</v>
      </c>
      <c r="D97" s="1227"/>
      <c r="E97" s="1226"/>
      <c r="F97" s="1227"/>
      <c r="G97" s="1227" t="s">
        <v>317</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318</v>
      </c>
      <c r="AE97" s="1276"/>
    </row>
    <row r="98" spans="1:31" ht="24.75" customHeight="1">
      <c r="A98" s="1257" t="s">
        <v>319</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320</v>
      </c>
      <c r="B99" s="831" t="s">
        <v>307</v>
      </c>
      <c r="C99" s="1206">
        <v>46006</v>
      </c>
      <c r="D99" s="1227" t="s">
        <v>247</v>
      </c>
      <c r="E99" s="1226">
        <v>45996</v>
      </c>
      <c r="F99" s="1227" t="s">
        <v>237</v>
      </c>
      <c r="G99" s="1227" t="s">
        <v>321</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6">
        <v>7037</v>
      </c>
      <c r="X99" s="1212">
        <f t="shared" si="5"/>
        <v>-279</v>
      </c>
      <c r="Y99" s="662">
        <f t="shared" si="6"/>
        <v>1.0412844036697249</v>
      </c>
      <c r="Z99" s="1231">
        <v>46000</v>
      </c>
      <c r="AA99" s="1214">
        <v>0</v>
      </c>
      <c r="AB99" s="1214">
        <v>0</v>
      </c>
      <c r="AC99" s="1232">
        <v>0</v>
      </c>
      <c r="AD99" s="1215" t="s">
        <v>322</v>
      </c>
      <c r="AE99" s="1276"/>
    </row>
    <row r="100" spans="1:31" ht="24.75" customHeight="1">
      <c r="A100" s="1282" t="s">
        <v>323</v>
      </c>
      <c r="B100" s="986" t="s">
        <v>307</v>
      </c>
      <c r="C100" s="1206">
        <v>46171</v>
      </c>
      <c r="D100" s="1283"/>
      <c r="E100" s="1284"/>
      <c r="F100" s="1283"/>
      <c r="G100" s="1283" t="s">
        <v>324</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318</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325</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326</v>
      </c>
      <c r="B104" s="1152" t="s">
        <v>327</v>
      </c>
      <c r="C104" s="1302">
        <v>46019</v>
      </c>
      <c r="D104" s="976" t="s">
        <v>131</v>
      </c>
      <c r="E104" s="1302">
        <v>45959</v>
      </c>
      <c r="F104" s="1303" t="s">
        <v>328</v>
      </c>
      <c r="G104" s="1303" t="s">
        <v>329</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330</v>
      </c>
      <c r="AE104" s="1271"/>
    </row>
    <row r="105" spans="1:31" ht="24.75" customHeight="1">
      <c r="A105" s="1325" t="s">
        <v>331</v>
      </c>
      <c r="B105" s="1152" t="s">
        <v>327</v>
      </c>
      <c r="C105" s="1302">
        <v>46010</v>
      </c>
      <c r="D105" s="976" t="s">
        <v>131</v>
      </c>
      <c r="E105" s="1302">
        <v>45993</v>
      </c>
      <c r="F105" s="1303" t="s">
        <v>169</v>
      </c>
      <c r="G105" s="1303" t="s">
        <v>332</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333</v>
      </c>
      <c r="AE105" s="1271"/>
    </row>
    <row r="106" spans="1:31" ht="24.75" customHeight="1">
      <c r="A106" s="1337" t="s">
        <v>334</v>
      </c>
      <c r="B106" s="1152" t="s">
        <v>327</v>
      </c>
      <c r="C106" s="1302">
        <v>46021</v>
      </c>
      <c r="D106" s="976" t="s">
        <v>131</v>
      </c>
      <c r="E106" s="1302">
        <v>45959</v>
      </c>
      <c r="F106" s="1303" t="s">
        <v>169</v>
      </c>
      <c r="G106" s="1303" t="s">
        <v>335</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36">
        <v>6669</v>
      </c>
      <c r="X106" s="1212">
        <f>SUM(V106-W106)</f>
        <v>70</v>
      </c>
      <c r="Y106" s="1153">
        <f t="shared" ref="Y106:Y107" si="8">IFERROR($W106/$V106, 0)</f>
        <v>0.98961270218133257</v>
      </c>
      <c r="Z106" s="1259">
        <v>46008</v>
      </c>
      <c r="AA106" s="1293">
        <v>0</v>
      </c>
      <c r="AB106" s="1293">
        <v>0</v>
      </c>
      <c r="AC106" s="1290">
        <v>0</v>
      </c>
      <c r="AD106" s="1261" t="s">
        <v>336</v>
      </c>
      <c r="AE106" s="1271"/>
    </row>
    <row r="107" spans="1:31" ht="24.75" customHeight="1">
      <c r="A107" s="1337" t="s">
        <v>337</v>
      </c>
      <c r="B107" s="1152" t="s">
        <v>327</v>
      </c>
      <c r="C107" s="1302">
        <v>46021</v>
      </c>
      <c r="D107" s="976" t="s">
        <v>131</v>
      </c>
      <c r="E107" s="1302">
        <v>45959</v>
      </c>
      <c r="F107" s="1303" t="s">
        <v>169</v>
      </c>
      <c r="G107" s="1303" t="s">
        <v>338</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339</v>
      </c>
      <c r="AE107" s="1271"/>
    </row>
    <row r="108" spans="1:31" ht="24.75" customHeight="1">
      <c r="A108" s="1337" t="s">
        <v>340</v>
      </c>
      <c r="B108" s="1152" t="s">
        <v>327</v>
      </c>
      <c r="C108" s="1302">
        <v>46021</v>
      </c>
      <c r="D108" s="976" t="s">
        <v>131</v>
      </c>
      <c r="E108" s="1302">
        <v>45987</v>
      </c>
      <c r="F108" s="1303" t="s">
        <v>169</v>
      </c>
      <c r="G108" s="1303" t="s">
        <v>341</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342</v>
      </c>
      <c r="AE108" s="1271"/>
    </row>
    <row r="109" spans="1:31" ht="24.75" customHeight="1">
      <c r="A109" s="1337" t="s">
        <v>343</v>
      </c>
      <c r="B109" s="1152" t="s">
        <v>327</v>
      </c>
      <c r="C109" s="1302">
        <v>46021</v>
      </c>
      <c r="D109" s="976" t="s">
        <v>131</v>
      </c>
      <c r="E109" s="1302">
        <v>45987</v>
      </c>
      <c r="F109" s="1303" t="s">
        <v>169</v>
      </c>
      <c r="G109" s="1303" t="s">
        <v>344</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345</v>
      </c>
      <c r="AE109" s="1271"/>
    </row>
    <row r="110" spans="1:31" ht="24.75" customHeight="1">
      <c r="A110" s="1337" t="s">
        <v>346</v>
      </c>
      <c r="B110" s="1152" t="s">
        <v>327</v>
      </c>
      <c r="C110" s="1302">
        <v>46021</v>
      </c>
      <c r="D110" s="976" t="s">
        <v>131</v>
      </c>
      <c r="E110" s="1302">
        <v>45987</v>
      </c>
      <c r="F110" s="1303" t="s">
        <v>169</v>
      </c>
      <c r="G110" s="1303" t="s">
        <v>347</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348</v>
      </c>
      <c r="AE110" s="1271"/>
    </row>
    <row r="111" spans="1:31" ht="24.75" customHeight="1">
      <c r="A111" s="1337" t="s">
        <v>349</v>
      </c>
      <c r="B111" s="1152" t="s">
        <v>327</v>
      </c>
      <c r="C111" s="1302">
        <v>46021</v>
      </c>
      <c r="D111" s="976" t="s">
        <v>131</v>
      </c>
      <c r="E111" s="1302">
        <v>45987</v>
      </c>
      <c r="F111" s="1303" t="s">
        <v>169</v>
      </c>
      <c r="G111" s="1303" t="s">
        <v>350</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345</v>
      </c>
      <c r="AE111" s="1271"/>
    </row>
    <row r="112" spans="1:31" ht="24.75" customHeight="1">
      <c r="A112" s="1337" t="s">
        <v>351</v>
      </c>
      <c r="B112" s="1152" t="s">
        <v>327</v>
      </c>
      <c r="C112" s="1302">
        <v>46021</v>
      </c>
      <c r="D112" s="976" t="s">
        <v>131</v>
      </c>
      <c r="E112" s="1302">
        <v>45987</v>
      </c>
      <c r="F112" s="1303" t="s">
        <v>169</v>
      </c>
      <c r="G112" s="1303" t="s">
        <v>352</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345</v>
      </c>
      <c r="AE112" s="1271"/>
    </row>
    <row r="113" spans="1:31" ht="24.75" customHeight="1">
      <c r="A113" s="1325" t="s">
        <v>353</v>
      </c>
      <c r="B113" s="1152" t="s">
        <v>327</v>
      </c>
      <c r="C113" s="1302">
        <v>46019</v>
      </c>
      <c r="D113" s="976" t="s">
        <v>131</v>
      </c>
      <c r="E113" s="1302">
        <v>45959</v>
      </c>
      <c r="F113" s="1303" t="s">
        <v>169</v>
      </c>
      <c r="G113" s="1303" t="s">
        <v>354</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6331</v>
      </c>
      <c r="X113" s="1270">
        <f>SUM(V113-W113)</f>
        <v>4524</v>
      </c>
      <c r="Y113" s="1153">
        <f t="shared" si="9"/>
        <v>0.58323353293413172</v>
      </c>
      <c r="Z113" s="1259">
        <v>45992</v>
      </c>
      <c r="AA113" s="1293">
        <v>0</v>
      </c>
      <c r="AB113" s="1293">
        <v>0</v>
      </c>
      <c r="AC113" s="1290">
        <v>0</v>
      </c>
      <c r="AD113" s="1261" t="s">
        <v>355</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357</v>
      </c>
      <c r="B2" s="831" t="s">
        <v>222</v>
      </c>
      <c r="C2" s="467">
        <v>45960</v>
      </c>
      <c r="D2" s="467" t="s">
        <v>358</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222</v>
      </c>
      <c r="C3" s="467">
        <v>45960</v>
      </c>
      <c r="D3" s="467" t="s">
        <v>361</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222</v>
      </c>
      <c r="C5" s="467">
        <v>45999</v>
      </c>
      <c r="D5" s="475" t="s">
        <v>71</v>
      </c>
      <c r="E5" s="476">
        <v>45975</v>
      </c>
      <c r="F5" s="475" t="s">
        <v>223</v>
      </c>
      <c r="G5" s="477" t="s">
        <v>367</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222</v>
      </c>
      <c r="C7" s="467">
        <v>45989</v>
      </c>
      <c r="D7" s="476" t="s">
        <v>236</v>
      </c>
      <c r="E7" s="476">
        <v>45964</v>
      </c>
      <c r="F7" s="475" t="s">
        <v>237</v>
      </c>
      <c r="G7" s="828" t="s">
        <v>372</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373</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222</v>
      </c>
      <c r="C11" s="467">
        <v>45991</v>
      </c>
      <c r="D11" s="475" t="s">
        <v>378</v>
      </c>
      <c r="E11" s="476">
        <v>45716</v>
      </c>
      <c r="F11" s="475" t="s">
        <v>237</v>
      </c>
      <c r="G11" s="477" t="s">
        <v>379</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222</v>
      </c>
      <c r="C12" s="467">
        <v>45991</v>
      </c>
      <c r="D12" s="475" t="s">
        <v>236</v>
      </c>
      <c r="E12" s="476">
        <v>45880</v>
      </c>
      <c r="F12" s="475" t="s">
        <v>237</v>
      </c>
      <c r="G12" s="825" t="s">
        <v>381</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222</v>
      </c>
      <c r="C13" s="467">
        <v>45991</v>
      </c>
      <c r="D13" s="475" t="s">
        <v>236</v>
      </c>
      <c r="E13" s="476">
        <v>45880</v>
      </c>
      <c r="F13" s="475" t="s">
        <v>237</v>
      </c>
      <c r="G13" s="825" t="s">
        <v>384</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386</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222</v>
      </c>
      <c r="C16" s="467" t="s">
        <v>389</v>
      </c>
      <c r="D16" s="475" t="s">
        <v>71</v>
      </c>
      <c r="E16" s="476">
        <v>45964</v>
      </c>
      <c r="F16" s="475" t="s">
        <v>390</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391</v>
      </c>
      <c r="B17" s="831" t="s">
        <v>307</v>
      </c>
      <c r="C17" s="467">
        <v>46006</v>
      </c>
      <c r="D17" s="475" t="s">
        <v>247</v>
      </c>
      <c r="E17" s="476">
        <v>45987</v>
      </c>
      <c r="F17" s="475" t="s">
        <v>237</v>
      </c>
      <c r="G17" s="825" t="s">
        <v>392</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307</v>
      </c>
      <c r="C18" s="1206">
        <v>46006</v>
      </c>
      <c r="D18" s="1227" t="s">
        <v>247</v>
      </c>
      <c r="E18" s="1226">
        <v>45987</v>
      </c>
      <c r="F18" s="1227" t="s">
        <v>237</v>
      </c>
      <c r="G18" s="1227" t="s">
        <v>395</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307</v>
      </c>
      <c r="C19" s="467">
        <v>46006</v>
      </c>
      <c r="D19" s="475" t="s">
        <v>247</v>
      </c>
      <c r="E19" s="476">
        <v>45975</v>
      </c>
      <c r="F19" s="475" t="s">
        <v>237</v>
      </c>
      <c r="G19" s="477" t="s">
        <v>398</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318</v>
      </c>
    </row>
    <row r="21" spans="1:30" ht="39.75" customHeight="1">
      <c r="A21" s="927" t="s">
        <v>401</v>
      </c>
      <c r="B21" s="491" t="s">
        <v>307</v>
      </c>
      <c r="C21" s="467">
        <v>46053</v>
      </c>
      <c r="D21" s="475" t="s">
        <v>247</v>
      </c>
      <c r="E21" s="476">
        <v>45974</v>
      </c>
      <c r="F21" s="475" t="s">
        <v>237</v>
      </c>
      <c r="G21" s="477" t="s">
        <v>402</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318</v>
      </c>
    </row>
    <row r="22" spans="1:30" ht="39.75" customHeight="1">
      <c r="A22" s="927" t="s">
        <v>403</v>
      </c>
      <c r="B22" s="491" t="s">
        <v>307</v>
      </c>
      <c r="C22" s="467">
        <v>46006</v>
      </c>
      <c r="D22" s="475" t="s">
        <v>247</v>
      </c>
      <c r="E22" s="476">
        <v>45980</v>
      </c>
      <c r="F22" s="475" t="s">
        <v>237</v>
      </c>
      <c r="G22" s="825" t="s">
        <v>404</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327</v>
      </c>
      <c r="C37" s="375">
        <v>46019</v>
      </c>
      <c r="D37" s="976" t="s">
        <v>131</v>
      </c>
      <c r="E37" s="375">
        <v>45959</v>
      </c>
      <c r="F37" s="374" t="s">
        <v>328</v>
      </c>
      <c r="G37" s="671" t="s">
        <v>447</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327</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327</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327</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327</v>
      </c>
      <c r="C41" s="467">
        <v>46045</v>
      </c>
      <c r="D41" s="642" t="s">
        <v>131</v>
      </c>
      <c r="E41" s="467">
        <v>45959</v>
      </c>
      <c r="F41" s="465" t="s">
        <v>328</v>
      </c>
      <c r="G41" s="468" t="s">
        <v>456</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327</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327</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327</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327</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327</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327</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327</v>
      </c>
      <c r="C48" s="375">
        <v>45989</v>
      </c>
      <c r="D48" s="976" t="s">
        <v>131</v>
      </c>
      <c r="E48" s="375">
        <v>45959</v>
      </c>
      <c r="F48" s="374" t="s">
        <v>169</v>
      </c>
      <c r="G48" s="637" t="s">
        <v>468</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327</v>
      </c>
      <c r="C49" s="375">
        <v>46010</v>
      </c>
      <c r="D49" s="976" t="s">
        <v>131</v>
      </c>
      <c r="E49" s="375">
        <v>45959</v>
      </c>
      <c r="F49" s="374" t="s">
        <v>169</v>
      </c>
      <c r="G49" s="637" t="s">
        <v>471</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327</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327</v>
      </c>
      <c r="C51" s="375">
        <v>45989</v>
      </c>
      <c r="D51" s="976" t="s">
        <v>131</v>
      </c>
      <c r="E51" s="375">
        <v>45959</v>
      </c>
      <c r="F51" s="374" t="s">
        <v>169</v>
      </c>
      <c r="G51" s="637" t="s">
        <v>476</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327</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327</v>
      </c>
      <c r="C53" s="1302">
        <v>46019</v>
      </c>
      <c r="D53" s="976" t="s">
        <v>131</v>
      </c>
      <c r="E53" s="1302">
        <v>45959</v>
      </c>
      <c r="F53" s="1303" t="s">
        <v>169</v>
      </c>
      <c r="G53" s="1303" t="s">
        <v>481</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327</v>
      </c>
      <c r="C54" s="375">
        <v>45989</v>
      </c>
      <c r="D54" s="976" t="s">
        <v>131</v>
      </c>
      <c r="E54" s="375">
        <v>45959</v>
      </c>
      <c r="F54" s="374" t="s">
        <v>169</v>
      </c>
      <c r="G54" s="637" t="s">
        <v>484</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327</v>
      </c>
      <c r="C55" s="1302">
        <v>46019</v>
      </c>
      <c r="D55" s="976" t="s">
        <v>131</v>
      </c>
      <c r="E55" s="1302">
        <v>45959</v>
      </c>
      <c r="F55" s="1303" t="s">
        <v>169</v>
      </c>
      <c r="G55" s="1303" t="s">
        <v>487</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327</v>
      </c>
      <c r="C56" s="375">
        <v>46021</v>
      </c>
      <c r="D56" s="976" t="s">
        <v>131</v>
      </c>
      <c r="E56" s="375">
        <v>45959</v>
      </c>
      <c r="F56" s="374" t="s">
        <v>169</v>
      </c>
      <c r="G56" s="637" t="s">
        <v>490</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327</v>
      </c>
      <c r="C57" s="1302">
        <v>46021</v>
      </c>
      <c r="D57" s="976" t="s">
        <v>131</v>
      </c>
      <c r="E57" s="1302">
        <v>45959</v>
      </c>
      <c r="F57" s="1303" t="s">
        <v>169</v>
      </c>
      <c r="G57" s="1303" t="s">
        <v>493</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327</v>
      </c>
      <c r="C58" s="1302">
        <v>46021</v>
      </c>
      <c r="D58" s="976" t="s">
        <v>131</v>
      </c>
      <c r="E58" s="1302">
        <v>45959</v>
      </c>
      <c r="F58" s="1303" t="s">
        <v>169</v>
      </c>
      <c r="G58" s="1303" t="s">
        <v>496</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327</v>
      </c>
      <c r="C59" s="1302">
        <v>46019</v>
      </c>
      <c r="D59" s="976" t="s">
        <v>131</v>
      </c>
      <c r="E59" s="1302">
        <v>45959</v>
      </c>
      <c r="F59" s="1303" t="s">
        <v>169</v>
      </c>
      <c r="G59" s="1303" t="s">
        <v>499</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500</v>
      </c>
    </row>
    <row r="60" spans="1:30" ht="39.75" customHeight="1">
      <c r="A60" s="1331" t="s">
        <v>501</v>
      </c>
      <c r="B60" s="1152" t="s">
        <v>327</v>
      </c>
      <c r="C60" s="1302">
        <v>46019</v>
      </c>
      <c r="D60" s="976" t="s">
        <v>131</v>
      </c>
      <c r="E60" s="1302">
        <v>45959</v>
      </c>
      <c r="F60" s="1303" t="s">
        <v>169</v>
      </c>
      <c r="G60" s="1303" t="s">
        <v>502</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503</v>
      </c>
    </row>
    <row r="61" spans="1:30" ht="39.75" customHeight="1">
      <c r="A61" s="1073" t="s">
        <v>504</v>
      </c>
      <c r="B61" s="789" t="s">
        <v>50</v>
      </c>
      <c r="C61" s="888">
        <v>45991</v>
      </c>
      <c r="D61" s="1089" t="s">
        <v>71</v>
      </c>
      <c r="E61" s="57">
        <v>45743</v>
      </c>
      <c r="F61" s="772" t="s">
        <v>61</v>
      </c>
      <c r="G61" s="790" t="s">
        <v>505</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506</v>
      </c>
    </row>
    <row r="62" spans="1:30" ht="39.75" customHeight="1">
      <c r="A62" s="1073" t="s">
        <v>507</v>
      </c>
      <c r="B62" s="771" t="s">
        <v>50</v>
      </c>
      <c r="C62" s="888">
        <v>45991</v>
      </c>
      <c r="D62" s="1074" t="s">
        <v>508</v>
      </c>
      <c r="E62" s="773">
        <v>45735</v>
      </c>
      <c r="F62" s="772" t="s">
        <v>61</v>
      </c>
      <c r="G62" s="775" t="s">
        <v>509</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510</v>
      </c>
    </row>
    <row r="63" spans="1:30" ht="39.75" customHeight="1">
      <c r="A63" s="927" t="s">
        <v>511</v>
      </c>
      <c r="B63" s="824" t="s">
        <v>50</v>
      </c>
      <c r="C63" s="467">
        <v>45991</v>
      </c>
      <c r="D63" s="467" t="s">
        <v>71</v>
      </c>
      <c r="E63" s="476">
        <v>45748</v>
      </c>
      <c r="F63" s="475" t="s">
        <v>61</v>
      </c>
      <c r="G63" s="825" t="s">
        <v>512</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513</v>
      </c>
    </row>
    <row r="64" spans="1:30" ht="39.75" customHeight="1">
      <c r="A64" s="1073" t="s">
        <v>514</v>
      </c>
      <c r="B64" s="789" t="s">
        <v>50</v>
      </c>
      <c r="C64" s="888">
        <v>45991</v>
      </c>
      <c r="D64" s="1089" t="s">
        <v>71</v>
      </c>
      <c r="E64" s="57">
        <v>45779</v>
      </c>
      <c r="F64" s="772" t="s">
        <v>61</v>
      </c>
      <c r="G64" s="790" t="s">
        <v>515</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516</v>
      </c>
    </row>
    <row r="65" spans="1:30" ht="39.75" customHeight="1">
      <c r="A65" s="1073" t="s">
        <v>517</v>
      </c>
      <c r="B65" s="789" t="s">
        <v>50</v>
      </c>
      <c r="C65" s="888">
        <v>46008</v>
      </c>
      <c r="D65" s="1089" t="s">
        <v>518</v>
      </c>
      <c r="E65" s="57">
        <v>45952</v>
      </c>
      <c r="F65" s="772" t="s">
        <v>519</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520</v>
      </c>
      <c r="B66" s="789" t="s">
        <v>50</v>
      </c>
      <c r="C66" s="888">
        <v>46008</v>
      </c>
      <c r="D66" s="1089" t="s">
        <v>521</v>
      </c>
      <c r="E66" s="57">
        <v>45938</v>
      </c>
      <c r="F66" s="772" t="s">
        <v>519</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522</v>
      </c>
      <c r="B67" s="824" t="s">
        <v>50</v>
      </c>
      <c r="C67" s="1206">
        <v>46008</v>
      </c>
      <c r="D67" s="1206" t="s">
        <v>523</v>
      </c>
      <c r="E67" s="1226">
        <v>45958</v>
      </c>
      <c r="F67" s="1227" t="s">
        <v>519</v>
      </c>
      <c r="G67" s="1227" t="s">
        <v>524</v>
      </c>
      <c r="H67" s="1228">
        <v>517</v>
      </c>
      <c r="I67" s="661" t="s">
        <v>525</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526</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222</v>
      </c>
      <c r="C2" s="467">
        <v>45960</v>
      </c>
      <c r="D2" s="467" t="s">
        <v>236</v>
      </c>
      <c r="E2" s="467">
        <v>45852</v>
      </c>
      <c r="F2" s="642" t="s">
        <v>237</v>
      </c>
      <c r="G2" s="682" t="s">
        <v>528</v>
      </c>
      <c r="H2" s="469">
        <v>0</v>
      </c>
      <c r="I2" s="469" t="s">
        <v>217</v>
      </c>
      <c r="J2" s="469" t="s">
        <v>63</v>
      </c>
      <c r="K2" s="469"/>
      <c r="L2" s="467">
        <v>45852</v>
      </c>
      <c r="M2" s="469" t="s">
        <v>57</v>
      </c>
      <c r="N2" s="542">
        <v>42837.2</v>
      </c>
      <c r="O2" s="469" t="s">
        <v>57</v>
      </c>
      <c r="P2" s="807" t="s">
        <v>218</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222</v>
      </c>
      <c r="C3" s="467">
        <v>45868</v>
      </c>
      <c r="D3" s="475" t="s">
        <v>531</v>
      </c>
      <c r="E3" s="476">
        <v>45716</v>
      </c>
      <c r="F3" s="475" t="s">
        <v>237</v>
      </c>
      <c r="G3" s="597" t="s">
        <v>532</v>
      </c>
      <c r="H3" s="478">
        <v>0</v>
      </c>
      <c r="I3" s="483" t="s">
        <v>217</v>
      </c>
      <c r="J3" s="478" t="s">
        <v>63</v>
      </c>
      <c r="K3" s="487"/>
      <c r="L3" s="467">
        <v>45716</v>
      </c>
      <c r="M3" s="478" t="s">
        <v>57</v>
      </c>
      <c r="N3" s="543">
        <v>64932.55</v>
      </c>
      <c r="O3" s="478" t="s">
        <v>57</v>
      </c>
      <c r="P3" s="807" t="s">
        <v>218</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222</v>
      </c>
      <c r="C4" s="467">
        <v>45991</v>
      </c>
      <c r="D4" s="476" t="s">
        <v>378</v>
      </c>
      <c r="E4" s="428">
        <v>45707</v>
      </c>
      <c r="F4" s="475" t="s">
        <v>237</v>
      </c>
      <c r="G4" s="492" t="s">
        <v>534</v>
      </c>
      <c r="H4" s="483">
        <v>0</v>
      </c>
      <c r="I4" s="483" t="s">
        <v>217</v>
      </c>
      <c r="J4" s="483" t="s">
        <v>63</v>
      </c>
      <c r="K4" s="483"/>
      <c r="L4" s="476">
        <v>45708</v>
      </c>
      <c r="M4" s="483" t="s">
        <v>57</v>
      </c>
      <c r="N4" s="544">
        <v>87944.4</v>
      </c>
      <c r="O4" s="483" t="s">
        <v>57</v>
      </c>
      <c r="P4" s="807" t="s">
        <v>218</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222</v>
      </c>
      <c r="C5" s="476">
        <v>45807</v>
      </c>
      <c r="D5" s="465" t="s">
        <v>531</v>
      </c>
      <c r="E5" s="475" t="s">
        <v>52</v>
      </c>
      <c r="F5" s="465" t="s">
        <v>237</v>
      </c>
      <c r="G5" s="825" t="s">
        <v>537</v>
      </c>
      <c r="H5" s="469">
        <v>84</v>
      </c>
      <c r="I5" s="829" t="s">
        <v>217</v>
      </c>
      <c r="J5" s="478" t="s">
        <v>63</v>
      </c>
      <c r="K5" s="844"/>
      <c r="L5" s="467">
        <v>45716</v>
      </c>
      <c r="M5" s="478" t="s">
        <v>57</v>
      </c>
      <c r="N5" s="542">
        <v>2812.95</v>
      </c>
      <c r="O5" s="478" t="s">
        <v>57</v>
      </c>
      <c r="P5" s="807" t="s">
        <v>218</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222</v>
      </c>
      <c r="C6" s="467">
        <v>45991</v>
      </c>
      <c r="D6" s="475" t="s">
        <v>539</v>
      </c>
      <c r="E6" s="476">
        <v>45716</v>
      </c>
      <c r="F6" s="475" t="s">
        <v>223</v>
      </c>
      <c r="G6" s="477" t="s">
        <v>540</v>
      </c>
      <c r="H6" s="478">
        <v>31</v>
      </c>
      <c r="I6" s="483" t="s">
        <v>217</v>
      </c>
      <c r="J6" s="478" t="s">
        <v>63</v>
      </c>
      <c r="K6" s="487"/>
      <c r="L6" s="467">
        <v>45716</v>
      </c>
      <c r="M6" s="478" t="s">
        <v>57</v>
      </c>
      <c r="N6" s="543">
        <v>28777</v>
      </c>
      <c r="O6" s="478" t="s">
        <v>57</v>
      </c>
      <c r="P6" s="807" t="s">
        <v>218</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222</v>
      </c>
      <c r="C7" s="467">
        <v>45991</v>
      </c>
      <c r="D7" s="475" t="s">
        <v>378</v>
      </c>
      <c r="E7" s="476">
        <v>45866</v>
      </c>
      <c r="F7" s="475" t="s">
        <v>237</v>
      </c>
      <c r="G7" s="477" t="s">
        <v>542</v>
      </c>
      <c r="H7" s="478">
        <v>0</v>
      </c>
      <c r="I7" s="483" t="s">
        <v>217</v>
      </c>
      <c r="J7" s="478" t="s">
        <v>63</v>
      </c>
      <c r="K7" s="487"/>
      <c r="L7" s="476">
        <v>45863</v>
      </c>
      <c r="M7" s="478" t="s">
        <v>57</v>
      </c>
      <c r="N7" s="543">
        <v>143407.25</v>
      </c>
      <c r="O7" s="478" t="s">
        <v>57</v>
      </c>
      <c r="P7" s="807" t="s">
        <v>218</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222</v>
      </c>
      <c r="C8" s="467">
        <v>45991</v>
      </c>
      <c r="D8" s="475" t="s">
        <v>71</v>
      </c>
      <c r="E8" s="476">
        <v>45880</v>
      </c>
      <c r="F8" s="475" t="s">
        <v>223</v>
      </c>
      <c r="G8" s="477" t="s">
        <v>544</v>
      </c>
      <c r="H8" s="478">
        <v>0</v>
      </c>
      <c r="I8" s="483" t="s">
        <v>217</v>
      </c>
      <c r="J8" s="478" t="s">
        <v>63</v>
      </c>
      <c r="K8" s="487"/>
      <c r="L8" s="476">
        <v>45881</v>
      </c>
      <c r="M8" s="478" t="s">
        <v>57</v>
      </c>
      <c r="N8" s="543">
        <v>4815.6499999999996</v>
      </c>
      <c r="O8" s="478" t="s">
        <v>57</v>
      </c>
      <c r="P8" s="807" t="s">
        <v>218</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222</v>
      </c>
      <c r="C9" s="835">
        <v>45955</v>
      </c>
      <c r="D9" s="836" t="s">
        <v>131</v>
      </c>
      <c r="E9" s="836">
        <v>45919</v>
      </c>
      <c r="F9" s="836" t="s">
        <v>248</v>
      </c>
      <c r="G9" s="837" t="s">
        <v>546</v>
      </c>
      <c r="H9" s="393">
        <v>0</v>
      </c>
      <c r="I9" s="838" t="s">
        <v>217</v>
      </c>
      <c r="J9" s="393" t="s">
        <v>63</v>
      </c>
      <c r="K9" s="393"/>
      <c r="L9" s="836" t="s">
        <v>52</v>
      </c>
      <c r="M9" s="393" t="s">
        <v>57</v>
      </c>
      <c r="N9" s="839">
        <v>4646.75</v>
      </c>
      <c r="O9" s="393" t="s">
        <v>91</v>
      </c>
      <c r="P9" s="914" t="s">
        <v>218</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217</v>
      </c>
      <c r="J10" s="469" t="s">
        <v>63</v>
      </c>
      <c r="K10" s="469"/>
      <c r="L10" s="476">
        <v>45918</v>
      </c>
      <c r="M10" s="478" t="s">
        <v>57</v>
      </c>
      <c r="N10" s="543">
        <v>9611.9500000000007</v>
      </c>
      <c r="O10" s="478" t="s">
        <v>57</v>
      </c>
      <c r="P10" s="807" t="s">
        <v>218</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217</v>
      </c>
      <c r="J12" s="469" t="s">
        <v>63</v>
      </c>
      <c r="K12" s="469"/>
      <c r="L12" s="467">
        <v>45897</v>
      </c>
      <c r="M12" s="469" t="s">
        <v>57</v>
      </c>
      <c r="N12" s="542">
        <v>44896.1</v>
      </c>
      <c r="O12" s="469" t="s">
        <v>57</v>
      </c>
      <c r="P12" s="807" t="s">
        <v>218</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217</v>
      </c>
      <c r="J13" s="469" t="s">
        <v>63</v>
      </c>
      <c r="K13" s="469"/>
      <c r="L13" s="467">
        <v>45903</v>
      </c>
      <c r="M13" s="469" t="s">
        <v>57</v>
      </c>
      <c r="N13" s="542">
        <v>59116.7</v>
      </c>
      <c r="O13" s="469" t="s">
        <v>57</v>
      </c>
      <c r="P13" s="807" t="s">
        <v>218</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217</v>
      </c>
      <c r="J14" s="469" t="s">
        <v>63</v>
      </c>
      <c r="K14" s="469"/>
      <c r="L14" s="467">
        <v>45903</v>
      </c>
      <c r="M14" s="469" t="s">
        <v>57</v>
      </c>
      <c r="N14" s="542">
        <v>40406</v>
      </c>
      <c r="O14" s="469" t="s">
        <v>57</v>
      </c>
      <c r="P14" s="807" t="s">
        <v>218</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217</v>
      </c>
      <c r="J15" s="469" t="s">
        <v>63</v>
      </c>
      <c r="K15" s="469"/>
      <c r="L15" s="467">
        <v>45979</v>
      </c>
      <c r="M15" s="469" t="s">
        <v>57</v>
      </c>
      <c r="N15" s="542">
        <v>29683</v>
      </c>
      <c r="O15" s="469" t="s">
        <v>57</v>
      </c>
      <c r="P15" s="807" t="s">
        <v>218</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217</v>
      </c>
      <c r="J26" s="469" t="s">
        <v>63</v>
      </c>
      <c r="K26" s="469"/>
      <c r="L26" s="467">
        <v>45967</v>
      </c>
      <c r="M26" s="469" t="s">
        <v>57</v>
      </c>
      <c r="N26" s="542">
        <v>60620</v>
      </c>
      <c r="O26" s="469" t="s">
        <v>57</v>
      </c>
      <c r="P26" s="1154" t="s">
        <v>218</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217</v>
      </c>
      <c r="J28" s="469" t="s">
        <v>63</v>
      </c>
      <c r="K28" s="469"/>
      <c r="L28" s="467" t="s">
        <v>166</v>
      </c>
      <c r="M28" s="469" t="s">
        <v>57</v>
      </c>
      <c r="N28" s="542">
        <v>51970</v>
      </c>
      <c r="O28" s="469" t="s">
        <v>57</v>
      </c>
      <c r="P28" s="1154" t="s">
        <v>218</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218</v>
      </c>
      <c r="M37" s="380" t="s">
        <v>57</v>
      </c>
      <c r="N37" s="1078">
        <v>64790.5</v>
      </c>
      <c r="O37" s="380" t="s">
        <v>57</v>
      </c>
      <c r="P37" s="1101" t="s">
        <v>218</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247</v>
      </c>
      <c r="E38" s="467">
        <v>45927</v>
      </c>
      <c r="F38" s="465" t="s">
        <v>519</v>
      </c>
      <c r="G38" s="682" t="s">
        <v>626</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217</v>
      </c>
      <c r="J39" s="469" t="s">
        <v>63</v>
      </c>
      <c r="K39" s="826"/>
      <c r="L39" s="476">
        <v>45741</v>
      </c>
      <c r="M39" s="469" t="s">
        <v>57</v>
      </c>
      <c r="N39" s="543">
        <v>67735.5</v>
      </c>
      <c r="O39" s="469" t="s">
        <v>57</v>
      </c>
      <c r="P39" s="807" t="s">
        <v>218</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218</v>
      </c>
      <c r="J40" s="829" t="s">
        <v>63</v>
      </c>
      <c r="K40" s="829"/>
      <c r="L40" s="827">
        <v>45705</v>
      </c>
      <c r="M40" s="829" t="s">
        <v>57</v>
      </c>
      <c r="N40" s="851">
        <v>1295</v>
      </c>
      <c r="O40" s="829" t="s">
        <v>57</v>
      </c>
      <c r="P40" s="807" t="s">
        <v>218</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356</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222</v>
      </c>
      <c r="C2" s="51">
        <v>45807</v>
      </c>
      <c r="D2" s="51" t="s">
        <v>636</v>
      </c>
      <c r="E2" s="51">
        <v>45706</v>
      </c>
      <c r="F2" s="50" t="s">
        <v>237</v>
      </c>
      <c r="G2" s="382" t="s">
        <v>637</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222</v>
      </c>
      <c r="C3" s="375">
        <v>45991</v>
      </c>
      <c r="D3" s="50" t="s">
        <v>640</v>
      </c>
      <c r="E3" s="51">
        <v>45735</v>
      </c>
      <c r="F3" s="50" t="s">
        <v>237</v>
      </c>
      <c r="G3" s="379" t="s">
        <v>641</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217</v>
      </c>
      <c r="J46" s="502" t="s">
        <v>63</v>
      </c>
      <c r="K46" s="503" t="s">
        <v>749</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223</v>
      </c>
      <c r="G62" s="659" t="s">
        <v>792</v>
      </c>
      <c r="H62" s="52">
        <v>86</v>
      </c>
      <c r="I62" s="660" t="s">
        <v>525</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223</v>
      </c>
      <c r="G66" s="379" t="s">
        <v>806</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223</v>
      </c>
      <c r="G68" s="659" t="s">
        <v>811</v>
      </c>
      <c r="H68" s="52">
        <v>73</v>
      </c>
      <c r="I68" s="667" t="s">
        <v>525</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223</v>
      </c>
      <c r="G69" s="572" t="s">
        <v>814</v>
      </c>
      <c r="H69" s="52">
        <v>65</v>
      </c>
      <c r="I69" s="380" t="s">
        <v>525</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223</v>
      </c>
      <c r="G73" s="379" t="s">
        <v>822</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223</v>
      </c>
      <c r="G86" s="382" t="s">
        <v>854</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223</v>
      </c>
      <c r="G91" s="795" t="s">
        <v>867</v>
      </c>
      <c r="H91" s="776">
        <v>85</v>
      </c>
      <c r="I91" s="782" t="s">
        <v>217</v>
      </c>
      <c r="J91" s="776" t="s">
        <v>63</v>
      </c>
      <c r="K91" s="57">
        <v>45707</v>
      </c>
      <c r="L91" s="776" t="s">
        <v>57</v>
      </c>
      <c r="M91" s="426" t="s">
        <v>868</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223</v>
      </c>
      <c r="G94" s="828" t="s">
        <v>875</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223</v>
      </c>
      <c r="G95" s="795" t="s">
        <v>878</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223</v>
      </c>
      <c r="G96" s="1042" t="s">
        <v>880</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356</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222</v>
      </c>
      <c r="C110" s="51">
        <v>45711</v>
      </c>
      <c r="D110" s="50" t="s">
        <v>131</v>
      </c>
      <c r="E110" s="51">
        <v>45707</v>
      </c>
      <c r="F110" s="50" t="s">
        <v>905</v>
      </c>
      <c r="G110" s="379" t="s">
        <v>906</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223</v>
      </c>
      <c r="G146" s="775" t="s">
        <v>995</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327</v>
      </c>
      <c r="C148" s="51">
        <v>46045</v>
      </c>
      <c r="D148" s="658" t="s">
        <v>131</v>
      </c>
      <c r="E148" s="51"/>
      <c r="F148" s="50" t="s">
        <v>328</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327</v>
      </c>
      <c r="C149" s="57">
        <v>46045</v>
      </c>
      <c r="D149" s="793" t="s">
        <v>131</v>
      </c>
      <c r="E149" s="57"/>
      <c r="F149" s="772" t="s">
        <v>328</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356</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222</v>
      </c>
      <c r="C154" s="476">
        <v>45807</v>
      </c>
      <c r="D154" s="465" t="s">
        <v>51</v>
      </c>
      <c r="E154" s="475" t="s">
        <v>52</v>
      </c>
      <c r="F154" s="465" t="s">
        <v>789</v>
      </c>
      <c r="G154" s="682" t="s">
        <v>540</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222</v>
      </c>
      <c r="C155" s="476">
        <v>45807</v>
      </c>
      <c r="D155" s="475" t="s">
        <v>51</v>
      </c>
      <c r="E155" s="475" t="s">
        <v>52</v>
      </c>
      <c r="F155" s="475" t="s">
        <v>789</v>
      </c>
      <c r="G155" s="825" t="s">
        <v>1007</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222</v>
      </c>
      <c r="C156" s="476">
        <v>45807</v>
      </c>
      <c r="D156" s="475" t="s">
        <v>51</v>
      </c>
      <c r="E156" s="475" t="s">
        <v>52</v>
      </c>
      <c r="F156" s="475" t="s">
        <v>789</v>
      </c>
      <c r="G156" s="825" t="s">
        <v>1009</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156</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156</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377</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377</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429</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429</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429</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429</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429</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377</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377</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377</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288</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288</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377</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288</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377</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357</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377</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380</v>
      </c>
      <c r="C753">
        <v>251</v>
      </c>
      <c r="D753">
        <v>253</v>
      </c>
      <c r="E753">
        <v>1076</v>
      </c>
      <c r="G753">
        <v>1580</v>
      </c>
    </row>
    <row r="754" spans="1:7">
      <c r="A754" t="s">
        <v>357</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377</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288</v>
      </c>
      <c r="D767">
        <v>362</v>
      </c>
      <c r="E767">
        <v>399</v>
      </c>
      <c r="G767">
        <v>761</v>
      </c>
    </row>
    <row r="768" spans="1:7">
      <c r="A768" t="s">
        <v>948</v>
      </c>
    </row>
    <row r="769" spans="1:7">
      <c r="A769" t="s">
        <v>930</v>
      </c>
    </row>
    <row r="770" spans="1:7">
      <c r="A770" t="s">
        <v>380</v>
      </c>
      <c r="C770">
        <v>120</v>
      </c>
      <c r="D770">
        <v>190</v>
      </c>
      <c r="G770">
        <v>310</v>
      </c>
    </row>
    <row r="771" spans="1:7">
      <c r="A771" t="s">
        <v>357</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383</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377</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380</v>
      </c>
      <c r="B794">
        <v>479</v>
      </c>
      <c r="E794">
        <v>170</v>
      </c>
      <c r="G794">
        <v>649</v>
      </c>
    </row>
    <row r="795" spans="1:7">
      <c r="A795" t="s">
        <v>357</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383</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380</v>
      </c>
      <c r="E818">
        <v>725</v>
      </c>
      <c r="G818">
        <v>725</v>
      </c>
    </row>
    <row r="819" spans="1:7">
      <c r="A819" t="s">
        <v>357</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383</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164</v>
      </c>
      <c r="D829">
        <v>1282</v>
      </c>
      <c r="E829">
        <v>980</v>
      </c>
      <c r="G829">
        <v>2262</v>
      </c>
    </row>
    <row r="830" spans="1:7">
      <c r="A830" t="s">
        <v>360</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288</v>
      </c>
      <c r="E838">
        <v>170</v>
      </c>
      <c r="G838">
        <v>170</v>
      </c>
    </row>
    <row r="839" spans="1:7">
      <c r="A839" t="s">
        <v>357</v>
      </c>
      <c r="D839">
        <v>986</v>
      </c>
      <c r="G839">
        <v>986</v>
      </c>
    </row>
    <row r="840" spans="1:7">
      <c r="A840" t="s">
        <v>1084</v>
      </c>
      <c r="B840">
        <v>916</v>
      </c>
      <c r="C840">
        <v>144</v>
      </c>
      <c r="G840">
        <v>1060</v>
      </c>
    </row>
    <row r="841" spans="1:7">
      <c r="A841" t="s">
        <v>566</v>
      </c>
    </row>
    <row r="842" spans="1:7">
      <c r="A842" t="s">
        <v>950</v>
      </c>
    </row>
    <row r="843" spans="1:7">
      <c r="A843" t="s">
        <v>164</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363</v>
      </c>
      <c r="B847">
        <v>60</v>
      </c>
      <c r="C847">
        <v>219</v>
      </c>
      <c r="G847">
        <v>279</v>
      </c>
    </row>
    <row r="848" spans="1:7">
      <c r="A848" t="s">
        <v>972</v>
      </c>
      <c r="D848">
        <v>240</v>
      </c>
      <c r="G848">
        <v>240</v>
      </c>
    </row>
    <row r="849" spans="1:7">
      <c r="A849" t="s">
        <v>1089</v>
      </c>
      <c r="C849">
        <v>1603</v>
      </c>
      <c r="D849">
        <v>791</v>
      </c>
      <c r="E849">
        <v>2803</v>
      </c>
      <c r="G849">
        <v>5197</v>
      </c>
    </row>
    <row r="850" spans="1:7">
      <c r="A850" t="s">
        <v>373</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376</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373</v>
      </c>
      <c r="B867">
        <v>1100</v>
      </c>
      <c r="C867">
        <v>527</v>
      </c>
      <c r="D867">
        <v>553</v>
      </c>
      <c r="G867">
        <v>2180</v>
      </c>
    </row>
    <row r="868" spans="1:7">
      <c r="A868" t="s">
        <v>572</v>
      </c>
      <c r="C868">
        <v>230</v>
      </c>
      <c r="G868">
        <v>230</v>
      </c>
    </row>
    <row r="869" spans="1:7">
      <c r="A869" t="s">
        <v>952</v>
      </c>
      <c r="B869">
        <v>853</v>
      </c>
      <c r="G869">
        <v>853</v>
      </c>
    </row>
    <row r="870" spans="1:7">
      <c r="A870" t="s">
        <v>376</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386</v>
      </c>
      <c r="D873">
        <v>1624</v>
      </c>
      <c r="E873">
        <v>551</v>
      </c>
      <c r="G873">
        <v>2175</v>
      </c>
    </row>
    <row r="874" spans="1:7">
      <c r="A874" t="s">
        <v>374</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288</v>
      </c>
    </row>
    <row r="885" spans="1:7">
      <c r="A885" t="s">
        <v>357</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373</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369</v>
      </c>
      <c r="D899">
        <v>3179</v>
      </c>
      <c r="G899">
        <v>3179</v>
      </c>
    </row>
    <row r="900" spans="1:7">
      <c r="A900" t="s">
        <v>591</v>
      </c>
      <c r="E900">
        <v>978</v>
      </c>
      <c r="G900">
        <v>978</v>
      </c>
    </row>
    <row r="901" spans="1:7">
      <c r="A901" t="s">
        <v>435</v>
      </c>
      <c r="E901">
        <v>502</v>
      </c>
      <c r="G901">
        <v>502</v>
      </c>
    </row>
    <row r="902" spans="1:7">
      <c r="A902" t="s">
        <v>243</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357</v>
      </c>
    </row>
    <row r="911" spans="1:7">
      <c r="A911" t="s">
        <v>383</v>
      </c>
      <c r="F911">
        <v>569</v>
      </c>
      <c r="G911">
        <v>569</v>
      </c>
    </row>
    <row r="912" spans="1:7">
      <c r="A912" t="s">
        <v>520</v>
      </c>
    </row>
    <row r="913" spans="1:7">
      <c r="A913" t="s">
        <v>363</v>
      </c>
      <c r="D913">
        <v>150</v>
      </c>
      <c r="G913">
        <v>150</v>
      </c>
    </row>
    <row r="914" spans="1:7">
      <c r="A914" t="s">
        <v>376</v>
      </c>
    </row>
    <row r="915" spans="1:7">
      <c r="A915" t="s">
        <v>578</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591</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388</v>
      </c>
      <c r="B924">
        <v>207</v>
      </c>
      <c r="G924">
        <v>207</v>
      </c>
    </row>
    <row r="925" spans="1:7">
      <c r="A925" t="s">
        <v>522</v>
      </c>
      <c r="C925">
        <v>1691</v>
      </c>
      <c r="D925">
        <v>1998</v>
      </c>
      <c r="E925">
        <v>760</v>
      </c>
      <c r="F925">
        <v>3975</v>
      </c>
      <c r="G925">
        <v>8424</v>
      </c>
    </row>
    <row r="926" spans="1:7">
      <c r="A926" t="s">
        <v>594</v>
      </c>
      <c r="D926">
        <v>1031</v>
      </c>
      <c r="G926">
        <v>1031</v>
      </c>
    </row>
    <row r="927" spans="1:7">
      <c r="A927" t="s">
        <v>385</v>
      </c>
      <c r="E927">
        <v>1063</v>
      </c>
      <c r="F927">
        <v>1263</v>
      </c>
      <c r="G927">
        <v>2326</v>
      </c>
    </row>
    <row r="928" spans="1:7">
      <c r="A928" t="s">
        <v>517</v>
      </c>
      <c r="F928">
        <v>451</v>
      </c>
      <c r="G928">
        <v>451</v>
      </c>
    </row>
    <row r="929" spans="1:7">
      <c r="A929" t="s">
        <v>455</v>
      </c>
      <c r="B929">
        <v>3266</v>
      </c>
      <c r="C929">
        <v>3910</v>
      </c>
      <c r="D929">
        <v>346</v>
      </c>
      <c r="G929">
        <v>7522</v>
      </c>
    </row>
    <row r="930" spans="1:7">
      <c r="A930" t="s">
        <v>326</v>
      </c>
      <c r="C930">
        <v>372</v>
      </c>
      <c r="D930">
        <v>656</v>
      </c>
      <c r="G930">
        <v>1028</v>
      </c>
    </row>
    <row r="931" spans="1:7">
      <c r="A931" t="s">
        <v>446</v>
      </c>
      <c r="D931">
        <v>2985</v>
      </c>
      <c r="E931">
        <v>2373</v>
      </c>
      <c r="G931">
        <v>5358</v>
      </c>
    </row>
    <row r="932" spans="1:7">
      <c r="A932" t="s">
        <v>473</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360</v>
      </c>
    </row>
    <row r="940" spans="1:7">
      <c r="A940" t="s">
        <v>520</v>
      </c>
      <c r="B940">
        <v>560</v>
      </c>
      <c r="G940">
        <v>560</v>
      </c>
    </row>
    <row r="941" spans="1:7">
      <c r="A941" t="s">
        <v>376</v>
      </c>
    </row>
    <row r="942" spans="1:7">
      <c r="A942" t="s">
        <v>578</v>
      </c>
      <c r="B942">
        <v>138</v>
      </c>
      <c r="G942">
        <v>138</v>
      </c>
    </row>
    <row r="943" spans="1:7">
      <c r="A943" t="s">
        <v>374</v>
      </c>
    </row>
    <row r="944" spans="1:7">
      <c r="A944" t="s">
        <v>369</v>
      </c>
      <c r="B944">
        <v>96</v>
      </c>
      <c r="G944">
        <v>96</v>
      </c>
    </row>
    <row r="945" spans="1:7">
      <c r="A945" t="s">
        <v>591</v>
      </c>
      <c r="B945">
        <v>632</v>
      </c>
      <c r="G945">
        <v>632</v>
      </c>
    </row>
    <row r="946" spans="1:7">
      <c r="A946" t="s">
        <v>435</v>
      </c>
      <c r="B946">
        <v>558</v>
      </c>
      <c r="G946">
        <v>558</v>
      </c>
    </row>
    <row r="947" spans="1:7">
      <c r="A947" t="s">
        <v>243</v>
      </c>
      <c r="B947">
        <v>562</v>
      </c>
      <c r="D947">
        <v>474</v>
      </c>
      <c r="E947">
        <v>606</v>
      </c>
      <c r="F947">
        <v>322</v>
      </c>
      <c r="G947">
        <v>1964</v>
      </c>
    </row>
    <row r="948" spans="1:7">
      <c r="A948" t="s">
        <v>594</v>
      </c>
      <c r="B948">
        <v>1351</v>
      </c>
      <c r="D948">
        <v>890</v>
      </c>
      <c r="G948">
        <v>2241</v>
      </c>
    </row>
    <row r="949" spans="1:7">
      <c r="A949" t="s">
        <v>473</v>
      </c>
      <c r="B949">
        <v>4084</v>
      </c>
      <c r="D949">
        <v>242</v>
      </c>
      <c r="G949">
        <v>4326</v>
      </c>
    </row>
    <row r="950" spans="1:7">
      <c r="A950" t="s">
        <v>1092</v>
      </c>
      <c r="B950">
        <v>748</v>
      </c>
      <c r="C950">
        <v>1062</v>
      </c>
      <c r="G950">
        <v>1810</v>
      </c>
    </row>
    <row r="951" spans="1:7">
      <c r="A951" t="s">
        <v>371</v>
      </c>
      <c r="B951">
        <v>435</v>
      </c>
      <c r="E951">
        <v>1123</v>
      </c>
      <c r="G951">
        <v>1558</v>
      </c>
    </row>
    <row r="952" spans="1:7">
      <c r="A952" t="s">
        <v>416</v>
      </c>
      <c r="D952">
        <v>1580</v>
      </c>
      <c r="E952">
        <v>1258</v>
      </c>
      <c r="G952">
        <v>2838</v>
      </c>
    </row>
    <row r="953" spans="1:7">
      <c r="A953" t="s">
        <v>574</v>
      </c>
      <c r="D953">
        <v>877</v>
      </c>
      <c r="E953">
        <v>814</v>
      </c>
      <c r="G953">
        <v>1691</v>
      </c>
    </row>
    <row r="954" spans="1:7">
      <c r="A954" t="s">
        <v>226</v>
      </c>
      <c r="D954">
        <v>711</v>
      </c>
      <c r="E954">
        <v>325</v>
      </c>
      <c r="F954">
        <v>430</v>
      </c>
      <c r="G954">
        <v>1466</v>
      </c>
    </row>
    <row r="955" spans="1:7">
      <c r="A955" t="s">
        <v>400</v>
      </c>
      <c r="D955">
        <v>1486</v>
      </c>
      <c r="E955">
        <v>2912</v>
      </c>
      <c r="F955">
        <v>2125</v>
      </c>
      <c r="G955">
        <v>6523</v>
      </c>
    </row>
    <row r="956" spans="1:7">
      <c r="A956" t="s">
        <v>465</v>
      </c>
      <c r="D956">
        <v>1264</v>
      </c>
      <c r="E956">
        <v>1281</v>
      </c>
      <c r="G956">
        <v>2545</v>
      </c>
    </row>
    <row r="957" spans="1:7">
      <c r="A957" t="s">
        <v>1093</v>
      </c>
    </row>
    <row r="958" spans="1:7">
      <c r="A958" t="s">
        <v>478</v>
      </c>
      <c r="D958">
        <v>3678</v>
      </c>
      <c r="E958">
        <v>3382</v>
      </c>
      <c r="G958">
        <v>7060</v>
      </c>
    </row>
    <row r="959" spans="1:7">
      <c r="A959" t="s">
        <v>1094</v>
      </c>
      <c r="F959">
        <v>1505</v>
      </c>
      <c r="G959">
        <v>1505</v>
      </c>
    </row>
    <row r="960" spans="1:7">
      <c r="A960" t="s">
        <v>501</v>
      </c>
      <c r="E960">
        <v>424</v>
      </c>
      <c r="G960">
        <v>424</v>
      </c>
    </row>
    <row r="961" spans="1:7">
      <c r="A961" t="s">
        <v>480</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288</v>
      </c>
      <c r="B969">
        <v>446</v>
      </c>
      <c r="C969">
        <v>120</v>
      </c>
      <c r="D969">
        <v>550</v>
      </c>
      <c r="G969">
        <v>1116</v>
      </c>
    </row>
    <row r="970" spans="1:7">
      <c r="A970" t="s">
        <v>520</v>
      </c>
      <c r="C970">
        <v>17</v>
      </c>
      <c r="G970">
        <v>17</v>
      </c>
    </row>
    <row r="971" spans="1:7">
      <c r="A971" t="s">
        <v>578</v>
      </c>
    </row>
    <row r="972" spans="1:7">
      <c r="A972" t="s">
        <v>435</v>
      </c>
      <c r="B972">
        <v>127</v>
      </c>
      <c r="G972">
        <v>127</v>
      </c>
    </row>
    <row r="973" spans="1:7">
      <c r="A973" t="s">
        <v>243</v>
      </c>
      <c r="B973">
        <v>420</v>
      </c>
      <c r="G973">
        <v>420</v>
      </c>
    </row>
    <row r="974" spans="1:7">
      <c r="A974" t="s">
        <v>594</v>
      </c>
    </row>
    <row r="975" spans="1:7">
      <c r="A975" t="s">
        <v>371</v>
      </c>
      <c r="C975">
        <v>1917</v>
      </c>
      <c r="E975">
        <v>272</v>
      </c>
      <c r="G975">
        <v>2189</v>
      </c>
    </row>
    <row r="976" spans="1:7">
      <c r="A976" t="s">
        <v>574</v>
      </c>
      <c r="B976">
        <v>956</v>
      </c>
      <c r="G976">
        <v>956</v>
      </c>
    </row>
    <row r="977" spans="1:7">
      <c r="A977" t="s">
        <v>226</v>
      </c>
      <c r="E977">
        <v>195</v>
      </c>
      <c r="G977">
        <v>195</v>
      </c>
    </row>
    <row r="978" spans="1:7">
      <c r="A978" t="s">
        <v>400</v>
      </c>
      <c r="B978">
        <v>1449</v>
      </c>
      <c r="G978">
        <v>1449</v>
      </c>
    </row>
    <row r="979" spans="1:7">
      <c r="A979" t="s">
        <v>465</v>
      </c>
      <c r="B979">
        <v>1662</v>
      </c>
      <c r="C979">
        <v>2684</v>
      </c>
      <c r="F979">
        <v>51</v>
      </c>
      <c r="G979">
        <v>4397</v>
      </c>
    </row>
    <row r="980" spans="1:7">
      <c r="A980" t="s">
        <v>475</v>
      </c>
      <c r="B980">
        <v>5466</v>
      </c>
      <c r="E980">
        <v>2252</v>
      </c>
      <c r="G980">
        <v>7718</v>
      </c>
    </row>
    <row r="981" spans="1:7">
      <c r="A981" t="s">
        <v>1094</v>
      </c>
      <c r="B981">
        <v>907</v>
      </c>
      <c r="G981">
        <v>907</v>
      </c>
    </row>
    <row r="982" spans="1:7">
      <c r="A982" t="s">
        <v>501</v>
      </c>
      <c r="E982">
        <v>313</v>
      </c>
      <c r="F982">
        <v>3007</v>
      </c>
      <c r="G982">
        <v>3320</v>
      </c>
    </row>
    <row r="983" spans="1:7">
      <c r="A983" t="s">
        <v>480</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419</v>
      </c>
      <c r="C987">
        <v>1679</v>
      </c>
      <c r="D987">
        <v>1429</v>
      </c>
      <c r="E987">
        <v>1624</v>
      </c>
      <c r="G987">
        <v>4732</v>
      </c>
    </row>
    <row r="988" spans="1:7">
      <c r="A988" t="s">
        <v>401</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366</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403</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360</v>
      </c>
    </row>
    <row r="1008" spans="1:7">
      <c r="A1008" t="s">
        <v>386</v>
      </c>
    </row>
    <row r="1009" spans="1:7">
      <c r="A1009" t="s">
        <v>374</v>
      </c>
    </row>
    <row r="1010" spans="1:7">
      <c r="A1010" t="s">
        <v>369</v>
      </c>
    </row>
    <row r="1011" spans="1:7">
      <c r="A1011" t="s">
        <v>243</v>
      </c>
      <c r="D1011">
        <v>426</v>
      </c>
      <c r="G1011">
        <v>426</v>
      </c>
    </row>
    <row r="1012" spans="1:7">
      <c r="A1012" t="s">
        <v>385</v>
      </c>
    </row>
    <row r="1013" spans="1:7">
      <c r="A1013" t="s">
        <v>455</v>
      </c>
    </row>
    <row r="1014" spans="1:7">
      <c r="A1014" t="s">
        <v>326</v>
      </c>
      <c r="C1014">
        <v>1175</v>
      </c>
      <c r="G1014">
        <v>1175</v>
      </c>
    </row>
    <row r="1015" spans="1:7">
      <c r="A1015" t="s">
        <v>446</v>
      </c>
      <c r="C1015">
        <v>996</v>
      </c>
      <c r="G1015">
        <v>996</v>
      </c>
    </row>
    <row r="1016" spans="1:7">
      <c r="A1016" t="s">
        <v>371</v>
      </c>
      <c r="B1016">
        <v>900</v>
      </c>
      <c r="G1016">
        <v>900</v>
      </c>
    </row>
    <row r="1017" spans="1:7">
      <c r="A1017" t="s">
        <v>416</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419</v>
      </c>
      <c r="B1022">
        <v>572</v>
      </c>
      <c r="G1022">
        <v>572</v>
      </c>
    </row>
    <row r="1023" spans="1:7">
      <c r="A1023" t="s">
        <v>1097</v>
      </c>
      <c r="B1023">
        <v>1718</v>
      </c>
      <c r="C1023">
        <v>2478</v>
      </c>
      <c r="D1023">
        <v>1567</v>
      </c>
      <c r="G1023">
        <v>5763</v>
      </c>
    </row>
    <row r="1024" spans="1:7">
      <c r="A1024" t="s">
        <v>483</v>
      </c>
      <c r="C1024">
        <v>3411</v>
      </c>
      <c r="G1024">
        <v>3411</v>
      </c>
    </row>
    <row r="1025" spans="1:7">
      <c r="A1025" t="s">
        <v>210</v>
      </c>
      <c r="B1025">
        <v>82</v>
      </c>
      <c r="G1025">
        <v>82</v>
      </c>
    </row>
    <row r="1026" spans="1:7">
      <c r="A1026" t="s">
        <v>486</v>
      </c>
      <c r="C1026">
        <v>3311</v>
      </c>
      <c r="G1026">
        <v>3311</v>
      </c>
    </row>
    <row r="1027" spans="1:7">
      <c r="A1027" t="s">
        <v>449</v>
      </c>
    </row>
    <row r="1028" spans="1:7">
      <c r="A1028" t="s">
        <v>403</v>
      </c>
      <c r="C1028">
        <v>2568</v>
      </c>
      <c r="G1028">
        <v>2568</v>
      </c>
    </row>
    <row r="1029" spans="1:7">
      <c r="A1029" t="s">
        <v>425</v>
      </c>
      <c r="B1029">
        <v>286</v>
      </c>
      <c r="C1029">
        <v>357</v>
      </c>
      <c r="D1029">
        <v>331</v>
      </c>
      <c r="G1029">
        <v>974</v>
      </c>
    </row>
    <row r="1030" spans="1:7">
      <c r="A1030" t="s">
        <v>397</v>
      </c>
      <c r="B1030">
        <v>1655</v>
      </c>
      <c r="C1030">
        <v>2537</v>
      </c>
      <c r="G1030">
        <v>4192</v>
      </c>
    </row>
    <row r="1031" spans="1:7">
      <c r="A1031" t="s">
        <v>467</v>
      </c>
      <c r="C1031">
        <v>2382</v>
      </c>
      <c r="G1031">
        <v>2382</v>
      </c>
    </row>
    <row r="1032" spans="1:7">
      <c r="A1032" t="s">
        <v>586</v>
      </c>
      <c r="C1032">
        <v>1100</v>
      </c>
      <c r="D1032">
        <v>855</v>
      </c>
      <c r="G1032">
        <v>1955</v>
      </c>
    </row>
    <row r="1033" spans="1:7">
      <c r="A1033" t="s">
        <v>1098</v>
      </c>
      <c r="C1033">
        <v>486</v>
      </c>
      <c r="G1033">
        <v>486</v>
      </c>
    </row>
    <row r="1034" spans="1:7">
      <c r="A1034" t="s">
        <v>489</v>
      </c>
      <c r="C1034">
        <v>3634</v>
      </c>
      <c r="G1034">
        <v>3634</v>
      </c>
    </row>
    <row r="1035" spans="1:7">
      <c r="A1035" t="s">
        <v>1099</v>
      </c>
      <c r="D1035">
        <v>955</v>
      </c>
      <c r="G1035">
        <v>955</v>
      </c>
    </row>
    <row r="1036" spans="1:7">
      <c r="A1036" t="s">
        <v>1100</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326</v>
      </c>
      <c r="B1053">
        <v>1515</v>
      </c>
      <c r="G1053">
        <v>1515</v>
      </c>
    </row>
    <row r="1054" spans="1:7">
      <c r="A1054" t="s">
        <v>475</v>
      </c>
      <c r="E1054">
        <v>64</v>
      </c>
      <c r="G1054">
        <v>64</v>
      </c>
    </row>
    <row r="1055" spans="1:7">
      <c r="A1055" t="s">
        <v>478</v>
      </c>
    </row>
    <row r="1056" spans="1:7">
      <c r="A1056" t="s">
        <v>583</v>
      </c>
      <c r="B1056">
        <v>1610</v>
      </c>
      <c r="G1056">
        <v>1610</v>
      </c>
    </row>
    <row r="1057" spans="1:7">
      <c r="A1057" t="s">
        <v>580</v>
      </c>
    </row>
    <row r="1058" spans="1:7">
      <c r="A1058" t="s">
        <v>483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467</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489</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353</v>
      </c>
      <c r="B1067">
        <v>1829</v>
      </c>
      <c r="C1067">
        <v>2302</v>
      </c>
      <c r="D1067">
        <v>694</v>
      </c>
      <c r="G1067">
        <v>4825</v>
      </c>
    </row>
    <row r="1068" spans="1:7">
      <c r="A1068" t="s">
        <v>470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561</v>
      </c>
      <c r="D1071">
        <v>1379</v>
      </c>
      <c r="E1071">
        <v>1154</v>
      </c>
      <c r="G1071">
        <v>2533</v>
      </c>
    </row>
    <row r="1072" spans="1:7">
      <c r="A1072" t="s">
        <v>331</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446</v>
      </c>
      <c r="C1082">
        <v>2203</v>
      </c>
      <c r="G1082">
        <v>2203</v>
      </c>
    </row>
    <row r="1083" spans="1:7">
      <c r="A1083" t="s">
        <v>480</v>
      </c>
      <c r="E1083">
        <v>242</v>
      </c>
      <c r="G1083">
        <v>242</v>
      </c>
    </row>
    <row r="1084" spans="1:7">
      <c r="A1084" t="s">
        <v>583</v>
      </c>
    </row>
    <row r="1085" spans="1:7">
      <c r="A1085" t="s">
        <v>403</v>
      </c>
      <c r="B1085">
        <v>428</v>
      </c>
      <c r="G1085">
        <v>428</v>
      </c>
    </row>
    <row r="1086" spans="1:7">
      <c r="A1086" t="s">
        <v>1099</v>
      </c>
    </row>
    <row r="1087" spans="1:7">
      <c r="A1087" t="s">
        <v>1101</v>
      </c>
      <c r="C1087">
        <v>265</v>
      </c>
      <c r="D1087">
        <v>542</v>
      </c>
      <c r="E1087">
        <v>739</v>
      </c>
      <c r="G1087">
        <v>1546</v>
      </c>
    </row>
    <row r="1088" spans="1:7">
      <c r="A1088" t="s">
        <v>353</v>
      </c>
      <c r="D1088">
        <v>91</v>
      </c>
      <c r="G1088">
        <v>91</v>
      </c>
    </row>
    <row r="1089" spans="1:7">
      <c r="A1089" t="s">
        <v>413</v>
      </c>
      <c r="B1089">
        <v>1172</v>
      </c>
      <c r="G1089">
        <v>1172</v>
      </c>
    </row>
    <row r="1090" spans="1:7">
      <c r="A1090" t="s">
        <v>422</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391</v>
      </c>
      <c r="C1096">
        <v>1640</v>
      </c>
      <c r="D1096">
        <v>1177</v>
      </c>
      <c r="G1096">
        <v>2817</v>
      </c>
    </row>
    <row r="1097" spans="1:7">
      <c r="A1097" t="s">
        <v>492</v>
      </c>
      <c r="C1097">
        <v>1980</v>
      </c>
      <c r="D1097">
        <v>1251</v>
      </c>
      <c r="E1097">
        <v>3172</v>
      </c>
      <c r="G1097">
        <v>6403</v>
      </c>
    </row>
    <row r="1098" spans="1:7">
      <c r="A1098" t="s">
        <v>337</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310</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G1108">
        <v>575</v>
      </c>
    </row>
    <row r="1109" spans="1:7">
      <c r="A1109" t="s">
        <v>522</v>
      </c>
      <c r="B1109">
        <v>735</v>
      </c>
      <c r="G1109">
        <v>735</v>
      </c>
    </row>
    <row r="1110" spans="1:7">
      <c r="A1110" t="s">
        <v>455</v>
      </c>
    </row>
    <row r="1111" spans="1:7">
      <c r="A1111" t="s">
        <v>478</v>
      </c>
    </row>
    <row r="1112" spans="1:7">
      <c r="A1112" t="s">
        <v>501</v>
      </c>
      <c r="E1112">
        <v>396</v>
      </c>
      <c r="G1112">
        <v>396</v>
      </c>
    </row>
    <row r="1113" spans="1:7">
      <c r="A1113" t="s">
        <v>480</v>
      </c>
    </row>
    <row r="1114" spans="1:7">
      <c r="A1114" t="s">
        <v>583</v>
      </c>
    </row>
    <row r="1115" spans="1:7">
      <c r="A1115" t="s">
        <v>486</v>
      </c>
      <c r="B1115">
        <v>87</v>
      </c>
      <c r="G1115">
        <v>87</v>
      </c>
    </row>
    <row r="1116" spans="1:7">
      <c r="A1116" t="s">
        <v>1101</v>
      </c>
      <c r="B1116">
        <v>671</v>
      </c>
      <c r="C1116">
        <v>1204</v>
      </c>
      <c r="D1116">
        <v>1210</v>
      </c>
      <c r="E1116">
        <v>292</v>
      </c>
      <c r="G1116">
        <v>3377</v>
      </c>
    </row>
    <row r="1117" spans="1:7">
      <c r="A1117" t="s">
        <v>353</v>
      </c>
      <c r="D1117">
        <v>320</v>
      </c>
      <c r="E1117">
        <v>652</v>
      </c>
      <c r="G1117">
        <v>972</v>
      </c>
    </row>
    <row r="1118" spans="1:7">
      <c r="A1118" t="s">
        <v>413</v>
      </c>
      <c r="D1118">
        <v>163</v>
      </c>
      <c r="G1118">
        <v>163</v>
      </c>
    </row>
    <row r="1119" spans="1:7">
      <c r="A1119" t="s">
        <v>331</v>
      </c>
      <c r="D1119">
        <v>372</v>
      </c>
      <c r="G1119">
        <v>372</v>
      </c>
    </row>
    <row r="1120" spans="1:7">
      <c r="A1120" t="s">
        <v>1102</v>
      </c>
      <c r="B1120">
        <v>752</v>
      </c>
      <c r="C1120">
        <v>1249</v>
      </c>
      <c r="D1120">
        <v>235</v>
      </c>
      <c r="E1120">
        <v>563</v>
      </c>
      <c r="F1120">
        <v>483</v>
      </c>
      <c r="G1120">
        <v>3282</v>
      </c>
    </row>
    <row r="1121" spans="1:7">
      <c r="A1121" t="s">
        <v>498</v>
      </c>
      <c r="D1121">
        <v>1049</v>
      </c>
      <c r="G1121">
        <v>1049</v>
      </c>
    </row>
    <row r="1122" spans="1:7">
      <c r="A1122" t="s">
        <v>492</v>
      </c>
      <c r="B1122">
        <v>29</v>
      </c>
      <c r="G1122">
        <v>29</v>
      </c>
    </row>
    <row r="1123" spans="1:7">
      <c r="A1123" t="s">
        <v>337</v>
      </c>
    </row>
    <row r="1124" spans="1:7">
      <c r="A1124" t="s">
        <v>410</v>
      </c>
    </row>
    <row r="1125" spans="1:7">
      <c r="A1125" t="s">
        <v>407</v>
      </c>
      <c r="B1125">
        <v>689</v>
      </c>
      <c r="C1125">
        <v>586</v>
      </c>
      <c r="D1125">
        <v>199</v>
      </c>
      <c r="G1125">
        <v>1474</v>
      </c>
    </row>
    <row r="1126" spans="1:7">
      <c r="A1126" t="s">
        <v>310</v>
      </c>
      <c r="C1126">
        <v>1164</v>
      </c>
      <c r="D1126">
        <v>308</v>
      </c>
      <c r="E1126">
        <v>892</v>
      </c>
      <c r="G1126">
        <v>2364</v>
      </c>
    </row>
    <row r="1127" spans="1:7">
      <c r="A1127" t="s">
        <v>405</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320</v>
      </c>
      <c r="B1130">
        <v>1511</v>
      </c>
      <c r="C1130">
        <v>1887</v>
      </c>
      <c r="D1130">
        <v>916</v>
      </c>
      <c r="E1130">
        <v>1704</v>
      </c>
      <c r="G1130">
        <v>6018</v>
      </c>
    </row>
    <row r="1131" spans="1:7">
      <c r="A1131" t="s">
        <v>334</v>
      </c>
      <c r="C1131">
        <v>1617</v>
      </c>
      <c r="D1131">
        <v>1083</v>
      </c>
      <c r="E1131">
        <v>1905</v>
      </c>
      <c r="G1131">
        <v>4605</v>
      </c>
    </row>
    <row r="1132" spans="1:7">
      <c r="A1132" t="s">
        <v>346</v>
      </c>
      <c r="D1132">
        <v>95</v>
      </c>
      <c r="E1132">
        <v>881</v>
      </c>
      <c r="G1132">
        <v>976</v>
      </c>
    </row>
    <row r="1133" spans="1:7">
      <c r="A1133" t="s">
        <v>340</v>
      </c>
      <c r="E1133">
        <v>3028</v>
      </c>
      <c r="G1133">
        <v>3028</v>
      </c>
    </row>
    <row r="1134" spans="1:7">
      <c r="A1134" t="s">
        <v>179</v>
      </c>
      <c r="E1134">
        <v>1568</v>
      </c>
      <c r="G1134">
        <v>1568</v>
      </c>
    </row>
    <row r="1135" spans="1:7">
      <c r="A1135" t="s">
        <v>1105</v>
      </c>
    </row>
    <row r="1136" spans="1:7">
      <c r="A1136" t="s">
        <v>1027</v>
      </c>
      <c r="B1136">
        <v>7278</v>
      </c>
      <c r="C1136">
        <v>12066</v>
      </c>
      <c r="D1136">
        <v>9926</v>
      </c>
      <c r="E1136">
        <v>13477</v>
      </c>
      <c r="F1136">
        <v>483</v>
      </c>
      <c r="G1136">
        <v>43230</v>
      </c>
    </row>
    <row r="1138" spans="1:3">
      <c r="A1138" s="44" t="s">
        <v>1025</v>
      </c>
      <c r="B1138" s="44" t="s">
        <v>1023</v>
      </c>
    </row>
    <row r="1139" spans="1:3">
      <c r="A1139" s="44" t="s">
        <v>1026</v>
      </c>
      <c r="B1139" s="111">
        <v>46013</v>
      </c>
      <c r="C1139" t="s">
        <v>1027</v>
      </c>
    </row>
    <row r="1140" spans="1:3">
      <c r="A1140" t="s">
        <v>1057</v>
      </c>
    </row>
    <row r="1141" spans="1:3">
      <c r="A1141" t="s">
        <v>1027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377</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377</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377</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377</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377</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377</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429</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429</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429</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429</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429</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429</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429</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429</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378</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429</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378</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378</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378</v>
      </c>
      <c r="C1331" s="56">
        <v>45849</v>
      </c>
      <c r="D1331" s="43">
        <v>198</v>
      </c>
      <c r="G1331" t="s">
        <v>1517</v>
      </c>
    </row>
    <row r="1332" spans="1:7">
      <c r="A1332" s="247" t="s">
        <v>969</v>
      </c>
      <c r="B1332" s="398" t="s">
        <v>1036</v>
      </c>
      <c r="C1332" s="56">
        <v>45852</v>
      </c>
      <c r="F1332" s="43" t="s">
        <v>1180</v>
      </c>
      <c r="G1332" t="s">
        <v>1517</v>
      </c>
    </row>
    <row r="1333" spans="1:7">
      <c r="A1333" s="617" t="s">
        <v>533</v>
      </c>
      <c r="B1333" s="157" t="s">
        <v>378</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377</v>
      </c>
      <c r="B1337" s="157" t="s">
        <v>378</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377</v>
      </c>
      <c r="B1343" s="318" t="s">
        <v>378</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377</v>
      </c>
      <c r="B1354" s="157" t="s">
        <v>378</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377</v>
      </c>
      <c r="B1361" s="157" t="s">
        <v>378</v>
      </c>
      <c r="C1361" s="56">
        <v>45860</v>
      </c>
      <c r="D1361" s="43">
        <v>318</v>
      </c>
      <c r="G1361" t="s">
        <v>1517</v>
      </c>
    </row>
    <row r="1362" spans="1:7">
      <c r="A1362" s="247" t="s">
        <v>1075</v>
      </c>
      <c r="B1362" s="157" t="s">
        <v>378</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378</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378</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378</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378</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378</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378</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378</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378</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378</v>
      </c>
      <c r="C1418" s="56">
        <v>45875</v>
      </c>
      <c r="D1418" s="43">
        <v>840</v>
      </c>
      <c r="G1418" t="s">
        <v>1556</v>
      </c>
    </row>
    <row r="1419" spans="1:7">
      <c r="A1419" s="141" t="s">
        <v>527</v>
      </c>
      <c r="B1419" s="550" t="s">
        <v>378</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378</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378</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378</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377</v>
      </c>
      <c r="B1435" s="311" t="s">
        <v>378</v>
      </c>
      <c r="C1435" s="56">
        <v>45881</v>
      </c>
      <c r="D1435" s="43">
        <v>319</v>
      </c>
      <c r="G1435" t="s">
        <v>1556</v>
      </c>
    </row>
    <row r="1436" spans="1:7">
      <c r="A1436" s="551" t="s">
        <v>541</v>
      </c>
      <c r="B1436" s="311" t="s">
        <v>378</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378</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378</v>
      </c>
      <c r="C1447" s="56">
        <v>45883</v>
      </c>
      <c r="D1447" s="43">
        <v>554</v>
      </c>
      <c r="G1447" t="s">
        <v>1556</v>
      </c>
    </row>
    <row r="1448" spans="1:7">
      <c r="A1448" s="43" t="s">
        <v>288</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378</v>
      </c>
      <c r="C1453" s="56">
        <v>45884</v>
      </c>
      <c r="D1453" s="43">
        <v>89</v>
      </c>
      <c r="G1453" t="s">
        <v>1556</v>
      </c>
    </row>
    <row r="1454" spans="1:7">
      <c r="A1454" s="304" t="s">
        <v>288</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378</v>
      </c>
      <c r="C1460" s="56">
        <v>45887</v>
      </c>
      <c r="D1460" s="43">
        <v>377</v>
      </c>
      <c r="G1460" t="s">
        <v>1556</v>
      </c>
    </row>
    <row r="1461" spans="1:7">
      <c r="A1461" s="304" t="s">
        <v>288</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378</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378</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378</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378</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378</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378</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378</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288</v>
      </c>
      <c r="B1511" s="631" t="s">
        <v>1036</v>
      </c>
      <c r="C1511" s="56">
        <v>45896</v>
      </c>
      <c r="D1511" s="43">
        <v>400</v>
      </c>
      <c r="G1511" t="s">
        <v>1556</v>
      </c>
    </row>
    <row r="1512" spans="1:7">
      <c r="A1512" s="628" t="s">
        <v>377</v>
      </c>
      <c r="B1512" s="348" t="s">
        <v>378</v>
      </c>
      <c r="C1512" s="56">
        <v>45896</v>
      </c>
      <c r="D1512" s="43">
        <v>358</v>
      </c>
      <c r="F1512" s="43" t="s">
        <v>1585</v>
      </c>
      <c r="G1512" t="s">
        <v>1556</v>
      </c>
    </row>
    <row r="1513" spans="1:7">
      <c r="A1513" s="643" t="s">
        <v>533</v>
      </c>
      <c r="B1513" s="141" t="s">
        <v>378</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378</v>
      </c>
      <c r="C1518" s="56">
        <v>45897</v>
      </c>
      <c r="F1518" s="43" t="s">
        <v>1175</v>
      </c>
      <c r="G1518" t="s">
        <v>1556</v>
      </c>
    </row>
    <row r="1519" spans="1:7">
      <c r="A1519" s="583" t="s">
        <v>288</v>
      </c>
      <c r="B1519" s="631" t="s">
        <v>1036</v>
      </c>
      <c r="C1519" s="56">
        <v>45897</v>
      </c>
      <c r="D1519" s="43">
        <v>320</v>
      </c>
      <c r="G1519" t="s">
        <v>1556</v>
      </c>
    </row>
    <row r="1520" spans="1:7">
      <c r="A1520" s="628" t="s">
        <v>377</v>
      </c>
      <c r="B1520" s="349" t="s">
        <v>378</v>
      </c>
      <c r="C1520" s="56">
        <v>45897</v>
      </c>
      <c r="F1520" s="311" t="s">
        <v>1313</v>
      </c>
      <c r="G1520" t="s">
        <v>1556</v>
      </c>
    </row>
    <row r="1521" spans="1:7">
      <c r="A1521" s="123" t="s">
        <v>533</v>
      </c>
      <c r="B1521" s="348" t="s">
        <v>378</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378</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378</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378</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378</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377</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357</v>
      </c>
      <c r="B1563" s="631" t="s">
        <v>358</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357</v>
      </c>
      <c r="B1570" s="247" t="s">
        <v>358</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357</v>
      </c>
      <c r="B1574" s="247" t="s">
        <v>358</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357</v>
      </c>
      <c r="B1579" s="247" t="s">
        <v>358</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357</v>
      </c>
      <c r="B1585" s="247" t="s">
        <v>358</v>
      </c>
      <c r="C1585" s="56">
        <v>45916</v>
      </c>
      <c r="F1585" s="734" t="s">
        <v>1163</v>
      </c>
      <c r="G1585" t="s">
        <v>1594</v>
      </c>
    </row>
    <row r="1586" spans="1:7">
      <c r="A1586" s="157" t="s">
        <v>377</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380</v>
      </c>
      <c r="B1588" s="141" t="s">
        <v>236</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357</v>
      </c>
      <c r="B1593" s="141" t="s">
        <v>358</v>
      </c>
      <c r="C1593" s="56">
        <v>45917</v>
      </c>
      <c r="D1593" s="43">
        <v>863</v>
      </c>
      <c r="F1593" s="734"/>
      <c r="G1593" t="s">
        <v>1594</v>
      </c>
    </row>
    <row r="1594" spans="1:7">
      <c r="A1594" s="738" t="s">
        <v>380</v>
      </c>
      <c r="B1594" s="305" t="s">
        <v>236</v>
      </c>
      <c r="C1594" s="56">
        <v>45917</v>
      </c>
      <c r="D1594" s="43">
        <v>253</v>
      </c>
      <c r="F1594" s="734"/>
      <c r="G1594" t="s">
        <v>1594</v>
      </c>
    </row>
    <row r="1595" spans="1:7">
      <c r="A1595" s="326" t="s">
        <v>377</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357</v>
      </c>
      <c r="B1603" s="247" t="s">
        <v>358</v>
      </c>
      <c r="C1603" s="56">
        <v>45918</v>
      </c>
      <c r="D1603" s="43">
        <v>499</v>
      </c>
      <c r="F1603" s="734"/>
      <c r="G1603" t="s">
        <v>1594</v>
      </c>
    </row>
    <row r="1604" spans="1:7">
      <c r="A1604" s="648" t="s">
        <v>380</v>
      </c>
      <c r="B1604" s="141" t="s">
        <v>236</v>
      </c>
      <c r="C1604" s="56">
        <v>45918</v>
      </c>
      <c r="D1604" s="155">
        <v>1076</v>
      </c>
      <c r="F1604" s="734"/>
      <c r="G1604" t="s">
        <v>1594</v>
      </c>
    </row>
    <row r="1605" spans="1:7">
      <c r="A1605" s="157" t="s">
        <v>377</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357</v>
      </c>
      <c r="B1608" s="247" t="s">
        <v>358</v>
      </c>
      <c r="C1608" s="56">
        <v>45919</v>
      </c>
      <c r="D1608" s="43">
        <v>475</v>
      </c>
      <c r="F1608" s="734"/>
      <c r="G1608" t="s">
        <v>1594</v>
      </c>
    </row>
    <row r="1609" spans="1:7">
      <c r="A1609" s="648" t="s">
        <v>380</v>
      </c>
      <c r="B1609" s="141" t="s">
        <v>236</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215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357</v>
      </c>
      <c r="B1616" s="141" t="s">
        <v>358</v>
      </c>
      <c r="C1616" s="56">
        <v>45922</v>
      </c>
      <c r="D1616" s="43">
        <v>839</v>
      </c>
      <c r="F1616" s="734"/>
      <c r="G1616" t="s">
        <v>1594</v>
      </c>
    </row>
    <row r="1617" spans="1:7">
      <c r="A1617" s="747" t="s">
        <v>380</v>
      </c>
      <c r="B1617" s="304" t="s">
        <v>236</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215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357</v>
      </c>
      <c r="B1625" s="247" t="s">
        <v>358</v>
      </c>
      <c r="C1625" s="56">
        <v>45923</v>
      </c>
      <c r="F1625" s="760" t="s">
        <v>1639</v>
      </c>
      <c r="G1625" t="s">
        <v>1594</v>
      </c>
    </row>
    <row r="1626" spans="1:7">
      <c r="A1626" s="648" t="s">
        <v>380</v>
      </c>
      <c r="B1626" s="757" t="s">
        <v>236</v>
      </c>
      <c r="C1626" s="56">
        <v>45923</v>
      </c>
      <c r="D1626" s="43">
        <v>120</v>
      </c>
      <c r="F1626" s="69"/>
      <c r="G1626" t="s">
        <v>1594</v>
      </c>
    </row>
    <row r="1627" spans="1:7">
      <c r="A1627" s="157" t="s">
        <v>377</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215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357</v>
      </c>
      <c r="B1636" s="399" t="s">
        <v>358</v>
      </c>
      <c r="C1636" s="344">
        <v>45924</v>
      </c>
      <c r="D1636" s="43">
        <v>616</v>
      </c>
      <c r="F1636" s="91"/>
      <c r="G1636" t="s">
        <v>1594</v>
      </c>
    </row>
    <row r="1637" spans="1:7">
      <c r="A1637" s="648" t="s">
        <v>380</v>
      </c>
      <c r="B1637" s="757" t="s">
        <v>236</v>
      </c>
      <c r="C1637" s="56">
        <v>45924</v>
      </c>
      <c r="D1637" s="43">
        <v>190</v>
      </c>
      <c r="F1637" s="69"/>
      <c r="G1637" t="s">
        <v>1594</v>
      </c>
    </row>
    <row r="1638" spans="1:7">
      <c r="A1638" s="157" t="s">
        <v>288</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236</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215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357</v>
      </c>
      <c r="B1651" s="247" t="s">
        <v>358</v>
      </c>
      <c r="C1651" s="56">
        <v>45925</v>
      </c>
      <c r="D1651" s="43">
        <v>969</v>
      </c>
      <c r="G1651" t="s">
        <v>1594</v>
      </c>
    </row>
    <row r="1652" spans="1:7">
      <c r="A1652" s="648" t="s">
        <v>380</v>
      </c>
      <c r="B1652" s="757" t="s">
        <v>236</v>
      </c>
      <c r="C1652" s="56">
        <v>45925</v>
      </c>
      <c r="F1652" s="141" t="s">
        <v>1180</v>
      </c>
      <c r="G1652" t="s">
        <v>1594</v>
      </c>
    </row>
    <row r="1653" spans="1:7">
      <c r="A1653" s="157" t="s">
        <v>288</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215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358</v>
      </c>
      <c r="C1657" s="56">
        <v>45926</v>
      </c>
      <c r="D1657" s="43">
        <v>300</v>
      </c>
      <c r="G1657" t="s">
        <v>1594</v>
      </c>
    </row>
    <row r="1658" spans="1:7">
      <c r="A1658" s="304" t="s">
        <v>1085</v>
      </c>
      <c r="B1658" s="739" t="s">
        <v>1651</v>
      </c>
      <c r="C1658" s="56">
        <v>45926</v>
      </c>
      <c r="D1658" s="43">
        <v>364</v>
      </c>
      <c r="G1658" t="s">
        <v>1594</v>
      </c>
    </row>
    <row r="1659" spans="1:7">
      <c r="A1659" s="134" t="s">
        <v>357</v>
      </c>
      <c r="B1659" s="141" t="s">
        <v>358</v>
      </c>
      <c r="C1659" s="56">
        <v>45926</v>
      </c>
      <c r="D1659" s="43">
        <v>552</v>
      </c>
      <c r="G1659" t="s">
        <v>1594</v>
      </c>
    </row>
    <row r="1660" spans="1:7">
      <c r="A1660" s="747" t="s">
        <v>383</v>
      </c>
      <c r="B1660" s="304" t="s">
        <v>236</v>
      </c>
      <c r="C1660" s="56">
        <v>45926</v>
      </c>
      <c r="D1660" s="43">
        <v>551</v>
      </c>
      <c r="G1660" t="s">
        <v>1594</v>
      </c>
    </row>
    <row r="1661" spans="1:7">
      <c r="A1661" s="325" t="s">
        <v>288</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357</v>
      </c>
      <c r="B1669" s="141" t="s">
        <v>358</v>
      </c>
      <c r="C1669" s="56">
        <v>45929</v>
      </c>
      <c r="D1669" s="155">
        <v>1375</v>
      </c>
      <c r="G1669" t="s">
        <v>1594</v>
      </c>
    </row>
    <row r="1670" spans="1:7">
      <c r="A1670" s="747" t="s">
        <v>377</v>
      </c>
      <c r="B1670" s="304" t="s">
        <v>236</v>
      </c>
      <c r="C1670" s="56">
        <v>45929</v>
      </c>
      <c r="F1670" s="141" t="s">
        <v>1510</v>
      </c>
      <c r="G1670" t="s">
        <v>1594</v>
      </c>
    </row>
    <row r="1671" spans="1:7">
      <c r="A1671" s="305" t="s">
        <v>1084</v>
      </c>
      <c r="B1671" s="305" t="s">
        <v>1036</v>
      </c>
      <c r="C1671" s="56">
        <v>45929</v>
      </c>
      <c r="D1671" s="155">
        <v>1418</v>
      </c>
      <c r="G1671" t="s">
        <v>1594</v>
      </c>
    </row>
    <row r="1672" spans="1:7">
      <c r="A1672" s="43" t="s">
        <v>380</v>
      </c>
      <c r="B1672" s="318" t="s">
        <v>236</v>
      </c>
      <c r="C1672" s="56">
        <v>45929</v>
      </c>
      <c r="D1672" s="43">
        <v>479</v>
      </c>
      <c r="G1672" t="s">
        <v>1594</v>
      </c>
    </row>
    <row r="1673" spans="1:7">
      <c r="A1673" s="43" t="s">
        <v>383</v>
      </c>
      <c r="B1673" s="318" t="s">
        <v>236</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357</v>
      </c>
      <c r="B1682" s="304" t="s">
        <v>358</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383</v>
      </c>
      <c r="B1685" s="318" t="s">
        <v>236</v>
      </c>
      <c r="C1685" s="56">
        <v>45930</v>
      </c>
      <c r="D1685" s="43">
        <v>251</v>
      </c>
      <c r="G1685" t="s">
        <v>1594</v>
      </c>
    </row>
    <row r="1686" spans="1:7">
      <c r="A1686" s="525" t="s">
        <v>527</v>
      </c>
      <c r="B1686" s="349" t="s">
        <v>236</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357</v>
      </c>
      <c r="B1693" s="141" t="s">
        <v>358</v>
      </c>
      <c r="C1693" s="56">
        <v>45931</v>
      </c>
      <c r="D1693" s="43">
        <v>312</v>
      </c>
      <c r="G1693" t="s">
        <v>1660</v>
      </c>
    </row>
    <row r="1694" spans="1:7">
      <c r="A1694" s="551" t="s">
        <v>527</v>
      </c>
      <c r="B1694" s="141" t="s">
        <v>236</v>
      </c>
      <c r="C1694" s="56">
        <v>45931</v>
      </c>
      <c r="D1694" s="43">
        <v>753</v>
      </c>
      <c r="G1694" t="s">
        <v>1660</v>
      </c>
    </row>
    <row r="1695" spans="1:7">
      <c r="A1695" s="305" t="s">
        <v>383</v>
      </c>
      <c r="B1695" s="348" t="s">
        <v>236</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357</v>
      </c>
      <c r="B1703" s="141" t="s">
        <v>358</v>
      </c>
      <c r="C1703" s="56">
        <v>45932</v>
      </c>
      <c r="D1703" s="155">
        <v>1304</v>
      </c>
      <c r="G1703" t="s">
        <v>1660</v>
      </c>
    </row>
    <row r="1704" spans="1:7">
      <c r="A1704" s="305" t="s">
        <v>1084</v>
      </c>
      <c r="B1704" s="305" t="s">
        <v>1036</v>
      </c>
      <c r="C1704" s="56">
        <v>45932</v>
      </c>
      <c r="D1704" s="43">
        <v>614</v>
      </c>
      <c r="G1704" t="s">
        <v>1660</v>
      </c>
    </row>
    <row r="1705" spans="1:7">
      <c r="A1705" s="551" t="s">
        <v>527</v>
      </c>
      <c r="B1705" s="141" t="s">
        <v>236</v>
      </c>
      <c r="C1705" s="56">
        <v>45932</v>
      </c>
      <c r="D1705" s="43">
        <v>305</v>
      </c>
      <c r="G1705" t="s">
        <v>1660</v>
      </c>
    </row>
    <row r="1706" spans="1:7">
      <c r="A1706" s="305" t="s">
        <v>383</v>
      </c>
      <c r="B1706" s="348" t="s">
        <v>236</v>
      </c>
      <c r="C1706" s="56">
        <v>45932</v>
      </c>
      <c r="D1706" s="43">
        <v>789</v>
      </c>
      <c r="F1706" s="43" t="s">
        <v>1666</v>
      </c>
      <c r="G1706" t="s">
        <v>1660</v>
      </c>
    </row>
    <row r="1707" spans="1:7">
      <c r="A1707" s="141" t="s">
        <v>380</v>
      </c>
      <c r="B1707" s="141" t="s">
        <v>236</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357</v>
      </c>
      <c r="B1713" s="141" t="s">
        <v>358</v>
      </c>
      <c r="C1713" s="56">
        <v>45933</v>
      </c>
      <c r="D1713" s="43">
        <v>617</v>
      </c>
      <c r="G1713" t="s">
        <v>1660</v>
      </c>
    </row>
    <row r="1714" spans="1:7">
      <c r="A1714" s="305" t="s">
        <v>1084</v>
      </c>
      <c r="B1714" s="305" t="s">
        <v>1036</v>
      </c>
      <c r="C1714" s="56">
        <v>45933</v>
      </c>
      <c r="D1714" s="43">
        <v>486</v>
      </c>
      <c r="G1714" t="s">
        <v>1660</v>
      </c>
    </row>
    <row r="1715" spans="1:7">
      <c r="A1715" s="306" t="s">
        <v>383</v>
      </c>
      <c r="B1715" s="141" t="s">
        <v>236</v>
      </c>
      <c r="C1715" s="56">
        <v>45933</v>
      </c>
      <c r="F1715" s="43" t="s">
        <v>1669</v>
      </c>
      <c r="G1715" t="s">
        <v>1660</v>
      </c>
    </row>
    <row r="1716" spans="1:7">
      <c r="A1716" s="306" t="s">
        <v>380</v>
      </c>
      <c r="B1716" s="141" t="s">
        <v>236</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357</v>
      </c>
      <c r="B1724" s="141" t="s">
        <v>358</v>
      </c>
      <c r="C1724" s="56">
        <v>45936</v>
      </c>
      <c r="D1724" s="43">
        <v>768</v>
      </c>
      <c r="G1724" t="s">
        <v>1660</v>
      </c>
    </row>
    <row r="1725" spans="1:7">
      <c r="A1725" s="305" t="s">
        <v>1084</v>
      </c>
      <c r="B1725" s="305" t="s">
        <v>830</v>
      </c>
      <c r="C1725" s="56">
        <v>45936</v>
      </c>
      <c r="D1725" s="43">
        <v>225</v>
      </c>
      <c r="G1725" t="s">
        <v>1660</v>
      </c>
    </row>
    <row r="1726" spans="1:7">
      <c r="A1726" s="549" t="s">
        <v>527</v>
      </c>
      <c r="B1726" s="306" t="s">
        <v>236</v>
      </c>
      <c r="C1726" s="56">
        <v>45936</v>
      </c>
      <c r="F1726" s="337" t="s">
        <v>1313</v>
      </c>
      <c r="G1726" t="s">
        <v>1660</v>
      </c>
    </row>
    <row r="1727" spans="1:7">
      <c r="A1727" s="311" t="s">
        <v>383</v>
      </c>
      <c r="B1727" s="311" t="s">
        <v>236</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357</v>
      </c>
      <c r="B1734" s="141" t="s">
        <v>358</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383</v>
      </c>
      <c r="B1737" s="141" t="s">
        <v>236</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383</v>
      </c>
      <c r="B1748" s="317" t="s">
        <v>236</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357</v>
      </c>
      <c r="B1755" s="247" t="s">
        <v>358</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383</v>
      </c>
      <c r="B1758" s="317" t="s">
        <v>236</v>
      </c>
      <c r="C1758" s="56">
        <v>45939</v>
      </c>
      <c r="D1758" s="43">
        <v>369</v>
      </c>
      <c r="G1758" t="s">
        <v>1660</v>
      </c>
    </row>
    <row r="1759" spans="1:7">
      <c r="A1759" s="115" t="s">
        <v>380</v>
      </c>
      <c r="B1759" s="317" t="s">
        <v>236</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360</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363</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439</v>
      </c>
      <c r="C1784" s="56">
        <v>45944</v>
      </c>
      <c r="D1784" s="155">
        <v>1603</v>
      </c>
      <c r="F1784" s="43" t="s">
        <v>1689</v>
      </c>
      <c r="G1784" t="s">
        <v>1660</v>
      </c>
    </row>
    <row r="1785" spans="1:7">
      <c r="A1785" s="311" t="s">
        <v>1084</v>
      </c>
      <c r="B1785" s="311" t="s">
        <v>1036</v>
      </c>
      <c r="C1785" s="56">
        <v>45944</v>
      </c>
      <c r="D1785" s="43">
        <v>144</v>
      </c>
      <c r="G1785" t="s">
        <v>1660</v>
      </c>
    </row>
    <row r="1786" spans="1:7">
      <c r="A1786" s="315" t="s">
        <v>373</v>
      </c>
      <c r="B1786" s="315" t="s">
        <v>236</v>
      </c>
      <c r="C1786" s="56">
        <v>45944</v>
      </c>
      <c r="D1786" s="43">
        <v>927</v>
      </c>
      <c r="F1786" s="43" t="s">
        <v>1667</v>
      </c>
      <c r="G1786" t="s">
        <v>1660</v>
      </c>
    </row>
    <row r="1787" spans="1:7">
      <c r="A1787" s="247" t="s">
        <v>363</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439</v>
      </c>
      <c r="C1793" s="56">
        <v>45945</v>
      </c>
      <c r="D1793" s="43">
        <v>791</v>
      </c>
      <c r="F1793" s="43" t="s">
        <v>1694</v>
      </c>
      <c r="G1793" t="s">
        <v>1660</v>
      </c>
    </row>
    <row r="1794" spans="1:7">
      <c r="A1794" s="306" t="s">
        <v>357</v>
      </c>
      <c r="B1794" s="311" t="s">
        <v>1036</v>
      </c>
      <c r="C1794" s="56">
        <v>45945</v>
      </c>
      <c r="D1794" s="43">
        <v>986</v>
      </c>
      <c r="G1794" t="s">
        <v>1660</v>
      </c>
    </row>
    <row r="1795" spans="1:7">
      <c r="A1795" s="306" t="s">
        <v>376</v>
      </c>
      <c r="B1795" s="348" t="s">
        <v>1695</v>
      </c>
      <c r="C1795" s="56">
        <v>45945</v>
      </c>
      <c r="D1795" s="155">
        <v>1457</v>
      </c>
      <c r="F1795" s="43" t="s">
        <v>1696</v>
      </c>
      <c r="G1795" t="s">
        <v>1660</v>
      </c>
    </row>
    <row r="1796" spans="1:7">
      <c r="A1796" s="311" t="s">
        <v>373</v>
      </c>
      <c r="B1796" s="337" t="s">
        <v>236</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439</v>
      </c>
      <c r="C1802" s="310">
        <v>45946</v>
      </c>
      <c r="D1802" s="155">
        <v>2803</v>
      </c>
      <c r="G1802" t="s">
        <v>1660</v>
      </c>
    </row>
    <row r="1803" spans="1:7">
      <c r="A1803" s="141" t="s">
        <v>164</v>
      </c>
      <c r="B1803" s="141" t="s">
        <v>131</v>
      </c>
      <c r="C1803" s="310">
        <v>45946</v>
      </c>
      <c r="D1803" s="43">
        <v>688</v>
      </c>
      <c r="F1803" s="43" t="s">
        <v>1501</v>
      </c>
      <c r="G1803" t="s">
        <v>1660</v>
      </c>
    </row>
    <row r="1804" spans="1:7">
      <c r="A1804" s="932" t="s">
        <v>288</v>
      </c>
      <c r="B1804" s="306" t="s">
        <v>1036</v>
      </c>
      <c r="C1804" s="310">
        <v>45946</v>
      </c>
      <c r="D1804" s="43">
        <v>170</v>
      </c>
      <c r="G1804" t="s">
        <v>1660</v>
      </c>
    </row>
    <row r="1805" spans="1:7">
      <c r="A1805" s="141" t="s">
        <v>376</v>
      </c>
      <c r="B1805" s="141" t="s">
        <v>1695</v>
      </c>
      <c r="C1805" s="310">
        <v>45946</v>
      </c>
      <c r="D1805" s="155">
        <v>1142</v>
      </c>
      <c r="F1805" s="43" t="s">
        <v>1701</v>
      </c>
      <c r="G1805" t="s">
        <v>1660</v>
      </c>
    </row>
    <row r="1806" spans="1:7">
      <c r="A1806" s="304" t="s">
        <v>373</v>
      </c>
      <c r="B1806" s="304" t="s">
        <v>236</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439</v>
      </c>
      <c r="C1811" s="56">
        <v>45947</v>
      </c>
      <c r="F1811" s="43" t="s">
        <v>1705</v>
      </c>
      <c r="G1811" t="s">
        <v>1660</v>
      </c>
    </row>
    <row r="1812" spans="1:7">
      <c r="A1812" s="618" t="s">
        <v>376</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439</v>
      </c>
      <c r="C1818" s="56">
        <v>45950</v>
      </c>
      <c r="D1818" s="155">
        <v>3343</v>
      </c>
      <c r="F1818" s="43" t="s">
        <v>1709</v>
      </c>
      <c r="G1818" t="s">
        <v>1660</v>
      </c>
    </row>
    <row r="1819" spans="1:7">
      <c r="A1819" s="950" t="s">
        <v>527</v>
      </c>
      <c r="B1819" s="951" t="s">
        <v>1036</v>
      </c>
      <c r="C1819" s="56">
        <v>45950</v>
      </c>
      <c r="D1819" s="43">
        <v>151</v>
      </c>
      <c r="G1819" t="s">
        <v>1660</v>
      </c>
    </row>
    <row r="1820" spans="1:7">
      <c r="A1820" s="760" t="s">
        <v>376</v>
      </c>
      <c r="B1820" s="760" t="s">
        <v>1695</v>
      </c>
      <c r="C1820" s="56">
        <v>45950</v>
      </c>
      <c r="D1820" s="155">
        <v>1186</v>
      </c>
      <c r="F1820" s="43" t="s">
        <v>1535</v>
      </c>
      <c r="G1820" t="s">
        <v>1660</v>
      </c>
    </row>
    <row r="1821" spans="1:7">
      <c r="A1821" s="948" t="s">
        <v>373</v>
      </c>
      <c r="B1821" s="948" t="s">
        <v>236</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439</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376</v>
      </c>
      <c r="B1829" s="115" t="s">
        <v>1695</v>
      </c>
      <c r="C1829" s="56">
        <v>45951</v>
      </c>
      <c r="D1829" s="155">
        <v>1564</v>
      </c>
      <c r="F1829" s="43" t="s">
        <v>1713</v>
      </c>
      <c r="G1829" t="s">
        <v>1660</v>
      </c>
    </row>
    <row r="1830" spans="1:7">
      <c r="A1830" s="43" t="s">
        <v>373</v>
      </c>
      <c r="B1830" s="141" t="s">
        <v>236</v>
      </c>
      <c r="C1830" s="56">
        <v>45951</v>
      </c>
      <c r="D1830" s="43">
        <v>527</v>
      </c>
      <c r="F1830" s="43" t="s">
        <v>1702</v>
      </c>
      <c r="G1830" t="s">
        <v>1660</v>
      </c>
    </row>
    <row r="1831" spans="1:7">
      <c r="A1831" s="91" t="s">
        <v>386</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439</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376</v>
      </c>
      <c r="B1838" s="161" t="s">
        <v>1695</v>
      </c>
      <c r="C1838" s="56">
        <v>45952</v>
      </c>
      <c r="D1838" s="155">
        <v>1012</v>
      </c>
      <c r="F1838" s="43" t="s">
        <v>1719</v>
      </c>
      <c r="G1838" t="s">
        <v>1660</v>
      </c>
    </row>
    <row r="1839" spans="1:7">
      <c r="A1839" s="43" t="s">
        <v>373</v>
      </c>
      <c r="B1839" s="318" t="s">
        <v>236</v>
      </c>
      <c r="C1839" s="56">
        <v>45952</v>
      </c>
      <c r="D1839" s="43">
        <v>553</v>
      </c>
      <c r="G1839" t="s">
        <v>1660</v>
      </c>
    </row>
    <row r="1840" spans="1:7">
      <c r="A1840" s="69" t="s">
        <v>386</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439</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376</v>
      </c>
      <c r="B1850" s="161" t="s">
        <v>1695</v>
      </c>
      <c r="C1850" s="56">
        <v>45953</v>
      </c>
      <c r="D1850" s="43">
        <v>588</v>
      </c>
      <c r="F1850" s="43" t="s">
        <v>1726</v>
      </c>
      <c r="G1850" t="s">
        <v>1660</v>
      </c>
    </row>
    <row r="1851" spans="1:7">
      <c r="A1851" s="69" t="s">
        <v>386</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439</v>
      </c>
      <c r="C1856" s="56">
        <v>45954</v>
      </c>
      <c r="D1856" s="155">
        <v>1933</v>
      </c>
      <c r="G1856" t="s">
        <v>1660</v>
      </c>
    </row>
    <row r="1857" spans="1:7">
      <c r="A1857" s="932" t="s">
        <v>527</v>
      </c>
      <c r="B1857" s="967" t="s">
        <v>1036</v>
      </c>
      <c r="C1857" s="56">
        <v>45954</v>
      </c>
      <c r="F1857" s="43" t="s">
        <v>1730</v>
      </c>
      <c r="G1857" t="s">
        <v>1660</v>
      </c>
    </row>
    <row r="1858" spans="1:7">
      <c r="A1858" s="618" t="s">
        <v>374</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439</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288</v>
      </c>
      <c r="B1869" s="967" t="s">
        <v>1036</v>
      </c>
      <c r="C1869" s="56">
        <v>45957</v>
      </c>
      <c r="F1869" s="320" t="s">
        <v>1559</v>
      </c>
      <c r="G1869" t="s">
        <v>1660</v>
      </c>
    </row>
    <row r="1870" spans="1:7">
      <c r="A1870" s="618" t="s">
        <v>374</v>
      </c>
      <c r="B1870" s="161" t="s">
        <v>1695</v>
      </c>
      <c r="C1870" s="56">
        <v>45957</v>
      </c>
      <c r="D1870" s="155">
        <v>1323</v>
      </c>
      <c r="F1870" s="43" t="s">
        <v>1738</v>
      </c>
      <c r="G1870" t="s">
        <v>1660</v>
      </c>
    </row>
    <row r="1871" spans="1:7">
      <c r="A1871" s="43" t="s">
        <v>373</v>
      </c>
      <c r="B1871" s="318" t="s">
        <v>236</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439</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374</v>
      </c>
      <c r="B1883" s="161" t="s">
        <v>1695</v>
      </c>
      <c r="C1883" s="56">
        <v>45958</v>
      </c>
      <c r="D1883" s="155">
        <v>1516</v>
      </c>
      <c r="F1883" s="43" t="s">
        <v>1745</v>
      </c>
      <c r="G1883" t="s">
        <v>1660</v>
      </c>
    </row>
    <row r="1884" spans="1:7">
      <c r="A1884" s="43" t="s">
        <v>373</v>
      </c>
      <c r="B1884" s="318" t="s">
        <v>236</v>
      </c>
      <c r="C1884" s="56">
        <v>45958</v>
      </c>
      <c r="D1884" s="155">
        <v>1224</v>
      </c>
      <c r="G1884" t="s">
        <v>1660</v>
      </c>
    </row>
    <row r="1885" spans="1:7">
      <c r="A1885" s="43" t="s">
        <v>373</v>
      </c>
      <c r="B1885" s="655" t="s">
        <v>236</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439</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374</v>
      </c>
      <c r="B1894" s="161" t="s">
        <v>1695</v>
      </c>
      <c r="C1894" s="56">
        <v>45959</v>
      </c>
      <c r="D1894" s="43">
        <v>790</v>
      </c>
      <c r="F1894" s="43" t="s">
        <v>1752</v>
      </c>
      <c r="G1894" t="s">
        <v>1660</v>
      </c>
    </row>
    <row r="1895" spans="1:7">
      <c r="A1895" s="43" t="s">
        <v>373</v>
      </c>
      <c r="B1895" s="655" t="s">
        <v>236</v>
      </c>
      <c r="C1895" s="56">
        <v>45959</v>
      </c>
      <c r="D1895" s="43">
        <v>343</v>
      </c>
      <c r="G1895" t="s">
        <v>1660</v>
      </c>
    </row>
    <row r="1896" spans="1:7">
      <c r="A1896" s="69" t="s">
        <v>369</v>
      </c>
      <c r="B1896" s="43" t="s">
        <v>236</v>
      </c>
      <c r="C1896" s="56">
        <v>45959</v>
      </c>
      <c r="D1896" s="155">
        <v>3179</v>
      </c>
      <c r="G1896" t="s">
        <v>1660</v>
      </c>
    </row>
    <row r="1897" spans="1:7">
      <c r="A1897" s="311" t="s">
        <v>357</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439</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435</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373</v>
      </c>
      <c r="B1910" s="318" t="s">
        <v>236</v>
      </c>
      <c r="C1910" s="56">
        <v>45960</v>
      </c>
      <c r="E1910" s="253"/>
      <c r="F1910" s="615" t="s">
        <v>1350</v>
      </c>
      <c r="G1910" t="s">
        <v>1660</v>
      </c>
    </row>
    <row r="1911" spans="1:7">
      <c r="A1911" s="618" t="s">
        <v>374</v>
      </c>
      <c r="B1911" s="161" t="s">
        <v>1695</v>
      </c>
      <c r="C1911" s="56">
        <v>45960</v>
      </c>
      <c r="D1911" s="43">
        <v>930</v>
      </c>
      <c r="F1911" s="43" t="s">
        <v>1664</v>
      </c>
      <c r="G1911" t="s">
        <v>1660</v>
      </c>
    </row>
    <row r="1912" spans="1:7">
      <c r="A1912" s="247" t="s">
        <v>243</v>
      </c>
      <c r="B1912" s="157" t="s">
        <v>1763</v>
      </c>
      <c r="C1912" s="56">
        <v>45960</v>
      </c>
      <c r="D1912" s="43">
        <v>346</v>
      </c>
      <c r="G1912" t="s">
        <v>1660</v>
      </c>
    </row>
    <row r="1913" spans="1:7">
      <c r="A1913" s="247" t="s">
        <v>357</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439</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374</v>
      </c>
      <c r="B1923" s="161" t="s">
        <v>1695</v>
      </c>
      <c r="C1923" s="56">
        <v>45961</v>
      </c>
      <c r="D1923" s="43">
        <v>408</v>
      </c>
      <c r="F1923" s="43" t="s">
        <v>1768</v>
      </c>
      <c r="G1923" t="s">
        <v>1660</v>
      </c>
    </row>
    <row r="1924" spans="1:7">
      <c r="A1924" s="43" t="s">
        <v>243</v>
      </c>
      <c r="B1924" s="318" t="s">
        <v>1769</v>
      </c>
      <c r="C1924" s="56">
        <v>45961</v>
      </c>
      <c r="F1924" s="320" t="s">
        <v>1313</v>
      </c>
      <c r="G1924" t="s">
        <v>1660</v>
      </c>
    </row>
    <row r="1925" spans="1:7">
      <c r="A1925" s="247" t="s">
        <v>386</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435</v>
      </c>
      <c r="B1932" s="304" t="s">
        <v>1036</v>
      </c>
      <c r="C1932" s="56">
        <v>45964</v>
      </c>
      <c r="D1932" s="43">
        <v>259</v>
      </c>
      <c r="G1932" t="s">
        <v>1770</v>
      </c>
    </row>
    <row r="1933" spans="1:7">
      <c r="A1933" s="141" t="s">
        <v>386</v>
      </c>
      <c r="B1933" s="318" t="s">
        <v>1695</v>
      </c>
      <c r="C1933" s="56">
        <v>45964</v>
      </c>
      <c r="D1933" s="43">
        <v>463</v>
      </c>
      <c r="G1933" t="s">
        <v>1770</v>
      </c>
    </row>
    <row r="1934" spans="1:7">
      <c r="A1934" s="305" t="s">
        <v>369</v>
      </c>
      <c r="B1934" s="304" t="s">
        <v>236</v>
      </c>
      <c r="C1934" s="56">
        <v>45964</v>
      </c>
      <c r="D1934" s="43">
        <v>882</v>
      </c>
      <c r="F1934" s="43" t="s">
        <v>1773</v>
      </c>
      <c r="G1934" t="s">
        <v>1770</v>
      </c>
    </row>
    <row r="1935" spans="1:7">
      <c r="A1935" s="141" t="s">
        <v>357</v>
      </c>
      <c r="B1935" s="349" t="s">
        <v>1036</v>
      </c>
      <c r="C1935" s="56">
        <v>45964</v>
      </c>
      <c r="F1935" s="43" t="s">
        <v>1506</v>
      </c>
      <c r="G1935" t="s">
        <v>1770</v>
      </c>
    </row>
    <row r="1936" spans="1:7">
      <c r="A1936" s="141" t="s">
        <v>357</v>
      </c>
      <c r="B1936" s="349" t="s">
        <v>1774</v>
      </c>
      <c r="C1936" s="56">
        <v>45964</v>
      </c>
      <c r="E1936" s="321">
        <v>3846</v>
      </c>
      <c r="F1936" s="43" t="s">
        <v>1775</v>
      </c>
      <c r="G1936" t="s">
        <v>1770</v>
      </c>
    </row>
    <row r="1937" spans="1:7">
      <c r="A1937" s="141" t="s">
        <v>357</v>
      </c>
      <c r="B1937" s="349" t="s">
        <v>358</v>
      </c>
      <c r="C1937" s="56">
        <v>45964</v>
      </c>
      <c r="F1937" s="924" t="s">
        <v>1776</v>
      </c>
      <c r="G1937" t="s">
        <v>1770</v>
      </c>
    </row>
    <row r="1938" spans="1:7">
      <c r="A1938" s="141" t="s">
        <v>388</v>
      </c>
      <c r="B1938" s="1005" t="s">
        <v>1036</v>
      </c>
      <c r="C1938" s="56">
        <v>45964</v>
      </c>
      <c r="D1938" s="43">
        <v>207</v>
      </c>
      <c r="G1938" t="s">
        <v>1770</v>
      </c>
    </row>
    <row r="1939" spans="1:7">
      <c r="A1939" s="141" t="s">
        <v>455</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247</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435</v>
      </c>
      <c r="B1947" s="43" t="s">
        <v>1779</v>
      </c>
      <c r="C1947" s="56">
        <v>45965</v>
      </c>
      <c r="D1947" s="43">
        <v>817</v>
      </c>
      <c r="G1947" t="s">
        <v>1770</v>
      </c>
    </row>
    <row r="1948" spans="1:7">
      <c r="A1948" s="43" t="s">
        <v>435</v>
      </c>
      <c r="B1948" s="43" t="s">
        <v>1036</v>
      </c>
      <c r="C1948" s="56">
        <v>45965</v>
      </c>
      <c r="D1948" s="43">
        <v>270</v>
      </c>
      <c r="G1948" t="s">
        <v>1770</v>
      </c>
    </row>
    <row r="1949" spans="1:7">
      <c r="A1949" s="618" t="s">
        <v>386</v>
      </c>
      <c r="B1949" s="43" t="s">
        <v>1695</v>
      </c>
      <c r="C1949" s="56">
        <v>45965</v>
      </c>
      <c r="D1949" s="43">
        <v>633</v>
      </c>
      <c r="G1949" t="s">
        <v>1770</v>
      </c>
    </row>
    <row r="1950" spans="1:7">
      <c r="A1950" s="43" t="s">
        <v>243</v>
      </c>
      <c r="B1950" s="141" t="s">
        <v>1769</v>
      </c>
      <c r="C1950" s="56">
        <v>45965</v>
      </c>
      <c r="D1950" s="43">
        <v>379</v>
      </c>
      <c r="F1950" s="43" t="s">
        <v>1780</v>
      </c>
      <c r="G1950" t="s">
        <v>1770</v>
      </c>
    </row>
    <row r="1951" spans="1:7">
      <c r="A1951" s="148" t="s">
        <v>369</v>
      </c>
      <c r="B1951" s="43" t="s">
        <v>236</v>
      </c>
      <c r="C1951" s="56">
        <v>45965</v>
      </c>
      <c r="D1951" s="155">
        <v>1072</v>
      </c>
      <c r="F1951" s="43" t="s">
        <v>1781</v>
      </c>
      <c r="G1951" t="s">
        <v>1770</v>
      </c>
    </row>
    <row r="1952" spans="1:7">
      <c r="A1952" s="1007" t="s">
        <v>376</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455</v>
      </c>
      <c r="B1954" s="43" t="s">
        <v>131</v>
      </c>
      <c r="C1954" s="56">
        <v>45965</v>
      </c>
      <c r="D1954" s="321">
        <v>3910</v>
      </c>
      <c r="E1954" s="43"/>
      <c r="F1954" s="154" t="s">
        <v>1782</v>
      </c>
      <c r="G1954" t="s">
        <v>1770</v>
      </c>
    </row>
    <row r="1955" spans="1:7">
      <c r="A1955" s="247" t="s">
        <v>326</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247</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435</v>
      </c>
      <c r="B1960" s="304" t="s">
        <v>1779</v>
      </c>
      <c r="C1960" s="56">
        <v>45966</v>
      </c>
      <c r="D1960" s="155">
        <v>1377</v>
      </c>
      <c r="G1960" t="s">
        <v>1770</v>
      </c>
    </row>
    <row r="1961" spans="1:7">
      <c r="A1961" s="304" t="s">
        <v>435</v>
      </c>
      <c r="B1961" s="304" t="s">
        <v>1036</v>
      </c>
      <c r="C1961" s="56">
        <v>45966</v>
      </c>
      <c r="D1961" s="43">
        <v>829</v>
      </c>
      <c r="G1961" t="s">
        <v>1770</v>
      </c>
    </row>
    <row r="1962" spans="1:7">
      <c r="A1962" s="304" t="s">
        <v>594</v>
      </c>
      <c r="B1962" s="304" t="s">
        <v>131</v>
      </c>
      <c r="C1962" s="56">
        <v>45966</v>
      </c>
      <c r="D1962" s="155">
        <v>1031</v>
      </c>
      <c r="G1962" t="s">
        <v>1770</v>
      </c>
    </row>
    <row r="1963" spans="1:7">
      <c r="A1963" s="141" t="s">
        <v>386</v>
      </c>
      <c r="B1963" s="141" t="s">
        <v>1695</v>
      </c>
      <c r="C1963" s="56">
        <v>45966</v>
      </c>
      <c r="D1963" s="43">
        <v>625</v>
      </c>
      <c r="G1963" t="s">
        <v>1770</v>
      </c>
    </row>
    <row r="1964" spans="1:7">
      <c r="A1964" s="304" t="s">
        <v>243</v>
      </c>
      <c r="B1964" s="304" t="s">
        <v>1769</v>
      </c>
      <c r="C1964" s="56">
        <v>45966</v>
      </c>
      <c r="D1964" s="43">
        <v>208</v>
      </c>
      <c r="F1964" s="43" t="s">
        <v>1116</v>
      </c>
      <c r="G1964" t="s">
        <v>1770</v>
      </c>
    </row>
    <row r="1965" spans="1:7">
      <c r="A1965" s="305" t="s">
        <v>369</v>
      </c>
      <c r="B1965" s="304" t="s">
        <v>236</v>
      </c>
      <c r="C1965" s="56">
        <v>45966</v>
      </c>
      <c r="D1965" s="155">
        <v>1034</v>
      </c>
      <c r="G1965" t="s">
        <v>1770</v>
      </c>
    </row>
    <row r="1966" spans="1:7">
      <c r="A1966" s="311" t="s">
        <v>363</v>
      </c>
      <c r="B1966" s="1008" t="s">
        <v>1475</v>
      </c>
      <c r="C1966" s="56">
        <v>45966</v>
      </c>
      <c r="D1966" s="43">
        <v>150</v>
      </c>
      <c r="G1966" t="s">
        <v>1770</v>
      </c>
    </row>
    <row r="1967" spans="1:7">
      <c r="A1967" s="247" t="s">
        <v>357</v>
      </c>
      <c r="B1967" s="157" t="s">
        <v>1774</v>
      </c>
      <c r="C1967" s="56">
        <v>45966</v>
      </c>
      <c r="E1967" s="1013">
        <v>13112</v>
      </c>
      <c r="F1967" s="115" t="s">
        <v>1784</v>
      </c>
      <c r="G1967" t="s">
        <v>1770</v>
      </c>
    </row>
    <row r="1968" spans="1:7">
      <c r="A1968" s="247" t="s">
        <v>455</v>
      </c>
      <c r="B1968" s="304" t="s">
        <v>131</v>
      </c>
      <c r="C1968" s="56">
        <v>45966</v>
      </c>
      <c r="D1968" s="139">
        <v>346</v>
      </c>
      <c r="E1968" s="155"/>
      <c r="F1968" s="43" t="s">
        <v>1477</v>
      </c>
      <c r="G1968" t="s">
        <v>1770</v>
      </c>
    </row>
    <row r="1969" spans="1:7">
      <c r="A1969" s="371" t="s">
        <v>326</v>
      </c>
      <c r="B1969" s="304" t="s">
        <v>131</v>
      </c>
      <c r="C1969" s="56">
        <v>45966</v>
      </c>
      <c r="D1969" s="139">
        <v>656</v>
      </c>
      <c r="E1969" s="155"/>
      <c r="G1969" t="s">
        <v>1770</v>
      </c>
    </row>
    <row r="1970" spans="1:7">
      <c r="A1970" s="371" t="s">
        <v>446</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435</v>
      </c>
      <c r="B1974" s="43" t="s">
        <v>1779</v>
      </c>
      <c r="C1974" s="56">
        <v>45967</v>
      </c>
      <c r="D1974" s="43">
        <v>183</v>
      </c>
      <c r="G1974" t="s">
        <v>1770</v>
      </c>
    </row>
    <row r="1975" spans="1:7">
      <c r="A1975" s="43" t="s">
        <v>435</v>
      </c>
      <c r="B1975" s="43" t="s">
        <v>1036</v>
      </c>
      <c r="C1975" s="56">
        <v>45967</v>
      </c>
      <c r="D1975" s="43">
        <v>270</v>
      </c>
      <c r="G1975" t="s">
        <v>1770</v>
      </c>
    </row>
    <row r="1976" spans="1:7">
      <c r="A1976" s="618" t="s">
        <v>386</v>
      </c>
      <c r="B1976" s="43" t="s">
        <v>1774</v>
      </c>
      <c r="C1976" s="56">
        <v>45967</v>
      </c>
      <c r="E1976" s="321">
        <v>5200</v>
      </c>
      <c r="F1976" s="43" t="s">
        <v>1789</v>
      </c>
      <c r="G1976" t="s">
        <v>1770</v>
      </c>
    </row>
    <row r="1977" spans="1:7">
      <c r="A1977" s="43" t="s">
        <v>243</v>
      </c>
      <c r="B1977" s="141" t="s">
        <v>1769</v>
      </c>
      <c r="C1977" s="56">
        <v>45967</v>
      </c>
      <c r="F1977" s="387" t="s">
        <v>1790</v>
      </c>
      <c r="G1977" t="s">
        <v>1770</v>
      </c>
    </row>
    <row r="1978" spans="1:7">
      <c r="A1978" s="148" t="s">
        <v>369</v>
      </c>
      <c r="B1978" s="43" t="s">
        <v>236</v>
      </c>
      <c r="C1978" s="56">
        <v>45967</v>
      </c>
      <c r="D1978" s="43">
        <v>209</v>
      </c>
      <c r="G1978" t="s">
        <v>1770</v>
      </c>
    </row>
    <row r="1979" spans="1:7">
      <c r="A1979" s="618" t="s">
        <v>385</v>
      </c>
      <c r="B1979" s="757" t="s">
        <v>1695</v>
      </c>
      <c r="C1979" s="56">
        <v>45967</v>
      </c>
      <c r="D1979" s="155">
        <v>1063</v>
      </c>
      <c r="G1979" t="s">
        <v>1770</v>
      </c>
    </row>
    <row r="1980" spans="1:7">
      <c r="A1980" s="733" t="s">
        <v>446</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435</v>
      </c>
      <c r="B1984" s="141" t="s">
        <v>1779</v>
      </c>
      <c r="C1984" s="56">
        <v>45968</v>
      </c>
      <c r="G1984" t="s">
        <v>1770</v>
      </c>
    </row>
    <row r="1985" spans="1:7">
      <c r="A1985" s="141" t="s">
        <v>385</v>
      </c>
      <c r="B1985" s="304" t="s">
        <v>1036</v>
      </c>
      <c r="C1985" s="56">
        <v>45968</v>
      </c>
      <c r="D1985" s="43">
        <v>350</v>
      </c>
      <c r="G1985" t="s">
        <v>1770</v>
      </c>
    </row>
    <row r="1986" spans="1:7">
      <c r="A1986" s="141" t="s">
        <v>385</v>
      </c>
      <c r="B1986" s="757" t="s">
        <v>1695</v>
      </c>
      <c r="C1986" s="56">
        <v>45968</v>
      </c>
      <c r="D1986" s="43">
        <v>913</v>
      </c>
      <c r="F1986" s="43" t="s">
        <v>1197</v>
      </c>
      <c r="G1986" t="s">
        <v>1770</v>
      </c>
    </row>
    <row r="1987" spans="1:7">
      <c r="A1987" s="43" t="s">
        <v>243</v>
      </c>
      <c r="B1987" s="141" t="s">
        <v>1769</v>
      </c>
      <c r="C1987" s="56">
        <v>45968</v>
      </c>
      <c r="F1987" s="387" t="s">
        <v>1790</v>
      </c>
      <c r="G1987" t="s">
        <v>1770</v>
      </c>
    </row>
    <row r="1988" spans="1:7">
      <c r="A1988" s="247" t="s">
        <v>374</v>
      </c>
      <c r="B1988" s="757" t="s">
        <v>1695</v>
      </c>
      <c r="C1988" s="56">
        <v>45968</v>
      </c>
      <c r="F1988" s="311" t="s">
        <v>1420</v>
      </c>
      <c r="G1988" t="s">
        <v>1770</v>
      </c>
    </row>
    <row r="1989" spans="1:7">
      <c r="A1989" s="247" t="s">
        <v>383</v>
      </c>
      <c r="B1989" s="43" t="s">
        <v>236</v>
      </c>
      <c r="C1989" s="56">
        <v>45968</v>
      </c>
      <c r="D1989" s="43">
        <v>569</v>
      </c>
      <c r="G1989" t="s">
        <v>1770</v>
      </c>
    </row>
    <row r="1990" spans="1:7">
      <c r="A1990" s="247" t="s">
        <v>473</v>
      </c>
      <c r="B1990" s="43" t="s">
        <v>131</v>
      </c>
      <c r="C1990" s="56">
        <v>45968</v>
      </c>
      <c r="D1990" s="155">
        <v>2948</v>
      </c>
      <c r="G1990" t="s">
        <v>1770</v>
      </c>
    </row>
    <row r="1991" spans="1:7">
      <c r="A1991" s="954" t="s">
        <v>520</v>
      </c>
      <c r="B1991" s="346" t="s">
        <v>1722</v>
      </c>
      <c r="C1991" s="56">
        <v>45971</v>
      </c>
      <c r="D1991" s="155">
        <v>560</v>
      </c>
      <c r="G1991" t="s">
        <v>1770</v>
      </c>
    </row>
    <row r="1992" spans="1:7">
      <c r="A1992" s="311" t="s">
        <v>435</v>
      </c>
      <c r="B1992" s="311" t="s">
        <v>1036</v>
      </c>
      <c r="C1992" s="56">
        <v>45971</v>
      </c>
      <c r="D1992" s="43">
        <v>558</v>
      </c>
      <c r="G1992" t="s">
        <v>1770</v>
      </c>
    </row>
    <row r="1993" spans="1:7">
      <c r="A1993" s="311" t="s">
        <v>435</v>
      </c>
      <c r="B1993" s="311" t="s">
        <v>439</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369</v>
      </c>
      <c r="B1998" s="803" t="s">
        <v>236</v>
      </c>
      <c r="C1998" s="56">
        <v>45971</v>
      </c>
      <c r="D1998" s="43">
        <v>96</v>
      </c>
      <c r="G1998" t="s">
        <v>1770</v>
      </c>
    </row>
    <row r="1999" spans="1:7">
      <c r="A1999" s="304" t="s">
        <v>243</v>
      </c>
      <c r="B1999" s="349" t="s">
        <v>1769</v>
      </c>
      <c r="C1999" s="56">
        <v>45971</v>
      </c>
      <c r="D1999" s="43">
        <v>562</v>
      </c>
      <c r="G1999" t="s">
        <v>1770</v>
      </c>
    </row>
    <row r="2000" spans="1:7">
      <c r="A2000" s="141" t="s">
        <v>371</v>
      </c>
      <c r="B2000" s="803" t="s">
        <v>236</v>
      </c>
      <c r="C2000" s="56">
        <v>45971</v>
      </c>
      <c r="D2000" s="43">
        <v>435</v>
      </c>
      <c r="F2000" s="43" t="s">
        <v>1794</v>
      </c>
      <c r="G2000" t="s">
        <v>1770</v>
      </c>
    </row>
    <row r="2001" spans="1:7">
      <c r="A2001" s="1014" t="s">
        <v>473</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215</v>
      </c>
      <c r="C2003" s="56">
        <v>45972</v>
      </c>
      <c r="D2003" s="155">
        <v>1062</v>
      </c>
      <c r="F2003" s="43" t="s">
        <v>1796</v>
      </c>
      <c r="G2003" t="s">
        <v>1770</v>
      </c>
    </row>
    <row r="2004" spans="1:7">
      <c r="A2004" s="141" t="s">
        <v>376</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435</v>
      </c>
      <c r="B2007" s="43" t="s">
        <v>1475</v>
      </c>
      <c r="C2007" s="56">
        <v>45973</v>
      </c>
      <c r="F2007" s="311" t="s">
        <v>1482</v>
      </c>
      <c r="G2007" t="s">
        <v>1770</v>
      </c>
    </row>
    <row r="2008" spans="1:7">
      <c r="A2008" s="43" t="s">
        <v>416</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439</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226</v>
      </c>
      <c r="B2013" s="43" t="s">
        <v>1475</v>
      </c>
      <c r="C2013" s="56">
        <v>45973</v>
      </c>
      <c r="D2013" s="43">
        <v>711</v>
      </c>
      <c r="F2013" s="43" t="s">
        <v>1163</v>
      </c>
      <c r="G2013" t="s">
        <v>1770</v>
      </c>
    </row>
    <row r="2014" spans="1:7">
      <c r="A2014" s="148" t="s">
        <v>374</v>
      </c>
      <c r="B2014" s="43" t="s">
        <v>1695</v>
      </c>
      <c r="C2014" s="56">
        <v>45973</v>
      </c>
      <c r="F2014" s="311" t="s">
        <v>1801</v>
      </c>
      <c r="G2014" t="s">
        <v>1770</v>
      </c>
    </row>
    <row r="2015" spans="1:7">
      <c r="A2015" s="618" t="s">
        <v>400</v>
      </c>
      <c r="B2015" s="43" t="s">
        <v>1695</v>
      </c>
      <c r="C2015" s="56">
        <v>45973</v>
      </c>
      <c r="D2015" s="155">
        <v>1486</v>
      </c>
      <c r="F2015" s="43" t="s">
        <v>1802</v>
      </c>
      <c r="G2015" t="s">
        <v>1770</v>
      </c>
    </row>
    <row r="2016" spans="1:7">
      <c r="A2016" s="618" t="s">
        <v>243</v>
      </c>
      <c r="B2016" s="43" t="s">
        <v>1763</v>
      </c>
      <c r="C2016" s="56">
        <v>45973</v>
      </c>
      <c r="D2016" s="43">
        <v>474</v>
      </c>
      <c r="G2016" t="s">
        <v>1770</v>
      </c>
    </row>
    <row r="2017" spans="1:7">
      <c r="A2017" s="43" t="s">
        <v>473</v>
      </c>
      <c r="B2017" s="43" t="s">
        <v>131</v>
      </c>
      <c r="C2017" s="56">
        <v>45973</v>
      </c>
      <c r="D2017" s="43">
        <v>242</v>
      </c>
      <c r="G2017" t="s">
        <v>1770</v>
      </c>
    </row>
    <row r="2018" spans="1:7">
      <c r="A2018" s="43" t="s">
        <v>465</v>
      </c>
      <c r="B2018" s="43" t="s">
        <v>131</v>
      </c>
      <c r="C2018" s="56">
        <v>45973</v>
      </c>
      <c r="D2018" s="155">
        <v>1264</v>
      </c>
      <c r="G2018" t="s">
        <v>1770</v>
      </c>
    </row>
    <row r="2019" spans="1:7">
      <c r="A2019" s="43" t="s">
        <v>478</v>
      </c>
      <c r="B2019" s="43" t="s">
        <v>131</v>
      </c>
      <c r="C2019" s="56">
        <v>45973</v>
      </c>
      <c r="D2019" s="155">
        <v>3678</v>
      </c>
      <c r="G2019" t="s">
        <v>1770</v>
      </c>
    </row>
    <row r="2020" spans="1:7">
      <c r="A2020" s="43" t="s">
        <v>435</v>
      </c>
      <c r="B2020" s="43" t="s">
        <v>1475</v>
      </c>
      <c r="C2020" s="56">
        <v>45974</v>
      </c>
      <c r="F2020" s="43" t="s">
        <v>1543</v>
      </c>
      <c r="G2020" t="s">
        <v>1770</v>
      </c>
    </row>
    <row r="2021" spans="1:7">
      <c r="A2021" s="43" t="s">
        <v>416</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226</v>
      </c>
      <c r="B2023" s="43" t="s">
        <v>1475</v>
      </c>
      <c r="C2023" s="56">
        <v>45974</v>
      </c>
      <c r="D2023" s="43">
        <v>325</v>
      </c>
      <c r="G2023" t="s">
        <v>1770</v>
      </c>
    </row>
    <row r="2024" spans="1:7">
      <c r="A2024" s="43" t="s">
        <v>226</v>
      </c>
      <c r="B2024" s="43" t="s">
        <v>1475</v>
      </c>
      <c r="C2024" s="56">
        <v>45974</v>
      </c>
      <c r="F2024" s="43" t="s">
        <v>1197</v>
      </c>
      <c r="G2024" t="s">
        <v>1770</v>
      </c>
    </row>
    <row r="2025" spans="1:7">
      <c r="A2025" s="148" t="s">
        <v>243</v>
      </c>
      <c r="B2025" s="43" t="s">
        <v>1805</v>
      </c>
      <c r="C2025" s="56">
        <v>45974</v>
      </c>
      <c r="D2025" s="43">
        <v>606</v>
      </c>
      <c r="G2025" t="s">
        <v>1770</v>
      </c>
    </row>
    <row r="2026" spans="1:7">
      <c r="A2026" s="1064" t="s">
        <v>371</v>
      </c>
      <c r="B2026" s="1065" t="s">
        <v>236</v>
      </c>
      <c r="C2026" s="56">
        <v>45974</v>
      </c>
      <c r="D2026" s="155">
        <v>1123</v>
      </c>
      <c r="F2026" s="43" t="s">
        <v>1806</v>
      </c>
      <c r="G2026" t="s">
        <v>1770</v>
      </c>
    </row>
    <row r="2027" spans="1:7">
      <c r="A2027" s="618" t="s">
        <v>400</v>
      </c>
      <c r="B2027" s="43" t="s">
        <v>1695</v>
      </c>
      <c r="C2027" s="56">
        <v>45974</v>
      </c>
      <c r="D2027" s="155">
        <v>2912</v>
      </c>
      <c r="G2027" t="s">
        <v>1770</v>
      </c>
    </row>
    <row r="2028" spans="1:7">
      <c r="A2028" s="618" t="s">
        <v>360</v>
      </c>
      <c r="B2028" s="43" t="s">
        <v>1475</v>
      </c>
      <c r="C2028" s="56">
        <v>45974</v>
      </c>
      <c r="F2028" s="43" t="s">
        <v>1197</v>
      </c>
      <c r="G2028" t="s">
        <v>1770</v>
      </c>
    </row>
    <row r="2029" spans="1:7">
      <c r="A2029" s="43" t="s">
        <v>478</v>
      </c>
      <c r="B2029" s="43" t="s">
        <v>131</v>
      </c>
      <c r="C2029" s="56">
        <v>45974</v>
      </c>
      <c r="D2029" s="155">
        <v>3382</v>
      </c>
      <c r="G2029" t="s">
        <v>1770</v>
      </c>
    </row>
    <row r="2030" spans="1:7">
      <c r="A2030" s="43" t="s">
        <v>465</v>
      </c>
      <c r="B2030" s="43" t="s">
        <v>131</v>
      </c>
      <c r="C2030" s="56">
        <v>45974</v>
      </c>
      <c r="D2030" s="155">
        <v>1281</v>
      </c>
      <c r="G2030" t="s">
        <v>1770</v>
      </c>
    </row>
    <row r="2031" spans="1:7">
      <c r="A2031" s="247" t="s">
        <v>501</v>
      </c>
      <c r="B2031" s="43" t="s">
        <v>131</v>
      </c>
      <c r="C2031" s="56">
        <v>45974</v>
      </c>
      <c r="D2031" s="43">
        <v>424</v>
      </c>
      <c r="G2031" t="s">
        <v>1770</v>
      </c>
    </row>
    <row r="2032" spans="1:7">
      <c r="A2032" s="247" t="s">
        <v>480</v>
      </c>
      <c r="B2032" s="43" t="s">
        <v>131</v>
      </c>
      <c r="C2032" s="56">
        <v>45974</v>
      </c>
      <c r="D2032" s="43">
        <v>598</v>
      </c>
      <c r="G2032" t="s">
        <v>1770</v>
      </c>
    </row>
    <row r="2033" spans="1:7">
      <c r="A2033" s="141" t="s">
        <v>435</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215</v>
      </c>
      <c r="C2035" s="56">
        <v>45975</v>
      </c>
      <c r="D2035" s="43">
        <v>1505</v>
      </c>
      <c r="E2035" s="253"/>
      <c r="F2035" s="169" t="s">
        <v>1808</v>
      </c>
      <c r="G2035" t="s">
        <v>1770</v>
      </c>
    </row>
    <row r="2036" spans="1:7">
      <c r="A2036" s="141" t="s">
        <v>226</v>
      </c>
      <c r="B2036" s="141" t="s">
        <v>1475</v>
      </c>
      <c r="C2036" s="56">
        <v>45975</v>
      </c>
      <c r="D2036" s="43">
        <v>430</v>
      </c>
      <c r="G2036" t="s">
        <v>1770</v>
      </c>
    </row>
    <row r="2037" spans="1:7">
      <c r="A2037" s="305" t="s">
        <v>243</v>
      </c>
      <c r="B2037" s="304" t="s">
        <v>1805</v>
      </c>
      <c r="C2037" s="56">
        <v>45975</v>
      </c>
      <c r="D2037" s="43">
        <v>322</v>
      </c>
      <c r="G2037" t="s">
        <v>1770</v>
      </c>
    </row>
    <row r="2038" spans="1:7">
      <c r="A2038" s="311" t="s">
        <v>400</v>
      </c>
      <c r="B2038" s="315" t="s">
        <v>1695</v>
      </c>
      <c r="C2038" s="56">
        <v>45975</v>
      </c>
      <c r="D2038" s="155">
        <v>2125</v>
      </c>
      <c r="G2038" t="s">
        <v>1770</v>
      </c>
    </row>
    <row r="2039" spans="1:7">
      <c r="A2039" s="141" t="s">
        <v>435</v>
      </c>
      <c r="B2039" s="141" t="s">
        <v>1475</v>
      </c>
      <c r="C2039" s="56">
        <v>45978</v>
      </c>
      <c r="D2039" s="43">
        <v>127</v>
      </c>
      <c r="G2039" t="s">
        <v>1770</v>
      </c>
    </row>
    <row r="2040" spans="1:7">
      <c r="A2040" s="141" t="s">
        <v>435</v>
      </c>
      <c r="B2040" s="141" t="s">
        <v>1475</v>
      </c>
      <c r="C2040" s="56">
        <v>45978</v>
      </c>
      <c r="E2040" s="139">
        <v>300</v>
      </c>
      <c r="F2040" s="43" t="s">
        <v>1809</v>
      </c>
      <c r="G2040" t="s">
        <v>1770</v>
      </c>
    </row>
    <row r="2041" spans="1:7">
      <c r="A2041" s="304" t="s">
        <v>1095</v>
      </c>
      <c r="B2041" s="304" t="s">
        <v>439</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215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288</v>
      </c>
      <c r="B2046" s="318" t="s">
        <v>1036</v>
      </c>
      <c r="C2046" s="56">
        <v>45978</v>
      </c>
      <c r="D2046" s="43">
        <v>176</v>
      </c>
      <c r="G2046" t="s">
        <v>1770</v>
      </c>
    </row>
    <row r="2047" spans="1:7">
      <c r="A2047" s="141" t="s">
        <v>288</v>
      </c>
      <c r="B2047" s="349" t="s">
        <v>1036</v>
      </c>
      <c r="C2047" s="56">
        <v>45978</v>
      </c>
      <c r="D2047" s="43">
        <v>270</v>
      </c>
      <c r="G2047" t="s">
        <v>1770</v>
      </c>
    </row>
    <row r="2048" spans="1:7">
      <c r="A2048" s="141" t="s">
        <v>243</v>
      </c>
      <c r="B2048" s="349" t="s">
        <v>1805</v>
      </c>
      <c r="C2048" s="56">
        <v>45978</v>
      </c>
      <c r="D2048" s="43">
        <v>420</v>
      </c>
      <c r="G2048" t="s">
        <v>1770</v>
      </c>
    </row>
    <row r="2049" spans="1:7">
      <c r="A2049" s="304" t="s">
        <v>400</v>
      </c>
      <c r="B2049" s="304" t="s">
        <v>1695</v>
      </c>
      <c r="C2049" s="56">
        <v>45978</v>
      </c>
      <c r="D2049" s="155">
        <v>1449</v>
      </c>
      <c r="G2049" t="s">
        <v>1770</v>
      </c>
    </row>
    <row r="2050" spans="1:7">
      <c r="A2050" s="141" t="s">
        <v>475</v>
      </c>
      <c r="B2050" s="141" t="s">
        <v>131</v>
      </c>
      <c r="C2050" s="56">
        <v>45978</v>
      </c>
      <c r="D2050" s="155">
        <v>5466</v>
      </c>
      <c r="G2050" t="s">
        <v>1770</v>
      </c>
    </row>
    <row r="2051" spans="1:7">
      <c r="A2051" s="304" t="s">
        <v>465</v>
      </c>
      <c r="B2051" s="304" t="s">
        <v>131</v>
      </c>
      <c r="C2051" s="56">
        <v>45978</v>
      </c>
      <c r="D2051" s="155">
        <v>1662</v>
      </c>
      <c r="G2051" t="s">
        <v>1770</v>
      </c>
    </row>
    <row r="2052" spans="1:7">
      <c r="A2052" s="304" t="s">
        <v>480</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439</v>
      </c>
      <c r="C2056" s="56">
        <v>45979</v>
      </c>
      <c r="D2056" s="155">
        <v>1518</v>
      </c>
      <c r="G2056" t="s">
        <v>1770</v>
      </c>
    </row>
    <row r="2057" spans="1:7">
      <c r="A2057" s="43" t="s">
        <v>419</v>
      </c>
      <c r="B2057" s="43" t="s">
        <v>131</v>
      </c>
      <c r="C2057" s="56">
        <v>45979</v>
      </c>
      <c r="D2057" s="155">
        <v>1679</v>
      </c>
      <c r="F2057" s="43" t="s">
        <v>1812</v>
      </c>
      <c r="G2057" t="s">
        <v>1770</v>
      </c>
    </row>
    <row r="2058" spans="1:7">
      <c r="A2058" s="43" t="s">
        <v>1094</v>
      </c>
      <c r="B2058" s="43" t="s">
        <v>215</v>
      </c>
      <c r="C2058" s="56">
        <v>45979</v>
      </c>
      <c r="F2058" s="43" t="s">
        <v>1813</v>
      </c>
      <c r="G2058" t="s">
        <v>1770</v>
      </c>
    </row>
    <row r="2059" spans="1:7">
      <c r="A2059" t="s">
        <v>580</v>
      </c>
      <c r="B2059" s="43" t="s">
        <v>131</v>
      </c>
      <c r="C2059" s="56">
        <v>45979</v>
      </c>
      <c r="D2059" s="155">
        <v>1530</v>
      </c>
      <c r="F2059" s="43" t="s">
        <v>1814</v>
      </c>
      <c r="G2059" t="s">
        <v>1770</v>
      </c>
    </row>
    <row r="2060" spans="1:7">
      <c r="A2060" s="733" t="s">
        <v>366</v>
      </c>
      <c r="B2060" s="318" t="s">
        <v>1036</v>
      </c>
      <c r="C2060" s="56">
        <v>45979</v>
      </c>
      <c r="D2060" s="43">
        <v>136</v>
      </c>
      <c r="F2060" s="69"/>
      <c r="G2060" t="s">
        <v>1770</v>
      </c>
    </row>
    <row r="2061" spans="1:7">
      <c r="A2061" s="69" t="s">
        <v>288</v>
      </c>
      <c r="B2061" s="43" t="s">
        <v>1475</v>
      </c>
      <c r="C2061" s="56">
        <v>45979</v>
      </c>
      <c r="D2061" s="43">
        <v>120</v>
      </c>
      <c r="F2061" s="69"/>
      <c r="G2061" t="s">
        <v>1770</v>
      </c>
    </row>
    <row r="2062" spans="1:7">
      <c r="A2062" s="618" t="s">
        <v>371</v>
      </c>
      <c r="B2062" s="655" t="s">
        <v>236</v>
      </c>
      <c r="C2062" s="56">
        <v>45979</v>
      </c>
      <c r="D2062" s="155">
        <v>1917</v>
      </c>
      <c r="F2062" s="69"/>
      <c r="G2062" t="s">
        <v>1770</v>
      </c>
    </row>
    <row r="2063" spans="1:7">
      <c r="A2063" s="43" t="s">
        <v>401</v>
      </c>
      <c r="B2063" s="43" t="s">
        <v>1695</v>
      </c>
      <c r="C2063" s="56">
        <v>45979</v>
      </c>
      <c r="D2063" s="155">
        <v>2351</v>
      </c>
      <c r="F2063" s="69"/>
      <c r="G2063" t="s">
        <v>1770</v>
      </c>
    </row>
    <row r="2064" spans="1:7">
      <c r="A2064" s="69" t="s">
        <v>465</v>
      </c>
      <c r="B2064" s="43" t="s">
        <v>131</v>
      </c>
      <c r="C2064" s="56">
        <v>45979</v>
      </c>
      <c r="D2064" s="155">
        <v>2684</v>
      </c>
      <c r="F2064" s="69"/>
      <c r="G2064" t="s">
        <v>1770</v>
      </c>
    </row>
    <row r="2065" spans="1:7">
      <c r="A2065" s="148" t="s">
        <v>480</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439</v>
      </c>
      <c r="C2068" s="56">
        <v>45980</v>
      </c>
      <c r="D2068" s="155">
        <v>1968</v>
      </c>
      <c r="E2068" s="201"/>
      <c r="F2068" s="148" t="s">
        <v>1817</v>
      </c>
      <c r="G2068" t="s">
        <v>1770</v>
      </c>
    </row>
    <row r="2069" spans="1:7">
      <c r="A2069" s="304" t="s">
        <v>419</v>
      </c>
      <c r="B2069" s="304" t="s">
        <v>131</v>
      </c>
      <c r="C2069" s="56">
        <v>45980</v>
      </c>
      <c r="D2069" s="321">
        <v>1429</v>
      </c>
      <c r="E2069" s="43"/>
      <c r="F2069" s="69" t="s">
        <v>1818</v>
      </c>
      <c r="G2069" t="s">
        <v>1770</v>
      </c>
    </row>
    <row r="2070" spans="1:7">
      <c r="A2070" s="305" t="s">
        <v>1094</v>
      </c>
      <c r="B2070" s="304" t="s">
        <v>215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366</v>
      </c>
      <c r="B2072" s="318" t="s">
        <v>1036</v>
      </c>
      <c r="C2072" s="56">
        <v>45980</v>
      </c>
      <c r="D2072" s="43">
        <v>170</v>
      </c>
      <c r="F2072" s="69"/>
      <c r="G2072" t="s">
        <v>1770</v>
      </c>
    </row>
    <row r="2073" spans="1:7">
      <c r="A2073" s="141" t="s">
        <v>288</v>
      </c>
      <c r="B2073" s="304" t="s">
        <v>1475</v>
      </c>
      <c r="C2073" s="56">
        <v>45980</v>
      </c>
      <c r="D2073" s="43">
        <v>550</v>
      </c>
      <c r="F2073" s="69"/>
      <c r="G2073" t="s">
        <v>1770</v>
      </c>
    </row>
    <row r="2074" spans="1:7">
      <c r="A2074" s="304" t="s">
        <v>401</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439</v>
      </c>
      <c r="C2078" s="56">
        <v>45981</v>
      </c>
      <c r="D2078" s="43">
        <v>345</v>
      </c>
      <c r="F2078" s="69" t="s">
        <v>1822</v>
      </c>
      <c r="G2078" t="s">
        <v>1770</v>
      </c>
    </row>
    <row r="2079" spans="1:7">
      <c r="A2079" s="304" t="s">
        <v>419</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226</v>
      </c>
      <c r="B2081" s="318" t="s">
        <v>1036</v>
      </c>
      <c r="C2081" s="56">
        <v>45981</v>
      </c>
      <c r="D2081" s="43">
        <v>195</v>
      </c>
      <c r="F2081" s="69" t="s">
        <v>1824</v>
      </c>
      <c r="G2081" t="s">
        <v>1770</v>
      </c>
    </row>
    <row r="2082" spans="1:7">
      <c r="A2082" s="141" t="s">
        <v>288</v>
      </c>
      <c r="B2082" s="304" t="s">
        <v>1475</v>
      </c>
      <c r="C2082" s="56">
        <v>45981</v>
      </c>
      <c r="F2082" s="69" t="s">
        <v>1825</v>
      </c>
      <c r="G2082" t="s">
        <v>1770</v>
      </c>
    </row>
    <row r="2083" spans="1:7">
      <c r="A2083" s="304" t="s">
        <v>371</v>
      </c>
      <c r="B2083" s="1005" t="s">
        <v>236</v>
      </c>
      <c r="C2083" s="56">
        <v>45981</v>
      </c>
      <c r="D2083" s="43">
        <v>272</v>
      </c>
      <c r="F2083" s="69"/>
      <c r="G2083" t="s">
        <v>1770</v>
      </c>
    </row>
    <row r="2084" spans="1:7">
      <c r="A2084" s="43" t="s">
        <v>400</v>
      </c>
      <c r="B2084" s="43" t="s">
        <v>1695</v>
      </c>
      <c r="C2084" s="56">
        <v>45982</v>
      </c>
      <c r="E2084" s="253"/>
      <c r="F2084" s="311" t="s">
        <v>1826</v>
      </c>
      <c r="G2084" t="s">
        <v>1770</v>
      </c>
    </row>
    <row r="2085" spans="1:7">
      <c r="A2085" s="304" t="s">
        <v>401</v>
      </c>
      <c r="B2085" s="304" t="s">
        <v>1695</v>
      </c>
      <c r="C2085" s="56">
        <v>45981</v>
      </c>
      <c r="D2085" s="155">
        <v>2139</v>
      </c>
      <c r="F2085" s="69"/>
      <c r="G2085" t="s">
        <v>1770</v>
      </c>
    </row>
    <row r="2086" spans="1:7">
      <c r="A2086" s="348" t="s">
        <v>475</v>
      </c>
      <c r="B2086" s="357" t="s">
        <v>131</v>
      </c>
      <c r="C2086" s="56">
        <v>45981</v>
      </c>
      <c r="D2086" s="155">
        <v>2252</v>
      </c>
      <c r="F2086" s="69"/>
      <c r="G2086" t="s">
        <v>1770</v>
      </c>
    </row>
    <row r="2087" spans="1:7">
      <c r="A2087" s="318" t="s">
        <v>480</v>
      </c>
      <c r="B2087" s="387" t="s">
        <v>131</v>
      </c>
      <c r="C2087" s="56">
        <v>45981</v>
      </c>
      <c r="D2087" s="1085">
        <v>1027</v>
      </c>
      <c r="F2087" s="69"/>
      <c r="G2087" t="s">
        <v>1770</v>
      </c>
    </row>
    <row r="2088" spans="1:7">
      <c r="A2088" s="348" t="s">
        <v>483</v>
      </c>
      <c r="B2088" s="357" t="s">
        <v>131</v>
      </c>
      <c r="C2088" s="56">
        <v>45981</v>
      </c>
      <c r="D2088" s="155">
        <v>1420</v>
      </c>
      <c r="F2088" s="69"/>
      <c r="G2088" t="s">
        <v>1770</v>
      </c>
    </row>
    <row r="2089" spans="1:7">
      <c r="A2089" s="318" t="s">
        <v>486</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439</v>
      </c>
      <c r="C2093" s="56">
        <v>45982</v>
      </c>
      <c r="D2093" s="43">
        <v>375</v>
      </c>
      <c r="E2093" s="201"/>
      <c r="F2093" s="148"/>
      <c r="G2093" t="s">
        <v>1770</v>
      </c>
    </row>
    <row r="2094" spans="1:7">
      <c r="A2094" s="306" t="s">
        <v>366</v>
      </c>
      <c r="B2094" s="318" t="s">
        <v>1036</v>
      </c>
      <c r="C2094" s="56">
        <v>45982</v>
      </c>
      <c r="D2094" s="139">
        <v>15</v>
      </c>
      <c r="E2094" s="155">
        <v>1159</v>
      </c>
      <c r="F2094" s="1084" t="s">
        <v>1828</v>
      </c>
      <c r="G2094" t="s">
        <v>1770</v>
      </c>
    </row>
    <row r="2095" spans="1:7">
      <c r="A2095" s="43" t="s">
        <v>401</v>
      </c>
      <c r="B2095" s="43" t="s">
        <v>1695</v>
      </c>
      <c r="C2095" s="56">
        <v>45982</v>
      </c>
      <c r="D2095" s="43">
        <v>789</v>
      </c>
      <c r="E2095" s="253"/>
      <c r="F2095" s="91" t="s">
        <v>1829</v>
      </c>
      <c r="G2095" t="s">
        <v>1770</v>
      </c>
    </row>
    <row r="2096" spans="1:7">
      <c r="A2096" s="43" t="s">
        <v>403</v>
      </c>
      <c r="B2096" s="43" t="s">
        <v>1695</v>
      </c>
      <c r="C2096" s="56">
        <v>45982</v>
      </c>
      <c r="D2096" s="155">
        <v>1281</v>
      </c>
      <c r="E2096" s="253"/>
      <c r="F2096" s="91" t="s">
        <v>1830</v>
      </c>
      <c r="G2096" t="s">
        <v>1770</v>
      </c>
    </row>
    <row r="2097" spans="1:7">
      <c r="A2097" s="334" t="s">
        <v>465</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480</v>
      </c>
      <c r="B2099" s="173" t="s">
        <v>131</v>
      </c>
      <c r="C2099" s="56">
        <v>45982</v>
      </c>
      <c r="D2099" s="43">
        <v>490</v>
      </c>
      <c r="F2099" s="69"/>
      <c r="G2099" t="s">
        <v>1770</v>
      </c>
    </row>
    <row r="2100" spans="1:7">
      <c r="A2100" s="404" t="s">
        <v>483</v>
      </c>
      <c r="B2100" s="173" t="s">
        <v>131</v>
      </c>
      <c r="C2100" s="56">
        <v>45982</v>
      </c>
      <c r="D2100" s="155">
        <v>3043</v>
      </c>
      <c r="F2100" s="69"/>
      <c r="G2100" t="s">
        <v>1770</v>
      </c>
    </row>
    <row r="2101" spans="1:7">
      <c r="A2101" s="404" t="s">
        <v>486</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439</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419</v>
      </c>
      <c r="B2113" s="1095" t="s">
        <v>131</v>
      </c>
      <c r="C2113" s="56">
        <v>45985</v>
      </c>
      <c r="D2113" s="43">
        <v>572</v>
      </c>
      <c r="F2113" s="69" t="s">
        <v>1835</v>
      </c>
      <c r="G2113" t="s">
        <v>1770</v>
      </c>
    </row>
    <row r="2114" spans="1:7">
      <c r="A2114" s="169" t="s">
        <v>425</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416</v>
      </c>
      <c r="B2116" s="43" t="s">
        <v>1036</v>
      </c>
      <c r="C2116" s="56">
        <v>45985</v>
      </c>
      <c r="D2116" s="139"/>
      <c r="E2116" s="43">
        <v>719</v>
      </c>
      <c r="F2116" s="69"/>
      <c r="G2116" t="s">
        <v>1770</v>
      </c>
    </row>
    <row r="2117" spans="1:7">
      <c r="A2117" s="306" t="s">
        <v>371</v>
      </c>
      <c r="B2117" s="318" t="s">
        <v>236</v>
      </c>
      <c r="C2117" s="56">
        <v>45985</v>
      </c>
      <c r="D2117" s="139">
        <v>900</v>
      </c>
      <c r="E2117" s="43"/>
      <c r="F2117" s="69" t="s">
        <v>1836</v>
      </c>
      <c r="G2117" t="s">
        <v>1770</v>
      </c>
    </row>
    <row r="2118" spans="1:7">
      <c r="A2118" s="432" t="s">
        <v>386</v>
      </c>
      <c r="B2118" s="371" t="s">
        <v>1695</v>
      </c>
      <c r="C2118" s="56">
        <v>45985</v>
      </c>
      <c r="D2118" s="139"/>
      <c r="E2118" s="43"/>
      <c r="F2118" s="1094" t="s">
        <v>1837</v>
      </c>
      <c r="G2118" t="s">
        <v>1770</v>
      </c>
    </row>
    <row r="2119" spans="1:7">
      <c r="A2119" s="430" t="s">
        <v>385</v>
      </c>
      <c r="B2119" s="247" t="s">
        <v>1695</v>
      </c>
      <c r="C2119" s="56">
        <v>45985</v>
      </c>
      <c r="D2119" s="139"/>
      <c r="E2119" s="43"/>
      <c r="F2119" s="1094" t="s">
        <v>1838</v>
      </c>
      <c r="G2119" t="s">
        <v>1770</v>
      </c>
    </row>
    <row r="2120" spans="1:7">
      <c r="A2120" s="43" t="s">
        <v>374</v>
      </c>
      <c r="B2120" s="247" t="s">
        <v>1695</v>
      </c>
      <c r="C2120" s="56">
        <v>45985</v>
      </c>
      <c r="D2120" s="139"/>
      <c r="E2120" s="43"/>
      <c r="F2120" s="1094" t="s">
        <v>1839</v>
      </c>
      <c r="G2120" t="s">
        <v>1770</v>
      </c>
    </row>
    <row r="2121" spans="1:7">
      <c r="A2121" s="43" t="s">
        <v>397</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425</v>
      </c>
      <c r="B2126" s="806" t="s">
        <v>1036</v>
      </c>
      <c r="C2126" s="56">
        <v>45986</v>
      </c>
      <c r="D2126" s="43">
        <v>357</v>
      </c>
      <c r="F2126" s="43" t="s">
        <v>1163</v>
      </c>
      <c r="G2126" t="s">
        <v>1770</v>
      </c>
    </row>
    <row r="2127" spans="1:7">
      <c r="A2127" s="43" t="s">
        <v>1095</v>
      </c>
      <c r="B2127" s="43" t="s">
        <v>439</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215</v>
      </c>
      <c r="C2130" s="56">
        <v>45986</v>
      </c>
      <c r="D2130" s="43">
        <v>486</v>
      </c>
      <c r="E2130" s="201"/>
      <c r="F2130" s="115"/>
      <c r="G2130" t="s">
        <v>1770</v>
      </c>
    </row>
    <row r="2131" spans="1:7">
      <c r="A2131" s="432" t="s">
        <v>386</v>
      </c>
      <c r="B2131" s="371" t="s">
        <v>1695</v>
      </c>
      <c r="C2131" s="56">
        <v>45986</v>
      </c>
      <c r="D2131" s="139"/>
      <c r="E2131" s="43"/>
      <c r="F2131" s="757" t="s">
        <v>1843</v>
      </c>
      <c r="G2131" t="s">
        <v>1770</v>
      </c>
    </row>
    <row r="2132" spans="1:7">
      <c r="A2132" s="430" t="s">
        <v>385</v>
      </c>
      <c r="B2132" s="247" t="s">
        <v>1695</v>
      </c>
      <c r="C2132" s="56">
        <v>45986</v>
      </c>
      <c r="D2132" s="139"/>
      <c r="E2132" s="43"/>
      <c r="F2132" s="757" t="s">
        <v>1843</v>
      </c>
      <c r="G2132" t="s">
        <v>1770</v>
      </c>
    </row>
    <row r="2133" spans="1:7">
      <c r="A2133" s="43" t="s">
        <v>374</v>
      </c>
      <c r="B2133" s="247" t="s">
        <v>1695</v>
      </c>
      <c r="C2133" s="56">
        <v>45986</v>
      </c>
      <c r="D2133" s="139"/>
      <c r="E2133" s="43"/>
      <c r="F2133" s="757" t="s">
        <v>1843</v>
      </c>
      <c r="G2133" t="s">
        <v>1770</v>
      </c>
    </row>
    <row r="2134" spans="1:7">
      <c r="A2134" s="43" t="s">
        <v>403</v>
      </c>
      <c r="B2134" s="43" t="s">
        <v>1695</v>
      </c>
      <c r="C2134" s="56">
        <v>45986</v>
      </c>
      <c r="D2134" s="321">
        <v>2568</v>
      </c>
      <c r="E2134" s="43"/>
      <c r="G2134" t="s">
        <v>1770</v>
      </c>
    </row>
    <row r="2135" spans="1:7">
      <c r="A2135" s="43" t="s">
        <v>397</v>
      </c>
      <c r="B2135" s="43" t="s">
        <v>1695</v>
      </c>
      <c r="C2135" s="56">
        <v>45986</v>
      </c>
      <c r="D2135" s="155">
        <v>2537</v>
      </c>
      <c r="E2135" s="253"/>
      <c r="F2135" s="169"/>
      <c r="G2135" t="s">
        <v>1770</v>
      </c>
    </row>
    <row r="2136" spans="1:7">
      <c r="A2136" s="334" t="s">
        <v>467</v>
      </c>
      <c r="B2136" s="165" t="s">
        <v>131</v>
      </c>
      <c r="C2136" s="56">
        <v>45986</v>
      </c>
      <c r="D2136" s="155">
        <v>2382</v>
      </c>
      <c r="G2136" t="s">
        <v>1770</v>
      </c>
    </row>
    <row r="2137" spans="1:7">
      <c r="A2137" s="404" t="s">
        <v>446</v>
      </c>
      <c r="B2137" s="173" t="s">
        <v>131</v>
      </c>
      <c r="C2137" s="56">
        <v>45986</v>
      </c>
      <c r="D2137" s="43">
        <v>996</v>
      </c>
      <c r="G2137" t="s">
        <v>1770</v>
      </c>
    </row>
    <row r="2138" spans="1:7">
      <c r="A2138" s="404" t="s">
        <v>489</v>
      </c>
      <c r="B2138" s="173" t="s">
        <v>131</v>
      </c>
      <c r="C2138" s="56">
        <v>45986</v>
      </c>
      <c r="D2138" s="155">
        <v>3634</v>
      </c>
      <c r="G2138" t="s">
        <v>1770</v>
      </c>
    </row>
    <row r="2139" spans="1:7">
      <c r="A2139" s="69" t="s">
        <v>486</v>
      </c>
      <c r="B2139" s="173" t="s">
        <v>131</v>
      </c>
      <c r="C2139" s="56">
        <v>45986</v>
      </c>
      <c r="D2139" s="155">
        <v>3311</v>
      </c>
      <c r="G2139" t="s">
        <v>1770</v>
      </c>
    </row>
    <row r="2140" spans="1:7">
      <c r="A2140" s="69" t="s">
        <v>326</v>
      </c>
      <c r="B2140" s="173" t="s">
        <v>131</v>
      </c>
      <c r="C2140" s="56">
        <v>45986</v>
      </c>
      <c r="D2140" s="155">
        <v>1175</v>
      </c>
      <c r="G2140" t="s">
        <v>1770</v>
      </c>
    </row>
    <row r="2141" spans="1:7">
      <c r="A2141" s="247" t="s">
        <v>483</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425</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439</v>
      </c>
      <c r="C2149" s="56">
        <v>45987</v>
      </c>
      <c r="D2149" s="43">
        <v>955</v>
      </c>
      <c r="E2149" s="201"/>
      <c r="F2149" s="115" t="s">
        <v>1847</v>
      </c>
      <c r="G2149" t="s">
        <v>1770</v>
      </c>
    </row>
    <row r="2150" spans="1:7">
      <c r="A2150" s="315" t="s">
        <v>1100</v>
      </c>
      <c r="B2150" s="315" t="s">
        <v>215</v>
      </c>
      <c r="C2150" s="56">
        <v>45987</v>
      </c>
      <c r="D2150" s="139"/>
      <c r="E2150" s="43"/>
      <c r="F2150" s="311" t="s">
        <v>1848</v>
      </c>
      <c r="G2150" t="s">
        <v>1770</v>
      </c>
    </row>
    <row r="2151" spans="1:7">
      <c r="A2151" s="306" t="s">
        <v>386</v>
      </c>
      <c r="B2151" s="306" t="s">
        <v>1695</v>
      </c>
      <c r="C2151" s="56">
        <v>45987</v>
      </c>
      <c r="D2151" s="139"/>
      <c r="E2151" s="43"/>
      <c r="F2151" s="757" t="s">
        <v>1843</v>
      </c>
      <c r="G2151" t="s">
        <v>1770</v>
      </c>
    </row>
    <row r="2152" spans="1:7">
      <c r="A2152" s="141" t="s">
        <v>385</v>
      </c>
      <c r="B2152" s="141" t="s">
        <v>1695</v>
      </c>
      <c r="C2152" s="56">
        <v>45987</v>
      </c>
      <c r="D2152" s="139"/>
      <c r="E2152" s="43"/>
      <c r="F2152" s="757" t="s">
        <v>1843</v>
      </c>
      <c r="G2152" t="s">
        <v>1770</v>
      </c>
    </row>
    <row r="2153" spans="1:7">
      <c r="A2153" s="305" t="s">
        <v>374</v>
      </c>
      <c r="B2153" s="305" t="s">
        <v>1695</v>
      </c>
      <c r="C2153" s="336">
        <v>45987</v>
      </c>
      <c r="D2153" s="139"/>
      <c r="E2153" s="43"/>
      <c r="F2153" s="757" t="s">
        <v>1843</v>
      </c>
      <c r="G2153" t="s">
        <v>1770</v>
      </c>
    </row>
    <row r="2154" spans="1:7">
      <c r="A2154" s="141" t="s">
        <v>369</v>
      </c>
      <c r="B2154" s="141" t="s">
        <v>236</v>
      </c>
      <c r="C2154" s="56">
        <v>45987</v>
      </c>
      <c r="D2154" s="423"/>
      <c r="E2154" s="43"/>
      <c r="F2154" s="141" t="s">
        <v>1843</v>
      </c>
      <c r="G2154" t="s">
        <v>1770</v>
      </c>
    </row>
    <row r="2155" spans="1:7">
      <c r="A2155" s="141" t="s">
        <v>243</v>
      </c>
      <c r="B2155" s="141" t="s">
        <v>1763</v>
      </c>
      <c r="C2155" s="56">
        <v>45987</v>
      </c>
      <c r="D2155" s="161">
        <v>426</v>
      </c>
      <c r="E2155" s="253"/>
      <c r="F2155" s="169"/>
      <c r="G2155" t="s">
        <v>1770</v>
      </c>
    </row>
    <row r="2156" spans="1:7">
      <c r="A2156" s="141" t="s">
        <v>371</v>
      </c>
      <c r="B2156" s="141" t="s">
        <v>236</v>
      </c>
      <c r="C2156" s="56">
        <v>45987</v>
      </c>
      <c r="D2156" s="423"/>
      <c r="E2156" s="43"/>
      <c r="F2156" s="141" t="s">
        <v>1843</v>
      </c>
      <c r="G2156" t="s">
        <v>1770</v>
      </c>
    </row>
    <row r="2157" spans="1:7">
      <c r="A2157" s="141" t="s">
        <v>360</v>
      </c>
      <c r="B2157" s="141" t="s">
        <v>1849</v>
      </c>
      <c r="C2157" s="56">
        <v>45987</v>
      </c>
      <c r="D2157" s="161"/>
      <c r="E2157" s="1097">
        <v>4668</v>
      </c>
      <c r="F2157" s="169" t="s">
        <v>1850</v>
      </c>
      <c r="G2157" t="s">
        <v>1770</v>
      </c>
    </row>
    <row r="2158" spans="1:7">
      <c r="A2158" s="247" t="s">
        <v>455</v>
      </c>
      <c r="B2158" s="315" t="s">
        <v>1475</v>
      </c>
      <c r="C2158" s="56">
        <v>45987</v>
      </c>
      <c r="E2158" s="139">
        <v>794</v>
      </c>
      <c r="G2158" t="s">
        <v>1770</v>
      </c>
    </row>
    <row r="2159" spans="1:7">
      <c r="A2159" s="141" t="s">
        <v>326</v>
      </c>
      <c r="B2159" s="141" t="s">
        <v>131</v>
      </c>
      <c r="C2159" s="56">
        <v>45987</v>
      </c>
      <c r="D2159" s="161"/>
      <c r="E2159" s="321">
        <v>2338</v>
      </c>
      <c r="F2159" s="43" t="s">
        <v>1851</v>
      </c>
      <c r="G2159" t="s">
        <v>1770</v>
      </c>
    </row>
    <row r="2160" spans="1:7">
      <c r="A2160" s="306" t="s">
        <v>449</v>
      </c>
      <c r="B2160" s="311" t="s">
        <v>1036</v>
      </c>
      <c r="C2160" s="56">
        <v>45987</v>
      </c>
      <c r="E2160" s="139">
        <v>175</v>
      </c>
      <c r="G2160" t="s">
        <v>1770</v>
      </c>
    </row>
    <row r="2161" spans="1:7">
      <c r="A2161" s="306" t="s">
        <v>449</v>
      </c>
      <c r="B2161" s="315" t="s">
        <v>131</v>
      </c>
      <c r="C2161" s="56">
        <v>45987</v>
      </c>
      <c r="E2161" s="321">
        <v>2455</v>
      </c>
      <c r="F2161" s="43" t="s">
        <v>1852</v>
      </c>
      <c r="G2161" t="s">
        <v>1770</v>
      </c>
    </row>
    <row r="2162" spans="1:7">
      <c r="A2162" s="306" t="s">
        <v>451</v>
      </c>
      <c r="B2162" s="315" t="s">
        <v>1036</v>
      </c>
      <c r="C2162" s="56">
        <v>45987</v>
      </c>
      <c r="E2162" s="139">
        <v>376</v>
      </c>
      <c r="G2162" t="s">
        <v>1770</v>
      </c>
    </row>
    <row r="2163" spans="1:7">
      <c r="A2163" s="306" t="s">
        <v>451</v>
      </c>
      <c r="B2163" s="737" t="s">
        <v>131</v>
      </c>
      <c r="C2163" s="56">
        <v>45987</v>
      </c>
      <c r="E2163" s="139">
        <v>404</v>
      </c>
      <c r="F2163" s="43" t="s">
        <v>1853</v>
      </c>
      <c r="G2163" t="s">
        <v>1770</v>
      </c>
    </row>
    <row r="2164" spans="1:7">
      <c r="A2164" s="311" t="s">
        <v>453</v>
      </c>
      <c r="B2164" s="311" t="s">
        <v>1036</v>
      </c>
      <c r="C2164" s="56">
        <v>45987</v>
      </c>
      <c r="E2164" s="321">
        <v>1264</v>
      </c>
      <c r="G2164" t="s">
        <v>1770</v>
      </c>
    </row>
    <row r="2165" spans="1:7">
      <c r="A2165" s="315" t="s">
        <v>458</v>
      </c>
      <c r="B2165" s="315" t="s">
        <v>1036</v>
      </c>
      <c r="C2165" s="56">
        <v>45987</v>
      </c>
      <c r="E2165" s="321">
        <v>1520</v>
      </c>
      <c r="G2165" t="s">
        <v>1770</v>
      </c>
    </row>
    <row r="2166" spans="1:7">
      <c r="A2166" s="315" t="s">
        <v>459</v>
      </c>
      <c r="B2166" s="315" t="s">
        <v>1475</v>
      </c>
      <c r="C2166" s="56">
        <v>45987</v>
      </c>
      <c r="E2166" s="321">
        <v>1739</v>
      </c>
      <c r="G2166" t="s">
        <v>1770</v>
      </c>
    </row>
    <row r="2167" spans="1:7">
      <c r="A2167" s="315" t="s">
        <v>461</v>
      </c>
      <c r="B2167" s="315" t="s">
        <v>1036</v>
      </c>
      <c r="C2167" s="56">
        <v>45987</v>
      </c>
      <c r="E2167" s="321">
        <v>1584</v>
      </c>
      <c r="G2167" t="s">
        <v>1770</v>
      </c>
    </row>
    <row r="2168" spans="1:7">
      <c r="A2168" s="315" t="s">
        <v>463</v>
      </c>
      <c r="B2168" s="315" t="s">
        <v>1036</v>
      </c>
      <c r="C2168" s="56">
        <v>45987</v>
      </c>
      <c r="E2168" s="321">
        <v>1140</v>
      </c>
      <c r="G2168" t="s">
        <v>1770</v>
      </c>
    </row>
    <row r="2169" spans="1:7">
      <c r="A2169" s="315" t="s">
        <v>464</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439</v>
      </c>
      <c r="C2178" s="56">
        <v>45992</v>
      </c>
      <c r="D2178" s="155">
        <v>1765</v>
      </c>
      <c r="G2178" t="s">
        <v>1855</v>
      </c>
    </row>
    <row r="2179" spans="1:7">
      <c r="A2179" s="304" t="s">
        <v>1098</v>
      </c>
      <c r="B2179" s="304" t="s">
        <v>215</v>
      </c>
      <c r="C2179" s="56">
        <v>45992</v>
      </c>
      <c r="D2179" s="43">
        <v>600</v>
      </c>
      <c r="G2179" t="s">
        <v>1855</v>
      </c>
    </row>
    <row r="2180" spans="1:7">
      <c r="A2180" s="141" t="s">
        <v>397</v>
      </c>
      <c r="B2180" s="141" t="s">
        <v>1695</v>
      </c>
      <c r="C2180" s="56">
        <v>45992</v>
      </c>
      <c r="D2180" s="155">
        <v>2113</v>
      </c>
      <c r="F2180" s="43" t="s">
        <v>1860</v>
      </c>
      <c r="G2180" t="s">
        <v>1855</v>
      </c>
    </row>
    <row r="2181" spans="1:7">
      <c r="A2181" s="141" t="s">
        <v>326</v>
      </c>
      <c r="B2181" s="387" t="s">
        <v>131</v>
      </c>
      <c r="C2181" s="56">
        <v>45992</v>
      </c>
      <c r="D2181" s="155">
        <v>1515</v>
      </c>
      <c r="F2181" s="43" t="s">
        <v>1506</v>
      </c>
      <c r="G2181" t="s">
        <v>1855</v>
      </c>
    </row>
    <row r="2182" spans="1:7">
      <c r="A2182" s="348" t="s">
        <v>489</v>
      </c>
      <c r="B2182" s="357" t="s">
        <v>131</v>
      </c>
      <c r="C2182" s="56">
        <v>45992</v>
      </c>
      <c r="D2182" s="155">
        <v>3376</v>
      </c>
      <c r="G2182" t="s">
        <v>1855</v>
      </c>
    </row>
    <row r="2183" spans="1:7">
      <c r="A2183" s="317" t="s">
        <v>467</v>
      </c>
      <c r="B2183" s="308" t="s">
        <v>131</v>
      </c>
      <c r="C2183" s="56">
        <v>45992</v>
      </c>
      <c r="D2183" s="155">
        <v>3084</v>
      </c>
      <c r="G2183" t="s">
        <v>1855</v>
      </c>
    </row>
    <row r="2184" spans="1:7">
      <c r="A2184" s="311" t="s">
        <v>353</v>
      </c>
      <c r="B2184" s="311" t="s">
        <v>131</v>
      </c>
      <c r="C2184" s="56">
        <v>45992</v>
      </c>
      <c r="D2184" s="155">
        <v>1829</v>
      </c>
      <c r="G2184" t="s">
        <v>1855</v>
      </c>
    </row>
    <row r="2185" spans="1:7">
      <c r="A2185" s="247" t="s">
        <v>470</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215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439</v>
      </c>
      <c r="C2192" s="56">
        <v>45993</v>
      </c>
      <c r="D2192" s="155">
        <v>1153</v>
      </c>
      <c r="F2192" s="43" t="s">
        <v>1865</v>
      </c>
      <c r="G2192" t="s">
        <v>1855</v>
      </c>
    </row>
    <row r="2193" spans="1:7">
      <c r="A2193" s="304" t="s">
        <v>576</v>
      </c>
      <c r="B2193" s="304" t="s">
        <v>1036</v>
      </c>
      <c r="C2193" s="56">
        <v>45993</v>
      </c>
      <c r="D2193" s="43">
        <v>175</v>
      </c>
      <c r="G2193" t="s">
        <v>1855</v>
      </c>
    </row>
    <row r="2194" spans="1:7">
      <c r="A2194" s="311" t="s">
        <v>470</v>
      </c>
      <c r="B2194" s="311" t="s">
        <v>131</v>
      </c>
      <c r="C2194" s="56">
        <v>45993</v>
      </c>
      <c r="D2194" s="155">
        <v>2916</v>
      </c>
      <c r="G2194" t="s">
        <v>1855</v>
      </c>
    </row>
    <row r="2195" spans="1:7">
      <c r="A2195" s="315" t="s">
        <v>353</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215</v>
      </c>
      <c r="C2201" s="56">
        <v>45994</v>
      </c>
      <c r="D2201" s="43">
        <v>974</v>
      </c>
      <c r="G2201" t="s">
        <v>1855</v>
      </c>
    </row>
    <row r="2202" spans="1:7">
      <c r="A2202" s="1096" t="s">
        <v>413</v>
      </c>
      <c r="B2202" s="1131" t="s">
        <v>156</v>
      </c>
      <c r="C2202" s="56">
        <v>45994</v>
      </c>
      <c r="D2202" s="43">
        <v>466</v>
      </c>
      <c r="F2202" s="43" t="s">
        <v>1869</v>
      </c>
      <c r="G2202" t="s">
        <v>1855</v>
      </c>
    </row>
    <row r="2203" spans="1:7">
      <c r="A2203" s="757" t="s">
        <v>1099</v>
      </c>
      <c r="B2203" s="1131" t="s">
        <v>439</v>
      </c>
      <c r="C2203" s="56">
        <v>45994</v>
      </c>
      <c r="D2203" s="43">
        <v>383</v>
      </c>
      <c r="G2203" t="s">
        <v>1855</v>
      </c>
    </row>
    <row r="2204" spans="1:7">
      <c r="A2204" s="757" t="s">
        <v>561</v>
      </c>
      <c r="B2204" s="1131" t="s">
        <v>131</v>
      </c>
      <c r="C2204" s="56">
        <v>45994</v>
      </c>
      <c r="D2204" s="155">
        <v>1379</v>
      </c>
      <c r="F2204" s="43" t="s">
        <v>1870</v>
      </c>
      <c r="G2204" t="s">
        <v>1855</v>
      </c>
    </row>
    <row r="2205" spans="1:7">
      <c r="A2205" s="757" t="s">
        <v>397</v>
      </c>
      <c r="B2205" s="757" t="s">
        <v>1695</v>
      </c>
      <c r="C2205" s="56">
        <v>45994</v>
      </c>
      <c r="D2205" s="155">
        <v>1677</v>
      </c>
      <c r="G2205" t="s">
        <v>1855</v>
      </c>
    </row>
    <row r="2206" spans="1:7">
      <c r="A2206" s="1132" t="s">
        <v>470</v>
      </c>
      <c r="B2206" s="1133" t="s">
        <v>131</v>
      </c>
      <c r="C2206" s="56">
        <v>45994</v>
      </c>
      <c r="D2206" s="155">
        <v>2430</v>
      </c>
      <c r="G2206" t="s">
        <v>1855</v>
      </c>
    </row>
    <row r="2207" spans="1:7">
      <c r="A2207" s="760" t="s">
        <v>353</v>
      </c>
      <c r="B2207" s="760" t="s">
        <v>131</v>
      </c>
      <c r="C2207" s="56">
        <v>45994</v>
      </c>
      <c r="D2207" s="43">
        <v>694</v>
      </c>
      <c r="G2207" t="s">
        <v>1855</v>
      </c>
    </row>
    <row r="2208" spans="1:7">
      <c r="A2208" s="1132" t="s">
        <v>331</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422</v>
      </c>
      <c r="B2213" s="306" t="s">
        <v>131</v>
      </c>
      <c r="C2213" s="56">
        <v>45995</v>
      </c>
      <c r="D2213" s="155">
        <v>1431</v>
      </c>
      <c r="F2213" s="43" t="s">
        <v>1873</v>
      </c>
      <c r="G2213" t="s">
        <v>1855</v>
      </c>
    </row>
    <row r="2214" spans="1:7">
      <c r="A2214" s="311" t="s">
        <v>413</v>
      </c>
      <c r="B2214" s="311" t="s">
        <v>156</v>
      </c>
      <c r="C2214" s="56">
        <v>45995</v>
      </c>
      <c r="D2214" s="43">
        <v>195</v>
      </c>
      <c r="F2214" s="43" t="s">
        <v>1874</v>
      </c>
      <c r="G2214" t="s">
        <v>1855</v>
      </c>
    </row>
    <row r="2215" spans="1:7">
      <c r="A2215" s="315" t="s">
        <v>1099</v>
      </c>
      <c r="B2215" s="315" t="s">
        <v>439</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413</v>
      </c>
      <c r="B2217" s="1131" t="s">
        <v>156</v>
      </c>
      <c r="C2217" s="56">
        <v>45995</v>
      </c>
      <c r="D2217" s="155">
        <v>150</v>
      </c>
      <c r="F2217" s="43" t="s">
        <v>1878</v>
      </c>
      <c r="G2217" t="s">
        <v>1855</v>
      </c>
    </row>
    <row r="2218" spans="1:7">
      <c r="A2218" s="141" t="s">
        <v>397</v>
      </c>
      <c r="B2218" s="141" t="s">
        <v>1695</v>
      </c>
      <c r="C2218" s="56">
        <v>45995</v>
      </c>
      <c r="D2218" s="155">
        <v>1316</v>
      </c>
      <c r="G2218" t="s">
        <v>1855</v>
      </c>
    </row>
    <row r="2219" spans="1:7">
      <c r="A2219" s="141" t="s">
        <v>403</v>
      </c>
      <c r="B2219" s="141" t="s">
        <v>1695</v>
      </c>
      <c r="C2219" s="56">
        <v>45995</v>
      </c>
      <c r="D2219" s="43">
        <v>489</v>
      </c>
      <c r="G2219" t="s">
        <v>1855</v>
      </c>
    </row>
    <row r="2220" spans="1:7">
      <c r="A2220" s="141" t="s">
        <v>326</v>
      </c>
      <c r="B2220" s="306" t="s">
        <v>131</v>
      </c>
      <c r="C2220" s="56">
        <v>45995</v>
      </c>
      <c r="E2220" s="139">
        <v>644</v>
      </c>
      <c r="F2220" s="43" t="s">
        <v>1879</v>
      </c>
      <c r="G2220" t="s">
        <v>1855</v>
      </c>
    </row>
    <row r="2221" spans="1:7">
      <c r="A2221" s="304" t="s">
        <v>475</v>
      </c>
      <c r="B2221" s="311" t="s">
        <v>1036</v>
      </c>
      <c r="C2221" s="56">
        <v>45995</v>
      </c>
      <c r="D2221" s="43">
        <v>64</v>
      </c>
      <c r="F2221" s="43" t="s">
        <v>1880</v>
      </c>
      <c r="G2221" t="s">
        <v>1855</v>
      </c>
    </row>
    <row r="2222" spans="1:7">
      <c r="A2222" s="247" t="s">
        <v>483</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215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439</v>
      </c>
      <c r="C2231" s="56">
        <v>45996</v>
      </c>
      <c r="F2231" s="311" t="s">
        <v>1884</v>
      </c>
      <c r="G2231" t="s">
        <v>1855</v>
      </c>
    </row>
    <row r="2232" spans="1:7">
      <c r="A2232" s="757" t="s">
        <v>403</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478</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215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413</v>
      </c>
      <c r="B2241" s="1144" t="s">
        <v>156</v>
      </c>
      <c r="C2241" s="56">
        <v>45999</v>
      </c>
      <c r="D2241" s="155">
        <v>1172</v>
      </c>
      <c r="E2241" s="201"/>
      <c r="F2241" s="115" t="s">
        <v>1889</v>
      </c>
      <c r="G2241" t="s">
        <v>1855</v>
      </c>
    </row>
    <row r="2242" spans="1:7">
      <c r="A2242" s="1143" t="s">
        <v>422</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403</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215</v>
      </c>
      <c r="C2252" s="56">
        <v>46000</v>
      </c>
      <c r="D2252" s="43">
        <v>541</v>
      </c>
      <c r="F2252" s="43" t="s">
        <v>1896</v>
      </c>
      <c r="G2252" t="s">
        <v>1855</v>
      </c>
    </row>
    <row r="2253" spans="1:7">
      <c r="A2253" s="1143" t="s">
        <v>422</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410</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391</v>
      </c>
      <c r="B2257" s="169" t="s">
        <v>1695</v>
      </c>
      <c r="C2257" s="56">
        <v>46000</v>
      </c>
      <c r="D2257" s="155">
        <v>1640</v>
      </c>
      <c r="F2257" s="43" t="s">
        <v>1898</v>
      </c>
      <c r="G2257" t="s">
        <v>1855</v>
      </c>
    </row>
    <row r="2258" spans="1:7">
      <c r="A2258" s="404" t="s">
        <v>492</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446</v>
      </c>
      <c r="B2260" s="139" t="s">
        <v>131</v>
      </c>
      <c r="C2260" s="56">
        <v>46000</v>
      </c>
      <c r="D2260" s="155">
        <v>2203</v>
      </c>
      <c r="F2260" s="43" t="s">
        <v>1117</v>
      </c>
      <c r="G2260" t="s">
        <v>1855</v>
      </c>
    </row>
    <row r="2261" spans="1:7">
      <c r="A2261" s="956" t="s">
        <v>337</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215</v>
      </c>
      <c r="C2267" s="56">
        <v>46001</v>
      </c>
      <c r="D2267" s="43">
        <v>330</v>
      </c>
      <c r="F2267" s="43" t="s">
        <v>1702</v>
      </c>
      <c r="G2267" t="s">
        <v>1855</v>
      </c>
    </row>
    <row r="2268" spans="1:7">
      <c r="A2268" s="787" t="s">
        <v>422</v>
      </c>
      <c r="B2268" s="1146" t="s">
        <v>131</v>
      </c>
      <c r="C2268" s="56">
        <v>46001</v>
      </c>
      <c r="D2268" s="43">
        <v>621</v>
      </c>
      <c r="F2268" s="43" t="s">
        <v>1902</v>
      </c>
      <c r="G2268" t="s">
        <v>1855</v>
      </c>
    </row>
    <row r="2269" spans="1:7">
      <c r="A2269" s="745" t="s">
        <v>410</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391</v>
      </c>
      <c r="B2271" s="757" t="s">
        <v>1695</v>
      </c>
      <c r="C2271" s="56">
        <v>46001</v>
      </c>
      <c r="D2271" s="155">
        <v>1177</v>
      </c>
      <c r="F2271" s="43" t="s">
        <v>1904</v>
      </c>
      <c r="G2271" t="s">
        <v>1855</v>
      </c>
    </row>
    <row r="2272" spans="1:7">
      <c r="A2272" s="757" t="s">
        <v>394</v>
      </c>
      <c r="B2272" s="757" t="s">
        <v>1695</v>
      </c>
      <c r="C2272" s="56">
        <v>46001</v>
      </c>
      <c r="D2272" s="43">
        <v>817</v>
      </c>
      <c r="F2272" s="43" t="s">
        <v>1905</v>
      </c>
      <c r="G2272" t="s">
        <v>1855</v>
      </c>
    </row>
    <row r="2273" spans="1:7">
      <c r="A2273" s="757" t="s">
        <v>492</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353</v>
      </c>
      <c r="B2276" s="731" t="s">
        <v>131</v>
      </c>
      <c r="C2276" s="56">
        <v>46001</v>
      </c>
      <c r="D2276" s="43">
        <v>91</v>
      </c>
      <c r="G2276" t="s">
        <v>1855</v>
      </c>
    </row>
    <row r="2277" spans="1:7">
      <c r="A2277" s="757" t="s">
        <v>446</v>
      </c>
      <c r="B2277" s="1065" t="s">
        <v>131</v>
      </c>
      <c r="C2277" s="56">
        <v>46001</v>
      </c>
      <c r="E2277" s="321">
        <v>3674</v>
      </c>
      <c r="F2277" s="43" t="s">
        <v>1906</v>
      </c>
      <c r="G2277" t="s">
        <v>1855</v>
      </c>
    </row>
    <row r="2278" spans="1:7">
      <c r="A2278" s="757" t="s">
        <v>337</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215</v>
      </c>
      <c r="C2284" s="56">
        <v>46002</v>
      </c>
      <c r="D2284" s="43">
        <v>520</v>
      </c>
      <c r="G2284" t="s">
        <v>1855</v>
      </c>
    </row>
    <row r="2285" spans="1:7">
      <c r="A2285" s="1148" t="s">
        <v>407</v>
      </c>
      <c r="B2285" s="1144" t="s">
        <v>156</v>
      </c>
      <c r="C2285" s="56">
        <v>46002</v>
      </c>
      <c r="D2285" s="155">
        <v>1351</v>
      </c>
      <c r="F2285" s="43" t="s">
        <v>1911</v>
      </c>
      <c r="G2285" t="s">
        <v>1855</v>
      </c>
    </row>
    <row r="2286" spans="1:7">
      <c r="A2286" s="43" t="s">
        <v>394</v>
      </c>
      <c r="B2286" s="43" t="s">
        <v>1695</v>
      </c>
      <c r="C2286" s="56">
        <v>46002</v>
      </c>
      <c r="D2286" s="155">
        <v>1820</v>
      </c>
      <c r="F2286" s="760" t="s">
        <v>1912</v>
      </c>
      <c r="G2286" t="s">
        <v>1855</v>
      </c>
    </row>
    <row r="2287" spans="1:7">
      <c r="A2287" s="1149" t="s">
        <v>492</v>
      </c>
      <c r="B2287" s="69" t="s">
        <v>131</v>
      </c>
      <c r="C2287" s="56">
        <v>46002</v>
      </c>
      <c r="D2287" s="155">
        <v>3172</v>
      </c>
      <c r="G2287" t="s">
        <v>1855</v>
      </c>
    </row>
    <row r="2288" spans="1:7">
      <c r="A2288" s="1149" t="s">
        <v>480</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337</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215</v>
      </c>
      <c r="C2296" s="56">
        <v>46003</v>
      </c>
      <c r="D2296" s="43">
        <v>550</v>
      </c>
      <c r="F2296" s="43" t="s">
        <v>1917</v>
      </c>
      <c r="G2296" t="s">
        <v>1855</v>
      </c>
    </row>
    <row r="2297" spans="1:7">
      <c r="A2297" s="760" t="s">
        <v>310</v>
      </c>
      <c r="B2297" s="760" t="s">
        <v>1475</v>
      </c>
      <c r="C2297" s="56">
        <v>46003</v>
      </c>
      <c r="D2297" s="155">
        <v>1832</v>
      </c>
      <c r="F2297" s="43" t="s">
        <v>1918</v>
      </c>
      <c r="G2297" t="s">
        <v>1855</v>
      </c>
    </row>
    <row r="2298" spans="1:7">
      <c r="A2298" s="1131" t="s">
        <v>480</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337</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215</v>
      </c>
      <c r="C2305" s="56">
        <v>46006</v>
      </c>
      <c r="D2305" s="43">
        <v>752</v>
      </c>
      <c r="F2305" s="43" t="s">
        <v>1896</v>
      </c>
      <c r="G2305" t="s">
        <v>1855</v>
      </c>
    </row>
    <row r="2306" spans="1:7">
      <c r="A2306" s="1148" t="s">
        <v>407</v>
      </c>
      <c r="B2306" s="1145" t="s">
        <v>156</v>
      </c>
      <c r="C2306" s="56">
        <v>46006</v>
      </c>
      <c r="D2306" s="43">
        <v>689</v>
      </c>
      <c r="F2306" s="43" t="s">
        <v>1923</v>
      </c>
      <c r="G2306" t="s">
        <v>1855</v>
      </c>
    </row>
    <row r="2307" spans="1:7">
      <c r="A2307" s="1096" t="s">
        <v>405</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320</v>
      </c>
      <c r="B2310" s="43" t="s">
        <v>1695</v>
      </c>
      <c r="C2310" s="56">
        <v>46006</v>
      </c>
      <c r="D2310" s="155">
        <v>1511</v>
      </c>
      <c r="F2310" s="43" t="s">
        <v>1925</v>
      </c>
      <c r="G2310" t="s">
        <v>1855</v>
      </c>
    </row>
    <row r="2311" spans="1:7">
      <c r="A2311" s="1149" t="s">
        <v>492</v>
      </c>
      <c r="B2311" s="69" t="s">
        <v>131</v>
      </c>
      <c r="C2311" s="56">
        <v>46006</v>
      </c>
      <c r="D2311" s="43">
        <v>29</v>
      </c>
      <c r="E2311" s="201"/>
      <c r="F2311" s="115"/>
      <c r="G2311" t="s">
        <v>1855</v>
      </c>
    </row>
    <row r="2312" spans="1:7">
      <c r="A2312" s="1149" t="s">
        <v>455</v>
      </c>
      <c r="B2312" s="69" t="s">
        <v>131</v>
      </c>
      <c r="C2312" s="56">
        <v>46006</v>
      </c>
      <c r="D2312" s="139"/>
      <c r="E2312" s="43"/>
      <c r="F2312" s="757" t="s">
        <v>1336</v>
      </c>
      <c r="G2312" t="s">
        <v>1855</v>
      </c>
    </row>
    <row r="2313" spans="1:7">
      <c r="A2313" s="1149" t="s">
        <v>486</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215</v>
      </c>
      <c r="C2317" s="56">
        <v>46007</v>
      </c>
      <c r="D2317" s="155">
        <v>1249</v>
      </c>
      <c r="F2317" s="43" t="s">
        <v>1929</v>
      </c>
      <c r="G2317" t="s">
        <v>1855</v>
      </c>
    </row>
    <row r="2318" spans="1:7">
      <c r="A2318" s="1143" t="s">
        <v>407</v>
      </c>
      <c r="B2318" s="1144" t="s">
        <v>156</v>
      </c>
      <c r="C2318" s="56">
        <v>46007</v>
      </c>
      <c r="D2318" s="43">
        <v>586</v>
      </c>
      <c r="F2318" s="43" t="s">
        <v>1930</v>
      </c>
      <c r="G2318" t="s">
        <v>1855</v>
      </c>
    </row>
    <row r="2319" spans="1:7">
      <c r="A2319" s="1096" t="s">
        <v>405</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235</v>
      </c>
      <c r="B2321" s="371" t="s">
        <v>236</v>
      </c>
      <c r="C2321" s="56">
        <v>46007</v>
      </c>
      <c r="D2321" s="43">
        <v>890</v>
      </c>
      <c r="F2321" s="43" t="s">
        <v>1933</v>
      </c>
      <c r="G2321" t="s">
        <v>1855</v>
      </c>
    </row>
    <row r="2322" spans="1:7">
      <c r="A2322" s="43" t="s">
        <v>310</v>
      </c>
      <c r="B2322" s="115" t="s">
        <v>1475</v>
      </c>
      <c r="C2322" s="56">
        <v>46007</v>
      </c>
      <c r="D2322" s="155">
        <v>1164</v>
      </c>
      <c r="G2322" t="s">
        <v>1855</v>
      </c>
    </row>
    <row r="2323" spans="1:7">
      <c r="A2323" s="148" t="s">
        <v>320</v>
      </c>
      <c r="B2323" s="43" t="s">
        <v>1695</v>
      </c>
      <c r="C2323" s="56">
        <v>46007</v>
      </c>
      <c r="D2323" s="155">
        <v>1887</v>
      </c>
      <c r="F2323" s="43" t="s">
        <v>1934</v>
      </c>
      <c r="G2323" t="s">
        <v>1855</v>
      </c>
    </row>
    <row r="2324" spans="1:7">
      <c r="A2324" s="1084" t="s">
        <v>492</v>
      </c>
      <c r="B2324" s="69" t="s">
        <v>131</v>
      </c>
      <c r="C2324" s="56">
        <v>46007</v>
      </c>
      <c r="F2324" s="337" t="s">
        <v>1935</v>
      </c>
      <c r="G2324" t="s">
        <v>1855</v>
      </c>
    </row>
    <row r="2325" spans="1:7">
      <c r="A2325" s="69" t="s">
        <v>334</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215</v>
      </c>
      <c r="C2331" s="56">
        <v>46008</v>
      </c>
      <c r="D2331" s="43">
        <v>235</v>
      </c>
      <c r="F2331" s="43" t="s">
        <v>1929</v>
      </c>
      <c r="G2331" t="s">
        <v>1855</v>
      </c>
    </row>
    <row r="2332" spans="1:7">
      <c r="A2332" s="1143" t="s">
        <v>407</v>
      </c>
      <c r="B2332" s="1144" t="s">
        <v>156</v>
      </c>
      <c r="C2332" s="56">
        <v>46008</v>
      </c>
      <c r="D2332" s="43">
        <v>199</v>
      </c>
      <c r="F2332" s="43" t="s">
        <v>1938</v>
      </c>
      <c r="G2332" t="s">
        <v>1855</v>
      </c>
    </row>
    <row r="2333" spans="1:7">
      <c r="A2333" s="1096" t="s">
        <v>405</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413</v>
      </c>
      <c r="B2335" s="1144" t="s">
        <v>156</v>
      </c>
      <c r="C2335" s="56">
        <v>46008</v>
      </c>
      <c r="D2335" s="43">
        <v>163</v>
      </c>
      <c r="F2335" s="43" t="s">
        <v>1941</v>
      </c>
      <c r="G2335" t="s">
        <v>1855</v>
      </c>
    </row>
    <row r="2336" spans="1:7">
      <c r="A2336" s="432" t="s">
        <v>235</v>
      </c>
      <c r="B2336" s="371" t="s">
        <v>236</v>
      </c>
      <c r="C2336" s="56">
        <v>46008</v>
      </c>
      <c r="D2336" s="155">
        <v>1810</v>
      </c>
      <c r="F2336" s="43" t="s">
        <v>1942</v>
      </c>
      <c r="G2336" t="s">
        <v>1855</v>
      </c>
    </row>
    <row r="2337" spans="1:7">
      <c r="A2337" s="43" t="s">
        <v>310</v>
      </c>
      <c r="B2337" s="115" t="s">
        <v>1475</v>
      </c>
      <c r="C2337" s="56">
        <v>46008</v>
      </c>
      <c r="D2337" s="43">
        <v>308</v>
      </c>
      <c r="F2337" s="43" t="s">
        <v>1943</v>
      </c>
      <c r="G2337" t="s">
        <v>1855</v>
      </c>
    </row>
    <row r="2338" spans="1:7">
      <c r="A2338" s="148" t="s">
        <v>320</v>
      </c>
      <c r="B2338" s="43" t="s">
        <v>1695</v>
      </c>
      <c r="C2338" s="56">
        <v>46008</v>
      </c>
      <c r="D2338" s="43">
        <v>916</v>
      </c>
      <c r="F2338" s="43" t="s">
        <v>1944</v>
      </c>
      <c r="G2338" t="s">
        <v>1855</v>
      </c>
    </row>
    <row r="2339" spans="1:7">
      <c r="A2339" s="1084" t="s">
        <v>353</v>
      </c>
      <c r="B2339" s="69" t="s">
        <v>131</v>
      </c>
      <c r="C2339" s="56">
        <v>46008</v>
      </c>
      <c r="D2339" s="43">
        <v>320</v>
      </c>
      <c r="G2339" t="s">
        <v>1855</v>
      </c>
    </row>
    <row r="2340" spans="1:7">
      <c r="A2340" s="148" t="s">
        <v>334</v>
      </c>
      <c r="B2340" s="148" t="s">
        <v>131</v>
      </c>
      <c r="C2340" s="56">
        <v>46008</v>
      </c>
      <c r="D2340" s="155">
        <v>1083</v>
      </c>
      <c r="G2340" t="s">
        <v>1855</v>
      </c>
    </row>
    <row r="2341" spans="1:7">
      <c r="A2341" s="148" t="s">
        <v>480</v>
      </c>
      <c r="B2341" s="148" t="s">
        <v>131</v>
      </c>
      <c r="C2341" s="56">
        <v>46008</v>
      </c>
      <c r="F2341" s="311" t="s">
        <v>1125</v>
      </c>
      <c r="G2341" t="s">
        <v>1855</v>
      </c>
    </row>
    <row r="2342" spans="1:7">
      <c r="A2342" s="1149" t="s">
        <v>331</v>
      </c>
      <c r="B2342" s="69" t="s">
        <v>131</v>
      </c>
      <c r="C2342" s="56">
        <v>46008</v>
      </c>
      <c r="D2342" s="43">
        <v>372</v>
      </c>
      <c r="G2342" t="s">
        <v>1855</v>
      </c>
    </row>
    <row r="2343" spans="1:7">
      <c r="A2343" s="1149" t="s">
        <v>346</v>
      </c>
      <c r="B2343" s="69" t="s">
        <v>131</v>
      </c>
      <c r="C2343" s="56">
        <v>46008</v>
      </c>
      <c r="D2343" s="43">
        <v>95</v>
      </c>
      <c r="G2343" t="s">
        <v>1855</v>
      </c>
    </row>
    <row r="2344" spans="1:7">
      <c r="A2344" s="1149" t="s">
        <v>498</v>
      </c>
      <c r="B2344" s="69" t="s">
        <v>131</v>
      </c>
      <c r="C2344" s="56">
        <v>46008</v>
      </c>
      <c r="D2344" s="155">
        <v>1049</v>
      </c>
      <c r="G2344" t="s">
        <v>1855</v>
      </c>
    </row>
    <row r="2345" spans="1:7">
      <c r="A2345" s="148" t="s">
        <v>478</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2"/>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215</v>
      </c>
      <c r="C2352" s="56">
        <v>46009</v>
      </c>
      <c r="D2352" s="43">
        <v>563</v>
      </c>
      <c r="E2352" s="253"/>
      <c r="F2352" s="169" t="s">
        <v>1917</v>
      </c>
      <c r="G2352" t="s">
        <v>1855</v>
      </c>
    </row>
    <row r="2353" spans="1:7">
      <c r="A2353" s="1359" t="s">
        <v>407</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410</v>
      </c>
      <c r="B2355" s="387" t="s">
        <v>156</v>
      </c>
      <c r="C2355" s="56">
        <v>46009</v>
      </c>
      <c r="F2355" s="304" t="s">
        <v>1767</v>
      </c>
      <c r="G2355" t="s">
        <v>1855</v>
      </c>
    </row>
    <row r="2356" spans="1:7">
      <c r="A2356" s="349" t="s">
        <v>413</v>
      </c>
      <c r="B2356" s="307" t="s">
        <v>156</v>
      </c>
      <c r="C2356" s="56">
        <v>46009</v>
      </c>
      <c r="F2356" s="304" t="s">
        <v>1767</v>
      </c>
      <c r="G2356" t="s">
        <v>1855</v>
      </c>
    </row>
    <row r="2357" spans="1:7">
      <c r="A2357" s="348" t="s">
        <v>179</v>
      </c>
      <c r="B2357" s="346" t="s">
        <v>131</v>
      </c>
      <c r="C2357" s="56">
        <v>46009</v>
      </c>
      <c r="D2357" s="155">
        <v>1568</v>
      </c>
      <c r="G2357" t="s">
        <v>1855</v>
      </c>
    </row>
    <row r="2358" spans="1:7">
      <c r="A2358" s="141" t="s">
        <v>310</v>
      </c>
      <c r="B2358" s="306" t="s">
        <v>1475</v>
      </c>
      <c r="C2358" s="56">
        <v>46009</v>
      </c>
      <c r="D2358" s="43">
        <v>892</v>
      </c>
      <c r="F2358" s="43" t="s">
        <v>1947</v>
      </c>
      <c r="G2358" t="s">
        <v>1855</v>
      </c>
    </row>
    <row r="2359" spans="1:7">
      <c r="A2359" s="305" t="s">
        <v>320</v>
      </c>
      <c r="B2359" s="141" t="s">
        <v>1695</v>
      </c>
      <c r="C2359" s="56">
        <v>46009</v>
      </c>
      <c r="D2359" s="155">
        <v>1704</v>
      </c>
      <c r="F2359" s="43" t="s">
        <v>1948</v>
      </c>
      <c r="G2359" t="s">
        <v>1855</v>
      </c>
    </row>
    <row r="2360" spans="1:7">
      <c r="A2360" s="141" t="s">
        <v>353</v>
      </c>
      <c r="B2360" s="141" t="s">
        <v>131</v>
      </c>
      <c r="C2360" s="56">
        <v>46009</v>
      </c>
      <c r="D2360" s="43">
        <v>652</v>
      </c>
      <c r="G2360" t="s">
        <v>1855</v>
      </c>
    </row>
    <row r="2361" spans="1:7">
      <c r="A2361" s="141" t="s">
        <v>501</v>
      </c>
      <c r="B2361" s="141" t="s">
        <v>131</v>
      </c>
      <c r="C2361" s="56">
        <v>46009</v>
      </c>
      <c r="D2361" s="43">
        <v>396</v>
      </c>
      <c r="G2361" t="s">
        <v>1855</v>
      </c>
    </row>
    <row r="2362" spans="1:7">
      <c r="A2362" s="305" t="s">
        <v>334</v>
      </c>
      <c r="B2362" s="305" t="s">
        <v>131</v>
      </c>
      <c r="C2362" s="56">
        <v>46009</v>
      </c>
      <c r="D2362" s="155">
        <v>1905</v>
      </c>
      <c r="G2362" t="s">
        <v>1855</v>
      </c>
    </row>
    <row r="2363" spans="1:7">
      <c r="A2363" s="141" t="s">
        <v>346</v>
      </c>
      <c r="B2363" s="306" t="s">
        <v>131</v>
      </c>
      <c r="C2363" s="56">
        <v>46009</v>
      </c>
      <c r="D2363" s="43">
        <v>881</v>
      </c>
      <c r="G2363" t="s">
        <v>1855</v>
      </c>
    </row>
    <row r="2364" spans="1:7">
      <c r="A2364" s="304" t="s">
        <v>340</v>
      </c>
      <c r="B2364" s="306" t="s">
        <v>131</v>
      </c>
      <c r="C2364" s="56">
        <v>46009</v>
      </c>
      <c r="D2364" s="155">
        <v>3028</v>
      </c>
      <c r="F2364" s="43" t="s">
        <v>1949</v>
      </c>
      <c r="G2364" t="s">
        <v>1855</v>
      </c>
    </row>
    <row r="2365" spans="1:7">
      <c r="A2365" s="247" t="s">
        <v>478</v>
      </c>
      <c r="B2365" s="306" t="s">
        <v>131</v>
      </c>
      <c r="C2365" s="56">
        <v>46009</v>
      </c>
      <c r="F2365" s="311" t="s">
        <v>1950</v>
      </c>
      <c r="G2365" t="s">
        <v>1855</v>
      </c>
    </row>
    <row r="2366" spans="1:7">
      <c r="A2366" s="317" t="s">
        <v>1101</v>
      </c>
      <c r="B2366" s="306" t="s">
        <v>1722</v>
      </c>
      <c r="C2366" s="56">
        <v>46010</v>
      </c>
      <c r="E2366" s="201"/>
      <c r="F2366" s="115" t="s">
        <v>1350</v>
      </c>
      <c r="G2366" t="s">
        <v>1855</v>
      </c>
    </row>
    <row r="2367" spans="1:7">
      <c r="A2367" s="317" t="s">
        <v>1101</v>
      </c>
      <c r="B2367" s="306" t="s">
        <v>1561</v>
      </c>
      <c r="C2367" s="56">
        <v>46010</v>
      </c>
      <c r="D2367" s="139"/>
      <c r="E2367" s="43"/>
      <c r="G2367" t="s">
        <v>1855</v>
      </c>
    </row>
    <row r="2368" spans="1:7">
      <c r="A2368" s="317" t="s">
        <v>522</v>
      </c>
      <c r="B2368" s="306" t="s">
        <v>1651</v>
      </c>
      <c r="C2368" s="56">
        <v>46010</v>
      </c>
      <c r="D2368" s="139"/>
      <c r="E2368" s="43"/>
      <c r="F2368" s="154" t="s">
        <v>1843</v>
      </c>
      <c r="G2368" t="s">
        <v>1855</v>
      </c>
    </row>
    <row r="2369" spans="1:7">
      <c r="A2369" s="317" t="s">
        <v>522</v>
      </c>
      <c r="B2369" s="141" t="s">
        <v>1561</v>
      </c>
      <c r="C2369" s="56">
        <v>46010</v>
      </c>
      <c r="D2369" s="139"/>
      <c r="E2369" s="43"/>
      <c r="F2369" s="154" t="s">
        <v>1843</v>
      </c>
      <c r="G2369" t="s">
        <v>1855</v>
      </c>
    </row>
    <row r="2370" spans="1:7">
      <c r="A2370" s="317" t="s">
        <v>522</v>
      </c>
      <c r="B2370" s="305" t="s">
        <v>1722</v>
      </c>
      <c r="C2370" s="56">
        <v>46010</v>
      </c>
      <c r="D2370" s="139"/>
      <c r="E2370" s="43"/>
      <c r="F2370" s="154" t="s">
        <v>1843</v>
      </c>
      <c r="G2370" t="s">
        <v>1855</v>
      </c>
    </row>
    <row r="2371" spans="1:7">
      <c r="A2371" s="318" t="s">
        <v>1102</v>
      </c>
      <c r="B2371" s="387" t="s">
        <v>215</v>
      </c>
      <c r="C2371" s="56">
        <v>46010</v>
      </c>
      <c r="D2371" s="43">
        <v>483</v>
      </c>
      <c r="E2371" s="253"/>
      <c r="F2371" s="169"/>
      <c r="G2371" t="s">
        <v>1855</v>
      </c>
    </row>
    <row r="2372" spans="1:7">
      <c r="A2372" s="1359" t="s">
        <v>407</v>
      </c>
      <c r="B2372" s="307" t="s">
        <v>156</v>
      </c>
      <c r="C2372" s="56">
        <v>46010</v>
      </c>
      <c r="E2372" s="139">
        <v>765</v>
      </c>
      <c r="G2372" t="s">
        <v>1855</v>
      </c>
    </row>
    <row r="2373" spans="1:7">
      <c r="A2373" s="1096" t="s">
        <v>405</v>
      </c>
      <c r="B2373" s="307" t="s">
        <v>131</v>
      </c>
      <c r="C2373" s="56">
        <v>46010</v>
      </c>
      <c r="E2373" s="139">
        <v>883</v>
      </c>
      <c r="F2373" s="311" t="s">
        <v>1951</v>
      </c>
      <c r="G2373" t="s">
        <v>1855</v>
      </c>
    </row>
    <row r="2374" spans="1:7">
      <c r="A2374" s="349" t="s">
        <v>410</v>
      </c>
      <c r="B2374" s="387" t="s">
        <v>156</v>
      </c>
      <c r="C2374" s="56">
        <v>46010</v>
      </c>
      <c r="E2374" s="139">
        <v>765</v>
      </c>
      <c r="G2374" t="s">
        <v>1855</v>
      </c>
    </row>
    <row r="2375" spans="1:7">
      <c r="A2375" s="349" t="s">
        <v>413</v>
      </c>
      <c r="B2375" s="307" t="s">
        <v>156</v>
      </c>
      <c r="C2375" s="56">
        <v>46010</v>
      </c>
      <c r="E2375" s="139">
        <v>560</v>
      </c>
      <c r="G2375" t="s">
        <v>1855</v>
      </c>
    </row>
    <row r="2376" spans="1:7">
      <c r="A2376" s="43" t="s">
        <v>310</v>
      </c>
      <c r="B2376" s="115" t="s">
        <v>1475</v>
      </c>
      <c r="C2376" s="56">
        <v>46010</v>
      </c>
      <c r="G2376" t="s">
        <v>1855</v>
      </c>
    </row>
    <row r="2377" spans="1:7">
      <c r="A2377" s="148" t="s">
        <v>320</v>
      </c>
      <c r="B2377" s="43" t="s">
        <v>1695</v>
      </c>
      <c r="C2377" s="56">
        <v>46010</v>
      </c>
      <c r="G2377" t="s">
        <v>1855</v>
      </c>
    </row>
    <row r="2378" spans="1:7">
      <c r="A2378" s="1363" t="s">
        <v>346</v>
      </c>
      <c r="B2378" s="1365" t="s">
        <v>131</v>
      </c>
      <c r="C2378" s="56">
        <v>46010</v>
      </c>
      <c r="G2378" t="s">
        <v>1855</v>
      </c>
    </row>
    <row r="2379" spans="1:7" ht="15.75">
      <c r="A2379" s="1364" t="s">
        <v>331</v>
      </c>
      <c r="B2379" s="1365" t="s">
        <v>131</v>
      </c>
      <c r="C2379" s="56">
        <v>46010</v>
      </c>
      <c r="G2379" t="s">
        <v>1855</v>
      </c>
    </row>
    <row r="2380" spans="1:7" ht="15.75">
      <c r="A2380" s="1364" t="s">
        <v>334</v>
      </c>
      <c r="B2380" s="1365" t="s">
        <v>131</v>
      </c>
      <c r="C2380" s="56">
        <v>46010</v>
      </c>
      <c r="G2380" t="s">
        <v>1855</v>
      </c>
    </row>
    <row r="2381" spans="1:7" ht="15.75">
      <c r="A2381" s="1364" t="s">
        <v>340</v>
      </c>
      <c r="B2381" s="1365" t="s">
        <v>131</v>
      </c>
      <c r="C2381" s="56">
        <v>46010</v>
      </c>
      <c r="G2381" t="s">
        <v>1855</v>
      </c>
    </row>
    <row r="2382" spans="1:7">
      <c r="A2382" s="1363" t="s">
        <v>337</v>
      </c>
      <c r="B2382" s="1365" t="s">
        <v>131</v>
      </c>
      <c r="C2382" s="56">
        <v>46010</v>
      </c>
      <c r="G2382" t="s">
        <v>1855</v>
      </c>
    </row>
    <row r="2383" spans="1:7">
      <c r="A2383" s="1363" t="s">
        <v>492</v>
      </c>
      <c r="B2383" s="1365" t="s">
        <v>131</v>
      </c>
      <c r="C2383" s="56">
        <v>46010</v>
      </c>
      <c r="G2383" t="s">
        <v>1855</v>
      </c>
    </row>
    <row r="2384" spans="1:7">
      <c r="A2384" s="1363" t="s">
        <v>353</v>
      </c>
      <c r="B2384" s="1365" t="s">
        <v>131</v>
      </c>
      <c r="C2384" s="56">
        <v>46010</v>
      </c>
      <c r="G2384" t="s">
        <v>1855</v>
      </c>
    </row>
    <row r="2385" spans="1:7">
      <c r="A2385" s="1363" t="s">
        <v>1105</v>
      </c>
      <c r="B2385" s="1365" t="s">
        <v>131</v>
      </c>
      <c r="C2385" s="56">
        <v>46010</v>
      </c>
      <c r="G2385" t="s">
        <v>1855</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1952</v>
      </c>
      <c r="W2" s="3" t="s">
        <v>1953</v>
      </c>
      <c r="X2" s="3" t="s">
        <v>1953</v>
      </c>
      <c r="Y2" s="3" t="s">
        <v>1953</v>
      </c>
      <c r="Z2" s="3" t="s">
        <v>1953</v>
      </c>
      <c r="AA2" s="8" t="s">
        <v>1954</v>
      </c>
      <c r="AB2" s="67"/>
    </row>
    <row r="3" spans="1:30" ht="15.75" thickBot="1">
      <c r="A3" s="4" t="s">
        <v>356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1955</v>
      </c>
      <c r="T3" s="19" t="s">
        <v>1956</v>
      </c>
      <c r="U3" s="19" t="s">
        <v>1957</v>
      </c>
      <c r="V3" s="5" t="s">
        <v>1958</v>
      </c>
      <c r="W3" s="5" t="s">
        <v>44</v>
      </c>
      <c r="X3" s="5" t="s">
        <v>43</v>
      </c>
      <c r="Y3" s="5" t="s">
        <v>1959</v>
      </c>
      <c r="Z3" s="5" t="s">
        <v>46</v>
      </c>
      <c r="AA3" s="89" t="s">
        <v>633</v>
      </c>
      <c r="AB3" s="68" t="s">
        <v>48</v>
      </c>
    </row>
    <row r="4" spans="1:30" ht="24.75" customHeight="1" thickBot="1">
      <c r="A4" s="440" t="s">
        <v>1960</v>
      </c>
      <c r="B4" s="440" t="s">
        <v>1961</v>
      </c>
      <c r="C4" s="16">
        <v>45717</v>
      </c>
      <c r="D4" s="63" t="s">
        <v>1962</v>
      </c>
      <c r="E4" s="51">
        <v>45707</v>
      </c>
      <c r="F4" s="51" t="s">
        <v>223</v>
      </c>
      <c r="G4" s="382" t="s">
        <v>1963</v>
      </c>
      <c r="H4" s="97">
        <v>0</v>
      </c>
      <c r="I4" s="105"/>
      <c r="J4" s="76" t="s">
        <v>63</v>
      </c>
      <c r="K4" s="76" t="s">
        <v>1964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1965</v>
      </c>
    </row>
    <row r="5" spans="1:30" ht="24.75" customHeight="1" thickBot="1">
      <c r="A5" s="440" t="s">
        <v>1966</v>
      </c>
      <c r="B5" s="440" t="s">
        <v>1961</v>
      </c>
      <c r="C5" s="16">
        <v>45717</v>
      </c>
      <c r="D5" s="63" t="s">
        <v>1962</v>
      </c>
      <c r="E5" s="51">
        <v>45707</v>
      </c>
      <c r="F5" s="381" t="s">
        <v>223</v>
      </c>
      <c r="G5" s="382" t="s">
        <v>1967</v>
      </c>
      <c r="H5" s="97">
        <v>0</v>
      </c>
      <c r="I5" s="105"/>
      <c r="J5" s="76" t="s">
        <v>63</v>
      </c>
      <c r="K5" s="76" t="s">
        <v>1964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1968</v>
      </c>
      <c r="B6" s="440" t="s">
        <v>1961</v>
      </c>
      <c r="C6" s="16">
        <v>45717</v>
      </c>
      <c r="D6" s="63" t="s">
        <v>1962</v>
      </c>
      <c r="E6" s="51">
        <v>45707</v>
      </c>
      <c r="F6" s="381" t="s">
        <v>223</v>
      </c>
      <c r="G6" s="382" t="s">
        <v>1969</v>
      </c>
      <c r="H6" s="97">
        <v>0</v>
      </c>
      <c r="I6" s="105"/>
      <c r="J6" s="76" t="s">
        <v>63</v>
      </c>
      <c r="K6" s="76" t="s">
        <v>1964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1970</v>
      </c>
      <c r="B8" s="440" t="s">
        <v>1971</v>
      </c>
      <c r="C8" s="16">
        <v>45748</v>
      </c>
      <c r="D8" s="16" t="s">
        <v>1962</v>
      </c>
      <c r="E8" s="94" t="s">
        <v>52</v>
      </c>
      <c r="F8" s="95" t="s">
        <v>52</v>
      </c>
      <c r="G8" s="620" t="s">
        <v>1972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1973</v>
      </c>
      <c r="AC8" s="435"/>
      <c r="AD8" s="70"/>
    </row>
    <row r="9" spans="1:30" ht="24.75" customHeight="1">
      <c r="A9" s="449" t="s">
        <v>1974</v>
      </c>
      <c r="B9" s="449" t="s">
        <v>1975</v>
      </c>
      <c r="C9" s="23">
        <v>45741</v>
      </c>
      <c r="D9" s="16" t="s">
        <v>1962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1976</v>
      </c>
    </row>
    <row r="10" spans="1:30" ht="24.75" customHeight="1" thickBot="1">
      <c r="A10" s="26" t="s">
        <v>1977</v>
      </c>
      <c r="B10" s="26" t="s">
        <v>1975</v>
      </c>
      <c r="C10" s="27">
        <v>45741</v>
      </c>
      <c r="D10" s="16" t="s">
        <v>1962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1978</v>
      </c>
      <c r="B11" s="36" t="s">
        <v>1975</v>
      </c>
      <c r="C11" s="37">
        <v>45747</v>
      </c>
      <c r="D11" s="16" t="s">
        <v>1962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1979</v>
      </c>
      <c r="B12" s="26" t="s">
        <v>1975</v>
      </c>
      <c r="C12" s="27">
        <v>45741</v>
      </c>
      <c r="D12" s="16" t="s">
        <v>1962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1976</v>
      </c>
    </row>
    <row r="13" spans="1:30" ht="24.75" customHeight="1" thickBot="1">
      <c r="A13" s="26" t="s">
        <v>1980</v>
      </c>
      <c r="B13" s="26" t="s">
        <v>1975</v>
      </c>
      <c r="C13" s="27">
        <v>45741</v>
      </c>
      <c r="D13" s="27" t="s">
        <v>1962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1976</v>
      </c>
    </row>
    <row r="14" spans="1:30" ht="24.75" customHeight="1" thickBot="1">
      <c r="A14" s="26" t="s">
        <v>1981</v>
      </c>
      <c r="B14" s="26" t="s">
        <v>1975</v>
      </c>
      <c r="C14" s="27">
        <v>45747</v>
      </c>
      <c r="D14" s="27" t="s">
        <v>1962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1982</v>
      </c>
      <c r="B15" s="26" t="s">
        <v>1975</v>
      </c>
      <c r="C15" s="27">
        <v>45741</v>
      </c>
      <c r="D15" s="27" t="s">
        <v>1962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1976</v>
      </c>
    </row>
    <row r="16" spans="1:30" ht="24.75" customHeight="1" thickBot="1">
      <c r="A16" s="26" t="s">
        <v>1983</v>
      </c>
      <c r="B16" s="26" t="s">
        <v>1975</v>
      </c>
      <c r="C16" s="27">
        <v>45741</v>
      </c>
      <c r="D16" s="27" t="s">
        <v>1962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1976</v>
      </c>
    </row>
    <row r="17" spans="1:30" ht="24.75" customHeight="1" thickBot="1">
      <c r="A17" s="36" t="s">
        <v>1984</v>
      </c>
      <c r="B17" s="36" t="s">
        <v>1975</v>
      </c>
      <c r="C17" s="37">
        <v>45747</v>
      </c>
      <c r="D17" s="37" t="s">
        <v>1962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1985</v>
      </c>
      <c r="B18" s="374" t="s">
        <v>1975</v>
      </c>
      <c r="C18" s="51">
        <v>45717</v>
      </c>
      <c r="D18" s="27" t="s">
        <v>1962</v>
      </c>
      <c r="E18" s="85">
        <v>45700</v>
      </c>
      <c r="F18" s="51"/>
      <c r="G18" s="51" t="s">
        <v>1986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1976</v>
      </c>
    </row>
    <row r="19" spans="1:30" ht="24.75" customHeight="1" thickBot="1">
      <c r="A19" s="50" t="s">
        <v>1987</v>
      </c>
      <c r="B19" s="26" t="s">
        <v>1975</v>
      </c>
      <c r="C19" s="51">
        <v>45747</v>
      </c>
      <c r="D19" s="27" t="s">
        <v>1962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1988</v>
      </c>
    </row>
    <row r="20" spans="1:30" ht="24.75" customHeight="1" thickBot="1">
      <c r="A20" s="374" t="s">
        <v>1989</v>
      </c>
      <c r="B20" s="374" t="s">
        <v>1975</v>
      </c>
      <c r="C20" s="375">
        <v>45717</v>
      </c>
      <c r="D20" s="27" t="s">
        <v>1962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1976</v>
      </c>
    </row>
    <row r="21" spans="1:30" ht="24.75" customHeight="1" thickBot="1">
      <c r="A21" s="374" t="s">
        <v>1990</v>
      </c>
      <c r="B21" s="112" t="s">
        <v>50</v>
      </c>
      <c r="C21" s="51">
        <v>45717</v>
      </c>
      <c r="D21" s="27" t="s">
        <v>1991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1992</v>
      </c>
      <c r="B22" s="378" t="s">
        <v>50</v>
      </c>
      <c r="C22" s="51">
        <v>45717</v>
      </c>
      <c r="D22" s="51" t="s">
        <v>1991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1994</v>
      </c>
      <c r="B24" s="378" t="s">
        <v>50</v>
      </c>
      <c r="C24" s="381">
        <v>45688</v>
      </c>
      <c r="D24" s="390" t="s">
        <v>1993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1995</v>
      </c>
      <c r="B25" s="113" t="s">
        <v>50</v>
      </c>
      <c r="C25" s="51">
        <v>45747</v>
      </c>
      <c r="D25" s="51" t="s">
        <v>1991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1996</v>
      </c>
    </row>
    <row r="26" spans="1:30" ht="24.75" customHeight="1">
      <c r="A26" s="101" t="s">
        <v>1997</v>
      </c>
      <c r="B26" s="102" t="s">
        <v>50</v>
      </c>
      <c r="C26" s="77">
        <v>45716</v>
      </c>
      <c r="D26" s="26" t="s">
        <v>1993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1998</v>
      </c>
      <c r="B27" s="102" t="s">
        <v>50</v>
      </c>
      <c r="C27" s="77">
        <v>45716</v>
      </c>
      <c r="D27" s="50" t="s">
        <v>1993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1999</v>
      </c>
      <c r="B28" s="1120" t="s">
        <v>50</v>
      </c>
      <c r="C28" s="1113">
        <v>45991</v>
      </c>
      <c r="D28" s="375" t="s">
        <v>71</v>
      </c>
      <c r="E28" s="77">
        <v>45734</v>
      </c>
      <c r="F28" s="1111" t="s">
        <v>61</v>
      </c>
      <c r="G28" s="1122" t="s">
        <v>2000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2001</v>
      </c>
      <c r="B29" s="1120" t="s">
        <v>50</v>
      </c>
      <c r="C29" s="1113">
        <v>46021</v>
      </c>
      <c r="D29" s="375" t="s">
        <v>71</v>
      </c>
      <c r="E29" s="77">
        <v>45743</v>
      </c>
      <c r="F29" s="1111" t="s">
        <v>61</v>
      </c>
      <c r="G29" s="1121" t="s">
        <v>2002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2003</v>
      </c>
      <c r="AC29" s="1117"/>
      <c r="AD29" s="1119"/>
    </row>
    <row r="30" spans="1:30" ht="24.75" customHeight="1">
      <c r="A30" s="374" t="s">
        <v>2004</v>
      </c>
      <c r="B30" s="669" t="s">
        <v>50</v>
      </c>
      <c r="C30" s="375">
        <v>45991</v>
      </c>
      <c r="D30" s="50" t="s">
        <v>71</v>
      </c>
      <c r="E30" s="51">
        <v>45743</v>
      </c>
      <c r="F30" s="50" t="s">
        <v>61</v>
      </c>
      <c r="G30" s="379" t="s">
        <v>2005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2006</v>
      </c>
      <c r="AC30" s="333"/>
      <c r="AD30" s="115"/>
    </row>
    <row r="31" spans="1:30" ht="24.75" customHeight="1">
      <c r="A31" s="374" t="s">
        <v>1053</v>
      </c>
      <c r="B31" s="669" t="s">
        <v>50</v>
      </c>
      <c r="C31" s="375">
        <v>46021</v>
      </c>
      <c r="D31" s="375" t="s">
        <v>71</v>
      </c>
      <c r="E31" s="51">
        <v>45735</v>
      </c>
      <c r="F31" s="50" t="s">
        <v>61</v>
      </c>
      <c r="G31" s="670" t="s">
        <v>2007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2008</v>
      </c>
      <c r="W31" s="34">
        <v>0</v>
      </c>
      <c r="X31" s="34">
        <v>0</v>
      </c>
      <c r="Y31" s="31">
        <v>0</v>
      </c>
      <c r="Z31" s="34">
        <v>0</v>
      </c>
      <c r="AA31" s="31">
        <v>0</v>
      </c>
      <c r="AB31" s="353" t="s">
        <v>2003</v>
      </c>
    </row>
    <row r="32" spans="1:30" ht="24.75" customHeight="1">
      <c r="A32" s="906" t="s">
        <v>2009</v>
      </c>
      <c r="B32" s="1112" t="s">
        <v>50</v>
      </c>
      <c r="C32" s="987">
        <v>45717</v>
      </c>
      <c r="D32" s="987" t="s">
        <v>1991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2010</v>
      </c>
      <c r="B33" s="991" t="s">
        <v>50</v>
      </c>
      <c r="C33" s="908">
        <v>45989</v>
      </c>
      <c r="D33" s="908" t="s">
        <v>2011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2012</v>
      </c>
    </row>
    <row r="34" spans="1:30" ht="24.75" customHeight="1">
      <c r="A34" s="906" t="s">
        <v>2013</v>
      </c>
      <c r="B34" s="1112" t="s">
        <v>50</v>
      </c>
      <c r="C34" s="987">
        <v>45717</v>
      </c>
      <c r="D34" s="987" t="s">
        <v>1991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2014</v>
      </c>
      <c r="B35" s="1112" t="s">
        <v>50</v>
      </c>
      <c r="C35" s="987">
        <v>45717</v>
      </c>
      <c r="D35" s="987" t="s">
        <v>1991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2015</v>
      </c>
      <c r="B36" s="1112" t="s">
        <v>50</v>
      </c>
      <c r="C36" s="987">
        <v>45717</v>
      </c>
      <c r="D36" s="987" t="s">
        <v>1991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2016</v>
      </c>
      <c r="Q1" s="159" t="s">
        <v>2017</v>
      </c>
      <c r="R1" s="127" t="s">
        <v>2018</v>
      </c>
      <c r="S1" s="127" t="s">
        <v>2019</v>
      </c>
      <c r="T1" s="159" t="s">
        <v>2020</v>
      </c>
      <c r="U1" s="127" t="s">
        <v>1180</v>
      </c>
      <c r="V1" s="160" t="s">
        <v>2021</v>
      </c>
      <c r="W1" s="160" t="s">
        <v>2022</v>
      </c>
      <c r="X1" s="163" t="s">
        <v>2023</v>
      </c>
      <c r="Y1" s="258" t="e" cm="1">
        <f t="array" ref="Y1">VLOOKUP(#REF!,#REF!, FALSE)</f>
        <v>#REF!</v>
      </c>
    </row>
    <row r="2" spans="1:25">
      <c r="A2" s="178" t="s">
        <v>527</v>
      </c>
      <c r="B2" s="180" t="s">
        <v>222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222</v>
      </c>
      <c r="C3" s="689">
        <v>45742</v>
      </c>
      <c r="D3" s="690" t="s">
        <v>532</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2024</v>
      </c>
      <c r="B4" s="407" t="s">
        <v>222</v>
      </c>
      <c r="C4" s="408">
        <v>45742</v>
      </c>
      <c r="D4" s="696" t="s">
        <v>2025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222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222</v>
      </c>
      <c r="C6" s="408">
        <v>45747</v>
      </c>
      <c r="D6" s="693" t="s">
        <v>637</v>
      </c>
      <c r="E6" s="190"/>
      <c r="F6" s="137"/>
      <c r="G6" s="137"/>
      <c r="H6" s="185">
        <v>56</v>
      </c>
      <c r="I6" s="181"/>
      <c r="J6" s="188" t="s">
        <v>57</v>
      </c>
      <c r="K6" s="188" t="s">
        <v>57</v>
      </c>
      <c r="L6" s="185" t="s">
        <v>63</v>
      </c>
      <c r="M6" s="195">
        <v>45701</v>
      </c>
      <c r="N6" s="30" t="s">
        <v>218</v>
      </c>
      <c r="O6" s="356">
        <v>45718</v>
      </c>
      <c r="P6" s="30" t="s">
        <v>218</v>
      </c>
      <c r="Q6" s="334" t="s">
        <v>218</v>
      </c>
      <c r="R6" s="43" t="s">
        <v>2026</v>
      </c>
      <c r="S6" s="43" t="s">
        <v>218</v>
      </c>
      <c r="T6" s="43" t="s">
        <v>218</v>
      </c>
      <c r="U6" s="157" t="s">
        <v>218</v>
      </c>
      <c r="V6" s="69" t="s">
        <v>90</v>
      </c>
      <c r="W6" s="79"/>
      <c r="X6" s="69" t="s">
        <v>90</v>
      </c>
      <c r="Y6" t="e">
        <f>VLOOKUP(A6,#REF!,2,FALSE)</f>
        <v>#REF!</v>
      </c>
    </row>
    <row r="7" spans="1:25">
      <c r="A7" s="385" t="s">
        <v>1004</v>
      </c>
      <c r="B7" s="686" t="s">
        <v>222</v>
      </c>
      <c r="C7" s="386">
        <v>45742</v>
      </c>
      <c r="D7" s="411" t="s">
        <v>540</v>
      </c>
      <c r="E7" s="522"/>
      <c r="F7" s="523"/>
      <c r="G7" s="523"/>
      <c r="H7" s="179">
        <v>60</v>
      </c>
      <c r="I7" s="181"/>
      <c r="J7" s="185" t="s">
        <v>57</v>
      </c>
      <c r="K7" s="185" t="s">
        <v>57</v>
      </c>
      <c r="L7" s="185" t="s">
        <v>63</v>
      </c>
      <c r="M7" s="193">
        <v>45716</v>
      </c>
      <c r="N7" s="30" t="s">
        <v>218</v>
      </c>
      <c r="O7" s="79" t="s">
        <v>218</v>
      </c>
      <c r="P7" s="30" t="s">
        <v>218</v>
      </c>
      <c r="Q7" s="334" t="s">
        <v>218</v>
      </c>
      <c r="R7" s="43" t="s">
        <v>2026</v>
      </c>
      <c r="S7" s="43" t="s">
        <v>218</v>
      </c>
      <c r="T7" s="43" t="s">
        <v>218</v>
      </c>
      <c r="U7" s="43" t="s">
        <v>218</v>
      </c>
      <c r="V7" s="69" t="s">
        <v>90</v>
      </c>
      <c r="W7" s="30"/>
      <c r="X7" s="69" t="s">
        <v>90</v>
      </c>
      <c r="Y7" t="e">
        <f>VLOOKUP(A7,#REF!,2,FALSE)</f>
        <v>#REF!</v>
      </c>
    </row>
    <row r="8" spans="1:25">
      <c r="A8" s="175" t="s">
        <v>536</v>
      </c>
      <c r="B8" s="180" t="s">
        <v>222</v>
      </c>
      <c r="C8" s="176">
        <v>45742</v>
      </c>
      <c r="D8" s="185" t="s">
        <v>2027</v>
      </c>
      <c r="E8" s="120"/>
      <c r="F8" s="108"/>
      <c r="G8" s="108"/>
      <c r="H8" s="179">
        <v>84</v>
      </c>
      <c r="I8" s="181"/>
      <c r="J8" s="185" t="s">
        <v>57</v>
      </c>
      <c r="K8" s="185" t="s">
        <v>57</v>
      </c>
      <c r="L8" s="185" t="s">
        <v>63</v>
      </c>
      <c r="M8" s="193">
        <v>45716</v>
      </c>
      <c r="N8" s="30" t="s">
        <v>218</v>
      </c>
      <c r="O8" s="30" t="s">
        <v>218</v>
      </c>
      <c r="P8" s="711" t="s">
        <v>218</v>
      </c>
      <c r="Q8" s="69" t="s">
        <v>218</v>
      </c>
      <c r="R8" s="43" t="s">
        <v>2026</v>
      </c>
      <c r="S8" s="43" t="s">
        <v>218</v>
      </c>
      <c r="T8" s="43" t="s">
        <v>218</v>
      </c>
      <c r="U8" s="43" t="s">
        <v>218</v>
      </c>
      <c r="V8" s="69" t="s">
        <v>90</v>
      </c>
      <c r="W8" s="30"/>
      <c r="X8" s="69" t="s">
        <v>90</v>
      </c>
      <c r="Y8" t="e">
        <f>VLOOKUP(A8,#REF!,2,FALSE)</f>
        <v>#REF!</v>
      </c>
    </row>
    <row r="9" spans="1:25">
      <c r="A9" s="175" t="s">
        <v>1006</v>
      </c>
      <c r="B9" s="180" t="s">
        <v>222</v>
      </c>
      <c r="C9" s="176">
        <v>45742</v>
      </c>
      <c r="D9" s="519" t="s">
        <v>537</v>
      </c>
      <c r="E9" s="191"/>
      <c r="F9" s="138"/>
      <c r="G9" s="138"/>
      <c r="H9" s="185">
        <v>79</v>
      </c>
      <c r="I9" s="181"/>
      <c r="J9" s="185" t="s">
        <v>57</v>
      </c>
      <c r="K9" s="185" t="s">
        <v>57</v>
      </c>
      <c r="L9" s="185" t="s">
        <v>63</v>
      </c>
      <c r="M9" s="193">
        <v>45716</v>
      </c>
      <c r="N9" s="119" t="s">
        <v>218</v>
      </c>
      <c r="O9" s="54">
        <v>45718</v>
      </c>
      <c r="P9" s="119" t="s">
        <v>218</v>
      </c>
      <c r="Q9" s="69" t="s">
        <v>218</v>
      </c>
      <c r="R9" s="43" t="s">
        <v>2026</v>
      </c>
      <c r="S9" s="43" t="s">
        <v>218</v>
      </c>
      <c r="T9" s="43" t="s">
        <v>218</v>
      </c>
      <c r="U9" s="43" t="s">
        <v>218</v>
      </c>
      <c r="V9" s="69" t="s">
        <v>90</v>
      </c>
      <c r="W9" s="30"/>
      <c r="X9" s="69" t="s">
        <v>90</v>
      </c>
      <c r="Y9" t="e">
        <f>VLOOKUP(A9,#REF!,2,FALSE)</f>
        <v>#REF!</v>
      </c>
    </row>
    <row r="10" spans="1:25">
      <c r="A10" s="175" t="s">
        <v>1008</v>
      </c>
      <c r="B10" s="180" t="s">
        <v>222</v>
      </c>
      <c r="C10" s="314">
        <v>45742</v>
      </c>
      <c r="D10" s="410" t="s">
        <v>1007</v>
      </c>
      <c r="E10" s="191"/>
      <c r="F10" s="138"/>
      <c r="G10" s="138"/>
      <c r="H10" s="185">
        <v>83</v>
      </c>
      <c r="I10" s="181"/>
      <c r="J10" s="185" t="s">
        <v>57</v>
      </c>
      <c r="K10" s="185" t="s">
        <v>57</v>
      </c>
      <c r="L10" s="185" t="s">
        <v>63</v>
      </c>
      <c r="M10" s="193">
        <v>45716</v>
      </c>
      <c r="N10" s="30" t="s">
        <v>218</v>
      </c>
      <c r="O10" s="30" t="s">
        <v>218</v>
      </c>
      <c r="P10" s="30" t="s">
        <v>218</v>
      </c>
      <c r="Q10" s="43" t="s">
        <v>218</v>
      </c>
      <c r="R10" s="43" t="s">
        <v>2026</v>
      </c>
      <c r="S10" s="43" t="s">
        <v>218</v>
      </c>
      <c r="T10" s="43" t="s">
        <v>218</v>
      </c>
      <c r="U10" s="161" t="s">
        <v>218</v>
      </c>
      <c r="V10" s="334" t="s">
        <v>90</v>
      </c>
      <c r="W10" s="30"/>
      <c r="X10" s="69" t="s">
        <v>90</v>
      </c>
      <c r="Y10" t="e">
        <f>VLOOKUP(A10,#REF!,2,FALSE)</f>
        <v>#REF!</v>
      </c>
    </row>
    <row r="11" spans="1:25">
      <c r="A11" s="181" t="s">
        <v>538</v>
      </c>
      <c r="B11" s="422" t="s">
        <v>222</v>
      </c>
      <c r="C11" s="176">
        <v>45991</v>
      </c>
      <c r="D11" s="534" t="s">
        <v>540</v>
      </c>
      <c r="E11" s="120">
        <v>31</v>
      </c>
      <c r="F11" s="108"/>
      <c r="G11" s="108"/>
      <c r="H11" s="185">
        <v>31</v>
      </c>
      <c r="I11" s="181"/>
      <c r="J11" s="185" t="s">
        <v>57</v>
      </c>
      <c r="K11" s="185" t="s">
        <v>57</v>
      </c>
      <c r="L11" s="185" t="s">
        <v>63</v>
      </c>
      <c r="M11" s="195">
        <v>45716</v>
      </c>
      <c r="N11" s="30" t="s">
        <v>64</v>
      </c>
      <c r="O11" s="54">
        <v>45716</v>
      </c>
      <c r="P11" s="87" t="s">
        <v>218</v>
      </c>
      <c r="Q11" s="69" t="s">
        <v>218</v>
      </c>
      <c r="R11" s="43" t="s">
        <v>2026</v>
      </c>
      <c r="S11" s="43" t="s">
        <v>218</v>
      </c>
      <c r="T11" s="43" t="s">
        <v>218</v>
      </c>
      <c r="U11" s="334" t="s">
        <v>90</v>
      </c>
      <c r="V11" s="69" t="s">
        <v>90</v>
      </c>
      <c r="W11" s="30"/>
      <c r="X11" s="43"/>
    </row>
    <row r="12" spans="1:25">
      <c r="A12" s="175" t="s">
        <v>377</v>
      </c>
      <c r="B12" s="180" t="s">
        <v>222</v>
      </c>
      <c r="C12" s="176">
        <v>45772</v>
      </c>
      <c r="D12" s="199" t="s">
        <v>540</v>
      </c>
      <c r="E12" s="191"/>
      <c r="F12" s="138"/>
      <c r="G12" s="138"/>
      <c r="H12" s="185">
        <v>31</v>
      </c>
      <c r="I12" s="181"/>
      <c r="J12" s="185" t="s">
        <v>57</v>
      </c>
      <c r="K12" s="185" t="s">
        <v>57</v>
      </c>
      <c r="L12" s="185" t="s">
        <v>63</v>
      </c>
      <c r="M12" s="193">
        <v>45716</v>
      </c>
      <c r="N12" s="30" t="s">
        <v>64</v>
      </c>
      <c r="O12" s="54">
        <v>45716</v>
      </c>
      <c r="P12" s="87" t="s">
        <v>218</v>
      </c>
      <c r="Q12" s="69" t="s">
        <v>218</v>
      </c>
      <c r="R12" s="43" t="s">
        <v>2026</v>
      </c>
      <c r="S12" s="43" t="s">
        <v>218</v>
      </c>
      <c r="T12" s="43" t="s">
        <v>218</v>
      </c>
      <c r="U12" s="69" t="s">
        <v>90</v>
      </c>
      <c r="V12" s="69" t="s">
        <v>90</v>
      </c>
      <c r="W12" s="30"/>
      <c r="X12" s="69" t="s">
        <v>90</v>
      </c>
      <c r="Y12" t="e">
        <f>VLOOKUP(A12,#REF!,2,FALSE)</f>
        <v>#REF!</v>
      </c>
    </row>
    <row r="13" spans="1:25">
      <c r="A13" s="178" t="s">
        <v>288</v>
      </c>
      <c r="B13" s="180" t="s">
        <v>222</v>
      </c>
      <c r="C13" s="409">
        <v>45960</v>
      </c>
      <c r="D13" s="418" t="s">
        <v>2028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222</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222</v>
      </c>
      <c r="C15" s="314">
        <v>45711</v>
      </c>
      <c r="D15" s="635" t="s">
        <v>906</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2029</v>
      </c>
      <c r="Y15" t="e">
        <f>VLOOKUP(A15,#REF!,2,FALSE)</f>
        <v>#REF!</v>
      </c>
    </row>
    <row r="16" spans="1:25">
      <c r="A16" s="175" t="s">
        <v>639</v>
      </c>
      <c r="B16" s="180" t="s">
        <v>222</v>
      </c>
      <c r="C16" s="314">
        <v>45742</v>
      </c>
      <c r="D16" s="699" t="s">
        <v>641</v>
      </c>
      <c r="E16" s="191"/>
      <c r="F16" s="138"/>
      <c r="G16" s="138"/>
      <c r="H16" s="185">
        <v>0</v>
      </c>
      <c r="I16" s="181"/>
      <c r="J16" s="185" t="s">
        <v>57</v>
      </c>
      <c r="K16" s="185" t="s">
        <v>57</v>
      </c>
      <c r="L16" s="185" t="s">
        <v>63</v>
      </c>
      <c r="M16" s="195" t="s">
        <v>2030</v>
      </c>
      <c r="N16" s="30" t="s">
        <v>218</v>
      </c>
      <c r="O16" s="54" t="s">
        <v>2030</v>
      </c>
      <c r="P16" s="30" t="s">
        <v>218</v>
      </c>
      <c r="Q16" s="69" t="s">
        <v>218</v>
      </c>
      <c r="R16" s="43" t="s">
        <v>218</v>
      </c>
      <c r="S16" s="43" t="s">
        <v>56</v>
      </c>
      <c r="T16" s="43" t="s">
        <v>218</v>
      </c>
      <c r="U16" s="69" t="s">
        <v>90</v>
      </c>
      <c r="V16" s="69" t="s">
        <v>90</v>
      </c>
      <c r="W16" s="30"/>
      <c r="X16" s="69" t="s">
        <v>90</v>
      </c>
      <c r="Y16" t="e">
        <f>VLOOKUP(A16,#REF!,2,FALSE)</f>
        <v>#REF!</v>
      </c>
    </row>
    <row r="17" spans="1:25">
      <c r="A17" s="178" t="s">
        <v>541</v>
      </c>
      <c r="B17" s="180" t="s">
        <v>222</v>
      </c>
      <c r="C17" s="177">
        <v>45991</v>
      </c>
      <c r="D17" s="714" t="s">
        <v>542</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543</v>
      </c>
      <c r="B18" s="180" t="s">
        <v>222</v>
      </c>
      <c r="C18" s="409">
        <v>45991</v>
      </c>
      <c r="D18" s="410" t="s">
        <v>544</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2029</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2029</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2029</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2029</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2029</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659</v>
      </c>
      <c r="B29" s="175" t="s">
        <v>111</v>
      </c>
      <c r="C29" s="176">
        <v>45711</v>
      </c>
      <c r="D29" s="199" t="s">
        <v>379</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2029</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2029</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218</v>
      </c>
      <c r="O31" s="54">
        <v>45707</v>
      </c>
      <c r="P31" s="87" t="s">
        <v>218</v>
      </c>
      <c r="Q31" s="43" t="s">
        <v>218</v>
      </c>
      <c r="R31" s="43" t="s">
        <v>2026</v>
      </c>
      <c r="S31" s="43" t="s">
        <v>218</v>
      </c>
      <c r="T31" s="139" t="s">
        <v>218</v>
      </c>
      <c r="U31" s="115" t="s">
        <v>218</v>
      </c>
      <c r="V31" s="69" t="s">
        <v>218</v>
      </c>
      <c r="W31" s="54">
        <v>45779</v>
      </c>
      <c r="X31" s="69" t="s">
        <v>2029</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218</v>
      </c>
      <c r="O32" s="54">
        <v>45756</v>
      </c>
      <c r="P32" s="30" t="s">
        <v>218</v>
      </c>
      <c r="Q32" s="69" t="s">
        <v>218</v>
      </c>
      <c r="R32" s="69" t="s">
        <v>2026</v>
      </c>
      <c r="S32" s="43" t="s">
        <v>218</v>
      </c>
      <c r="T32" s="139" t="s">
        <v>218</v>
      </c>
      <c r="U32" s="43" t="s">
        <v>218</v>
      </c>
      <c r="V32" s="69" t="s">
        <v>218</v>
      </c>
      <c r="W32" s="54">
        <v>45792</v>
      </c>
      <c r="X32" s="69" t="s">
        <v>2029</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218</v>
      </c>
      <c r="O33" s="124">
        <v>45749</v>
      </c>
      <c r="P33" s="30" t="s">
        <v>218</v>
      </c>
      <c r="Q33" s="69" t="s">
        <v>218</v>
      </c>
      <c r="R33" s="69" t="s">
        <v>2026</v>
      </c>
      <c r="S33" s="43" t="s">
        <v>218</v>
      </c>
      <c r="T33" s="139" t="s">
        <v>218</v>
      </c>
      <c r="U33" s="43" t="s">
        <v>218</v>
      </c>
      <c r="V33" s="334" t="s">
        <v>218</v>
      </c>
      <c r="W33" s="54">
        <v>45812</v>
      </c>
      <c r="X33" s="69" t="s">
        <v>2029</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218</v>
      </c>
      <c r="O34" s="124">
        <v>45750</v>
      </c>
      <c r="P34" s="30" t="s">
        <v>218</v>
      </c>
      <c r="Q34" s="69" t="s">
        <v>218</v>
      </c>
      <c r="R34" s="69" t="s">
        <v>2026</v>
      </c>
      <c r="S34" s="43" t="s">
        <v>218</v>
      </c>
      <c r="T34" s="139" t="s">
        <v>218</v>
      </c>
      <c r="U34" s="43" t="s">
        <v>218</v>
      </c>
      <c r="V34" s="404" t="s">
        <v>218</v>
      </c>
      <c r="W34" s="166">
        <v>45797</v>
      </c>
      <c r="X34" s="69" t="s">
        <v>2029</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218</v>
      </c>
      <c r="O35" s="124">
        <v>45659</v>
      </c>
      <c r="P35" s="87" t="s">
        <v>218</v>
      </c>
      <c r="Q35" s="43" t="s">
        <v>218</v>
      </c>
      <c r="R35" s="43" t="s">
        <v>2026</v>
      </c>
      <c r="S35" s="43" t="s">
        <v>218</v>
      </c>
      <c r="T35" s="139" t="s">
        <v>218</v>
      </c>
      <c r="U35" s="169" t="s">
        <v>218</v>
      </c>
      <c r="V35" s="69" t="s">
        <v>218</v>
      </c>
      <c r="W35" s="54">
        <v>45789</v>
      </c>
      <c r="X35" s="334" t="s">
        <v>2029</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218</v>
      </c>
      <c r="O36" s="124">
        <v>45659</v>
      </c>
      <c r="P36" s="87" t="s">
        <v>218</v>
      </c>
      <c r="Q36" s="43" t="s">
        <v>218</v>
      </c>
      <c r="R36" s="43" t="s">
        <v>2026</v>
      </c>
      <c r="S36" s="43" t="s">
        <v>218</v>
      </c>
      <c r="T36" s="139" t="s">
        <v>218</v>
      </c>
      <c r="U36" s="43" t="s">
        <v>218</v>
      </c>
      <c r="V36" s="69" t="s">
        <v>218</v>
      </c>
      <c r="W36" s="54">
        <v>45824</v>
      </c>
      <c r="X36" s="334" t="s">
        <v>2029</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218</v>
      </c>
      <c r="N37" s="30" t="s">
        <v>218</v>
      </c>
      <c r="O37" s="124">
        <v>45672</v>
      </c>
      <c r="P37" s="30" t="s">
        <v>218</v>
      </c>
      <c r="Q37" s="43" t="s">
        <v>218</v>
      </c>
      <c r="R37" s="43" t="s">
        <v>2026</v>
      </c>
      <c r="S37" s="43" t="s">
        <v>218</v>
      </c>
      <c r="T37" s="43" t="s">
        <v>218</v>
      </c>
      <c r="U37" s="169" t="s">
        <v>218</v>
      </c>
      <c r="V37" s="69" t="s">
        <v>218</v>
      </c>
      <c r="W37" s="156">
        <v>45789</v>
      </c>
      <c r="X37" s="69" t="s">
        <v>2029</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218</v>
      </c>
      <c r="O38" s="124">
        <v>45673</v>
      </c>
      <c r="P38" s="30" t="s">
        <v>218</v>
      </c>
      <c r="Q38" s="43" t="s">
        <v>218</v>
      </c>
      <c r="R38" s="43" t="s">
        <v>2026</v>
      </c>
      <c r="S38" s="43" t="s">
        <v>218</v>
      </c>
      <c r="T38" s="43" t="s">
        <v>218</v>
      </c>
      <c r="U38" s="169" t="s">
        <v>218</v>
      </c>
      <c r="V38" s="69" t="s">
        <v>218</v>
      </c>
      <c r="W38" s="54">
        <v>45789</v>
      </c>
      <c r="X38" s="69" t="s">
        <v>2029</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218</v>
      </c>
      <c r="N39" s="30" t="s">
        <v>218</v>
      </c>
      <c r="O39" s="124">
        <v>45672</v>
      </c>
      <c r="P39" s="30" t="s">
        <v>218</v>
      </c>
      <c r="Q39" s="43" t="s">
        <v>218</v>
      </c>
      <c r="R39" s="43" t="s">
        <v>2026</v>
      </c>
      <c r="S39" s="43" t="s">
        <v>218</v>
      </c>
      <c r="T39" s="43" t="s">
        <v>218</v>
      </c>
      <c r="U39" s="169" t="s">
        <v>218</v>
      </c>
      <c r="V39" s="69" t="s">
        <v>218</v>
      </c>
      <c r="W39" s="54">
        <v>45789</v>
      </c>
      <c r="X39" s="69" t="s">
        <v>2029</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2029</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2029</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2029</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2029</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2029</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2029</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2029</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2029</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2029</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2029</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2029</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2029</v>
      </c>
    </row>
    <row r="54" spans="1:56">
      <c r="A54" s="178" t="s">
        <v>939</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218</v>
      </c>
      <c r="O57" s="124">
        <v>45783</v>
      </c>
      <c r="P57" s="328" t="s">
        <v>218</v>
      </c>
      <c r="Q57" s="43" t="s">
        <v>218</v>
      </c>
      <c r="R57" s="43" t="s">
        <v>2026</v>
      </c>
      <c r="S57" s="43" t="s">
        <v>218</v>
      </c>
      <c r="T57" s="43" t="s">
        <v>218</v>
      </c>
      <c r="U57" s="43" t="s">
        <v>218</v>
      </c>
      <c r="V57" s="69" t="s">
        <v>218</v>
      </c>
      <c r="W57" s="54">
        <v>45813</v>
      </c>
      <c r="X57" s="69" t="s">
        <v>2029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218</v>
      </c>
      <c r="O58" s="54">
        <v>45776</v>
      </c>
      <c r="P58" s="328" t="s">
        <v>218</v>
      </c>
      <c r="Q58" s="43" t="s">
        <v>218</v>
      </c>
      <c r="R58" s="43" t="s">
        <v>2026</v>
      </c>
      <c r="S58" s="43" t="s">
        <v>218</v>
      </c>
      <c r="T58" s="43" t="s">
        <v>218</v>
      </c>
      <c r="U58" s="43" t="s">
        <v>218</v>
      </c>
      <c r="V58" s="334" t="s">
        <v>218</v>
      </c>
      <c r="W58" s="54">
        <v>45796</v>
      </c>
      <c r="X58" s="69" t="s">
        <v>2029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218</v>
      </c>
      <c r="O59" s="30" t="s">
        <v>2008</v>
      </c>
      <c r="P59" s="328" t="s">
        <v>218</v>
      </c>
      <c r="Q59" s="43" t="s">
        <v>218</v>
      </c>
      <c r="R59" s="43" t="s">
        <v>2026</v>
      </c>
      <c r="S59" s="43" t="s">
        <v>218</v>
      </c>
      <c r="T59" s="43" t="s">
        <v>218</v>
      </c>
      <c r="U59" s="43" t="s">
        <v>218</v>
      </c>
      <c r="V59" s="334" t="s">
        <v>218</v>
      </c>
      <c r="W59" s="54">
        <v>45796</v>
      </c>
      <c r="X59" s="69" t="s">
        <v>2029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218</v>
      </c>
      <c r="O60" s="54">
        <v>45812</v>
      </c>
      <c r="P60" s="328" t="s">
        <v>218</v>
      </c>
      <c r="Q60" s="43" t="s">
        <v>218</v>
      </c>
      <c r="R60" s="43" t="s">
        <v>2026</v>
      </c>
      <c r="S60" s="43" t="s">
        <v>218</v>
      </c>
      <c r="T60" s="43" t="s">
        <v>218</v>
      </c>
      <c r="U60" s="43" t="s">
        <v>218</v>
      </c>
      <c r="V60" s="334" t="s">
        <v>218</v>
      </c>
      <c r="W60" s="54">
        <v>45824</v>
      </c>
      <c r="X60" s="69" t="s">
        <v>2029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2031</v>
      </c>
      <c r="B81" s="529" t="s">
        <v>111</v>
      </c>
      <c r="C81" s="176">
        <v>45688</v>
      </c>
      <c r="D81" s="619" t="s">
        <v>756</v>
      </c>
      <c r="E81" s="172"/>
      <c r="F81" s="129"/>
      <c r="G81" s="129"/>
      <c r="H81" s="179">
        <v>48</v>
      </c>
      <c r="I81" s="181"/>
      <c r="J81" s="179" t="s">
        <v>57</v>
      </c>
      <c r="K81" s="179" t="s">
        <v>57</v>
      </c>
      <c r="L81" s="179" t="s">
        <v>56</v>
      </c>
      <c r="M81" s="100" t="s">
        <v>218</v>
      </c>
      <c r="N81" s="87" t="s">
        <v>218</v>
      </c>
      <c r="O81" s="124">
        <v>45678</v>
      </c>
      <c r="P81" s="87" t="s">
        <v>218</v>
      </c>
      <c r="Q81" s="43" t="s">
        <v>218</v>
      </c>
      <c r="R81" s="43" t="s">
        <v>2026</v>
      </c>
      <c r="S81" s="43" t="s">
        <v>218</v>
      </c>
      <c r="T81" s="43" t="s">
        <v>218</v>
      </c>
      <c r="U81" s="115" t="s">
        <v>218</v>
      </c>
      <c r="V81" s="69" t="s">
        <v>218</v>
      </c>
      <c r="W81" s="54">
        <v>45789</v>
      </c>
      <c r="X81" s="69" t="s">
        <v>2029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2026</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218</v>
      </c>
      <c r="O84" s="54">
        <v>45728</v>
      </c>
      <c r="P84" s="30" t="s">
        <v>218</v>
      </c>
      <c r="Q84" s="169" t="s">
        <v>218</v>
      </c>
      <c r="R84" s="169" t="s">
        <v>2026</v>
      </c>
      <c r="S84" s="169" t="s">
        <v>218</v>
      </c>
      <c r="T84" s="169" t="s">
        <v>218</v>
      </c>
      <c r="U84" s="91" t="s">
        <v>218</v>
      </c>
      <c r="V84" s="69" t="s">
        <v>218</v>
      </c>
      <c r="W84" s="195">
        <v>45875</v>
      </c>
      <c r="X84" s="69" t="s">
        <v>2029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218</v>
      </c>
      <c r="O85" s="54">
        <v>45719</v>
      </c>
      <c r="P85" s="30" t="s">
        <v>218</v>
      </c>
      <c r="Q85" s="43" t="s">
        <v>218</v>
      </c>
      <c r="R85" s="169" t="s">
        <v>2026</v>
      </c>
      <c r="S85" s="169" t="s">
        <v>218</v>
      </c>
      <c r="T85" s="169" t="s">
        <v>218</v>
      </c>
      <c r="U85" s="91" t="s">
        <v>218</v>
      </c>
      <c r="V85" s="91" t="s">
        <v>218</v>
      </c>
      <c r="W85" s="195">
        <v>45874</v>
      </c>
      <c r="X85" s="69" t="s">
        <v>2029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218</v>
      </c>
      <c r="O86" s="195">
        <v>45728</v>
      </c>
      <c r="P86" s="30" t="s">
        <v>218</v>
      </c>
      <c r="Q86" s="43" t="s">
        <v>218</v>
      </c>
      <c r="R86" s="43" t="s">
        <v>2026</v>
      </c>
      <c r="S86" s="43" t="s">
        <v>218</v>
      </c>
      <c r="T86" s="43" t="s">
        <v>218</v>
      </c>
      <c r="U86" s="69" t="s">
        <v>218</v>
      </c>
      <c r="V86" s="69" t="s">
        <v>218</v>
      </c>
      <c r="W86" s="54">
        <v>45824</v>
      </c>
      <c r="X86" s="69" t="s">
        <v>2029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218</v>
      </c>
      <c r="O87" s="30" t="s">
        <v>218</v>
      </c>
      <c r="P87" s="30" t="s">
        <v>218</v>
      </c>
      <c r="Q87" s="43" t="s">
        <v>218</v>
      </c>
      <c r="R87" s="43" t="s">
        <v>2026</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218</v>
      </c>
      <c r="O88" s="54">
        <v>45728</v>
      </c>
      <c r="P88" s="30" t="s">
        <v>218</v>
      </c>
      <c r="Q88" s="43" t="s">
        <v>218</v>
      </c>
      <c r="R88" s="43" t="s">
        <v>2026</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218</v>
      </c>
      <c r="O89" s="54">
        <v>45722</v>
      </c>
      <c r="P89" s="30" t="s">
        <v>218</v>
      </c>
      <c r="Q89" s="69" t="s">
        <v>218</v>
      </c>
      <c r="R89" s="43" t="s">
        <v>2026</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218</v>
      </c>
      <c r="O90" s="54">
        <v>45727</v>
      </c>
      <c r="P90" s="30" t="s">
        <v>218</v>
      </c>
      <c r="Q90" s="69" t="s">
        <v>218</v>
      </c>
      <c r="R90" s="43" t="s">
        <v>2026</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218</v>
      </c>
      <c r="O91" s="54">
        <v>45723</v>
      </c>
      <c r="P91" s="30" t="s">
        <v>218</v>
      </c>
      <c r="Q91" s="69" t="s">
        <v>218</v>
      </c>
      <c r="R91" s="43" t="s">
        <v>2026</v>
      </c>
      <c r="S91" s="69" t="s">
        <v>218</v>
      </c>
      <c r="T91" s="69" t="s">
        <v>218</v>
      </c>
      <c r="U91" s="69" t="s">
        <v>218</v>
      </c>
      <c r="V91" s="69" t="s">
        <v>218</v>
      </c>
      <c r="W91" s="54">
        <v>45831</v>
      </c>
      <c r="X91" s="69" t="s">
        <v>2029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218</v>
      </c>
      <c r="O92" s="54">
        <v>45726</v>
      </c>
      <c r="P92" s="30" t="s">
        <v>218</v>
      </c>
      <c r="Q92" s="148" t="s">
        <v>218</v>
      </c>
      <c r="R92" s="43" t="s">
        <v>2026</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218</v>
      </c>
      <c r="O93" s="54">
        <v>45727</v>
      </c>
      <c r="P93" s="79" t="s">
        <v>218</v>
      </c>
      <c r="Q93" s="43" t="s">
        <v>218</v>
      </c>
      <c r="R93" s="43" t="s">
        <v>2026</v>
      </c>
      <c r="S93" s="43" t="s">
        <v>218</v>
      </c>
      <c r="T93" s="43" t="s">
        <v>218</v>
      </c>
      <c r="U93" s="334" t="s">
        <v>218</v>
      </c>
      <c r="V93" s="69" t="s">
        <v>218</v>
      </c>
      <c r="W93" s="54">
        <v>45789</v>
      </c>
      <c r="X93" s="69" t="s">
        <v>2029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218</v>
      </c>
      <c r="O94" s="54">
        <v>45693</v>
      </c>
      <c r="P94" s="79" t="s">
        <v>218</v>
      </c>
      <c r="Q94" s="69" t="s">
        <v>218</v>
      </c>
      <c r="R94" s="69" t="s">
        <v>2026</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218</v>
      </c>
      <c r="O95" s="195">
        <v>45694</v>
      </c>
      <c r="P95" s="79" t="s">
        <v>218</v>
      </c>
      <c r="Q95" s="69" t="s">
        <v>218</v>
      </c>
      <c r="R95" s="69" t="s">
        <v>2026</v>
      </c>
      <c r="S95" s="69" t="s">
        <v>218</v>
      </c>
      <c r="T95" s="43" t="s">
        <v>218</v>
      </c>
      <c r="U95" s="69" t="s">
        <v>218</v>
      </c>
      <c r="V95" s="69" t="s">
        <v>218</v>
      </c>
      <c r="W95" s="54">
        <v>45814</v>
      </c>
      <c r="X95" s="69" t="s">
        <v>2029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218</v>
      </c>
      <c r="O96" s="54">
        <v>45694</v>
      </c>
      <c r="P96" s="30" t="s">
        <v>218</v>
      </c>
      <c r="Q96" s="69" t="s">
        <v>218</v>
      </c>
      <c r="R96" s="91" t="s">
        <v>2026</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218</v>
      </c>
      <c r="O97" s="54">
        <v>45688</v>
      </c>
      <c r="P97" s="30" t="s">
        <v>218</v>
      </c>
      <c r="Q97" s="69" t="s">
        <v>218</v>
      </c>
      <c r="R97" s="69" t="s">
        <v>2026</v>
      </c>
      <c r="S97" s="69" t="s">
        <v>218</v>
      </c>
      <c r="T97" s="69" t="s">
        <v>218</v>
      </c>
      <c r="U97" s="69" t="s">
        <v>218</v>
      </c>
      <c r="V97" s="43" t="s">
        <v>218</v>
      </c>
      <c r="W97" s="54">
        <v>45824</v>
      </c>
      <c r="X97" s="69" t="s">
        <v>2029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218</v>
      </c>
      <c r="O98" s="54">
        <v>45692</v>
      </c>
      <c r="P98" s="30" t="s">
        <v>218</v>
      </c>
      <c r="Q98" s="43" t="s">
        <v>218</v>
      </c>
      <c r="R98" s="43" t="s">
        <v>2026</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218</v>
      </c>
      <c r="O99" s="54">
        <v>45692</v>
      </c>
      <c r="P99" s="30" t="s">
        <v>218</v>
      </c>
      <c r="Q99" s="43" t="s">
        <v>218</v>
      </c>
      <c r="R99" s="43" t="s">
        <v>2026</v>
      </c>
      <c r="S99" s="43" t="s">
        <v>218</v>
      </c>
      <c r="T99" s="115" t="s">
        <v>218</v>
      </c>
      <c r="U99" s="148" t="s">
        <v>218</v>
      </c>
      <c r="V99" s="69" t="s">
        <v>218</v>
      </c>
      <c r="W99" s="54">
        <v>45814</v>
      </c>
      <c r="X99" s="69" t="s">
        <v>2029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2026</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218</v>
      </c>
      <c r="O101" s="54">
        <v>45695</v>
      </c>
      <c r="P101" s="30" t="s">
        <v>218</v>
      </c>
      <c r="Q101" s="43" t="s">
        <v>218</v>
      </c>
      <c r="R101" s="43" t="s">
        <v>2026</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218</v>
      </c>
      <c r="N102" s="30" t="s">
        <v>218</v>
      </c>
      <c r="O102" s="54">
        <v>45699</v>
      </c>
      <c r="P102" s="87" t="s">
        <v>218</v>
      </c>
      <c r="Q102" s="88" t="s">
        <v>218</v>
      </c>
      <c r="R102" s="43" t="s">
        <v>2026</v>
      </c>
      <c r="S102" s="43" t="s">
        <v>218</v>
      </c>
      <c r="T102" s="43" t="s">
        <v>218</v>
      </c>
      <c r="U102" s="43" t="s">
        <v>218</v>
      </c>
      <c r="V102" s="165" t="s">
        <v>218</v>
      </c>
      <c r="W102" s="54">
        <v>45835</v>
      </c>
      <c r="X102" s="69" t="s">
        <v>2029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218</v>
      </c>
      <c r="O103" s="54">
        <v>45675</v>
      </c>
      <c r="P103" s="87" t="s">
        <v>218</v>
      </c>
      <c r="Q103" s="43" t="s">
        <v>218</v>
      </c>
      <c r="R103" s="43" t="s">
        <v>2026</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2026</v>
      </c>
      <c r="S104" s="43" t="s">
        <v>218</v>
      </c>
      <c r="T104" s="43" t="s">
        <v>218</v>
      </c>
      <c r="U104" s="43" t="s">
        <v>218</v>
      </c>
      <c r="V104" s="139" t="s">
        <v>218</v>
      </c>
      <c r="W104" s="54">
        <v>45820</v>
      </c>
      <c r="X104" s="69" t="s">
        <v>2029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218</v>
      </c>
      <c r="O105" s="54">
        <v>45743</v>
      </c>
      <c r="P105" s="87" t="s">
        <v>218</v>
      </c>
      <c r="Q105" s="157" t="s">
        <v>218</v>
      </c>
      <c r="R105" s="69" t="s">
        <v>2026</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218</v>
      </c>
      <c r="O106" s="54">
        <v>45679</v>
      </c>
      <c r="P106" s="87" t="s">
        <v>218</v>
      </c>
      <c r="Q106" s="43" t="s">
        <v>218</v>
      </c>
      <c r="R106" s="43" t="s">
        <v>2026</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218</v>
      </c>
      <c r="O107" s="54">
        <v>45749</v>
      </c>
      <c r="P107" s="30" t="s">
        <v>218</v>
      </c>
      <c r="Q107" s="43" t="s">
        <v>218</v>
      </c>
      <c r="R107" s="43" t="s">
        <v>2026</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218</v>
      </c>
      <c r="O108" s="54">
        <v>45749</v>
      </c>
      <c r="P108" s="30" t="s">
        <v>218</v>
      </c>
      <c r="Q108" s="43" t="s">
        <v>218</v>
      </c>
      <c r="R108" s="334" t="s">
        <v>2026</v>
      </c>
      <c r="S108" s="43" t="s">
        <v>218</v>
      </c>
      <c r="T108" s="43" t="s">
        <v>218</v>
      </c>
      <c r="U108" s="88" t="s">
        <v>218</v>
      </c>
      <c r="V108" s="481" t="s">
        <v>218</v>
      </c>
      <c r="W108" s="356">
        <v>45798</v>
      </c>
      <c r="X108" s="69" t="s">
        <v>2029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218</v>
      </c>
      <c r="O109" s="54">
        <v>45744</v>
      </c>
      <c r="P109" s="79" t="s">
        <v>218</v>
      </c>
      <c r="Q109" s="43" t="s">
        <v>218</v>
      </c>
      <c r="R109" s="334" t="s">
        <v>2026</v>
      </c>
      <c r="S109" s="43" t="s">
        <v>218</v>
      </c>
      <c r="T109" s="43" t="s">
        <v>218</v>
      </c>
      <c r="U109" s="43" t="s">
        <v>2032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218</v>
      </c>
      <c r="O110" s="54">
        <v>45691</v>
      </c>
      <c r="P110" s="79" t="s">
        <v>218</v>
      </c>
      <c r="Q110" s="43" t="s">
        <v>218</v>
      </c>
      <c r="R110" s="334" t="s">
        <v>2026</v>
      </c>
      <c r="S110" s="43" t="s">
        <v>218</v>
      </c>
      <c r="T110" s="43" t="s">
        <v>218</v>
      </c>
      <c r="U110" s="88" t="s">
        <v>218</v>
      </c>
      <c r="V110" s="481" t="s">
        <v>218</v>
      </c>
      <c r="W110" s="356">
        <v>45902</v>
      </c>
      <c r="X110" s="69" t="s">
        <v>2029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218</v>
      </c>
      <c r="O111" s="54">
        <v>45708</v>
      </c>
      <c r="P111" s="30" t="s">
        <v>218</v>
      </c>
      <c r="Q111" s="169" t="s">
        <v>218</v>
      </c>
      <c r="R111" s="69" t="s">
        <v>2026</v>
      </c>
      <c r="S111" s="43" t="s">
        <v>218</v>
      </c>
      <c r="T111" s="43" t="s">
        <v>218</v>
      </c>
      <c r="U111" s="43" t="s">
        <v>218</v>
      </c>
      <c r="V111" s="201" t="s">
        <v>218</v>
      </c>
      <c r="W111" s="166">
        <v>45790</v>
      </c>
      <c r="X111" s="69" t="s">
        <v>2029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218</v>
      </c>
      <c r="O112" s="166">
        <v>45744</v>
      </c>
      <c r="P112" s="114" t="s">
        <v>218</v>
      </c>
      <c r="Q112" s="115" t="s">
        <v>218</v>
      </c>
      <c r="R112" s="148" t="s">
        <v>2026</v>
      </c>
      <c r="S112" s="43" t="s">
        <v>218</v>
      </c>
      <c r="T112" s="43" t="s">
        <v>218</v>
      </c>
      <c r="U112" s="43" t="s">
        <v>218</v>
      </c>
      <c r="V112" s="201" t="s">
        <v>218</v>
      </c>
      <c r="W112" s="479">
        <v>45791</v>
      </c>
      <c r="X112" s="69" t="s">
        <v>2029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218</v>
      </c>
      <c r="O113" s="166">
        <v>45755</v>
      </c>
      <c r="P113" s="114" t="s">
        <v>218</v>
      </c>
      <c r="Q113" s="115" t="s">
        <v>218</v>
      </c>
      <c r="R113" s="148" t="s">
        <v>2026</v>
      </c>
      <c r="S113" s="115" t="s">
        <v>218</v>
      </c>
      <c r="T113" s="43" t="s">
        <v>218</v>
      </c>
      <c r="U113" s="43" t="s">
        <v>218</v>
      </c>
      <c r="V113" s="201" t="s">
        <v>218</v>
      </c>
      <c r="W113" s="479">
        <v>45791</v>
      </c>
      <c r="X113" s="148" t="s">
        <v>2029</v>
      </c>
    </row>
    <row r="114" spans="1:25">
      <c r="A114" s="178" t="s">
        <v>819</v>
      </c>
      <c r="B114" s="182" t="s">
        <v>50</v>
      </c>
      <c r="C114" s="314">
        <v>45772</v>
      </c>
      <c r="D114" s="410" t="s">
        <v>820</v>
      </c>
      <c r="H114" s="185">
        <v>75</v>
      </c>
      <c r="I114" s="181"/>
      <c r="J114" s="179" t="s">
        <v>57</v>
      </c>
      <c r="K114" s="420" t="s">
        <v>57</v>
      </c>
      <c r="L114" s="179" t="s">
        <v>63</v>
      </c>
      <c r="M114" s="193">
        <v>45741</v>
      </c>
      <c r="N114" s="114" t="s">
        <v>218</v>
      </c>
      <c r="O114" s="54">
        <v>45747</v>
      </c>
      <c r="P114" s="114" t="s">
        <v>218</v>
      </c>
      <c r="Q114" s="115" t="s">
        <v>218</v>
      </c>
      <c r="R114" s="148" t="s">
        <v>2026</v>
      </c>
      <c r="S114" s="115" t="s">
        <v>218</v>
      </c>
      <c r="T114" s="43" t="s">
        <v>218</v>
      </c>
      <c r="U114" s="157" t="s">
        <v>218</v>
      </c>
      <c r="V114" s="201" t="s">
        <v>218</v>
      </c>
      <c r="W114" s="54">
        <v>45798</v>
      </c>
      <c r="X114" s="69" t="s">
        <v>2029</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218</v>
      </c>
      <c r="O115" s="124">
        <v>45757</v>
      </c>
      <c r="P115" s="30" t="s">
        <v>218</v>
      </c>
      <c r="Q115" s="43" t="s">
        <v>218</v>
      </c>
      <c r="R115" s="69" t="s">
        <v>2026</v>
      </c>
      <c r="S115" s="43" t="s">
        <v>218</v>
      </c>
      <c r="T115" s="43" t="s">
        <v>218</v>
      </c>
      <c r="U115" s="43" t="s">
        <v>218</v>
      </c>
      <c r="V115" s="88" t="s">
        <v>218</v>
      </c>
      <c r="W115" s="54">
        <v>45814</v>
      </c>
      <c r="X115" s="69" t="s">
        <v>2029</v>
      </c>
    </row>
    <row r="116" spans="1:25">
      <c r="A116" s="178" t="s">
        <v>823</v>
      </c>
      <c r="B116" s="182" t="s">
        <v>50</v>
      </c>
      <c r="C116" s="314">
        <v>45772</v>
      </c>
      <c r="D116" s="716" t="s">
        <v>825</v>
      </c>
      <c r="H116" s="179">
        <v>50</v>
      </c>
      <c r="I116" s="181"/>
      <c r="J116" s="179" t="s">
        <v>57</v>
      </c>
      <c r="K116" s="420" t="s">
        <v>57</v>
      </c>
      <c r="L116" s="179" t="s">
        <v>63</v>
      </c>
      <c r="M116" s="193">
        <v>45757</v>
      </c>
      <c r="N116" s="30" t="s">
        <v>218</v>
      </c>
      <c r="O116" s="124">
        <v>45757</v>
      </c>
      <c r="P116" s="30" t="s">
        <v>218</v>
      </c>
      <c r="Q116" s="43" t="s">
        <v>218</v>
      </c>
      <c r="R116" s="69" t="s">
        <v>2026</v>
      </c>
      <c r="S116" s="43" t="s">
        <v>218</v>
      </c>
      <c r="T116" s="43" t="s">
        <v>218</v>
      </c>
      <c r="U116" s="43" t="s">
        <v>218</v>
      </c>
      <c r="V116" s="481" t="s">
        <v>218</v>
      </c>
      <c r="W116" s="54">
        <v>45807</v>
      </c>
      <c r="X116" s="69" t="s">
        <v>2029</v>
      </c>
    </row>
    <row r="117" spans="1:25">
      <c r="A117" s="178" t="s">
        <v>827</v>
      </c>
      <c r="B117" s="182" t="s">
        <v>50</v>
      </c>
      <c r="C117" s="314">
        <v>45772</v>
      </c>
      <c r="D117" s="518" t="s">
        <v>828</v>
      </c>
      <c r="H117" s="179">
        <v>76</v>
      </c>
      <c r="I117" s="181"/>
      <c r="J117" s="179" t="s">
        <v>57</v>
      </c>
      <c r="K117" s="420" t="s">
        <v>57</v>
      </c>
      <c r="L117" s="179" t="s">
        <v>63</v>
      </c>
      <c r="M117" s="193">
        <v>45757</v>
      </c>
      <c r="N117" s="87" t="s">
        <v>218</v>
      </c>
      <c r="O117" s="124">
        <v>45757</v>
      </c>
      <c r="P117" s="30" t="s">
        <v>218</v>
      </c>
      <c r="Q117" s="43" t="s">
        <v>218</v>
      </c>
      <c r="R117" s="69" t="s">
        <v>2026</v>
      </c>
      <c r="S117" s="43" t="s">
        <v>218</v>
      </c>
      <c r="T117" s="43" t="s">
        <v>218</v>
      </c>
      <c r="U117" s="43" t="s">
        <v>218</v>
      </c>
      <c r="V117" s="88" t="s">
        <v>218</v>
      </c>
      <c r="W117" s="54">
        <v>45811</v>
      </c>
      <c r="X117" s="69" t="s">
        <v>2029</v>
      </c>
    </row>
    <row r="118" spans="1:25">
      <c r="A118" s="178" t="s">
        <v>829</v>
      </c>
      <c r="B118" s="182" t="s">
        <v>50</v>
      </c>
      <c r="C118" s="314">
        <v>45772</v>
      </c>
      <c r="D118" s="179" t="s">
        <v>831</v>
      </c>
      <c r="H118" s="185">
        <v>88</v>
      </c>
      <c r="I118" s="181"/>
      <c r="J118" s="179" t="s">
        <v>57</v>
      </c>
      <c r="K118" s="420" t="s">
        <v>57</v>
      </c>
      <c r="L118" s="179" t="s">
        <v>63</v>
      </c>
      <c r="M118" s="193">
        <v>45757</v>
      </c>
      <c r="N118" s="87" t="s">
        <v>218</v>
      </c>
      <c r="O118" s="124">
        <v>45757</v>
      </c>
      <c r="P118" s="87" t="s">
        <v>218</v>
      </c>
      <c r="Q118" s="43" t="s">
        <v>218</v>
      </c>
      <c r="R118" s="43" t="s">
        <v>2026</v>
      </c>
      <c r="S118" s="43" t="s">
        <v>218</v>
      </c>
      <c r="T118" s="43" t="s">
        <v>218</v>
      </c>
      <c r="U118" s="157" t="s">
        <v>218</v>
      </c>
      <c r="V118" s="88" t="s">
        <v>218</v>
      </c>
      <c r="W118" s="54">
        <v>45810</v>
      </c>
      <c r="X118" s="69" t="s">
        <v>2029</v>
      </c>
    </row>
    <row r="119" spans="1:25">
      <c r="A119" s="178" t="s">
        <v>833</v>
      </c>
      <c r="B119" s="182" t="s">
        <v>50</v>
      </c>
      <c r="C119" s="314">
        <v>45772</v>
      </c>
      <c r="D119" s="179" t="s">
        <v>834</v>
      </c>
      <c r="H119" s="185">
        <v>86</v>
      </c>
      <c r="I119" s="181"/>
      <c r="J119" s="179" t="s">
        <v>57</v>
      </c>
      <c r="K119" s="420" t="s">
        <v>57</v>
      </c>
      <c r="L119" s="179" t="s">
        <v>63</v>
      </c>
      <c r="M119" s="195">
        <v>45756</v>
      </c>
      <c r="N119" s="30" t="s">
        <v>218</v>
      </c>
      <c r="O119" s="124">
        <v>45757</v>
      </c>
      <c r="P119" s="30" t="s">
        <v>218</v>
      </c>
      <c r="Q119" s="69" t="s">
        <v>218</v>
      </c>
      <c r="R119" s="69" t="s">
        <v>2026</v>
      </c>
      <c r="S119" s="43" t="s">
        <v>218</v>
      </c>
      <c r="T119" s="43" t="s">
        <v>218</v>
      </c>
      <c r="U119" s="157" t="s">
        <v>218</v>
      </c>
      <c r="V119" s="88" t="s">
        <v>218</v>
      </c>
      <c r="W119" s="54">
        <v>45813</v>
      </c>
      <c r="X119" s="69" t="s">
        <v>2029</v>
      </c>
    </row>
    <row r="120" spans="1:25">
      <c r="A120" s="178" t="s">
        <v>835</v>
      </c>
      <c r="B120" s="182" t="s">
        <v>50</v>
      </c>
      <c r="C120" s="314">
        <v>45772</v>
      </c>
      <c r="D120" s="519" t="s">
        <v>836</v>
      </c>
      <c r="H120" s="185">
        <v>84</v>
      </c>
      <c r="I120" s="181"/>
      <c r="J120" s="179" t="s">
        <v>57</v>
      </c>
      <c r="K120" s="420" t="s">
        <v>57</v>
      </c>
      <c r="L120" s="179" t="s">
        <v>63</v>
      </c>
      <c r="M120" s="195">
        <v>45741</v>
      </c>
      <c r="N120" s="30" t="s">
        <v>218</v>
      </c>
      <c r="O120" s="54">
        <v>45748</v>
      </c>
      <c r="P120" s="30" t="s">
        <v>218</v>
      </c>
      <c r="Q120" s="43" t="s">
        <v>218</v>
      </c>
      <c r="R120" s="69" t="s">
        <v>2026</v>
      </c>
      <c r="S120" s="43" t="s">
        <v>218</v>
      </c>
      <c r="T120" s="43" t="s">
        <v>218</v>
      </c>
      <c r="U120" s="43" t="s">
        <v>218</v>
      </c>
      <c r="V120" s="88" t="s">
        <v>218</v>
      </c>
      <c r="W120" s="54">
        <v>45811</v>
      </c>
      <c r="X120" s="69" t="s">
        <v>2029</v>
      </c>
    </row>
    <row r="121" spans="1:25">
      <c r="A121" s="366" t="s">
        <v>837</v>
      </c>
      <c r="B121" s="688" t="s">
        <v>50</v>
      </c>
      <c r="C121" s="689">
        <v>45772</v>
      </c>
      <c r="D121" s="363" t="s">
        <v>838</v>
      </c>
      <c r="H121" s="341">
        <v>87</v>
      </c>
      <c r="I121" s="339"/>
      <c r="J121" s="363" t="s">
        <v>57</v>
      </c>
      <c r="K121" s="709" t="s">
        <v>57</v>
      </c>
      <c r="L121" s="179" t="s">
        <v>63</v>
      </c>
      <c r="M121" s="193">
        <v>45757</v>
      </c>
      <c r="N121" s="30" t="s">
        <v>218</v>
      </c>
      <c r="O121" s="124">
        <v>45757</v>
      </c>
      <c r="P121" s="30" t="s">
        <v>218</v>
      </c>
      <c r="Q121" s="69" t="s">
        <v>218</v>
      </c>
      <c r="R121" s="69" t="s">
        <v>2026</v>
      </c>
      <c r="S121" s="43" t="s">
        <v>218</v>
      </c>
      <c r="T121" s="43" t="s">
        <v>218</v>
      </c>
      <c r="U121" s="43" t="s">
        <v>218</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218</v>
      </c>
      <c r="O122" s="54">
        <v>45747</v>
      </c>
      <c r="P122" s="30" t="s">
        <v>218</v>
      </c>
      <c r="Q122" s="69" t="s">
        <v>218</v>
      </c>
      <c r="R122" s="69" t="s">
        <v>2026</v>
      </c>
      <c r="S122" s="43" t="s">
        <v>218</v>
      </c>
      <c r="T122" s="43" t="s">
        <v>218</v>
      </c>
      <c r="U122" s="157" t="s">
        <v>218</v>
      </c>
      <c r="V122" s="157" t="s">
        <v>218</v>
      </c>
      <c r="W122" s="54">
        <v>45789</v>
      </c>
      <c r="X122" s="69" t="s">
        <v>2029</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218</v>
      </c>
      <c r="O123" s="54">
        <v>45744</v>
      </c>
      <c r="P123" s="30" t="s">
        <v>218</v>
      </c>
      <c r="Q123" s="43" t="s">
        <v>218</v>
      </c>
      <c r="R123" s="69" t="s">
        <v>2026</v>
      </c>
      <c r="S123" s="43" t="s">
        <v>218</v>
      </c>
      <c r="T123" s="43" t="s">
        <v>218</v>
      </c>
      <c r="U123" s="43" t="s">
        <v>218</v>
      </c>
      <c r="V123" s="69" t="s">
        <v>218</v>
      </c>
      <c r="W123" s="54">
        <v>45811</v>
      </c>
      <c r="X123" s="69" t="s">
        <v>2029</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218</v>
      </c>
      <c r="O124" s="54">
        <v>45744</v>
      </c>
      <c r="P124" s="30" t="s">
        <v>218</v>
      </c>
      <c r="Q124" s="43" t="s">
        <v>218</v>
      </c>
      <c r="R124" s="69" t="s">
        <v>2026</v>
      </c>
      <c r="S124" s="43" t="s">
        <v>218</v>
      </c>
      <c r="T124" s="43" t="s">
        <v>218</v>
      </c>
      <c r="U124" s="43" t="s">
        <v>2032</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218</v>
      </c>
      <c r="N125" s="30" t="s">
        <v>218</v>
      </c>
      <c r="O125" s="54">
        <v>45679</v>
      </c>
      <c r="P125" s="30" t="s">
        <v>218</v>
      </c>
      <c r="Q125" s="69" t="s">
        <v>218</v>
      </c>
      <c r="R125" s="43" t="s">
        <v>2026</v>
      </c>
      <c r="S125" s="43" t="s">
        <v>218</v>
      </c>
      <c r="T125" s="43" t="s">
        <v>218</v>
      </c>
      <c r="U125" s="43" t="s">
        <v>218</v>
      </c>
      <c r="V125" s="43" t="s">
        <v>218</v>
      </c>
      <c r="W125" s="54">
        <v>45814</v>
      </c>
      <c r="X125" s="69" t="s">
        <v>2029</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218</v>
      </c>
      <c r="N126" s="30" t="s">
        <v>218</v>
      </c>
      <c r="O126" s="54">
        <v>45720</v>
      </c>
      <c r="P126" s="30" t="s">
        <v>218</v>
      </c>
      <c r="Q126" s="69" t="s">
        <v>218</v>
      </c>
      <c r="R126" s="43" t="s">
        <v>2026</v>
      </c>
      <c r="S126" s="43" t="s">
        <v>218</v>
      </c>
      <c r="T126" s="43" t="s">
        <v>218</v>
      </c>
      <c r="U126" s="43" t="s">
        <v>218</v>
      </c>
      <c r="V126" s="88" t="s">
        <v>218</v>
      </c>
      <c r="W126" s="54">
        <v>45819</v>
      </c>
      <c r="X126" s="69" t="s">
        <v>2029</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218</v>
      </c>
      <c r="O127" s="54">
        <v>45679</v>
      </c>
      <c r="P127" s="30" t="s">
        <v>218</v>
      </c>
      <c r="Q127" s="43" t="s">
        <v>218</v>
      </c>
      <c r="R127" s="43" t="s">
        <v>2026</v>
      </c>
      <c r="S127" s="43" t="s">
        <v>218</v>
      </c>
      <c r="T127" s="43" t="s">
        <v>218</v>
      </c>
      <c r="U127" s="43" t="s">
        <v>218</v>
      </c>
      <c r="V127" s="88" t="s">
        <v>218</v>
      </c>
      <c r="W127" s="54">
        <v>45812</v>
      </c>
      <c r="X127" s="69" t="s">
        <v>2029</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218</v>
      </c>
      <c r="O128" s="347">
        <v>45694</v>
      </c>
      <c r="P128" s="87" t="s">
        <v>218</v>
      </c>
      <c r="Q128" s="43" t="s">
        <v>218</v>
      </c>
      <c r="R128" s="43" t="s">
        <v>2026</v>
      </c>
      <c r="S128" s="43" t="s">
        <v>218</v>
      </c>
      <c r="T128" s="43" t="s">
        <v>218</v>
      </c>
      <c r="U128" s="43" t="s">
        <v>218</v>
      </c>
      <c r="V128" s="88" t="s">
        <v>218</v>
      </c>
      <c r="W128" s="166">
        <v>45883</v>
      </c>
      <c r="X128" s="69" t="s">
        <v>2029</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2026</v>
      </c>
      <c r="S129" s="43" t="s">
        <v>218</v>
      </c>
      <c r="T129" s="115" t="s">
        <v>218</v>
      </c>
      <c r="U129" s="115" t="s">
        <v>218</v>
      </c>
      <c r="V129" s="88" t="s">
        <v>218</v>
      </c>
      <c r="W129" s="166">
        <v>45814</v>
      </c>
      <c r="X129" s="69" t="s">
        <v>2029</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218</v>
      </c>
      <c r="O130" s="54">
        <v>45698</v>
      </c>
      <c r="P130" s="30" t="s">
        <v>218</v>
      </c>
      <c r="Q130" s="69" t="s">
        <v>218</v>
      </c>
      <c r="R130" s="43" t="s">
        <v>2026</v>
      </c>
      <c r="S130" s="43" t="s">
        <v>218</v>
      </c>
      <c r="T130" s="43" t="s">
        <v>218</v>
      </c>
      <c r="U130" s="43" t="s">
        <v>218</v>
      </c>
      <c r="V130" s="88" t="s">
        <v>218</v>
      </c>
      <c r="W130" s="54">
        <v>45798</v>
      </c>
      <c r="X130" s="69" t="s">
        <v>2029</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218</v>
      </c>
      <c r="N131" s="49" t="s">
        <v>218</v>
      </c>
      <c r="O131" s="30" t="s">
        <v>218</v>
      </c>
      <c r="P131" s="30" t="s">
        <v>218</v>
      </c>
      <c r="Q131" s="43" t="s">
        <v>218</v>
      </c>
      <c r="R131" s="43" t="s">
        <v>2026</v>
      </c>
      <c r="S131" s="43" t="s">
        <v>218</v>
      </c>
      <c r="T131" s="157" t="s">
        <v>218</v>
      </c>
      <c r="U131" s="157" t="s">
        <v>218</v>
      </c>
      <c r="V131" s="88" t="s">
        <v>218</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218</v>
      </c>
      <c r="O132" s="54">
        <v>45691</v>
      </c>
      <c r="P132" s="87" t="s">
        <v>218</v>
      </c>
      <c r="Q132" s="43" t="s">
        <v>218</v>
      </c>
      <c r="R132" s="43" t="s">
        <v>2026</v>
      </c>
      <c r="S132" s="43" t="s">
        <v>218</v>
      </c>
      <c r="T132" s="43" t="s">
        <v>218</v>
      </c>
      <c r="U132" s="43" t="s">
        <v>218</v>
      </c>
      <c r="V132" s="43" t="s">
        <v>218</v>
      </c>
      <c r="W132" s="54">
        <v>45820</v>
      </c>
      <c r="X132" s="69" t="s">
        <v>2029</v>
      </c>
      <c r="Y132" t="e">
        <f>VLOOKUP(A132,#REF!,2,FALSE)</f>
        <v>#REF!</v>
      </c>
    </row>
    <row r="133" spans="1:25" ht="15" customHeight="1">
      <c r="A133" s="358" t="s">
        <v>856</v>
      </c>
      <c r="B133" s="406" t="s">
        <v>50</v>
      </c>
      <c r="C133" s="367">
        <v>45742</v>
      </c>
      <c r="D133" s="419" t="s">
        <v>2033</v>
      </c>
      <c r="E133" s="361"/>
      <c r="F133" s="361"/>
      <c r="G133" s="361"/>
      <c r="H133" s="361">
        <v>38</v>
      </c>
      <c r="I133" s="360"/>
      <c r="J133" s="361" t="s">
        <v>57</v>
      </c>
      <c r="K133" s="361" t="s">
        <v>57</v>
      </c>
      <c r="L133" s="361" t="s">
        <v>63</v>
      </c>
      <c r="M133" s="49" t="s">
        <v>218</v>
      </c>
      <c r="N133" s="49" t="s">
        <v>218</v>
      </c>
      <c r="O133" s="54">
        <v>45701</v>
      </c>
      <c r="P133" s="30" t="s">
        <v>218</v>
      </c>
      <c r="Q133" s="69" t="s">
        <v>218</v>
      </c>
      <c r="R133" s="43" t="s">
        <v>2026</v>
      </c>
      <c r="S133" s="43" t="s">
        <v>218</v>
      </c>
      <c r="T133" s="43" t="s">
        <v>218</v>
      </c>
      <c r="U133" s="43" t="s">
        <v>218</v>
      </c>
      <c r="V133" s="69" t="s">
        <v>218</v>
      </c>
      <c r="W133" s="54">
        <v>45821</v>
      </c>
      <c r="X133" s="69" t="s">
        <v>2029</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218</v>
      </c>
      <c r="O134" s="54">
        <v>45709</v>
      </c>
      <c r="P134" s="30" t="s">
        <v>218</v>
      </c>
      <c r="Q134" s="43" t="s">
        <v>218</v>
      </c>
      <c r="R134" s="43" t="s">
        <v>2026</v>
      </c>
      <c r="S134" s="43" t="s">
        <v>218</v>
      </c>
      <c r="T134" s="43" t="s">
        <v>218</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218</v>
      </c>
      <c r="N135" s="49" t="s">
        <v>218</v>
      </c>
      <c r="O135" s="195">
        <v>45720</v>
      </c>
      <c r="P135" s="49" t="s">
        <v>218</v>
      </c>
      <c r="Q135" s="69" t="s">
        <v>218</v>
      </c>
      <c r="R135" s="43" t="s">
        <v>2026</v>
      </c>
      <c r="S135" s="43" t="s">
        <v>218</v>
      </c>
      <c r="T135" s="43" t="s">
        <v>218</v>
      </c>
      <c r="U135" s="157" t="s">
        <v>218</v>
      </c>
      <c r="V135" s="43" t="s">
        <v>218</v>
      </c>
      <c r="W135" s="54">
        <v>45819</v>
      </c>
      <c r="X135" s="69" t="s">
        <v>2029</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218</v>
      </c>
      <c r="O136" s="54">
        <v>45691</v>
      </c>
      <c r="P136" s="30" t="s">
        <v>218</v>
      </c>
      <c r="Q136" s="43" t="s">
        <v>218</v>
      </c>
      <c r="R136" s="43" t="s">
        <v>2026</v>
      </c>
      <c r="S136" s="43" t="s">
        <v>218</v>
      </c>
      <c r="T136" s="43" t="s">
        <v>218</v>
      </c>
      <c r="U136" s="43" t="s">
        <v>218</v>
      </c>
      <c r="V136" s="43" t="s">
        <v>218</v>
      </c>
      <c r="W136" s="54">
        <v>45791</v>
      </c>
      <c r="X136" s="69" t="s">
        <v>2029</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218</v>
      </c>
      <c r="O137" s="30" t="s">
        <v>218</v>
      </c>
      <c r="P137" s="49" t="s">
        <v>218</v>
      </c>
      <c r="Q137" s="69" t="s">
        <v>218</v>
      </c>
      <c r="R137" s="43" t="s">
        <v>2026</v>
      </c>
      <c r="S137" s="43" t="s">
        <v>218</v>
      </c>
      <c r="T137" s="43" t="s">
        <v>218</v>
      </c>
      <c r="U137" s="157" t="s">
        <v>218</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218</v>
      </c>
      <c r="O138" s="124">
        <v>45707</v>
      </c>
      <c r="P138" s="30" t="s">
        <v>218</v>
      </c>
      <c r="Q138" s="43" t="s">
        <v>218</v>
      </c>
      <c r="R138" s="43" t="s">
        <v>2026</v>
      </c>
      <c r="S138" s="43" t="s">
        <v>218</v>
      </c>
      <c r="T138" s="43" t="s">
        <v>218</v>
      </c>
      <c r="U138" s="43" t="s">
        <v>218</v>
      </c>
      <c r="V138" s="43" t="s">
        <v>218</v>
      </c>
      <c r="W138" s="54">
        <v>45790</v>
      </c>
      <c r="X138" s="69" t="s">
        <v>2029</v>
      </c>
      <c r="Y138" t="e">
        <f>VLOOKUP(A138,#REF!,2,FALSE)</f>
        <v>#REF!</v>
      </c>
    </row>
    <row r="139" spans="1:25" ht="15" customHeight="1">
      <c r="A139" s="358" t="s">
        <v>2034</v>
      </c>
      <c r="B139" s="182" t="s">
        <v>50</v>
      </c>
      <c r="C139" s="408">
        <v>45742</v>
      </c>
      <c r="D139" s="361" t="s">
        <v>2035</v>
      </c>
      <c r="E139" s="521"/>
      <c r="F139" s="361"/>
      <c r="G139" s="361"/>
      <c r="H139" s="361">
        <v>87</v>
      </c>
      <c r="I139" s="360"/>
      <c r="J139" s="361" t="s">
        <v>57</v>
      </c>
      <c r="K139" s="361" t="s">
        <v>57</v>
      </c>
      <c r="L139" s="361" t="s">
        <v>63</v>
      </c>
      <c r="M139" s="49" t="s">
        <v>218</v>
      </c>
      <c r="N139" s="30" t="s">
        <v>218</v>
      </c>
      <c r="O139" s="30" t="s">
        <v>218</v>
      </c>
      <c r="P139" s="30" t="s">
        <v>218</v>
      </c>
      <c r="Q139" s="43" t="s">
        <v>218</v>
      </c>
      <c r="R139" s="43" t="s">
        <v>2026</v>
      </c>
      <c r="S139" s="43" t="s">
        <v>218</v>
      </c>
      <c r="T139" s="43" t="s">
        <v>218</v>
      </c>
      <c r="U139" s="157" t="s">
        <v>218</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218</v>
      </c>
      <c r="O140" s="54">
        <v>45743</v>
      </c>
      <c r="P140" s="87" t="s">
        <v>218</v>
      </c>
      <c r="Q140" s="88" t="s">
        <v>218</v>
      </c>
      <c r="R140" s="43" t="s">
        <v>2026</v>
      </c>
      <c r="S140" s="43" t="s">
        <v>218</v>
      </c>
      <c r="T140" s="43" t="s">
        <v>218</v>
      </c>
      <c r="U140" s="88" t="s">
        <v>218</v>
      </c>
      <c r="V140" s="69" t="s">
        <v>218</v>
      </c>
      <c r="W140" s="54">
        <v>45819</v>
      </c>
      <c r="X140" s="69" t="s">
        <v>2029</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2026</v>
      </c>
      <c r="S141" s="43" t="s">
        <v>218</v>
      </c>
      <c r="T141" s="43" t="s">
        <v>218</v>
      </c>
      <c r="U141" s="88" t="s">
        <v>218</v>
      </c>
      <c r="V141" s="88" t="s">
        <v>218</v>
      </c>
      <c r="W141" s="54">
        <v>45811</v>
      </c>
      <c r="X141" s="69" t="s">
        <v>2029</v>
      </c>
      <c r="Y141" t="e">
        <f>VLOOKUP(A141,#REF!,2,FALSE)</f>
        <v>#REF!</v>
      </c>
    </row>
    <row r="142" spans="1:25" ht="15" customHeight="1">
      <c r="A142" s="358" t="s">
        <v>2036</v>
      </c>
      <c r="B142" s="406" t="s">
        <v>50</v>
      </c>
      <c r="C142" s="408">
        <v>45742</v>
      </c>
      <c r="D142" s="361" t="s">
        <v>2037</v>
      </c>
      <c r="E142" s="521"/>
      <c r="F142" s="361"/>
      <c r="G142" s="361"/>
      <c r="H142" s="361">
        <v>87</v>
      </c>
      <c r="I142" s="360"/>
      <c r="J142" s="361" t="s">
        <v>57</v>
      </c>
      <c r="K142" s="361" t="s">
        <v>57</v>
      </c>
      <c r="L142" s="361" t="s">
        <v>63</v>
      </c>
      <c r="M142" s="49" t="s">
        <v>218</v>
      </c>
      <c r="N142" s="49" t="s">
        <v>218</v>
      </c>
      <c r="O142" s="195">
        <v>45691</v>
      </c>
      <c r="P142" s="30" t="s">
        <v>218</v>
      </c>
      <c r="Q142" s="69" t="s">
        <v>218</v>
      </c>
      <c r="R142" s="43" t="s">
        <v>2026</v>
      </c>
      <c r="S142" s="43" t="s">
        <v>218</v>
      </c>
      <c r="T142" s="43" t="s">
        <v>218</v>
      </c>
      <c r="U142" s="157" t="s">
        <v>218</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218</v>
      </c>
      <c r="N143" s="49" t="s">
        <v>218</v>
      </c>
      <c r="O143" s="195">
        <v>45675</v>
      </c>
      <c r="P143" s="30" t="s">
        <v>218</v>
      </c>
      <c r="Q143" s="69" t="s">
        <v>218</v>
      </c>
      <c r="R143" s="43" t="s">
        <v>2026</v>
      </c>
      <c r="S143" s="43" t="s">
        <v>218</v>
      </c>
      <c r="T143" s="43" t="s">
        <v>218</v>
      </c>
      <c r="U143" s="157" t="s">
        <v>218</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2029</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1999</v>
      </c>
      <c r="B146" s="406" t="s">
        <v>50</v>
      </c>
      <c r="C146" s="359">
        <v>45991</v>
      </c>
      <c r="D146" s="418" t="s">
        <v>2000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2026</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2026</v>
      </c>
      <c r="S150" s="43" t="s">
        <v>218</v>
      </c>
      <c r="T150" s="43" t="s">
        <v>218</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2026</v>
      </c>
      <c r="S151" s="43" t="s">
        <v>218</v>
      </c>
      <c r="T151" s="43" t="s">
        <v>218</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2026</v>
      </c>
      <c r="S153" s="43" t="s">
        <v>218</v>
      </c>
      <c r="T153" s="157" t="s">
        <v>218</v>
      </c>
      <c r="U153" s="157" t="s">
        <v>218</v>
      </c>
      <c r="V153" s="43" t="s">
        <v>218</v>
      </c>
      <c r="W153" s="54">
        <v>45807</v>
      </c>
      <c r="X153" s="69" t="s">
        <v>2029</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218</v>
      </c>
      <c r="O154" s="347">
        <v>45696</v>
      </c>
      <c r="P154" s="30" t="s">
        <v>218</v>
      </c>
      <c r="Q154" s="69" t="s">
        <v>218</v>
      </c>
      <c r="R154" s="43" t="s">
        <v>2026</v>
      </c>
      <c r="S154" s="43" t="s">
        <v>218</v>
      </c>
      <c r="T154" s="157" t="s">
        <v>218</v>
      </c>
      <c r="U154" s="157" t="s">
        <v>218</v>
      </c>
      <c r="V154" s="43" t="s">
        <v>218</v>
      </c>
      <c r="W154" s="166">
        <v>45792</v>
      </c>
      <c r="X154" s="148" t="s">
        <v>2029</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218</v>
      </c>
      <c r="O155" s="54">
        <v>45699</v>
      </c>
      <c r="P155" s="49" t="s">
        <v>218</v>
      </c>
      <c r="Q155" s="69" t="s">
        <v>218</v>
      </c>
      <c r="R155" s="43" t="s">
        <v>2026</v>
      </c>
      <c r="S155" s="43" t="s">
        <v>218</v>
      </c>
      <c r="T155" s="43" t="s">
        <v>218</v>
      </c>
      <c r="U155" s="157" t="s">
        <v>218</v>
      </c>
      <c r="V155" s="43" t="s">
        <v>218</v>
      </c>
      <c r="W155" s="356">
        <v>45821</v>
      </c>
      <c r="X155" s="69" t="s">
        <v>2029</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218</v>
      </c>
      <c r="O156" s="54">
        <v>45699</v>
      </c>
      <c r="P156" s="49" t="s">
        <v>218</v>
      </c>
      <c r="Q156" s="69" t="s">
        <v>218</v>
      </c>
      <c r="R156" s="43" t="s">
        <v>2026</v>
      </c>
      <c r="S156" s="43" t="s">
        <v>218</v>
      </c>
      <c r="T156" s="43" t="s">
        <v>218</v>
      </c>
      <c r="U156" s="69" t="s">
        <v>218</v>
      </c>
      <c r="V156" s="69" t="s">
        <v>90</v>
      </c>
      <c r="W156" s="356">
        <v>45747</v>
      </c>
      <c r="X156" s="69" t="s">
        <v>90</v>
      </c>
      <c r="Y156" t="e">
        <f>VLOOKUP(A156,#REF!,2,FALSE)</f>
        <v>#REF!</v>
      </c>
    </row>
    <row r="157" spans="1:25" ht="15" customHeight="1">
      <c r="A157" s="365" t="s">
        <v>1053</v>
      </c>
      <c r="B157" s="406" t="s">
        <v>50</v>
      </c>
      <c r="C157" s="400">
        <v>45991</v>
      </c>
      <c r="D157" s="418" t="s">
        <v>2007</v>
      </c>
      <c r="E157" s="704"/>
      <c r="F157" s="419"/>
      <c r="G157" s="419"/>
      <c r="H157" s="419">
        <v>79</v>
      </c>
      <c r="I157" s="360"/>
      <c r="J157" s="361" t="s">
        <v>57</v>
      </c>
      <c r="K157" s="553" t="s">
        <v>57</v>
      </c>
      <c r="L157" s="361" t="s">
        <v>63</v>
      </c>
      <c r="M157" s="195">
        <v>45735</v>
      </c>
      <c r="N157" s="30" t="s">
        <v>64</v>
      </c>
      <c r="O157" s="54">
        <v>45737</v>
      </c>
      <c r="P157" s="49" t="s">
        <v>64</v>
      </c>
      <c r="Q157" s="69" t="s">
        <v>64</v>
      </c>
      <c r="R157" s="69" t="s">
        <v>2026</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218</v>
      </c>
      <c r="O158" s="54">
        <v>45736</v>
      </c>
      <c r="P158" s="49" t="s">
        <v>218</v>
      </c>
      <c r="Q158" s="69" t="s">
        <v>218</v>
      </c>
      <c r="R158" s="43" t="s">
        <v>2026</v>
      </c>
      <c r="S158" s="43" t="s">
        <v>218</v>
      </c>
      <c r="T158" s="43" t="s">
        <v>218</v>
      </c>
      <c r="U158" s="157" t="s">
        <v>218</v>
      </c>
      <c r="V158" s="157" t="s">
        <v>218</v>
      </c>
      <c r="W158" s="356">
        <v>45817</v>
      </c>
      <c r="X158" s="69" t="s">
        <v>2029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2029</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2029</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2029</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2029</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2039</v>
      </c>
      <c r="C1" s="1371"/>
      <c r="D1" s="558"/>
      <c r="E1" s="1371" t="s">
        <v>2040</v>
      </c>
      <c r="F1" s="1371"/>
    </row>
    <row r="2" spans="1:25">
      <c r="B2" s="44" t="s">
        <v>2041</v>
      </c>
      <c r="E2" s="44" t="s">
        <v>22</v>
      </c>
      <c r="F2" t="s">
        <v>1024</v>
      </c>
      <c r="P2" s="44" t="s">
        <v>27</v>
      </c>
      <c r="Q2" t="s">
        <v>2042</v>
      </c>
    </row>
    <row r="3" spans="1:25">
      <c r="B3" s="44" t="s">
        <v>22</v>
      </c>
      <c r="C3" t="s">
        <v>1030</v>
      </c>
      <c r="K3" s="44" t="s">
        <v>2043</v>
      </c>
      <c r="L3" t="s">
        <v>2044</v>
      </c>
      <c r="P3" s="44" t="s">
        <v>2043</v>
      </c>
      <c r="Q3" t="s">
        <v>2044</v>
      </c>
    </row>
    <row r="4" spans="1:25">
      <c r="B4" t="s">
        <v>131</v>
      </c>
      <c r="C4">
        <v>92365</v>
      </c>
      <c r="E4" s="44" t="s">
        <v>2041</v>
      </c>
      <c r="F4" t="s">
        <v>1030</v>
      </c>
      <c r="W4" t="s">
        <v>2045</v>
      </c>
      <c r="X4">
        <v>22</v>
      </c>
    </row>
    <row r="5" spans="1:25">
      <c r="B5" t="s">
        <v>71</v>
      </c>
      <c r="C5">
        <v>25486</v>
      </c>
      <c r="E5" t="s">
        <v>1030</v>
      </c>
      <c r="F5">
        <v>123219</v>
      </c>
      <c r="K5" s="44" t="s">
        <v>2046</v>
      </c>
      <c r="P5" s="44" t="s">
        <v>2046</v>
      </c>
      <c r="W5" t="s">
        <v>2047</v>
      </c>
      <c r="X5">
        <v>13</v>
      </c>
    </row>
    <row r="6" spans="1:25">
      <c r="B6" t="s">
        <v>1057</v>
      </c>
      <c r="C6">
        <v>224648</v>
      </c>
      <c r="K6" s="44" t="s">
        <v>27</v>
      </c>
      <c r="L6" s="44" t="s">
        <v>2048</v>
      </c>
      <c r="M6" t="s">
        <v>1030</v>
      </c>
      <c r="P6" s="44" t="s">
        <v>2049</v>
      </c>
      <c r="Q6" s="44" t="s">
        <v>2048</v>
      </c>
      <c r="R6" t="s">
        <v>1030</v>
      </c>
    </row>
    <row r="7" spans="1:25">
      <c r="B7" t="s">
        <v>51</v>
      </c>
      <c r="C7">
        <v>446</v>
      </c>
      <c r="K7" t="s">
        <v>2042</v>
      </c>
      <c r="L7" t="s">
        <v>642</v>
      </c>
      <c r="M7">
        <v>1</v>
      </c>
      <c r="P7" t="s">
        <v>2050</v>
      </c>
      <c r="R7">
        <v>1</v>
      </c>
      <c r="X7" t="s">
        <v>2051</v>
      </c>
      <c r="Y7" t="s">
        <v>2052</v>
      </c>
    </row>
    <row r="8" spans="1:25">
      <c r="B8" t="s">
        <v>22</v>
      </c>
      <c r="C8">
        <v>0</v>
      </c>
      <c r="L8" t="s">
        <v>644</v>
      </c>
      <c r="M8">
        <v>1</v>
      </c>
      <c r="P8" t="s">
        <v>2053</v>
      </c>
      <c r="R8">
        <v>1</v>
      </c>
      <c r="V8" t="s">
        <v>2054</v>
      </c>
      <c r="W8" s="257">
        <v>203521</v>
      </c>
      <c r="X8" s="313">
        <f>X5/X4</f>
        <v>0.59090909090909094</v>
      </c>
      <c r="Y8" s="313">
        <f>W9/W8</f>
        <v>0.31446386367991508</v>
      </c>
    </row>
    <row r="9" spans="1:25">
      <c r="B9" t="s">
        <v>236</v>
      </c>
      <c r="C9">
        <v>7128</v>
      </c>
      <c r="L9" t="s">
        <v>2055</v>
      </c>
      <c r="M9">
        <v>1</v>
      </c>
      <c r="P9" t="s">
        <v>2056</v>
      </c>
      <c r="Q9" t="s">
        <v>2055</v>
      </c>
      <c r="R9">
        <v>1</v>
      </c>
      <c r="V9" t="s">
        <v>2057</v>
      </c>
      <c r="W9">
        <v>64000</v>
      </c>
    </row>
    <row r="10" spans="1:25">
      <c r="B10" t="s">
        <v>247</v>
      </c>
      <c r="C10">
        <v>23241</v>
      </c>
      <c r="L10" t="s">
        <v>800</v>
      </c>
      <c r="M10">
        <v>1</v>
      </c>
      <c r="Q10" t="s">
        <v>804</v>
      </c>
      <c r="R10">
        <v>1</v>
      </c>
    </row>
    <row r="11" spans="1:25">
      <c r="B11" t="s">
        <v>211</v>
      </c>
      <c r="C11">
        <v>103</v>
      </c>
      <c r="L11" t="s">
        <v>804</v>
      </c>
      <c r="M11">
        <v>1</v>
      </c>
      <c r="Q11" t="s">
        <v>807</v>
      </c>
      <c r="R11">
        <v>1</v>
      </c>
    </row>
    <row r="12" spans="1:25">
      <c r="B12" t="s">
        <v>215</v>
      </c>
      <c r="C12">
        <v>10187</v>
      </c>
      <c r="L12" t="s">
        <v>807</v>
      </c>
      <c r="M12">
        <v>1</v>
      </c>
      <c r="Q12" t="s">
        <v>2058</v>
      </c>
      <c r="R12">
        <v>1</v>
      </c>
    </row>
    <row r="13" spans="1:25">
      <c r="B13" t="s">
        <v>156</v>
      </c>
      <c r="C13">
        <v>5368</v>
      </c>
      <c r="L13" t="s">
        <v>2059</v>
      </c>
      <c r="M13">
        <v>1</v>
      </c>
      <c r="Q13" t="s">
        <v>979</v>
      </c>
      <c r="R13">
        <v>1</v>
      </c>
    </row>
    <row r="14" spans="1:25">
      <c r="B14" t="s">
        <v>183</v>
      </c>
      <c r="C14">
        <v>3</v>
      </c>
      <c r="L14" t="s">
        <v>821</v>
      </c>
      <c r="M14">
        <v>1</v>
      </c>
      <c r="P14" t="s">
        <v>2060</v>
      </c>
      <c r="R14">
        <v>5</v>
      </c>
    </row>
    <row r="15" spans="1:25">
      <c r="B15" t="s">
        <v>67</v>
      </c>
      <c r="C15">
        <v>3796</v>
      </c>
      <c r="L15" t="s">
        <v>2058</v>
      </c>
      <c r="M15">
        <v>1</v>
      </c>
      <c r="P15" t="s">
        <v>1057</v>
      </c>
      <c r="R15">
        <v>12</v>
      </c>
    </row>
    <row r="16" spans="1:25">
      <c r="B16" t="s">
        <v>60</v>
      </c>
      <c r="C16">
        <v>6182</v>
      </c>
      <c r="L16" t="s">
        <v>823</v>
      </c>
      <c r="M16">
        <v>1</v>
      </c>
      <c r="P16" t="s">
        <v>1027</v>
      </c>
      <c r="R16">
        <v>19</v>
      </c>
    </row>
    <row r="17" spans="2:13">
      <c r="B17" t="s">
        <v>78</v>
      </c>
      <c r="C17">
        <v>3834</v>
      </c>
      <c r="L17" t="s">
        <v>827</v>
      </c>
      <c r="M17">
        <v>1</v>
      </c>
    </row>
    <row r="18" spans="2:13">
      <c r="B18" t="s">
        <v>82</v>
      </c>
      <c r="C18">
        <v>831</v>
      </c>
      <c r="L18" t="s">
        <v>829</v>
      </c>
      <c r="M18">
        <v>1</v>
      </c>
    </row>
    <row r="19" spans="2:13">
      <c r="B19" t="s">
        <v>104</v>
      </c>
      <c r="C19">
        <v>9181</v>
      </c>
      <c r="L19" t="s">
        <v>833</v>
      </c>
      <c r="M19">
        <v>1</v>
      </c>
    </row>
    <row r="20" spans="2:13">
      <c r="B20" t="s">
        <v>289</v>
      </c>
      <c r="C20">
        <v>8622</v>
      </c>
      <c r="L20" t="s">
        <v>837</v>
      </c>
      <c r="M20">
        <v>1</v>
      </c>
    </row>
    <row r="21" spans="2:13">
      <c r="B21" t="s">
        <v>233</v>
      </c>
      <c r="C21">
        <v>0</v>
      </c>
      <c r="L21" t="s">
        <v>2061</v>
      </c>
      <c r="M21">
        <v>1</v>
      </c>
    </row>
    <row r="22" spans="2:13">
      <c r="B22" t="s">
        <v>1027</v>
      </c>
      <c r="C22">
        <v>421421</v>
      </c>
      <c r="L22" t="s">
        <v>979</v>
      </c>
      <c r="M22">
        <v>1</v>
      </c>
    </row>
    <row r="23" spans="2:13">
      <c r="L23" t="s">
        <v>869</v>
      </c>
      <c r="M23">
        <v>1</v>
      </c>
    </row>
    <row r="24" spans="2:13">
      <c r="L24" t="s">
        <v>890</v>
      </c>
      <c r="M24">
        <v>1</v>
      </c>
    </row>
    <row r="25" spans="2:13">
      <c r="L25" t="s">
        <v>177</v>
      </c>
      <c r="M25">
        <v>1</v>
      </c>
    </row>
    <row r="26" spans="2:13">
      <c r="K26" t="s">
        <v>2062</v>
      </c>
      <c r="M26">
        <v>19</v>
      </c>
    </row>
    <row r="27" spans="2:13">
      <c r="K27" t="s">
        <v>2063</v>
      </c>
      <c r="L27" t="s">
        <v>815</v>
      </c>
      <c r="M27">
        <v>1</v>
      </c>
    </row>
    <row r="28" spans="2:13">
      <c r="L28" t="s">
        <v>817</v>
      </c>
      <c r="M28">
        <v>1</v>
      </c>
    </row>
    <row r="29" spans="2:13">
      <c r="L29" t="s">
        <v>819</v>
      </c>
      <c r="M29">
        <v>1</v>
      </c>
    </row>
    <row r="30" spans="2:13">
      <c r="L30" t="s">
        <v>835</v>
      </c>
      <c r="M30">
        <v>1</v>
      </c>
    </row>
    <row r="31" spans="2:13">
      <c r="L31" t="s">
        <v>839</v>
      </c>
      <c r="M31">
        <v>1</v>
      </c>
    </row>
    <row r="32" spans="2:13">
      <c r="L32" t="s">
        <v>2064</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2065</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2066</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2067</v>
      </c>
      <c r="S2" s="3" t="s">
        <v>1952</v>
      </c>
      <c r="T2" s="264" t="s">
        <v>1953</v>
      </c>
      <c r="U2" s="264" t="s">
        <v>1953</v>
      </c>
      <c r="V2" s="264" t="s">
        <v>1953</v>
      </c>
      <c r="W2" s="264" t="s">
        <v>1953</v>
      </c>
      <c r="X2" s="264" t="s">
        <v>1954</v>
      </c>
      <c r="Y2" s="264" t="s">
        <v>2068</v>
      </c>
    </row>
    <row r="3" spans="1:26" ht="15.75" thickBot="1">
      <c r="A3" s="263" t="s">
        <v>2048</v>
      </c>
      <c r="B3" s="259" t="s">
        <v>20</v>
      </c>
      <c r="C3" s="259" t="s">
        <v>2069</v>
      </c>
      <c r="D3" s="259" t="s">
        <v>26</v>
      </c>
      <c r="E3" s="259" t="s">
        <v>2043</v>
      </c>
      <c r="F3" s="259" t="s">
        <v>2070</v>
      </c>
      <c r="G3" s="259" t="s">
        <v>27</v>
      </c>
      <c r="H3" s="207" t="s">
        <v>28</v>
      </c>
      <c r="I3" s="207" t="s">
        <v>2071</v>
      </c>
      <c r="J3" s="207" t="s">
        <v>2072</v>
      </c>
      <c r="K3" s="207" t="s">
        <v>2073</v>
      </c>
      <c r="L3" s="207" t="s">
        <v>2029</v>
      </c>
      <c r="M3" s="207" t="s">
        <v>2074</v>
      </c>
      <c r="N3" s="207" t="s">
        <v>2075</v>
      </c>
      <c r="O3" s="206" t="s">
        <v>1957</v>
      </c>
      <c r="P3" s="260" t="s">
        <v>2049</v>
      </c>
      <c r="Q3" s="261" t="s">
        <v>34</v>
      </c>
      <c r="R3" s="261" t="s">
        <v>2071</v>
      </c>
      <c r="S3" s="5" t="s">
        <v>1958</v>
      </c>
      <c r="T3" s="261" t="s">
        <v>2076</v>
      </c>
      <c r="U3" s="261" t="s">
        <v>43</v>
      </c>
      <c r="V3" s="261" t="s">
        <v>1959</v>
      </c>
      <c r="W3" s="261" t="s">
        <v>46</v>
      </c>
      <c r="X3" s="261" t="s">
        <v>633</v>
      </c>
      <c r="Y3" s="261" t="s">
        <v>2077</v>
      </c>
      <c r="Z3" s="312" t="s">
        <v>2078</v>
      </c>
    </row>
    <row r="4" spans="1:26" ht="15.75" thickBot="1">
      <c r="A4" s="121" t="s">
        <v>77</v>
      </c>
      <c r="B4" s="102" t="s">
        <v>50</v>
      </c>
      <c r="C4" s="77">
        <v>45807</v>
      </c>
      <c r="D4" s="268"/>
      <c r="E4" s="269" t="s">
        <v>2079</v>
      </c>
      <c r="F4" s="268"/>
      <c r="G4" s="270" t="s">
        <v>2042</v>
      </c>
      <c r="H4" s="268"/>
      <c r="I4" s="268"/>
      <c r="J4" s="271"/>
      <c r="K4" s="205"/>
      <c r="L4" s="205"/>
      <c r="M4" s="205"/>
      <c r="N4" s="272"/>
      <c r="O4" s="273"/>
      <c r="P4" s="274" t="s">
        <v>2080</v>
      </c>
      <c r="Q4" s="275" t="s">
        <v>84</v>
      </c>
      <c r="R4" s="131" t="s">
        <v>2081</v>
      </c>
      <c r="S4" s="131"/>
      <c r="T4" s="276"/>
      <c r="U4" s="277"/>
      <c r="V4" s="277"/>
      <c r="W4" s="277"/>
      <c r="X4" s="277"/>
      <c r="Y4" s="277"/>
      <c r="Z4" t="e">
        <f>VLOOKUP(A4,#REF!,9,FALSE)</f>
        <v>#REF!</v>
      </c>
    </row>
    <row r="5" spans="1:26" ht="15.75" thickBot="1">
      <c r="A5" s="278" t="s">
        <v>1999</v>
      </c>
      <c r="B5" s="102" t="s">
        <v>50</v>
      </c>
      <c r="C5" s="215">
        <v>45807</v>
      </c>
      <c r="D5" s="268"/>
      <c r="E5" s="269" t="s">
        <v>2079</v>
      </c>
      <c r="F5" s="268"/>
      <c r="G5" s="270" t="s">
        <v>2042</v>
      </c>
      <c r="H5" s="268"/>
      <c r="I5" s="268"/>
      <c r="J5" s="279"/>
      <c r="K5" s="205"/>
      <c r="L5" s="205"/>
      <c r="M5" s="205"/>
      <c r="N5" s="272"/>
      <c r="O5" s="273"/>
      <c r="P5" s="274" t="s">
        <v>2080</v>
      </c>
      <c r="Q5" s="275" t="s">
        <v>84</v>
      </c>
      <c r="R5" s="131" t="s">
        <v>2081</v>
      </c>
      <c r="S5" s="131"/>
      <c r="T5" s="276"/>
      <c r="U5" s="277"/>
      <c r="V5" s="277"/>
      <c r="W5" s="277"/>
      <c r="X5" s="277"/>
      <c r="Y5" s="277"/>
      <c r="Z5" t="e">
        <f>VLOOKUP(A5,#REF!,9,FALSE)</f>
        <v>#REF!</v>
      </c>
    </row>
    <row r="6" spans="1:26" ht="15.75" thickBot="1">
      <c r="A6" s="121" t="s">
        <v>1054</v>
      </c>
      <c r="B6" s="102" t="s">
        <v>50</v>
      </c>
      <c r="C6" s="215">
        <v>45807</v>
      </c>
      <c r="D6" s="268"/>
      <c r="E6" s="269" t="s">
        <v>2079</v>
      </c>
      <c r="F6" s="268"/>
      <c r="G6" s="270" t="s">
        <v>2042</v>
      </c>
      <c r="H6" s="268"/>
      <c r="I6" s="268"/>
      <c r="J6" s="279"/>
      <c r="K6" s="205"/>
      <c r="L6" s="205"/>
      <c r="M6" s="205"/>
      <c r="N6" s="272"/>
      <c r="O6" s="273"/>
      <c r="P6" s="274" t="s">
        <v>2080</v>
      </c>
      <c r="Q6" s="275" t="s">
        <v>84</v>
      </c>
      <c r="R6" s="131" t="s">
        <v>2081</v>
      </c>
      <c r="S6" s="131"/>
      <c r="T6" s="276"/>
      <c r="U6" s="277"/>
      <c r="V6" s="277"/>
      <c r="W6" s="277"/>
      <c r="X6" s="277"/>
      <c r="Y6" s="277"/>
      <c r="Z6" t="e">
        <f>VLOOKUP(A6,#REF!,9,FALSE)</f>
        <v>#REF!</v>
      </c>
    </row>
    <row r="7" spans="1:26" ht="15.75" thickBot="1">
      <c r="A7" s="121" t="s">
        <v>1071</v>
      </c>
      <c r="B7" s="102" t="s">
        <v>50</v>
      </c>
      <c r="C7" s="215">
        <v>45807</v>
      </c>
      <c r="D7" s="268"/>
      <c r="E7" s="269" t="s">
        <v>2079</v>
      </c>
      <c r="F7" s="268"/>
      <c r="G7" s="270" t="s">
        <v>2042</v>
      </c>
      <c r="H7" s="268"/>
      <c r="I7" s="268"/>
      <c r="J7" s="279"/>
      <c r="K7" s="205"/>
      <c r="L7" s="205"/>
      <c r="M7" s="205"/>
      <c r="N7" s="272"/>
      <c r="O7" s="273"/>
      <c r="P7" s="274" t="s">
        <v>2080</v>
      </c>
      <c r="Q7" s="275" t="s">
        <v>84</v>
      </c>
      <c r="R7" s="131" t="s">
        <v>2081</v>
      </c>
      <c r="S7" s="131"/>
      <c r="T7" s="276"/>
      <c r="U7" s="277"/>
      <c r="V7" s="277"/>
      <c r="W7" s="277"/>
      <c r="X7" s="277"/>
      <c r="Y7" s="277"/>
      <c r="Z7" t="e">
        <f>VLOOKUP(A7,#REF!,9,FALSE)</f>
        <v>#REF!</v>
      </c>
    </row>
    <row r="8" spans="1:26" ht="15.75" thickBot="1">
      <c r="A8" s="278" t="s">
        <v>2082</v>
      </c>
      <c r="B8" s="102" t="s">
        <v>50</v>
      </c>
      <c r="C8" s="215">
        <v>45807</v>
      </c>
      <c r="D8" s="268"/>
      <c r="E8" s="269" t="s">
        <v>2079</v>
      </c>
      <c r="F8" s="268"/>
      <c r="G8" s="270" t="s">
        <v>2042</v>
      </c>
      <c r="H8" s="268"/>
      <c r="I8" s="268"/>
      <c r="J8" s="279"/>
      <c r="K8" s="205"/>
      <c r="L8" s="205"/>
      <c r="M8" s="205"/>
      <c r="N8" s="272"/>
      <c r="O8" s="273"/>
      <c r="P8" s="274" t="s">
        <v>2053</v>
      </c>
      <c r="Q8" s="275" t="s">
        <v>2083</v>
      </c>
      <c r="R8" s="131" t="s">
        <v>2084</v>
      </c>
      <c r="S8" s="131"/>
      <c r="T8" s="276"/>
      <c r="U8" s="277"/>
      <c r="V8" s="277"/>
      <c r="W8" s="277"/>
      <c r="X8" s="277"/>
      <c r="Y8" s="277"/>
      <c r="Z8" t="e">
        <f>VLOOKUP(A8,#REF!,9,FALSE)</f>
        <v>#REF!</v>
      </c>
    </row>
    <row r="9" spans="1:26" ht="15.75" thickBot="1">
      <c r="A9" s="121" t="s">
        <v>1079</v>
      </c>
      <c r="B9" s="102" t="s">
        <v>50</v>
      </c>
      <c r="C9" s="215">
        <v>45807</v>
      </c>
      <c r="D9" s="280"/>
      <c r="E9" s="269" t="s">
        <v>2079</v>
      </c>
      <c r="F9" s="280"/>
      <c r="G9" s="281" t="s">
        <v>2042</v>
      </c>
      <c r="H9" s="268"/>
      <c r="I9" s="268"/>
      <c r="J9" s="279"/>
      <c r="K9" s="205"/>
      <c r="L9" s="205"/>
      <c r="M9" s="205"/>
      <c r="N9" s="272"/>
      <c r="O9" s="273"/>
      <c r="P9" s="274" t="s">
        <v>2080</v>
      </c>
      <c r="Q9" s="275" t="s">
        <v>84</v>
      </c>
      <c r="R9" s="131" t="s">
        <v>2081</v>
      </c>
      <c r="S9" s="131"/>
      <c r="T9" s="276"/>
      <c r="U9" s="277"/>
      <c r="V9" s="277"/>
      <c r="W9" s="277"/>
      <c r="X9" s="277"/>
      <c r="Y9" s="277"/>
      <c r="Z9" t="e">
        <f>VLOOKUP(A9,#REF!,9,FALSE)</f>
        <v>#REF!</v>
      </c>
    </row>
    <row r="10" spans="1:26" ht="15.75" thickBot="1">
      <c r="A10" s="121" t="s">
        <v>1056</v>
      </c>
      <c r="B10" s="102" t="s">
        <v>50</v>
      </c>
      <c r="C10" s="215" t="e">
        <v>#N/A</v>
      </c>
      <c r="D10" s="282"/>
      <c r="E10" s="269" t="s">
        <v>2079</v>
      </c>
      <c r="F10" s="282"/>
      <c r="G10" s="283" t="s">
        <v>2042</v>
      </c>
      <c r="H10" s="230"/>
      <c r="I10" s="230"/>
      <c r="J10" s="45"/>
      <c r="K10" s="204"/>
      <c r="L10" s="204"/>
      <c r="M10" s="204"/>
      <c r="N10" s="284"/>
      <c r="O10" s="285"/>
      <c r="P10" s="274" t="s">
        <v>2080</v>
      </c>
      <c r="Q10" s="275" t="s">
        <v>58</v>
      </c>
      <c r="R10" s="131" t="s">
        <v>2081</v>
      </c>
      <c r="S10" s="131"/>
      <c r="T10" s="276"/>
      <c r="U10" s="277"/>
      <c r="V10" s="277"/>
      <c r="W10" s="277"/>
      <c r="X10" s="277"/>
      <c r="Y10" s="277"/>
      <c r="Z10" t="e">
        <f>VLOOKUP(A10,#REF!,9,FALSE)</f>
        <v>#REF!</v>
      </c>
    </row>
    <row r="11" spans="1:26" ht="15.75" thickBot="1">
      <c r="A11" s="121" t="s">
        <v>511</v>
      </c>
      <c r="B11" s="102" t="s">
        <v>50</v>
      </c>
      <c r="C11" s="215">
        <v>45807</v>
      </c>
      <c r="D11" s="282"/>
      <c r="E11" s="269" t="s">
        <v>2079</v>
      </c>
      <c r="F11" s="282"/>
      <c r="G11" s="283" t="s">
        <v>2042</v>
      </c>
      <c r="H11" s="230"/>
      <c r="I11" s="230"/>
      <c r="J11" s="45"/>
      <c r="K11" s="204"/>
      <c r="L11" s="204"/>
      <c r="M11" s="204"/>
      <c r="N11" s="284"/>
      <c r="O11" s="285"/>
      <c r="P11" s="274" t="s">
        <v>2080</v>
      </c>
      <c r="Q11" s="275" t="s">
        <v>84</v>
      </c>
      <c r="R11" s="131" t="s">
        <v>2081</v>
      </c>
      <c r="S11" s="131"/>
      <c r="T11" s="276"/>
      <c r="U11" s="277"/>
      <c r="V11" s="277"/>
      <c r="W11" s="277"/>
      <c r="X11" s="277"/>
      <c r="Y11" s="277"/>
      <c r="Z11" t="e">
        <f>VLOOKUP(A11,#REF!,9,FALSE)</f>
        <v>#REF!</v>
      </c>
    </row>
    <row r="12" spans="1:26" ht="15.75" thickBot="1">
      <c r="A12" s="121" t="s">
        <v>1051</v>
      </c>
      <c r="B12" s="102" t="s">
        <v>50</v>
      </c>
      <c r="C12" s="215" t="e">
        <v>#N/A</v>
      </c>
      <c r="D12" s="282"/>
      <c r="E12" s="269" t="s">
        <v>2079</v>
      </c>
      <c r="F12" s="282"/>
      <c r="G12" s="283" t="s">
        <v>2042</v>
      </c>
      <c r="H12" s="230"/>
      <c r="I12" s="230"/>
      <c r="J12" s="45"/>
      <c r="K12" s="204"/>
      <c r="L12" s="204"/>
      <c r="M12" s="204"/>
      <c r="N12" s="284"/>
      <c r="O12" s="285"/>
      <c r="P12" s="274" t="s">
        <v>2080</v>
      </c>
      <c r="Q12" s="275" t="s">
        <v>84</v>
      </c>
      <c r="R12" s="131" t="s">
        <v>2081</v>
      </c>
      <c r="S12" s="131"/>
      <c r="T12" s="276"/>
      <c r="U12" s="277"/>
      <c r="V12" s="277"/>
      <c r="W12" s="277"/>
      <c r="X12" s="277"/>
      <c r="Y12" s="277"/>
      <c r="Z12" t="e">
        <f>VLOOKUP(A12,#REF!,9,FALSE)</f>
        <v>#REF!</v>
      </c>
    </row>
    <row r="13" spans="1:26" ht="15.75" thickBot="1">
      <c r="A13" s="121" t="s">
        <v>1077</v>
      </c>
      <c r="B13" s="102" t="s">
        <v>50</v>
      </c>
      <c r="C13" s="215" t="e">
        <v>#N/A</v>
      </c>
      <c r="D13" s="282"/>
      <c r="E13" s="269" t="s">
        <v>2079</v>
      </c>
      <c r="F13" s="282"/>
      <c r="G13" s="283" t="s">
        <v>2042</v>
      </c>
      <c r="H13" s="230"/>
      <c r="I13" s="230"/>
      <c r="J13" s="45"/>
      <c r="K13" s="204"/>
      <c r="L13" s="204"/>
      <c r="M13" s="204"/>
      <c r="N13" s="284"/>
      <c r="O13" s="285"/>
      <c r="P13" s="274" t="s">
        <v>2080</v>
      </c>
      <c r="Q13" s="275" t="s">
        <v>84</v>
      </c>
      <c r="R13" s="131" t="s">
        <v>2081</v>
      </c>
      <c r="S13" s="131"/>
      <c r="T13" s="276"/>
      <c r="U13" s="277"/>
      <c r="V13" s="277"/>
      <c r="W13" s="277"/>
      <c r="X13" s="277"/>
      <c r="Y13" s="277"/>
      <c r="Z13" t="e">
        <f>VLOOKUP(A13,#REF!,9,FALSE)</f>
        <v>#REF!</v>
      </c>
    </row>
    <row r="14" spans="1:26" ht="15.75" thickBot="1">
      <c r="A14" s="278" t="s">
        <v>507</v>
      </c>
      <c r="B14" s="102" t="s">
        <v>50</v>
      </c>
      <c r="C14" s="215">
        <v>45807</v>
      </c>
      <c r="D14" s="282"/>
      <c r="E14" s="269" t="s">
        <v>2079</v>
      </c>
      <c r="F14" s="282"/>
      <c r="G14" s="283" t="s">
        <v>2042</v>
      </c>
      <c r="H14" s="230"/>
      <c r="I14" s="230"/>
      <c r="J14" s="45"/>
      <c r="K14" s="204"/>
      <c r="L14" s="204"/>
      <c r="M14" s="204"/>
      <c r="N14" s="284"/>
      <c r="O14" s="285"/>
      <c r="P14" s="274" t="s">
        <v>2080</v>
      </c>
      <c r="Q14" s="275" t="s">
        <v>84</v>
      </c>
      <c r="R14" s="131" t="s">
        <v>2081</v>
      </c>
      <c r="S14" s="131"/>
      <c r="T14" s="276"/>
      <c r="U14" s="277"/>
      <c r="V14" s="277"/>
      <c r="W14" s="277"/>
      <c r="X14" s="277"/>
      <c r="Y14" s="277"/>
      <c r="Z14" t="e">
        <f>VLOOKUP(A14,#REF!,9,FALSE)</f>
        <v>#REF!</v>
      </c>
    </row>
    <row r="15" spans="1:26" ht="15.75" thickBot="1">
      <c r="A15" s="121" t="s">
        <v>1055</v>
      </c>
      <c r="B15" s="102" t="s">
        <v>50</v>
      </c>
      <c r="C15" s="215" t="e">
        <v>#N/A</v>
      </c>
      <c r="D15" s="282"/>
      <c r="E15" s="269" t="s">
        <v>2079</v>
      </c>
      <c r="F15" s="282"/>
      <c r="G15" s="283" t="s">
        <v>2042</v>
      </c>
      <c r="H15" s="230"/>
      <c r="I15" s="230"/>
      <c r="J15" s="45"/>
      <c r="K15" s="204"/>
      <c r="L15" s="204"/>
      <c r="M15" s="204"/>
      <c r="N15" s="284"/>
      <c r="O15" s="285"/>
      <c r="P15" s="274" t="s">
        <v>2080</v>
      </c>
      <c r="Q15" s="275" t="s">
        <v>84</v>
      </c>
      <c r="R15" s="131" t="s">
        <v>2081</v>
      </c>
      <c r="S15" s="131"/>
      <c r="T15" s="276"/>
      <c r="U15" s="277"/>
      <c r="V15" s="277"/>
      <c r="W15" s="277"/>
      <c r="X15" s="277"/>
      <c r="Y15" s="277"/>
      <c r="Z15" t="e">
        <f>VLOOKUP(A15,#REF!,9,FALSE)</f>
        <v>#REF!</v>
      </c>
    </row>
    <row r="16" spans="1:26" ht="15.75" thickBot="1">
      <c r="A16" s="286" t="s">
        <v>2085</v>
      </c>
      <c r="B16" s="102" t="s">
        <v>50</v>
      </c>
      <c r="C16" s="215" t="e">
        <v>#N/A</v>
      </c>
      <c r="D16" s="282"/>
      <c r="E16" s="269" t="s">
        <v>2079</v>
      </c>
      <c r="F16" s="282"/>
      <c r="G16" s="283" t="s">
        <v>2042</v>
      </c>
      <c r="H16" s="230"/>
      <c r="I16" s="230"/>
      <c r="J16" s="45"/>
      <c r="K16" s="204"/>
      <c r="L16" s="204"/>
      <c r="M16" s="204"/>
      <c r="N16" s="284"/>
      <c r="O16" s="285"/>
      <c r="P16" s="274" t="s">
        <v>2080</v>
      </c>
      <c r="Q16" s="275" t="s">
        <v>84</v>
      </c>
      <c r="R16" s="131" t="s">
        <v>2081</v>
      </c>
      <c r="S16" s="131"/>
      <c r="T16" s="276"/>
      <c r="U16" s="277"/>
      <c r="V16" s="277"/>
      <c r="W16" s="277"/>
      <c r="X16" s="277"/>
      <c r="Y16" s="277"/>
      <c r="Z16" t="e">
        <f>VLOOKUP(A16,#REF!,9,FALSE)</f>
        <v>#REF!</v>
      </c>
    </row>
    <row r="17" spans="1:26" ht="15.75" thickBot="1">
      <c r="A17" s="275" t="s">
        <v>890</v>
      </c>
      <c r="B17" s="102" t="s">
        <v>50</v>
      </c>
      <c r="C17" s="215" t="e">
        <v>#N/A</v>
      </c>
      <c r="D17" s="282"/>
      <c r="E17" s="269" t="s">
        <v>2044</v>
      </c>
      <c r="F17" s="282"/>
      <c r="G17" s="283" t="s">
        <v>2042</v>
      </c>
      <c r="H17" s="230"/>
      <c r="I17" s="230"/>
      <c r="J17" s="45"/>
      <c r="K17" s="204"/>
      <c r="L17" s="204"/>
      <c r="M17" s="204"/>
      <c r="N17" s="284"/>
      <c r="O17" s="285"/>
      <c r="P17" s="274"/>
      <c r="Q17" s="275" t="s">
        <v>84</v>
      </c>
      <c r="R17" s="131" t="s">
        <v>2081</v>
      </c>
      <c r="S17" s="131"/>
      <c r="T17" s="276"/>
      <c r="U17" s="277"/>
      <c r="V17" s="277"/>
      <c r="W17" s="277"/>
      <c r="X17" s="277"/>
      <c r="Y17" s="277"/>
      <c r="Z17" t="e">
        <f>VLOOKUP(A17,#REF!,9,FALSE)</f>
        <v>#REF!</v>
      </c>
    </row>
    <row r="18" spans="1:26" ht="15.75" thickBot="1">
      <c r="A18" s="275" t="s">
        <v>869</v>
      </c>
      <c r="B18" s="102" t="s">
        <v>50</v>
      </c>
      <c r="C18" s="215">
        <v>45807</v>
      </c>
      <c r="D18" s="282"/>
      <c r="E18" s="269" t="s">
        <v>2044</v>
      </c>
      <c r="F18" s="282"/>
      <c r="G18" s="283" t="s">
        <v>2042</v>
      </c>
      <c r="H18" s="230"/>
      <c r="I18" s="230"/>
      <c r="J18" s="45"/>
      <c r="K18" s="204"/>
      <c r="L18" s="204"/>
      <c r="M18" s="204"/>
      <c r="N18" s="284"/>
      <c r="O18" s="285"/>
      <c r="P18" s="274" t="s">
        <v>2050</v>
      </c>
      <c r="Q18" s="275"/>
      <c r="R18" s="131" t="s">
        <v>2081</v>
      </c>
      <c r="S18" s="131"/>
      <c r="T18" s="276"/>
      <c r="U18" s="277"/>
      <c r="V18" s="277"/>
      <c r="W18" s="277"/>
      <c r="X18" s="277"/>
      <c r="Y18" s="277"/>
      <c r="Z18" t="e">
        <f>VLOOKUP(A18,#REF!,9,FALSE)</f>
        <v>#REF!</v>
      </c>
    </row>
    <row r="19" spans="1:26" ht="15.75" thickBot="1">
      <c r="A19" s="275" t="s">
        <v>872</v>
      </c>
      <c r="B19" s="102" t="s">
        <v>50</v>
      </c>
      <c r="C19" s="215" t="e">
        <v>#N/A</v>
      </c>
      <c r="D19" s="282"/>
      <c r="E19" s="269" t="s">
        <v>2044</v>
      </c>
      <c r="F19" s="282"/>
      <c r="G19" s="283" t="s">
        <v>2063</v>
      </c>
      <c r="H19" s="230"/>
      <c r="I19" s="230"/>
      <c r="J19" s="45"/>
      <c r="K19" s="204"/>
      <c r="L19" s="204"/>
      <c r="M19" s="204"/>
      <c r="N19" s="284"/>
      <c r="O19" s="285"/>
      <c r="P19" s="274"/>
      <c r="Q19" s="275" t="s">
        <v>2063</v>
      </c>
      <c r="R19" s="131" t="s">
        <v>2081</v>
      </c>
      <c r="S19" s="131"/>
      <c r="T19" s="276"/>
      <c r="U19" s="277"/>
      <c r="V19" s="277"/>
      <c r="W19" s="277"/>
      <c r="X19" s="277"/>
      <c r="Y19" s="277"/>
      <c r="Z19" t="e">
        <f>VLOOKUP(A19,#REF!,9,FALSE)</f>
        <v>#REF!</v>
      </c>
    </row>
    <row r="20" spans="1:26" ht="15.75" thickBot="1">
      <c r="A20" s="275" t="s">
        <v>815</v>
      </c>
      <c r="B20" s="102" t="s">
        <v>50</v>
      </c>
      <c r="C20" s="215" t="e">
        <v>#N/A</v>
      </c>
      <c r="D20" s="282"/>
      <c r="E20" s="269" t="s">
        <v>2044</v>
      </c>
      <c r="F20" s="282"/>
      <c r="G20" s="283" t="s">
        <v>2063</v>
      </c>
      <c r="H20" s="230"/>
      <c r="I20" s="230"/>
      <c r="J20" s="45"/>
      <c r="K20" s="204"/>
      <c r="L20" s="204"/>
      <c r="M20" s="204"/>
      <c r="N20" s="284"/>
      <c r="O20" s="285"/>
      <c r="P20" s="274"/>
      <c r="Q20" s="275" t="s">
        <v>2063</v>
      </c>
      <c r="R20" s="131" t="s">
        <v>2081</v>
      </c>
      <c r="S20" s="131"/>
      <c r="T20" s="276"/>
      <c r="U20" s="277"/>
      <c r="V20" s="277"/>
      <c r="W20" s="277"/>
      <c r="X20" s="277"/>
      <c r="Y20" s="277"/>
      <c r="Z20" t="e">
        <f>VLOOKUP(A20,#REF!,9,FALSE)</f>
        <v>#REF!</v>
      </c>
    </row>
    <row r="21" spans="1:26" s="214" customFormat="1" ht="15.75" thickBot="1">
      <c r="A21" s="262" t="s">
        <v>2059</v>
      </c>
      <c r="B21" s="102" t="e">
        <v>#N/A</v>
      </c>
      <c r="C21" s="231">
        <v>45807</v>
      </c>
      <c r="D21" s="282"/>
      <c r="E21" s="269" t="s">
        <v>2044</v>
      </c>
      <c r="F21" s="282"/>
      <c r="G21" s="283" t="s">
        <v>2042</v>
      </c>
      <c r="H21" s="230"/>
      <c r="I21" s="230"/>
      <c r="J21" s="230"/>
      <c r="K21" s="229"/>
      <c r="L21" s="229"/>
      <c r="M21" s="229"/>
      <c r="N21" s="284"/>
      <c r="O21" s="285"/>
      <c r="P21" s="274"/>
      <c r="Q21" s="225" t="s">
        <v>64</v>
      </c>
      <c r="R21" s="131" t="s">
        <v>2081</v>
      </c>
      <c r="S21" s="228"/>
      <c r="T21" s="227"/>
      <c r="U21" s="226"/>
      <c r="V21" s="226"/>
      <c r="W21" s="226"/>
      <c r="X21" s="226"/>
      <c r="Y21" s="226" t="s">
        <v>2086</v>
      </c>
      <c r="Z21" t="e">
        <f>VLOOKUP(A21,#REF!,9,FALSE)</f>
        <v>#REF!</v>
      </c>
    </row>
    <row r="22" spans="1:26" ht="15.75" thickBot="1">
      <c r="A22" s="275" t="s">
        <v>817</v>
      </c>
      <c r="B22" s="102" t="s">
        <v>50</v>
      </c>
      <c r="C22" s="215" t="e">
        <v>#N/A</v>
      </c>
      <c r="D22" s="282"/>
      <c r="E22" s="269" t="s">
        <v>2044</v>
      </c>
      <c r="F22" s="282"/>
      <c r="G22" s="283" t="s">
        <v>2063</v>
      </c>
      <c r="H22" s="230"/>
      <c r="I22" s="230"/>
      <c r="J22" s="45"/>
      <c r="K22" s="204"/>
      <c r="L22" s="204"/>
      <c r="M22" s="204"/>
      <c r="N22" s="284"/>
      <c r="O22" s="285"/>
      <c r="P22" s="274"/>
      <c r="Q22" s="275" t="s">
        <v>2063</v>
      </c>
      <c r="R22" s="131" t="s">
        <v>2081</v>
      </c>
      <c r="S22" s="131"/>
      <c r="T22" s="276"/>
      <c r="U22" s="277"/>
      <c r="V22" s="277"/>
      <c r="W22" s="277"/>
      <c r="X22" s="277"/>
      <c r="Y22" s="277"/>
      <c r="Z22" t="e">
        <f>VLOOKUP(A22,#REF!,9,FALSE)</f>
        <v>#REF!</v>
      </c>
    </row>
    <row r="23" spans="1:26" ht="15.75" thickBot="1">
      <c r="A23" s="275" t="s">
        <v>800</v>
      </c>
      <c r="B23" s="102" t="s">
        <v>50</v>
      </c>
      <c r="C23" s="215" t="e">
        <v>#N/A</v>
      </c>
      <c r="D23" s="282"/>
      <c r="E23" s="269" t="s">
        <v>2044</v>
      </c>
      <c r="F23" s="282"/>
      <c r="G23" s="283" t="s">
        <v>2042</v>
      </c>
      <c r="H23" s="230"/>
      <c r="I23" s="230"/>
      <c r="J23" s="45"/>
      <c r="K23" s="204"/>
      <c r="L23" s="204"/>
      <c r="M23" s="204"/>
      <c r="N23" s="284"/>
      <c r="O23" s="285"/>
      <c r="P23" s="274"/>
      <c r="Q23" s="275" t="s">
        <v>64</v>
      </c>
      <c r="R23" s="131" t="s">
        <v>2081</v>
      </c>
      <c r="S23" s="131"/>
      <c r="T23" s="276"/>
      <c r="U23" s="277"/>
      <c r="V23" s="277"/>
      <c r="W23" s="277"/>
      <c r="X23" s="277"/>
      <c r="Y23" s="277" t="s">
        <v>2087</v>
      </c>
      <c r="Z23" t="e">
        <f>VLOOKUP(A23,#REF!,9,FALSE)</f>
        <v>#REF!</v>
      </c>
    </row>
    <row r="24" spans="1:26" s="214" customFormat="1" ht="69.599999999999994" customHeight="1" thickBot="1">
      <c r="A24" s="225" t="s">
        <v>2055</v>
      </c>
      <c r="B24" s="232" t="e">
        <v>#N/A</v>
      </c>
      <c r="C24" s="231">
        <v>45716</v>
      </c>
      <c r="D24" s="282"/>
      <c r="E24" s="269" t="s">
        <v>2044</v>
      </c>
      <c r="F24" s="282"/>
      <c r="G24" s="283" t="s">
        <v>2042</v>
      </c>
      <c r="H24" s="230"/>
      <c r="I24" s="230"/>
      <c r="J24" s="230"/>
      <c r="K24" s="229"/>
      <c r="L24" s="229"/>
      <c r="M24" s="229"/>
      <c r="N24" s="284"/>
      <c r="O24" s="285"/>
      <c r="P24" s="274" t="s">
        <v>2056</v>
      </c>
      <c r="Q24" s="225" t="s">
        <v>64</v>
      </c>
      <c r="R24" s="131" t="s">
        <v>2081</v>
      </c>
      <c r="S24" s="228"/>
      <c r="T24" s="227"/>
      <c r="U24" s="226"/>
      <c r="V24" s="226"/>
      <c r="W24" s="226"/>
      <c r="X24" s="226"/>
      <c r="Y24" s="226" t="s">
        <v>2087</v>
      </c>
      <c r="Z24" t="e">
        <f>VLOOKUP(A24,#REF!,9,FALSE)</f>
        <v>#REF!</v>
      </c>
    </row>
    <row r="25" spans="1:26" ht="15.75" thickBot="1">
      <c r="A25" s="275" t="s">
        <v>804</v>
      </c>
      <c r="B25" s="102" t="s">
        <v>50</v>
      </c>
      <c r="C25" s="215">
        <v>45772</v>
      </c>
      <c r="D25" s="282"/>
      <c r="E25" s="269" t="s">
        <v>2044</v>
      </c>
      <c r="F25" s="282"/>
      <c r="G25" s="283" t="s">
        <v>2042</v>
      </c>
      <c r="H25" s="230"/>
      <c r="I25" s="230"/>
      <c r="J25" s="45"/>
      <c r="K25" s="204"/>
      <c r="L25" s="204"/>
      <c r="M25" s="204"/>
      <c r="N25" s="284"/>
      <c r="O25" s="285"/>
      <c r="P25" s="274" t="s">
        <v>2056</v>
      </c>
      <c r="Q25" s="275" t="s">
        <v>64</v>
      </c>
      <c r="R25" s="131" t="s">
        <v>2081</v>
      </c>
      <c r="S25" s="131"/>
      <c r="T25" s="276"/>
      <c r="U25" s="277"/>
      <c r="V25" s="277"/>
      <c r="W25" s="277"/>
      <c r="X25" s="277"/>
      <c r="Y25" s="277"/>
      <c r="Z25" t="e">
        <f>VLOOKUP(A25,#REF!,9,FALSE)</f>
        <v>#REF!</v>
      </c>
    </row>
    <row r="26" spans="1:26" ht="15.75" thickBot="1">
      <c r="A26" s="275" t="s">
        <v>807</v>
      </c>
      <c r="B26" s="102" t="s">
        <v>50</v>
      </c>
      <c r="C26" s="215">
        <v>45772</v>
      </c>
      <c r="D26" s="282"/>
      <c r="E26" s="269" t="s">
        <v>2044</v>
      </c>
      <c r="F26" s="282"/>
      <c r="G26" s="283" t="s">
        <v>2042</v>
      </c>
      <c r="H26" s="230"/>
      <c r="I26" s="230"/>
      <c r="J26" s="45"/>
      <c r="K26" s="204"/>
      <c r="L26" s="204"/>
      <c r="M26" s="204"/>
      <c r="N26" s="284"/>
      <c r="O26" s="285"/>
      <c r="P26" s="274" t="s">
        <v>2056</v>
      </c>
      <c r="Q26" s="275" t="s">
        <v>64</v>
      </c>
      <c r="R26" s="131" t="s">
        <v>2081</v>
      </c>
      <c r="S26" s="131"/>
      <c r="T26" s="276"/>
      <c r="U26" s="277"/>
      <c r="V26" s="277"/>
      <c r="W26" s="277"/>
      <c r="X26" s="277"/>
      <c r="Y26" s="277"/>
      <c r="Z26" t="e">
        <f>VLOOKUP(A26,#REF!,9,FALSE)</f>
        <v>#REF!</v>
      </c>
    </row>
    <row r="27" spans="1:26" ht="15.75" thickBot="1">
      <c r="A27" s="275" t="s">
        <v>979</v>
      </c>
      <c r="B27" s="102" t="s">
        <v>50</v>
      </c>
      <c r="C27" s="215">
        <v>45772</v>
      </c>
      <c r="D27" s="282"/>
      <c r="E27" s="269" t="s">
        <v>2044</v>
      </c>
      <c r="F27" s="282"/>
      <c r="G27" s="283" t="s">
        <v>2042</v>
      </c>
      <c r="H27" s="230"/>
      <c r="I27" s="230"/>
      <c r="J27" s="45"/>
      <c r="K27" s="204"/>
      <c r="L27" s="204"/>
      <c r="M27" s="204"/>
      <c r="N27" s="284"/>
      <c r="O27" s="285"/>
      <c r="P27" s="274" t="s">
        <v>2056</v>
      </c>
      <c r="Q27" s="275" t="s">
        <v>64</v>
      </c>
      <c r="R27" s="131" t="s">
        <v>2081</v>
      </c>
      <c r="S27" s="131"/>
      <c r="T27" s="276"/>
      <c r="U27" s="277"/>
      <c r="V27" s="277"/>
      <c r="W27" s="277"/>
      <c r="X27" s="277"/>
      <c r="Y27" s="277"/>
      <c r="Z27" t="e">
        <f>VLOOKUP(A27,#REF!,9,FALSE)</f>
        <v>#REF!</v>
      </c>
    </row>
    <row r="28" spans="1:26" ht="70.150000000000006" customHeight="1" thickBot="1">
      <c r="A28" s="225" t="s">
        <v>2058</v>
      </c>
      <c r="B28" s="232"/>
      <c r="C28" s="231"/>
      <c r="D28" s="282"/>
      <c r="E28" s="269" t="s">
        <v>2044</v>
      </c>
      <c r="F28" s="282"/>
      <c r="G28" s="283" t="s">
        <v>2042</v>
      </c>
      <c r="H28" s="230"/>
      <c r="I28" s="230"/>
      <c r="J28" s="230"/>
      <c r="K28" s="229"/>
      <c r="L28" s="229"/>
      <c r="M28" s="229"/>
      <c r="N28" s="284"/>
      <c r="O28" s="285"/>
      <c r="P28" s="274" t="s">
        <v>2056</v>
      </c>
      <c r="Q28" s="225" t="s">
        <v>64</v>
      </c>
      <c r="R28" s="131" t="s">
        <v>2081</v>
      </c>
      <c r="S28" s="228"/>
      <c r="T28" s="227"/>
      <c r="U28" s="226"/>
      <c r="V28" s="226"/>
      <c r="W28" s="226"/>
      <c r="X28" s="226"/>
      <c r="Y28" s="288" t="s">
        <v>2088</v>
      </c>
      <c r="Z28" t="e">
        <f>VLOOKUP(A28,#REF!,9,FALSE)</f>
        <v>#REF!</v>
      </c>
    </row>
    <row r="29" spans="1:26" s="214" customFormat="1" ht="69.599999999999994" customHeight="1" thickBot="1">
      <c r="A29" s="225" t="s">
        <v>2061</v>
      </c>
      <c r="B29" s="232" t="e">
        <v>#N/A</v>
      </c>
      <c r="C29" s="231" t="e">
        <v>#N/A</v>
      </c>
      <c r="D29" s="282"/>
      <c r="E29" s="269" t="s">
        <v>2044</v>
      </c>
      <c r="F29" s="282"/>
      <c r="G29" s="283" t="s">
        <v>2042</v>
      </c>
      <c r="H29" s="230"/>
      <c r="I29" s="230"/>
      <c r="J29" s="230"/>
      <c r="K29" s="229"/>
      <c r="L29" s="229"/>
      <c r="M29" s="229"/>
      <c r="N29" s="284"/>
      <c r="O29" s="285"/>
      <c r="P29" s="274"/>
      <c r="Q29" s="220" t="s">
        <v>64</v>
      </c>
      <c r="R29" s="131" t="s">
        <v>2081</v>
      </c>
      <c r="S29" s="228"/>
      <c r="T29" s="227"/>
      <c r="U29" s="226"/>
      <c r="V29" s="226"/>
      <c r="W29" s="226"/>
      <c r="X29" s="226"/>
      <c r="Y29" s="226" t="s">
        <v>2088</v>
      </c>
      <c r="Z29" t="e">
        <f>VLOOKUP(A29,#REF!,9,FALSE)</f>
        <v>#REF!</v>
      </c>
    </row>
    <row r="30" spans="1:26" ht="15.75" thickBot="1">
      <c r="A30" s="275" t="s">
        <v>835</v>
      </c>
      <c r="B30" s="102" t="s">
        <v>50</v>
      </c>
      <c r="C30" s="215">
        <v>45772</v>
      </c>
      <c r="D30" s="282"/>
      <c r="E30" s="269" t="s">
        <v>2044</v>
      </c>
      <c r="F30" s="282"/>
      <c r="G30" s="283" t="s">
        <v>2063</v>
      </c>
      <c r="H30" s="230"/>
      <c r="I30" s="230"/>
      <c r="J30" s="45"/>
      <c r="K30" s="204"/>
      <c r="L30" s="204"/>
      <c r="M30" s="204"/>
      <c r="N30" s="284"/>
      <c r="O30" s="285"/>
      <c r="P30" s="274"/>
      <c r="Q30" s="275" t="s">
        <v>2063</v>
      </c>
      <c r="R30" s="131" t="s">
        <v>2081</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2044</v>
      </c>
      <c r="F31" s="289"/>
      <c r="G31" s="290" t="s">
        <v>2063</v>
      </c>
      <c r="H31" s="222"/>
      <c r="I31" s="222"/>
      <c r="J31" s="236"/>
      <c r="K31" s="237"/>
      <c r="L31" s="237"/>
      <c r="M31" s="237"/>
      <c r="N31" s="222"/>
      <c r="O31" s="291"/>
      <c r="P31" s="274"/>
      <c r="Q31" s="233" t="s">
        <v>2063</v>
      </c>
      <c r="R31" s="131" t="s">
        <v>2081</v>
      </c>
      <c r="S31" s="238"/>
      <c r="T31" s="239"/>
      <c r="U31" s="240"/>
      <c r="V31" s="240"/>
      <c r="W31" s="240"/>
      <c r="X31" s="240"/>
      <c r="Y31" s="240" t="s">
        <v>2089</v>
      </c>
      <c r="Z31" t="e">
        <f>VLOOKUP(A31,#REF!,9,FALSE)</f>
        <v>#REF!</v>
      </c>
    </row>
    <row r="32" spans="1:26" ht="15.75" thickBot="1">
      <c r="A32" s="275" t="s">
        <v>839</v>
      </c>
      <c r="B32" s="102" t="s">
        <v>50</v>
      </c>
      <c r="C32" s="215">
        <v>45772</v>
      </c>
      <c r="D32" s="282"/>
      <c r="E32" s="269" t="s">
        <v>2044</v>
      </c>
      <c r="F32" s="282"/>
      <c r="G32" s="283" t="s">
        <v>2063</v>
      </c>
      <c r="H32" s="230"/>
      <c r="I32" s="230"/>
      <c r="J32" s="45"/>
      <c r="K32" s="204"/>
      <c r="L32" s="204"/>
      <c r="M32" s="204"/>
      <c r="N32" s="284"/>
      <c r="O32" s="285"/>
      <c r="P32" s="274"/>
      <c r="Q32" s="275" t="s">
        <v>2063</v>
      </c>
      <c r="R32" s="131" t="s">
        <v>2081</v>
      </c>
      <c r="S32" s="131"/>
      <c r="T32" s="276"/>
      <c r="U32" s="277"/>
      <c r="V32" s="277"/>
      <c r="W32" s="277"/>
      <c r="X32" s="277"/>
      <c r="Y32" s="277"/>
      <c r="Z32" t="e">
        <f>VLOOKUP(A32,#REF!,9,FALSE)</f>
        <v>#REF!</v>
      </c>
    </row>
    <row r="33" spans="1:26" ht="15.75" thickBot="1">
      <c r="A33" s="275" t="s">
        <v>827</v>
      </c>
      <c r="B33" s="102" t="s">
        <v>50</v>
      </c>
      <c r="C33" s="215">
        <v>45831</v>
      </c>
      <c r="D33" s="282"/>
      <c r="E33" s="269" t="s">
        <v>2044</v>
      </c>
      <c r="F33" s="282"/>
      <c r="G33" s="283" t="s">
        <v>2042</v>
      </c>
      <c r="H33" s="230"/>
      <c r="I33" s="230"/>
      <c r="J33" s="45"/>
      <c r="K33" s="204"/>
      <c r="L33" s="204"/>
      <c r="M33" s="204"/>
      <c r="N33" s="284"/>
      <c r="O33" s="285"/>
      <c r="P33" s="274"/>
      <c r="Q33" s="225" t="s">
        <v>64</v>
      </c>
      <c r="R33" s="131" t="s">
        <v>2081</v>
      </c>
      <c r="S33" s="131"/>
      <c r="T33" s="276"/>
      <c r="U33" s="277"/>
      <c r="V33" s="277"/>
      <c r="W33" s="277"/>
      <c r="X33" s="277"/>
      <c r="Y33" s="277"/>
      <c r="Z33" t="e">
        <f>VLOOKUP(A33,#REF!,9,FALSE)</f>
        <v>#REF!</v>
      </c>
    </row>
    <row r="34" spans="1:26" ht="15.75" thickBot="1">
      <c r="A34" s="275" t="s">
        <v>821</v>
      </c>
      <c r="B34" s="102" t="s">
        <v>50</v>
      </c>
      <c r="C34" s="215">
        <v>45831</v>
      </c>
      <c r="D34" s="282"/>
      <c r="E34" s="269" t="s">
        <v>2044</v>
      </c>
      <c r="F34" s="282"/>
      <c r="G34" s="283" t="s">
        <v>2042</v>
      </c>
      <c r="H34" s="230"/>
      <c r="I34" s="230"/>
      <c r="J34" s="45"/>
      <c r="K34" s="204"/>
      <c r="L34" s="204"/>
      <c r="M34" s="204"/>
      <c r="N34" s="284"/>
      <c r="O34" s="285"/>
      <c r="P34" s="274"/>
      <c r="Q34" s="275" t="s">
        <v>64</v>
      </c>
      <c r="R34" s="131" t="s">
        <v>2081</v>
      </c>
      <c r="S34" s="131"/>
      <c r="T34" s="276"/>
      <c r="U34" s="277"/>
      <c r="V34" s="277"/>
      <c r="W34" s="277"/>
      <c r="X34" s="277"/>
      <c r="Y34" s="277"/>
      <c r="Z34" t="e">
        <f>VLOOKUP(A34,#REF!,9,FALSE)</f>
        <v>#REF!</v>
      </c>
    </row>
    <row r="35" spans="1:26" ht="15.75" thickBot="1">
      <c r="A35" s="275" t="s">
        <v>823</v>
      </c>
      <c r="B35" s="102" t="s">
        <v>50</v>
      </c>
      <c r="C35" s="215">
        <v>45831</v>
      </c>
      <c r="D35" s="282"/>
      <c r="E35" s="269" t="s">
        <v>2044</v>
      </c>
      <c r="F35" s="282"/>
      <c r="G35" s="283" t="s">
        <v>2042</v>
      </c>
      <c r="H35" s="230"/>
      <c r="I35" s="230"/>
      <c r="J35" s="45"/>
      <c r="K35" s="204"/>
      <c r="L35" s="204"/>
      <c r="M35" s="204"/>
      <c r="N35" s="284"/>
      <c r="O35" s="285"/>
      <c r="P35" s="274"/>
      <c r="Q35" s="275" t="s">
        <v>64</v>
      </c>
      <c r="R35" s="131" t="s">
        <v>2081</v>
      </c>
      <c r="S35" s="131"/>
      <c r="T35" s="276"/>
      <c r="U35" s="277"/>
      <c r="V35" s="277"/>
      <c r="W35" s="277"/>
      <c r="X35" s="277"/>
      <c r="Y35" s="277"/>
      <c r="Z35" t="e">
        <f>VLOOKUP(A35,#REF!,9,FALSE)</f>
        <v>#REF!</v>
      </c>
    </row>
    <row r="36" spans="1:26" ht="15.75" thickBot="1">
      <c r="A36" s="275" t="s">
        <v>819</v>
      </c>
      <c r="B36" s="102" t="s">
        <v>50</v>
      </c>
      <c r="C36" s="215">
        <v>45772</v>
      </c>
      <c r="D36" s="282"/>
      <c r="E36" s="269" t="s">
        <v>2044</v>
      </c>
      <c r="F36" s="282"/>
      <c r="G36" s="283" t="s">
        <v>2063</v>
      </c>
      <c r="H36" s="230"/>
      <c r="I36" s="230"/>
      <c r="J36" s="45"/>
      <c r="K36" s="204"/>
      <c r="L36" s="204"/>
      <c r="M36" s="204"/>
      <c r="N36" s="284"/>
      <c r="O36" s="285"/>
      <c r="P36" s="274"/>
      <c r="Q36" s="275" t="s">
        <v>2063</v>
      </c>
      <c r="R36" s="131" t="s">
        <v>2081</v>
      </c>
      <c r="S36" s="131"/>
      <c r="T36" s="276"/>
      <c r="U36" s="277"/>
      <c r="V36" s="277"/>
      <c r="W36" s="277"/>
      <c r="X36" s="277"/>
      <c r="Y36" s="277"/>
      <c r="Z36" t="e">
        <f>VLOOKUP(A36,#REF!,9,FALSE)</f>
        <v>#REF!</v>
      </c>
    </row>
    <row r="37" spans="1:26" ht="15.75" thickBot="1">
      <c r="A37" s="275" t="s">
        <v>829</v>
      </c>
      <c r="B37" s="102" t="s">
        <v>50</v>
      </c>
      <c r="C37" s="215">
        <v>45831</v>
      </c>
      <c r="D37" s="282"/>
      <c r="E37" s="269" t="s">
        <v>2044</v>
      </c>
      <c r="F37" s="282"/>
      <c r="G37" s="283" t="s">
        <v>2042</v>
      </c>
      <c r="H37" s="230"/>
      <c r="I37" s="230"/>
      <c r="J37" s="45"/>
      <c r="K37" s="204"/>
      <c r="L37" s="204"/>
      <c r="M37" s="204"/>
      <c r="N37" s="284"/>
      <c r="O37" s="285"/>
      <c r="P37" s="274"/>
      <c r="Q37" s="275" t="s">
        <v>64</v>
      </c>
      <c r="R37" s="131" t="s">
        <v>2081</v>
      </c>
      <c r="S37" s="131"/>
      <c r="T37" s="276"/>
      <c r="U37" s="277"/>
      <c r="V37" s="277"/>
      <c r="W37" s="277"/>
      <c r="X37" s="277"/>
      <c r="Y37" s="277"/>
      <c r="Z37" t="e">
        <f>VLOOKUP(A37,#REF!,9,FALSE)</f>
        <v>#REF!</v>
      </c>
    </row>
    <row r="38" spans="1:26" ht="15.75" thickBot="1">
      <c r="A38" s="275" t="s">
        <v>833</v>
      </c>
      <c r="B38" s="102" t="s">
        <v>50</v>
      </c>
      <c r="C38" s="215">
        <v>45831</v>
      </c>
      <c r="D38" s="282"/>
      <c r="E38" s="269" t="s">
        <v>2044</v>
      </c>
      <c r="F38" s="282"/>
      <c r="G38" s="283" t="s">
        <v>2042</v>
      </c>
      <c r="H38" s="230"/>
      <c r="I38" s="230"/>
      <c r="J38" s="45"/>
      <c r="K38" s="204"/>
      <c r="L38" s="204"/>
      <c r="M38" s="204"/>
      <c r="N38" s="284"/>
      <c r="O38" s="285"/>
      <c r="P38" s="274"/>
      <c r="Q38" s="275" t="s">
        <v>64</v>
      </c>
      <c r="R38" s="131" t="s">
        <v>2081</v>
      </c>
      <c r="S38" s="131"/>
      <c r="T38" s="276"/>
      <c r="U38" s="277"/>
      <c r="V38" s="277"/>
      <c r="W38" s="277"/>
      <c r="X38" s="277"/>
      <c r="Y38" s="277"/>
      <c r="Z38" t="e">
        <f>VLOOKUP(A38,#REF!,9,FALSE)</f>
        <v>#REF!</v>
      </c>
    </row>
    <row r="39" spans="1:26" s="216" customFormat="1" ht="70.150000000000006" customHeight="1" thickBot="1">
      <c r="A39" s="220" t="s">
        <v>2064</v>
      </c>
      <c r="B39" s="224" t="e">
        <v>#N/A</v>
      </c>
      <c r="C39" s="223" t="e">
        <v>#N/A</v>
      </c>
      <c r="D39" s="289"/>
      <c r="E39" s="269" t="s">
        <v>2044</v>
      </c>
      <c r="F39" s="289"/>
      <c r="G39" s="290" t="s">
        <v>2063</v>
      </c>
      <c r="H39" s="222"/>
      <c r="I39" s="222"/>
      <c r="J39" s="222"/>
      <c r="K39" s="221"/>
      <c r="L39" s="221"/>
      <c r="M39" s="221"/>
      <c r="N39" s="222"/>
      <c r="O39" s="291"/>
      <c r="P39" s="274"/>
      <c r="Q39" s="220" t="s">
        <v>2063</v>
      </c>
      <c r="R39" s="131" t="s">
        <v>2081</v>
      </c>
      <c r="S39" s="219"/>
      <c r="T39" s="218"/>
      <c r="U39" s="217"/>
      <c r="V39" s="217"/>
      <c r="W39" s="217"/>
      <c r="X39" s="217"/>
      <c r="Y39" s="217" t="s">
        <v>2088</v>
      </c>
      <c r="Z39" t="e">
        <f>VLOOKUP(A39,#REF!,9,FALSE)</f>
        <v>#REF!</v>
      </c>
    </row>
    <row r="40" spans="1:26" ht="15.75" thickBot="1">
      <c r="A40" s="275" t="s">
        <v>837</v>
      </c>
      <c r="B40" s="102" t="s">
        <v>50</v>
      </c>
      <c r="C40" s="215">
        <v>45831</v>
      </c>
      <c r="D40" s="282"/>
      <c r="E40" s="269" t="s">
        <v>2044</v>
      </c>
      <c r="F40" s="282"/>
      <c r="G40" s="283" t="s">
        <v>2042</v>
      </c>
      <c r="H40" s="230"/>
      <c r="I40" s="230"/>
      <c r="J40" s="45"/>
      <c r="K40" s="204"/>
      <c r="L40" s="204"/>
      <c r="M40" s="204"/>
      <c r="N40" s="284"/>
      <c r="O40" s="285"/>
      <c r="P40" s="274"/>
      <c r="Q40" s="275" t="s">
        <v>64</v>
      </c>
      <c r="R40" s="131" t="s">
        <v>2081</v>
      </c>
      <c r="S40" s="131"/>
      <c r="T40" s="276"/>
      <c r="U40" s="277"/>
      <c r="V40" s="277"/>
      <c r="W40" s="277"/>
      <c r="X40" s="277"/>
      <c r="Y40" s="277"/>
      <c r="Z40" t="e">
        <f>VLOOKUP(A40,#REF!,9,FALSE)</f>
        <v>#REF!</v>
      </c>
    </row>
    <row r="41" spans="1:26" ht="15.75" thickBot="1">
      <c r="A41" s="275" t="s">
        <v>87</v>
      </c>
      <c r="B41" s="102" t="s">
        <v>50</v>
      </c>
      <c r="C41" s="215">
        <v>45807</v>
      </c>
      <c r="D41" s="282"/>
      <c r="E41" s="269" t="s">
        <v>2079</v>
      </c>
      <c r="F41" s="282"/>
      <c r="G41" s="283" t="s">
        <v>2042</v>
      </c>
      <c r="H41" s="230"/>
      <c r="I41" s="230"/>
      <c r="J41" s="45"/>
      <c r="K41" s="204"/>
      <c r="L41" s="204"/>
      <c r="M41" s="204"/>
      <c r="N41" s="284"/>
      <c r="O41" s="285"/>
      <c r="P41" s="274" t="s">
        <v>2080</v>
      </c>
      <c r="Q41" s="275" t="s">
        <v>58</v>
      </c>
      <c r="R41" s="131" t="s">
        <v>2081</v>
      </c>
      <c r="S41" s="131"/>
      <c r="T41" s="276"/>
      <c r="U41" s="277"/>
      <c r="V41" s="277"/>
      <c r="W41" s="277"/>
      <c r="X41" s="277"/>
      <c r="Y41" s="277"/>
      <c r="Z41" t="e">
        <f>VLOOKUP(A41,#REF!,9,FALSE)</f>
        <v>#REF!</v>
      </c>
    </row>
    <row r="42" spans="1:26" ht="15.75" thickBot="1">
      <c r="A42" s="275" t="s">
        <v>85</v>
      </c>
      <c r="B42" s="102" t="s">
        <v>50</v>
      </c>
      <c r="C42" s="215">
        <v>45807</v>
      </c>
      <c r="D42" s="282"/>
      <c r="E42" s="269" t="s">
        <v>2079</v>
      </c>
      <c r="F42" s="282"/>
      <c r="G42" s="283" t="s">
        <v>2042</v>
      </c>
      <c r="H42" s="230"/>
      <c r="I42" s="230"/>
      <c r="J42" s="45"/>
      <c r="K42" s="204"/>
      <c r="L42" s="204"/>
      <c r="M42" s="204"/>
      <c r="N42" s="284"/>
      <c r="O42" s="285"/>
      <c r="P42" s="274" t="s">
        <v>2080</v>
      </c>
      <c r="Q42" s="275" t="s">
        <v>64</v>
      </c>
      <c r="R42" s="131" t="s">
        <v>2081</v>
      </c>
      <c r="S42" s="131"/>
      <c r="T42" s="276"/>
      <c r="U42" s="277"/>
      <c r="V42" s="277"/>
      <c r="W42" s="277"/>
      <c r="X42" s="277"/>
      <c r="Y42" s="277"/>
      <c r="Z42" t="e">
        <f>VLOOKUP(A42,#REF!,9,FALSE)</f>
        <v>#REF!</v>
      </c>
    </row>
    <row r="43" spans="1:26" ht="15.75" thickBot="1">
      <c r="A43" s="275" t="s">
        <v>514</v>
      </c>
      <c r="B43" s="102" t="s">
        <v>50</v>
      </c>
      <c r="C43" s="215">
        <v>45807</v>
      </c>
      <c r="D43" s="282"/>
      <c r="E43" s="269" t="s">
        <v>2079</v>
      </c>
      <c r="F43" s="282"/>
      <c r="G43" s="283" t="s">
        <v>2042</v>
      </c>
      <c r="H43" s="230"/>
      <c r="I43" s="230"/>
      <c r="J43" s="45"/>
      <c r="K43" s="204"/>
      <c r="L43" s="204"/>
      <c r="M43" s="204"/>
      <c r="N43" s="284"/>
      <c r="O43" s="285"/>
      <c r="P43" s="274" t="s">
        <v>2080</v>
      </c>
      <c r="Q43" s="275" t="s">
        <v>58</v>
      </c>
      <c r="R43" s="131" t="s">
        <v>2081</v>
      </c>
      <c r="S43" s="131"/>
      <c r="T43" s="276"/>
      <c r="U43" s="277"/>
      <c r="V43" s="277"/>
      <c r="W43" s="277"/>
      <c r="X43" s="277"/>
      <c r="Y43" s="277"/>
      <c r="Z43" t="e">
        <f>VLOOKUP(A43,#REF!,9,FALSE)</f>
        <v>#REF!</v>
      </c>
    </row>
    <row r="44" spans="1:26" ht="15.75" thickBot="1">
      <c r="A44" s="275" t="s">
        <v>81</v>
      </c>
      <c r="B44" s="102" t="s">
        <v>50</v>
      </c>
      <c r="C44" s="215">
        <v>45807</v>
      </c>
      <c r="D44" s="282"/>
      <c r="E44" s="269" t="s">
        <v>2079</v>
      </c>
      <c r="F44" s="282"/>
      <c r="G44" s="283" t="s">
        <v>2042</v>
      </c>
      <c r="H44" s="230"/>
      <c r="I44" s="230"/>
      <c r="J44" s="45"/>
      <c r="K44" s="204"/>
      <c r="L44" s="204"/>
      <c r="M44" s="204"/>
      <c r="N44" s="284"/>
      <c r="O44" s="285"/>
      <c r="P44" s="274" t="s">
        <v>2050</v>
      </c>
      <c r="Q44" s="275" t="s">
        <v>64</v>
      </c>
      <c r="R44" s="131" t="s">
        <v>2081</v>
      </c>
      <c r="S44" s="131"/>
      <c r="T44" s="276"/>
      <c r="U44" s="277"/>
      <c r="V44" s="277"/>
      <c r="W44" s="277"/>
      <c r="X44" s="277"/>
      <c r="Y44" s="277"/>
      <c r="Z44" t="e">
        <f>VLOOKUP(A44,#REF!,9,FALSE)</f>
        <v>#REF!</v>
      </c>
    </row>
    <row r="45" spans="1:26" ht="15.75" thickBot="1">
      <c r="A45" s="335" t="s">
        <v>642</v>
      </c>
      <c r="B45" s="102" t="s">
        <v>50</v>
      </c>
      <c r="C45" s="215">
        <v>45807</v>
      </c>
      <c r="D45" s="282"/>
      <c r="E45" s="269" t="s">
        <v>2044</v>
      </c>
      <c r="F45" s="282"/>
      <c r="G45" s="283" t="s">
        <v>2042</v>
      </c>
      <c r="H45" s="230"/>
      <c r="I45" s="230"/>
      <c r="J45" s="45"/>
      <c r="K45" s="204"/>
      <c r="L45" s="204"/>
      <c r="M45" s="204"/>
      <c r="N45" s="284"/>
      <c r="O45" s="285"/>
      <c r="P45" s="274"/>
      <c r="Q45" s="275" t="s">
        <v>58</v>
      </c>
      <c r="R45" s="131" t="s">
        <v>2081</v>
      </c>
      <c r="S45" s="131"/>
      <c r="T45" s="276"/>
      <c r="U45" s="277"/>
      <c r="V45" s="277"/>
      <c r="W45" s="277"/>
      <c r="X45" s="277"/>
      <c r="Y45" s="277"/>
      <c r="Z45" t="e">
        <f>VLOOKUP(A45,#REF!,9,FALSE)</f>
        <v>#REF!</v>
      </c>
    </row>
    <row r="46" spans="1:26" ht="15.75" thickBot="1">
      <c r="A46" s="292" t="s">
        <v>644</v>
      </c>
      <c r="B46" s="102" t="s">
        <v>50</v>
      </c>
      <c r="C46" s="215">
        <v>45807</v>
      </c>
      <c r="D46" s="282"/>
      <c r="E46" s="269" t="s">
        <v>2044</v>
      </c>
      <c r="F46" s="282"/>
      <c r="G46" s="290" t="s">
        <v>2042</v>
      </c>
      <c r="H46" s="230"/>
      <c r="I46" s="230"/>
      <c r="J46" s="45"/>
      <c r="K46" s="204"/>
      <c r="L46" s="204"/>
      <c r="M46" s="204"/>
      <c r="N46" s="284"/>
      <c r="O46" s="285"/>
      <c r="P46" s="274"/>
      <c r="Q46" s="275" t="s">
        <v>58</v>
      </c>
      <c r="R46" s="131" t="s">
        <v>2081</v>
      </c>
      <c r="S46" s="131"/>
      <c r="T46" s="276"/>
      <c r="U46" s="277"/>
      <c r="V46" s="277"/>
      <c r="W46" s="277"/>
      <c r="X46" s="277"/>
      <c r="Y46" s="277"/>
      <c r="Z46" t="e">
        <f>VLOOKUP(A46,#REF!,9,FALSE)</f>
        <v>#REF!</v>
      </c>
    </row>
    <row r="47" spans="1:26" ht="15.75" thickBot="1">
      <c r="A47" s="293" t="s">
        <v>177</v>
      </c>
      <c r="B47" s="102" t="s">
        <v>50</v>
      </c>
      <c r="C47" s="215">
        <v>45807</v>
      </c>
      <c r="D47" s="282"/>
      <c r="E47" s="269" t="s">
        <v>2044</v>
      </c>
      <c r="F47" s="282"/>
      <c r="G47" s="283" t="s">
        <v>2042</v>
      </c>
      <c r="H47" s="230"/>
      <c r="I47" s="230"/>
      <c r="J47" s="45"/>
      <c r="K47" s="204"/>
      <c r="L47" s="204"/>
      <c r="M47" s="204"/>
      <c r="N47" s="284"/>
      <c r="O47" s="285"/>
      <c r="P47" s="274" t="s">
        <v>2053</v>
      </c>
      <c r="Q47" s="275" t="s">
        <v>58</v>
      </c>
      <c r="R47" s="131" t="s">
        <v>2084</v>
      </c>
      <c r="S47" s="131"/>
      <c r="T47" s="276"/>
      <c r="U47" s="277"/>
      <c r="V47" s="277"/>
      <c r="W47" s="277"/>
      <c r="X47" s="277"/>
      <c r="Y47" s="277"/>
      <c r="Z47" t="e">
        <f>VLOOKUP(A47,#REF!,9,FALSE)</f>
        <v>#REF!</v>
      </c>
    </row>
    <row r="48" spans="1:26" ht="15.75" thickBot="1">
      <c r="A48" s="292" t="s">
        <v>693</v>
      </c>
      <c r="B48" s="102" t="s">
        <v>50</v>
      </c>
      <c r="C48" s="215">
        <v>45807</v>
      </c>
      <c r="D48" s="282"/>
      <c r="E48" s="269" t="s">
        <v>2044</v>
      </c>
      <c r="F48" s="282"/>
      <c r="G48" s="290" t="s">
        <v>2063</v>
      </c>
      <c r="H48" s="230"/>
      <c r="I48" s="230"/>
      <c r="J48" s="45"/>
      <c r="K48" s="204"/>
      <c r="L48" s="204"/>
      <c r="M48" s="204"/>
      <c r="N48" s="284"/>
      <c r="O48" s="285"/>
      <c r="P48" s="274" t="s">
        <v>2090</v>
      </c>
      <c r="Q48" s="275" t="s">
        <v>2063</v>
      </c>
      <c r="R48" s="131" t="s">
        <v>2081</v>
      </c>
      <c r="S48" s="131"/>
      <c r="T48" s="276"/>
      <c r="U48" s="277"/>
      <c r="V48" s="277"/>
      <c r="W48" s="277"/>
      <c r="X48" s="277"/>
      <c r="Y48" s="277"/>
      <c r="Z48" t="e">
        <f>VLOOKUP(A48,#REF!,9,FALSE)</f>
        <v>#REF!</v>
      </c>
    </row>
    <row r="49" spans="1:26" ht="15.75" thickBot="1">
      <c r="A49" s="292" t="s">
        <v>687</v>
      </c>
      <c r="B49" s="102" t="s">
        <v>111</v>
      </c>
      <c r="C49" s="215">
        <v>45772</v>
      </c>
      <c r="D49" s="282"/>
      <c r="E49" s="269" t="s">
        <v>2044</v>
      </c>
      <c r="F49" s="282"/>
      <c r="G49" s="290" t="s">
        <v>2063</v>
      </c>
      <c r="H49" s="230"/>
      <c r="I49" s="230"/>
      <c r="J49" s="45"/>
      <c r="K49" s="204"/>
      <c r="L49" s="204"/>
      <c r="M49" s="204"/>
      <c r="N49" s="284"/>
      <c r="O49" s="285"/>
      <c r="P49" s="274" t="s">
        <v>2090</v>
      </c>
      <c r="Q49" s="275" t="s">
        <v>2063</v>
      </c>
      <c r="R49" s="131" t="s">
        <v>2081</v>
      </c>
      <c r="S49" s="131"/>
      <c r="T49" s="276"/>
      <c r="U49" s="277"/>
      <c r="V49" s="277"/>
      <c r="W49" s="277"/>
      <c r="X49" s="277"/>
      <c r="Y49" s="277"/>
      <c r="Z49" t="e">
        <f>VLOOKUP(A49,#REF!,9,FALSE)</f>
        <v>#REF!</v>
      </c>
    </row>
    <row r="50" spans="1:26" ht="15.75" thickBot="1">
      <c r="A50" s="292" t="s">
        <v>685</v>
      </c>
      <c r="B50" s="102" t="s">
        <v>111</v>
      </c>
      <c r="C50" s="215">
        <v>45772</v>
      </c>
      <c r="D50" s="282"/>
      <c r="E50" s="269" t="s">
        <v>2044</v>
      </c>
      <c r="F50" s="282"/>
      <c r="G50" s="290" t="s">
        <v>2063</v>
      </c>
      <c r="H50" s="230"/>
      <c r="I50" s="230"/>
      <c r="J50" s="45"/>
      <c r="K50" s="204"/>
      <c r="L50" s="204"/>
      <c r="M50" s="204"/>
      <c r="N50" s="284"/>
      <c r="O50" s="285"/>
      <c r="P50" s="274" t="s">
        <v>2090</v>
      </c>
      <c r="Q50" s="275" t="s">
        <v>2063</v>
      </c>
      <c r="R50" s="131" t="s">
        <v>2081</v>
      </c>
      <c r="S50" s="131"/>
      <c r="T50" s="276"/>
      <c r="U50" s="277"/>
      <c r="V50" s="277"/>
      <c r="W50" s="277"/>
      <c r="X50" s="277"/>
      <c r="Y50" s="277"/>
      <c r="Z50" t="e">
        <f>VLOOKUP(A50,#REF!,9,FALSE)</f>
        <v>#REF!</v>
      </c>
    </row>
    <row r="51" spans="1:26" ht="15.75" thickBot="1">
      <c r="A51" s="292" t="s">
        <v>691</v>
      </c>
      <c r="B51" s="102" t="e">
        <v>#N/A</v>
      </c>
      <c r="C51" s="215" t="e">
        <v>#N/A</v>
      </c>
      <c r="D51" s="282"/>
      <c r="E51" s="269" t="s">
        <v>2044</v>
      </c>
      <c r="F51" s="282"/>
      <c r="G51" s="290" t="s">
        <v>2063</v>
      </c>
      <c r="H51" s="230"/>
      <c r="I51" s="230"/>
      <c r="J51" s="45"/>
      <c r="K51" s="204"/>
      <c r="L51" s="204"/>
      <c r="M51" s="204"/>
      <c r="N51" s="284"/>
      <c r="O51" s="285"/>
      <c r="P51" s="274" t="s">
        <v>2090</v>
      </c>
      <c r="Q51" s="275" t="s">
        <v>2063</v>
      </c>
      <c r="R51" s="131" t="s">
        <v>2081</v>
      </c>
      <c r="S51" s="131"/>
      <c r="T51" s="276"/>
      <c r="U51" s="277"/>
      <c r="V51" s="277"/>
      <c r="W51" s="277"/>
      <c r="X51" s="277"/>
      <c r="Y51" s="277"/>
      <c r="Z51" t="e">
        <f>VLOOKUP(A51,#REF!,9,FALSE)</f>
        <v>#REF!</v>
      </c>
    </row>
    <row r="52" spans="1:26" ht="13.9" customHeight="1" thickBot="1">
      <c r="A52" s="292" t="s">
        <v>667</v>
      </c>
      <c r="B52" s="102" t="s">
        <v>111</v>
      </c>
      <c r="C52" s="215">
        <v>45925</v>
      </c>
      <c r="D52" s="282"/>
      <c r="E52" s="269" t="s">
        <v>2079</v>
      </c>
      <c r="F52" s="282"/>
      <c r="G52" s="283" t="s">
        <v>2042</v>
      </c>
      <c r="H52" s="230"/>
      <c r="I52" s="230"/>
      <c r="J52" s="45"/>
      <c r="K52" s="204"/>
      <c r="L52" s="204"/>
      <c r="M52" s="204"/>
      <c r="N52" s="284"/>
      <c r="O52" s="285"/>
      <c r="P52" s="274" t="s">
        <v>2080</v>
      </c>
      <c r="Q52" s="275" t="s">
        <v>64</v>
      </c>
      <c r="R52" s="131" t="s">
        <v>2081</v>
      </c>
      <c r="S52" s="131"/>
      <c r="T52" s="276"/>
      <c r="U52" s="277"/>
      <c r="V52" s="277"/>
      <c r="W52" s="277"/>
      <c r="X52" s="277"/>
      <c r="Y52" s="277"/>
      <c r="Z52" t="e">
        <f>VLOOKUP(A52,#REF!,9,FALSE)</f>
        <v>#REF!</v>
      </c>
    </row>
    <row r="53" spans="1:26" ht="15.75" thickBot="1">
      <c r="A53" s="292" t="s">
        <v>669</v>
      </c>
      <c r="B53" s="102" t="s">
        <v>111</v>
      </c>
      <c r="C53" s="215">
        <v>45925</v>
      </c>
      <c r="D53" s="282"/>
      <c r="E53" s="269" t="s">
        <v>2079</v>
      </c>
      <c r="F53" s="282"/>
      <c r="G53" s="283" t="s">
        <v>2042</v>
      </c>
      <c r="H53" s="230"/>
      <c r="I53" s="230"/>
      <c r="J53" s="45"/>
      <c r="K53" s="204"/>
      <c r="L53" s="204"/>
      <c r="M53" s="204"/>
      <c r="N53" s="284"/>
      <c r="O53" s="285"/>
      <c r="P53" s="274" t="s">
        <v>2080</v>
      </c>
      <c r="Q53" s="275" t="s">
        <v>64</v>
      </c>
      <c r="R53" s="131" t="s">
        <v>2081</v>
      </c>
      <c r="S53" s="131"/>
      <c r="T53" s="276"/>
      <c r="U53" s="277"/>
      <c r="V53" s="277"/>
      <c r="W53" s="277"/>
      <c r="X53" s="277"/>
      <c r="Y53" s="277"/>
      <c r="Z53" t="e">
        <f>VLOOKUP(A53,#REF!,9,FALSE)</f>
        <v>#REF!</v>
      </c>
    </row>
    <row r="54" spans="1:26" ht="15.75" thickBot="1">
      <c r="A54" s="292" t="s">
        <v>665</v>
      </c>
      <c r="B54" s="102" t="s">
        <v>111</v>
      </c>
      <c r="C54" s="215">
        <v>45925</v>
      </c>
      <c r="D54" s="282"/>
      <c r="E54" s="269" t="s">
        <v>2079</v>
      </c>
      <c r="F54" s="282"/>
      <c r="G54" s="283" t="s">
        <v>2042</v>
      </c>
      <c r="H54" s="230"/>
      <c r="I54" s="230"/>
      <c r="J54" s="45"/>
      <c r="K54" s="204"/>
      <c r="L54" s="204"/>
      <c r="M54" s="204"/>
      <c r="N54" s="284"/>
      <c r="O54" s="285"/>
      <c r="P54" s="274" t="s">
        <v>2080</v>
      </c>
      <c r="Q54" s="275" t="s">
        <v>64</v>
      </c>
      <c r="R54" s="131" t="s">
        <v>2081</v>
      </c>
      <c r="S54" s="131"/>
      <c r="T54" s="276"/>
      <c r="U54" s="277"/>
      <c r="V54" s="277"/>
      <c r="W54" s="277"/>
      <c r="X54" s="277"/>
      <c r="Y54" s="277"/>
      <c r="Z54" t="e">
        <f>VLOOKUP(A54,#REF!,9,FALSE)</f>
        <v>#REF!</v>
      </c>
    </row>
    <row r="55" spans="1:26" ht="15.75" thickBot="1">
      <c r="A55" s="292" t="s">
        <v>715</v>
      </c>
      <c r="B55" s="102" t="s">
        <v>111</v>
      </c>
      <c r="C55" s="215">
        <v>45862</v>
      </c>
      <c r="D55" s="282"/>
      <c r="E55" s="269" t="s">
        <v>2079</v>
      </c>
      <c r="F55" s="282"/>
      <c r="G55" s="283" t="s">
        <v>2042</v>
      </c>
      <c r="H55" s="230"/>
      <c r="I55" s="230"/>
      <c r="J55" s="45"/>
      <c r="K55" s="204"/>
      <c r="L55" s="204"/>
      <c r="M55" s="204"/>
      <c r="N55" s="284"/>
      <c r="O55" s="285"/>
      <c r="P55" s="274" t="s">
        <v>2053</v>
      </c>
      <c r="Q55" s="275" t="s">
        <v>58</v>
      </c>
      <c r="R55" s="131" t="s">
        <v>2084</v>
      </c>
      <c r="S55" s="131"/>
      <c r="T55" s="276"/>
      <c r="U55" s="277"/>
      <c r="V55" s="277"/>
      <c r="W55" s="277"/>
      <c r="X55" s="277"/>
      <c r="Y55" s="277"/>
      <c r="Z55" t="e">
        <f>VLOOKUP(A55,#REF!,9,FALSE)</f>
        <v>#REF!</v>
      </c>
    </row>
    <row r="56" spans="1:26" ht="15.75" thickBot="1">
      <c r="A56" s="292" t="s">
        <v>128</v>
      </c>
      <c r="B56" s="102"/>
      <c r="C56" s="215" t="e">
        <v>#N/A</v>
      </c>
      <c r="D56" s="282"/>
      <c r="E56" s="269" t="s">
        <v>2079</v>
      </c>
      <c r="F56" s="282"/>
      <c r="G56" s="283" t="s">
        <v>2042</v>
      </c>
      <c r="H56" s="230"/>
      <c r="I56" s="230"/>
      <c r="J56" s="45"/>
      <c r="K56" s="204"/>
      <c r="L56" s="204"/>
      <c r="M56" s="204"/>
      <c r="N56" s="284"/>
      <c r="O56" s="285"/>
      <c r="P56" s="274" t="s">
        <v>2091</v>
      </c>
      <c r="Q56" s="275" t="s">
        <v>58</v>
      </c>
      <c r="R56" s="131" t="s">
        <v>2084</v>
      </c>
      <c r="S56" s="131"/>
      <c r="T56" s="276"/>
      <c r="U56" s="277"/>
      <c r="V56" s="277"/>
      <c r="W56" s="277"/>
      <c r="X56" s="277"/>
      <c r="Y56" s="277"/>
      <c r="Z56" t="e">
        <f>VLOOKUP(A56,#REF!,9,FALSE)</f>
        <v>#REF!</v>
      </c>
    </row>
    <row r="57" spans="1:26" ht="15.75" thickBot="1">
      <c r="A57" s="162" t="s">
        <v>2092</v>
      </c>
      <c r="B57" s="102" t="s">
        <v>111</v>
      </c>
      <c r="C57" s="294">
        <v>45787</v>
      </c>
      <c r="D57" s="282"/>
      <c r="E57" s="269" t="s">
        <v>2079</v>
      </c>
      <c r="F57" s="282"/>
      <c r="G57" s="283" t="s">
        <v>2042</v>
      </c>
      <c r="H57" s="230"/>
      <c r="I57" s="230"/>
      <c r="J57" s="45"/>
      <c r="K57" s="204"/>
      <c r="L57" s="204"/>
      <c r="M57" s="204"/>
      <c r="N57" s="284"/>
      <c r="O57" s="285"/>
      <c r="P57" s="274" t="s">
        <v>2053</v>
      </c>
      <c r="Q57" s="275" t="s">
        <v>2093</v>
      </c>
      <c r="R57" s="131" t="s">
        <v>2084</v>
      </c>
      <c r="S57" s="131"/>
      <c r="T57" s="276"/>
      <c r="U57" s="277"/>
      <c r="V57" s="277"/>
      <c r="W57" s="277"/>
      <c r="X57" s="277"/>
      <c r="Y57" s="277"/>
      <c r="Z57" t="e">
        <f>VLOOKUP(A57,#REF!,9,FALSE)</f>
        <v>#REF!</v>
      </c>
    </row>
    <row r="58" spans="1:26" ht="15.75" thickBot="1">
      <c r="A58" s="622" t="s">
        <v>665</v>
      </c>
      <c r="B58" s="102" t="s">
        <v>50</v>
      </c>
      <c r="C58" s="296">
        <v>45807</v>
      </c>
      <c r="D58" s="282"/>
      <c r="E58" s="269" t="s">
        <v>2044</v>
      </c>
      <c r="F58" s="282"/>
      <c r="G58" s="283" t="s">
        <v>2042</v>
      </c>
      <c r="H58" s="230"/>
      <c r="I58" s="230"/>
      <c r="J58" s="45"/>
      <c r="K58" s="204"/>
      <c r="L58" s="204"/>
      <c r="M58" s="204"/>
      <c r="N58" s="284"/>
      <c r="O58" s="285"/>
      <c r="P58" s="287"/>
      <c r="Q58" s="275" t="s">
        <v>64</v>
      </c>
      <c r="R58" s="131" t="s">
        <v>2081</v>
      </c>
      <c r="S58" s="131"/>
      <c r="T58" s="276"/>
      <c r="U58" s="277"/>
      <c r="V58" s="277"/>
      <c r="W58" s="277"/>
      <c r="X58" s="277"/>
      <c r="Y58" s="277"/>
    </row>
    <row r="59" spans="1:26" ht="15.75" thickBot="1">
      <c r="A59" s="622" t="s">
        <v>667</v>
      </c>
      <c r="B59" s="102" t="s">
        <v>111</v>
      </c>
      <c r="C59" s="296">
        <v>45772</v>
      </c>
      <c r="D59" s="282"/>
      <c r="E59" s="269" t="s">
        <v>2044</v>
      </c>
      <c r="F59" s="282"/>
      <c r="G59" s="283" t="s">
        <v>2042</v>
      </c>
      <c r="H59" s="230"/>
      <c r="I59" s="230"/>
      <c r="J59" s="45"/>
      <c r="K59" s="204"/>
      <c r="L59" s="204"/>
      <c r="M59" s="204"/>
      <c r="N59" s="284"/>
      <c r="O59" s="285"/>
      <c r="P59" s="287"/>
      <c r="Q59" s="275" t="s">
        <v>64</v>
      </c>
      <c r="R59" s="131" t="s">
        <v>2081</v>
      </c>
      <c r="S59" s="131"/>
      <c r="T59" s="276"/>
      <c r="U59" s="277"/>
      <c r="V59" s="277"/>
      <c r="W59" s="277"/>
      <c r="X59" s="277"/>
      <c r="Y59" s="277"/>
    </row>
    <row r="60" spans="1:26" ht="15.75" thickBot="1">
      <c r="A60" s="623" t="s">
        <v>669</v>
      </c>
      <c r="B60" s="102" t="s">
        <v>111</v>
      </c>
      <c r="C60" s="296">
        <v>45772</v>
      </c>
      <c r="D60" s="282"/>
      <c r="E60" s="269" t="s">
        <v>2044</v>
      </c>
      <c r="F60" s="282"/>
      <c r="G60" s="283" t="s">
        <v>2042</v>
      </c>
      <c r="H60" s="230"/>
      <c r="I60" s="230"/>
      <c r="J60" s="45"/>
      <c r="K60" s="204"/>
      <c r="L60" s="204"/>
      <c r="M60" s="204"/>
      <c r="N60" s="284"/>
      <c r="O60" s="285"/>
      <c r="P60" s="287"/>
      <c r="Q60" s="275" t="s">
        <v>64</v>
      </c>
      <c r="R60" s="131" t="s">
        <v>2081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2073</v>
      </c>
      <c r="B70" s="301">
        <f>SUM(K4:K9)</f>
        <v>0</v>
      </c>
      <c r="C70" s="302" t="e">
        <f>B70/B73</f>
        <v>#DIV/0!</v>
      </c>
    </row>
    <row r="71" spans="1:25">
      <c r="A71" s="300" t="s">
        <v>2029</v>
      </c>
      <c r="B71" s="301">
        <f>SUM(L4:L9)</f>
        <v>0</v>
      </c>
      <c r="C71" s="302" t="e">
        <f>B71/B73</f>
        <v>#DIV/0!</v>
      </c>
    </row>
    <row r="72" spans="1:25">
      <c r="A72" s="300" t="s">
        <v>2074</v>
      </c>
      <c r="B72" s="301">
        <f>SUM(M4:M9)</f>
        <v>0</v>
      </c>
      <c r="C72" s="302" t="e">
        <f>B72/B73</f>
        <v>#DIV/0!</v>
      </c>
    </row>
    <row r="73" spans="1:25">
      <c r="A73" s="300" t="s">
        <v>1030</v>
      </c>
      <c r="B73" s="301">
        <f>SUM(B70:B72)</f>
        <v>0</v>
      </c>
      <c r="C73" s="279"/>
    </row>
    <row r="80" spans="1:25">
      <c r="A80" t="s">
        <v>2094</v>
      </c>
    </row>
    <row r="81" spans="1:1">
      <c r="A81" t="s">
        <v>2095</v>
      </c>
    </row>
    <row r="82" spans="1:1">
      <c r="A82" t="s">
        <v>2080</v>
      </c>
    </row>
    <row r="83" spans="1:1">
      <c r="A83" t="s">
        <v>2096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42202BE-FCB6-46E5-B7AF-78B762B2E0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2025-12-22T14:47:14Z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