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32" documentId="8_{E14B221E-02E2-46A3-8CEC-C736815F2DD5}" xr6:coauthVersionLast="47" xr6:coauthVersionMax="47" xr10:uidLastSave="{9F3CDEB4-C133-4074-A49F-794A2953520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3017" r:id="rId12"/>
    <pivotCache cacheId="3020" r:id="rId13"/>
    <pivotCache cacheId="3023" r:id="rId14"/>
    <pivotCache cacheId="3026" r:id="rId15"/>
    <pivotCache cacheId="30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X55" i="31"/>
  <c r="Y55" i="31"/>
  <c r="X54" i="31"/>
  <c r="Y54" i="31"/>
  <c r="X51" i="31"/>
  <c r="Y51" i="31"/>
  <c r="X108" i="2"/>
  <c r="X109" i="2"/>
  <c r="X110" i="2"/>
  <c r="X111" i="2"/>
  <c r="X112" i="2"/>
  <c r="X113" i="2"/>
  <c r="X114" i="2"/>
  <c r="X115" i="2"/>
  <c r="X116" i="2"/>
  <c r="X117" i="2"/>
  <c r="X118" i="2"/>
  <c r="X119" i="2"/>
  <c r="X120" i="2"/>
  <c r="U38" i="30"/>
  <c r="U131"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6"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8" i="30"/>
  <c r="Y7" i="32"/>
  <c r="X7" i="32"/>
  <c r="Y60" i="31"/>
  <c r="X60" i="31"/>
  <c r="X29" i="32"/>
  <c r="Y29" i="32"/>
  <c r="X62" i="2"/>
  <c r="X69" i="2"/>
  <c r="Y69" i="2"/>
  <c r="U112"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5" i="30"/>
  <c r="U117" i="30"/>
  <c r="Y163" i="30"/>
  <c r="X163" i="30"/>
  <c r="Y162" i="30"/>
  <c r="X162" i="30"/>
  <c r="Y159" i="30"/>
  <c r="X159" i="30"/>
  <c r="Y158" i="30"/>
  <c r="X158" i="30"/>
  <c r="Y157" i="30"/>
  <c r="X157" i="30"/>
  <c r="Y156" i="30"/>
  <c r="X156" i="30"/>
  <c r="Y155" i="30"/>
  <c r="X155" i="30"/>
  <c r="Y154" i="30"/>
  <c r="X154" i="30"/>
  <c r="Y153" i="30"/>
  <c r="X153" i="30"/>
  <c r="U110" i="30"/>
  <c r="U116" i="30"/>
  <c r="U120" i="30"/>
  <c r="U134" i="30"/>
  <c r="U135" i="30"/>
  <c r="U132" i="30"/>
  <c r="U133" i="30"/>
  <c r="U111" i="30"/>
  <c r="U115" i="30"/>
  <c r="U123"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5" authorId="24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6" authorId="24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6" authorId="24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6" authorId="24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7" authorId="24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7" authorId="24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8" authorId="24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8" authorId="24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9" authorId="25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9" authorId="25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0" authorId="25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4" authorId="2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6" authorId="2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6" authorId="2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7" authorId="2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7" authorId="2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8" authorId="2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6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9" authorId="26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0" authorId="2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0" authorId="2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2" authorId="27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8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8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7"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3"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3"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4"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7"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8"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8"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9"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9"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<sst xmlns="http://schemas.openxmlformats.org/spreadsheetml/2006/main" count="15919" uniqueCount="2057">
  <si>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</si>
  <si>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</si>
  <si>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</si>
  <si>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</si>
  <si>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</si>
  <si>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</si>
  <si>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</si>
  <si>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</si>
  <si>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</si>
  <si>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</si>
  <si>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</si>
  <si>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</si>
  <si>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</si>
  <si>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</si>
  <si>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</si>
  <si>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</si>
  <si>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</si>
  <si>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</si>
  <si>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</si>
  <si>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</si>
  <si>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</si>
  <si>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</si>
  <si>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</si>
  <si>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</si>
  <si>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</si>
  <si>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</si>
  <si>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</si>
  <si>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</si>
  <si>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</si>
  <si>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</si>
  <si>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</si>
  <si>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</si>
  <si>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</si>
  <si>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</si>
  <si>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</si>
  <si>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</si>
  <si>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</si>
  <si>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</si>
  <si>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</si>
  <si>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</si>
  <si>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</si>
  <si>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</si>
  <si>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</si>
  <si>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</si>
  <si>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</si>
  <si>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</si>
  <si>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</si>
  <si>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</si>
  <si>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</si>
  <si>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</si>
  <si>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</si>
  <si>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</si>
  <si>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</si>
  <si>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</si>
  <si>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</si>
  <si>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</si>
  <si>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</si>
  <si>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</si>
  <si>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</si>
  <si>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</si>
  <si>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</si>
  <si>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</si>
  <si>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</si>
  <si>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</si>
  <si>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</si>
  <si>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</si>
  <si>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</si>
  <si>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</si>
  <si>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</si>
  <si>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</si>
  <si>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</si>
  <si>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</si>
  <si>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</si>
  <si>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</si>
  <si>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</si>
  <si>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</si>
  <si>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</si>
  <si>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</si>
  <si>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</si>
  <si>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</si>
  <si>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</si>
  <si>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</si>
  <si>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</si>
  <si>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</si>
  <si>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</si>
  <si>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</si>
  <si>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</si>
  <si>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</si>
  <si>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</si>
  <si>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</si>
  <si>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</si>
  <si>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</si>
  <si>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</si>
  <si>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</si>
  <si>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</si>
  <si>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</si>
  <si>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</si>
  <si>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</si>
  <si>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</si>
  <si>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</si>
  <si>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</si>
  <si>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</si>
  <si>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</si>
  <si>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</si>
  <si>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</si>
  <si>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</si>
  <si>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</si>
  <si>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</si>
  <si>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</si>
  <si>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</si>
  <si>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</si>
  <si>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</si>
  <si>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</si>
  <si>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</si>
  <si>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</si>
  <si>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</si>
  <si>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</si>
  <si>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</si>
  <si>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</si>
  <si>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</si>
  <si>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</si>
  <si>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</si>
  <si>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</si>
  <si>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</si>
  <si>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</si>
  <si>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</si>
  <si>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</si>
  <si>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</si>
  <si>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</si>
  <si>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</si>
  <si>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</si>
  <si>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</si>
  <si>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</si>
  <si>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</si>
  <si>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</si>
  <si>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</si>
  <si>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</si>
  <si>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</si>
  <si>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</si>
  <si>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</si>
  <si>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</si>
  <si>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</si>
  <si>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</si>
  <si>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</si>
  <si>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</si>
  <si>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</si>
  <si>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</si>
  <si>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</si>
  <si>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</si>
  <si>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</si>
  <si>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</si>
  <si>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</si>
  <si>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</si>
  <si>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</si>
  <si>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</si>
  <si>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</si>
  <si>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</si>
  <si>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</si>
  <si>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</si>
  <si>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</si>
  <si>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</si>
  <si>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</si>
  <si>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</si>
  <si>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</si>
  <si>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</si>
  <si>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</si>
  <si>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</si>
  <si>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</si>
  <si>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</si>
  <si>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</si>
  <si>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</si>
  <si>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</si>
  <si>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</si>
  <si>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</si>
  <si>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</si>
  <si>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</si>
  <si>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</si>
  <si>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</si>
  <si>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</si>
  <si>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</si>
  <si>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</si>
  <si>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</si>
  <si>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</si>
  <si>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</si>
  <si>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</si>
  <si>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</si>
  <si>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</si>
  <si>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</si>
  <si>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</si>
  <si>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</si>
  <si>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</si>
  <si>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</si>
  <si>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</si>
  <si>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</si>
  <si>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</si>
  <si>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</si>
  <si>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</si>
  <si>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</si>
  <si>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</si>
  <si>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</si>
  <si>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</si>
  <si>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</si>
  <si>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</si>
  <si>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</si>
  <si>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</si>
  <si>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</si>
  <si>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</si>
  <si>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</si>
  <si>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</si>
  <si>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</si>
  <si>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</si>
  <si>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</si>
  <si>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</si>
  <si>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</si>
  <si>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</si>
  <si>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</si>
  <si>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</si>
  <si>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</si>
  <si>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</si>
  <si>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</si>
  <si>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</si>
  <si>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</si>
  <si>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</si>
  <si>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</si>
  <si>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</si>
  <si>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</si>
  <si>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</si>
  <si>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</si>
  <si>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</si>
  <si>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</si>
  <si>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</si>
  <si>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</si>
  <si>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</si>
  <si>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</si>
  <si>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</si>
  <si>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</si>
  <si>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</si>
  <si>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</si>
  <si>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</si>
  <si>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</si>
  <si>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</si>
  <si>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</si>
  <si>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</si>
  <si>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</si>
  <si>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</si>
  <si>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</si>
  <si>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</si>
  <si>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</si>
  <si>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</si>
  <si>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</si>
  <si>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</si>
  <si>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</si>
  <si>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</si>
  <si>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</si>
  <si>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</si>
  <si>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</si>
  <si>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</si>
  <si>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</si>
  <si>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</si>
  <si>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</si>
  <si>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</si>
  <si>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</si>
  <si>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</si>
  <si>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</si>
  <si>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</si>
  <si>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</si>
  <si>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</si>
  <si>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</si>
  <si>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</si>
  <si>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</si>
  <si>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</si>
  <si>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</si>
  <si>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</si>
  <si>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</si>
  <si>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</si>
  <si>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</si>
  <si>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</si>
  <si>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</si>
  <si>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</si>
  <si>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</si>
  <si>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</si>
  <si>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</si>
  <si>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</si>
  <si>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</si>
  <si>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</si>
  <si>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</si>
  <si>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</si>
  <si>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</si>
  <si>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</si>
  <si>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</si>
  <si>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</si>
  <si>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</si>
  <si>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</si>
  <si>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</si>
  <si>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</si>
  <si>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</si>
  <si>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</si>
  <si>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</si>
  <si>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</si>
  <si>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</si>
  <si>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</si>
  <si>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</si>
  <si>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</si>
  <si>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</si>
  <si>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</si>
  <si>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</si>
  <si>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</si>
  <si>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</si>
  <si>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</si>
  <si>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</si>
  <si>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</si>
  <si>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</si>
  <si>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</si>
  <si>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</si>
  <si>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</si>
  <si>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</si>
  <si>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</si>
  <si>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</si>
  <si>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</si>
  <si>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</si>
  <si>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</si>
  <si>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</si>
  <si>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</si>
  <si>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</si>
  <si>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</si>
  <si>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</si>
  <si>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</si>
  <si>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</si>
  <si>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</si>
  <si>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</si>
  <si>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</si>
  <si>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</si>
  <si>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</si>
  <si>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</si>
  <si>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</si>
  <si>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</si>
  <si>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</si>
  <si>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</si>
  <si>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</si>
  <si>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</si>
  <si>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</si>
  <si>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</si>
  <si>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</si>
  <si>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</si>
  <si>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</si>
  <si>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</si>
  <si>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</si>
  <si>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</si>
  <si>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</si>
  <si>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</si>
  <si>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</si>
  <si>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</si>
  <si>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</si>
  <si>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</si>
  <si>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</si>
  <si>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</si>
  <si>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</si>
  <si>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</si>
  <si>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</si>
  <si>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</si>
  <si>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</si>
  <si>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</si>
  <si>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</si>
  <si>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</si>
  <si>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</si>
  <si>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</si>
  <si>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</si>
  <si>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</si>
  <si>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</si>
  <si>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</si>
  <si>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</si>
  <si>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</si>
  <si>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</si>
  <si>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</si>
  <si>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</si>
  <si>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</si>
  <si>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</si>
  <si>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</si>
  <si>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</si>
  <si>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</si>
  <si>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</si>
  <si>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</si>
  <si>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</si>
  <si>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</si>
  <si>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</si>
  <si>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</si>
  <si>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</si>
  <si>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</si>
  <si>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</si>
  <si>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</si>
  <si>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</si>
  <si>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</si>
  <si>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</si>
  <si>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</si>
  <si>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</si>
  <si>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</si>
  <si>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</si>
  <si>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</si>
  <si>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</si>
  <si>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</si>
  <si>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</si>
  <si>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</si>
  <si>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</si>
  <si>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</si>
  <si>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</si>
  <si>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</si>
  <si>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</si>
  <si>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</si>
  <si>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</si>
  <si>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</si>
  <si>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</si>
  <si>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</si>
  <si>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</si>
  <si>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</si>
  <si>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</si>
  <si>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</si>
  <si>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</si>
  <si>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</si>
  <si>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</si>
  <si>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</si>
  <si>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</si>
  <si>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</si>
  <si>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</si>
  <si>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</si>
  <si>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</si>
  <si>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</si>
  <si>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</si>
  <si>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</si>
  <si>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</si>
  <si>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</si>
  <si>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</si>
  <si>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</si>
  <si>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</si>
  <si>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</si>
  <si>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</si>
  <si>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</si>
  <si>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</si>
  <si>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</si>
  <si>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</si>
  <si>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</si>
  <si>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</si>
  <si>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</si>
  <si>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</si>
  <si>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</si>
  <si>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</si>
  <si>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</si>
  <si>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</si>
  <si>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</si>
  <si>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</si>
  <si>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</si>
  <si>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</si>
  <si>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</si>
  <si>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</si>
  <si>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</si>
  <si>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</si>
  <si>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</si>
  <si>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</si>
  <si>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</si>
  <si>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</si>
  <si>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</si>
  <si>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</si>
  <si>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</si>
  <si>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</si>
  <si>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</si>
  <si>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</si>
  <si>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</si>
  <si>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</si>
  <si>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</si>
  <si>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</si>
  <si>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</si>
  <si>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</si>
  <si>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</si>
  <si>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</si>
  <si>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</si>
  <si>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</si>
  <si>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</si>
  <si>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</si>
  <si>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</si>
  <si>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</si>
  <si>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</si>
  <si>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</si>
  <si>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</si>
  <si>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</si>
  <si>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</si>
  <si>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</si>
  <si>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</si>
  <si>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</si>
  <si>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</si>
  <si>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</si>
  <si>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</si>
  <si>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</si>
  <si>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</si>
  <si>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</si>
  <si>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</si>
  <si>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</si>
  <si>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</si>
  <si>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</si>
  <si>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</si>
  <si>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</si>
  <si>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</si>
  <si>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</si>
  <si>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</si>
  <si>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</si>
  <si>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</si>
  <si>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</si>
  <si>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</si>
  <si>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</si>
  <si>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</si>
  <si>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</si>
  <si>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</si>
  <si>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</si>
  <si>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</si>
  <si>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</si>
  <si>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</si>
  <si>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</si>
  <si>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</si>
  <si>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</si>
  <si>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</si>
  <si>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</si>
  <si>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</si>
  <si>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</si>
  <si>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</si>
  <si>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</si>
  <si>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</si>
  <si>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</si>
  <si>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</si>
  <si>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</si>
  <si>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</si>
  <si>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</si>
  <si>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</si>
  <si>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</si>
  <si>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</si>
  <si>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</si>
  <si>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</si>
  <si>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</si>
  <si>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</si>
  <si>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</si>
  <si>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</si>
  <si>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</si>
  <si>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</si>
  <si>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</si>
  <si>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</si>
  <si>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</si>
  <si>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</si>
  <si>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</si>
  <si>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</si>
  <si>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</si>
  <si>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</si>
  <si>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</si>
  <si>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</si>
  <si>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</si>
  <si>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</si>
  <si>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</si>
  <si>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</si>
  <si>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</si>
  <si>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</si>
  <si>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</si>
  <si>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</si>
  <si>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</si>
  <si>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</si>
  <si>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</si>
  <si>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</si>
  <si>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</si>
  <si>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</si>
  <si>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</si>
  <si>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</si>
  <si>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</si>
  <si>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</si>
  <si>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</si>
  <si>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</si>
  <si>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</si>
  <si>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</si>
  <si>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</si>
  <si>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</si>
  <si>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</si>
  <si>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</si>
  <si>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</si>
  <si>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</si>
  <si>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</si>
  <si>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</si>
  <si>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</si>
  <si>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</si>
  <si>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</si>
  <si>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</si>
  <si>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</si>
  <si>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</si>
  <si>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</si>
  <si>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</si>
  <si>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</si>
  <si>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</si>
  <si>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</si>
  <si>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</si>
  <si>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</si>
  <si>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</si>
  <si>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</si>
  <si>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</si>
  <si>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</si>
  <si>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</si>
  <si>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</si>
  <si>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</si>
  <si>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</si>
  <si>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</si>
  <si>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</si>
  <si>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</si>
  <si>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</si>
  <si>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</si>
  <si>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</si>
  <si>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</si>
  <si>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</si>
  <si>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</si>
  <si>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</si>
  <si>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</si>
  <si>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</si>
  <si>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</si>
  <si>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</si>
  <si>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</si>
  <si>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</si>
  <si>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</si>
  <si>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</si>
  <si>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</si>
  <si>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</si>
  <si>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</si>
  <si>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</si>
  <si>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</si>
  <si>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</si>
  <si>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</si>
  <si>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</si>
  <si>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</si>
  <si>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</si>
  <si>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</si>
  <si>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</si>
  <si>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</si>
  <si>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</si>
  <si>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</si>
  <si>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</si>
  <si>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</si>
  <si>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</si>
  <si>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</si>
  <si>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</si>
  <si>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</si>
  <si>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</si>
  <si>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</si>
  <si>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</si>
  <si>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</si>
  <si>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</si>
  <si>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</si>
  <si>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</si>
  <si>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</si>
  <si>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</si>
  <si>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</si>
  <si>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</si>
  <si>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</si>
  <si>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</si>
  <si>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</si>
  <si>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</si>
  <si>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</si>
  <si>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</si>
  <si>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</si>
  <si>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</si>
  <si>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</si>
  <si>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</si>
  <si>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</si>
  <si>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</si>
  <si>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</si>
  <si>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</si>
  <si>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</si>
  <si>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</si>
  <si>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</si>
  <si>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</si>
  <si>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</si>
  <si>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</si>
  <si>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</si>
  <si>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</si>
  <si>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</si>
  <si>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</si>
  <si>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</si>
  <si>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</si>
  <si>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</si>
  <si>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</si>
  <si>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</si>
  <si>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</si>
  <si>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</si>
  <si>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</si>
  <si>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</si>
  <si>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</si>
  <si>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</si>
  <si>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</si>
  <si>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</si>
  <si>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</si>
  <si>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</si>
  <si>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</si>
  <si>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</si>
  <si>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</si>
  <si>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</si>
  <si>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</si>
  <si>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</si>
  <si>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</si>
  <si>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</si>
  <si>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</si>
  <si>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</si>
  <si>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</si>
  <si>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</si>
  <si>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</si>
  <si>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</si>
  <si>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</si>
  <si>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</si>
  <si>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</si>
  <si>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</si>
  <si>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</si>
  <si>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</si>
  <si>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</si>
  <si>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</si>
  <si>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</si>
  <si>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</si>
  <si>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</si>
  <si>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</si>
  <si>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</si>
  <si>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</si>
  <si>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</si>
  <si>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</si>
  <si>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</si>
  <si>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</si>
  <si>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</si>
  <si>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</si>
  <si>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</si>
  <si>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</si>
  <si>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</si>
  <si>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</si>
  <si>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</si>
  <si>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</si>
  <si>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</si>
  <si>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</si>
  <si>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</si>
  <si>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</si>
  <si>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</si>
  <si>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</si>
  <si>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</si>
  <si>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</si>
  <si>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</si>
  <si>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</si>
  <si>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</si>
  <si>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</si>
  <si>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</si>
  <si>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</si>
  <si>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</si>
  <si>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</si>
  <si>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</si>
  <si>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</si>
  <si>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</si>
  <si>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</si>
  <si>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</si>
  <si>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</si>
  <si>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</si>
  <si>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</si>
  <si>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</si>
  <si>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</si>
  <si>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</si>
  <si>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</si>
  <si>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</si>
  <si>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</si>
  <si>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</si>
  <si>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</si>
  <si>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</si>
  <si>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</si>
  <si>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</si>
  <si>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</si>
  <si>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</si>
  <si>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</si>
  <si>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</si>
  <si>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</si>
  <si>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</si>
  <si>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</si>
  <si>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</si>
  <si>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</si>
  <si>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</si>
  <si>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</si>
  <si>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</si>
  <si>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</si>
  <si>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</si>
  <si>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</si>
  <si>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</si>
  <si>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</si>
  <si>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</si>
  <si>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</si>
  <si>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</si>
  <si>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</si>
  <si>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</si>
  <si>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</si>
  <si>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</si>
  <si>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</si>
  <si>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</si>
  <si>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</si>
  <si>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</si>
  <si>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</si>
  <si>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</si>
  <si>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</si>
  <si>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</si>
  <si>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</si>
  <si>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</si>
  <si>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</si>
  <si>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</si>
  <si>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</si>
  <si>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</si>
  <si>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</si>
  <si>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</si>
  <si>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</si>
  <si>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</si>
  <si>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</si>
  <si>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</si>
  <si>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</si>
  <si>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</si>
  <si>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</si>
  <si>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</si>
  <si>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</si>
  <si>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</si>
  <si>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</si>
  <si>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</si>
  <si>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</si>
  <si>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</si>
  <si>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</si>
  <si>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</si>
  <si>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</si>
  <si>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</si>
  <si>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</si>
  <si>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</si>
  <si>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</si>
  <si>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</si>
  <si>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</si>
  <si>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</si>
  <si>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</si>
  <si>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</si>
  <si>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</si>
  <si>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</si>
  <si>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</si>
  <si>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</si>
  <si>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</si>
  <si>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</si>
  <si>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</si>
  <si>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</si>
  <si>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</si>
  <si>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</si>
  <si>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</si>
  <si>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</si>
  <si>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</si>
  <si>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</si>
  <si>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</si>
  <si>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</si>
  <si>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</si>
  <si>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</si>
  <si>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</si>
  <si>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</si>
  <si>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</si>
  <si>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</si>
  <si>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</si>
  <si>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</si>
  <si>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</si>
  <si>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</si>
  <si>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</si>
  <si>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</si>
  <si>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</si>
  <si>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</si>
  <si>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</si>
  <si>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</si>
  <si>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</si>
  <si>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</si>
  <si>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</si>
  <si>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</si>
  <si>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</si>
  <si>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</si>
  <si>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</si>
  <si>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</si>
  <si>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</si>
  <si>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</si>
  <si>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</si>
  <si>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</si>
  <si>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</si>
  <si>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</si>
  <si>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</si>
  <si>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</si>
  <si>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</si>
  <si>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</si>
  <si>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</si>
  <si>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</si>
  <si>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</si>
  <si>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</si>
  <si>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</si>
  <si>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</si>
  <si>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</si>
  <si>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</si>
  <si>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</si>
  <si>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</si>
  <si>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</si>
  <si>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</si>
  <si>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</si>
  <si>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</si>
  <si>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</si>
  <si>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</si>
  <si>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</si>
  <si>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</si>
  <si>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</si>
  <si>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</si>
  <si>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</si>
  <si>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</si>
  <si>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</si>
  <si>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</si>
  <si>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</si>
  <si>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</si>
  <si>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</si>
  <si>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</si>
  <si>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</si>
  <si>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</si>
  <si>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</si>
  <si>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</si>
  <si>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</si>
  <si>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</si>
  <si>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</si>
  <si>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</si>
  <si>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</si>
  <si>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</si>
  <si>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</si>
  <si>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</si>
  <si>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</si>
  <si>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</si>
  <si>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</si>
  <si>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</si>
  <si>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</si>
  <si>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</si>
  <si>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</si>
  <si>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</si>
  <si>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</si>
  <si>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</si>
  <si>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</si>
  <si>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</si>
  <si>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</si>
  <si>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</si>
  <si>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</si>
  <si>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</si>
  <si>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</si>
  <si>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</si>
  <si>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</si>
  <si>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</si>
  <si>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</si>
  <si>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</si>
  <si>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</si>
  <si>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</si>
  <si>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</si>
  <si>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</si>
  <si>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</si>
  <si>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</si>
  <si>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</si>
  <si>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</si>
  <si>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</si>
  <si>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</si>
  <si>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</si>
  <si>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</si>
  <si>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</si>
  <si>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</si>
  <si>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</si>
  <si>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</si>
  <si>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</si>
  <si>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</si>
  <si>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</si>
  <si>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</si>
  <si>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</si>
  <si>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</si>
  <si>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</si>
  <si>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</si>
  <si>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</si>
  <si>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</si>
  <si>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</si>
  <si>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</si>
  <si>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</si>
  <si>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</si>
  <si>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</si>
  <si>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</si>
  <si>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</si>
  <si>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</si>
  <si>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</si>
  <si>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</si>
  <si>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</si>
  <si>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</si>
  <si>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</si>
  <si>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</si>
  <si>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</si>
  <si>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</si>
  <si>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</si>
  <si>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</si>
  <si>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</si>
  <si>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</si>
  <si>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</si>
  <si>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</si>
  <si>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</si>
  <si>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</si>
  <si>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</si>
  <si>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</si>
  <si>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</si>
  <si>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</si>
  <si>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</si>
  <si>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</si>
  <si>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</si>
  <si>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</si>
  <si>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</si>
  <si>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</si>
  <si>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</si>
  <si>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</si>
  <si>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</si>
  <si>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</si>
  <si>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</si>
  <si>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</si>
  <si>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</si>
  <si>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</si>
  <si>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</si>
  <si>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</si>
  <si>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</si>
  <si>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</si>
  <si>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</si>
  <si>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</si>
  <si>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</si>
  <si>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</si>
  <si>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</si>
  <si>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</si>
  <si>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</si>
  <si>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</si>
  <si>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</si>
  <si>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</si>
  <si>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</si>
  <si>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</si>
  <si>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</si>
  <si>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</si>
  <si>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</si>
  <si>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</si>
  <si>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</si>
  <si>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</si>
  <si>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</si>
  <si>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</si>
  <si>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</si>
  <si>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</si>
  <si>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</si>
  <si>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</si>
  <si>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</si>
  <si>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</si>
  <si>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</si>
  <si>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</si>
  <si>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</si>
  <si>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</si>
  <si>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</si>
  <si>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</si>
  <si>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</si>
  <si>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</si>
  <si>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</si>
  <si>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</si>
  <si>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</si>
  <si>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</si>
  <si>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</si>
  <si>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</si>
  <si>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</si>
  <si>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</si>
  <si>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</si>
  <si>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</si>
  <si>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</si>
  <si>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</si>
  <si>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</si>
  <si>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</si>
  <si>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</si>
  <si>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</si>
  <si>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</si>
  <si>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</si>
  <si>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</si>
  <si>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</si>
  <si>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</si>
  <si>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</si>
  <si>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</si>
  <si>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</si>
  <si>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</si>
  <si>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</si>
  <si>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</si>
  <si>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</si>
  <si>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</si>
  <si>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</si>
  <si>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</si>
  <si>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</si>
  <si>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</si>
  <si>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</si>
  <si>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</si>
  <si>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</si>
  <si>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</si>
  <si>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</si>
  <si>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</si>
  <si>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</si>
  <si>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</si>
  <si>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</si>
  <si>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</si>
  <si>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</si>
  <si>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</si>
  <si>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</si>
  <si>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</si>
  <si>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</si>
  <si>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</si>
  <si>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</si>
  <si>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</si>
  <si>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</si>
  <si>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</si>
  <si>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</si>
  <si>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</si>
  <si>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</si>
  <si>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</si>
  <si>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</si>
  <si>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</si>
  <si>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</si>
  <si>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</si>
  <si>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</si>
  <si>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</si>
  <si>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</si>
  <si>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</si>
  <si>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</si>
  <si>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</si>
  <si>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</si>
  <si>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</si>
  <si>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</si>
  <si>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</si>
  <si>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</si>
  <si>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</si>
  <si>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</si>
  <si>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</si>
  <si>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</si>
  <si>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</si>
  <si>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</si>
  <si>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</si>
  <si>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</si>
  <si>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</si>
  <si>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</si>
  <si>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</si>
  <si>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</si>
  <si>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</si>
  <si>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</si>
  <si>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</si>
  <si>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</si>
  <si>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</si>
  <si>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</si>
  <si>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</si>
  <si>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</si>
  <si>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</si>
  <si>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</si>
  <si>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</si>
  <si>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</si>
  <si>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</si>
  <si>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</si>
  <si>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</si>
  <si>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</si>
  <si>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</si>
  <si>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</si>
  <si>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</si>
  <si>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</si>
  <si>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</si>
  <si>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</si>
  <si>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</si>
  <si>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</si>
  <si>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</si>
  <si>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</si>
  <si>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</si>
  <si>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</si>
  <si>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</si>
  <si>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</si>
  <si>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</si>
  <si>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</si>
  <si>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</si>
  <si>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</si>
  <si>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</si>
  <si>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</si>
  <si>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</si>
  <si>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</si>
  <si>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</si>
  <si>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</si>
  <si>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</si>
  <si>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</si>
  <si>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</si>
  <si>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</si>
  <si>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</si>
  <si>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</si>
  <si>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</si>
  <si>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</si>
  <si>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</si>
  <si>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</si>
  <si>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</si>
  <si>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</si>
  <si>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</si>
  <si>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</si>
  <si>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</si>
  <si>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</si>
  <si>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</si>
  <si>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</si>
  <si>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</si>
  <si>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</si>
  <si>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</si>
  <si>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</si>
  <si>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</si>
  <si>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</si>
  <si>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</si>
  <si>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</si>
  <si>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</si>
  <si>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</si>
  <si>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</si>
  <si>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</si>
  <si>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</si>
  <si>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</si>
  <si>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</si>
  <si>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</si>
  <si>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</si>
  <si>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</si>
  <si>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</si>
  <si>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</si>
  <si>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</si>
  <si>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</si>
  <si>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</si>
  <si>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</si>
  <si>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</si>
  <si>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</si>
  <si>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</si>
  <si>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</si>
  <si>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</si>
  <si>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</si>
  <si>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</si>
  <si>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</si>
  <si>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</si>
  <si>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</si>
  <si>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</si>
  <si>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</si>
  <si>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</si>
  <si>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</si>
  <si>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</si>
  <si>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</si>
  <si>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</si>
  <si>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</si>
  <si>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</si>
  <si>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</si>
  <si>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</si>
  <si>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</si>
  <si>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</si>
  <si>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</si>
  <si>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</si>
  <si>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</si>
  <si>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</si>
  <si>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</si>
  <si>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</si>
  <si>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</si>
  <si>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</si>
  <si>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</si>
  <si>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</si>
  <si>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</si>
  <si>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</si>
  <si>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</si>
  <si>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</si>
  <si>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</si>
  <si>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</si>
  <si>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</si>
  <si>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</si>
  <si>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</si>
  <si>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</si>
  <si>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</si>
  <si>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</si>
  <si>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</si>
  <si>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</si>
  <si>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</si>
  <si>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</si>
  <si>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</si>
  <si>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</si>
  <si>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</si>
  <si>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</si>
  <si>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</si>
  <si>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</si>
  <si>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</si>
  <si>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</si>
  <si>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</si>
  <si>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</si>
  <si>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</si>
  <si>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</si>
  <si>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</si>
  <si>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</si>
  <si>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</si>
  <si>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</si>
  <si>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</si>
  <si>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</si>
  <si>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</si>
  <si>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</si>
  <si>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</si>
  <si>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</si>
  <si>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</si>
  <si>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</si>
  <si>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</si>
  <si>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</si>
  <si>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</si>
  <si>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</si>
  <si>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</si>
  <si>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</si>
  <si>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</si>
  <si>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</si>
  <si>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</si>
  <si>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</si>
  <si>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</si>
  <si>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</si>
  <si>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</si>
  <si>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</si>
  <si>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</si>
  <si>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</si>
  <si>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</si>
  <si>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</si>
  <si>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</si>
  <si>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</si>
  <si>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</si>
  <si>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</si>
  <si>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</si>
  <si>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</si>
  <si>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</si>
  <si>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</si>
  <si>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</si>
  <si>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</si>
  <si>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</si>
  <si>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</si>
  <si>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</si>
  <si>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</si>
  <si>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</si>
  <si>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</si>
  <si>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</si>
  <si>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</si>
  <si>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</si>
  <si>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</si>
  <si>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</si>
  <si>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</si>
  <si>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</si>
  <si>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</si>
  <si>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</si>
  <si>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</si>
  <si>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</si>
  <si>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</si>
  <si>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</si>
  <si>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</si>
  <si>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</si>
  <si>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</si>
  <si>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</si>
  <si>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</si>
  <si>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</si>
  <si>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</si>
  <si>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</si>
  <si>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</si>
  <si>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</si>
  <si>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</si>
  <si>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</si>
  <si>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</si>
  <si>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</si>
  <si>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</si>
  <si>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</si>
  <si>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</si>
  <si>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</si>
  <si>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</si>
  <si>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</si>
  <si>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</si>
  <si>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</si>
  <si>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</si>
  <si>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</si>
  <si>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</si>
  <si>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</si>
  <si>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</si>
  <si>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</si>
  <si>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</si>
  <si>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</si>
  <si>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</si>
  <si>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</si>
  <si>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</si>
  <si>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</si>
  <si>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</si>
  <si>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</si>
  <si>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</si>
  <si>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</si>
  <si>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</si>
  <si>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</si>
  <si>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</si>
  <si>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</si>
  <si>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</si>
  <si>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</si>
  <si>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</si>
  <si>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</si>
  <si>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</si>
  <si>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</si>
  <si>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</si>
  <si>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</si>
  <si>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</si>
  <si>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</si>
  <si>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</si>
  <si>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</si>
  <si>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</si>
  <si>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</si>
  <si>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</si>
  <si>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</si>
  <si>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</si>
  <si>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</si>
  <si>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</si>
  <si>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</si>
  <si>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</si>
  <si>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</si>
  <si>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</si>
  <si>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</si>
  <si>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</si>
  <si>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</si>
  <si>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</si>
  <si>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</si>
  <si>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</si>
  <si>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</si>
  <si>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</si>
  <si>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</si>
  <si>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</si>
  <si>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</si>
  <si>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</si>
  <si>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</si>
  <si>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</si>
  <si>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</si>
  <si>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</si>
  <si>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</si>
  <si>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</si>
  <si>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</si>
  <si>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</si>
  <si>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</si>
  <si>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</si>
  <si>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</si>
  <si>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</si>
  <si>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</si>
  <si>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</si>
  <si>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</si>
  <si>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</si>
  <si>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</si>
  <si>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</si>
  <si>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</si>
  <si>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</si>
  <si>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</si>
  <si>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</si>
  <si>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</si>
  <si>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</si>
  <si>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</si>
  <si>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</si>
  <si>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</si>
  <si>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</si>
  <si>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</si>
  <si>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</si>
  <si>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</si>
  <si>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</si>
  <si>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</si>
  <si>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</si>
  <si>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</si>
  <si>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</si>
  <si>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</si>
  <si>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</si>
  <si>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</si>
  <si>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</si>
  <si>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</si>
  <si>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</si>
  <si>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</si>
  <si>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</si>
  <si>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</si>
  <si>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</si>
  <si>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</si>
  <si>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</si>
  <si>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</si>
  <si>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</si>
  <si>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</si>
  <si>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</si>
  <si>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</si>
  <si>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</si>
  <si>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</si>
  <si>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</si>
  <si>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</si>
  <si>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</si>
  <si>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</si>
  <si>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</si>
  <si>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</si>
  <si>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</si>
  <si>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</si>
  <si>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</si>
  <si>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</si>
  <si>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</si>
  <si>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</si>
  <si>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</si>
  <si>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</si>
  <si>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</si>
  <si>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</si>
  <si>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</si>
  <si>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</si>
  <si>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</si>
  <si>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</si>
  <si>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</si>
  <si>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</si>
  <si>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</si>
  <si>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</si>
  <si>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</si>
  <si>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</si>
  <si>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</si>
  <si>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</si>
  <si>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</si>
  <si>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</si>
  <si>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</si>
  <si>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</si>
  <si>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</si>
  <si>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</si>
  <si>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</si>
  <si>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</si>
  <si>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</si>
  <si>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</si>
  <si>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</si>
  <si>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</si>
  <si>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</si>
  <si>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</si>
  <si>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</si>
  <si>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</si>
  <si>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</si>
  <si>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</si>
  <si>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</si>
  <si>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</si>
  <si>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</si>
  <si>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</si>
  <si>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</si>
  <si>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</si>
  <si>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</si>
  <si>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</si>
  <si>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</si>
  <si>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</si>
  <si>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</si>
  <si>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</si>
  <si>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</si>
  <si>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</si>
  <si>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</si>
  <si>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</si>
  <si>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</si>
  <si>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</si>
  <si>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</si>
  <si>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</si>
  <si>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</si>
  <si>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</si>
  <si>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</si>
  <si>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</si>
  <si>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</si>
  <si>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</si>
  <si>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</si>
  <si>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</si>
  <si>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</si>
  <si>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</si>
  <si>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</si>
  <si>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</si>
  <si>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</si>
  <si>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</si>
  <si>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</si>
  <si>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</si>
  <si>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</si>
  <si>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</si>
  <si>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</si>
  <si>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</si>
  <si>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</si>
  <si>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</si>
  <si>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</si>
  <si>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</si>
  <si>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</si>
  <si>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</si>
  <si>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</si>
  <si>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</si>
  <si>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</si>
  <si>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</si>
  <si>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</si>
  <si>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</si>
  <si>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</si>
  <si>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</si>
  <si>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</si>
  <si>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</si>
  <si>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</si>
  <si>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</si>
  <si>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</si>
  <si>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</si>
  <si>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</si>
  <si>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</si>
  <si>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</si>
  <si>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</si>
  <si>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</si>
  <si>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</si>
  <si>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</si>
  <si>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</si>
  <si>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</si>
  <si>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</si>
  <si>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</si>
  <si>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</si>
  <si>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</si>
  <si>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</si>
  <si>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</si>
  <si>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</si>
  <si>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</si>
  <si>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</si>
  <si>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</si>
  <si>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</si>
  <si>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</si>
  <si>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</si>
  <si>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</si>
  <si>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</si>
  <si>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</si>
  <si>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</si>
  <si>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</si>
  <si>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</si>
  <si>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</si>
  <si>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</si>
  <si>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</si>
  <si>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</si>
  <si>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</si>
  <si>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</si>
  <si>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</si>
  <si>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</si>
  <si>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</si>
  <si>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</si>
  <si>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</si>
  <si>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</si>
  <si>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</si>
  <si>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</si>
  <si>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</si>
  <si>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</si>
  <si>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</si>
  <si>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</si>
  <si>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</si>
  <si>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</si>
  <si>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</si>
  <si>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</si>
  <si>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</si>
  <si>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</si>
  <si>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</si>
  <si>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</si>
  <si>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</si>
  <si>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</si>
  <si>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</si>
  <si>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</si>
  <si>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</si>
  <si>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</si>
  <si>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</si>
  <si>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</si>
  <si>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</si>
  <si>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</si>
  <si>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</si>
  <si>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</si>
  <si>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</si>
  <si>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</si>
  <si>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</si>
  <si>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</si>
  <si>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</si>
  <si>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</si>
  <si>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</si>
  <si>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</si>
  <si>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</si>
  <si>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</si>
  <si>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</si>
  <si>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</si>
  <si>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</si>
  <si>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</si>
  <si>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</si>
  <si>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</si>
  <si>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</si>
  <si>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</si>
  <si>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</si>
  <si>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</si>
  <si>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</si>
  <si>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</si>
  <si>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</si>
  <si>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</si>
  <si>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</si>
  <si>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</si>
  <si>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</si>
  <si>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</si>
  <si>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</si>
  <si>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</si>
  <si>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</si>
  <si>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</si>
  <si>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</si>
  <si>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</si>
  <si>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</si>
  <si>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</si>
  <si>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</si>
  <si>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</si>
  <si>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</si>
  <si>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</si>
  <si>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</si>
  <si>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</si>
  <si>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</si>
  <si>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</si>
  <si>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</si>
  <si>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</si>
  <si>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</si>
  <si>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</si>
  <si>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</si>
  <si>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</si>
  <si>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</si>
  <si>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</si>
  <si>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</si>
  <si>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</si>
  <si>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</si>
  <si>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</si>
  <si>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</si>
  <si>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</si>
  <si>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</si>
  <si>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</si>
  <si>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</si>
  <si>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</si>
  <si>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</si>
  <si>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</si>
  <si>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</si>
  <si>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</si>
  <si>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</si>
  <si>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</si>
  <si>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</si>
  <si>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</si>
  <si>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</si>
  <si>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</si>
  <si>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</si>
  <si>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</si>
  <si>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</si>
  <si>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</si>
  <si>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</si>
  <si>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</si>
  <si>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</si>
  <si>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</si>
  <si>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</si>
  <si>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</si>
  <si>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</si>
  <si>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</si>
  <si>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</si>
  <si>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</si>
  <si>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</si>
  <si>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</si>
  <si>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</si>
  <si>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</si>
  <si>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</si>
  <si>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</si>
  <si>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</si>
  <si>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</si>
  <si>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</si>
  <si>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</si>
  <si>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</si>
  <si>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</si>
  <si>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</si>
  <si>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</si>
  <si>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</si>
  <si>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</si>
  <si>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</si>
  <si>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</si>
  <si>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</si>
  <si>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</si>
  <si>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</si>
  <si>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</si>
  <si>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</si>
  <si>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</si>
  <si>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</si>
  <si>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</si>
  <si>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</si>
  <si>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</si>
  <si>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</si>
  <si>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</si>
  <si>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</si>
  <si>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</si>
  <si>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</si>
  <si>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</si>
  <si>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</si>
  <si>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</si>
  <si>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</si>
  <si>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</si>
  <si>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</si>
  <si>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</si>
  <si>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</si>
  <si>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</si>
  <si>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</si>
  <si>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</si>
  <si>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</si>
  <si>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</si>
  <si>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</si>
  <si>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</si>
  <si>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</si>
  <si>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</si>
  <si>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</si>
  <si>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</si>
  <si>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</si>
  <si>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</si>
  <si>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</si>
  <si>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</si>
  <si>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</si>
  <si>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</si>
  <si>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</si>
  <si>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</si>
  <si>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</si>
  <si>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</si>
  <si>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</si>
  <si>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</si>
  <si>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</si>
  <si>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</si>
  <si>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</si>
  <si>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</si>
  <si>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</si>
  <si>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</si>
  <si>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</si>
  <si>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</si>
  <si>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</si>
  <si>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</si>
  <si>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</si>
  <si>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</si>
  <si>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</si>
  <si>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</si>
  <si>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</si>
  <si>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</si>
  <si>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</si>
  <si>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</si>
  <si>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</si>
  <si>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</si>
  <si>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</si>
  <si>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</si>
  <si>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</si>
  <si>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</si>
  <si>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</si>
  <si>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</si>
  <si>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</si>
  <si>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</si>
  <si>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</si>
  <si>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</si>
  <si>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</si>
  <si>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</si>
  <si>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</si>
  <si>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</si>
  <si>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</si>
  <si>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</si>
  <si>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</si>
  <si>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</si>
  <si>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</si>
  <si>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</si>
  <si>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</si>
  <si>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</si>
  <si>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</si>
  <si>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</si>
  <si>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</si>
  <si>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</si>
  <si>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</si>
  <si>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</si>
  <si>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</si>
  <si>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</si>
  <si>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</si>
  <si>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</si>
  <si>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</si>
  <si>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</si>
  <si>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</si>
  <si>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</si>
  <si>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</si>
  <si>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</si>
  <si>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</si>
  <si>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</si>
  <si>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</si>
  <si>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</si>
  <si>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</si>
  <si>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</si>
  <si>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</si>
  <si>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</si>
  <si>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</si>
  <si>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</si>
  <si>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</si>
  <si>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</si>
  <si>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</si>
  <si>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</si>
  <si>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</si>
  <si>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</si>
  <si>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</si>
  <si>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</si>
  <si>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</si>
  <si>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</si>
  <si>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</si>
  <si>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</si>
  <si>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</si>
  <si>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</si>
  <si>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</si>
  <si>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</si>
  <si>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</si>
  <si>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</si>
  <si>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</si>
  <si>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</si>
  <si>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</si>
  <si>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</si>
  <si>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</si>
  <si>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</si>
  <si>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</si>
  <si>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</si>
  <si>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</si>
  <si>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</si>
  <si>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</si>
  <si>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</si>
  <si>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</si>
  <si>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</si>
  <si>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</si>
  <si>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</si>
  <si>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</si>
  <si>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</si>
  <si>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</si>
  <si>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</si>
  <si>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</si>
  <si>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</si>
  <si>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</si>
  <si>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</si>
  <si>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</si>
  <si>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</si>
  <si>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</si>
  <si>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</si>
  <si>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</si>
  <si>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</si>
  <si>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</si>
  <si>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</si>
  <si>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</si>
  <si>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4 Toby Boxes / 1 Dap / 8 Splices</t>
  </si>
  <si>
    <t>4 Toby Boxes / 5 Daps / 31 Splices</t>
  </si>
  <si>
    <t>5 Toby Boxes / 1 Daps / 12 Splices</t>
  </si>
  <si>
    <t>10 Toby Boxes / 5 Daps / 27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</si>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</sst>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8" totalsRowShown="0" headerRowDxfId="31" dataDxfId="30" headerRowBorderDxfId="29">
  <autoFilter ref="A109:AA148" xr:uid="{3754D8CF-035B-4624-939E-6943FE283BFD}"/>
  <sortState xmlns:xlrd2="http://schemas.microsoft.com/office/spreadsheetml/2017/richdata2" ref="A110:AA146">
    <sortCondition ref="B109: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09-17T17:53:40.58" personId="{79160F3F-A2CD-4B5D-ACD4-80E02EA51DFF}" id="{93B7186D-9E27-4279-8E29-BFF4CFBCA8E4}">
    <text>9-17-2025 Footage Changed Due To Adding Additional Conduit To Project BHZD-FWP-13-W.</text>
  </threadedComment>
  <threadedComment ref="S115" dT="2025-09-30T23:13:29.53" personId="{79160F3F-A2CD-4B5D-ACD4-80E02EA51DFF}" id="{1308E563-7F0B-4D35-89D9-96662C297BE3}" parentId="{93B7186D-9E27-4279-8E29-BFF4CFBCA8E4}">
    <text>9-30-2025 Confirmed Actual Completed Footage.</text>
  </threadedComment>
  <threadedComment ref="U115" dT="2025-09-30T23:12:28.65" personId="{79160F3F-A2CD-4B5D-ACD4-80E02EA51DFF}" id="{F6551809-F240-4B97-AABC-471215EF6CED}">
    <text>9-30-2025 Conduit Placement Confirmed Completed.</text>
  </threadedComment>
  <threadedComment ref="A116" dT="2025-08-20T12:29:15.44" personId="{79160F3F-A2CD-4B5D-ACD4-80E02EA51DFF}" id="{13BAE7E2-5330-4094-BE68-9EEC74349E59}">
    <text>8-20-2025 Pending SiteTracker Change By Tillman.</text>
  </threadedComment>
  <threadedComment ref="S116" dT="2025-07-09T12:46:05.12" personId="{79160F3F-A2CD-4B5D-ACD4-80E02EA51DFF}" id="{40B294D8-6434-46EC-A401-4A703E6E0D7B}">
    <text>7-9-2025 Confirmed Actual Completed Footage.</text>
  </threadedComment>
  <threadedComment ref="U116" dT="2025-07-09T12:46:34.67" personId="{79160F3F-A2CD-4B5D-ACD4-80E02EA51DFF}" id="{FE972BB2-5051-45E1-87A7-528E3A93A221}">
    <text>7-9-2025 Conduit Placement Confirmed Completed.</text>
  </threadedComment>
  <threadedComment ref="S117" dT="2025-10-21T16:40:00.37" personId="{79160F3F-A2CD-4B5D-ACD4-80E02EA51DFF}" id="{BD940C3C-CBF5-44BD-A56F-FB4BF98C8DE8}">
    <text/>
  </threadedComment>
  <threadedComment ref="S11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7" dT="2025-10-21T16:43:01.14" personId="{79160F3F-A2CD-4B5D-ACD4-80E02EA51DFF}" id="{43A26B05-26C4-4EAA-8E9B-9739A85687C2}" parentId="{BD940C3C-CBF5-44BD-A56F-FB4BF98C8DE8}">
    <text>10-21-2025 Confirmed Actual Completed Footage.</text>
  </threadedComment>
  <threadedComment ref="U117" dT="2025-10-21T16:40:24.93" personId="{79160F3F-A2CD-4B5D-ACD4-80E02EA51DFF}" id="{6C601E3E-113C-4820-A1E1-8FB7BB9D1FAB}">
    <text>10-21-2025 Conduit Placement Confirmed Completed.</text>
  </threadedComment>
  <threadedComment ref="S118" dT="2025-11-04T15:22:18.46" personId="{79160F3F-A2CD-4B5D-ACD4-80E02EA51DFF}" id="{ABB3E271-8BA4-4BC7-A7F7-E84D759B729F}">
    <text>11-4-2025 Confirmed Actual Completed Footage.</text>
  </threadedComment>
  <threadedComment ref="U118" dT="2025-11-04T15:23:03.54" personId="{79160F3F-A2CD-4B5D-ACD4-80E02EA51DFF}" id="{ABBEC96B-51AA-4645-B961-F045FCB350FD}">
    <text>11-4-2025 Conduit Placement Confirmed Completed.</text>
  </threadedComment>
  <threadedComment ref="S119" dT="2025-10-06T18:32:53.65" personId="{79160F3F-A2CD-4B5D-ACD4-80E02EA51DFF}" id="{CC430295-19BA-4A04-8025-99EC04ADA002}">
    <text>10-6-2025 Confirmed Actual Completed Footage.</text>
  </threadedComment>
  <threadedComment ref="U119" dT="2025-10-06T18:33:24.56" personId="{79160F3F-A2CD-4B5D-ACD4-80E02EA51DFF}" id="{E163EAC2-29B9-4E33-B6E8-B88CD2227B35}">
    <text>10-6-2025 Conduit Placement Confirmed Completed.</text>
  </threadedComment>
  <threadedComment ref="S120" dT="2025-08-08T17:57:58.72" personId="{79160F3F-A2CD-4B5D-ACD4-80E02EA51DFF}" id="{7735B41D-12AD-444B-BF8E-CCAECED49689}">
    <text>8-8-2025 Confirmed Actual Completed Footage.</text>
  </threadedComment>
  <threadedComment ref="U120" dT="2025-08-08T17:58:28.64" personId="{79160F3F-A2CD-4B5D-ACD4-80E02EA51DFF}" id="{E0F1108F-09F5-47ED-9E71-10CC09460312}">
    <text>8-8-2025 Conduit Placement Confirmed Completed.</text>
  </threadedComment>
  <threadedComment ref="S121" dT="2025-10-10T20:59:40.76" personId="{79160F3F-A2CD-4B5D-ACD4-80E02EA51DFF}" id="{3BBE6113-7DDE-498E-A141-66F67AF89FF8}">
    <text>10-10-2025 Confirmed Actual Completed Footage.</text>
  </threadedComment>
  <threadedComment ref="U121" dT="2025-10-10T21:00:08.32" personId="{79160F3F-A2CD-4B5D-ACD4-80E02EA51DFF}" id="{F1FF104A-B3DD-4570-B50B-57F6F4D3AC20}">
    <text>10-10-2025 Conduit Placement Confirmed Completed.</text>
  </threadedComment>
  <threadedComment ref="S122" dT="2025-10-10T18:00:01.74" personId="{79160F3F-A2CD-4B5D-ACD4-80E02EA51DFF}" id="{B27F1D30-D5EA-4FAE-A379-581D59357C31}">
    <text>10-10-2025 Confirmed Actual Completed Footage.</text>
  </threadedComment>
  <threadedComment ref="U122" dT="2025-10-10T18:00:31.66" personId="{79160F3F-A2CD-4B5D-ACD4-80E02EA51DFF}" id="{F69552C7-C65A-4E3C-98B0-3D447557800E}">
    <text>10-10-2025 Conduit Placement Confirmed Completed.</text>
  </threadedComment>
  <threadedComment ref="S123" dT="2025-10-10T18:08:57.01" personId="{79160F3F-A2CD-4B5D-ACD4-80E02EA51DFF}" id="{D3B74EB7-D243-4614-A897-BEBC479AB5A6}">
    <text>10-10-2025 Confirmed Actual Completed Footage.</text>
  </threadedComment>
  <threadedComment ref="U123" dT="2025-10-10T18:09:19.55" personId="{79160F3F-A2CD-4B5D-ACD4-80E02EA51DFF}" id="{7D862C7B-DF3D-4930-AC55-9AD192A3C20C}">
    <text>10-10-2025 Conduit Placement Confirmed Completed.</text>
  </threadedComment>
  <threadedComment ref="S124" dT="2025-09-11T18:39:09.67" personId="{79160F3F-A2CD-4B5D-ACD4-80E02EA51DFF}" id="{CD6A4135-AA39-4133-8A20-AA77C2F4381E}">
    <text>9-11-2025 As Per Anthony Part Of The Project Was Removed By Tillman--Approved By Jessie.</text>
  </threadedComment>
  <threadedComment ref="S124" dT="2025-10-13T18:52:15.22" personId="{79160F3F-A2CD-4B5D-ACD4-80E02EA51DFF}" id="{2953228B-BC21-4B10-A41F-48C419D1149E}" parentId="{CD6A4135-AA39-4133-8A20-AA77C2F4381E}">
    <text>10-13-2025 Confirmed Actual Completed Footage.</text>
  </threadedComment>
  <threadedComment ref="U124" dT="2025-10-13T18:52:39.58" personId="{79160F3F-A2CD-4B5D-ACD4-80E02EA51DFF}" id="{3704B04E-FA54-40B9-964E-CBF99AA84648}">
    <text>10-13-2025 Conduit Placement Confirmed Completed.</text>
  </threadedComment>
  <threadedComment ref="S12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6" dT="2025-10-09T19:35:45.28" personId="{79160F3F-A2CD-4B5D-ACD4-80E02EA51DFF}" id="{1C0B8325-BEB8-486D-9B0A-D2629FE68077}" parentId="{24419E88-4D8A-4808-B1F5-F7A663F5FAAD}">
    <text>10-9-2025 Confirmed Actual Completed Footage.</text>
  </threadedComment>
  <threadedComment ref="U126" dT="2025-10-09T19:36:15.10" personId="{79160F3F-A2CD-4B5D-ACD4-80E02EA51DFF}" id="{014350A7-C6E1-44AD-98BD-D34283335E8D}">
    <text>10-9-2025 Conduit Placement Confirmed Completed.</text>
  </threadedComment>
  <threadedComment ref="S127" dT="2025-10-14T18:46:54.81" personId="{79160F3F-A2CD-4B5D-ACD4-80E02EA51DFF}" id="{F3897203-F2FA-4AED-8E18-26CFC4F18A92}">
    <text>10-14-2025 Confirmed Actual Completed Footage.</text>
  </threadedComment>
  <threadedComment ref="U127" dT="2025-10-14T18:47:19.81" personId="{79160F3F-A2CD-4B5D-ACD4-80E02EA51DFF}" id="{29111F55-4DB2-4936-A642-D82BFFE8DF6B}">
    <text>10-14-2025 Conduit Placement Confirmed Completed.</text>
  </threadedComment>
  <threadedComment ref="S128" dT="2025-11-04T15:25:39.81" personId="{79160F3F-A2CD-4B5D-ACD4-80E02EA51DFF}" id="{72934D65-C46F-447C-B2F5-F8D0FA309AFD}">
    <text>11-4-2025 Confirmed Actual Completed Footage.</text>
  </threadedComment>
  <threadedComment ref="U128" dT="2025-11-04T15:26:16.40" personId="{79160F3F-A2CD-4B5D-ACD4-80E02EA51DFF}" id="{A807E88A-4BF4-49EF-B404-DD47EE3CCFBB}">
    <text>11-4-2025 Conduit Placement Confirmed Completed.</text>
  </threadedComment>
  <threadedComment ref="S129" dT="2025-11-03T17:47:02.16" personId="{79160F3F-A2CD-4B5D-ACD4-80E02EA51DFF}" id="{7DEC1497-1AD7-4756-8F4B-05544990BB5F}">
    <text>11-3-2025 Confirmed Actual Completed Footage.</text>
  </threadedComment>
  <threadedComment ref="U129" dT="2025-11-03T17:47:34.04" personId="{79160F3F-A2CD-4B5D-ACD4-80E02EA51DFF}" id="{AA736ABC-9AAD-4E17-906D-ABE3655970BD}">
    <text>11-3-2025 Conduit Placement Confirmed Completed.</text>
  </threadedComment>
  <threadedComment ref="S130" dT="2025-09-25T16:58:01.72" personId="{79160F3F-A2CD-4B5D-ACD4-80E02EA51DFF}" id="{6EF4CFD2-D5C0-4E02-9861-EE265A28B782}">
    <text>9-25-2025 Confirmed Actual Completed Footage.</text>
  </threadedComment>
  <threadedComment ref="U130" dT="2025-09-25T16:58:39.99" personId="{79160F3F-A2CD-4B5D-ACD4-80E02EA51DFF}" id="{1A11367F-7CF1-4290-9C7F-6A2AF57DA1CF}">
    <text>9-25-2025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S147" dT="2025-12-15T19:16:22.31" personId="{79160F3F-A2CD-4B5D-ACD4-80E02EA51DFF}" id="{2BB4DFA2-1A43-4660-8C06-8A03C5995F5B}">
    <text>12-15-2025 Fiber Placement and Splicing.</text>
  </threadedComment>
  <threadedComment ref="U147" dT="2025-12-15T19:16:46.23" personId="{79160F3F-A2CD-4B5D-ACD4-80E02EA51DFF}" id="{CD2041CE-C9BF-4C18-BC4C-950A97425FF4}">
    <text>12-15-2025 Fiber Placement and Splicing.</text>
  </threadedComment>
  <threadedComment ref="S148" dT="2025-12-15T19:16:33.59" personId="{79160F3F-A2CD-4B5D-ACD4-80E02EA51DFF}" id="{1406AAB0-0294-4515-B334-670794C365C3}">
    <text>12-15-2025 Fiber Placement and Splicing.</text>
  </threadedComment>
  <threadedComment ref="U148" dT="2025-12-15T19:16:53.13" personId="{79160F3F-A2CD-4B5D-ACD4-80E02EA51DFF}" id="{D2569B17-EEEE-46AD-AC46-6E02AC37EF28}">
    <text>12-15-2025 Fiber Placement and Splicing.</text>
  </threadedComment>
  <threadedComment ref="A153" dT="2025-02-27T13:01:24.28" personId="{79160F3F-A2CD-4B5D-ACD4-80E02EA51DFF}" id="{A37A4793-E60C-4CE6-A76D-C7E3B8D681AB}">
    <text>NTP Received Fiber Placement and Splice Only Project.</text>
  </threadedComment>
  <threadedComment ref="D153" dT="2025-10-13T19:33:59.98" personId="{79160F3F-A2CD-4B5D-ACD4-80E02EA51DFF}" id="{DA91151F-4A1B-4C7E-8021-AEA313E78314}">
    <text>10-13-2025 Light Levels Sent On 5-23-2025 and 10-13-2025.</text>
  </threadedComment>
  <threadedComment ref="P153" dT="2025-01-29T22:16:27.08" personId="{79160F3F-A2CD-4B5D-ACD4-80E02EA51DFF}" id="{22BB94B6-292D-4F48-9F8F-2E7606AE5DB2}">
    <text>Assigned To Barlett Fiber Per Curtis On 1/29/2025.</text>
  </threadedComment>
  <threadedComment ref="A154" dT="2025-02-27T13:01:41.97" personId="{79160F3F-A2CD-4B5D-ACD4-80E02EA51DFF}" id="{1C613D79-198D-4F2E-B2B9-68EF42CB9F7B}">
    <text>NTP Received Fiber Placement and Splice Only Project.</text>
  </threadedComment>
  <threadedComment ref="D154" dT="2025-10-13T19:34:27.77" personId="{79160F3F-A2CD-4B5D-ACD4-80E02EA51DFF}" id="{CBF15CBA-88EB-470D-A62F-EE9DD467B0E9}">
    <text>10-13-2025 Light Levels Sent On 5-27-2025 and 10-13-2025.</text>
  </threadedComment>
  <threadedComment ref="P154" dT="2025-01-29T22:16:27.08" personId="{79160F3F-A2CD-4B5D-ACD4-80E02EA51DFF}" id="{C6D60ED1-BBF7-4E26-82EE-4A886DDDEEC6}">
    <text>Assigned To Barlett Fiber Per Curtis On 1/29/2025.</text>
  </threadedComment>
  <threadedComment ref="A155" dT="2025-02-27T13:01:49.84" personId="{79160F3F-A2CD-4B5D-ACD4-80E02EA51DFF}" id="{F6E499A0-F22E-4BC3-99F7-2214F12B4AF1}">
    <text>NTP Received Fiber Placement and Splice Only Project.</text>
  </threadedComment>
  <threadedComment ref="D155" dT="2025-10-13T19:34:54.93" personId="{79160F3F-A2CD-4B5D-ACD4-80E02EA51DFF}" id="{5A6DA43F-3E8D-489F-A7C7-81F36A33DD07}">
    <text>10-13-2025 Light Levels Sent On 5-27-2025 and 10-13-2025.</text>
  </threadedComment>
  <threadedComment ref="P155" dT="2025-01-29T22:16:27.08" personId="{79160F3F-A2CD-4B5D-ACD4-80E02EA51DFF}" id="{71A8135D-E913-4871-A81E-2F6A38E72F03}">
    <text>Assigned To Barlett Fiber Per Curtis On 1/29/2025.</text>
  </threadedComment>
  <threadedComment ref="A156" dT="2025-02-26T19:39:10.79" personId="{79160F3F-A2CD-4B5D-ACD4-80E02EA51DFF}" id="{D9F82B91-30C2-447A-9648-88D40C07F333}">
    <text>NTP Received Fiber Placement and Splice Only Project.</text>
  </threadedComment>
  <threadedComment ref="D156" dT="2025-10-13T19:35:38.16" personId="{79160F3F-A2CD-4B5D-ACD4-80E02EA51DFF}" id="{7DFF0006-B99C-46CE-90DA-63CA840B8AD8}">
    <text>10-13-2025 Light Levels Sent On 7-1-2025 and 10-13-2025.</text>
  </threadedComment>
  <threadedComment ref="D157" dT="2025-10-13T19:36:00.24" personId="{79160F3F-A2CD-4B5D-ACD4-80E02EA51DFF}" id="{BFFB3A05-E815-4E8B-986D-A7F5FC862DC2}">
    <text>10-13-2025 Light Levels Sent On 5-6-2025 and 10-13-2025.</text>
  </threadedComment>
  <threadedComment ref="A158" dT="2025-02-26T16:54:04.19" personId="{79160F3F-A2CD-4B5D-ACD4-80E02EA51DFF}" id="{34365959-AADA-4175-BEAD-5AE4D2FD766E}">
    <text>NTP Received Splice Only Project.</text>
  </threadedComment>
  <threadedComment ref="D158" dT="2025-10-13T19:36:40.93" personId="{79160F3F-A2CD-4B5D-ACD4-80E02EA51DFF}" id="{670D42A8-5418-4E36-950C-1200A0E7FE7D}">
    <text>10-13-2025 Light Levels Sent On 10-13-2025.</text>
  </threadedComment>
  <threadedComment ref="A159" dT="2025-02-26T19:38:35.07" personId="{79160F3F-A2CD-4B5D-ACD4-80E02EA51DFF}" id="{A24F9781-5662-44CF-BEE7-9DE1D8BBE520}">
    <text>NTP Received Fiber Placement and Splice Only Project.</text>
  </threadedComment>
  <threadedComment ref="D159"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AC1" activePane="topRight" state="frozen"/>
      <selection pane="topRight" activeCell="A4" sqref="A4"/>
      <selection activeCell="Y82" sqref="Y82"/>
    </sheetView>
  </sheetViews>
  <sheetFormatPr defaultColWidth="9.140625" defaultRowHeight="15" customHeight="1"/>
  <cols>
    <col min="1" max="1" width="37" style="1206" bestFit="1" customWidth="1"/>
    <col min="2" max="2" width="20.7109375" style="1245" customWidth="1"/>
    <col min="3" max="3" width="18.7109375" style="1245" customWidth="1"/>
    <col min="4" max="4" width="37.28515625" style="1245" customWidth="1"/>
    <col min="5" max="5" width="20.7109375" style="1245" customWidth="1"/>
    <col min="6" max="6" width="21.7109375" style="1206" customWidth="1"/>
    <col min="7" max="7" width="24" style="1206" customWidth="1"/>
    <col min="8" max="8" width="20.7109375" style="1245" customWidth="1"/>
    <col min="9" max="9" width="24.28515625" style="1245" customWidth="1"/>
    <col min="10" max="10" width="20.7109375" style="1245" customWidth="1"/>
    <col min="11" max="11" width="18.140625" style="1245" customWidth="1"/>
    <col min="12" max="12" width="20.7109375" style="1206" customWidth="1"/>
    <col min="13" max="13" width="20.7109375" style="1245" customWidth="1"/>
    <col min="14" max="14" width="22" style="1341" customWidth="1"/>
    <col min="15" max="17" width="20.7109375" style="1245" customWidth="1"/>
    <col min="18" max="18" width="21" style="1245" customWidth="1"/>
    <col min="19" max="19" width="20.7109375" style="1245" customWidth="1"/>
    <col min="20" max="20" width="21.140625" style="1245" customWidth="1"/>
    <col min="21" max="21" width="30.5703125" style="1245" customWidth="1"/>
    <col min="22" max="22" width="20.7109375" style="1206" customWidth="1"/>
    <col min="23" max="23" width="38" style="1245" bestFit="1" customWidth="1"/>
    <col min="24" max="24" width="20.5703125" style="1245" bestFit="1" customWidth="1"/>
    <col min="25" max="25" width="26.140625" style="1245" bestFit="1" customWidth="1"/>
    <col min="26" max="26" width="24.7109375" style="1245" bestFit="1" customWidth="1"/>
    <col min="27" max="28" width="30.7109375" style="1245" bestFit="1" customWidth="1"/>
    <col min="29" max="29" width="38.5703125" style="1245" bestFit="1" customWidth="1"/>
    <col min="30" max="30" width="255.7109375" style="1342" bestFit="1" customWidth="1"/>
    <col min="31" max="31" width="9.140625" style="1245" customWidth="1"/>
    <col min="32" max="16384" width="9.140625" style="1245"/>
  </cols>
  <sheetData>
    <row r="1" spans="1:121" s="1206" customFormat="1" ht="24.75" customHeight="1">
      <c r="A1" s="1199" t="s">
        <v>19</v>
      </c>
      <c r="B1" s="1200" t="s">
        <v>20</v>
      </c>
      <c r="C1" s="1200" t="s">
        <v>21</v>
      </c>
      <c r="D1" s="1200" t="s">
        <v>22</v>
      </c>
      <c r="E1" s="1200" t="s">
        <v>23</v>
      </c>
      <c r="F1" s="1200" t="s">
        <v>24</v>
      </c>
      <c r="G1" s="1200" t="s">
        <v>25</v>
      </c>
      <c r="H1" s="1200" t="s">
        <v>26</v>
      </c>
      <c r="I1" s="1200" t="s">
        <v>27</v>
      </c>
      <c r="J1" s="1200" t="s">
        <v>28</v>
      </c>
      <c r="K1" s="1200" t="s">
        <v>29</v>
      </c>
      <c r="L1" s="1200" t="s">
        <v>30</v>
      </c>
      <c r="M1" s="1200" t="s">
        <v>31</v>
      </c>
      <c r="N1" s="1201" t="s">
        <v>32</v>
      </c>
      <c r="O1" s="1200" t="s">
        <v>33</v>
      </c>
      <c r="P1" s="1202" t="s">
        <v>34</v>
      </c>
      <c r="Q1" s="1203" t="s">
        <v>35</v>
      </c>
      <c r="R1" s="1203" t="s">
        <v>36</v>
      </c>
      <c r="S1" s="1203" t="s">
        <v>37</v>
      </c>
      <c r="T1" s="1203" t="s">
        <v>38</v>
      </c>
      <c r="U1" s="1203" t="s">
        <v>39</v>
      </c>
      <c r="V1" s="1203" t="s">
        <v>40</v>
      </c>
      <c r="W1" s="1203" t="s">
        <v>41</v>
      </c>
      <c r="X1" s="1203" t="s">
        <v>42</v>
      </c>
      <c r="Y1" s="1203" t="s">
        <v>43</v>
      </c>
      <c r="Z1" s="1203" t="s">
        <v>44</v>
      </c>
      <c r="AA1" s="1204" t="s">
        <v>45</v>
      </c>
      <c r="AB1" s="1203" t="s">
        <v>46</v>
      </c>
      <c r="AC1" s="1203" t="s">
        <v>47</v>
      </c>
      <c r="AD1" s="1205" t="s">
        <v>48</v>
      </c>
    </row>
    <row r="2" spans="1:121" s="1219" customFormat="1" ht="24.75" customHeight="1">
      <c r="A2" s="1207" t="s">
        <v>49</v>
      </c>
      <c r="B2" s="825" t="s">
        <v>50</v>
      </c>
      <c r="C2" s="1208">
        <v>46048</v>
      </c>
      <c r="D2" s="1209" t="s">
        <v>51</v>
      </c>
      <c r="E2" s="1208" t="s">
        <v>52</v>
      </c>
      <c r="F2" s="1209" t="s">
        <v>53</v>
      </c>
      <c r="G2" s="1209" t="s">
        <v>54</v>
      </c>
      <c r="H2" s="1210">
        <v>0</v>
      </c>
      <c r="I2" s="662" t="s">
        <v>55</v>
      </c>
      <c r="J2" s="1210" t="s">
        <v>56</v>
      </c>
      <c r="K2" s="1209"/>
      <c r="L2" s="1208"/>
      <c r="M2" s="1210" t="s">
        <v>57</v>
      </c>
      <c r="N2" s="1211">
        <v>388</v>
      </c>
      <c r="O2" s="1210" t="s">
        <v>57</v>
      </c>
      <c r="P2" s="1212" t="s">
        <v>58</v>
      </c>
      <c r="Q2" s="1213"/>
      <c r="R2" s="1213"/>
      <c r="S2" s="1213"/>
      <c r="T2" s="1213"/>
      <c r="U2" s="1213"/>
      <c r="V2" s="1214">
        <v>0</v>
      </c>
      <c r="W2" s="1214">
        <v>0</v>
      </c>
      <c r="X2" s="1214">
        <f t="shared" ref="X2:X21" si="0">SUM(V2-W2)</f>
        <v>0</v>
      </c>
      <c r="Y2" s="663">
        <f t="shared" ref="Y2:Y35" si="1">IFERROR($W2/$V2, 0)</f>
        <v>0</v>
      </c>
      <c r="Z2" s="1215"/>
      <c r="AA2" s="1216">
        <v>0</v>
      </c>
      <c r="AB2" s="1216">
        <v>0</v>
      </c>
      <c r="AC2" s="789">
        <v>0</v>
      </c>
      <c r="AD2" s="1217"/>
      <c r="AE2" s="1218"/>
      <c r="CX2" s="1220"/>
      <c r="CY2" s="1221"/>
      <c r="CZ2" s="1222"/>
      <c r="DA2" s="1222"/>
      <c r="DB2" s="1222"/>
      <c r="DC2" s="1222"/>
      <c r="DD2" s="1223"/>
      <c r="DE2" s="1224"/>
      <c r="DF2" s="1224"/>
      <c r="DG2" s="1224"/>
      <c r="DH2" s="1224"/>
      <c r="DI2" s="1224"/>
      <c r="DJ2" s="1224"/>
      <c r="DK2" s="1224"/>
      <c r="DL2" s="1225"/>
      <c r="DM2" s="1224"/>
      <c r="DN2" s="1226"/>
      <c r="DO2" s="1226"/>
      <c r="DP2" s="1227"/>
      <c r="DQ2" s="1224"/>
    </row>
    <row r="3" spans="1:121" s="1237" customFormat="1" ht="24.75" customHeight="1">
      <c r="A3" s="1207" t="s">
        <v>59</v>
      </c>
      <c r="B3" s="825" t="s">
        <v>50</v>
      </c>
      <c r="C3" s="1208">
        <v>46008</v>
      </c>
      <c r="D3" s="1208" t="s">
        <v>60</v>
      </c>
      <c r="E3" s="1228">
        <v>45743</v>
      </c>
      <c r="F3" s="1229" t="s">
        <v>61</v>
      </c>
      <c r="G3" s="1229" t="s">
        <v>62</v>
      </c>
      <c r="H3" s="1230">
        <v>89</v>
      </c>
      <c r="I3" s="662" t="s">
        <v>55</v>
      </c>
      <c r="J3" s="1210" t="s">
        <v>63</v>
      </c>
      <c r="K3" s="1231"/>
      <c r="L3" s="1228">
        <v>45741</v>
      </c>
      <c r="M3" s="1210" t="s">
        <v>57</v>
      </c>
      <c r="N3" s="1211">
        <v>72131.5</v>
      </c>
      <c r="O3" s="1210" t="s">
        <v>57</v>
      </c>
      <c r="P3" s="1232" t="s">
        <v>64</v>
      </c>
      <c r="Q3" s="1233">
        <v>45748</v>
      </c>
      <c r="R3" s="1233"/>
      <c r="S3" s="1233"/>
      <c r="T3" s="1233"/>
      <c r="U3" s="1233"/>
      <c r="V3" s="1234">
        <v>6182</v>
      </c>
      <c r="W3" s="1214">
        <v>3690</v>
      </c>
      <c r="X3" s="1234">
        <f t="shared" si="0"/>
        <v>2492</v>
      </c>
      <c r="Y3" s="663">
        <f t="shared" si="1"/>
        <v>0.59689420899385315</v>
      </c>
      <c r="Z3" s="1235">
        <v>45891</v>
      </c>
      <c r="AA3" s="1216">
        <v>0</v>
      </c>
      <c r="AB3" s="1216">
        <v>0</v>
      </c>
      <c r="AC3" s="646">
        <v>0</v>
      </c>
      <c r="AD3" s="1236" t="s">
        <v>65</v>
      </c>
      <c r="AE3" s="1218"/>
      <c r="CX3" s="1238"/>
      <c r="CY3" s="1239"/>
      <c r="DD3" s="1240"/>
      <c r="DL3" s="1239"/>
    </row>
    <row r="4" spans="1:121" s="1237" customFormat="1" ht="24.75" customHeight="1">
      <c r="A4" s="1207" t="s">
        <v>66</v>
      </c>
      <c r="B4" s="825" t="s">
        <v>50</v>
      </c>
      <c r="C4" s="1208">
        <v>46008</v>
      </c>
      <c r="D4" s="1208" t="s">
        <v>67</v>
      </c>
      <c r="E4" s="1228">
        <v>45743</v>
      </c>
      <c r="F4" s="1229" t="s">
        <v>61</v>
      </c>
      <c r="G4" s="1229" t="s">
        <v>68</v>
      </c>
      <c r="H4" s="1230">
        <v>54</v>
      </c>
      <c r="I4" s="662" t="s">
        <v>55</v>
      </c>
      <c r="J4" s="1210" t="s">
        <v>63</v>
      </c>
      <c r="K4" s="1231"/>
      <c r="L4" s="1228">
        <v>45741</v>
      </c>
      <c r="M4" s="1210" t="s">
        <v>57</v>
      </c>
      <c r="N4" s="1241">
        <v>48215.5</v>
      </c>
      <c r="O4" s="1210" t="s">
        <v>57</v>
      </c>
      <c r="P4" s="1232" t="s">
        <v>69</v>
      </c>
      <c r="Q4" s="1233">
        <v>45744</v>
      </c>
      <c r="R4" s="1233"/>
      <c r="S4" s="1233"/>
      <c r="T4" s="1233"/>
      <c r="U4" s="1233"/>
      <c r="V4" s="1242">
        <v>3796</v>
      </c>
      <c r="W4" s="1343">
        <v>1885</v>
      </c>
      <c r="X4" s="1214">
        <f t="shared" si="0"/>
        <v>1911</v>
      </c>
      <c r="Y4" s="663">
        <f t="shared" si="1"/>
        <v>0.49657534246575341</v>
      </c>
      <c r="Z4" s="1235">
        <v>45996</v>
      </c>
      <c r="AA4" s="1216">
        <v>0</v>
      </c>
      <c r="AB4" s="1216">
        <v>0</v>
      </c>
      <c r="AC4" s="646">
        <v>0</v>
      </c>
      <c r="AD4" s="1236" t="s">
        <v>70</v>
      </c>
      <c r="CX4" s="1238"/>
      <c r="CY4" s="1239"/>
      <c r="DD4" s="1240"/>
      <c r="DL4" s="1239"/>
    </row>
    <row r="5" spans="1:121" ht="24.75" customHeight="1">
      <c r="A5" s="1207" t="s">
        <v>71</v>
      </c>
      <c r="B5" s="825" t="s">
        <v>50</v>
      </c>
      <c r="C5" s="1208">
        <v>46008</v>
      </c>
      <c r="D5" s="1208" t="s">
        <v>72</v>
      </c>
      <c r="E5" s="1228">
        <v>45700</v>
      </c>
      <c r="F5" s="828" t="s">
        <v>61</v>
      </c>
      <c r="G5" s="1228" t="s">
        <v>73</v>
      </c>
      <c r="H5" s="1230">
        <v>81</v>
      </c>
      <c r="I5" s="662" t="s">
        <v>55</v>
      </c>
      <c r="J5" s="1230" t="s">
        <v>63</v>
      </c>
      <c r="K5" s="1230"/>
      <c r="L5" s="1228">
        <v>45702</v>
      </c>
      <c r="M5" s="830" t="s">
        <v>57</v>
      </c>
      <c r="N5" s="1241">
        <v>70635</v>
      </c>
      <c r="O5" s="830" t="s">
        <v>57</v>
      </c>
      <c r="P5" s="1243" t="s">
        <v>64</v>
      </c>
      <c r="Q5" s="1233">
        <v>45696</v>
      </c>
      <c r="R5" s="1233"/>
      <c r="S5" s="1233"/>
      <c r="T5" s="1233"/>
      <c r="U5" s="1233"/>
      <c r="V5" s="1234">
        <v>6092</v>
      </c>
      <c r="W5" s="1214">
        <v>4227</v>
      </c>
      <c r="X5" s="1214">
        <f t="shared" si="0"/>
        <v>1865</v>
      </c>
      <c r="Y5" s="663">
        <f t="shared" si="1"/>
        <v>0.69386080105055814</v>
      </c>
      <c r="Z5" s="1233">
        <v>45747</v>
      </c>
      <c r="AA5" s="1216">
        <v>0</v>
      </c>
      <c r="AB5" s="1216">
        <v>0</v>
      </c>
      <c r="AC5" s="817">
        <v>0</v>
      </c>
      <c r="AD5" s="1236" t="s">
        <v>74</v>
      </c>
      <c r="AE5" s="1244"/>
    </row>
    <row r="6" spans="1:121" ht="24.75" customHeight="1">
      <c r="A6" s="1207" t="s">
        <v>75</v>
      </c>
      <c r="B6" s="825" t="s">
        <v>50</v>
      </c>
      <c r="C6" s="1208">
        <v>45930</v>
      </c>
      <c r="D6" s="1229" t="s">
        <v>51</v>
      </c>
      <c r="E6" s="1229" t="s">
        <v>52</v>
      </c>
      <c r="F6" s="1229" t="s">
        <v>53</v>
      </c>
      <c r="G6" s="1229" t="s">
        <v>76</v>
      </c>
      <c r="H6" s="1230">
        <v>0</v>
      </c>
      <c r="I6" s="1230" t="s">
        <v>55</v>
      </c>
      <c r="J6" s="1230" t="s">
        <v>63</v>
      </c>
      <c r="K6" s="1210" t="s">
        <v>77</v>
      </c>
      <c r="L6" s="1246">
        <v>45716</v>
      </c>
      <c r="M6" s="1230" t="s">
        <v>57</v>
      </c>
      <c r="N6" s="1241">
        <v>582</v>
      </c>
      <c r="O6" s="1230" t="s">
        <v>57</v>
      </c>
      <c r="P6" s="1243" t="s">
        <v>64</v>
      </c>
      <c r="Q6" s="1215" t="s">
        <v>56</v>
      </c>
      <c r="R6" s="1215"/>
      <c r="S6" s="1215"/>
      <c r="T6" s="1215"/>
      <c r="U6" s="1215"/>
      <c r="V6" s="1234">
        <v>0</v>
      </c>
      <c r="W6" s="1247">
        <v>0</v>
      </c>
      <c r="X6" s="1214">
        <f t="shared" si="0"/>
        <v>0</v>
      </c>
      <c r="Y6" s="663">
        <f t="shared" si="1"/>
        <v>0</v>
      </c>
      <c r="Z6" s="1215"/>
      <c r="AA6" s="1216">
        <v>0</v>
      </c>
      <c r="AB6" s="1216">
        <v>0</v>
      </c>
      <c r="AC6" s="1215">
        <v>3</v>
      </c>
      <c r="AD6" s="1248"/>
      <c r="AE6" s="1249"/>
    </row>
    <row r="7" spans="1:121" s="1237" customFormat="1" ht="24.75" customHeight="1">
      <c r="A7" s="1207" t="s">
        <v>78</v>
      </c>
      <c r="B7" s="825" t="s">
        <v>50</v>
      </c>
      <c r="C7" s="1208">
        <v>46008</v>
      </c>
      <c r="D7" s="1208" t="s">
        <v>79</v>
      </c>
      <c r="E7" s="1228">
        <v>45748</v>
      </c>
      <c r="F7" s="1229" t="s">
        <v>61</v>
      </c>
      <c r="G7" s="1229" t="s">
        <v>80</v>
      </c>
      <c r="H7" s="1230">
        <v>0</v>
      </c>
      <c r="I7" s="1230" t="s">
        <v>55</v>
      </c>
      <c r="J7" s="1230" t="s">
        <v>63</v>
      </c>
      <c r="K7" s="1230"/>
      <c r="L7" s="1228">
        <v>45741</v>
      </c>
      <c r="M7" s="1230" t="s">
        <v>57</v>
      </c>
      <c r="N7" s="1241">
        <v>29634.15</v>
      </c>
      <c r="O7" s="1230" t="s">
        <v>57</v>
      </c>
      <c r="P7" s="1243" t="s">
        <v>64</v>
      </c>
      <c r="Q7" s="1233">
        <v>45743</v>
      </c>
      <c r="R7" s="1233"/>
      <c r="S7" s="1233"/>
      <c r="T7" s="1233"/>
      <c r="U7" s="1233"/>
      <c r="V7" s="1234">
        <v>1831</v>
      </c>
      <c r="W7" s="1214">
        <v>1155</v>
      </c>
      <c r="X7" s="1214">
        <f t="shared" si="0"/>
        <v>676</v>
      </c>
      <c r="Y7" s="663">
        <f t="shared" si="1"/>
        <v>0.63080283997815401</v>
      </c>
      <c r="Z7" s="1233">
        <v>45790</v>
      </c>
      <c r="AA7" s="1216">
        <v>0</v>
      </c>
      <c r="AB7" s="1216">
        <v>0</v>
      </c>
      <c r="AC7" s="1234">
        <v>0</v>
      </c>
      <c r="AD7" s="1248" t="s">
        <v>81</v>
      </c>
    </row>
    <row r="8" spans="1:121" s="1237" customFormat="1" ht="24.75" customHeight="1">
      <c r="A8" s="1207" t="s">
        <v>82</v>
      </c>
      <c r="B8" s="825" t="s">
        <v>50</v>
      </c>
      <c r="C8" s="1208">
        <v>46008</v>
      </c>
      <c r="D8" s="1208" t="s">
        <v>83</v>
      </c>
      <c r="E8" s="1228">
        <v>45748</v>
      </c>
      <c r="F8" s="1229" t="s">
        <v>61</v>
      </c>
      <c r="G8" s="1229" t="s">
        <v>84</v>
      </c>
      <c r="H8" s="1230">
        <v>0</v>
      </c>
      <c r="I8" s="1230" t="s">
        <v>55</v>
      </c>
      <c r="J8" s="1210" t="s">
        <v>63</v>
      </c>
      <c r="K8" s="1231"/>
      <c r="L8" s="1228">
        <v>45742</v>
      </c>
      <c r="M8" s="1210" t="s">
        <v>57</v>
      </c>
      <c r="N8" s="1241">
        <v>13442.35</v>
      </c>
      <c r="O8" s="1210" t="s">
        <v>57</v>
      </c>
      <c r="P8" s="1250" t="s">
        <v>69</v>
      </c>
      <c r="Q8" s="1233">
        <v>45742</v>
      </c>
      <c r="R8" s="1233"/>
      <c r="S8" s="1233"/>
      <c r="T8" s="1233"/>
      <c r="U8" s="1233"/>
      <c r="V8" s="1215">
        <v>831</v>
      </c>
      <c r="W8" s="1251"/>
      <c r="X8" s="1214">
        <f t="shared" si="0"/>
        <v>831</v>
      </c>
      <c r="Y8" s="663">
        <f t="shared" si="1"/>
        <v>0</v>
      </c>
      <c r="Z8" s="1252"/>
      <c r="AA8" s="1216">
        <v>0</v>
      </c>
      <c r="AB8" s="1216">
        <v>0</v>
      </c>
      <c r="AC8" s="646">
        <v>0</v>
      </c>
      <c r="AD8" s="1236" t="s">
        <v>81</v>
      </c>
      <c r="AE8" s="1253"/>
    </row>
    <row r="9" spans="1:121" s="1237" customFormat="1" ht="24.75" customHeight="1">
      <c r="A9" s="1207" t="s">
        <v>85</v>
      </c>
      <c r="B9" s="825" t="s">
        <v>50</v>
      </c>
      <c r="C9" s="1208">
        <v>46044</v>
      </c>
      <c r="D9" s="1208" t="s">
        <v>72</v>
      </c>
      <c r="E9" s="1228">
        <v>45700</v>
      </c>
      <c r="F9" s="1228" t="s">
        <v>61</v>
      </c>
      <c r="G9" s="1228" t="s">
        <v>86</v>
      </c>
      <c r="H9" s="1230">
        <v>0</v>
      </c>
      <c r="I9" s="1230" t="s">
        <v>55</v>
      </c>
      <c r="J9" s="1230" t="s">
        <v>63</v>
      </c>
      <c r="K9" s="1230"/>
      <c r="L9" s="1228">
        <v>45700</v>
      </c>
      <c r="M9" s="1230" t="s">
        <v>57</v>
      </c>
      <c r="N9" s="1241">
        <v>19745.25</v>
      </c>
      <c r="O9" s="1230" t="s">
        <v>57</v>
      </c>
      <c r="P9" s="1250" t="s">
        <v>64</v>
      </c>
      <c r="Q9" s="1233">
        <v>45696</v>
      </c>
      <c r="R9" s="1233"/>
      <c r="S9" s="1233"/>
      <c r="T9" s="1233"/>
      <c r="U9" s="1233"/>
      <c r="V9" s="1234">
        <v>1534</v>
      </c>
      <c r="W9" s="1247">
        <v>794</v>
      </c>
      <c r="X9" s="1214">
        <f t="shared" si="0"/>
        <v>740</v>
      </c>
      <c r="Y9" s="663">
        <f t="shared" si="1"/>
        <v>0.51760104302477183</v>
      </c>
      <c r="Z9" s="1233">
        <v>45736</v>
      </c>
      <c r="AA9" s="1216">
        <v>0</v>
      </c>
      <c r="AB9" s="1216">
        <v>0</v>
      </c>
      <c r="AC9" s="817">
        <v>0</v>
      </c>
      <c r="AD9" s="1236" t="s">
        <v>81</v>
      </c>
    </row>
    <row r="10" spans="1:121" ht="24.75" customHeight="1">
      <c r="A10" s="1207" t="s">
        <v>87</v>
      </c>
      <c r="B10" s="825" t="s">
        <v>50</v>
      </c>
      <c r="C10" s="1208">
        <v>46044</v>
      </c>
      <c r="D10" s="1208" t="s">
        <v>79</v>
      </c>
      <c r="E10" s="1228">
        <v>45748</v>
      </c>
      <c r="F10" s="1229" t="s">
        <v>61</v>
      </c>
      <c r="G10" s="1254" t="s">
        <v>88</v>
      </c>
      <c r="H10" s="1230">
        <v>0</v>
      </c>
      <c r="I10" s="1230" t="s">
        <v>55</v>
      </c>
      <c r="J10" s="1230" t="s">
        <v>63</v>
      </c>
      <c r="K10" s="1255"/>
      <c r="L10" s="1228">
        <v>45741</v>
      </c>
      <c r="M10" s="1230" t="s">
        <v>57</v>
      </c>
      <c r="N10" s="1241">
        <v>31186.25</v>
      </c>
      <c r="O10" s="1230" t="s">
        <v>57</v>
      </c>
      <c r="P10" s="1250" t="s">
        <v>64</v>
      </c>
      <c r="Q10" s="1233">
        <v>45743</v>
      </c>
      <c r="R10" s="1233"/>
      <c r="S10" s="1233"/>
      <c r="T10" s="1233"/>
      <c r="U10" s="1233"/>
      <c r="V10" s="1234">
        <v>2003</v>
      </c>
      <c r="W10" s="1247">
        <v>225</v>
      </c>
      <c r="X10" s="1214">
        <f t="shared" si="0"/>
        <v>1778</v>
      </c>
      <c r="Y10" s="663">
        <f t="shared" si="1"/>
        <v>0.11233150274588118</v>
      </c>
      <c r="Z10" s="1233">
        <v>45785</v>
      </c>
      <c r="AA10" s="1216">
        <v>0</v>
      </c>
      <c r="AB10" s="1216">
        <v>0</v>
      </c>
      <c r="AC10" s="1234">
        <v>0</v>
      </c>
      <c r="AD10" s="1236" t="s">
        <v>74</v>
      </c>
      <c r="AE10" s="1256"/>
    </row>
    <row r="11" spans="1:121" s="1258" customFormat="1" ht="24.75" customHeight="1">
      <c r="A11" s="1207" t="s">
        <v>89</v>
      </c>
      <c r="B11" s="825" t="s">
        <v>50</v>
      </c>
      <c r="C11" s="1208">
        <v>46001</v>
      </c>
      <c r="D11" s="1208"/>
      <c r="E11" s="1228"/>
      <c r="F11" s="1229"/>
      <c r="G11" s="1209"/>
      <c r="H11" s="1230">
        <v>0</v>
      </c>
      <c r="I11" s="830" t="s">
        <v>55</v>
      </c>
      <c r="J11" s="1230" t="s">
        <v>90</v>
      </c>
      <c r="K11" s="1255"/>
      <c r="L11" s="1228"/>
      <c r="M11" s="1230" t="s">
        <v>91</v>
      </c>
      <c r="N11" s="1241"/>
      <c r="O11" s="1230" t="s">
        <v>91</v>
      </c>
      <c r="P11" s="1243" t="s">
        <v>58</v>
      </c>
      <c r="Q11" s="1233"/>
      <c r="R11" s="1233"/>
      <c r="S11" s="1233"/>
      <c r="T11" s="1233"/>
      <c r="U11" s="1233"/>
      <c r="V11" s="1234">
        <v>11</v>
      </c>
      <c r="W11" s="1214"/>
      <c r="X11" s="1214">
        <f t="shared" si="0"/>
        <v>11</v>
      </c>
      <c r="Y11" s="663">
        <f t="shared" si="1"/>
        <v>0</v>
      </c>
      <c r="Z11" s="1215"/>
      <c r="AA11" s="1216">
        <v>0</v>
      </c>
      <c r="AB11" s="1216">
        <v>0</v>
      </c>
      <c r="AC11" s="646">
        <v>0</v>
      </c>
      <c r="AD11" s="1248"/>
      <c r="AE11" s="1257"/>
    </row>
    <row r="12" spans="1:121" s="1258" customFormat="1" ht="24.75" customHeight="1">
      <c r="A12" s="1259" t="s">
        <v>92</v>
      </c>
      <c r="B12" s="825" t="s">
        <v>50</v>
      </c>
      <c r="C12" s="1208">
        <v>46203</v>
      </c>
      <c r="D12" s="1208"/>
      <c r="E12" s="1228"/>
      <c r="F12" s="1229"/>
      <c r="G12" s="1229" t="s">
        <v>93</v>
      </c>
      <c r="H12" s="1230">
        <v>89</v>
      </c>
      <c r="I12" s="830" t="s">
        <v>55</v>
      </c>
      <c r="J12" s="1230" t="s">
        <v>90</v>
      </c>
      <c r="K12" s="1255"/>
      <c r="L12" s="1228"/>
      <c r="M12" s="1230" t="s">
        <v>57</v>
      </c>
      <c r="N12" s="1241">
        <v>70896.5</v>
      </c>
      <c r="O12" s="1230" t="s">
        <v>57</v>
      </c>
      <c r="P12" s="1243" t="s">
        <v>58</v>
      </c>
      <c r="Q12" s="1233"/>
      <c r="R12" s="1233"/>
      <c r="S12" s="1233"/>
      <c r="T12" s="1233"/>
      <c r="U12" s="1233"/>
      <c r="V12" s="1234">
        <v>5452</v>
      </c>
      <c r="W12" s="1214"/>
      <c r="X12" s="1214">
        <f>SUM(V12-W12)</f>
        <v>5452</v>
      </c>
      <c r="Y12" s="663">
        <f>IFERROR($W12/$V12, 0)</f>
        <v>0</v>
      </c>
      <c r="Z12" s="1233"/>
      <c r="AA12" s="1216">
        <v>0</v>
      </c>
      <c r="AB12" s="1216">
        <v>0</v>
      </c>
      <c r="AC12" s="646">
        <v>0</v>
      </c>
      <c r="AD12" s="1248" t="s">
        <v>94</v>
      </c>
      <c r="AE12" s="1257"/>
    </row>
    <row r="13" spans="1:121" s="1258" customFormat="1" ht="24.75" customHeight="1">
      <c r="A13" s="1259" t="s">
        <v>95</v>
      </c>
      <c r="B13" s="825" t="s">
        <v>50</v>
      </c>
      <c r="C13" s="1208">
        <v>46142</v>
      </c>
      <c r="D13" s="1208"/>
      <c r="E13" s="1228"/>
      <c r="F13" s="1229"/>
      <c r="G13" s="1229" t="s">
        <v>96</v>
      </c>
      <c r="H13" s="1230">
        <v>72</v>
      </c>
      <c r="I13" s="830" t="s">
        <v>55</v>
      </c>
      <c r="J13" s="1230" t="s">
        <v>63</v>
      </c>
      <c r="K13" s="1255"/>
      <c r="L13" s="1228"/>
      <c r="M13" s="1230" t="s">
        <v>57</v>
      </c>
      <c r="N13" s="1241">
        <v>57133</v>
      </c>
      <c r="O13" s="1230" t="s">
        <v>57</v>
      </c>
      <c r="P13" s="1243" t="s">
        <v>58</v>
      </c>
      <c r="Q13" s="1233"/>
      <c r="R13" s="1233"/>
      <c r="S13" s="1233"/>
      <c r="T13" s="1233"/>
      <c r="U13" s="1233"/>
      <c r="V13" s="1234">
        <v>4407</v>
      </c>
      <c r="W13" s="1214"/>
      <c r="X13" s="1214">
        <f>SUM(V13-W13)</f>
        <v>4407</v>
      </c>
      <c r="Y13" s="663">
        <f>IFERROR($W13/$V13, 0)</f>
        <v>0</v>
      </c>
      <c r="Z13" s="1233"/>
      <c r="AA13" s="1216">
        <v>0</v>
      </c>
      <c r="AB13" s="1216">
        <v>0</v>
      </c>
      <c r="AC13" s="646">
        <v>0</v>
      </c>
      <c r="AD13" s="1248" t="s">
        <v>94</v>
      </c>
      <c r="AE13" s="1257"/>
    </row>
    <row r="14" spans="1:121" s="1258" customFormat="1" ht="24.75" customHeight="1">
      <c r="A14" s="1259" t="s">
        <v>97</v>
      </c>
      <c r="B14" s="825" t="s">
        <v>50</v>
      </c>
      <c r="C14" s="1208">
        <v>46233</v>
      </c>
      <c r="D14" s="1208"/>
      <c r="E14" s="1228"/>
      <c r="F14" s="1229"/>
      <c r="G14" s="1229" t="s">
        <v>98</v>
      </c>
      <c r="H14" s="1230">
        <v>51</v>
      </c>
      <c r="I14" s="830" t="s">
        <v>55</v>
      </c>
      <c r="J14" s="1230" t="s">
        <v>90</v>
      </c>
      <c r="K14" s="1255"/>
      <c r="L14" s="1228"/>
      <c r="M14" s="1230" t="s">
        <v>57</v>
      </c>
      <c r="N14" s="1241">
        <v>31462.5</v>
      </c>
      <c r="O14" s="1230" t="s">
        <v>57</v>
      </c>
      <c r="P14" s="1243" t="s">
        <v>58</v>
      </c>
      <c r="Q14" s="1233"/>
      <c r="R14" s="1233"/>
      <c r="S14" s="1233"/>
      <c r="T14" s="1233"/>
      <c r="U14" s="1233"/>
      <c r="V14" s="1234">
        <v>2390</v>
      </c>
      <c r="W14" s="1214"/>
      <c r="X14" s="1214">
        <f>SUM(V14-W14)</f>
        <v>2390</v>
      </c>
      <c r="Y14" s="663">
        <f>IFERROR($W14/$V14, 0)</f>
        <v>0</v>
      </c>
      <c r="Z14" s="1233"/>
      <c r="AA14" s="1216">
        <v>0</v>
      </c>
      <c r="AB14" s="1216">
        <v>0</v>
      </c>
      <c r="AC14" s="646">
        <v>0</v>
      </c>
      <c r="AD14" s="1248" t="s">
        <v>94</v>
      </c>
      <c r="AE14" s="1257"/>
    </row>
    <row r="15" spans="1:121" s="1258" customFormat="1" ht="24.75" customHeight="1">
      <c r="A15" s="1207" t="s">
        <v>99</v>
      </c>
      <c r="B15" s="825" t="s">
        <v>50</v>
      </c>
      <c r="C15" s="1208">
        <v>46008</v>
      </c>
      <c r="D15" s="1208" t="s">
        <v>100</v>
      </c>
      <c r="E15" s="1228">
        <v>45958</v>
      </c>
      <c r="F15" s="1229" t="s">
        <v>101</v>
      </c>
      <c r="G15" s="1229" t="s">
        <v>102</v>
      </c>
      <c r="H15" s="1230">
        <v>517</v>
      </c>
      <c r="I15" s="662" t="s">
        <v>55</v>
      </c>
      <c r="J15" s="1210" t="s">
        <v>56</v>
      </c>
      <c r="K15" s="1255"/>
      <c r="L15" s="1228">
        <v>45964</v>
      </c>
      <c r="M15" s="1230" t="s">
        <v>57</v>
      </c>
      <c r="N15" s="1241">
        <v>215088</v>
      </c>
      <c r="O15" s="1230" t="s">
        <v>57</v>
      </c>
      <c r="P15" s="1243" t="s">
        <v>64</v>
      </c>
      <c r="Q15" s="1233">
        <v>45960</v>
      </c>
      <c r="R15" s="1233"/>
      <c r="S15" s="1233"/>
      <c r="T15" s="1233"/>
      <c r="U15" s="1233"/>
      <c r="V15" s="1234">
        <v>22387</v>
      </c>
      <c r="W15" s="1214">
        <v>23245</v>
      </c>
      <c r="X15" s="1214">
        <f t="shared" si="0"/>
        <v>-858</v>
      </c>
      <c r="Y15" s="864">
        <f t="shared" si="1"/>
        <v>1.0383258140885334</v>
      </c>
      <c r="Z15" s="1233">
        <v>45965</v>
      </c>
      <c r="AA15" s="1216">
        <v>0</v>
      </c>
      <c r="AB15" s="1216">
        <v>0</v>
      </c>
      <c r="AC15" s="646">
        <v>0</v>
      </c>
      <c r="AD15" s="1248" t="s">
        <v>103</v>
      </c>
      <c r="AE15" s="1257"/>
    </row>
    <row r="16" spans="1:121" s="1258" customFormat="1" ht="24.75" customHeight="1">
      <c r="A16" s="1259" t="s">
        <v>104</v>
      </c>
      <c r="B16" s="825" t="s">
        <v>50</v>
      </c>
      <c r="C16" s="1208">
        <v>46127</v>
      </c>
      <c r="D16" s="1208"/>
      <c r="E16" s="1228"/>
      <c r="F16" s="1229"/>
      <c r="G16" s="1229"/>
      <c r="H16" s="1230">
        <v>29</v>
      </c>
      <c r="I16" s="662" t="s">
        <v>55</v>
      </c>
      <c r="J16" s="1210" t="s">
        <v>56</v>
      </c>
      <c r="K16" s="1210" t="s">
        <v>77</v>
      </c>
      <c r="L16" s="1228"/>
      <c r="M16" s="1230" t="s">
        <v>57</v>
      </c>
      <c r="N16" s="1241">
        <v>345.25</v>
      </c>
      <c r="O16" s="1230" t="s">
        <v>57</v>
      </c>
      <c r="P16" s="1243" t="s">
        <v>58</v>
      </c>
      <c r="Q16" s="1233">
        <v>45964</v>
      </c>
      <c r="R16" s="1233"/>
      <c r="S16" s="1233"/>
      <c r="T16" s="1233"/>
      <c r="U16" s="1233"/>
      <c r="V16" s="1234">
        <v>15</v>
      </c>
      <c r="W16" s="1214"/>
      <c r="X16" s="1214">
        <f t="shared" si="0"/>
        <v>15</v>
      </c>
      <c r="Y16" s="663">
        <f t="shared" ref="Y16:Y21" si="2">IFERROR($W16/$V16, 0)</f>
        <v>0</v>
      </c>
      <c r="Z16" s="1233"/>
      <c r="AA16" s="1216">
        <v>0</v>
      </c>
      <c r="AB16" s="1216">
        <v>0</v>
      </c>
      <c r="AC16" s="646">
        <v>0</v>
      </c>
      <c r="AD16" s="1248"/>
      <c r="AE16" s="1257"/>
    </row>
    <row r="17" spans="1:31" s="1258" customFormat="1" ht="24.75" customHeight="1">
      <c r="A17" s="1259" t="s">
        <v>105</v>
      </c>
      <c r="B17" s="825" t="s">
        <v>50</v>
      </c>
      <c r="C17" s="1208">
        <v>46188</v>
      </c>
      <c r="D17" s="1208"/>
      <c r="E17" s="1228"/>
      <c r="F17" s="1229"/>
      <c r="G17" s="1229"/>
      <c r="H17" s="1230">
        <v>262</v>
      </c>
      <c r="I17" s="662" t="s">
        <v>55</v>
      </c>
      <c r="J17" s="1210" t="s">
        <v>56</v>
      </c>
      <c r="K17" s="1210" t="s">
        <v>77</v>
      </c>
      <c r="L17" s="1228">
        <v>45964</v>
      </c>
      <c r="M17" s="1230" t="s">
        <v>57</v>
      </c>
      <c r="N17" s="1241">
        <v>76768.800000000003</v>
      </c>
      <c r="O17" s="1230" t="s">
        <v>57</v>
      </c>
      <c r="P17" s="1243" t="s">
        <v>58</v>
      </c>
      <c r="Q17" s="1233">
        <v>45964</v>
      </c>
      <c r="R17" s="1233"/>
      <c r="S17" s="1233"/>
      <c r="T17" s="1233"/>
      <c r="U17" s="1233"/>
      <c r="V17" s="1234">
        <v>6824</v>
      </c>
      <c r="W17" s="1214"/>
      <c r="X17" s="1214">
        <f t="shared" si="0"/>
        <v>6824</v>
      </c>
      <c r="Y17" s="663">
        <f t="shared" si="2"/>
        <v>0</v>
      </c>
      <c r="Z17" s="1233"/>
      <c r="AA17" s="1216">
        <v>0</v>
      </c>
      <c r="AB17" s="1216">
        <v>0</v>
      </c>
      <c r="AC17" s="646">
        <v>0</v>
      </c>
      <c r="AD17" s="1248"/>
      <c r="AE17" s="1257"/>
    </row>
    <row r="18" spans="1:31" s="1258" customFormat="1" ht="24.75" customHeight="1">
      <c r="A18" s="1259" t="s">
        <v>106</v>
      </c>
      <c r="B18" s="825" t="s">
        <v>50</v>
      </c>
      <c r="C18" s="1208">
        <v>46188</v>
      </c>
      <c r="D18" s="1208"/>
      <c r="E18" s="1228"/>
      <c r="F18" s="1229"/>
      <c r="G18" s="1229"/>
      <c r="H18" s="1230">
        <v>156</v>
      </c>
      <c r="I18" s="662" t="s">
        <v>55</v>
      </c>
      <c r="J18" s="1210" t="s">
        <v>56</v>
      </c>
      <c r="K18" s="1230" t="s">
        <v>107</v>
      </c>
      <c r="L18" s="1228"/>
      <c r="M18" s="1230" t="s">
        <v>91</v>
      </c>
      <c r="N18" s="1241"/>
      <c r="O18" s="1230" t="s">
        <v>91</v>
      </c>
      <c r="P18" s="1243" t="s">
        <v>58</v>
      </c>
      <c r="Q18" s="1233"/>
      <c r="R18" s="1233"/>
      <c r="S18" s="1233"/>
      <c r="T18" s="1233"/>
      <c r="U18" s="1233"/>
      <c r="V18" s="1234">
        <v>4677</v>
      </c>
      <c r="W18" s="1214"/>
      <c r="X18" s="1214">
        <f t="shared" si="0"/>
        <v>4677</v>
      </c>
      <c r="Y18" s="663">
        <f t="shared" si="2"/>
        <v>0</v>
      </c>
      <c r="Z18" s="1233"/>
      <c r="AA18" s="1216">
        <v>0</v>
      </c>
      <c r="AB18" s="1216">
        <v>0</v>
      </c>
      <c r="AC18" s="646">
        <v>0</v>
      </c>
      <c r="AD18" s="1248" t="s">
        <v>108</v>
      </c>
      <c r="AE18" s="1257"/>
    </row>
    <row r="19" spans="1:31" s="1258" customFormat="1" ht="24.75" customHeight="1">
      <c r="A19" s="1207" t="s">
        <v>109</v>
      </c>
      <c r="B19" s="825" t="s">
        <v>50</v>
      </c>
      <c r="C19" s="1208">
        <v>46218</v>
      </c>
      <c r="D19" s="1208" t="s">
        <v>110</v>
      </c>
      <c r="E19" s="1228"/>
      <c r="F19" s="1229" t="s">
        <v>61</v>
      </c>
      <c r="G19" s="1229" t="s">
        <v>111</v>
      </c>
      <c r="H19" s="1230">
        <v>380</v>
      </c>
      <c r="I19" s="662" t="s">
        <v>55</v>
      </c>
      <c r="J19" s="1210" t="s">
        <v>56</v>
      </c>
      <c r="K19" s="1255"/>
      <c r="L19" s="1228">
        <v>45964</v>
      </c>
      <c r="M19" s="1230" t="s">
        <v>57</v>
      </c>
      <c r="N19" s="1241">
        <v>117414</v>
      </c>
      <c r="O19" s="1230" t="s">
        <v>57</v>
      </c>
      <c r="P19" s="1243" t="s">
        <v>64</v>
      </c>
      <c r="Q19" s="1233">
        <v>45964</v>
      </c>
      <c r="R19" s="1233"/>
      <c r="S19" s="1233"/>
      <c r="T19" s="1233"/>
      <c r="U19" s="1233"/>
      <c r="V19" s="1234">
        <v>7995</v>
      </c>
      <c r="W19" s="1214">
        <v>5142</v>
      </c>
      <c r="X19" s="1214">
        <f>SUM(V19-W19)</f>
        <v>2853</v>
      </c>
      <c r="Y19" s="864">
        <f t="shared" si="2"/>
        <v>0.64315196998123825</v>
      </c>
      <c r="Z19" s="1213">
        <v>45992</v>
      </c>
      <c r="AA19" s="1216">
        <v>0</v>
      </c>
      <c r="AB19" s="1216">
        <v>0</v>
      </c>
      <c r="AC19" s="646">
        <v>0</v>
      </c>
      <c r="AD19" s="1248" t="s">
        <v>112</v>
      </c>
      <c r="AE19" s="1257"/>
    </row>
    <row r="20" spans="1:31" s="1258" customFormat="1" ht="24.75" customHeight="1">
      <c r="A20" s="1207" t="s">
        <v>113</v>
      </c>
      <c r="B20" s="825" t="s">
        <v>50</v>
      </c>
      <c r="C20" s="1228">
        <v>46096</v>
      </c>
      <c r="D20" s="1208"/>
      <c r="E20" s="1228"/>
      <c r="F20" s="1229"/>
      <c r="G20" s="1229"/>
      <c r="H20" s="1230">
        <v>18</v>
      </c>
      <c r="I20" s="662" t="s">
        <v>55</v>
      </c>
      <c r="J20" s="1210" t="s">
        <v>56</v>
      </c>
      <c r="K20" s="1255"/>
      <c r="L20" s="1228"/>
      <c r="M20" s="1230" t="s">
        <v>57</v>
      </c>
      <c r="N20" s="1241">
        <v>2490.5</v>
      </c>
      <c r="O20" s="1230" t="s">
        <v>57</v>
      </c>
      <c r="P20" s="1243" t="s">
        <v>58</v>
      </c>
      <c r="Q20" s="1233"/>
      <c r="R20" s="1233"/>
      <c r="S20" s="1233"/>
      <c r="T20" s="1233"/>
      <c r="U20" s="1233"/>
      <c r="V20" s="1234">
        <v>130</v>
      </c>
      <c r="W20" s="1214"/>
      <c r="X20" s="1214">
        <f>SUM(V20-W20)</f>
        <v>130</v>
      </c>
      <c r="Y20" s="663">
        <f>IFERROR($W20/$V20, 0)</f>
        <v>0</v>
      </c>
      <c r="Z20" s="1233"/>
      <c r="AA20" s="1216">
        <v>0</v>
      </c>
      <c r="AB20" s="1216">
        <v>0</v>
      </c>
      <c r="AC20" s="646">
        <v>0</v>
      </c>
      <c r="AD20" s="1248" t="s">
        <v>114</v>
      </c>
      <c r="AE20" s="1257"/>
    </row>
    <row r="21" spans="1:31" s="1258" customFormat="1" ht="24.75" customHeight="1">
      <c r="A21" s="1207"/>
      <c r="B21" s="825"/>
      <c r="C21" s="1208"/>
      <c r="D21" s="1208"/>
      <c r="E21" s="1228"/>
      <c r="F21" s="1229"/>
      <c r="G21" s="1229"/>
      <c r="H21" s="1230"/>
      <c r="I21" s="662"/>
      <c r="J21" s="1210"/>
      <c r="K21" s="1210"/>
      <c r="L21" s="1228"/>
      <c r="M21" s="1230"/>
      <c r="N21" s="1241"/>
      <c r="O21" s="1230"/>
      <c r="P21" s="1243"/>
      <c r="Q21" s="1233"/>
      <c r="R21" s="1233"/>
      <c r="S21" s="1233"/>
      <c r="T21" s="1233"/>
      <c r="U21" s="1233"/>
      <c r="V21" s="1234"/>
      <c r="W21" s="1214"/>
      <c r="X21" s="1214">
        <f t="shared" si="0"/>
        <v>0</v>
      </c>
      <c r="Y21" s="663">
        <f t="shared" si="2"/>
        <v>0</v>
      </c>
      <c r="Z21" s="1233"/>
      <c r="AA21" s="1216"/>
      <c r="AB21" s="1216"/>
      <c r="AC21" s="966"/>
      <c r="AD21" s="1217"/>
      <c r="AE21" s="1257"/>
    </row>
    <row r="22" spans="1:31" s="1258" customFormat="1" ht="24.75" customHeight="1">
      <c r="A22" s="1209"/>
      <c r="B22" s="832"/>
      <c r="C22" s="1208"/>
      <c r="D22" s="1208"/>
      <c r="E22" s="1228"/>
      <c r="F22" s="1229"/>
      <c r="G22" s="1229"/>
      <c r="H22" s="1230"/>
      <c r="I22" s="662"/>
      <c r="J22" s="1210"/>
      <c r="K22" s="1210"/>
      <c r="L22" s="1228"/>
      <c r="M22" s="1230"/>
      <c r="N22" s="1241"/>
      <c r="O22" s="1230"/>
      <c r="P22" s="1243"/>
      <c r="Q22" s="1233"/>
      <c r="R22" s="1233"/>
      <c r="S22" s="1233"/>
      <c r="T22" s="1233"/>
      <c r="U22" s="1233"/>
      <c r="V22" s="1234"/>
      <c r="W22" s="1214"/>
      <c r="X22" s="1214"/>
      <c r="Y22" s="663"/>
      <c r="Z22" s="1215"/>
      <c r="AA22" s="1216"/>
      <c r="AB22" s="1216"/>
      <c r="AC22" s="1214"/>
      <c r="AD22" s="1217"/>
      <c r="AE22" s="1257"/>
    </row>
    <row r="23" spans="1:31" s="1258" customFormat="1" ht="24.75" customHeight="1">
      <c r="A23" s="1199" t="s">
        <v>115</v>
      </c>
      <c r="B23" s="1200" t="s">
        <v>20</v>
      </c>
      <c r="C23" s="1200" t="s">
        <v>21</v>
      </c>
      <c r="D23" s="1200" t="s">
        <v>22</v>
      </c>
      <c r="E23" s="1200" t="s">
        <v>23</v>
      </c>
      <c r="F23" s="1200" t="s">
        <v>24</v>
      </c>
      <c r="G23" s="1200" t="s">
        <v>25</v>
      </c>
      <c r="H23" s="1200" t="s">
        <v>26</v>
      </c>
      <c r="I23" s="1200" t="s">
        <v>27</v>
      </c>
      <c r="J23" s="1200" t="s">
        <v>28</v>
      </c>
      <c r="K23" s="1200" t="s">
        <v>29</v>
      </c>
      <c r="L23" s="1200" t="s">
        <v>30</v>
      </c>
      <c r="M23" s="1200" t="s">
        <v>31</v>
      </c>
      <c r="N23" s="1201" t="s">
        <v>32</v>
      </c>
      <c r="O23" s="1200" t="s">
        <v>33</v>
      </c>
      <c r="P23" s="1202" t="s">
        <v>34</v>
      </c>
      <c r="Q23" s="1203" t="s">
        <v>35</v>
      </c>
      <c r="R23" s="1203" t="s">
        <v>36</v>
      </c>
      <c r="S23" s="1203" t="s">
        <v>37</v>
      </c>
      <c r="T23" s="1203" t="s">
        <v>38</v>
      </c>
      <c r="U23" s="1203" t="s">
        <v>39</v>
      </c>
      <c r="V23" s="1203" t="s">
        <v>40</v>
      </c>
      <c r="W23" s="1203" t="s">
        <v>41</v>
      </c>
      <c r="X23" s="1203" t="s">
        <v>42</v>
      </c>
      <c r="Y23" s="1203" t="s">
        <v>43</v>
      </c>
      <c r="Z23" s="1203" t="s">
        <v>44</v>
      </c>
      <c r="AA23" s="1204" t="s">
        <v>45</v>
      </c>
      <c r="AB23" s="1203" t="s">
        <v>46</v>
      </c>
      <c r="AC23" s="1203" t="s">
        <v>47</v>
      </c>
      <c r="AD23" s="1205" t="s">
        <v>48</v>
      </c>
      <c r="AE23" s="1257"/>
    </row>
    <row r="24" spans="1:31" s="1258" customFormat="1" ht="24.75" customHeight="1">
      <c r="A24" s="1259" t="s">
        <v>116</v>
      </c>
      <c r="B24" s="1209" t="s">
        <v>117</v>
      </c>
      <c r="C24" s="1208">
        <v>46041</v>
      </c>
      <c r="D24" s="1208"/>
      <c r="E24" s="1228"/>
      <c r="F24" s="1209" t="s">
        <v>118</v>
      </c>
      <c r="G24" s="1229" t="s">
        <v>119</v>
      </c>
      <c r="H24" s="1210">
        <v>67</v>
      </c>
      <c r="I24" s="662" t="s">
        <v>55</v>
      </c>
      <c r="J24" s="1210" t="s">
        <v>90</v>
      </c>
      <c r="K24" s="1210" t="s">
        <v>120</v>
      </c>
      <c r="L24" s="1228"/>
      <c r="M24" s="1230" t="s">
        <v>57</v>
      </c>
      <c r="N24" s="1241">
        <v>66854</v>
      </c>
      <c r="O24" s="1230" t="s">
        <v>57</v>
      </c>
      <c r="P24" s="1243" t="s">
        <v>58</v>
      </c>
      <c r="Q24" s="1233"/>
      <c r="R24" s="1233"/>
      <c r="S24" s="1233"/>
      <c r="T24" s="1233"/>
      <c r="U24" s="1233"/>
      <c r="V24" s="1234">
        <v>5534</v>
      </c>
      <c r="W24" s="1214"/>
      <c r="X24" s="1214">
        <f t="shared" ref="X24:X62" si="3">SUM(V24-W24)</f>
        <v>5534</v>
      </c>
      <c r="Y24" s="663">
        <f t="shared" si="1"/>
        <v>0</v>
      </c>
      <c r="Z24" s="1233"/>
      <c r="AA24" s="1216">
        <v>0</v>
      </c>
      <c r="AB24" s="1216">
        <v>0</v>
      </c>
      <c r="AC24" s="646">
        <v>0</v>
      </c>
      <c r="AD24" s="1217" t="s">
        <v>121</v>
      </c>
      <c r="AE24" s="1257"/>
    </row>
    <row r="25" spans="1:31" s="1258" customFormat="1" ht="24.75" customHeight="1">
      <c r="A25" s="1259" t="s">
        <v>122</v>
      </c>
      <c r="B25" s="1209" t="s">
        <v>117</v>
      </c>
      <c r="C25" s="1208">
        <v>46041</v>
      </c>
      <c r="D25" s="1208"/>
      <c r="E25" s="1208"/>
      <c r="F25" s="1209"/>
      <c r="G25" s="1209" t="s">
        <v>123</v>
      </c>
      <c r="H25" s="1210">
        <v>65</v>
      </c>
      <c r="I25" s="662" t="s">
        <v>55</v>
      </c>
      <c r="J25" s="1210" t="s">
        <v>90</v>
      </c>
      <c r="K25" s="1210" t="s">
        <v>120</v>
      </c>
      <c r="L25" s="1208"/>
      <c r="M25" s="1230" t="s">
        <v>57</v>
      </c>
      <c r="N25" s="1211">
        <v>60922</v>
      </c>
      <c r="O25" s="1230" t="s">
        <v>57</v>
      </c>
      <c r="P25" s="1212" t="s">
        <v>58</v>
      </c>
      <c r="Q25" s="1213"/>
      <c r="R25" s="1213"/>
      <c r="S25" s="1213"/>
      <c r="T25" s="1213"/>
      <c r="U25" s="1213"/>
      <c r="V25" s="789">
        <v>4907</v>
      </c>
      <c r="W25" s="1214"/>
      <c r="X25" s="1214">
        <f>SUM(V25-W25)</f>
        <v>4907</v>
      </c>
      <c r="Y25" s="663">
        <f t="shared" si="1"/>
        <v>0</v>
      </c>
      <c r="Z25" s="1233"/>
      <c r="AA25" s="1216">
        <v>0</v>
      </c>
      <c r="AB25" s="1216">
        <v>0</v>
      </c>
      <c r="AC25" s="646">
        <v>0</v>
      </c>
      <c r="AD25" s="1217" t="s">
        <v>124</v>
      </c>
      <c r="AE25" s="1257"/>
    </row>
    <row r="26" spans="1:31" s="1258" customFormat="1" ht="24.75" customHeight="1">
      <c r="A26" s="1259" t="s">
        <v>125</v>
      </c>
      <c r="B26" s="1209" t="s">
        <v>117</v>
      </c>
      <c r="C26" s="1208">
        <v>46041</v>
      </c>
      <c r="D26" s="1208"/>
      <c r="E26" s="1208"/>
      <c r="F26" s="1209"/>
      <c r="G26" s="1209" t="s">
        <v>126</v>
      </c>
      <c r="H26" s="1210">
        <v>79</v>
      </c>
      <c r="I26" s="662" t="s">
        <v>55</v>
      </c>
      <c r="J26" s="1210" t="s">
        <v>90</v>
      </c>
      <c r="K26" s="1210" t="s">
        <v>120</v>
      </c>
      <c r="L26" s="1208"/>
      <c r="M26" s="1230" t="s">
        <v>57</v>
      </c>
      <c r="N26" s="1211">
        <v>59768</v>
      </c>
      <c r="O26" s="1230" t="s">
        <v>57</v>
      </c>
      <c r="P26" s="1212" t="s">
        <v>58</v>
      </c>
      <c r="Q26" s="1213"/>
      <c r="R26" s="1213"/>
      <c r="S26" s="1213"/>
      <c r="T26" s="1213"/>
      <c r="U26" s="1213"/>
      <c r="V26" s="789">
        <v>4862</v>
      </c>
      <c r="W26" s="1214"/>
      <c r="X26" s="1214">
        <f>SUM(V26-W26)</f>
        <v>4862</v>
      </c>
      <c r="Y26" s="663">
        <f t="shared" si="1"/>
        <v>0</v>
      </c>
      <c r="Z26" s="1233"/>
      <c r="AA26" s="1216">
        <v>0</v>
      </c>
      <c r="AB26" s="1216">
        <v>0</v>
      </c>
      <c r="AC26" s="646">
        <v>0</v>
      </c>
      <c r="AD26" s="1217" t="s">
        <v>127</v>
      </c>
      <c r="AE26" s="1257"/>
    </row>
    <row r="27" spans="1:31" s="1258" customFormat="1" ht="24.75" customHeight="1">
      <c r="A27" s="1259" t="s">
        <v>128</v>
      </c>
      <c r="B27" s="1209" t="s">
        <v>117</v>
      </c>
      <c r="C27" s="1208">
        <v>46041</v>
      </c>
      <c r="D27" s="1208"/>
      <c r="E27" s="1208"/>
      <c r="F27" s="1209"/>
      <c r="G27" s="1209" t="s">
        <v>129</v>
      </c>
      <c r="H27" s="1210">
        <v>87</v>
      </c>
      <c r="I27" s="662" t="s">
        <v>55</v>
      </c>
      <c r="J27" s="1210" t="s">
        <v>90</v>
      </c>
      <c r="K27" s="1210" t="s">
        <v>120</v>
      </c>
      <c r="L27" s="1208"/>
      <c r="M27" s="1230" t="s">
        <v>57</v>
      </c>
      <c r="N27" s="1211">
        <v>82790</v>
      </c>
      <c r="O27" s="1230" t="s">
        <v>57</v>
      </c>
      <c r="P27" s="1212" t="s">
        <v>58</v>
      </c>
      <c r="Q27" s="1213"/>
      <c r="R27" s="1213"/>
      <c r="S27" s="1213"/>
      <c r="T27" s="1213"/>
      <c r="U27" s="1213"/>
      <c r="V27" s="789">
        <v>6931</v>
      </c>
      <c r="W27" s="1214"/>
      <c r="X27" s="1214">
        <f>SUM(V27-W27)</f>
        <v>6931</v>
      </c>
      <c r="Y27" s="663">
        <f t="shared" si="1"/>
        <v>0</v>
      </c>
      <c r="Z27" s="1233"/>
      <c r="AA27" s="1216">
        <v>0</v>
      </c>
      <c r="AB27" s="1216">
        <v>0</v>
      </c>
      <c r="AC27" s="646">
        <v>0</v>
      </c>
      <c r="AD27" s="1217" t="s">
        <v>130</v>
      </c>
      <c r="AE27" s="1257"/>
    </row>
    <row r="28" spans="1:31" s="1258" customFormat="1" ht="24.75" customHeight="1">
      <c r="A28" s="1259" t="s">
        <v>131</v>
      </c>
      <c r="B28" s="1209" t="s">
        <v>117</v>
      </c>
      <c r="C28" s="1208">
        <v>46041</v>
      </c>
      <c r="D28" s="1208"/>
      <c r="E28" s="1228"/>
      <c r="F28" s="1209" t="s">
        <v>118</v>
      </c>
      <c r="G28" s="1229" t="s">
        <v>132</v>
      </c>
      <c r="H28" s="1210">
        <v>55</v>
      </c>
      <c r="I28" s="662" t="s">
        <v>55</v>
      </c>
      <c r="J28" s="1210" t="s">
        <v>90</v>
      </c>
      <c r="K28" s="1210" t="s">
        <v>120</v>
      </c>
      <c r="L28" s="1228"/>
      <c r="M28" s="1230" t="s">
        <v>57</v>
      </c>
      <c r="N28" s="1241">
        <v>44782</v>
      </c>
      <c r="O28" s="1230" t="s">
        <v>57</v>
      </c>
      <c r="P28" s="1243" t="s">
        <v>58</v>
      </c>
      <c r="Q28" s="1233"/>
      <c r="R28" s="1233"/>
      <c r="S28" s="1233"/>
      <c r="T28" s="1233"/>
      <c r="U28" s="1233"/>
      <c r="V28" s="1234">
        <v>3690</v>
      </c>
      <c r="W28" s="1214"/>
      <c r="X28" s="1214">
        <f t="shared" si="3"/>
        <v>3690</v>
      </c>
      <c r="Y28" s="663">
        <f t="shared" si="1"/>
        <v>0</v>
      </c>
      <c r="Z28" s="1233"/>
      <c r="AA28" s="1216">
        <v>0</v>
      </c>
      <c r="AB28" s="1216">
        <v>0</v>
      </c>
      <c r="AC28" s="646">
        <v>0</v>
      </c>
      <c r="AD28" s="1217" t="s">
        <v>133</v>
      </c>
      <c r="AE28" s="1257"/>
    </row>
    <row r="29" spans="1:31" s="1258" customFormat="1" ht="24.75" customHeight="1">
      <c r="A29" s="1259" t="s">
        <v>134</v>
      </c>
      <c r="B29" s="1209" t="s">
        <v>117</v>
      </c>
      <c r="C29" s="1208">
        <v>46041</v>
      </c>
      <c r="D29" s="1208"/>
      <c r="E29" s="1208"/>
      <c r="F29" s="1209"/>
      <c r="G29" s="1209" t="s">
        <v>135</v>
      </c>
      <c r="H29" s="1210">
        <v>43</v>
      </c>
      <c r="I29" s="662" t="s">
        <v>55</v>
      </c>
      <c r="J29" s="1210" t="s">
        <v>90</v>
      </c>
      <c r="K29" s="1210" t="s">
        <v>77</v>
      </c>
      <c r="L29" s="1208"/>
      <c r="M29" s="1230" t="s">
        <v>57</v>
      </c>
      <c r="N29" s="1211">
        <v>47561.5</v>
      </c>
      <c r="O29" s="1230" t="s">
        <v>57</v>
      </c>
      <c r="P29" s="1212" t="s">
        <v>58</v>
      </c>
      <c r="Q29" s="1213"/>
      <c r="R29" s="1213"/>
      <c r="S29" s="1213"/>
      <c r="T29" s="1213"/>
      <c r="U29" s="1213"/>
      <c r="V29" s="789">
        <v>3905</v>
      </c>
      <c r="W29" s="1214"/>
      <c r="X29" s="1214">
        <f>SUM(V29-W29)</f>
        <v>3905</v>
      </c>
      <c r="Y29" s="663">
        <f t="shared" si="1"/>
        <v>0</v>
      </c>
      <c r="Z29" s="1233"/>
      <c r="AA29" s="1216">
        <v>0</v>
      </c>
      <c r="AB29" s="1216">
        <v>0</v>
      </c>
      <c r="AC29" s="646">
        <v>0</v>
      </c>
      <c r="AD29" s="1217" t="s">
        <v>127</v>
      </c>
      <c r="AE29" s="1257"/>
    </row>
    <row r="30" spans="1:31" s="1258" customFormat="1" ht="24.75" customHeight="1">
      <c r="A30" s="1207" t="s">
        <v>136</v>
      </c>
      <c r="B30" s="1209" t="s">
        <v>117</v>
      </c>
      <c r="C30" s="1208">
        <v>46021</v>
      </c>
      <c r="D30" s="1208" t="s">
        <v>137</v>
      </c>
      <c r="E30" s="1208">
        <v>46001</v>
      </c>
      <c r="F30" s="1209" t="s">
        <v>138</v>
      </c>
      <c r="G30" s="1209"/>
      <c r="H30" s="1210">
        <v>49</v>
      </c>
      <c r="I30" s="662" t="s">
        <v>55</v>
      </c>
      <c r="J30" s="1210" t="s">
        <v>63</v>
      </c>
      <c r="K30" s="1210"/>
      <c r="L30" s="1208">
        <v>45994</v>
      </c>
      <c r="M30" s="1230" t="s">
        <v>57</v>
      </c>
      <c r="N30" s="1211">
        <v>42150</v>
      </c>
      <c r="O30" s="1230" t="s">
        <v>57</v>
      </c>
      <c r="P30" s="1212" t="s">
        <v>58</v>
      </c>
      <c r="Q30" s="1213">
        <v>45994</v>
      </c>
      <c r="R30" s="1213"/>
      <c r="S30" s="1213"/>
      <c r="T30" s="1213"/>
      <c r="U30" s="1213"/>
      <c r="V30" s="789">
        <v>3885</v>
      </c>
      <c r="W30" s="1343">
        <v>1095</v>
      </c>
      <c r="X30" s="1214">
        <f>SUM(V30-W30)</f>
        <v>2790</v>
      </c>
      <c r="Y30" s="663">
        <f t="shared" si="1"/>
        <v>0.28185328185328185</v>
      </c>
      <c r="Z30" s="1233">
        <v>46006</v>
      </c>
      <c r="AA30" s="1216">
        <v>0</v>
      </c>
      <c r="AB30" s="1216">
        <v>0</v>
      </c>
      <c r="AC30" s="646">
        <v>0</v>
      </c>
      <c r="AD30" s="1217" t="s">
        <v>139</v>
      </c>
      <c r="AE30" s="1257"/>
    </row>
    <row r="31" spans="1:31" ht="24.75" customHeight="1">
      <c r="A31" s="1207" t="s">
        <v>140</v>
      </c>
      <c r="B31" s="1209" t="s">
        <v>117</v>
      </c>
      <c r="C31" s="1208">
        <v>46010</v>
      </c>
      <c r="D31" s="1208" t="s">
        <v>141</v>
      </c>
      <c r="E31" s="1208">
        <v>45974</v>
      </c>
      <c r="F31" s="1209" t="s">
        <v>118</v>
      </c>
      <c r="G31" s="1209" t="s">
        <v>142</v>
      </c>
      <c r="H31" s="1210">
        <v>67</v>
      </c>
      <c r="I31" s="662" t="s">
        <v>55</v>
      </c>
      <c r="J31" s="1210" t="s">
        <v>63</v>
      </c>
      <c r="K31" s="1210"/>
      <c r="L31" s="1208">
        <v>45936</v>
      </c>
      <c r="M31" s="1210" t="s">
        <v>57</v>
      </c>
      <c r="N31" s="1211">
        <v>38192</v>
      </c>
      <c r="O31" s="1210" t="s">
        <v>57</v>
      </c>
      <c r="P31" s="1212" t="s">
        <v>64</v>
      </c>
      <c r="Q31" s="1213">
        <v>45936</v>
      </c>
      <c r="R31" s="1260"/>
      <c r="S31" s="1260"/>
      <c r="T31" s="1260"/>
      <c r="U31" s="1260"/>
      <c r="V31" s="1214">
        <v>2845</v>
      </c>
      <c r="W31" s="1343">
        <v>1847</v>
      </c>
      <c r="X31" s="1214">
        <f t="shared" si="3"/>
        <v>998</v>
      </c>
      <c r="Y31" s="663">
        <f t="shared" si="1"/>
        <v>0.64920913884007025</v>
      </c>
      <c r="Z31" s="1215"/>
      <c r="AA31" s="1216">
        <v>0</v>
      </c>
      <c r="AB31" s="1216">
        <v>0</v>
      </c>
      <c r="AC31" s="646">
        <v>0</v>
      </c>
      <c r="AD31" s="1217" t="s">
        <v>143</v>
      </c>
      <c r="AE31" s="1244"/>
    </row>
    <row r="32" spans="1:31" ht="24.75" customHeight="1">
      <c r="A32" s="1207" t="s">
        <v>144</v>
      </c>
      <c r="B32" s="1209" t="s">
        <v>117</v>
      </c>
      <c r="C32" s="1208">
        <v>46010</v>
      </c>
      <c r="D32" s="1208" t="s">
        <v>141</v>
      </c>
      <c r="E32" s="1208">
        <v>45974</v>
      </c>
      <c r="F32" s="1209" t="s">
        <v>118</v>
      </c>
      <c r="G32" s="1209" t="s">
        <v>145</v>
      </c>
      <c r="H32" s="1210">
        <v>68</v>
      </c>
      <c r="I32" s="662" t="s">
        <v>55</v>
      </c>
      <c r="J32" s="1210" t="s">
        <v>63</v>
      </c>
      <c r="K32" s="1210"/>
      <c r="L32" s="1208">
        <v>45936</v>
      </c>
      <c r="M32" s="1210" t="s">
        <v>57</v>
      </c>
      <c r="N32" s="1211">
        <v>37755.599999999999</v>
      </c>
      <c r="O32" s="1210" t="s">
        <v>57</v>
      </c>
      <c r="P32" s="1212" t="s">
        <v>64</v>
      </c>
      <c r="Q32" s="1213">
        <v>45936</v>
      </c>
      <c r="R32" s="1260"/>
      <c r="S32" s="1260"/>
      <c r="T32" s="1260"/>
      <c r="U32" s="1260"/>
      <c r="V32" s="1214">
        <v>2783</v>
      </c>
      <c r="W32" s="1214">
        <v>2584</v>
      </c>
      <c r="X32" s="1214">
        <f t="shared" si="3"/>
        <v>199</v>
      </c>
      <c r="Y32" s="663">
        <f t="shared" si="1"/>
        <v>0.928494430470715</v>
      </c>
      <c r="Z32" s="1215"/>
      <c r="AA32" s="1216">
        <v>0</v>
      </c>
      <c r="AB32" s="1216">
        <v>0</v>
      </c>
      <c r="AC32" s="646">
        <v>0</v>
      </c>
      <c r="AD32" s="1217" t="s">
        <v>146</v>
      </c>
      <c r="AE32" s="1244"/>
    </row>
    <row r="33" spans="1:31" ht="24.75" customHeight="1">
      <c r="A33" s="1207" t="s">
        <v>147</v>
      </c>
      <c r="B33" s="1209" t="s">
        <v>117</v>
      </c>
      <c r="C33" s="1208">
        <v>46010</v>
      </c>
      <c r="D33" s="1208" t="s">
        <v>141</v>
      </c>
      <c r="E33" s="1208">
        <v>45974</v>
      </c>
      <c r="F33" s="1209" t="s">
        <v>118</v>
      </c>
      <c r="G33" s="1209" t="s">
        <v>148</v>
      </c>
      <c r="H33" s="1210">
        <v>28</v>
      </c>
      <c r="I33" s="662" t="s">
        <v>55</v>
      </c>
      <c r="J33" s="1210" t="s">
        <v>63</v>
      </c>
      <c r="K33" s="1210"/>
      <c r="L33" s="1208">
        <v>45972</v>
      </c>
      <c r="M33" s="1210" t="s">
        <v>57</v>
      </c>
      <c r="N33" s="1211">
        <v>27615.5</v>
      </c>
      <c r="O33" s="1210" t="s">
        <v>57</v>
      </c>
      <c r="P33" s="1212" t="s">
        <v>64</v>
      </c>
      <c r="Q33" s="1261">
        <v>45979</v>
      </c>
      <c r="R33" s="1262"/>
      <c r="S33" s="1260"/>
      <c r="T33" s="1260"/>
      <c r="U33" s="1260"/>
      <c r="V33" s="1214">
        <v>2027</v>
      </c>
      <c r="W33" s="1214">
        <v>1983</v>
      </c>
      <c r="X33" s="1214">
        <f t="shared" si="3"/>
        <v>44</v>
      </c>
      <c r="Y33" s="864">
        <f t="shared" si="1"/>
        <v>0.97829304390725214</v>
      </c>
      <c r="Z33" s="1213">
        <v>45994</v>
      </c>
      <c r="AA33" s="1216">
        <v>0</v>
      </c>
      <c r="AB33" s="1216">
        <v>0</v>
      </c>
      <c r="AC33" s="646">
        <v>0</v>
      </c>
      <c r="AD33" s="1217" t="s">
        <v>149</v>
      </c>
      <c r="AE33" s="1244"/>
    </row>
    <row r="34" spans="1:31" ht="24.75" customHeight="1">
      <c r="A34" s="1207" t="s">
        <v>150</v>
      </c>
      <c r="B34" s="1209" t="s">
        <v>117</v>
      </c>
      <c r="C34" s="1208">
        <v>46006</v>
      </c>
      <c r="D34" s="1208" t="s">
        <v>137</v>
      </c>
      <c r="E34" s="1208">
        <v>45999</v>
      </c>
      <c r="F34" s="1209" t="s">
        <v>118</v>
      </c>
      <c r="G34" s="1209" t="s">
        <v>151</v>
      </c>
      <c r="H34" s="1210">
        <v>87</v>
      </c>
      <c r="I34" s="662" t="s">
        <v>55</v>
      </c>
      <c r="J34" s="1210" t="s">
        <v>63</v>
      </c>
      <c r="K34" s="1210"/>
      <c r="L34" s="1208">
        <v>45999</v>
      </c>
      <c r="M34" s="1210" t="s">
        <v>57</v>
      </c>
      <c r="N34" s="1211">
        <v>74384</v>
      </c>
      <c r="O34" s="1210" t="s">
        <v>57</v>
      </c>
      <c r="P34" s="1212" t="s">
        <v>64</v>
      </c>
      <c r="Q34" s="1261">
        <v>45999</v>
      </c>
      <c r="R34" s="1262"/>
      <c r="S34" s="1260"/>
      <c r="T34" s="1260"/>
      <c r="U34" s="1260"/>
      <c r="V34" s="1214">
        <v>6130</v>
      </c>
      <c r="W34" s="1343">
        <v>1344</v>
      </c>
      <c r="X34" s="1214">
        <f t="shared" si="3"/>
        <v>4786</v>
      </c>
      <c r="Y34" s="663">
        <f t="shared" si="1"/>
        <v>0.21924959216965742</v>
      </c>
      <c r="Z34" s="1233">
        <v>46006</v>
      </c>
      <c r="AA34" s="1216">
        <v>0</v>
      </c>
      <c r="AB34" s="1216">
        <v>0</v>
      </c>
      <c r="AC34" s="646">
        <v>0</v>
      </c>
      <c r="AD34" s="1217" t="s">
        <v>152</v>
      </c>
      <c r="AE34" s="1244"/>
    </row>
    <row r="35" spans="1:31" ht="24.75" customHeight="1">
      <c r="A35" s="1259" t="s">
        <v>153</v>
      </c>
      <c r="B35" s="1209" t="s">
        <v>117</v>
      </c>
      <c r="C35" s="1208">
        <v>46006</v>
      </c>
      <c r="D35" s="1208" t="s">
        <v>137</v>
      </c>
      <c r="E35" s="1208">
        <v>46006</v>
      </c>
      <c r="F35" s="1209" t="s">
        <v>118</v>
      </c>
      <c r="G35" s="1209" t="s">
        <v>154</v>
      </c>
      <c r="H35" s="1210">
        <v>21</v>
      </c>
      <c r="I35" s="662" t="s">
        <v>55</v>
      </c>
      <c r="J35" s="1210" t="s">
        <v>90</v>
      </c>
      <c r="K35" s="1210" t="s">
        <v>120</v>
      </c>
      <c r="L35" s="1208">
        <v>46006</v>
      </c>
      <c r="M35" s="1210" t="s">
        <v>57</v>
      </c>
      <c r="N35" s="1211">
        <v>20891</v>
      </c>
      <c r="O35" s="1210" t="s">
        <v>57</v>
      </c>
      <c r="P35" s="1212" t="s">
        <v>58</v>
      </c>
      <c r="Q35" s="1213">
        <v>46006</v>
      </c>
      <c r="R35" s="1260"/>
      <c r="S35" s="1260"/>
      <c r="T35" s="1260"/>
      <c r="U35" s="1260"/>
      <c r="V35" s="1214">
        <v>1820</v>
      </c>
      <c r="W35" s="1214"/>
      <c r="X35" s="1214">
        <f t="shared" si="3"/>
        <v>1820</v>
      </c>
      <c r="Y35" s="663">
        <f t="shared" si="1"/>
        <v>0</v>
      </c>
      <c r="Z35" s="1215"/>
      <c r="AA35" s="1216">
        <v>0</v>
      </c>
      <c r="AB35" s="1216">
        <v>0</v>
      </c>
      <c r="AC35" s="1136">
        <v>0</v>
      </c>
      <c r="AD35" s="1263" t="s">
        <v>155</v>
      </c>
      <c r="AE35" s="1264"/>
    </row>
    <row r="36" spans="1:31" ht="24.75" customHeight="1">
      <c r="A36" s="1259" t="s">
        <v>156</v>
      </c>
      <c r="B36" s="1209" t="s">
        <v>117</v>
      </c>
      <c r="C36" s="1228">
        <v>45838</v>
      </c>
      <c r="D36" s="1208"/>
      <c r="E36" s="1208"/>
      <c r="F36" s="1209"/>
      <c r="G36" s="1209" t="s">
        <v>157</v>
      </c>
      <c r="H36" s="1210">
        <v>26</v>
      </c>
      <c r="I36" s="662" t="s">
        <v>55</v>
      </c>
      <c r="J36" s="1210" t="s">
        <v>90</v>
      </c>
      <c r="K36" s="1210" t="s">
        <v>120</v>
      </c>
      <c r="L36" s="1208"/>
      <c r="M36" s="1210" t="s">
        <v>57</v>
      </c>
      <c r="N36" s="1211">
        <v>12781.6</v>
      </c>
      <c r="O36" s="1210" t="s">
        <v>57</v>
      </c>
      <c r="P36" s="1212" t="s">
        <v>58</v>
      </c>
      <c r="Q36" s="1213"/>
      <c r="R36" s="1213"/>
      <c r="S36" s="1213"/>
      <c r="T36" s="1213"/>
      <c r="U36" s="1213"/>
      <c r="V36" s="789">
        <v>937</v>
      </c>
      <c r="W36" s="1214"/>
      <c r="X36" s="1214">
        <f>SUM(V36-W36)</f>
        <v>937</v>
      </c>
      <c r="Y36" s="663">
        <f t="shared" ref="Y36:Y63" si="4">IFERROR($W36/$V36, 0)</f>
        <v>0</v>
      </c>
      <c r="Z36" s="1215"/>
      <c r="AA36" s="1216">
        <v>0</v>
      </c>
      <c r="AB36" s="1216">
        <v>0</v>
      </c>
      <c r="AC36" s="1136">
        <v>0</v>
      </c>
      <c r="AD36" s="1265" t="s">
        <v>130</v>
      </c>
      <c r="AE36" s="1264"/>
    </row>
    <row r="37" spans="1:31" ht="24.75" customHeight="1">
      <c r="A37" s="1259" t="s">
        <v>158</v>
      </c>
      <c r="B37" s="1209" t="s">
        <v>117</v>
      </c>
      <c r="C37" s="1208">
        <v>46006</v>
      </c>
      <c r="D37" s="1208"/>
      <c r="E37" s="1208"/>
      <c r="F37" s="1209" t="s">
        <v>138</v>
      </c>
      <c r="G37" s="1209" t="s">
        <v>159</v>
      </c>
      <c r="H37" s="1210">
        <v>85</v>
      </c>
      <c r="I37" s="662" t="s">
        <v>55</v>
      </c>
      <c r="J37" s="1210" t="s">
        <v>90</v>
      </c>
      <c r="K37" s="1210" t="s">
        <v>120</v>
      </c>
      <c r="L37" s="1208"/>
      <c r="M37" s="1210" t="s">
        <v>57</v>
      </c>
      <c r="N37" s="1211">
        <v>38323.550000000003</v>
      </c>
      <c r="O37" s="1210" t="s">
        <v>57</v>
      </c>
      <c r="P37" s="1212" t="s">
        <v>58</v>
      </c>
      <c r="Q37" s="1213"/>
      <c r="R37" s="1260"/>
      <c r="S37" s="1260"/>
      <c r="T37" s="1260"/>
      <c r="U37" s="1260"/>
      <c r="V37" s="1214">
        <v>2691</v>
      </c>
      <c r="W37" s="1214"/>
      <c r="X37" s="1214">
        <f t="shared" si="3"/>
        <v>2691</v>
      </c>
      <c r="Y37" s="663">
        <f t="shared" si="4"/>
        <v>0</v>
      </c>
      <c r="Z37" s="1215"/>
      <c r="AA37" s="1216">
        <v>0</v>
      </c>
      <c r="AB37" s="1216">
        <v>0</v>
      </c>
      <c r="AC37" s="1137">
        <v>0</v>
      </c>
      <c r="AD37" s="1266" t="s">
        <v>160</v>
      </c>
      <c r="AE37" s="1244"/>
    </row>
    <row r="38" spans="1:31" ht="24.75" customHeight="1">
      <c r="A38" s="1259" t="s">
        <v>161</v>
      </c>
      <c r="B38" s="1209" t="s">
        <v>117</v>
      </c>
      <c r="C38" s="1208">
        <v>46006</v>
      </c>
      <c r="D38" s="1208"/>
      <c r="E38" s="1208"/>
      <c r="F38" s="1209" t="s">
        <v>138</v>
      </c>
      <c r="G38" s="1209" t="s">
        <v>162</v>
      </c>
      <c r="H38" s="1210">
        <v>87</v>
      </c>
      <c r="I38" s="662" t="s">
        <v>55</v>
      </c>
      <c r="J38" s="1210" t="s">
        <v>90</v>
      </c>
      <c r="K38" s="1210" t="s">
        <v>120</v>
      </c>
      <c r="L38" s="1208"/>
      <c r="M38" s="1210" t="s">
        <v>57</v>
      </c>
      <c r="N38" s="1211">
        <v>63322.45</v>
      </c>
      <c r="O38" s="1210" t="s">
        <v>57</v>
      </c>
      <c r="P38" s="1212" t="s">
        <v>58</v>
      </c>
      <c r="Q38" s="1213"/>
      <c r="R38" s="1260"/>
      <c r="S38" s="1260"/>
      <c r="T38" s="1260"/>
      <c r="U38" s="1260"/>
      <c r="V38" s="1214">
        <v>5030</v>
      </c>
      <c r="W38" s="1214"/>
      <c r="X38" s="1214">
        <f t="shared" si="3"/>
        <v>5030</v>
      </c>
      <c r="Y38" s="663">
        <f t="shared" si="4"/>
        <v>0</v>
      </c>
      <c r="Z38" s="1215"/>
      <c r="AA38" s="1216">
        <v>0</v>
      </c>
      <c r="AB38" s="1216">
        <v>0</v>
      </c>
      <c r="AC38" s="789">
        <v>0</v>
      </c>
      <c r="AD38" s="1217" t="s">
        <v>163</v>
      </c>
      <c r="AE38" s="1244"/>
    </row>
    <row r="39" spans="1:31" ht="24.75" customHeight="1">
      <c r="A39" s="1259" t="s">
        <v>164</v>
      </c>
      <c r="B39" s="1209" t="s">
        <v>117</v>
      </c>
      <c r="C39" s="1208">
        <v>46006</v>
      </c>
      <c r="D39" s="1208"/>
      <c r="E39" s="1208"/>
      <c r="F39" s="1209" t="s">
        <v>138</v>
      </c>
      <c r="G39" s="1209" t="s">
        <v>165</v>
      </c>
      <c r="H39" s="1210">
        <v>88</v>
      </c>
      <c r="I39" s="662" t="s">
        <v>55</v>
      </c>
      <c r="J39" s="1210" t="s">
        <v>90</v>
      </c>
      <c r="K39" s="1210" t="s">
        <v>120</v>
      </c>
      <c r="L39" s="1208"/>
      <c r="M39" s="1210" t="s">
        <v>57</v>
      </c>
      <c r="N39" s="1211">
        <v>77109.5</v>
      </c>
      <c r="O39" s="1210" t="s">
        <v>57</v>
      </c>
      <c r="P39" s="1212" t="s">
        <v>58</v>
      </c>
      <c r="Q39" s="1213"/>
      <c r="R39" s="1260"/>
      <c r="S39" s="1260"/>
      <c r="T39" s="1260"/>
      <c r="U39" s="1260"/>
      <c r="V39" s="1214">
        <v>6325</v>
      </c>
      <c r="W39" s="1214"/>
      <c r="X39" s="1214">
        <f t="shared" si="3"/>
        <v>6325</v>
      </c>
      <c r="Y39" s="663">
        <f t="shared" si="4"/>
        <v>0</v>
      </c>
      <c r="Z39" s="1215"/>
      <c r="AA39" s="1216">
        <v>0</v>
      </c>
      <c r="AB39" s="1216">
        <v>0</v>
      </c>
      <c r="AC39" s="789">
        <v>0</v>
      </c>
      <c r="AD39" s="1217" t="s">
        <v>166</v>
      </c>
      <c r="AE39" s="1244"/>
    </row>
    <row r="40" spans="1:31" ht="24.75" customHeight="1">
      <c r="A40" s="1259" t="s">
        <v>167</v>
      </c>
      <c r="B40" s="1209" t="s">
        <v>117</v>
      </c>
      <c r="C40" s="1208">
        <v>46006</v>
      </c>
      <c r="D40" s="1208"/>
      <c r="E40" s="1208"/>
      <c r="F40" s="1209" t="s">
        <v>138</v>
      </c>
      <c r="G40" s="1209" t="s">
        <v>168</v>
      </c>
      <c r="H40" s="1210">
        <v>58</v>
      </c>
      <c r="I40" s="662" t="s">
        <v>55</v>
      </c>
      <c r="J40" s="1210" t="s">
        <v>90</v>
      </c>
      <c r="K40" s="1210" t="s">
        <v>120</v>
      </c>
      <c r="L40" s="1208"/>
      <c r="M40" s="1210" t="s">
        <v>57</v>
      </c>
      <c r="N40" s="1211">
        <v>58952.88</v>
      </c>
      <c r="O40" s="1210" t="s">
        <v>57</v>
      </c>
      <c r="P40" s="1212" t="s">
        <v>58</v>
      </c>
      <c r="Q40" s="1213"/>
      <c r="R40" s="1260"/>
      <c r="S40" s="1260"/>
      <c r="T40" s="1260"/>
      <c r="U40" s="1260"/>
      <c r="V40" s="1214">
        <v>4731</v>
      </c>
      <c r="W40" s="1214"/>
      <c r="X40" s="1214">
        <f t="shared" si="3"/>
        <v>4731</v>
      </c>
      <c r="Y40" s="663">
        <f t="shared" si="4"/>
        <v>0</v>
      </c>
      <c r="Z40" s="1215"/>
      <c r="AA40" s="1216">
        <v>0</v>
      </c>
      <c r="AB40" s="1216">
        <v>0</v>
      </c>
      <c r="AC40" s="789">
        <v>0</v>
      </c>
      <c r="AD40" s="1217" t="s">
        <v>160</v>
      </c>
      <c r="AE40" s="1244"/>
    </row>
    <row r="41" spans="1:31" ht="24.75" customHeight="1">
      <c r="A41" s="1259" t="s">
        <v>169</v>
      </c>
      <c r="B41" s="1209" t="s">
        <v>117</v>
      </c>
      <c r="C41" s="1208">
        <v>46006</v>
      </c>
      <c r="D41" s="1208"/>
      <c r="E41" s="1208"/>
      <c r="F41" s="1209" t="s">
        <v>138</v>
      </c>
      <c r="G41" s="1209" t="s">
        <v>170</v>
      </c>
      <c r="H41" s="1210">
        <v>69</v>
      </c>
      <c r="I41" s="662" t="s">
        <v>55</v>
      </c>
      <c r="J41" s="1210" t="s">
        <v>90</v>
      </c>
      <c r="K41" s="1210" t="s">
        <v>120</v>
      </c>
      <c r="L41" s="1208"/>
      <c r="M41" s="1210" t="s">
        <v>57</v>
      </c>
      <c r="N41" s="1211">
        <v>41834.75</v>
      </c>
      <c r="O41" s="1210" t="s">
        <v>57</v>
      </c>
      <c r="P41" s="1212" t="s">
        <v>58</v>
      </c>
      <c r="Q41" s="1213"/>
      <c r="R41" s="1260"/>
      <c r="S41" s="1260"/>
      <c r="T41" s="1260"/>
      <c r="U41" s="1260"/>
      <c r="V41" s="1214">
        <v>3183</v>
      </c>
      <c r="W41" s="1214"/>
      <c r="X41" s="1214">
        <f t="shared" si="3"/>
        <v>3183</v>
      </c>
      <c r="Y41" s="663">
        <f t="shared" si="4"/>
        <v>0</v>
      </c>
      <c r="Z41" s="1215"/>
      <c r="AA41" s="1216">
        <v>0</v>
      </c>
      <c r="AB41" s="1216">
        <v>0</v>
      </c>
      <c r="AC41" s="789">
        <v>0</v>
      </c>
      <c r="AD41" s="1217" t="s">
        <v>160</v>
      </c>
      <c r="AE41" s="1244"/>
    </row>
    <row r="42" spans="1:31" ht="24.75" customHeight="1">
      <c r="A42" s="1259" t="s">
        <v>171</v>
      </c>
      <c r="B42" s="1209" t="s">
        <v>117</v>
      </c>
      <c r="C42" s="1208">
        <v>46044</v>
      </c>
      <c r="D42" s="1208"/>
      <c r="E42" s="1208"/>
      <c r="F42" s="1209"/>
      <c r="G42" s="1209"/>
      <c r="H42" s="1210">
        <v>81</v>
      </c>
      <c r="I42" s="662" t="s">
        <v>55</v>
      </c>
      <c r="J42" s="1210" t="s">
        <v>90</v>
      </c>
      <c r="K42" s="1210" t="s">
        <v>120</v>
      </c>
      <c r="L42" s="1208"/>
      <c r="M42" s="1210" t="s">
        <v>57</v>
      </c>
      <c r="N42" s="1211">
        <v>53152.33</v>
      </c>
      <c r="O42" s="1210" t="s">
        <v>57</v>
      </c>
      <c r="P42" s="1212" t="s">
        <v>58</v>
      </c>
      <c r="Q42" s="1213"/>
      <c r="R42" s="1213"/>
      <c r="S42" s="1213"/>
      <c r="T42" s="1213"/>
      <c r="U42" s="1213"/>
      <c r="V42" s="789">
        <v>3603</v>
      </c>
      <c r="W42" s="1214"/>
      <c r="X42" s="1214">
        <f>SUM(V42-W42)</f>
        <v>3603</v>
      </c>
      <c r="Y42" s="663">
        <f t="shared" si="4"/>
        <v>0</v>
      </c>
      <c r="Z42" s="1215"/>
      <c r="AA42" s="1216">
        <v>0</v>
      </c>
      <c r="AB42" s="1216">
        <v>0</v>
      </c>
      <c r="AC42" s="789">
        <v>0</v>
      </c>
      <c r="AD42" s="1217" t="s">
        <v>172</v>
      </c>
      <c r="AE42" s="1244"/>
    </row>
    <row r="43" spans="1:31" ht="24.75" customHeight="1">
      <c r="A43" s="1259" t="s">
        <v>173</v>
      </c>
      <c r="B43" s="1209" t="s">
        <v>117</v>
      </c>
      <c r="C43" s="1208">
        <v>46001</v>
      </c>
      <c r="D43" s="1208" t="s">
        <v>174</v>
      </c>
      <c r="E43" s="1208">
        <v>45965</v>
      </c>
      <c r="F43" s="1209" t="s">
        <v>118</v>
      </c>
      <c r="G43" s="1209" t="s">
        <v>175</v>
      </c>
      <c r="H43" s="1210">
        <v>48</v>
      </c>
      <c r="I43" s="662" t="s">
        <v>55</v>
      </c>
      <c r="J43" s="1210" t="s">
        <v>90</v>
      </c>
      <c r="K43" s="1210" t="s">
        <v>120</v>
      </c>
      <c r="L43" s="1208">
        <v>45965</v>
      </c>
      <c r="M43" s="1210" t="s">
        <v>57</v>
      </c>
      <c r="N43" s="1211">
        <v>18021.7</v>
      </c>
      <c r="O43" s="1210" t="s">
        <v>57</v>
      </c>
      <c r="P43" s="1212" t="s">
        <v>58</v>
      </c>
      <c r="Q43" s="1213">
        <v>45965</v>
      </c>
      <c r="R43" s="1260"/>
      <c r="S43" s="1260"/>
      <c r="T43" s="1260"/>
      <c r="U43" s="1260"/>
      <c r="V43" s="1214">
        <v>1111</v>
      </c>
      <c r="W43" s="1214"/>
      <c r="X43" s="1214">
        <f t="shared" si="3"/>
        <v>1111</v>
      </c>
      <c r="Y43" s="663">
        <f t="shared" si="4"/>
        <v>0</v>
      </c>
      <c r="Z43" s="1215"/>
      <c r="AA43" s="1216">
        <v>0</v>
      </c>
      <c r="AB43" s="1216">
        <v>0</v>
      </c>
      <c r="AC43" s="646">
        <v>0</v>
      </c>
      <c r="AD43" s="1217" t="s">
        <v>176</v>
      </c>
      <c r="AE43" s="1244"/>
    </row>
    <row r="44" spans="1:31" ht="24.75" customHeight="1">
      <c r="A44" s="1259" t="s">
        <v>177</v>
      </c>
      <c r="B44" s="1209" t="s">
        <v>117</v>
      </c>
      <c r="C44" s="1208">
        <v>46001</v>
      </c>
      <c r="D44" s="1208" t="s">
        <v>174</v>
      </c>
      <c r="E44" s="1208">
        <v>45965</v>
      </c>
      <c r="F44" s="1209" t="s">
        <v>118</v>
      </c>
      <c r="G44" s="1209" t="s">
        <v>178</v>
      </c>
      <c r="H44" s="1210">
        <v>56</v>
      </c>
      <c r="I44" s="662" t="s">
        <v>55</v>
      </c>
      <c r="J44" s="1210" t="s">
        <v>90</v>
      </c>
      <c r="K44" s="1210" t="s">
        <v>120</v>
      </c>
      <c r="L44" s="1208">
        <v>45965</v>
      </c>
      <c r="M44" s="1210" t="s">
        <v>57</v>
      </c>
      <c r="N44" s="1211">
        <v>20705</v>
      </c>
      <c r="O44" s="1210" t="s">
        <v>57</v>
      </c>
      <c r="P44" s="1212" t="s">
        <v>58</v>
      </c>
      <c r="Q44" s="1213">
        <v>45965</v>
      </c>
      <c r="R44" s="1260"/>
      <c r="S44" s="1260"/>
      <c r="T44" s="1260"/>
      <c r="U44" s="1260"/>
      <c r="V44" s="1214">
        <v>1547</v>
      </c>
      <c r="W44" s="1214"/>
      <c r="X44" s="1214">
        <f t="shared" si="3"/>
        <v>1547</v>
      </c>
      <c r="Y44" s="663">
        <f t="shared" si="4"/>
        <v>0</v>
      </c>
      <c r="Z44" s="1215"/>
      <c r="AA44" s="1216">
        <v>0</v>
      </c>
      <c r="AB44" s="1216">
        <v>0</v>
      </c>
      <c r="AC44" s="646">
        <v>0</v>
      </c>
      <c r="AD44" s="1217" t="s">
        <v>176</v>
      </c>
      <c r="AE44" s="1244"/>
    </row>
    <row r="45" spans="1:31" ht="24.75" customHeight="1">
      <c r="A45" s="1259" t="s">
        <v>179</v>
      </c>
      <c r="B45" s="1209" t="s">
        <v>117</v>
      </c>
      <c r="C45" s="1208">
        <v>46039</v>
      </c>
      <c r="D45" s="1208"/>
      <c r="E45" s="1208"/>
      <c r="F45" s="1209"/>
      <c r="G45" s="1209" t="s">
        <v>180</v>
      </c>
      <c r="H45" s="1210">
        <v>11</v>
      </c>
      <c r="I45" s="662" t="s">
        <v>55</v>
      </c>
      <c r="J45" s="1210" t="s">
        <v>90</v>
      </c>
      <c r="K45" s="1210" t="s">
        <v>120</v>
      </c>
      <c r="L45" s="1208"/>
      <c r="M45" s="1210" t="s">
        <v>57</v>
      </c>
      <c r="N45" s="1211">
        <v>10772</v>
      </c>
      <c r="O45" s="1210" t="s">
        <v>57</v>
      </c>
      <c r="P45" s="1212" t="s">
        <v>58</v>
      </c>
      <c r="Q45" s="1213"/>
      <c r="R45" s="1213"/>
      <c r="S45" s="1213"/>
      <c r="T45" s="1213"/>
      <c r="U45" s="1213"/>
      <c r="V45" s="789">
        <v>789</v>
      </c>
      <c r="W45" s="1214"/>
      <c r="X45" s="1214">
        <f t="shared" si="3"/>
        <v>789</v>
      </c>
      <c r="Y45" s="663"/>
      <c r="Z45" s="1215"/>
      <c r="AA45" s="1216">
        <v>0</v>
      </c>
      <c r="AB45" s="1216">
        <v>0</v>
      </c>
      <c r="AC45" s="646">
        <v>0</v>
      </c>
      <c r="AD45" s="1217" t="s">
        <v>181</v>
      </c>
      <c r="AE45" s="1244"/>
    </row>
    <row r="46" spans="1:31" ht="24.75" customHeight="1">
      <c r="A46" s="1207" t="s">
        <v>182</v>
      </c>
      <c r="B46" s="1209" t="s">
        <v>117</v>
      </c>
      <c r="C46" s="1208">
        <v>46006</v>
      </c>
      <c r="D46" s="1208" t="s">
        <v>137</v>
      </c>
      <c r="E46" s="1208">
        <v>45936</v>
      </c>
      <c r="F46" s="1209" t="s">
        <v>118</v>
      </c>
      <c r="G46" s="1209" t="s">
        <v>183</v>
      </c>
      <c r="H46" s="1210">
        <v>0</v>
      </c>
      <c r="I46" s="662" t="s">
        <v>55</v>
      </c>
      <c r="J46" s="1210" t="s">
        <v>63</v>
      </c>
      <c r="K46" s="1210"/>
      <c r="L46" s="1208" t="s">
        <v>184</v>
      </c>
      <c r="M46" s="1210" t="s">
        <v>57</v>
      </c>
      <c r="N46" s="1211">
        <v>54857.5</v>
      </c>
      <c r="O46" s="1210" t="s">
        <v>57</v>
      </c>
      <c r="P46" s="1212" t="s">
        <v>64</v>
      </c>
      <c r="Q46" s="1261">
        <v>45933</v>
      </c>
      <c r="R46" s="1262"/>
      <c r="S46" s="1260"/>
      <c r="T46" s="1260"/>
      <c r="U46" s="1260"/>
      <c r="V46" s="1214">
        <v>4104</v>
      </c>
      <c r="W46" s="1214">
        <v>3928</v>
      </c>
      <c r="X46" s="1214">
        <f t="shared" si="3"/>
        <v>176</v>
      </c>
      <c r="Y46" s="663">
        <f t="shared" si="4"/>
        <v>0.9571150097465887</v>
      </c>
      <c r="Z46" s="1233">
        <v>45938</v>
      </c>
      <c r="AA46" s="1216">
        <v>0</v>
      </c>
      <c r="AB46" s="1216">
        <v>0</v>
      </c>
      <c r="AC46" s="646">
        <v>0</v>
      </c>
      <c r="AD46" s="1217" t="s">
        <v>185</v>
      </c>
      <c r="AE46" s="1244"/>
    </row>
    <row r="47" spans="1:31" ht="24.75" customHeight="1">
      <c r="A47" s="1259" t="s">
        <v>186</v>
      </c>
      <c r="B47" s="1209" t="s">
        <v>117</v>
      </c>
      <c r="C47" s="1208">
        <v>46066</v>
      </c>
      <c r="D47" s="1208"/>
      <c r="E47" s="1208"/>
      <c r="F47" s="643" t="s">
        <v>187</v>
      </c>
      <c r="G47" s="1209" t="s">
        <v>188</v>
      </c>
      <c r="H47" s="1210">
        <v>0</v>
      </c>
      <c r="I47" s="662" t="s">
        <v>55</v>
      </c>
      <c r="J47" s="1210" t="s">
        <v>90</v>
      </c>
      <c r="K47" s="1210" t="s">
        <v>120</v>
      </c>
      <c r="L47" s="1208"/>
      <c r="M47" s="1210" t="s">
        <v>57</v>
      </c>
      <c r="N47" s="1211">
        <v>13022.05</v>
      </c>
      <c r="O47" s="1210" t="s">
        <v>57</v>
      </c>
      <c r="P47" s="1212" t="s">
        <v>58</v>
      </c>
      <c r="Q47" s="1261"/>
      <c r="R47" s="1267"/>
      <c r="S47" s="1213"/>
      <c r="T47" s="1213"/>
      <c r="U47" s="1213"/>
      <c r="V47" s="789">
        <v>923</v>
      </c>
      <c r="W47" s="789"/>
      <c r="X47" s="1214">
        <f t="shared" si="3"/>
        <v>923</v>
      </c>
      <c r="Y47" s="663">
        <f t="shared" si="4"/>
        <v>0</v>
      </c>
      <c r="Z47" s="1252"/>
      <c r="AA47" s="1216">
        <v>0</v>
      </c>
      <c r="AB47" s="1216">
        <v>0</v>
      </c>
      <c r="AC47" s="1214">
        <v>0</v>
      </c>
      <c r="AD47" s="1248" t="s">
        <v>155</v>
      </c>
    </row>
    <row r="48" spans="1:31" ht="24.75" customHeight="1">
      <c r="A48" s="1259" t="s">
        <v>189</v>
      </c>
      <c r="B48" s="1209" t="s">
        <v>117</v>
      </c>
      <c r="C48" s="1208">
        <v>46047</v>
      </c>
      <c r="D48" s="1208"/>
      <c r="E48" s="1208"/>
      <c r="F48" s="643" t="s">
        <v>187</v>
      </c>
      <c r="G48" s="1209" t="s">
        <v>190</v>
      </c>
      <c r="H48" s="1210">
        <v>0</v>
      </c>
      <c r="I48" s="662" t="s">
        <v>55</v>
      </c>
      <c r="J48" s="1210" t="s">
        <v>90</v>
      </c>
      <c r="K48" s="1210" t="s">
        <v>120</v>
      </c>
      <c r="L48" s="1208"/>
      <c r="M48" s="1210" t="s">
        <v>57</v>
      </c>
      <c r="N48" s="1211">
        <v>17139.400000000001</v>
      </c>
      <c r="O48" s="1210" t="s">
        <v>57</v>
      </c>
      <c r="P48" s="1212" t="s">
        <v>58</v>
      </c>
      <c r="Q48" s="1261"/>
      <c r="R48" s="1267"/>
      <c r="S48" s="1213"/>
      <c r="T48" s="1213"/>
      <c r="U48" s="1213"/>
      <c r="V48" s="789">
        <v>1347</v>
      </c>
      <c r="W48" s="789"/>
      <c r="X48" s="1214">
        <f t="shared" si="3"/>
        <v>1347</v>
      </c>
      <c r="Y48" s="663">
        <f t="shared" si="4"/>
        <v>0</v>
      </c>
      <c r="Z48" s="1215"/>
      <c r="AA48" s="1216">
        <v>0</v>
      </c>
      <c r="AB48" s="1216">
        <v>0</v>
      </c>
      <c r="AC48" s="789">
        <v>0</v>
      </c>
      <c r="AD48" s="1217" t="s">
        <v>191</v>
      </c>
    </row>
    <row r="49" spans="1:32" ht="24.75" customHeight="1">
      <c r="A49" s="1259" t="s">
        <v>192</v>
      </c>
      <c r="B49" s="1209" t="s">
        <v>117</v>
      </c>
      <c r="C49" s="1208"/>
      <c r="D49" s="1208"/>
      <c r="E49" s="1208"/>
      <c r="F49" s="643" t="s">
        <v>187</v>
      </c>
      <c r="G49" s="1209" t="s">
        <v>193</v>
      </c>
      <c r="H49" s="1210">
        <v>0</v>
      </c>
      <c r="I49" s="1210" t="s">
        <v>55</v>
      </c>
      <c r="J49" s="1210" t="s">
        <v>90</v>
      </c>
      <c r="K49" s="1210" t="s">
        <v>120</v>
      </c>
      <c r="L49" s="1209" t="s">
        <v>184</v>
      </c>
      <c r="M49" s="1210" t="s">
        <v>57</v>
      </c>
      <c r="N49" s="1211">
        <v>3410.1</v>
      </c>
      <c r="O49" s="1210" t="s">
        <v>57</v>
      </c>
      <c r="P49" s="1212" t="s">
        <v>58</v>
      </c>
      <c r="Q49" s="1261"/>
      <c r="R49" s="1267"/>
      <c r="S49" s="1213"/>
      <c r="T49" s="1213"/>
      <c r="U49" s="1261"/>
      <c r="V49" s="1268">
        <v>226</v>
      </c>
      <c r="W49" s="1268"/>
      <c r="X49" s="1269">
        <f t="shared" si="3"/>
        <v>226</v>
      </c>
      <c r="Y49" s="663">
        <f t="shared" si="4"/>
        <v>0</v>
      </c>
      <c r="Z49" s="1252"/>
      <c r="AA49" s="1216">
        <v>0</v>
      </c>
      <c r="AB49" s="1216">
        <v>0</v>
      </c>
      <c r="AC49" s="1214">
        <v>0</v>
      </c>
      <c r="AD49" s="1270" t="s">
        <v>194</v>
      </c>
    </row>
    <row r="50" spans="1:32" ht="24.75" customHeight="1">
      <c r="A50" s="1259" t="s">
        <v>195</v>
      </c>
      <c r="B50" s="1209" t="s">
        <v>117</v>
      </c>
      <c r="C50" s="1208">
        <v>46053</v>
      </c>
      <c r="D50" s="1208"/>
      <c r="E50" s="1208"/>
      <c r="F50" s="1209" t="s">
        <v>138</v>
      </c>
      <c r="G50" s="1209" t="s">
        <v>196</v>
      </c>
      <c r="H50" s="1210">
        <v>0</v>
      </c>
      <c r="I50" s="1210" t="s">
        <v>55</v>
      </c>
      <c r="J50" s="1210" t="s">
        <v>90</v>
      </c>
      <c r="K50" s="1210" t="s">
        <v>120</v>
      </c>
      <c r="L50" s="1208"/>
      <c r="M50" s="1210" t="s">
        <v>57</v>
      </c>
      <c r="N50" s="1211">
        <v>72842</v>
      </c>
      <c r="O50" s="1210" t="s">
        <v>57</v>
      </c>
      <c r="P50" s="1212" t="s">
        <v>58</v>
      </c>
      <c r="Q50" s="1271"/>
      <c r="R50" s="1213"/>
      <c r="S50" s="1213"/>
      <c r="T50" s="1213"/>
      <c r="U50" s="1261"/>
      <c r="V50" s="1272">
        <v>5780</v>
      </c>
      <c r="W50" s="1272"/>
      <c r="X50" s="1269">
        <f t="shared" si="3"/>
        <v>5780</v>
      </c>
      <c r="Y50" s="663">
        <f t="shared" si="4"/>
        <v>0</v>
      </c>
      <c r="Z50" s="1215"/>
      <c r="AA50" s="1216">
        <v>0</v>
      </c>
      <c r="AB50" s="1216">
        <v>0</v>
      </c>
      <c r="AC50" s="646">
        <v>0</v>
      </c>
      <c r="AD50" s="1217" t="s">
        <v>121</v>
      </c>
    </row>
    <row r="51" spans="1:32" ht="24.75" customHeight="1">
      <c r="A51" s="1207" t="s">
        <v>197</v>
      </c>
      <c r="B51" s="1209" t="s">
        <v>117</v>
      </c>
      <c r="C51" s="1208">
        <v>46031</v>
      </c>
      <c r="D51" s="1208" t="s">
        <v>137</v>
      </c>
      <c r="E51" s="1208">
        <v>46002</v>
      </c>
      <c r="F51" s="1209" t="s">
        <v>138</v>
      </c>
      <c r="G51" s="1209" t="s">
        <v>198</v>
      </c>
      <c r="H51" s="1210">
        <v>0</v>
      </c>
      <c r="I51" s="1210" t="s">
        <v>55</v>
      </c>
      <c r="J51" s="1210" t="s">
        <v>63</v>
      </c>
      <c r="K51" s="1210"/>
      <c r="L51" s="1208" t="s">
        <v>184</v>
      </c>
      <c r="M51" s="1210" t="s">
        <v>57</v>
      </c>
      <c r="N51" s="1211">
        <v>23475.5</v>
      </c>
      <c r="O51" s="1210" t="s">
        <v>57</v>
      </c>
      <c r="P51" s="1212" t="s">
        <v>58</v>
      </c>
      <c r="Q51" s="1213">
        <v>45999</v>
      </c>
      <c r="R51" s="1213"/>
      <c r="S51" s="1213"/>
      <c r="T51" s="1213"/>
      <c r="U51" s="1271"/>
      <c r="V51" s="1137">
        <v>1890</v>
      </c>
      <c r="W51" s="1273"/>
      <c r="X51" s="1214">
        <f>SUM(V51-W51)</f>
        <v>1890</v>
      </c>
      <c r="Y51" s="663">
        <f t="shared" si="4"/>
        <v>0</v>
      </c>
      <c r="Z51" s="1215"/>
      <c r="AA51" s="1216">
        <v>0</v>
      </c>
      <c r="AB51" s="1216">
        <v>0</v>
      </c>
      <c r="AC51" s="646">
        <v>0</v>
      </c>
      <c r="AD51" s="1217" t="s">
        <v>199</v>
      </c>
    </row>
    <row r="52" spans="1:32" ht="24.75" customHeight="1">
      <c r="A52" s="1207" t="s">
        <v>200</v>
      </c>
      <c r="B52" s="1209" t="s">
        <v>117</v>
      </c>
      <c r="C52" s="1208">
        <v>46031</v>
      </c>
      <c r="D52" s="1208" t="s">
        <v>201</v>
      </c>
      <c r="E52" s="1208"/>
      <c r="F52" s="1209" t="s">
        <v>53</v>
      </c>
      <c r="G52" s="1209" t="s">
        <v>202</v>
      </c>
      <c r="H52" s="1210">
        <v>0</v>
      </c>
      <c r="I52" s="1210" t="s">
        <v>55</v>
      </c>
      <c r="J52" s="1210" t="s">
        <v>63</v>
      </c>
      <c r="K52" s="1210"/>
      <c r="L52" s="1208"/>
      <c r="M52" s="1210" t="s">
        <v>57</v>
      </c>
      <c r="N52" s="1211">
        <v>255.05</v>
      </c>
      <c r="O52" s="1210" t="s">
        <v>57</v>
      </c>
      <c r="P52" s="1212" t="s">
        <v>58</v>
      </c>
      <c r="Q52" s="1213"/>
      <c r="R52" s="1213"/>
      <c r="S52" s="1213"/>
      <c r="T52" s="1213"/>
      <c r="U52" s="1213"/>
      <c r="V52" s="789">
        <v>3</v>
      </c>
      <c r="W52" s="1214"/>
      <c r="X52" s="1214">
        <f>SUM(V52-W52)</f>
        <v>3</v>
      </c>
      <c r="Y52" s="663">
        <f t="shared" si="4"/>
        <v>0</v>
      </c>
      <c r="Z52" s="1215"/>
      <c r="AA52" s="1216">
        <v>0</v>
      </c>
      <c r="AB52" s="1216">
        <v>0</v>
      </c>
      <c r="AC52" s="646">
        <v>0</v>
      </c>
      <c r="AD52" s="1217" t="s">
        <v>203</v>
      </c>
    </row>
    <row r="53" spans="1:32" ht="24.75" customHeight="1">
      <c r="A53" s="1259" t="s">
        <v>204</v>
      </c>
      <c r="B53" s="1209" t="s">
        <v>117</v>
      </c>
      <c r="C53" s="1208">
        <v>46020</v>
      </c>
      <c r="D53" s="1208"/>
      <c r="E53" s="1208"/>
      <c r="F53" s="1209" t="s">
        <v>118</v>
      </c>
      <c r="G53" s="1209" t="s">
        <v>205</v>
      </c>
      <c r="H53" s="1210">
        <v>0</v>
      </c>
      <c r="I53" s="1210" t="s">
        <v>55</v>
      </c>
      <c r="J53" s="1210" t="s">
        <v>90</v>
      </c>
      <c r="K53" s="1210" t="s">
        <v>120</v>
      </c>
      <c r="L53" s="1209"/>
      <c r="M53" s="1210" t="s">
        <v>57</v>
      </c>
      <c r="N53" s="1211">
        <v>17916.55</v>
      </c>
      <c r="O53" s="1210" t="s">
        <v>57</v>
      </c>
      <c r="P53" s="1212" t="s">
        <v>58</v>
      </c>
      <c r="Q53" s="1213"/>
      <c r="R53" s="1213"/>
      <c r="S53" s="1213"/>
      <c r="T53" s="1213"/>
      <c r="U53" s="1213"/>
      <c r="V53" s="966">
        <v>1433</v>
      </c>
      <c r="W53" s="966"/>
      <c r="X53" s="1214">
        <f t="shared" si="3"/>
        <v>1433</v>
      </c>
      <c r="Y53" s="663">
        <f t="shared" si="4"/>
        <v>0</v>
      </c>
      <c r="Z53" s="1252"/>
      <c r="AA53" s="1216">
        <v>0</v>
      </c>
      <c r="AB53" s="1216">
        <v>0</v>
      </c>
      <c r="AC53" s="1214">
        <v>0</v>
      </c>
      <c r="AD53" s="1270" t="s">
        <v>206</v>
      </c>
    </row>
    <row r="54" spans="1:32" ht="24.75" customHeight="1">
      <c r="A54" s="1259" t="s">
        <v>207</v>
      </c>
      <c r="B54" s="1209" t="s">
        <v>117</v>
      </c>
      <c r="C54" s="1208">
        <v>46031</v>
      </c>
      <c r="D54" s="1208"/>
      <c r="E54" s="1208">
        <v>45866</v>
      </c>
      <c r="F54" s="1209" t="s">
        <v>118</v>
      </c>
      <c r="G54" s="1209" t="s">
        <v>208</v>
      </c>
      <c r="H54" s="1210">
        <v>0</v>
      </c>
      <c r="I54" s="662" t="s">
        <v>55</v>
      </c>
      <c r="J54" s="1210" t="s">
        <v>90</v>
      </c>
      <c r="K54" s="1210" t="s">
        <v>120</v>
      </c>
      <c r="L54" s="1208">
        <v>45866</v>
      </c>
      <c r="M54" s="1210" t="s">
        <v>57</v>
      </c>
      <c r="N54" s="1211">
        <v>18401.05</v>
      </c>
      <c r="O54" s="1210" t="s">
        <v>57</v>
      </c>
      <c r="P54" s="1212" t="s">
        <v>69</v>
      </c>
      <c r="Q54" s="1213">
        <v>45866</v>
      </c>
      <c r="R54" s="1213"/>
      <c r="S54" s="1213"/>
      <c r="T54" s="1213"/>
      <c r="U54" s="1213"/>
      <c r="V54" s="789">
        <v>1403</v>
      </c>
      <c r="W54" s="789"/>
      <c r="X54" s="1214">
        <f t="shared" si="3"/>
        <v>1403</v>
      </c>
      <c r="Y54" s="663">
        <f t="shared" si="4"/>
        <v>0</v>
      </c>
      <c r="Z54" s="1252"/>
      <c r="AA54" s="1216">
        <v>0</v>
      </c>
      <c r="AB54" s="1216">
        <v>0</v>
      </c>
      <c r="AC54" s="1214">
        <v>0</v>
      </c>
      <c r="AD54" s="1248" t="s">
        <v>209</v>
      </c>
    </row>
    <row r="55" spans="1:32" ht="24.75" customHeight="1">
      <c r="A55" s="1259" t="s">
        <v>210</v>
      </c>
      <c r="B55" s="1209" t="s">
        <v>117</v>
      </c>
      <c r="C55" s="1208"/>
      <c r="D55" s="1208"/>
      <c r="E55" s="1208"/>
      <c r="F55" s="1209" t="s">
        <v>118</v>
      </c>
      <c r="G55" s="1209" t="s">
        <v>211</v>
      </c>
      <c r="H55" s="1210">
        <v>0</v>
      </c>
      <c r="I55" s="662" t="s">
        <v>55</v>
      </c>
      <c r="J55" s="1210" t="s">
        <v>90</v>
      </c>
      <c r="K55" s="1210" t="s">
        <v>120</v>
      </c>
      <c r="L55" s="1208"/>
      <c r="M55" s="1210" t="s">
        <v>57</v>
      </c>
      <c r="N55" s="1211">
        <v>7666.75</v>
      </c>
      <c r="O55" s="1210" t="s">
        <v>57</v>
      </c>
      <c r="P55" s="1212" t="s">
        <v>58</v>
      </c>
      <c r="Q55" s="1213"/>
      <c r="R55" s="1213"/>
      <c r="S55" s="1213"/>
      <c r="T55" s="1213"/>
      <c r="U55" s="1213"/>
      <c r="V55" s="789">
        <v>465</v>
      </c>
      <c r="W55" s="789"/>
      <c r="X55" s="1214">
        <f t="shared" si="3"/>
        <v>465</v>
      </c>
      <c r="Y55" s="663">
        <f t="shared" si="4"/>
        <v>0</v>
      </c>
      <c r="Z55" s="1215"/>
      <c r="AA55" s="1216">
        <v>0</v>
      </c>
      <c r="AB55" s="1216">
        <v>0</v>
      </c>
      <c r="AC55" s="646">
        <v>0</v>
      </c>
      <c r="AD55" s="1217" t="s">
        <v>212</v>
      </c>
      <c r="AF55" s="1274"/>
    </row>
    <row r="56" spans="1:32" ht="24.75" customHeight="1">
      <c r="A56" s="1207" t="s">
        <v>213</v>
      </c>
      <c r="B56" s="1209" t="s">
        <v>117</v>
      </c>
      <c r="C56" s="1208">
        <v>46010</v>
      </c>
      <c r="D56" s="1208" t="s">
        <v>137</v>
      </c>
      <c r="E56" s="1208">
        <v>46002</v>
      </c>
      <c r="F56" s="1209" t="s">
        <v>118</v>
      </c>
      <c r="G56" s="1209" t="s">
        <v>214</v>
      </c>
      <c r="H56" s="1210">
        <v>0</v>
      </c>
      <c r="I56" s="662" t="s">
        <v>55</v>
      </c>
      <c r="J56" s="1210" t="s">
        <v>63</v>
      </c>
      <c r="K56" s="1210"/>
      <c r="L56" s="1208" t="s">
        <v>184</v>
      </c>
      <c r="M56" s="1210" t="s">
        <v>57</v>
      </c>
      <c r="N56" s="1211">
        <v>34863</v>
      </c>
      <c r="O56" s="1210" t="s">
        <v>57</v>
      </c>
      <c r="P56" s="1212" t="s">
        <v>69</v>
      </c>
      <c r="Q56" s="1213">
        <v>45995</v>
      </c>
      <c r="R56" s="1213"/>
      <c r="S56" s="1213"/>
      <c r="T56" s="1213"/>
      <c r="U56" s="1213"/>
      <c r="V56" s="789">
        <v>2710</v>
      </c>
      <c r="W56" s="789"/>
      <c r="X56" s="1214">
        <f t="shared" si="3"/>
        <v>2710</v>
      </c>
      <c r="Y56" s="663">
        <f t="shared" si="4"/>
        <v>0</v>
      </c>
      <c r="Z56" s="1215"/>
      <c r="AA56" s="1216">
        <v>0</v>
      </c>
      <c r="AB56" s="1216">
        <v>0</v>
      </c>
      <c r="AC56" s="646">
        <v>0</v>
      </c>
      <c r="AD56" s="1217" t="s">
        <v>215</v>
      </c>
      <c r="AF56" s="1274"/>
    </row>
    <row r="57" spans="1:32" ht="24.75" customHeight="1">
      <c r="A57" s="1207" t="s">
        <v>216</v>
      </c>
      <c r="B57" s="1209" t="s">
        <v>117</v>
      </c>
      <c r="C57" s="1208">
        <v>46003</v>
      </c>
      <c r="D57" s="1208" t="s">
        <v>137</v>
      </c>
      <c r="E57" s="1208">
        <v>46002</v>
      </c>
      <c r="F57" s="1209" t="s">
        <v>138</v>
      </c>
      <c r="G57" s="1209"/>
      <c r="H57" s="1210">
        <v>0</v>
      </c>
      <c r="I57" s="1210" t="s">
        <v>55</v>
      </c>
      <c r="J57" s="1210" t="s">
        <v>63</v>
      </c>
      <c r="K57" s="1210"/>
      <c r="L57" s="1208" t="s">
        <v>184</v>
      </c>
      <c r="M57" s="1210" t="s">
        <v>57</v>
      </c>
      <c r="N57" s="1211">
        <v>11500.3</v>
      </c>
      <c r="O57" s="1210" t="s">
        <v>57</v>
      </c>
      <c r="P57" s="1212" t="s">
        <v>69</v>
      </c>
      <c r="Q57" s="1213">
        <v>45994</v>
      </c>
      <c r="R57" s="1213"/>
      <c r="S57" s="1213"/>
      <c r="T57" s="1213"/>
      <c r="U57" s="1213"/>
      <c r="V57" s="789">
        <v>908</v>
      </c>
      <c r="W57" s="789"/>
      <c r="X57" s="1214">
        <f>SUM(V57-W57)</f>
        <v>908</v>
      </c>
      <c r="Y57" s="663">
        <f t="shared" si="4"/>
        <v>0</v>
      </c>
      <c r="Z57" s="1215"/>
      <c r="AA57" s="1216">
        <v>0</v>
      </c>
      <c r="AB57" s="1216">
        <v>0</v>
      </c>
      <c r="AC57" s="646">
        <v>0</v>
      </c>
      <c r="AD57" s="1217" t="s">
        <v>217</v>
      </c>
      <c r="AF57" s="1274"/>
    </row>
    <row r="58" spans="1:32" ht="24.75" customHeight="1">
      <c r="A58" s="1207" t="s">
        <v>218</v>
      </c>
      <c r="B58" s="1209" t="s">
        <v>117</v>
      </c>
      <c r="C58" s="1208">
        <v>45675</v>
      </c>
      <c r="D58" s="1208" t="s">
        <v>137</v>
      </c>
      <c r="E58" s="1208">
        <v>46006</v>
      </c>
      <c r="F58" s="1209" t="s">
        <v>138</v>
      </c>
      <c r="G58" s="1209"/>
      <c r="H58" s="1210">
        <v>0</v>
      </c>
      <c r="I58" s="1210" t="s">
        <v>55</v>
      </c>
      <c r="J58" s="1210" t="s">
        <v>63</v>
      </c>
      <c r="K58" s="1210"/>
      <c r="L58" s="1208"/>
      <c r="M58" s="1210" t="s">
        <v>57</v>
      </c>
      <c r="N58" s="1211">
        <v>45512.75</v>
      </c>
      <c r="O58" s="1210" t="s">
        <v>57</v>
      </c>
      <c r="P58" s="1212" t="s">
        <v>58</v>
      </c>
      <c r="Q58" s="1213"/>
      <c r="R58" s="1213"/>
      <c r="S58" s="1213"/>
      <c r="T58" s="1213"/>
      <c r="U58" s="1213"/>
      <c r="V58" s="789">
        <v>3675</v>
      </c>
      <c r="W58" s="789"/>
      <c r="X58" s="1214">
        <f>SUM(V58-W58)</f>
        <v>3675</v>
      </c>
      <c r="Y58" s="663">
        <f t="shared" si="4"/>
        <v>0</v>
      </c>
      <c r="Z58" s="1215"/>
      <c r="AA58" s="1216">
        <v>0</v>
      </c>
      <c r="AB58" s="1216">
        <v>0</v>
      </c>
      <c r="AC58" s="646">
        <v>0</v>
      </c>
      <c r="AD58" s="1217" t="s">
        <v>219</v>
      </c>
      <c r="AF58" s="1274"/>
    </row>
    <row r="59" spans="1:32" ht="24.75" customHeight="1">
      <c r="A59" s="1207" t="s">
        <v>220</v>
      </c>
      <c r="B59" s="1209" t="s">
        <v>117</v>
      </c>
      <c r="C59" s="1208">
        <v>46203</v>
      </c>
      <c r="D59" s="1209" t="s">
        <v>51</v>
      </c>
      <c r="E59" s="1208"/>
      <c r="F59" s="1209" t="s">
        <v>53</v>
      </c>
      <c r="G59" s="1209" t="s">
        <v>221</v>
      </c>
      <c r="H59" s="1210">
        <v>0</v>
      </c>
      <c r="I59" s="662" t="s">
        <v>55</v>
      </c>
      <c r="J59" s="1210" t="s">
        <v>56</v>
      </c>
      <c r="K59" s="1210"/>
      <c r="L59" s="1208" t="s">
        <v>184</v>
      </c>
      <c r="M59" s="1210" t="s">
        <v>57</v>
      </c>
      <c r="N59" s="1211">
        <v>388</v>
      </c>
      <c r="O59" s="1210" t="s">
        <v>57</v>
      </c>
      <c r="P59" s="1212" t="s">
        <v>58</v>
      </c>
      <c r="Q59" s="1275" t="s">
        <v>184</v>
      </c>
      <c r="R59" s="1267"/>
      <c r="S59" s="1213"/>
      <c r="T59" s="1213"/>
      <c r="U59" s="1213"/>
      <c r="V59" s="789">
        <v>0</v>
      </c>
      <c r="W59" s="789"/>
      <c r="X59" s="1214">
        <f t="shared" si="3"/>
        <v>0</v>
      </c>
      <c r="Y59" s="663">
        <f t="shared" si="4"/>
        <v>0</v>
      </c>
      <c r="Z59" s="1252"/>
      <c r="AA59" s="1216">
        <v>0</v>
      </c>
      <c r="AB59" s="1216">
        <v>0</v>
      </c>
      <c r="AC59" s="1214">
        <v>0</v>
      </c>
      <c r="AD59" s="1248" t="s">
        <v>222</v>
      </c>
      <c r="AF59" s="1274"/>
    </row>
    <row r="60" spans="1:32" ht="24.75" customHeight="1">
      <c r="A60" s="1259" t="s">
        <v>223</v>
      </c>
      <c r="B60" s="1209" t="s">
        <v>117</v>
      </c>
      <c r="C60" s="1228">
        <v>46041</v>
      </c>
      <c r="D60" s="1208"/>
      <c r="E60" s="1208"/>
      <c r="F60" s="1209"/>
      <c r="G60" s="1209" t="s">
        <v>224</v>
      </c>
      <c r="H60" s="1210">
        <v>0</v>
      </c>
      <c r="I60" s="662" t="s">
        <v>55</v>
      </c>
      <c r="J60" s="1210" t="s">
        <v>90</v>
      </c>
      <c r="K60" s="1210" t="s">
        <v>120</v>
      </c>
      <c r="L60" s="1208"/>
      <c r="M60" s="1210" t="s">
        <v>57</v>
      </c>
      <c r="N60" s="1211">
        <v>38359.1</v>
      </c>
      <c r="O60" s="1210" t="s">
        <v>57</v>
      </c>
      <c r="P60" s="1212" t="s">
        <v>58</v>
      </c>
      <c r="Q60" s="1213"/>
      <c r="R60" s="1213"/>
      <c r="S60" s="1213"/>
      <c r="T60" s="1213"/>
      <c r="U60" s="1213"/>
      <c r="V60" s="789">
        <v>3146</v>
      </c>
      <c r="W60" s="789"/>
      <c r="X60" s="1214">
        <f>SUM(V60-W60)</f>
        <v>3146</v>
      </c>
      <c r="Y60" s="663">
        <f t="shared" si="4"/>
        <v>0</v>
      </c>
      <c r="Z60" s="1252"/>
      <c r="AA60" s="1216">
        <v>0</v>
      </c>
      <c r="AB60" s="1216">
        <v>0</v>
      </c>
      <c r="AC60" s="1214">
        <v>0</v>
      </c>
      <c r="AD60" s="1248" t="s">
        <v>225</v>
      </c>
      <c r="AE60" s="1276"/>
      <c r="AF60" s="1274"/>
    </row>
    <row r="61" spans="1:32" ht="24.75" customHeight="1">
      <c r="A61" s="1259" t="s">
        <v>226</v>
      </c>
      <c r="B61" s="1209" t="s">
        <v>117</v>
      </c>
      <c r="C61" s="1208"/>
      <c r="D61" s="1208"/>
      <c r="E61" s="1208"/>
      <c r="F61" s="1209"/>
      <c r="G61" s="1209"/>
      <c r="H61" s="1210">
        <v>0</v>
      </c>
      <c r="I61" s="1210" t="s">
        <v>55</v>
      </c>
      <c r="J61" s="1210" t="s">
        <v>90</v>
      </c>
      <c r="K61" s="1210" t="s">
        <v>107</v>
      </c>
      <c r="L61" s="1208"/>
      <c r="M61" s="1210" t="s">
        <v>91</v>
      </c>
      <c r="N61" s="1211"/>
      <c r="O61" s="1210" t="s">
        <v>91</v>
      </c>
      <c r="P61" s="1212" t="s">
        <v>58</v>
      </c>
      <c r="Q61" s="1213"/>
      <c r="R61" s="1213"/>
      <c r="S61" s="1213"/>
      <c r="T61" s="1213"/>
      <c r="U61" s="1213"/>
      <c r="V61" s="789">
        <v>442</v>
      </c>
      <c r="W61" s="789"/>
      <c r="X61" s="1214">
        <f>SUM(V61-W61)</f>
        <v>442</v>
      </c>
      <c r="Y61" s="663">
        <f t="shared" si="4"/>
        <v>0</v>
      </c>
      <c r="Z61" s="1252"/>
      <c r="AA61" s="1216">
        <v>0</v>
      </c>
      <c r="AB61" s="1216">
        <v>0</v>
      </c>
      <c r="AC61" s="1214">
        <v>0</v>
      </c>
      <c r="AD61" s="1248" t="s">
        <v>227</v>
      </c>
      <c r="AE61" s="1276"/>
      <c r="AF61" s="1274"/>
    </row>
    <row r="62" spans="1:32" ht="24.75" customHeight="1">
      <c r="A62" s="1207" t="s">
        <v>228</v>
      </c>
      <c r="B62" s="682" t="s">
        <v>117</v>
      </c>
      <c r="C62" s="1208">
        <v>46015</v>
      </c>
      <c r="D62" s="1208" t="s">
        <v>229</v>
      </c>
      <c r="E62" s="1208">
        <v>45965</v>
      </c>
      <c r="F62" s="1209" t="s">
        <v>118</v>
      </c>
      <c r="G62" s="1209" t="s">
        <v>230</v>
      </c>
      <c r="H62" s="1210">
        <v>0</v>
      </c>
      <c r="I62" s="662" t="s">
        <v>55</v>
      </c>
      <c r="J62" s="1210" t="s">
        <v>63</v>
      </c>
      <c r="K62" s="1210"/>
      <c r="L62" s="1208"/>
      <c r="M62" s="1210" t="s">
        <v>57</v>
      </c>
      <c r="N62" s="1211">
        <v>4773.8</v>
      </c>
      <c r="O62" s="1210" t="s">
        <v>57</v>
      </c>
      <c r="P62" s="1212" t="s">
        <v>58</v>
      </c>
      <c r="Q62" s="1213"/>
      <c r="R62" s="1213"/>
      <c r="S62" s="1213"/>
      <c r="T62" s="1213"/>
      <c r="U62" s="1213"/>
      <c r="V62" s="789">
        <v>103</v>
      </c>
      <c r="W62" s="789">
        <v>82</v>
      </c>
      <c r="X62" s="1214">
        <f t="shared" si="3"/>
        <v>21</v>
      </c>
      <c r="Y62" s="663">
        <f t="shared" si="4"/>
        <v>0.79611650485436891</v>
      </c>
      <c r="Z62" s="1233">
        <v>45985</v>
      </c>
      <c r="AA62" s="1216">
        <v>0</v>
      </c>
      <c r="AB62" s="1216">
        <v>0</v>
      </c>
      <c r="AC62" s="1214">
        <v>0</v>
      </c>
      <c r="AD62" s="1217" t="s">
        <v>231</v>
      </c>
      <c r="AE62" s="1276"/>
      <c r="AF62" s="1274"/>
    </row>
    <row r="63" spans="1:32" ht="24.75" customHeight="1">
      <c r="A63" s="1207" t="s">
        <v>232</v>
      </c>
      <c r="B63" s="682" t="s">
        <v>117</v>
      </c>
      <c r="C63" s="1208">
        <v>46020</v>
      </c>
      <c r="D63" s="1208" t="s">
        <v>233</v>
      </c>
      <c r="E63" s="1208">
        <v>45978</v>
      </c>
      <c r="F63" s="1209" t="s">
        <v>138</v>
      </c>
      <c r="G63" s="1209" t="s">
        <v>234</v>
      </c>
      <c r="H63" s="1210">
        <v>197</v>
      </c>
      <c r="I63" s="662" t="s">
        <v>55</v>
      </c>
      <c r="J63" s="1210" t="s">
        <v>56</v>
      </c>
      <c r="K63" s="1210"/>
      <c r="L63" s="1208">
        <v>45978</v>
      </c>
      <c r="M63" s="1210" t="s">
        <v>57</v>
      </c>
      <c r="N63" s="1211">
        <v>87807.5</v>
      </c>
      <c r="O63" s="1210" t="s">
        <v>57</v>
      </c>
      <c r="P63" s="1212" t="s">
        <v>64</v>
      </c>
      <c r="Q63" s="1213">
        <v>45978</v>
      </c>
      <c r="R63" s="1213"/>
      <c r="S63" s="1213"/>
      <c r="T63" s="1213"/>
      <c r="U63" s="1213"/>
      <c r="V63" s="789">
        <v>8065</v>
      </c>
      <c r="W63" s="1346">
        <v>7642</v>
      </c>
      <c r="X63" s="1214">
        <f>SUM(V63-W63)</f>
        <v>423</v>
      </c>
      <c r="Y63" s="864">
        <f t="shared" si="4"/>
        <v>0.94755114693118414</v>
      </c>
      <c r="Z63" s="1233">
        <v>45985</v>
      </c>
      <c r="AA63" s="1216">
        <v>0</v>
      </c>
      <c r="AB63" s="1216">
        <v>0</v>
      </c>
      <c r="AC63" s="1214">
        <v>0</v>
      </c>
      <c r="AD63" s="1217" t="s">
        <v>235</v>
      </c>
      <c r="AE63" s="1276"/>
      <c r="AF63" s="1274"/>
    </row>
    <row r="64" spans="1:32" ht="24.75" customHeight="1">
      <c r="A64" s="1209"/>
      <c r="B64" s="682"/>
      <c r="C64" s="1208"/>
      <c r="D64" s="1208"/>
      <c r="E64" s="1208"/>
      <c r="F64" s="1209"/>
      <c r="G64" s="1209"/>
      <c r="H64" s="1210"/>
      <c r="I64" s="662"/>
      <c r="J64" s="1210"/>
      <c r="K64" s="1210"/>
      <c r="L64" s="1208"/>
      <c r="M64" s="1210"/>
      <c r="N64" s="1211"/>
      <c r="O64" s="1210"/>
      <c r="P64" s="1212"/>
      <c r="Q64" s="1213"/>
      <c r="R64" s="1213"/>
      <c r="S64" s="1213"/>
      <c r="T64" s="1213"/>
      <c r="U64" s="1213"/>
      <c r="V64" s="1214"/>
      <c r="W64" s="1214"/>
      <c r="X64" s="1214"/>
      <c r="Y64" s="663"/>
      <c r="Z64" s="1215"/>
      <c r="AA64" s="1216"/>
      <c r="AB64" s="1216"/>
      <c r="AC64" s="1214"/>
      <c r="AD64" s="1217"/>
      <c r="AE64" s="1276"/>
      <c r="AF64" s="1274"/>
    </row>
    <row r="65" spans="1:56" ht="24.75" customHeight="1">
      <c r="A65" s="1209"/>
      <c r="B65" s="682"/>
      <c r="C65" s="1208"/>
      <c r="D65" s="1208"/>
      <c r="E65" s="1208"/>
      <c r="F65" s="1209"/>
      <c r="G65" s="1209"/>
      <c r="H65" s="1210"/>
      <c r="I65" s="662"/>
      <c r="J65" s="1210"/>
      <c r="K65" s="1210"/>
      <c r="L65" s="1208"/>
      <c r="M65" s="1210"/>
      <c r="N65" s="1211"/>
      <c r="O65" s="1210"/>
      <c r="P65" s="1212"/>
      <c r="Q65" s="1213"/>
      <c r="R65" s="1213"/>
      <c r="S65" s="1213"/>
      <c r="T65" s="1213"/>
      <c r="U65" s="1213"/>
      <c r="V65" s="1214"/>
      <c r="W65" s="1214"/>
      <c r="X65" s="1214"/>
      <c r="Y65" s="663"/>
      <c r="Z65" s="1215"/>
      <c r="AA65" s="1216"/>
      <c r="AB65" s="1216"/>
      <c r="AC65" s="1214"/>
      <c r="AD65" s="1217"/>
      <c r="AE65" s="1276"/>
      <c r="AF65" s="1274"/>
    </row>
    <row r="66" spans="1:56" ht="24.75" customHeight="1">
      <c r="A66" s="1199" t="s">
        <v>236</v>
      </c>
      <c r="B66" s="1200" t="s">
        <v>20</v>
      </c>
      <c r="C66" s="1200" t="s">
        <v>21</v>
      </c>
      <c r="D66" s="1200" t="s">
        <v>22</v>
      </c>
      <c r="E66" s="1200" t="s">
        <v>23</v>
      </c>
      <c r="F66" s="1200" t="s">
        <v>24</v>
      </c>
      <c r="G66" s="1200" t="s">
        <v>25</v>
      </c>
      <c r="H66" s="1200" t="s">
        <v>26</v>
      </c>
      <c r="I66" s="1200" t="s">
        <v>27</v>
      </c>
      <c r="J66" s="1200" t="s">
        <v>28</v>
      </c>
      <c r="K66" s="1200" t="s">
        <v>29</v>
      </c>
      <c r="L66" s="1200" t="s">
        <v>30</v>
      </c>
      <c r="M66" s="1200" t="s">
        <v>31</v>
      </c>
      <c r="N66" s="1201" t="s">
        <v>32</v>
      </c>
      <c r="O66" s="1200" t="s">
        <v>33</v>
      </c>
      <c r="P66" s="1202" t="s">
        <v>34</v>
      </c>
      <c r="Q66" s="1203" t="s">
        <v>35</v>
      </c>
      <c r="R66" s="1203" t="s">
        <v>36</v>
      </c>
      <c r="S66" s="1203" t="s">
        <v>37</v>
      </c>
      <c r="T66" s="1203" t="s">
        <v>38</v>
      </c>
      <c r="U66" s="1203" t="s">
        <v>39</v>
      </c>
      <c r="V66" s="1203" t="s">
        <v>40</v>
      </c>
      <c r="W66" s="1203" t="s">
        <v>41</v>
      </c>
      <c r="X66" s="1203" t="s">
        <v>42</v>
      </c>
      <c r="Y66" s="1203" t="s">
        <v>43</v>
      </c>
      <c r="Z66" s="1203" t="s">
        <v>44</v>
      </c>
      <c r="AA66" s="1204" t="s">
        <v>45</v>
      </c>
      <c r="AB66" s="1203" t="s">
        <v>46</v>
      </c>
      <c r="AC66" s="1203" t="s">
        <v>47</v>
      </c>
      <c r="AD66" s="1205" t="s">
        <v>48</v>
      </c>
      <c r="AE66" s="1276"/>
      <c r="AF66" s="1274"/>
    </row>
    <row r="67" spans="1:56" ht="24.75" customHeight="1">
      <c r="A67" s="1207" t="s">
        <v>237</v>
      </c>
      <c r="B67" s="832" t="s">
        <v>238</v>
      </c>
      <c r="C67" s="1208">
        <v>46039</v>
      </c>
      <c r="D67" s="1208" t="s">
        <v>72</v>
      </c>
      <c r="E67" s="1208">
        <v>45966</v>
      </c>
      <c r="F67" s="1208" t="s">
        <v>239</v>
      </c>
      <c r="G67" s="1209" t="s">
        <v>240</v>
      </c>
      <c r="H67" s="1210">
        <v>0</v>
      </c>
      <c r="I67" s="662" t="s">
        <v>55</v>
      </c>
      <c r="J67" s="1210" t="s">
        <v>63</v>
      </c>
      <c r="K67" s="1230"/>
      <c r="L67" s="1208"/>
      <c r="M67" s="1210" t="s">
        <v>57</v>
      </c>
      <c r="N67" s="1211">
        <v>82825</v>
      </c>
      <c r="O67" s="1210" t="s">
        <v>57</v>
      </c>
      <c r="P67" s="1212" t="s">
        <v>69</v>
      </c>
      <c r="Q67" s="1213">
        <v>45965</v>
      </c>
      <c r="R67" s="1213"/>
      <c r="S67" s="1213"/>
      <c r="T67" s="1213"/>
      <c r="U67" s="1213"/>
      <c r="V67" s="789">
        <v>6210</v>
      </c>
      <c r="W67" s="789"/>
      <c r="X67" s="1214">
        <f t="shared" ref="X67:X104" si="5">SUM(V67-W67)</f>
        <v>6210</v>
      </c>
      <c r="Y67" s="663">
        <f t="shared" ref="Y67:Y104" si="6">IFERROR($W67/$V67, 0)</f>
        <v>0</v>
      </c>
      <c r="Z67" s="1215"/>
      <c r="AA67" s="1216">
        <v>0</v>
      </c>
      <c r="AB67" s="1216">
        <v>0</v>
      </c>
      <c r="AC67" s="1234">
        <v>0</v>
      </c>
      <c r="AD67" s="1217" t="s">
        <v>241</v>
      </c>
      <c r="AE67" s="1276"/>
      <c r="AF67" s="1274"/>
    </row>
    <row r="68" spans="1:56" ht="24.75" customHeight="1">
      <c r="A68" s="1207" t="s">
        <v>242</v>
      </c>
      <c r="B68" s="832" t="s">
        <v>238</v>
      </c>
      <c r="C68" s="1208">
        <v>46039</v>
      </c>
      <c r="D68" s="1208" t="s">
        <v>72</v>
      </c>
      <c r="E68" s="1208">
        <v>45966</v>
      </c>
      <c r="F68" s="1208" t="s">
        <v>239</v>
      </c>
      <c r="G68" s="1209" t="s">
        <v>243</v>
      </c>
      <c r="H68" s="1210">
        <v>7</v>
      </c>
      <c r="I68" s="662" t="s">
        <v>55</v>
      </c>
      <c r="J68" s="1210" t="s">
        <v>63</v>
      </c>
      <c r="K68" s="1230"/>
      <c r="L68" s="1208"/>
      <c r="M68" s="1210" t="s">
        <v>57</v>
      </c>
      <c r="N68" s="1211">
        <v>34736.85</v>
      </c>
      <c r="O68" s="1210" t="s">
        <v>57</v>
      </c>
      <c r="P68" s="1212" t="s">
        <v>64</v>
      </c>
      <c r="Q68" s="1213">
        <v>45965</v>
      </c>
      <c r="R68" s="1213"/>
      <c r="S68" s="1213"/>
      <c r="T68" s="1213"/>
      <c r="U68" s="1213"/>
      <c r="V68" s="789">
        <v>2601</v>
      </c>
      <c r="W68" s="789">
        <v>1661</v>
      </c>
      <c r="X68" s="1214">
        <f t="shared" si="5"/>
        <v>940</v>
      </c>
      <c r="Y68" s="663">
        <f t="shared" si="6"/>
        <v>0.63860053825451746</v>
      </c>
      <c r="Z68" s="1233">
        <v>45973</v>
      </c>
      <c r="AA68" s="1216">
        <v>0</v>
      </c>
      <c r="AB68" s="1216">
        <v>0</v>
      </c>
      <c r="AC68" s="1234">
        <v>2601</v>
      </c>
      <c r="AD68" s="1217" t="s">
        <v>244</v>
      </c>
      <c r="AE68" s="1276"/>
      <c r="AF68" s="1274"/>
    </row>
    <row r="69" spans="1:56" ht="24.75" customHeight="1">
      <c r="A69" s="1207" t="s">
        <v>245</v>
      </c>
      <c r="B69" s="832" t="s">
        <v>238</v>
      </c>
      <c r="C69" s="1208">
        <v>45987</v>
      </c>
      <c r="D69" s="1229" t="s">
        <v>51</v>
      </c>
      <c r="E69" s="1228"/>
      <c r="F69" s="1229" t="s">
        <v>53</v>
      </c>
      <c r="G69" s="1229" t="s">
        <v>246</v>
      </c>
      <c r="H69" s="1230">
        <v>0</v>
      </c>
      <c r="I69" s="662" t="s">
        <v>55</v>
      </c>
      <c r="J69" s="1210" t="s">
        <v>63</v>
      </c>
      <c r="K69" s="1210"/>
      <c r="L69" s="1208"/>
      <c r="M69" s="1230" t="s">
        <v>57</v>
      </c>
      <c r="N69" s="1241">
        <v>5774.1</v>
      </c>
      <c r="O69" s="1230" t="s">
        <v>57</v>
      </c>
      <c r="P69" s="1243" t="s">
        <v>58</v>
      </c>
      <c r="Q69" s="1233"/>
      <c r="R69" s="1233"/>
      <c r="S69" s="1233"/>
      <c r="T69" s="1233"/>
      <c r="U69" s="1233"/>
      <c r="V69" s="1234">
        <v>446</v>
      </c>
      <c r="W69" s="1214"/>
      <c r="X69" s="1214">
        <f t="shared" si="5"/>
        <v>446</v>
      </c>
      <c r="Y69" s="663">
        <f>IFERROR($W69/$V69, 0)</f>
        <v>0</v>
      </c>
      <c r="Z69" s="1215"/>
      <c r="AA69" s="1216">
        <v>0</v>
      </c>
      <c r="AB69" s="1216">
        <v>0</v>
      </c>
      <c r="AC69" s="1234">
        <v>0</v>
      </c>
      <c r="AD69" s="1217" t="s">
        <v>247</v>
      </c>
      <c r="AE69" s="1276"/>
      <c r="AF69" s="1274"/>
    </row>
    <row r="70" spans="1:56" ht="24.75" customHeight="1">
      <c r="A70" s="1207" t="s">
        <v>248</v>
      </c>
      <c r="B70" s="832" t="s">
        <v>238</v>
      </c>
      <c r="C70" s="1208">
        <v>46045</v>
      </c>
      <c r="D70" s="1208" t="s">
        <v>249</v>
      </c>
      <c r="E70" s="1208">
        <v>45980</v>
      </c>
      <c r="F70" s="1208" t="s">
        <v>250</v>
      </c>
      <c r="G70" s="1209" t="s">
        <v>251</v>
      </c>
      <c r="H70" s="1210">
        <v>82</v>
      </c>
      <c r="I70" s="1210" t="s">
        <v>55</v>
      </c>
      <c r="J70" s="1210" t="s">
        <v>63</v>
      </c>
      <c r="K70" s="1210"/>
      <c r="L70" s="1208"/>
      <c r="M70" s="1210" t="s">
        <v>57</v>
      </c>
      <c r="N70" s="1211">
        <v>56294</v>
      </c>
      <c r="O70" s="1210" t="s">
        <v>57</v>
      </c>
      <c r="P70" s="1212" t="s">
        <v>58</v>
      </c>
      <c r="Q70" s="1213"/>
      <c r="R70" s="1213"/>
      <c r="S70" s="1213"/>
      <c r="T70" s="1213"/>
      <c r="U70" s="1213"/>
      <c r="V70" s="1214">
        <v>4146</v>
      </c>
      <c r="W70" s="1214"/>
      <c r="X70" s="1214">
        <f t="shared" si="5"/>
        <v>4146</v>
      </c>
      <c r="Y70" s="663">
        <f t="shared" si="6"/>
        <v>0</v>
      </c>
      <c r="Z70" s="1233"/>
      <c r="AA70" s="1216">
        <v>0</v>
      </c>
      <c r="AB70" s="1216">
        <v>0</v>
      </c>
      <c r="AC70" s="1214">
        <v>0</v>
      </c>
      <c r="AD70" s="1217"/>
      <c r="AE70" s="1276"/>
    </row>
    <row r="71" spans="1:56" ht="24.75" customHeight="1">
      <c r="A71" s="1207" t="s">
        <v>252</v>
      </c>
      <c r="B71" s="832" t="s">
        <v>238</v>
      </c>
      <c r="C71" s="1208">
        <v>46045</v>
      </c>
      <c r="D71" s="1208"/>
      <c r="E71" s="1208"/>
      <c r="F71" s="1208"/>
      <c r="G71" s="1209" t="s">
        <v>253</v>
      </c>
      <c r="H71" s="1210">
        <v>54</v>
      </c>
      <c r="I71" s="1210" t="s">
        <v>55</v>
      </c>
      <c r="J71" s="1210" t="s">
        <v>63</v>
      </c>
      <c r="K71" s="1210"/>
      <c r="L71" s="1208"/>
      <c r="M71" s="1210" t="s">
        <v>57</v>
      </c>
      <c r="N71" s="1211">
        <v>58240</v>
      </c>
      <c r="O71" s="1210" t="s">
        <v>57</v>
      </c>
      <c r="P71" s="1212" t="s">
        <v>58</v>
      </c>
      <c r="Q71" s="1213"/>
      <c r="R71" s="1213"/>
      <c r="S71" s="1213"/>
      <c r="T71" s="1213"/>
      <c r="U71" s="1213"/>
      <c r="V71" s="1214">
        <v>4594</v>
      </c>
      <c r="W71" s="1214"/>
      <c r="X71" s="1214">
        <f t="shared" si="5"/>
        <v>4594</v>
      </c>
      <c r="Y71" s="663">
        <f t="shared" si="6"/>
        <v>0</v>
      </c>
      <c r="Z71" s="1233"/>
      <c r="AA71" s="1216">
        <v>0</v>
      </c>
      <c r="AB71" s="1216">
        <v>0</v>
      </c>
      <c r="AC71" s="1234">
        <v>0</v>
      </c>
      <c r="AD71" s="1217" t="s">
        <v>254</v>
      </c>
      <c r="AE71" s="1276"/>
    </row>
    <row r="72" spans="1:56" ht="24.75" customHeight="1">
      <c r="A72" s="1207" t="s">
        <v>255</v>
      </c>
      <c r="B72" s="832" t="s">
        <v>238</v>
      </c>
      <c r="C72" s="1208">
        <v>45999</v>
      </c>
      <c r="D72" s="1228" t="s">
        <v>72</v>
      </c>
      <c r="E72" s="1228">
        <v>45959</v>
      </c>
      <c r="F72" s="1229" t="s">
        <v>239</v>
      </c>
      <c r="G72" s="1228" t="s">
        <v>256</v>
      </c>
      <c r="H72" s="833">
        <v>69</v>
      </c>
      <c r="I72" s="1210" t="s">
        <v>55</v>
      </c>
      <c r="J72" s="1210" t="s">
        <v>63</v>
      </c>
      <c r="K72" s="1210"/>
      <c r="L72" s="1228">
        <v>45925</v>
      </c>
      <c r="M72" s="830" t="s">
        <v>57</v>
      </c>
      <c r="N72" s="834">
        <v>51632</v>
      </c>
      <c r="O72" s="830" t="s">
        <v>57</v>
      </c>
      <c r="P72" s="1243" t="s">
        <v>64</v>
      </c>
      <c r="Q72" s="1233">
        <v>45932</v>
      </c>
      <c r="R72" s="1233"/>
      <c r="S72" s="1233"/>
      <c r="T72" s="1233"/>
      <c r="U72" s="1233"/>
      <c r="V72" s="986">
        <v>3997</v>
      </c>
      <c r="W72" s="789">
        <v>3743</v>
      </c>
      <c r="X72" s="1214">
        <f t="shared" si="5"/>
        <v>254</v>
      </c>
      <c r="Y72" s="663">
        <f t="shared" si="6"/>
        <v>0.93645233925444082</v>
      </c>
      <c r="Z72" s="1233">
        <v>45960</v>
      </c>
      <c r="AA72" s="1216">
        <v>0</v>
      </c>
      <c r="AB72" s="1216">
        <v>0</v>
      </c>
      <c r="AC72" s="646">
        <v>0</v>
      </c>
      <c r="AD72" s="1217" t="s">
        <v>257</v>
      </c>
      <c r="AE72" s="1274"/>
      <c r="AF72" s="1277"/>
      <c r="AG72" s="1277"/>
      <c r="AH72" s="1277"/>
      <c r="AI72" s="1277"/>
      <c r="AJ72" s="1277"/>
      <c r="AK72" s="1277"/>
      <c r="AL72" s="1277"/>
      <c r="AM72" s="1206"/>
      <c r="AN72" s="1206"/>
      <c r="AO72" s="1206"/>
      <c r="AP72" s="1206"/>
      <c r="AQ72" s="1206"/>
      <c r="AR72" s="1206"/>
      <c r="AS72" s="1206"/>
      <c r="AT72" s="1206"/>
      <c r="AU72" s="1206"/>
      <c r="AV72" s="1206"/>
      <c r="AW72" s="1206"/>
      <c r="AX72" s="1206"/>
      <c r="AY72" s="1206"/>
      <c r="AZ72" s="1206"/>
      <c r="BA72" s="1206"/>
      <c r="BB72" s="1206"/>
      <c r="BC72" s="1206"/>
      <c r="BD72" s="1206"/>
    </row>
    <row r="73" spans="1:56" ht="24.75" customHeight="1">
      <c r="A73" s="1207" t="s">
        <v>258</v>
      </c>
      <c r="B73" s="832" t="s">
        <v>238</v>
      </c>
      <c r="C73" s="1208">
        <v>45999</v>
      </c>
      <c r="D73" s="1228" t="s">
        <v>259</v>
      </c>
      <c r="E73" s="1228">
        <v>45964</v>
      </c>
      <c r="F73" s="1229" t="s">
        <v>260</v>
      </c>
      <c r="G73" s="1228" t="s">
        <v>261</v>
      </c>
      <c r="H73" s="833">
        <v>81</v>
      </c>
      <c r="I73" s="1210" t="s">
        <v>55</v>
      </c>
      <c r="J73" s="1210" t="s">
        <v>63</v>
      </c>
      <c r="K73" s="1210"/>
      <c r="L73" s="1228"/>
      <c r="M73" s="830" t="s">
        <v>57</v>
      </c>
      <c r="N73" s="834">
        <v>68962</v>
      </c>
      <c r="O73" s="830" t="s">
        <v>57</v>
      </c>
      <c r="P73" s="1243" t="s">
        <v>69</v>
      </c>
      <c r="Q73" s="1233">
        <v>45932</v>
      </c>
      <c r="R73" s="1233"/>
      <c r="S73" s="1233"/>
      <c r="T73" s="1233"/>
      <c r="U73" s="1233"/>
      <c r="V73" s="986">
        <v>5333</v>
      </c>
      <c r="W73" s="789"/>
      <c r="X73" s="1214">
        <f t="shared" si="5"/>
        <v>5333</v>
      </c>
      <c r="Y73" s="663">
        <f t="shared" si="6"/>
        <v>0</v>
      </c>
      <c r="Z73" s="1215"/>
      <c r="AA73" s="1216">
        <v>0</v>
      </c>
      <c r="AB73" s="1216">
        <v>0</v>
      </c>
      <c r="AC73" s="646">
        <v>0</v>
      </c>
      <c r="AD73" s="1217" t="s">
        <v>262</v>
      </c>
      <c r="AE73" s="1274"/>
      <c r="AF73" s="1277"/>
      <c r="AG73" s="1277"/>
      <c r="AH73" s="1277"/>
      <c r="AI73" s="1277"/>
      <c r="AJ73" s="1277"/>
      <c r="AK73" s="1277"/>
      <c r="AL73" s="1277"/>
      <c r="AM73" s="1206"/>
      <c r="AN73" s="1206"/>
      <c r="AO73" s="1206"/>
      <c r="AP73" s="1206"/>
      <c r="AQ73" s="1206"/>
      <c r="AR73" s="1206"/>
      <c r="AS73" s="1206"/>
      <c r="AT73" s="1206"/>
      <c r="AU73" s="1206"/>
      <c r="AV73" s="1206"/>
      <c r="AW73" s="1206"/>
      <c r="AX73" s="1206"/>
      <c r="AY73" s="1206"/>
      <c r="AZ73" s="1206"/>
      <c r="BA73" s="1206"/>
      <c r="BB73" s="1206"/>
      <c r="BC73" s="1206"/>
      <c r="BD73" s="1206"/>
    </row>
    <row r="74" spans="1:56" ht="24.75" customHeight="1">
      <c r="A74" s="1278" t="s">
        <v>263</v>
      </c>
      <c r="B74" s="832" t="s">
        <v>238</v>
      </c>
      <c r="C74" s="1208">
        <v>45999</v>
      </c>
      <c r="D74" s="1228" t="s">
        <v>249</v>
      </c>
      <c r="E74" s="1228">
        <v>45975</v>
      </c>
      <c r="F74" s="1229" t="s">
        <v>250</v>
      </c>
      <c r="G74" s="1228" t="s">
        <v>264</v>
      </c>
      <c r="H74" s="833">
        <v>48</v>
      </c>
      <c r="I74" s="1210" t="s">
        <v>55</v>
      </c>
      <c r="J74" s="1210" t="s">
        <v>63</v>
      </c>
      <c r="K74" s="1210"/>
      <c r="L74" s="1228"/>
      <c r="M74" s="830" t="s">
        <v>57</v>
      </c>
      <c r="N74" s="834">
        <v>39064</v>
      </c>
      <c r="O74" s="830" t="s">
        <v>57</v>
      </c>
      <c r="P74" s="1243" t="s">
        <v>69</v>
      </c>
      <c r="Q74" s="1233">
        <v>45932</v>
      </c>
      <c r="R74" s="1233"/>
      <c r="S74" s="1233"/>
      <c r="T74" s="1233"/>
      <c r="U74" s="1233"/>
      <c r="V74" s="986">
        <v>2982</v>
      </c>
      <c r="W74" s="789"/>
      <c r="X74" s="1214">
        <f t="shared" si="5"/>
        <v>2982</v>
      </c>
      <c r="Y74" s="663">
        <f t="shared" si="6"/>
        <v>0</v>
      </c>
      <c r="Z74" s="1215"/>
      <c r="AA74" s="1216">
        <v>0</v>
      </c>
      <c r="AB74" s="1216">
        <v>0</v>
      </c>
      <c r="AC74" s="646">
        <v>0</v>
      </c>
      <c r="AD74" s="1217" t="s">
        <v>265</v>
      </c>
      <c r="AE74" s="1279"/>
    </row>
    <row r="75" spans="1:56" ht="24.75" customHeight="1">
      <c r="A75" s="1259" t="s">
        <v>266</v>
      </c>
      <c r="B75" s="832" t="s">
        <v>238</v>
      </c>
      <c r="C75" s="1208">
        <v>46249</v>
      </c>
      <c r="D75" s="1228"/>
      <c r="E75" s="1228"/>
      <c r="F75" s="1229"/>
      <c r="G75" s="1228"/>
      <c r="H75" s="1230">
        <v>52</v>
      </c>
      <c r="I75" s="830" t="s">
        <v>55</v>
      </c>
      <c r="J75" s="833" t="s">
        <v>63</v>
      </c>
      <c r="K75" s="1210" t="s">
        <v>77</v>
      </c>
      <c r="L75" s="1228"/>
      <c r="M75" s="830" t="s">
        <v>57</v>
      </c>
      <c r="N75" s="1241">
        <v>61830</v>
      </c>
      <c r="O75" s="830" t="s">
        <v>57</v>
      </c>
      <c r="P75" s="1243" t="s">
        <v>58</v>
      </c>
      <c r="Q75" s="1233"/>
      <c r="R75" s="1233"/>
      <c r="S75" s="1233"/>
      <c r="T75" s="1233"/>
      <c r="U75" s="1233"/>
      <c r="V75" s="1234">
        <v>5149</v>
      </c>
      <c r="W75" s="1214"/>
      <c r="X75" s="1214">
        <f t="shared" si="5"/>
        <v>5149</v>
      </c>
      <c r="Y75" s="663">
        <f t="shared" si="6"/>
        <v>0</v>
      </c>
      <c r="Z75" s="1215"/>
      <c r="AA75" s="1216">
        <v>0</v>
      </c>
      <c r="AB75" s="1216">
        <v>0</v>
      </c>
      <c r="AC75" s="646">
        <v>0</v>
      </c>
      <c r="AD75" s="1217" t="s">
        <v>267</v>
      </c>
      <c r="AE75" s="1279"/>
    </row>
    <row r="76" spans="1:56" ht="24.75" customHeight="1">
      <c r="A76" s="1259" t="s">
        <v>268</v>
      </c>
      <c r="B76" s="832" t="s">
        <v>238</v>
      </c>
      <c r="C76" s="1228">
        <v>46171</v>
      </c>
      <c r="D76" s="1228"/>
      <c r="E76" s="1228"/>
      <c r="F76" s="1229"/>
      <c r="G76" s="1228"/>
      <c r="H76" s="1230">
        <v>56</v>
      </c>
      <c r="I76" s="830" t="s">
        <v>55</v>
      </c>
      <c r="J76" s="833" t="s">
        <v>63</v>
      </c>
      <c r="K76" s="1210" t="s">
        <v>77</v>
      </c>
      <c r="L76" s="1228"/>
      <c r="M76" s="830" t="s">
        <v>57</v>
      </c>
      <c r="N76" s="1241">
        <v>75665</v>
      </c>
      <c r="O76" s="830" t="s">
        <v>57</v>
      </c>
      <c r="P76" s="1243" t="s">
        <v>58</v>
      </c>
      <c r="Q76" s="1233"/>
      <c r="R76" s="1233"/>
      <c r="S76" s="1233"/>
      <c r="T76" s="1233"/>
      <c r="U76" s="1233"/>
      <c r="V76" s="1234">
        <v>6249</v>
      </c>
      <c r="W76" s="1214"/>
      <c r="X76" s="1214">
        <f t="shared" si="5"/>
        <v>6249</v>
      </c>
      <c r="Y76" s="663">
        <f t="shared" si="6"/>
        <v>0</v>
      </c>
      <c r="Z76" s="1215"/>
      <c r="AA76" s="1216">
        <v>0</v>
      </c>
      <c r="AB76" s="1216">
        <v>0</v>
      </c>
      <c r="AC76" s="646">
        <v>0</v>
      </c>
      <c r="AD76" s="1217" t="s">
        <v>269</v>
      </c>
      <c r="AE76" s="1279"/>
    </row>
    <row r="77" spans="1:56" ht="24.75" customHeight="1">
      <c r="A77" s="1259" t="s">
        <v>270</v>
      </c>
      <c r="B77" s="832" t="s">
        <v>238</v>
      </c>
      <c r="C77" s="1228">
        <v>46171</v>
      </c>
      <c r="D77" s="1228"/>
      <c r="E77" s="1228"/>
      <c r="F77" s="1229"/>
      <c r="G77" s="1228" t="s">
        <v>271</v>
      </c>
      <c r="H77" s="833">
        <v>70</v>
      </c>
      <c r="I77" s="830" t="s">
        <v>55</v>
      </c>
      <c r="J77" s="833" t="s">
        <v>63</v>
      </c>
      <c r="K77" s="1210" t="s">
        <v>77</v>
      </c>
      <c r="L77" s="1228"/>
      <c r="M77" s="830" t="s">
        <v>57</v>
      </c>
      <c r="N77" s="834">
        <v>80624</v>
      </c>
      <c r="O77" s="830" t="s">
        <v>57</v>
      </c>
      <c r="P77" s="1243" t="s">
        <v>58</v>
      </c>
      <c r="Q77" s="1233"/>
      <c r="R77" s="1233"/>
      <c r="S77" s="1233"/>
      <c r="T77" s="1233"/>
      <c r="U77" s="1233"/>
      <c r="V77" s="986">
        <v>6762</v>
      </c>
      <c r="W77" s="789"/>
      <c r="X77" s="1214">
        <f t="shared" si="5"/>
        <v>6762</v>
      </c>
      <c r="Y77" s="663">
        <f t="shared" si="6"/>
        <v>0</v>
      </c>
      <c r="Z77" s="1215"/>
      <c r="AA77" s="1216">
        <v>0</v>
      </c>
      <c r="AB77" s="1216">
        <v>0</v>
      </c>
      <c r="AC77" s="646">
        <v>0</v>
      </c>
      <c r="AD77" s="1217" t="s">
        <v>272</v>
      </c>
      <c r="AE77" s="1279"/>
    </row>
    <row r="78" spans="1:56" ht="24.75" customHeight="1">
      <c r="A78" s="1259" t="s">
        <v>273</v>
      </c>
      <c r="B78" s="832" t="s">
        <v>238</v>
      </c>
      <c r="C78" s="1228">
        <v>46171</v>
      </c>
      <c r="D78" s="1228"/>
      <c r="E78" s="1228"/>
      <c r="F78" s="1229"/>
      <c r="G78" s="1228"/>
      <c r="H78" s="1230">
        <v>30</v>
      </c>
      <c r="I78" s="830" t="s">
        <v>55</v>
      </c>
      <c r="J78" s="833" t="s">
        <v>63</v>
      </c>
      <c r="K78" s="1210" t="s">
        <v>77</v>
      </c>
      <c r="L78" s="1228"/>
      <c r="M78" s="830" t="s">
        <v>57</v>
      </c>
      <c r="N78" s="1241">
        <v>45160</v>
      </c>
      <c r="O78" s="830" t="s">
        <v>57</v>
      </c>
      <c r="P78" s="1243" t="s">
        <v>58</v>
      </c>
      <c r="Q78" s="1233"/>
      <c r="R78" s="1233"/>
      <c r="S78" s="1233"/>
      <c r="T78" s="1233"/>
      <c r="U78" s="1233"/>
      <c r="V78" s="1234">
        <v>3700</v>
      </c>
      <c r="W78" s="1214"/>
      <c r="X78" s="1214">
        <f t="shared" si="5"/>
        <v>3700</v>
      </c>
      <c r="Y78" s="663">
        <f t="shared" si="6"/>
        <v>0</v>
      </c>
      <c r="Z78" s="1215"/>
      <c r="AA78" s="1216">
        <v>0</v>
      </c>
      <c r="AB78" s="1216">
        <v>0</v>
      </c>
      <c r="AC78" s="646">
        <v>0</v>
      </c>
      <c r="AD78" s="1217" t="s">
        <v>274</v>
      </c>
      <c r="AE78" s="1279"/>
    </row>
    <row r="79" spans="1:56" ht="24.75" customHeight="1">
      <c r="A79" s="1259" t="s">
        <v>275</v>
      </c>
      <c r="B79" s="832" t="s">
        <v>238</v>
      </c>
      <c r="C79" s="1228">
        <v>46171</v>
      </c>
      <c r="D79" s="1228"/>
      <c r="E79" s="1228"/>
      <c r="F79" s="1229"/>
      <c r="G79" s="1228"/>
      <c r="H79" s="833">
        <v>48</v>
      </c>
      <c r="I79" s="830" t="s">
        <v>55</v>
      </c>
      <c r="J79" s="833" t="s">
        <v>63</v>
      </c>
      <c r="K79" s="1210" t="s">
        <v>77</v>
      </c>
      <c r="L79" s="1228"/>
      <c r="M79" s="830" t="s">
        <v>57</v>
      </c>
      <c r="N79" s="834">
        <v>54814</v>
      </c>
      <c r="O79" s="830" t="s">
        <v>57</v>
      </c>
      <c r="P79" s="1243" t="s">
        <v>58</v>
      </c>
      <c r="Q79" s="1233"/>
      <c r="R79" s="1233"/>
      <c r="S79" s="1233"/>
      <c r="T79" s="1233"/>
      <c r="U79" s="1233"/>
      <c r="V79" s="986">
        <v>4515</v>
      </c>
      <c r="W79" s="789"/>
      <c r="X79" s="1214">
        <f t="shared" si="5"/>
        <v>4515</v>
      </c>
      <c r="Y79" s="663">
        <f t="shared" si="6"/>
        <v>0</v>
      </c>
      <c r="Z79" s="1215"/>
      <c r="AA79" s="1216">
        <v>0</v>
      </c>
      <c r="AB79" s="1216">
        <v>0</v>
      </c>
      <c r="AC79" s="646">
        <v>0</v>
      </c>
      <c r="AD79" s="1217" t="s">
        <v>276</v>
      </c>
      <c r="AE79" s="1279"/>
    </row>
    <row r="80" spans="1:56" ht="24.75" customHeight="1">
      <c r="A80" s="1259" t="s">
        <v>277</v>
      </c>
      <c r="B80" s="832" t="s">
        <v>238</v>
      </c>
      <c r="C80" s="1228">
        <v>46171</v>
      </c>
      <c r="D80" s="1228"/>
      <c r="E80" s="1228"/>
      <c r="F80" s="1229"/>
      <c r="G80" s="1228" t="s">
        <v>278</v>
      </c>
      <c r="H80" s="833">
        <v>60</v>
      </c>
      <c r="I80" s="830" t="s">
        <v>55</v>
      </c>
      <c r="J80" s="833" t="s">
        <v>63</v>
      </c>
      <c r="K80" s="1210" t="s">
        <v>77</v>
      </c>
      <c r="L80" s="1228"/>
      <c r="M80" s="830" t="s">
        <v>57</v>
      </c>
      <c r="N80" s="834">
        <v>76865.5</v>
      </c>
      <c r="O80" s="830" t="s">
        <v>57</v>
      </c>
      <c r="P80" s="1243" t="s">
        <v>58</v>
      </c>
      <c r="Q80" s="1233"/>
      <c r="R80" s="1233"/>
      <c r="S80" s="1233"/>
      <c r="T80" s="1233"/>
      <c r="U80" s="1233"/>
      <c r="V80" s="986">
        <v>5795</v>
      </c>
      <c r="W80" s="789"/>
      <c r="X80" s="1214">
        <f t="shared" si="5"/>
        <v>5795</v>
      </c>
      <c r="Y80" s="663">
        <f t="shared" si="6"/>
        <v>0</v>
      </c>
      <c r="Z80" s="1215"/>
      <c r="AA80" s="1216">
        <v>0</v>
      </c>
      <c r="AB80" s="1216">
        <v>0</v>
      </c>
      <c r="AC80" s="646">
        <v>0</v>
      </c>
      <c r="AD80" s="1217" t="s">
        <v>276</v>
      </c>
      <c r="AE80" s="1279"/>
    </row>
    <row r="81" spans="1:31" ht="24.75" customHeight="1">
      <c r="A81" s="1259" t="s">
        <v>279</v>
      </c>
      <c r="B81" s="832" t="s">
        <v>238</v>
      </c>
      <c r="C81" s="1228">
        <v>46171</v>
      </c>
      <c r="D81" s="1228"/>
      <c r="E81" s="1228"/>
      <c r="F81" s="1229"/>
      <c r="G81" s="1228" t="s">
        <v>280</v>
      </c>
      <c r="H81" s="833">
        <v>72</v>
      </c>
      <c r="I81" s="830" t="s">
        <v>55</v>
      </c>
      <c r="J81" s="833" t="s">
        <v>63</v>
      </c>
      <c r="K81" s="1210" t="s">
        <v>77</v>
      </c>
      <c r="L81" s="1228"/>
      <c r="M81" s="830" t="s">
        <v>57</v>
      </c>
      <c r="N81" s="834">
        <v>85035</v>
      </c>
      <c r="O81" s="830" t="s">
        <v>57</v>
      </c>
      <c r="P81" s="1243" t="s">
        <v>58</v>
      </c>
      <c r="Q81" s="1233"/>
      <c r="R81" s="1233"/>
      <c r="S81" s="1233"/>
      <c r="T81" s="1233"/>
      <c r="U81" s="1233"/>
      <c r="V81" s="986">
        <v>7140</v>
      </c>
      <c r="W81" s="789"/>
      <c r="X81" s="1214">
        <f t="shared" si="5"/>
        <v>7140</v>
      </c>
      <c r="Y81" s="663">
        <f t="shared" si="6"/>
        <v>0</v>
      </c>
      <c r="Z81" s="1215"/>
      <c r="AA81" s="1216">
        <v>0</v>
      </c>
      <c r="AB81" s="1216">
        <v>0</v>
      </c>
      <c r="AC81" s="646">
        <v>0</v>
      </c>
      <c r="AD81" s="1217" t="s">
        <v>276</v>
      </c>
      <c r="AE81" s="1279"/>
    </row>
    <row r="82" spans="1:31" ht="24.75" customHeight="1">
      <c r="A82" s="1259" t="s">
        <v>281</v>
      </c>
      <c r="B82" s="832" t="s">
        <v>238</v>
      </c>
      <c r="C82" s="1208">
        <v>45997</v>
      </c>
      <c r="D82" s="1228"/>
      <c r="E82" s="1228"/>
      <c r="F82" s="1229"/>
      <c r="G82" s="1228"/>
      <c r="H82" s="1230">
        <v>20</v>
      </c>
      <c r="I82" s="830" t="s">
        <v>55</v>
      </c>
      <c r="J82" s="833" t="s">
        <v>63</v>
      </c>
      <c r="K82" s="1210" t="s">
        <v>77</v>
      </c>
      <c r="L82" s="1228"/>
      <c r="M82" s="830" t="s">
        <v>57</v>
      </c>
      <c r="N82" s="1241">
        <v>23501</v>
      </c>
      <c r="O82" s="830" t="s">
        <v>57</v>
      </c>
      <c r="P82" s="1243" t="s">
        <v>58</v>
      </c>
      <c r="Q82" s="1233"/>
      <c r="R82" s="1233"/>
      <c r="S82" s="1233"/>
      <c r="T82" s="1233"/>
      <c r="U82" s="1233"/>
      <c r="V82" s="1234">
        <v>1831</v>
      </c>
      <c r="W82" s="1214"/>
      <c r="X82" s="1214">
        <f t="shared" si="5"/>
        <v>1831</v>
      </c>
      <c r="Y82" s="663">
        <f t="shared" si="6"/>
        <v>0</v>
      </c>
      <c r="Z82" s="1215"/>
      <c r="AA82" s="1216">
        <v>0</v>
      </c>
      <c r="AB82" s="1216">
        <v>0</v>
      </c>
      <c r="AC82" s="646">
        <v>0</v>
      </c>
      <c r="AD82" s="1217" t="s">
        <v>269</v>
      </c>
      <c r="AE82" s="1279"/>
    </row>
    <row r="83" spans="1:31" ht="24.75" customHeight="1">
      <c r="A83" s="1259" t="s">
        <v>282</v>
      </c>
      <c r="B83" s="832" t="s">
        <v>238</v>
      </c>
      <c r="C83" s="1208">
        <v>46112</v>
      </c>
      <c r="D83" s="1228"/>
      <c r="E83" s="1228"/>
      <c r="F83" s="1229"/>
      <c r="G83" s="1228" t="s">
        <v>283</v>
      </c>
      <c r="H83" s="1230">
        <v>0</v>
      </c>
      <c r="I83" s="1210" t="s">
        <v>55</v>
      </c>
      <c r="J83" s="1210" t="s">
        <v>90</v>
      </c>
      <c r="K83" s="1210" t="s">
        <v>120</v>
      </c>
      <c r="L83" s="1228"/>
      <c r="M83" s="1230" t="s">
        <v>57</v>
      </c>
      <c r="N83" s="1241">
        <v>11518.95</v>
      </c>
      <c r="O83" s="1230" t="s">
        <v>57</v>
      </c>
      <c r="P83" s="1243" t="s">
        <v>58</v>
      </c>
      <c r="Q83" s="1233"/>
      <c r="R83" s="1233"/>
      <c r="S83" s="1233"/>
      <c r="T83" s="1233"/>
      <c r="U83" s="1233"/>
      <c r="V83" s="1280">
        <v>881</v>
      </c>
      <c r="W83" s="1214"/>
      <c r="X83" s="1214">
        <f t="shared" si="5"/>
        <v>881</v>
      </c>
      <c r="Y83" s="663">
        <f t="shared" si="6"/>
        <v>0</v>
      </c>
      <c r="Z83" s="1215"/>
      <c r="AA83" s="1216">
        <v>0</v>
      </c>
      <c r="AB83" s="1216">
        <v>0</v>
      </c>
      <c r="AC83" s="646">
        <v>0</v>
      </c>
      <c r="AD83" s="1217" t="s">
        <v>284</v>
      </c>
      <c r="AE83" s="1279"/>
    </row>
    <row r="84" spans="1:31" ht="24.75" customHeight="1">
      <c r="A84" s="1207" t="s">
        <v>285</v>
      </c>
      <c r="B84" s="832" t="s">
        <v>238</v>
      </c>
      <c r="C84" s="1208">
        <v>46112</v>
      </c>
      <c r="D84" s="1228"/>
      <c r="E84" s="1228"/>
      <c r="F84" s="1229"/>
      <c r="G84" s="1228" t="s">
        <v>286</v>
      </c>
      <c r="H84" s="1230">
        <v>20</v>
      </c>
      <c r="I84" s="830" t="s">
        <v>55</v>
      </c>
      <c r="J84" s="833" t="s">
        <v>63</v>
      </c>
      <c r="K84" s="1210"/>
      <c r="L84" s="1228"/>
      <c r="M84" s="1230" t="s">
        <v>57</v>
      </c>
      <c r="N84" s="1241">
        <v>1733.25</v>
      </c>
      <c r="O84" s="1230" t="s">
        <v>57</v>
      </c>
      <c r="P84" s="1243" t="s">
        <v>69</v>
      </c>
      <c r="Q84" s="1233">
        <v>45979</v>
      </c>
      <c r="R84" s="1233"/>
      <c r="S84" s="1233"/>
      <c r="T84" s="1233"/>
      <c r="U84" s="1233"/>
      <c r="V84" s="1234">
        <v>255</v>
      </c>
      <c r="W84" s="1214"/>
      <c r="X84" s="1214">
        <f>SUM(V84-W84)</f>
        <v>255</v>
      </c>
      <c r="Y84" s="663">
        <f>IFERROR($W84/$V84, 0)</f>
        <v>0</v>
      </c>
      <c r="Z84" s="1215"/>
      <c r="AA84" s="1216">
        <v>0</v>
      </c>
      <c r="AB84" s="1216">
        <v>0</v>
      </c>
      <c r="AC84" s="646">
        <v>0</v>
      </c>
      <c r="AD84" s="1281" t="s">
        <v>287</v>
      </c>
      <c r="AE84" s="1279"/>
    </row>
    <row r="85" spans="1:31" ht="24.75" customHeight="1">
      <c r="A85" s="1207" t="s">
        <v>288</v>
      </c>
      <c r="B85" s="832" t="s">
        <v>238</v>
      </c>
      <c r="C85" s="1208">
        <v>46099</v>
      </c>
      <c r="D85" s="1228"/>
      <c r="E85" s="1228"/>
      <c r="F85" s="1229"/>
      <c r="G85" s="1228"/>
      <c r="H85" s="1230">
        <v>0</v>
      </c>
      <c r="I85" s="830" t="s">
        <v>55</v>
      </c>
      <c r="J85" s="833" t="s">
        <v>63</v>
      </c>
      <c r="K85" s="1210"/>
      <c r="L85" s="1228"/>
      <c r="M85" s="830" t="s">
        <v>57</v>
      </c>
      <c r="N85" s="1241">
        <v>18270.8</v>
      </c>
      <c r="O85" s="830" t="s">
        <v>57</v>
      </c>
      <c r="P85" s="1243" t="s">
        <v>58</v>
      </c>
      <c r="Q85" s="1233"/>
      <c r="R85" s="1233"/>
      <c r="S85" s="1233"/>
      <c r="T85" s="1233"/>
      <c r="U85" s="1233"/>
      <c r="V85" s="1234">
        <v>1388</v>
      </c>
      <c r="W85" s="1214"/>
      <c r="X85" s="1214">
        <f>SUM(V85-W85)</f>
        <v>1388</v>
      </c>
      <c r="Y85" s="663">
        <f>IFERROR($W85/$V85, 0)</f>
        <v>0</v>
      </c>
      <c r="Z85" s="1215"/>
      <c r="AA85" s="1216">
        <v>0</v>
      </c>
      <c r="AB85" s="1216">
        <v>0</v>
      </c>
      <c r="AC85" s="1234">
        <v>0</v>
      </c>
      <c r="AD85" s="1217" t="s">
        <v>289</v>
      </c>
      <c r="AE85" s="1279"/>
    </row>
    <row r="86" spans="1:31" ht="24.75" customHeight="1">
      <c r="A86" s="1207" t="s">
        <v>290</v>
      </c>
      <c r="B86" s="832" t="s">
        <v>238</v>
      </c>
      <c r="C86" s="1208">
        <v>46112</v>
      </c>
      <c r="D86" s="1229"/>
      <c r="E86" s="1228"/>
      <c r="F86" s="1229"/>
      <c r="G86" s="1229" t="s">
        <v>291</v>
      </c>
      <c r="H86" s="1230">
        <v>0</v>
      </c>
      <c r="I86" s="830" t="s">
        <v>55</v>
      </c>
      <c r="J86" s="1230" t="s">
        <v>63</v>
      </c>
      <c r="K86" s="1210"/>
      <c r="L86" s="1228"/>
      <c r="M86" s="1230" t="s">
        <v>57</v>
      </c>
      <c r="N86" s="1241">
        <v>3995.4</v>
      </c>
      <c r="O86" s="1230" t="s">
        <v>57</v>
      </c>
      <c r="P86" s="1243" t="s">
        <v>69</v>
      </c>
      <c r="Q86" s="1233">
        <v>45979</v>
      </c>
      <c r="R86" s="1233"/>
      <c r="S86" s="1233"/>
      <c r="T86" s="1233"/>
      <c r="U86" s="1233"/>
      <c r="V86" s="1234">
        <v>294</v>
      </c>
      <c r="W86" s="1214"/>
      <c r="X86" s="1214">
        <f t="shared" si="5"/>
        <v>294</v>
      </c>
      <c r="Y86" s="663">
        <f t="shared" si="6"/>
        <v>0</v>
      </c>
      <c r="Z86" s="1215"/>
      <c r="AA86" s="1216">
        <v>0</v>
      </c>
      <c r="AB86" s="1216">
        <v>0</v>
      </c>
      <c r="AC86" s="1234">
        <v>0</v>
      </c>
      <c r="AD86" s="1217" t="s">
        <v>292</v>
      </c>
      <c r="AE86" s="1279"/>
    </row>
    <row r="87" spans="1:31" ht="24.75" customHeight="1">
      <c r="A87" s="1207" t="s">
        <v>293</v>
      </c>
      <c r="B87" s="832" t="s">
        <v>238</v>
      </c>
      <c r="C87" s="1208">
        <v>46040</v>
      </c>
      <c r="D87" s="1229"/>
      <c r="E87" s="1228"/>
      <c r="F87" s="1229"/>
      <c r="G87" s="1229" t="s">
        <v>294</v>
      </c>
      <c r="H87" s="1230">
        <v>0</v>
      </c>
      <c r="I87" s="830" t="s">
        <v>55</v>
      </c>
      <c r="J87" s="1230" t="s">
        <v>63</v>
      </c>
      <c r="K87" s="1210"/>
      <c r="L87" s="1228"/>
      <c r="M87" s="1230" t="s">
        <v>57</v>
      </c>
      <c r="N87" s="1241">
        <v>18171.599999999999</v>
      </c>
      <c r="O87" s="1230" t="s">
        <v>57</v>
      </c>
      <c r="P87" s="1243" t="s">
        <v>69</v>
      </c>
      <c r="Q87" s="1233">
        <v>45979</v>
      </c>
      <c r="R87" s="1233"/>
      <c r="S87" s="1233"/>
      <c r="T87" s="1233"/>
      <c r="U87" s="1233"/>
      <c r="V87" s="1234">
        <v>1514</v>
      </c>
      <c r="W87" s="1214"/>
      <c r="X87" s="1214">
        <f>SUM(V87-W87)</f>
        <v>1514</v>
      </c>
      <c r="Y87" s="663">
        <f>IFERROR($W87/$V87, 0)</f>
        <v>0</v>
      </c>
      <c r="Z87" s="1215"/>
      <c r="AA87" s="1216">
        <v>0</v>
      </c>
      <c r="AB87" s="1216">
        <v>0</v>
      </c>
      <c r="AC87" s="1234">
        <v>0</v>
      </c>
      <c r="AD87" s="1217" t="s">
        <v>295</v>
      </c>
      <c r="AE87" s="1279"/>
    </row>
    <row r="88" spans="1:31" ht="24.75" customHeight="1">
      <c r="A88" s="1207" t="s">
        <v>296</v>
      </c>
      <c r="B88" s="832" t="s">
        <v>238</v>
      </c>
      <c r="C88" s="1208">
        <v>46040</v>
      </c>
      <c r="D88" s="1229"/>
      <c r="E88" s="1228"/>
      <c r="F88" s="1229"/>
      <c r="G88" s="1229" t="s">
        <v>297</v>
      </c>
      <c r="H88" s="1230">
        <v>0</v>
      </c>
      <c r="I88" s="830" t="s">
        <v>55</v>
      </c>
      <c r="J88" s="1230" t="s">
        <v>63</v>
      </c>
      <c r="K88" s="1210"/>
      <c r="L88" s="1228"/>
      <c r="M88" s="1230" t="s">
        <v>57</v>
      </c>
      <c r="N88" s="1241">
        <v>1675.2</v>
      </c>
      <c r="O88" s="1230" t="s">
        <v>57</v>
      </c>
      <c r="P88" s="1243" t="s">
        <v>69</v>
      </c>
      <c r="Q88" s="1233">
        <v>45979</v>
      </c>
      <c r="R88" s="1233"/>
      <c r="S88" s="1233"/>
      <c r="T88" s="1233"/>
      <c r="U88" s="1233"/>
      <c r="V88" s="1234">
        <v>123</v>
      </c>
      <c r="W88" s="1214"/>
      <c r="X88" s="1214">
        <f t="shared" si="5"/>
        <v>123</v>
      </c>
      <c r="Y88" s="663">
        <f t="shared" si="6"/>
        <v>0</v>
      </c>
      <c r="Z88" s="1215"/>
      <c r="AA88" s="1216">
        <v>0</v>
      </c>
      <c r="AB88" s="1216">
        <v>0</v>
      </c>
      <c r="AC88" s="1234">
        <v>0</v>
      </c>
      <c r="AD88" s="1217" t="s">
        <v>298</v>
      </c>
      <c r="AE88" s="1279"/>
    </row>
    <row r="89" spans="1:31" ht="24.75" customHeight="1">
      <c r="A89" s="1207" t="s">
        <v>299</v>
      </c>
      <c r="B89" s="832" t="s">
        <v>238</v>
      </c>
      <c r="C89" s="1208">
        <v>46040</v>
      </c>
      <c r="D89" s="1229" t="s">
        <v>72</v>
      </c>
      <c r="E89" s="1228">
        <v>45867</v>
      </c>
      <c r="F89" s="1229" t="s">
        <v>239</v>
      </c>
      <c r="G89" s="1229" t="s">
        <v>300</v>
      </c>
      <c r="H89" s="1230">
        <v>0</v>
      </c>
      <c r="I89" s="830" t="s">
        <v>55</v>
      </c>
      <c r="J89" s="1230" t="s">
        <v>63</v>
      </c>
      <c r="K89" s="1210"/>
      <c r="L89" s="1228"/>
      <c r="M89" s="1230" t="s">
        <v>57</v>
      </c>
      <c r="N89" s="1241">
        <v>144972.5</v>
      </c>
      <c r="O89" s="1230" t="s">
        <v>57</v>
      </c>
      <c r="P89" s="1212" t="s">
        <v>64</v>
      </c>
      <c r="Q89" s="1233">
        <v>45867</v>
      </c>
      <c r="R89" s="1233"/>
      <c r="S89" s="1233"/>
      <c r="T89" s="1233"/>
      <c r="U89" s="1233"/>
      <c r="V89" s="986">
        <v>4597</v>
      </c>
      <c r="W89" s="789">
        <v>4462</v>
      </c>
      <c r="X89" s="1214">
        <f t="shared" si="5"/>
        <v>135</v>
      </c>
      <c r="Y89" s="663">
        <f t="shared" si="6"/>
        <v>0.97063302153578424</v>
      </c>
      <c r="Z89" s="1233">
        <v>45884</v>
      </c>
      <c r="AA89" s="1216">
        <v>0</v>
      </c>
      <c r="AB89" s="1216">
        <v>0</v>
      </c>
      <c r="AC89" s="1234">
        <v>0</v>
      </c>
      <c r="AD89" s="1217"/>
      <c r="AE89" s="1279"/>
    </row>
    <row r="90" spans="1:31" ht="24.75" customHeight="1">
      <c r="A90" s="1207" t="s">
        <v>301</v>
      </c>
      <c r="B90" s="832" t="s">
        <v>238</v>
      </c>
      <c r="C90" s="1208">
        <v>46040</v>
      </c>
      <c r="D90" s="1229"/>
      <c r="E90" s="1228"/>
      <c r="F90" s="1229"/>
      <c r="G90" s="1229"/>
      <c r="H90" s="1230">
        <v>0</v>
      </c>
      <c r="I90" s="830" t="s">
        <v>55</v>
      </c>
      <c r="J90" s="1230" t="s">
        <v>63</v>
      </c>
      <c r="K90" s="1210"/>
      <c r="L90" s="1228"/>
      <c r="M90" s="1230" t="s">
        <v>57</v>
      </c>
      <c r="N90" s="1241">
        <v>45312.55</v>
      </c>
      <c r="O90" s="1230" t="s">
        <v>57</v>
      </c>
      <c r="P90" s="1212" t="s">
        <v>58</v>
      </c>
      <c r="Q90" s="1233"/>
      <c r="R90" s="1233"/>
      <c r="S90" s="1233"/>
      <c r="T90" s="1233"/>
      <c r="U90" s="1233"/>
      <c r="V90" s="1234">
        <v>3683</v>
      </c>
      <c r="W90" s="1214"/>
      <c r="X90" s="1214">
        <f>SUM(V90-W90)</f>
        <v>3683</v>
      </c>
      <c r="Y90" s="663">
        <f>IFERROR($W90/$V90, 0)</f>
        <v>0</v>
      </c>
      <c r="Z90" s="1233"/>
      <c r="AA90" s="1216">
        <v>0</v>
      </c>
      <c r="AB90" s="1216">
        <v>0</v>
      </c>
      <c r="AC90" s="1234">
        <v>0</v>
      </c>
      <c r="AD90" s="1217" t="s">
        <v>302</v>
      </c>
      <c r="AE90" s="1279"/>
    </row>
    <row r="91" spans="1:31" ht="24.75" customHeight="1">
      <c r="A91" s="1207" t="s">
        <v>303</v>
      </c>
      <c r="B91" s="832" t="s">
        <v>238</v>
      </c>
      <c r="C91" s="1208">
        <v>46045</v>
      </c>
      <c r="D91" s="1229"/>
      <c r="E91" s="1228"/>
      <c r="F91" s="1229"/>
      <c r="G91" s="1229" t="s">
        <v>304</v>
      </c>
      <c r="H91" s="1230">
        <v>0</v>
      </c>
      <c r="I91" s="830" t="s">
        <v>55</v>
      </c>
      <c r="J91" s="1230" t="s">
        <v>63</v>
      </c>
      <c r="K91" s="1210"/>
      <c r="L91" s="1228"/>
      <c r="M91" s="1230" t="s">
        <v>57</v>
      </c>
      <c r="N91" s="1241">
        <v>105558.2</v>
      </c>
      <c r="O91" s="1230" t="s">
        <v>57</v>
      </c>
      <c r="P91" s="1243" t="s">
        <v>69</v>
      </c>
      <c r="Q91" s="1233">
        <v>45978</v>
      </c>
      <c r="R91" s="1233"/>
      <c r="S91" s="1233"/>
      <c r="T91" s="1233"/>
      <c r="U91" s="1233"/>
      <c r="V91" s="1234">
        <v>7753</v>
      </c>
      <c r="W91" s="1214"/>
      <c r="X91" s="1214">
        <f>SUM(V91-W91)</f>
        <v>7753</v>
      </c>
      <c r="Y91" s="663">
        <f>IFERROR($W91/$V91, 0)</f>
        <v>0</v>
      </c>
      <c r="Z91" s="1215"/>
      <c r="AA91" s="1216">
        <v>0</v>
      </c>
      <c r="AB91" s="1216">
        <v>0</v>
      </c>
      <c r="AC91" s="1234">
        <v>0</v>
      </c>
      <c r="AD91" s="1217" t="s">
        <v>305</v>
      </c>
      <c r="AE91" s="1279"/>
    </row>
    <row r="92" spans="1:31" ht="24.75" customHeight="1">
      <c r="A92" s="1259" t="s">
        <v>306</v>
      </c>
      <c r="B92" s="832" t="s">
        <v>238</v>
      </c>
      <c r="C92" s="1228">
        <v>46011</v>
      </c>
      <c r="D92" s="1229" t="s">
        <v>259</v>
      </c>
      <c r="E92" s="1228">
        <v>45923</v>
      </c>
      <c r="F92" s="1229" t="s">
        <v>260</v>
      </c>
      <c r="G92" s="1229" t="s">
        <v>307</v>
      </c>
      <c r="H92" s="1230">
        <v>0</v>
      </c>
      <c r="I92" s="830" t="s">
        <v>55</v>
      </c>
      <c r="J92" s="1230" t="s">
        <v>63</v>
      </c>
      <c r="K92" s="1210"/>
      <c r="L92" s="1228"/>
      <c r="M92" s="1230" t="s">
        <v>57</v>
      </c>
      <c r="N92" s="1241">
        <v>139581.6</v>
      </c>
      <c r="O92" s="1230" t="s">
        <v>57</v>
      </c>
      <c r="P92" s="1243" t="s">
        <v>69</v>
      </c>
      <c r="Q92" s="1233">
        <v>45918</v>
      </c>
      <c r="R92" s="1233"/>
      <c r="S92" s="1233"/>
      <c r="T92" s="1233"/>
      <c r="U92" s="1233"/>
      <c r="V92" s="986">
        <v>11150</v>
      </c>
      <c r="W92" s="1214"/>
      <c r="X92" s="1214">
        <f t="shared" si="5"/>
        <v>11150</v>
      </c>
      <c r="Y92" s="663">
        <f t="shared" si="6"/>
        <v>0</v>
      </c>
      <c r="Z92" s="1215"/>
      <c r="AA92" s="1216">
        <v>0</v>
      </c>
      <c r="AB92" s="1216">
        <v>0</v>
      </c>
      <c r="AC92" s="1234">
        <v>0</v>
      </c>
      <c r="AD92" s="1248" t="s">
        <v>308</v>
      </c>
      <c r="AE92" s="1279"/>
    </row>
    <row r="93" spans="1:31" ht="24.75" customHeight="1">
      <c r="A93" s="1259" t="s">
        <v>309</v>
      </c>
      <c r="B93" s="832" t="s">
        <v>238</v>
      </c>
      <c r="C93" s="1208">
        <v>46096</v>
      </c>
      <c r="D93" s="1229"/>
      <c r="E93" s="1228"/>
      <c r="F93" s="1229"/>
      <c r="G93" s="1229"/>
      <c r="H93" s="1230">
        <v>0</v>
      </c>
      <c r="I93" s="830" t="s">
        <v>55</v>
      </c>
      <c r="J93" s="1230" t="s">
        <v>63</v>
      </c>
      <c r="K93" s="1210"/>
      <c r="L93" s="1228"/>
      <c r="M93" s="1230" t="s">
        <v>57</v>
      </c>
      <c r="N93" s="1241">
        <v>73653.899999999994</v>
      </c>
      <c r="O93" s="1230" t="s">
        <v>57</v>
      </c>
      <c r="P93" s="1243" t="s">
        <v>58</v>
      </c>
      <c r="Q93" s="1233"/>
      <c r="R93" s="1233"/>
      <c r="S93" s="1233"/>
      <c r="T93" s="1233"/>
      <c r="U93" s="1233"/>
      <c r="V93" s="986">
        <v>5394</v>
      </c>
      <c r="W93" s="1214"/>
      <c r="X93" s="1214">
        <f t="shared" si="5"/>
        <v>5394</v>
      </c>
      <c r="Y93" s="663">
        <f t="shared" si="6"/>
        <v>0</v>
      </c>
      <c r="Z93" s="1215"/>
      <c r="AA93" s="1216">
        <v>0</v>
      </c>
      <c r="AB93" s="1216">
        <v>0</v>
      </c>
      <c r="AC93" s="1234">
        <v>0</v>
      </c>
      <c r="AD93" s="1248"/>
      <c r="AE93" s="1279"/>
    </row>
    <row r="94" spans="1:31" ht="24.75" customHeight="1">
      <c r="A94" s="1259" t="s">
        <v>310</v>
      </c>
      <c r="B94" s="832" t="s">
        <v>238</v>
      </c>
      <c r="C94" s="1208">
        <v>46112</v>
      </c>
      <c r="D94" s="1229"/>
      <c r="E94" s="1228"/>
      <c r="F94" s="1229"/>
      <c r="G94" s="1229"/>
      <c r="H94" s="1230">
        <v>0</v>
      </c>
      <c r="I94" s="830" t="s">
        <v>55</v>
      </c>
      <c r="J94" s="1230" t="s">
        <v>63</v>
      </c>
      <c r="K94" s="1210"/>
      <c r="L94" s="1228"/>
      <c r="M94" s="1230" t="s">
        <v>57</v>
      </c>
      <c r="N94" s="1241">
        <v>6526.35</v>
      </c>
      <c r="O94" s="1230" t="s">
        <v>57</v>
      </c>
      <c r="P94" s="1243" t="s">
        <v>58</v>
      </c>
      <c r="Q94" s="1233"/>
      <c r="R94" s="1233"/>
      <c r="S94" s="1233"/>
      <c r="T94" s="1233"/>
      <c r="U94" s="1233"/>
      <c r="V94" s="1234">
        <v>411</v>
      </c>
      <c r="W94" s="1214"/>
      <c r="X94" s="1214">
        <f t="shared" si="5"/>
        <v>411</v>
      </c>
      <c r="Y94" s="663">
        <f t="shared" si="6"/>
        <v>0</v>
      </c>
      <c r="Z94" s="1215"/>
      <c r="AA94" s="1216">
        <v>0</v>
      </c>
      <c r="AB94" s="1216">
        <v>0</v>
      </c>
      <c r="AC94" s="1234">
        <v>0</v>
      </c>
      <c r="AD94" s="1217" t="s">
        <v>267</v>
      </c>
      <c r="AE94" s="1279"/>
    </row>
    <row r="95" spans="1:31" ht="24.75" customHeight="1">
      <c r="A95" s="1259" t="s">
        <v>311</v>
      </c>
      <c r="B95" s="832" t="s">
        <v>238</v>
      </c>
      <c r="C95" s="1228">
        <v>46030</v>
      </c>
      <c r="D95" s="1229"/>
      <c r="E95" s="1228"/>
      <c r="F95" s="1229"/>
      <c r="G95" s="1229" t="s">
        <v>312</v>
      </c>
      <c r="H95" s="1230">
        <v>0</v>
      </c>
      <c r="I95" s="830" t="s">
        <v>55</v>
      </c>
      <c r="J95" s="833" t="s">
        <v>63</v>
      </c>
      <c r="K95" s="1210" t="s">
        <v>77</v>
      </c>
      <c r="L95" s="1228"/>
      <c r="M95" s="1230" t="s">
        <v>57</v>
      </c>
      <c r="N95" s="1241">
        <v>170309.8</v>
      </c>
      <c r="O95" s="1230" t="s">
        <v>57</v>
      </c>
      <c r="P95" s="1243" t="s">
        <v>58</v>
      </c>
      <c r="Q95" s="1233"/>
      <c r="R95" s="1233"/>
      <c r="S95" s="1233"/>
      <c r="T95" s="1233"/>
      <c r="U95" s="1233"/>
      <c r="V95" s="1234">
        <v>13379</v>
      </c>
      <c r="W95" s="1214"/>
      <c r="X95" s="1214">
        <f>SUM(V95-W95)</f>
        <v>13379</v>
      </c>
      <c r="Y95" s="663">
        <f>IFERROR($W95/$V95, 0)</f>
        <v>0</v>
      </c>
      <c r="Z95" s="1215"/>
      <c r="AA95" s="1216">
        <v>0</v>
      </c>
      <c r="AB95" s="1216">
        <v>0</v>
      </c>
      <c r="AC95" s="1234">
        <v>0</v>
      </c>
      <c r="AD95" s="1217" t="s">
        <v>313</v>
      </c>
      <c r="AE95" s="1279"/>
    </row>
    <row r="96" spans="1:31" ht="24.75" customHeight="1">
      <c r="A96" s="1207" t="s">
        <v>314</v>
      </c>
      <c r="B96" s="832" t="s">
        <v>238</v>
      </c>
      <c r="C96" s="1208">
        <v>46040</v>
      </c>
      <c r="D96" s="1229"/>
      <c r="E96" s="1228"/>
      <c r="F96" s="1229"/>
      <c r="G96" s="1229"/>
      <c r="H96" s="1230">
        <v>76</v>
      </c>
      <c r="I96" s="830" t="s">
        <v>55</v>
      </c>
      <c r="J96" s="833" t="s">
        <v>63</v>
      </c>
      <c r="K96" s="1210"/>
      <c r="L96" s="1228"/>
      <c r="M96" s="1230" t="s">
        <v>57</v>
      </c>
      <c r="N96" s="1241">
        <v>64325</v>
      </c>
      <c r="O96" s="1230" t="s">
        <v>57</v>
      </c>
      <c r="P96" s="1243" t="s">
        <v>58</v>
      </c>
      <c r="Q96" s="1233"/>
      <c r="R96" s="1233"/>
      <c r="S96" s="1233"/>
      <c r="T96" s="1233"/>
      <c r="U96" s="1233"/>
      <c r="V96" s="1234">
        <v>6160</v>
      </c>
      <c r="W96" s="1214"/>
      <c r="X96" s="1214">
        <f>SUM(V96-W96)</f>
        <v>6160</v>
      </c>
      <c r="Y96" s="663">
        <f>IFERROR($W96/$V96, 0)</f>
        <v>0</v>
      </c>
      <c r="Z96" s="1215"/>
      <c r="AA96" s="1216">
        <v>0</v>
      </c>
      <c r="AB96" s="1216">
        <v>0</v>
      </c>
      <c r="AC96" s="1234">
        <v>0</v>
      </c>
      <c r="AD96" s="1217"/>
      <c r="AE96" s="1279"/>
    </row>
    <row r="97" spans="1:31" ht="24.75" customHeight="1">
      <c r="A97" s="1282" t="s">
        <v>315</v>
      </c>
      <c r="B97" s="832" t="s">
        <v>316</v>
      </c>
      <c r="C97" s="1208">
        <v>46006</v>
      </c>
      <c r="D97" s="1229" t="s">
        <v>259</v>
      </c>
      <c r="E97" s="1228">
        <v>45987</v>
      </c>
      <c r="F97" s="1229" t="s">
        <v>250</v>
      </c>
      <c r="G97" s="1229" t="s">
        <v>317</v>
      </c>
      <c r="H97" s="1230">
        <v>30</v>
      </c>
      <c r="I97" s="830" t="s">
        <v>318</v>
      </c>
      <c r="J97" s="833" t="s">
        <v>63</v>
      </c>
      <c r="K97" s="1210"/>
      <c r="L97" s="1228"/>
      <c r="M97" s="1230" t="s">
        <v>57</v>
      </c>
      <c r="N97" s="1241">
        <v>31387.05</v>
      </c>
      <c r="O97" s="1230" t="s">
        <v>57</v>
      </c>
      <c r="P97" s="1283" t="s">
        <v>319</v>
      </c>
      <c r="Q97" s="1233">
        <v>45992</v>
      </c>
      <c r="R97" s="1233"/>
      <c r="S97" s="1233"/>
      <c r="T97" s="1233"/>
      <c r="U97" s="1233"/>
      <c r="V97" s="1234">
        <v>2580</v>
      </c>
      <c r="W97" s="1284">
        <v>2637</v>
      </c>
      <c r="X97" s="1214">
        <f t="shared" si="5"/>
        <v>-57</v>
      </c>
      <c r="Y97" s="663">
        <f t="shared" si="6"/>
        <v>1.0220930232558139</v>
      </c>
      <c r="Z97" s="1233">
        <v>46001</v>
      </c>
      <c r="AA97" s="1216">
        <v>0</v>
      </c>
      <c r="AB97" s="1216">
        <v>0</v>
      </c>
      <c r="AC97" s="1234">
        <v>0</v>
      </c>
      <c r="AD97" s="1217" t="s">
        <v>320</v>
      </c>
      <c r="AE97" s="1279"/>
    </row>
    <row r="98" spans="1:31" ht="24.75" customHeight="1">
      <c r="A98" s="1207" t="s">
        <v>321</v>
      </c>
      <c r="B98" s="832" t="s">
        <v>316</v>
      </c>
      <c r="C98" s="1208">
        <v>46006</v>
      </c>
      <c r="D98" s="1229"/>
      <c r="E98" s="1228"/>
      <c r="F98" s="1229"/>
      <c r="G98" s="1229" t="s">
        <v>322</v>
      </c>
      <c r="H98" s="1230">
        <v>73</v>
      </c>
      <c r="I98" s="830" t="s">
        <v>55</v>
      </c>
      <c r="J98" s="833" t="s">
        <v>63</v>
      </c>
      <c r="K98" s="1210"/>
      <c r="L98" s="1228"/>
      <c r="M98" s="1230" t="s">
        <v>57</v>
      </c>
      <c r="N98" s="1241">
        <v>77814</v>
      </c>
      <c r="O98" s="1230" t="s">
        <v>57</v>
      </c>
      <c r="P98" s="1243" t="s">
        <v>58</v>
      </c>
      <c r="Q98" s="1233"/>
      <c r="R98" s="1233"/>
      <c r="S98" s="1233"/>
      <c r="T98" s="1233"/>
      <c r="U98" s="1233"/>
      <c r="V98" s="1234">
        <v>6263</v>
      </c>
      <c r="W98" s="1214"/>
      <c r="X98" s="1214">
        <f t="shared" si="5"/>
        <v>6263</v>
      </c>
      <c r="Y98" s="663">
        <f t="shared" si="6"/>
        <v>0</v>
      </c>
      <c r="Z98" s="1215"/>
      <c r="AA98" s="1216">
        <v>0</v>
      </c>
      <c r="AB98" s="1216">
        <v>0</v>
      </c>
      <c r="AC98" s="1234">
        <v>0</v>
      </c>
      <c r="AD98" s="1217" t="s">
        <v>323</v>
      </c>
      <c r="AE98" s="1279"/>
    </row>
    <row r="99" spans="1:31" ht="24.75" customHeight="1">
      <c r="A99" s="1207" t="s">
        <v>324</v>
      </c>
      <c r="B99" s="832" t="s">
        <v>316</v>
      </c>
      <c r="C99" s="1208">
        <v>46006</v>
      </c>
      <c r="D99" s="1229" t="s">
        <v>72</v>
      </c>
      <c r="E99" s="1228">
        <v>46001</v>
      </c>
      <c r="F99" s="1229" t="s">
        <v>239</v>
      </c>
      <c r="G99" s="1229" t="s">
        <v>325</v>
      </c>
      <c r="H99" s="1230">
        <v>80</v>
      </c>
      <c r="I99" s="830" t="s">
        <v>55</v>
      </c>
      <c r="J99" s="833" t="s">
        <v>63</v>
      </c>
      <c r="K99" s="1210"/>
      <c r="L99" s="1228"/>
      <c r="M99" s="1230" t="s">
        <v>57</v>
      </c>
      <c r="N99" s="1241">
        <v>65843.5</v>
      </c>
      <c r="O99" s="1230" t="s">
        <v>57</v>
      </c>
      <c r="P99" s="1243" t="s">
        <v>64</v>
      </c>
      <c r="Q99" s="1233">
        <v>45995</v>
      </c>
      <c r="R99" s="1233"/>
      <c r="S99" s="1233"/>
      <c r="T99" s="1233"/>
      <c r="U99" s="1233"/>
      <c r="V99" s="1234">
        <v>5052</v>
      </c>
      <c r="W99" s="1343">
        <v>1832</v>
      </c>
      <c r="X99" s="1214">
        <f t="shared" si="5"/>
        <v>3220</v>
      </c>
      <c r="Y99" s="663">
        <f t="shared" si="6"/>
        <v>0.36262866191607285</v>
      </c>
      <c r="Z99" s="1233">
        <v>46001</v>
      </c>
      <c r="AA99" s="1216">
        <v>0</v>
      </c>
      <c r="AB99" s="1216">
        <v>0</v>
      </c>
      <c r="AC99" s="1234">
        <v>0</v>
      </c>
      <c r="AD99" s="1217" t="s">
        <v>326</v>
      </c>
      <c r="AE99" s="1279"/>
    </row>
    <row r="100" spans="1:31" ht="24.75" customHeight="1">
      <c r="A100" s="1207" t="s">
        <v>327</v>
      </c>
      <c r="B100" s="832" t="s">
        <v>316</v>
      </c>
      <c r="C100" s="1208">
        <v>46006</v>
      </c>
      <c r="D100" s="1229"/>
      <c r="E100" s="1228"/>
      <c r="F100" s="1229"/>
      <c r="G100" s="1229" t="s">
        <v>328</v>
      </c>
      <c r="H100" s="1230">
        <v>88</v>
      </c>
      <c r="I100" s="830" t="s">
        <v>55</v>
      </c>
      <c r="J100" s="833" t="s">
        <v>63</v>
      </c>
      <c r="K100" s="1210"/>
      <c r="L100" s="1228"/>
      <c r="M100" s="1230" t="s">
        <v>57</v>
      </c>
      <c r="N100" s="1241">
        <v>79638</v>
      </c>
      <c r="O100" s="1230" t="s">
        <v>57</v>
      </c>
      <c r="P100" s="1243" t="s">
        <v>58</v>
      </c>
      <c r="Q100" s="1233"/>
      <c r="R100" s="1233"/>
      <c r="S100" s="1233"/>
      <c r="T100" s="1233"/>
      <c r="U100" s="1233"/>
      <c r="V100" s="1234">
        <v>6613</v>
      </c>
      <c r="W100" s="1214"/>
      <c r="X100" s="1214">
        <f t="shared" si="5"/>
        <v>6613</v>
      </c>
      <c r="Y100" s="663">
        <f t="shared" si="6"/>
        <v>0</v>
      </c>
      <c r="Z100" s="1215"/>
      <c r="AA100" s="1216">
        <v>0</v>
      </c>
      <c r="AB100" s="1216">
        <v>0</v>
      </c>
      <c r="AC100" s="1234">
        <v>0</v>
      </c>
      <c r="AD100" s="1217" t="s">
        <v>326</v>
      </c>
      <c r="AE100" s="1279"/>
    </row>
    <row r="101" spans="1:31" ht="24.75" customHeight="1">
      <c r="A101" s="1207" t="s">
        <v>329</v>
      </c>
      <c r="B101" s="832" t="s">
        <v>316</v>
      </c>
      <c r="C101" s="1208">
        <v>46006</v>
      </c>
      <c r="D101" s="1229"/>
      <c r="E101" s="1228"/>
      <c r="F101" s="1229"/>
      <c r="G101" s="1229" t="s">
        <v>330</v>
      </c>
      <c r="H101" s="1230">
        <v>61</v>
      </c>
      <c r="I101" s="830" t="s">
        <v>55</v>
      </c>
      <c r="J101" s="1230" t="s">
        <v>63</v>
      </c>
      <c r="K101" s="1210"/>
      <c r="L101" s="1228"/>
      <c r="M101" s="1230" t="s">
        <v>57</v>
      </c>
      <c r="N101" s="1241">
        <v>56650</v>
      </c>
      <c r="O101" s="1230" t="s">
        <v>57</v>
      </c>
      <c r="P101" s="1243" t="s">
        <v>58</v>
      </c>
      <c r="Q101" s="1233"/>
      <c r="R101" s="1233"/>
      <c r="S101" s="1233"/>
      <c r="T101" s="1233"/>
      <c r="U101" s="1233"/>
      <c r="V101" s="1234">
        <v>4641</v>
      </c>
      <c r="W101" s="1214"/>
      <c r="X101" s="1214">
        <f t="shared" si="5"/>
        <v>4641</v>
      </c>
      <c r="Y101" s="663">
        <f t="shared" si="6"/>
        <v>0</v>
      </c>
      <c r="Z101" s="1215"/>
      <c r="AA101" s="1216">
        <v>0</v>
      </c>
      <c r="AB101" s="1216">
        <v>0</v>
      </c>
      <c r="AC101" s="1234">
        <v>0</v>
      </c>
      <c r="AD101" s="1217" t="s">
        <v>331</v>
      </c>
      <c r="AE101" s="1279"/>
    </row>
    <row r="102" spans="1:31" ht="24.75" customHeight="1">
      <c r="A102" s="1259" t="s">
        <v>332</v>
      </c>
      <c r="B102" s="832" t="s">
        <v>316</v>
      </c>
      <c r="C102" s="1208">
        <v>46053</v>
      </c>
      <c r="D102" s="1229"/>
      <c r="E102" s="1228"/>
      <c r="F102" s="1229"/>
      <c r="G102" s="1229"/>
      <c r="H102" s="1230">
        <v>86</v>
      </c>
      <c r="I102" s="830" t="s">
        <v>55</v>
      </c>
      <c r="J102" s="833" t="s">
        <v>63</v>
      </c>
      <c r="K102" s="1210" t="s">
        <v>77</v>
      </c>
      <c r="L102" s="1228"/>
      <c r="M102" s="1230" t="s">
        <v>91</v>
      </c>
      <c r="N102" s="1241"/>
      <c r="O102" s="1230" t="s">
        <v>91</v>
      </c>
      <c r="P102" s="1243" t="s">
        <v>58</v>
      </c>
      <c r="Q102" s="1233"/>
      <c r="R102" s="1233"/>
      <c r="S102" s="1233"/>
      <c r="T102" s="1233"/>
      <c r="U102" s="1233"/>
      <c r="V102" s="1234">
        <v>8265</v>
      </c>
      <c r="W102" s="1214"/>
      <c r="X102" s="1214">
        <f t="shared" si="5"/>
        <v>8265</v>
      </c>
      <c r="Y102" s="663">
        <f t="shared" si="6"/>
        <v>0</v>
      </c>
      <c r="Z102" s="1215"/>
      <c r="AA102" s="1216">
        <v>0</v>
      </c>
      <c r="AB102" s="1216">
        <v>0</v>
      </c>
      <c r="AC102" s="1234">
        <v>0</v>
      </c>
      <c r="AD102" s="1217"/>
      <c r="AE102" s="1279"/>
    </row>
    <row r="103" spans="1:31" ht="24.75" customHeight="1">
      <c r="A103" s="1207" t="s">
        <v>333</v>
      </c>
      <c r="B103" s="832" t="s">
        <v>316</v>
      </c>
      <c r="C103" s="1208">
        <v>46006</v>
      </c>
      <c r="D103" s="1229" t="s">
        <v>259</v>
      </c>
      <c r="E103" s="1228">
        <v>45996</v>
      </c>
      <c r="F103" s="1229" t="s">
        <v>250</v>
      </c>
      <c r="G103" s="1229" t="s">
        <v>334</v>
      </c>
      <c r="H103" s="1230">
        <v>78</v>
      </c>
      <c r="I103" s="830" t="s">
        <v>55</v>
      </c>
      <c r="J103" s="1230" t="s">
        <v>63</v>
      </c>
      <c r="K103" s="1210"/>
      <c r="L103" s="1228"/>
      <c r="M103" s="1230" t="s">
        <v>57</v>
      </c>
      <c r="N103" s="1241">
        <v>84477</v>
      </c>
      <c r="O103" s="1230" t="s">
        <v>57</v>
      </c>
      <c r="P103" s="1243" t="s">
        <v>58</v>
      </c>
      <c r="Q103" s="1233"/>
      <c r="R103" s="1233"/>
      <c r="S103" s="1233"/>
      <c r="T103" s="1233"/>
      <c r="U103" s="1233"/>
      <c r="V103" s="1234">
        <v>6758</v>
      </c>
      <c r="W103" s="1214"/>
      <c r="X103" s="1214">
        <f t="shared" si="5"/>
        <v>6758</v>
      </c>
      <c r="Y103" s="663">
        <f t="shared" si="6"/>
        <v>0</v>
      </c>
      <c r="Z103" s="1215"/>
      <c r="AA103" s="1216">
        <v>0</v>
      </c>
      <c r="AB103" s="1216">
        <v>0</v>
      </c>
      <c r="AC103" s="1234">
        <v>0</v>
      </c>
      <c r="AD103" s="1217" t="s">
        <v>331</v>
      </c>
      <c r="AE103" s="1279"/>
    </row>
    <row r="104" spans="1:31" ht="24.75" customHeight="1">
      <c r="A104" s="1285" t="s">
        <v>335</v>
      </c>
      <c r="B104" s="988" t="s">
        <v>316</v>
      </c>
      <c r="C104" s="1208">
        <v>46171</v>
      </c>
      <c r="D104" s="1286"/>
      <c r="E104" s="1287"/>
      <c r="F104" s="1286"/>
      <c r="G104" s="1286" t="s">
        <v>336</v>
      </c>
      <c r="H104" s="1288">
        <v>26</v>
      </c>
      <c r="I104" s="979" t="s">
        <v>55</v>
      </c>
      <c r="J104" s="1288" t="s">
        <v>63</v>
      </c>
      <c r="K104" s="1289"/>
      <c r="L104" s="1287"/>
      <c r="M104" s="1288" t="s">
        <v>57</v>
      </c>
      <c r="N104" s="1290">
        <v>35576</v>
      </c>
      <c r="O104" s="1288" t="s">
        <v>57</v>
      </c>
      <c r="P104" s="1291" t="s">
        <v>58</v>
      </c>
      <c r="Q104" s="1292"/>
      <c r="R104" s="1292"/>
      <c r="S104" s="1292"/>
      <c r="T104" s="1292"/>
      <c r="U104" s="1292"/>
      <c r="V104" s="1293">
        <v>3150</v>
      </c>
      <c r="W104" s="1294"/>
      <c r="X104" s="1214">
        <f t="shared" si="5"/>
        <v>3150</v>
      </c>
      <c r="Y104" s="863">
        <f t="shared" si="6"/>
        <v>0</v>
      </c>
      <c r="Z104" s="1295"/>
      <c r="AA104" s="1296">
        <v>0</v>
      </c>
      <c r="AB104" s="1296">
        <v>0</v>
      </c>
      <c r="AC104" s="1293">
        <v>0</v>
      </c>
      <c r="AD104" s="1297" t="s">
        <v>331</v>
      </c>
      <c r="AE104" s="1279"/>
    </row>
    <row r="105" spans="1:31" ht="24.75" customHeight="1">
      <c r="A105" s="1207"/>
      <c r="B105" s="832"/>
      <c r="C105" s="1208"/>
      <c r="D105" s="1229"/>
      <c r="E105" s="1298"/>
      <c r="F105" s="1229"/>
      <c r="G105" s="1229"/>
      <c r="H105" s="1230"/>
      <c r="I105" s="830"/>
      <c r="J105" s="1230"/>
      <c r="K105" s="1299"/>
      <c r="L105" s="1298"/>
      <c r="M105" s="1230"/>
      <c r="N105" s="1241"/>
      <c r="O105" s="1230"/>
      <c r="P105" s="1300"/>
      <c r="Q105" s="1233"/>
      <c r="R105" s="1233"/>
      <c r="S105" s="1233"/>
      <c r="T105" s="1233"/>
      <c r="U105" s="1233"/>
      <c r="V105" s="1234"/>
      <c r="W105" s="1214"/>
      <c r="X105" s="1301"/>
      <c r="Y105" s="985"/>
      <c r="Z105" s="1300"/>
      <c r="AA105" s="1216"/>
      <c r="AB105" s="1216"/>
      <c r="AC105" s="1234"/>
      <c r="AD105" s="1217"/>
      <c r="AE105" s="1279"/>
    </row>
    <row r="106" spans="1:31" ht="24.75" customHeight="1">
      <c r="A106" s="1302"/>
      <c r="B106" s="1303"/>
      <c r="C106" s="1304"/>
      <c r="D106" s="650"/>
      <c r="E106" s="1305"/>
      <c r="F106" s="1306"/>
      <c r="G106" s="1306"/>
      <c r="H106" s="1306"/>
      <c r="I106" s="668"/>
      <c r="J106" s="1307"/>
      <c r="K106" s="1308"/>
      <c r="L106" s="1309"/>
      <c r="M106" s="1306"/>
      <c r="N106" s="1310"/>
      <c r="O106" s="1311"/>
      <c r="P106" s="1279"/>
      <c r="Q106" s="1312"/>
      <c r="R106" s="1313"/>
      <c r="S106" s="1313"/>
      <c r="T106" s="1313"/>
      <c r="U106" s="1313"/>
      <c r="V106" s="1314"/>
      <c r="W106" s="1314"/>
      <c r="X106" s="1315"/>
      <c r="Y106" s="1155"/>
      <c r="Z106" s="1206"/>
      <c r="AA106" s="1316"/>
      <c r="AB106" s="1316"/>
      <c r="AC106" s="1314"/>
      <c r="AD106" s="1263"/>
      <c r="AE106" s="1274"/>
    </row>
    <row r="107" spans="1:31" ht="24.75" customHeight="1">
      <c r="A107" s="1317" t="s">
        <v>337</v>
      </c>
      <c r="B107" s="1318" t="s">
        <v>20</v>
      </c>
      <c r="C107" s="1318" t="s">
        <v>21</v>
      </c>
      <c r="D107" s="1319" t="s">
        <v>22</v>
      </c>
      <c r="E107" s="1320" t="s">
        <v>23</v>
      </c>
      <c r="F107" s="1320" t="s">
        <v>24</v>
      </c>
      <c r="G107" s="1320" t="s">
        <v>25</v>
      </c>
      <c r="H107" s="1320" t="s">
        <v>26</v>
      </c>
      <c r="I107" s="1320" t="s">
        <v>27</v>
      </c>
      <c r="J107" s="1320" t="s">
        <v>28</v>
      </c>
      <c r="K107" s="1320" t="s">
        <v>29</v>
      </c>
      <c r="L107" s="1320" t="s">
        <v>30</v>
      </c>
      <c r="M107" s="1320" t="s">
        <v>31</v>
      </c>
      <c r="N107" s="1321" t="s">
        <v>32</v>
      </c>
      <c r="O107" s="1200" t="s">
        <v>33</v>
      </c>
      <c r="P107" s="1322" t="s">
        <v>34</v>
      </c>
      <c r="Q107" s="1203" t="s">
        <v>35</v>
      </c>
      <c r="R107" s="1323" t="s">
        <v>36</v>
      </c>
      <c r="S107" s="1323" t="s">
        <v>37</v>
      </c>
      <c r="T107" s="1323" t="s">
        <v>38</v>
      </c>
      <c r="U107" s="1323" t="s">
        <v>39</v>
      </c>
      <c r="V107" s="1323" t="s">
        <v>40</v>
      </c>
      <c r="W107" s="1323" t="s">
        <v>41</v>
      </c>
      <c r="X107" s="1324" t="s">
        <v>42</v>
      </c>
      <c r="Y107" s="1324" t="s">
        <v>43</v>
      </c>
      <c r="Z107" s="1325" t="s">
        <v>44</v>
      </c>
      <c r="AA107" s="1326" t="s">
        <v>45</v>
      </c>
      <c r="AB107" s="1323" t="s">
        <v>46</v>
      </c>
      <c r="AC107" s="1323" t="s">
        <v>47</v>
      </c>
      <c r="AD107" s="1327" t="s">
        <v>48</v>
      </c>
      <c r="AE107" s="1274"/>
    </row>
    <row r="108" spans="1:31" ht="24.75" customHeight="1">
      <c r="A108" s="1328" t="s">
        <v>338</v>
      </c>
      <c r="B108" s="1154" t="s">
        <v>339</v>
      </c>
      <c r="C108" s="1305">
        <v>46019</v>
      </c>
      <c r="D108" s="978" t="s">
        <v>137</v>
      </c>
      <c r="E108" s="1305">
        <v>45959</v>
      </c>
      <c r="F108" s="1306" t="s">
        <v>340</v>
      </c>
      <c r="G108" s="1306" t="s">
        <v>341</v>
      </c>
      <c r="H108" s="1329">
        <v>83</v>
      </c>
      <c r="I108" s="979" t="s">
        <v>55</v>
      </c>
      <c r="J108" s="1288" t="s">
        <v>63</v>
      </c>
      <c r="K108" s="1330"/>
      <c r="L108" s="1305"/>
      <c r="M108" s="1288" t="s">
        <v>57</v>
      </c>
      <c r="N108" s="1331">
        <v>45545.15</v>
      </c>
      <c r="O108" s="1311" t="s">
        <v>57</v>
      </c>
      <c r="P108" s="1332" t="s">
        <v>64</v>
      </c>
      <c r="Q108" s="1261"/>
      <c r="R108" s="1313"/>
      <c r="S108" s="1313"/>
      <c r="T108" s="1313"/>
      <c r="U108" s="1313"/>
      <c r="V108" s="1333">
        <v>5827</v>
      </c>
      <c r="W108" s="1272">
        <v>5468</v>
      </c>
      <c r="X108" s="1333">
        <f>SUM(V108-W108)</f>
        <v>359</v>
      </c>
      <c r="Y108" s="1155">
        <f t="shared" ref="Y108" si="7">IFERROR($W108/$V108, 0)</f>
        <v>0.93839025227389739</v>
      </c>
      <c r="Z108" s="1261">
        <v>45965</v>
      </c>
      <c r="AA108" s="1296">
        <v>1</v>
      </c>
      <c r="AB108" s="1296">
        <v>0</v>
      </c>
      <c r="AC108" s="1293">
        <v>0</v>
      </c>
      <c r="AD108" s="1263" t="s">
        <v>342</v>
      </c>
      <c r="AE108" s="1274"/>
    </row>
    <row r="109" spans="1:31" ht="24.75" customHeight="1">
      <c r="A109" s="1328" t="s">
        <v>343</v>
      </c>
      <c r="B109" s="1154" t="s">
        <v>339</v>
      </c>
      <c r="C109" s="1305">
        <v>46010</v>
      </c>
      <c r="D109" s="978" t="s">
        <v>137</v>
      </c>
      <c r="E109" s="1305">
        <v>45993</v>
      </c>
      <c r="F109" s="1306" t="s">
        <v>187</v>
      </c>
      <c r="G109" s="1306" t="s">
        <v>344</v>
      </c>
      <c r="H109" s="1329">
        <v>89</v>
      </c>
      <c r="I109" s="979" t="s">
        <v>55</v>
      </c>
      <c r="J109" s="1288" t="s">
        <v>63</v>
      </c>
      <c r="K109" s="1330"/>
      <c r="L109" s="1305">
        <v>45993</v>
      </c>
      <c r="M109" s="1288" t="s">
        <v>57</v>
      </c>
      <c r="N109" s="1331">
        <v>93349.5</v>
      </c>
      <c r="O109" s="1311" t="s">
        <v>57</v>
      </c>
      <c r="P109" s="1279" t="s">
        <v>64</v>
      </c>
      <c r="Q109" s="1261">
        <v>45993</v>
      </c>
      <c r="R109" s="1313"/>
      <c r="S109" s="1313"/>
      <c r="T109" s="1313"/>
      <c r="U109" s="1313"/>
      <c r="V109" s="1333">
        <v>7828</v>
      </c>
      <c r="W109" s="1272">
        <v>243</v>
      </c>
      <c r="X109" s="1333">
        <f>SUM(V109-W109)</f>
        <v>7585</v>
      </c>
      <c r="Y109" s="1155">
        <f>IFERROR($W109/$V109, 0)</f>
        <v>3.1042411854879919E-2</v>
      </c>
      <c r="Z109" s="1261">
        <v>45994</v>
      </c>
      <c r="AA109" s="1296">
        <v>0</v>
      </c>
      <c r="AB109" s="1296">
        <v>0</v>
      </c>
      <c r="AC109" s="1293">
        <v>0</v>
      </c>
      <c r="AD109" s="1263" t="s">
        <v>345</v>
      </c>
      <c r="AE109" s="1274"/>
    </row>
    <row r="110" spans="1:31" ht="24.75" customHeight="1">
      <c r="A110" s="1340" t="s">
        <v>346</v>
      </c>
      <c r="B110" s="1154" t="s">
        <v>339</v>
      </c>
      <c r="C110" s="1305">
        <v>46019</v>
      </c>
      <c r="D110" s="978" t="s">
        <v>137</v>
      </c>
      <c r="E110" s="1305">
        <v>45959</v>
      </c>
      <c r="F110" s="1306" t="s">
        <v>187</v>
      </c>
      <c r="G110" s="1306" t="s">
        <v>347</v>
      </c>
      <c r="H110" s="1307">
        <v>90</v>
      </c>
      <c r="I110" s="979" t="s">
        <v>55</v>
      </c>
      <c r="J110" s="1288" t="s">
        <v>63</v>
      </c>
      <c r="K110" s="1308"/>
      <c r="L110" s="1309">
        <v>45964</v>
      </c>
      <c r="M110" s="1288" t="s">
        <v>57</v>
      </c>
      <c r="N110" s="1335">
        <v>85815</v>
      </c>
      <c r="O110" s="1311" t="s">
        <v>57</v>
      </c>
      <c r="P110" s="1332" t="s">
        <v>64</v>
      </c>
      <c r="Q110" s="1337">
        <v>45964</v>
      </c>
      <c r="R110" s="1338"/>
      <c r="S110" s="1313"/>
      <c r="T110" s="1313"/>
      <c r="U110" s="1313"/>
      <c r="V110" s="1272">
        <v>6981</v>
      </c>
      <c r="W110" s="1272">
        <v>6904</v>
      </c>
      <c r="X110" s="1214">
        <f>SUM(V110-W110)</f>
        <v>77</v>
      </c>
      <c r="Y110" s="1155">
        <f t="shared" ref="Y110:Y120" si="8">IFERROR($W110/$V110, 0)</f>
        <v>0.98897006159575995</v>
      </c>
      <c r="Z110" s="1261">
        <v>45981</v>
      </c>
      <c r="AA110" s="1296">
        <v>0</v>
      </c>
      <c r="AB110" s="1296">
        <v>0</v>
      </c>
      <c r="AC110" s="1293">
        <v>0</v>
      </c>
      <c r="AD110" s="1263" t="s">
        <v>348</v>
      </c>
      <c r="AE110" s="1274"/>
    </row>
    <row r="111" spans="1:31" ht="24.75" customHeight="1">
      <c r="A111" s="1340" t="s">
        <v>349</v>
      </c>
      <c r="B111" s="1154" t="s">
        <v>339</v>
      </c>
      <c r="C111" s="1305">
        <v>46021</v>
      </c>
      <c r="D111" s="978" t="s">
        <v>137</v>
      </c>
      <c r="E111" s="1305">
        <v>45959</v>
      </c>
      <c r="F111" s="1306" t="s">
        <v>187</v>
      </c>
      <c r="G111" s="1306" t="s">
        <v>350</v>
      </c>
      <c r="H111" s="1307">
        <v>86</v>
      </c>
      <c r="I111" s="979" t="s">
        <v>55</v>
      </c>
      <c r="J111" s="1288" t="s">
        <v>63</v>
      </c>
      <c r="K111" s="1308"/>
      <c r="L111" s="1309">
        <v>45964</v>
      </c>
      <c r="M111" s="1288" t="s">
        <v>57</v>
      </c>
      <c r="N111" s="1335">
        <v>80698</v>
      </c>
      <c r="O111" s="1311" t="s">
        <v>57</v>
      </c>
      <c r="P111" s="1332" t="s">
        <v>69</v>
      </c>
      <c r="Q111" s="1337">
        <v>45964</v>
      </c>
      <c r="R111" s="1338"/>
      <c r="S111" s="1313"/>
      <c r="T111" s="1313"/>
      <c r="U111" s="1313"/>
      <c r="V111" s="1272">
        <v>6739</v>
      </c>
      <c r="W111" s="1272"/>
      <c r="X111" s="1214">
        <f>SUM(V111-W111)</f>
        <v>6739</v>
      </c>
      <c r="Y111" s="1155">
        <f t="shared" si="8"/>
        <v>0</v>
      </c>
      <c r="Z111" s="1206"/>
      <c r="AA111" s="1296">
        <v>0</v>
      </c>
      <c r="AB111" s="1296">
        <v>0</v>
      </c>
      <c r="AC111" s="1293">
        <v>0</v>
      </c>
      <c r="AD111" s="1263" t="s">
        <v>351</v>
      </c>
      <c r="AE111" s="1274"/>
    </row>
    <row r="112" spans="1:31" ht="24.75" customHeight="1">
      <c r="A112" s="1340" t="s">
        <v>352</v>
      </c>
      <c r="B112" s="1154" t="s">
        <v>339</v>
      </c>
      <c r="C112" s="1305">
        <v>46021</v>
      </c>
      <c r="D112" s="978" t="s">
        <v>137</v>
      </c>
      <c r="E112" s="1305">
        <v>45959</v>
      </c>
      <c r="F112" s="1306" t="s">
        <v>187</v>
      </c>
      <c r="G112" s="1306" t="s">
        <v>353</v>
      </c>
      <c r="H112" s="1307">
        <v>87</v>
      </c>
      <c r="I112" s="979" t="s">
        <v>55</v>
      </c>
      <c r="J112" s="1288" t="s">
        <v>63</v>
      </c>
      <c r="K112" s="1308"/>
      <c r="L112" s="1309">
        <v>45964</v>
      </c>
      <c r="M112" s="1288" t="s">
        <v>57</v>
      </c>
      <c r="N112" s="1335">
        <v>79552</v>
      </c>
      <c r="O112" s="1311" t="s">
        <v>57</v>
      </c>
      <c r="P112" s="1332" t="s">
        <v>64</v>
      </c>
      <c r="Q112" s="1337">
        <v>45964</v>
      </c>
      <c r="R112" s="1338"/>
      <c r="S112" s="1313"/>
      <c r="T112" s="1313"/>
      <c r="U112" s="1313"/>
      <c r="V112" s="1272">
        <v>6577</v>
      </c>
      <c r="W112" s="1272">
        <v>3574</v>
      </c>
      <c r="X112" s="1214">
        <f>SUM(V112-W112)</f>
        <v>3003</v>
      </c>
      <c r="Y112" s="1155">
        <f t="shared" si="8"/>
        <v>0.54340884901930975</v>
      </c>
      <c r="Z112" s="1261">
        <v>46000</v>
      </c>
      <c r="AA112" s="1296">
        <v>0</v>
      </c>
      <c r="AB112" s="1296">
        <v>0</v>
      </c>
      <c r="AC112" s="1293">
        <v>0</v>
      </c>
      <c r="AD112" s="1263" t="s">
        <v>354</v>
      </c>
      <c r="AE112" s="1274"/>
    </row>
    <row r="113" spans="1:31" ht="24.75" customHeight="1">
      <c r="A113" s="1340" t="s">
        <v>355</v>
      </c>
      <c r="B113" s="1154" t="s">
        <v>339</v>
      </c>
      <c r="C113" s="1305">
        <v>46019</v>
      </c>
      <c r="D113" s="978" t="s">
        <v>137</v>
      </c>
      <c r="E113" s="1305">
        <v>45959</v>
      </c>
      <c r="F113" s="1306" t="s">
        <v>187</v>
      </c>
      <c r="G113" s="1306" t="s">
        <v>356</v>
      </c>
      <c r="H113" s="1307">
        <v>87</v>
      </c>
      <c r="I113" s="979" t="s">
        <v>55</v>
      </c>
      <c r="J113" s="1288" t="s">
        <v>63</v>
      </c>
      <c r="K113" s="1308"/>
      <c r="L113" s="1309">
        <v>45964</v>
      </c>
      <c r="M113" s="1288" t="s">
        <v>57</v>
      </c>
      <c r="N113" s="1335">
        <v>87875</v>
      </c>
      <c r="O113" s="1311" t="s">
        <v>57</v>
      </c>
      <c r="P113" s="1332" t="s">
        <v>64</v>
      </c>
      <c r="Q113" s="1337">
        <v>45964</v>
      </c>
      <c r="R113" s="1338"/>
      <c r="S113" s="1313"/>
      <c r="T113" s="1313"/>
      <c r="U113" s="1313"/>
      <c r="V113" s="1272">
        <v>7319</v>
      </c>
      <c r="W113" s="1345">
        <v>6270</v>
      </c>
      <c r="X113" s="1214">
        <f>SUM(V113-W113)</f>
        <v>1049</v>
      </c>
      <c r="Y113" s="1155">
        <f t="shared" si="8"/>
        <v>0.85667440907227765</v>
      </c>
      <c r="Z113" s="1261">
        <v>46000</v>
      </c>
      <c r="AA113" s="1296">
        <v>0</v>
      </c>
      <c r="AB113" s="1296">
        <v>0</v>
      </c>
      <c r="AC113" s="1293">
        <v>0</v>
      </c>
      <c r="AD113" s="1263" t="s">
        <v>357</v>
      </c>
      <c r="AE113" s="1274"/>
    </row>
    <row r="114" spans="1:31" ht="24.75" customHeight="1">
      <c r="A114" s="1340" t="s">
        <v>358</v>
      </c>
      <c r="B114" s="1154" t="s">
        <v>339</v>
      </c>
      <c r="C114" s="1305">
        <v>46021</v>
      </c>
      <c r="D114" s="978" t="s">
        <v>137</v>
      </c>
      <c r="E114" s="1305">
        <v>45987</v>
      </c>
      <c r="F114" s="1306" t="s">
        <v>187</v>
      </c>
      <c r="G114" s="1306" t="s">
        <v>359</v>
      </c>
      <c r="H114" s="1307">
        <v>85</v>
      </c>
      <c r="I114" s="979" t="s">
        <v>55</v>
      </c>
      <c r="J114" s="1288" t="s">
        <v>63</v>
      </c>
      <c r="K114" s="1308"/>
      <c r="L114" s="1309">
        <v>45987</v>
      </c>
      <c r="M114" s="1288" t="s">
        <v>57</v>
      </c>
      <c r="N114" s="1335">
        <v>84092.5</v>
      </c>
      <c r="O114" s="1311" t="s">
        <v>57</v>
      </c>
      <c r="P114" s="1279" t="s">
        <v>69</v>
      </c>
      <c r="Q114" s="1337">
        <v>45987</v>
      </c>
      <c r="R114" s="1313"/>
      <c r="S114" s="1313"/>
      <c r="T114" s="1313"/>
      <c r="U114" s="1313"/>
      <c r="V114" s="1272">
        <v>6897</v>
      </c>
      <c r="W114" s="1272"/>
      <c r="X114" s="1272">
        <f>SUM(V114-W114)</f>
        <v>6897</v>
      </c>
      <c r="Y114" s="1155">
        <f t="shared" ref="Y114:Y119" si="9">IFERROR($W114/$V114, 0)</f>
        <v>0</v>
      </c>
      <c r="Z114" s="1206"/>
      <c r="AA114" s="1296">
        <v>0</v>
      </c>
      <c r="AB114" s="1296">
        <v>0</v>
      </c>
      <c r="AC114" s="1293">
        <v>0</v>
      </c>
      <c r="AD114" s="1263" t="s">
        <v>360</v>
      </c>
      <c r="AE114" s="1274"/>
    </row>
    <row r="115" spans="1:31" ht="24.75" customHeight="1">
      <c r="A115" s="1340" t="s">
        <v>361</v>
      </c>
      <c r="B115" s="1154" t="s">
        <v>339</v>
      </c>
      <c r="C115" s="1305">
        <v>46021</v>
      </c>
      <c r="D115" s="978" t="s">
        <v>137</v>
      </c>
      <c r="E115" s="1305">
        <v>45987</v>
      </c>
      <c r="F115" s="1306" t="s">
        <v>187</v>
      </c>
      <c r="G115" s="1306" t="s">
        <v>362</v>
      </c>
      <c r="H115" s="1307">
        <v>76</v>
      </c>
      <c r="I115" s="979" t="s">
        <v>55</v>
      </c>
      <c r="J115" s="1288" t="s">
        <v>63</v>
      </c>
      <c r="K115" s="1308"/>
      <c r="L115" s="1309">
        <v>45987</v>
      </c>
      <c r="M115" s="1288" t="s">
        <v>57</v>
      </c>
      <c r="N115" s="1335">
        <v>74892.5</v>
      </c>
      <c r="O115" s="1311" t="s">
        <v>57</v>
      </c>
      <c r="P115" s="1279" t="s">
        <v>69</v>
      </c>
      <c r="Q115" s="1337">
        <v>45987</v>
      </c>
      <c r="R115" s="1313"/>
      <c r="S115" s="1313"/>
      <c r="T115" s="1313"/>
      <c r="U115" s="1313"/>
      <c r="V115" s="1272">
        <v>6218</v>
      </c>
      <c r="W115" s="1272"/>
      <c r="X115" s="1272">
        <f>SUM(V115-W115)</f>
        <v>6218</v>
      </c>
      <c r="Y115" s="1155">
        <f t="shared" si="9"/>
        <v>0</v>
      </c>
      <c r="Z115" s="1206"/>
      <c r="AA115" s="1296">
        <v>0</v>
      </c>
      <c r="AB115" s="1296">
        <v>0</v>
      </c>
      <c r="AC115" s="1293">
        <v>0</v>
      </c>
      <c r="AD115" s="1263" t="s">
        <v>360</v>
      </c>
      <c r="AE115" s="1274"/>
    </row>
    <row r="116" spans="1:31" ht="24.75" customHeight="1">
      <c r="A116" s="1340" t="s">
        <v>363</v>
      </c>
      <c r="B116" s="1154" t="s">
        <v>339</v>
      </c>
      <c r="C116" s="1305">
        <v>46021</v>
      </c>
      <c r="D116" s="978" t="s">
        <v>137</v>
      </c>
      <c r="E116" s="1305">
        <v>45987</v>
      </c>
      <c r="F116" s="1306" t="s">
        <v>187</v>
      </c>
      <c r="G116" s="1306" t="s">
        <v>364</v>
      </c>
      <c r="H116" s="1307">
        <v>86</v>
      </c>
      <c r="I116" s="979" t="s">
        <v>55</v>
      </c>
      <c r="J116" s="1288" t="s">
        <v>63</v>
      </c>
      <c r="K116" s="1308"/>
      <c r="L116" s="1309">
        <v>45987</v>
      </c>
      <c r="M116" s="1288" t="s">
        <v>57</v>
      </c>
      <c r="N116" s="1335">
        <v>90841</v>
      </c>
      <c r="O116" s="1311" t="s">
        <v>57</v>
      </c>
      <c r="P116" s="1279" t="s">
        <v>69</v>
      </c>
      <c r="Q116" s="1337">
        <v>45987</v>
      </c>
      <c r="R116" s="1313"/>
      <c r="S116" s="1313"/>
      <c r="T116" s="1313"/>
      <c r="U116" s="1313"/>
      <c r="V116" s="1272">
        <v>7491</v>
      </c>
      <c r="W116" s="1272"/>
      <c r="X116" s="1272">
        <f>SUM(V116-W116)</f>
        <v>7491</v>
      </c>
      <c r="Y116" s="1155">
        <f t="shared" si="9"/>
        <v>0</v>
      </c>
      <c r="Z116" s="1206"/>
      <c r="AA116" s="1296">
        <v>0</v>
      </c>
      <c r="AB116" s="1296">
        <v>0</v>
      </c>
      <c r="AC116" s="1293">
        <v>0</v>
      </c>
      <c r="AD116" s="1263" t="s">
        <v>360</v>
      </c>
      <c r="AE116" s="1274"/>
    </row>
    <row r="117" spans="1:31" ht="24.75" customHeight="1">
      <c r="A117" s="1340" t="s">
        <v>365</v>
      </c>
      <c r="B117" s="1154" t="s">
        <v>339</v>
      </c>
      <c r="C117" s="1305">
        <v>46021</v>
      </c>
      <c r="D117" s="978" t="s">
        <v>137</v>
      </c>
      <c r="E117" s="1305">
        <v>45987</v>
      </c>
      <c r="F117" s="1306" t="s">
        <v>187</v>
      </c>
      <c r="G117" s="1306" t="s">
        <v>366</v>
      </c>
      <c r="H117" s="1307">
        <v>78</v>
      </c>
      <c r="I117" s="979" t="s">
        <v>55</v>
      </c>
      <c r="J117" s="1288" t="s">
        <v>63</v>
      </c>
      <c r="K117" s="1308"/>
      <c r="L117" s="1309">
        <v>45987</v>
      </c>
      <c r="M117" s="1288" t="s">
        <v>57</v>
      </c>
      <c r="N117" s="1335">
        <v>68606.5</v>
      </c>
      <c r="O117" s="1311" t="s">
        <v>57</v>
      </c>
      <c r="P117" s="1279" t="s">
        <v>69</v>
      </c>
      <c r="Q117" s="1337">
        <v>45987</v>
      </c>
      <c r="R117" s="1313"/>
      <c r="S117" s="1313"/>
      <c r="T117" s="1313"/>
      <c r="U117" s="1313"/>
      <c r="V117" s="1272">
        <v>5456</v>
      </c>
      <c r="W117" s="1272"/>
      <c r="X117" s="1272">
        <f>SUM(V117-W117)</f>
        <v>5456</v>
      </c>
      <c r="Y117" s="1155">
        <f t="shared" si="9"/>
        <v>0</v>
      </c>
      <c r="Z117" s="1206"/>
      <c r="AA117" s="1296">
        <v>0</v>
      </c>
      <c r="AB117" s="1296">
        <v>0</v>
      </c>
      <c r="AC117" s="1293">
        <v>0</v>
      </c>
      <c r="AD117" s="1263" t="s">
        <v>360</v>
      </c>
      <c r="AE117" s="1274"/>
    </row>
    <row r="118" spans="1:31" ht="24.75" customHeight="1">
      <c r="A118" s="1340" t="s">
        <v>367</v>
      </c>
      <c r="B118" s="1154" t="s">
        <v>339</v>
      </c>
      <c r="C118" s="1305">
        <v>46021</v>
      </c>
      <c r="D118" s="978" t="s">
        <v>137</v>
      </c>
      <c r="E118" s="1305">
        <v>45987</v>
      </c>
      <c r="F118" s="1306" t="s">
        <v>187</v>
      </c>
      <c r="G118" s="1306" t="s">
        <v>368</v>
      </c>
      <c r="H118" s="1307">
        <v>73</v>
      </c>
      <c r="I118" s="979" t="s">
        <v>55</v>
      </c>
      <c r="J118" s="1288" t="s">
        <v>63</v>
      </c>
      <c r="K118" s="1308"/>
      <c r="L118" s="1309">
        <v>45987</v>
      </c>
      <c r="M118" s="1288" t="s">
        <v>57</v>
      </c>
      <c r="N118" s="1335">
        <v>71371</v>
      </c>
      <c r="O118" s="1311" t="s">
        <v>57</v>
      </c>
      <c r="P118" s="1279" t="s">
        <v>69</v>
      </c>
      <c r="Q118" s="1337">
        <v>45987</v>
      </c>
      <c r="R118" s="1313"/>
      <c r="S118" s="1313"/>
      <c r="T118" s="1313"/>
      <c r="U118" s="1313"/>
      <c r="V118" s="1272">
        <v>5810</v>
      </c>
      <c r="W118" s="1272"/>
      <c r="X118" s="1272">
        <f>SUM(V118-W118)</f>
        <v>5810</v>
      </c>
      <c r="Y118" s="1155">
        <f t="shared" si="9"/>
        <v>0</v>
      </c>
      <c r="Z118" s="1206"/>
      <c r="AA118" s="1296">
        <v>0</v>
      </c>
      <c r="AB118" s="1296">
        <v>0</v>
      </c>
      <c r="AC118" s="1293">
        <v>0</v>
      </c>
      <c r="AD118" s="1263" t="s">
        <v>360</v>
      </c>
      <c r="AE118" s="1274"/>
    </row>
    <row r="119" spans="1:31" ht="24.75" customHeight="1">
      <c r="A119" s="1328" t="s">
        <v>369</v>
      </c>
      <c r="B119" s="1154" t="s">
        <v>339</v>
      </c>
      <c r="C119" s="1305">
        <v>46019</v>
      </c>
      <c r="D119" s="978" t="s">
        <v>137</v>
      </c>
      <c r="E119" s="1305">
        <v>45959</v>
      </c>
      <c r="F119" s="1306" t="s">
        <v>187</v>
      </c>
      <c r="G119" s="1306" t="s">
        <v>370</v>
      </c>
      <c r="H119" s="1307">
        <v>0</v>
      </c>
      <c r="I119" s="979" t="s">
        <v>55</v>
      </c>
      <c r="J119" s="1288" t="s">
        <v>63</v>
      </c>
      <c r="K119" s="1308"/>
      <c r="L119" s="1309">
        <v>45961</v>
      </c>
      <c r="M119" s="1288" t="s">
        <v>57</v>
      </c>
      <c r="N119" s="1335">
        <v>64985.65</v>
      </c>
      <c r="O119" s="1311" t="s">
        <v>57</v>
      </c>
      <c r="P119" s="1279" t="s">
        <v>64</v>
      </c>
      <c r="Q119" s="1337">
        <v>45964</v>
      </c>
      <c r="R119" s="1313"/>
      <c r="S119" s="1313"/>
      <c r="T119" s="1313"/>
      <c r="U119" s="1313"/>
      <c r="V119" s="1272">
        <v>10855</v>
      </c>
      <c r="W119" s="1272">
        <v>4579</v>
      </c>
      <c r="X119" s="1272">
        <f>SUM(V119-W119)</f>
        <v>6276</v>
      </c>
      <c r="Y119" s="1155">
        <f t="shared" si="9"/>
        <v>0.4218332565637955</v>
      </c>
      <c r="Z119" s="1261">
        <v>45992</v>
      </c>
      <c r="AA119" s="1296">
        <v>0</v>
      </c>
      <c r="AB119" s="1296">
        <v>0</v>
      </c>
      <c r="AC119" s="1293">
        <v>0</v>
      </c>
      <c r="AD119" s="1263" t="s">
        <v>371</v>
      </c>
      <c r="AE119" s="1274"/>
    </row>
    <row r="120" spans="1:31" ht="24.75" customHeight="1">
      <c r="A120" s="1328" t="s">
        <v>372</v>
      </c>
      <c r="B120" s="1154" t="s">
        <v>339</v>
      </c>
      <c r="C120" s="1305">
        <v>46019</v>
      </c>
      <c r="D120" s="978" t="s">
        <v>137</v>
      </c>
      <c r="E120" s="1305">
        <v>45959</v>
      </c>
      <c r="F120" s="1306" t="s">
        <v>187</v>
      </c>
      <c r="G120" s="1306" t="s">
        <v>373</v>
      </c>
      <c r="H120" s="1307">
        <v>0</v>
      </c>
      <c r="I120" s="979" t="s">
        <v>55</v>
      </c>
      <c r="J120" s="1288" t="s">
        <v>63</v>
      </c>
      <c r="K120" s="1308"/>
      <c r="L120" s="1309">
        <v>45961</v>
      </c>
      <c r="M120" s="1288" t="s">
        <v>57</v>
      </c>
      <c r="N120" s="1335">
        <v>54043.5</v>
      </c>
      <c r="O120" s="1311" t="s">
        <v>57</v>
      </c>
      <c r="P120" s="1332" t="s">
        <v>64</v>
      </c>
      <c r="Q120" s="1337">
        <v>45961</v>
      </c>
      <c r="R120" s="1338"/>
      <c r="S120" s="1313"/>
      <c r="T120" s="1313"/>
      <c r="U120" s="1313"/>
      <c r="V120" s="1272">
        <v>4140</v>
      </c>
      <c r="W120" s="1272">
        <v>3744</v>
      </c>
      <c r="X120" s="1214">
        <f>SUM(V120-W120)</f>
        <v>396</v>
      </c>
      <c r="Y120" s="1155">
        <f t="shared" si="8"/>
        <v>0.90434782608695652</v>
      </c>
      <c r="Z120" s="1261">
        <v>45974</v>
      </c>
      <c r="AA120" s="1296">
        <v>0</v>
      </c>
      <c r="AB120" s="1296">
        <v>0</v>
      </c>
      <c r="AC120" s="1293">
        <v>0</v>
      </c>
      <c r="AD120" s="1263" t="s">
        <v>374</v>
      </c>
      <c r="AE120" s="1274"/>
    </row>
    <row r="121" spans="1:31" ht="24.75" customHeight="1">
      <c r="Q121" s="1276"/>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3"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28" t="s">
        <v>376</v>
      </c>
      <c r="B2" s="832" t="s">
        <v>238</v>
      </c>
      <c r="C2" s="467">
        <v>45960</v>
      </c>
      <c r="D2" s="467" t="s">
        <v>377</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28" t="s">
        <v>379</v>
      </c>
      <c r="B3" s="832" t="s">
        <v>238</v>
      </c>
      <c r="C3" s="467">
        <v>45960</v>
      </c>
      <c r="D3" s="467" t="s">
        <v>380</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4" t="s">
        <v>381</v>
      </c>
    </row>
    <row r="4" spans="1:30" ht="39.75" customHeight="1">
      <c r="A4" s="928" t="s">
        <v>382</v>
      </c>
      <c r="B4" s="832" t="s">
        <v>238</v>
      </c>
      <c r="C4" s="467">
        <v>45960</v>
      </c>
      <c r="D4" s="467" t="s">
        <v>72</v>
      </c>
      <c r="E4" s="467">
        <v>45905</v>
      </c>
      <c r="F4" s="467" t="s">
        <v>239</v>
      </c>
      <c r="G4" s="683"/>
      <c r="H4" s="469">
        <v>0</v>
      </c>
      <c r="I4" s="662" t="s">
        <v>318</v>
      </c>
      <c r="J4" s="469" t="s">
        <v>63</v>
      </c>
      <c r="K4" s="478"/>
      <c r="L4" s="375">
        <v>45943</v>
      </c>
      <c r="M4" s="1108"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28" t="s">
        <v>385</v>
      </c>
      <c r="B5" s="832" t="s">
        <v>238</v>
      </c>
      <c r="C5" s="467">
        <v>45999</v>
      </c>
      <c r="D5" s="475" t="s">
        <v>72</v>
      </c>
      <c r="E5" s="476">
        <v>45975</v>
      </c>
      <c r="F5" s="475" t="s">
        <v>239</v>
      </c>
      <c r="G5" s="477" t="s">
        <v>386</v>
      </c>
      <c r="H5" s="478">
        <v>0</v>
      </c>
      <c r="I5" s="662" t="s">
        <v>318</v>
      </c>
      <c r="J5" s="469" t="s">
        <v>63</v>
      </c>
      <c r="K5" s="469"/>
      <c r="L5" s="51">
        <v>45960</v>
      </c>
      <c r="M5" s="1000"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238</v>
      </c>
      <c r="C6" s="467">
        <v>45991</v>
      </c>
      <c r="D6" s="476" t="s">
        <v>249</v>
      </c>
      <c r="E6" s="476">
        <v>45950</v>
      </c>
      <c r="F6" s="475" t="s">
        <v>250</v>
      </c>
      <c r="G6" s="829"/>
      <c r="H6" s="833">
        <v>82</v>
      </c>
      <c r="I6" s="830" t="s">
        <v>318</v>
      </c>
      <c r="J6" s="833" t="s">
        <v>63</v>
      </c>
      <c r="K6" s="487"/>
      <c r="L6" s="51">
        <v>45902</v>
      </c>
      <c r="M6" s="1109" t="s">
        <v>57</v>
      </c>
      <c r="N6" s="834">
        <v>87830</v>
      </c>
      <c r="O6" s="830" t="s">
        <v>57</v>
      </c>
      <c r="P6" s="627" t="s">
        <v>319</v>
      </c>
      <c r="Q6" s="479">
        <v>45898</v>
      </c>
      <c r="R6" s="479"/>
      <c r="S6" s="479"/>
      <c r="T6" s="479"/>
      <c r="U6" s="479"/>
      <c r="V6" s="986">
        <v>7022</v>
      </c>
      <c r="W6" s="1017">
        <v>6905</v>
      </c>
      <c r="X6" s="106">
        <f>SUM(V6-W6)</f>
        <v>117</v>
      </c>
      <c r="Y6" s="658">
        <f>IFERROR($W6/$V6, 0)</f>
        <v>0.98333808031899739</v>
      </c>
      <c r="Z6" s="679">
        <v>45958</v>
      </c>
      <c r="AA6" s="355">
        <v>0</v>
      </c>
      <c r="AB6" s="355">
        <v>0</v>
      </c>
      <c r="AC6" s="41">
        <v>0</v>
      </c>
      <c r="AD6" s="1085" t="s">
        <v>389</v>
      </c>
    </row>
    <row r="7" spans="1:30" ht="39.75" customHeight="1">
      <c r="A7" s="928" t="s">
        <v>390</v>
      </c>
      <c r="B7" s="832" t="s">
        <v>238</v>
      </c>
      <c r="C7" s="467">
        <v>45989</v>
      </c>
      <c r="D7" s="476" t="s">
        <v>249</v>
      </c>
      <c r="E7" s="476">
        <v>45964</v>
      </c>
      <c r="F7" s="475" t="s">
        <v>250</v>
      </c>
      <c r="G7" s="829" t="s">
        <v>391</v>
      </c>
      <c r="H7" s="833">
        <v>74</v>
      </c>
      <c r="I7" s="469" t="s">
        <v>318</v>
      </c>
      <c r="J7" s="469" t="s">
        <v>63</v>
      </c>
      <c r="K7" s="469"/>
      <c r="L7" s="51">
        <v>45932</v>
      </c>
      <c r="M7" s="1109" t="s">
        <v>57</v>
      </c>
      <c r="N7" s="834">
        <v>47064</v>
      </c>
      <c r="O7" s="830" t="s">
        <v>57</v>
      </c>
      <c r="P7" s="627" t="s">
        <v>319</v>
      </c>
      <c r="Q7" s="479">
        <v>45932</v>
      </c>
      <c r="R7" s="479"/>
      <c r="S7" s="479"/>
      <c r="T7" s="479"/>
      <c r="U7" s="479"/>
      <c r="V7" s="986">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392</v>
      </c>
      <c r="B8" s="832" t="s">
        <v>238</v>
      </c>
      <c r="C8" s="467">
        <v>45960</v>
      </c>
      <c r="D8" s="476" t="s">
        <v>249</v>
      </c>
      <c r="E8" s="476">
        <v>45930</v>
      </c>
      <c r="F8" s="475" t="s">
        <v>250</v>
      </c>
      <c r="G8" s="829"/>
      <c r="H8" s="833">
        <v>80</v>
      </c>
      <c r="I8" s="830" t="s">
        <v>318</v>
      </c>
      <c r="J8" s="833" t="s">
        <v>63</v>
      </c>
      <c r="K8" s="830"/>
      <c r="L8" s="51">
        <v>45902</v>
      </c>
      <c r="M8" s="1109" t="s">
        <v>57</v>
      </c>
      <c r="N8" s="834">
        <v>90173</v>
      </c>
      <c r="O8" s="830" t="s">
        <v>57</v>
      </c>
      <c r="P8" s="627" t="s">
        <v>319</v>
      </c>
      <c r="Q8" s="479">
        <v>45898</v>
      </c>
      <c r="R8" s="479"/>
      <c r="S8" s="479"/>
      <c r="T8" s="479"/>
      <c r="U8" s="479"/>
      <c r="V8" s="986">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28" t="s">
        <v>393</v>
      </c>
      <c r="B9" s="832" t="s">
        <v>238</v>
      </c>
      <c r="C9" s="467">
        <v>45960</v>
      </c>
      <c r="D9" s="476" t="s">
        <v>259</v>
      </c>
      <c r="E9" s="476">
        <v>45950</v>
      </c>
      <c r="F9" s="475" t="s">
        <v>260</v>
      </c>
      <c r="G9" s="829"/>
      <c r="H9" s="833">
        <v>80</v>
      </c>
      <c r="I9" s="830" t="s">
        <v>318</v>
      </c>
      <c r="J9" s="833" t="s">
        <v>63</v>
      </c>
      <c r="K9" s="830"/>
      <c r="L9" s="1110">
        <v>45905</v>
      </c>
      <c r="M9" s="830" t="s">
        <v>57</v>
      </c>
      <c r="N9" s="834">
        <v>66674.3</v>
      </c>
      <c r="O9" s="830" t="s">
        <v>57</v>
      </c>
      <c r="P9" s="627" t="s">
        <v>319</v>
      </c>
      <c r="Q9" s="479">
        <v>45922</v>
      </c>
      <c r="R9" s="479"/>
      <c r="S9" s="479"/>
      <c r="T9" s="479"/>
      <c r="U9" s="479"/>
      <c r="V9" s="986">
        <v>5285</v>
      </c>
      <c r="W9" s="582">
        <v>5360</v>
      </c>
      <c r="X9" s="106">
        <f t="shared" si="4"/>
        <v>-75</v>
      </c>
      <c r="Y9" s="658">
        <f t="shared" si="5"/>
        <v>1.0141911069063387</v>
      </c>
      <c r="Z9" s="679">
        <v>45954</v>
      </c>
      <c r="AA9" s="355">
        <v>0</v>
      </c>
      <c r="AB9" s="355">
        <v>0</v>
      </c>
      <c r="AC9" s="41">
        <v>0</v>
      </c>
      <c r="AD9" s="474" t="s">
        <v>394</v>
      </c>
    </row>
    <row r="10" spans="1:30" ht="39.75" customHeight="1">
      <c r="A10" s="928" t="s">
        <v>395</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1">
        <v>7883</v>
      </c>
      <c r="W10" s="582">
        <v>7909</v>
      </c>
      <c r="X10" s="106">
        <f t="shared" si="4"/>
        <v>-26</v>
      </c>
      <c r="Y10" s="658">
        <f t="shared" si="5"/>
        <v>1.0032982367119117</v>
      </c>
      <c r="Z10" s="679">
        <v>45945</v>
      </c>
      <c r="AA10" s="355">
        <v>0</v>
      </c>
      <c r="AB10" s="355">
        <v>0</v>
      </c>
      <c r="AC10" s="41">
        <v>0</v>
      </c>
      <c r="AD10" s="474" t="s">
        <v>389</v>
      </c>
    </row>
    <row r="11" spans="1:30" ht="39.75" customHeight="1">
      <c r="A11" s="928" t="s">
        <v>396</v>
      </c>
      <c r="B11" s="491" t="s">
        <v>238</v>
      </c>
      <c r="C11" s="467">
        <v>45991</v>
      </c>
      <c r="D11" s="475" t="s">
        <v>397</v>
      </c>
      <c r="E11" s="476">
        <v>45716</v>
      </c>
      <c r="F11" s="475" t="s">
        <v>250</v>
      </c>
      <c r="G11" s="477" t="s">
        <v>398</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28" t="s">
        <v>399</v>
      </c>
      <c r="B12" s="832" t="s">
        <v>238</v>
      </c>
      <c r="C12" s="467">
        <v>45991</v>
      </c>
      <c r="D12" s="475" t="s">
        <v>249</v>
      </c>
      <c r="E12" s="476">
        <v>45880</v>
      </c>
      <c r="F12" s="475" t="s">
        <v>250</v>
      </c>
      <c r="G12" s="826" t="s">
        <v>400</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28" t="s">
        <v>402</v>
      </c>
      <c r="B13" s="832" t="s">
        <v>238</v>
      </c>
      <c r="C13" s="467">
        <v>45991</v>
      </c>
      <c r="D13" s="475" t="s">
        <v>249</v>
      </c>
      <c r="E13" s="476">
        <v>45880</v>
      </c>
      <c r="F13" s="475" t="s">
        <v>250</v>
      </c>
      <c r="G13" s="826" t="s">
        <v>403</v>
      </c>
      <c r="H13" s="478">
        <v>75</v>
      </c>
      <c r="I13" s="830" t="s">
        <v>318</v>
      </c>
      <c r="J13" s="478" t="s">
        <v>63</v>
      </c>
      <c r="K13" s="487"/>
      <c r="L13" s="476">
        <v>45879</v>
      </c>
      <c r="M13" s="478" t="s">
        <v>57</v>
      </c>
      <c r="N13" s="544">
        <v>68151.75</v>
      </c>
      <c r="O13" s="478" t="s">
        <v>57</v>
      </c>
      <c r="P13" s="627" t="s">
        <v>319</v>
      </c>
      <c r="Q13" s="479">
        <v>45881</v>
      </c>
      <c r="R13" s="479"/>
      <c r="S13" s="479"/>
      <c r="T13" s="479"/>
      <c r="U13" s="479"/>
      <c r="V13" s="1082">
        <v>5362</v>
      </c>
      <c r="W13" s="628">
        <v>5149</v>
      </c>
      <c r="X13" s="106">
        <f t="shared" si="4"/>
        <v>213</v>
      </c>
      <c r="Y13" s="658">
        <f t="shared" si="5"/>
        <v>0.96027601641178661</v>
      </c>
      <c r="Z13" s="679">
        <v>45926</v>
      </c>
      <c r="AA13" s="355">
        <v>1</v>
      </c>
      <c r="AB13" s="355">
        <v>1</v>
      </c>
      <c r="AC13" s="41">
        <v>0</v>
      </c>
      <c r="AD13" s="170"/>
    </row>
    <row r="14" spans="1:30" ht="39.75" customHeight="1">
      <c r="A14" s="928" t="s">
        <v>404</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3" si="6">SUM(V14-W14)</f>
        <v>46</v>
      </c>
      <c r="Y14" s="663">
        <f t="shared" ref="Y14:Y23" si="7">IFERROR($W14/$V14, 0)</f>
        <v>0.98060708263069141</v>
      </c>
      <c r="Z14" s="479">
        <v>45968</v>
      </c>
      <c r="AA14" s="355">
        <v>0</v>
      </c>
      <c r="AB14" s="355">
        <v>0</v>
      </c>
      <c r="AC14" s="41">
        <v>0</v>
      </c>
      <c r="AD14" s="170" t="s">
        <v>308</v>
      </c>
    </row>
    <row r="15" spans="1:30" ht="39.75" customHeight="1">
      <c r="A15" s="928" t="s">
        <v>405</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28" t="s">
        <v>407</v>
      </c>
      <c r="B16" s="832" t="s">
        <v>238</v>
      </c>
      <c r="C16" s="467" t="s">
        <v>408</v>
      </c>
      <c r="D16" s="475" t="s">
        <v>72</v>
      </c>
      <c r="E16" s="476">
        <v>45964</v>
      </c>
      <c r="F16" s="475" t="s">
        <v>409</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87">
        <v>209</v>
      </c>
      <c r="W16" s="628">
        <v>207</v>
      </c>
      <c r="X16" s="472">
        <f t="shared" si="6"/>
        <v>2</v>
      </c>
      <c r="Y16" s="663">
        <f t="shared" si="7"/>
        <v>0.99043062200956933</v>
      </c>
      <c r="Z16" s="479">
        <v>45964</v>
      </c>
      <c r="AA16" s="355">
        <v>0</v>
      </c>
      <c r="AB16" s="355">
        <v>0</v>
      </c>
      <c r="AC16" s="646">
        <v>0</v>
      </c>
      <c r="AD16" s="474" t="s">
        <v>241</v>
      </c>
    </row>
    <row r="17" spans="1:30" ht="39.75" customHeight="1">
      <c r="A17" s="928" t="s">
        <v>410</v>
      </c>
      <c r="B17" s="832" t="s">
        <v>316</v>
      </c>
      <c r="C17" s="467">
        <v>46006</v>
      </c>
      <c r="D17" s="475" t="s">
        <v>259</v>
      </c>
      <c r="E17" s="476">
        <v>45987</v>
      </c>
      <c r="F17" s="475" t="s">
        <v>250</v>
      </c>
      <c r="G17" s="826" t="s">
        <v>411</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28" t="s">
        <v>413</v>
      </c>
      <c r="B18" s="491" t="s">
        <v>316</v>
      </c>
      <c r="C18" s="467">
        <v>46006</v>
      </c>
      <c r="D18" s="475" t="s">
        <v>259</v>
      </c>
      <c r="E18" s="476">
        <v>45975</v>
      </c>
      <c r="F18" s="475" t="s">
        <v>250</v>
      </c>
      <c r="G18" s="477" t="s">
        <v>414</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28" t="s">
        <v>416</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28" t="s">
        <v>417</v>
      </c>
      <c r="B20" s="491" t="s">
        <v>316</v>
      </c>
      <c r="C20" s="467">
        <v>46053</v>
      </c>
      <c r="D20" s="475" t="s">
        <v>259</v>
      </c>
      <c r="E20" s="476">
        <v>45974</v>
      </c>
      <c r="F20" s="475" t="s">
        <v>250</v>
      </c>
      <c r="G20" s="477" t="s">
        <v>418</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28" t="s">
        <v>419</v>
      </c>
      <c r="B21" s="491" t="s">
        <v>316</v>
      </c>
      <c r="C21" s="467">
        <v>46006</v>
      </c>
      <c r="D21" s="475" t="s">
        <v>259</v>
      </c>
      <c r="E21" s="476">
        <v>45980</v>
      </c>
      <c r="F21" s="475" t="s">
        <v>250</v>
      </c>
      <c r="G21" s="826" t="s">
        <v>420</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1" t="s">
        <v>423</v>
      </c>
      <c r="H22" s="469">
        <v>0</v>
      </c>
      <c r="I22" s="469" t="s">
        <v>318</v>
      </c>
      <c r="J22" s="469" t="s">
        <v>63</v>
      </c>
      <c r="K22" s="941"/>
      <c r="L22" s="467">
        <v>45793</v>
      </c>
      <c r="M22" s="469" t="s">
        <v>57</v>
      </c>
      <c r="N22" s="543">
        <v>53589.8</v>
      </c>
      <c r="O22" s="469" t="s">
        <v>57</v>
      </c>
      <c r="P22" s="627" t="s">
        <v>319</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28" t="s">
        <v>426</v>
      </c>
      <c r="B23" s="465" t="s">
        <v>117</v>
      </c>
      <c r="C23" s="476">
        <v>45976</v>
      </c>
      <c r="D23" s="467" t="s">
        <v>137</v>
      </c>
      <c r="E23" s="467">
        <v>45959</v>
      </c>
      <c r="F23" s="465" t="s">
        <v>427</v>
      </c>
      <c r="G23" s="683"/>
      <c r="H23" s="469">
        <v>69</v>
      </c>
      <c r="I23" s="662" t="s">
        <v>318</v>
      </c>
      <c r="J23" s="469" t="s">
        <v>63</v>
      </c>
      <c r="K23" s="469"/>
      <c r="L23" s="467">
        <v>45962</v>
      </c>
      <c r="M23" s="469" t="s">
        <v>57</v>
      </c>
      <c r="N23" s="543">
        <v>37418</v>
      </c>
      <c r="O23" s="469" t="s">
        <v>57</v>
      </c>
      <c r="P23" s="627" t="s">
        <v>319</v>
      </c>
      <c r="Q23" s="471">
        <v>45961</v>
      </c>
      <c r="R23" s="553"/>
      <c r="S23" s="553"/>
      <c r="T23" s="553"/>
      <c r="U23" s="553"/>
      <c r="V23" s="472">
        <v>2851</v>
      </c>
      <c r="W23" s="628">
        <v>2838</v>
      </c>
      <c r="X23" s="472">
        <f t="shared" si="6"/>
        <v>13</v>
      </c>
      <c r="Y23" s="663">
        <f t="shared" si="7"/>
        <v>0.99544019642230797</v>
      </c>
      <c r="Z23" s="479">
        <v>45973</v>
      </c>
      <c r="AA23" s="355">
        <v>1</v>
      </c>
      <c r="AB23" s="355">
        <v>1</v>
      </c>
      <c r="AC23" s="789">
        <v>0</v>
      </c>
      <c r="AD23" s="43" t="s">
        <v>428</v>
      </c>
    </row>
    <row r="24" spans="1:30" ht="39.75" customHeight="1">
      <c r="A24" s="928" t="s">
        <v>429</v>
      </c>
      <c r="B24" s="465" t="s">
        <v>117</v>
      </c>
      <c r="C24" s="467">
        <v>45991</v>
      </c>
      <c r="D24" s="467" t="s">
        <v>137</v>
      </c>
      <c r="E24" s="467">
        <v>45966</v>
      </c>
      <c r="F24" s="465" t="s">
        <v>118</v>
      </c>
      <c r="G24" s="468" t="s">
        <v>430</v>
      </c>
      <c r="H24" s="469">
        <v>69</v>
      </c>
      <c r="I24" s="662" t="s">
        <v>318</v>
      </c>
      <c r="J24" s="469" t="s">
        <v>63</v>
      </c>
      <c r="K24" s="469"/>
      <c r="L24" s="467">
        <v>45969</v>
      </c>
      <c r="M24" s="469" t="s">
        <v>57</v>
      </c>
      <c r="N24" s="543">
        <v>75672.100000000006</v>
      </c>
      <c r="O24" s="469" t="s">
        <v>57</v>
      </c>
      <c r="P24" s="627" t="s">
        <v>319</v>
      </c>
      <c r="Q24" s="471">
        <v>45969</v>
      </c>
      <c r="R24" s="471"/>
      <c r="S24" s="471"/>
      <c r="T24" s="471"/>
      <c r="U24" s="471"/>
      <c r="V24" s="472">
        <v>5654</v>
      </c>
      <c r="W24" s="628">
        <v>5654</v>
      </c>
      <c r="X24" s="472">
        <f t="shared" ref="X24:X26" si="8">SUM(V24-W24)</f>
        <v>0</v>
      </c>
      <c r="Y24" s="663">
        <f t="shared" ref="Y24:Y26" si="9">IFERROR($W24/$V24, 0)</f>
        <v>1</v>
      </c>
      <c r="Z24" s="479">
        <v>45978</v>
      </c>
      <c r="AA24" s="355">
        <v>1</v>
      </c>
      <c r="AB24" s="355">
        <v>1</v>
      </c>
      <c r="AC24" s="789">
        <v>0</v>
      </c>
      <c r="AD24" s="474" t="s">
        <v>431</v>
      </c>
    </row>
    <row r="25" spans="1:30" ht="39.75" customHeight="1">
      <c r="A25" s="928" t="s">
        <v>432</v>
      </c>
      <c r="B25" s="465" t="s">
        <v>117</v>
      </c>
      <c r="C25" s="467">
        <v>46001</v>
      </c>
      <c r="D25" s="467" t="s">
        <v>137</v>
      </c>
      <c r="E25" s="467">
        <v>45966</v>
      </c>
      <c r="F25" s="465" t="s">
        <v>118</v>
      </c>
      <c r="G25" s="683" t="s">
        <v>433</v>
      </c>
      <c r="H25" s="469">
        <v>88</v>
      </c>
      <c r="I25" s="662" t="s">
        <v>318</v>
      </c>
      <c r="J25" s="469" t="s">
        <v>63</v>
      </c>
      <c r="K25" s="469"/>
      <c r="L25" s="467">
        <v>45967</v>
      </c>
      <c r="M25" s="469" t="s">
        <v>57</v>
      </c>
      <c r="N25" s="543">
        <v>76565.850000000006</v>
      </c>
      <c r="O25" s="469" t="s">
        <v>57</v>
      </c>
      <c r="P25" s="627" t="s">
        <v>319</v>
      </c>
      <c r="Q25" s="471">
        <v>45967</v>
      </c>
      <c r="R25" s="553"/>
      <c r="S25" s="553"/>
      <c r="T25" s="553"/>
      <c r="U25" s="553"/>
      <c r="V25" s="472">
        <v>6025</v>
      </c>
      <c r="W25" s="628">
        <v>6130</v>
      </c>
      <c r="X25" s="472">
        <f t="shared" si="8"/>
        <v>-105</v>
      </c>
      <c r="Y25" s="663">
        <f t="shared" si="9"/>
        <v>1.0174273858921161</v>
      </c>
      <c r="Z25" s="479">
        <v>45985</v>
      </c>
      <c r="AA25" s="355">
        <v>1</v>
      </c>
      <c r="AB25" s="355">
        <v>1</v>
      </c>
      <c r="AC25" s="789">
        <v>0</v>
      </c>
      <c r="AD25" s="474" t="s">
        <v>434</v>
      </c>
    </row>
    <row r="26" spans="1:30" ht="39.75" customHeight="1">
      <c r="A26" s="928" t="s">
        <v>435</v>
      </c>
      <c r="B26" s="465" t="s">
        <v>117</v>
      </c>
      <c r="C26" s="467">
        <v>45991</v>
      </c>
      <c r="D26" s="467" t="s">
        <v>137</v>
      </c>
      <c r="E26" s="467">
        <v>45966</v>
      </c>
      <c r="F26" s="465" t="s">
        <v>118</v>
      </c>
      <c r="G26" s="683" t="s">
        <v>436</v>
      </c>
      <c r="H26" s="469">
        <v>83</v>
      </c>
      <c r="I26" s="662" t="s">
        <v>318</v>
      </c>
      <c r="J26" s="469" t="s">
        <v>63</v>
      </c>
      <c r="K26" s="469"/>
      <c r="L26" s="467">
        <v>45969</v>
      </c>
      <c r="M26" s="469" t="s">
        <v>57</v>
      </c>
      <c r="N26" s="543">
        <v>66402</v>
      </c>
      <c r="O26" s="469" t="s">
        <v>57</v>
      </c>
      <c r="P26" s="627" t="s">
        <v>319</v>
      </c>
      <c r="Q26" s="471">
        <v>45969</v>
      </c>
      <c r="R26" s="553"/>
      <c r="S26" s="553"/>
      <c r="T26" s="553"/>
      <c r="U26" s="553"/>
      <c r="V26" s="472">
        <v>5324</v>
      </c>
      <c r="W26" s="628">
        <v>5304</v>
      </c>
      <c r="X26" s="472">
        <f t="shared" si="8"/>
        <v>20</v>
      </c>
      <c r="Y26" s="663">
        <f t="shared" si="9"/>
        <v>0.99624342599549209</v>
      </c>
      <c r="Z26" s="479">
        <v>45979</v>
      </c>
      <c r="AA26" s="355">
        <v>1</v>
      </c>
      <c r="AB26" s="355">
        <v>1</v>
      </c>
      <c r="AC26" s="789">
        <v>0</v>
      </c>
      <c r="AD26" s="474" t="s">
        <v>437</v>
      </c>
    </row>
    <row r="27" spans="1:30" ht="39.75" customHeight="1">
      <c r="A27" s="928" t="s">
        <v>438</v>
      </c>
      <c r="B27" s="465" t="s">
        <v>117</v>
      </c>
      <c r="C27" s="467">
        <v>46001</v>
      </c>
      <c r="D27" s="467" t="s">
        <v>137</v>
      </c>
      <c r="E27" s="467">
        <v>45966</v>
      </c>
      <c r="F27" s="465" t="s">
        <v>118</v>
      </c>
      <c r="G27" s="683" t="s">
        <v>439</v>
      </c>
      <c r="H27" s="469">
        <v>77</v>
      </c>
      <c r="I27" s="662" t="s">
        <v>318</v>
      </c>
      <c r="J27" s="469" t="s">
        <v>63</v>
      </c>
      <c r="K27" s="469"/>
      <c r="L27" s="467">
        <v>45967</v>
      </c>
      <c r="M27" s="469" t="s">
        <v>57</v>
      </c>
      <c r="N27" s="543">
        <v>63997.35</v>
      </c>
      <c r="O27" s="469" t="s">
        <v>57</v>
      </c>
      <c r="P27" s="627" t="s">
        <v>319</v>
      </c>
      <c r="Q27" s="471">
        <v>45967</v>
      </c>
      <c r="R27" s="553"/>
      <c r="S27" s="553"/>
      <c r="T27" s="553"/>
      <c r="U27" s="553"/>
      <c r="V27" s="472">
        <v>5053</v>
      </c>
      <c r="W27" s="628">
        <v>4915</v>
      </c>
      <c r="X27" s="472">
        <f>SUM(V27-W27)</f>
        <v>138</v>
      </c>
      <c r="Y27" s="663">
        <f>IFERROR($W27/$V27, 0)</f>
        <v>0.97268949139125271</v>
      </c>
      <c r="Z27" s="479">
        <v>45995</v>
      </c>
      <c r="AA27" s="355">
        <v>0</v>
      </c>
      <c r="AB27" s="355">
        <v>0</v>
      </c>
      <c r="AC27" s="789">
        <v>0</v>
      </c>
      <c r="AD27" s="759" t="s">
        <v>440</v>
      </c>
    </row>
    <row r="28" spans="1:30" ht="39.75" customHeight="1">
      <c r="A28" s="928" t="s">
        <v>441</v>
      </c>
      <c r="B28" s="465" t="s">
        <v>117</v>
      </c>
      <c r="C28" s="467">
        <v>45975</v>
      </c>
      <c r="D28" s="467" t="s">
        <v>174</v>
      </c>
      <c r="E28" s="467">
        <v>45982</v>
      </c>
      <c r="F28" s="643" t="s">
        <v>118</v>
      </c>
      <c r="G28" s="683" t="s">
        <v>442</v>
      </c>
      <c r="H28" s="469">
        <v>0</v>
      </c>
      <c r="I28" s="469" t="s">
        <v>318</v>
      </c>
      <c r="J28" s="469" t="s">
        <v>63</v>
      </c>
      <c r="K28" s="469"/>
      <c r="L28" s="467">
        <v>45968</v>
      </c>
      <c r="M28" s="469" t="s">
        <v>57</v>
      </c>
      <c r="N28" s="543">
        <v>12840.7</v>
      </c>
      <c r="O28" s="469" t="s">
        <v>57</v>
      </c>
      <c r="P28" s="627" t="s">
        <v>319</v>
      </c>
      <c r="Q28" s="124">
        <v>45937</v>
      </c>
      <c r="R28" s="653"/>
      <c r="S28" s="471"/>
      <c r="T28" s="471"/>
      <c r="U28" s="124"/>
      <c r="V28" s="1036">
        <v>911</v>
      </c>
      <c r="W28" s="1100">
        <v>974</v>
      </c>
      <c r="X28" s="647">
        <f>SUM(V28-W28)</f>
        <v>-63</v>
      </c>
      <c r="Y28" s="663">
        <f>IFERROR($W28/$V28, 0)</f>
        <v>1.0691547749725576</v>
      </c>
      <c r="Z28" s="479">
        <v>45985</v>
      </c>
      <c r="AA28" s="355">
        <v>1</v>
      </c>
      <c r="AB28" s="355">
        <v>1</v>
      </c>
      <c r="AC28" s="966">
        <v>0</v>
      </c>
      <c r="AD28" s="759" t="s">
        <v>443</v>
      </c>
    </row>
    <row r="29" spans="1:30" ht="39.75" customHeight="1">
      <c r="A29" s="928" t="s">
        <v>444</v>
      </c>
      <c r="B29" s="465" t="s">
        <v>117</v>
      </c>
      <c r="C29" s="488">
        <v>45838</v>
      </c>
      <c r="D29" s="488" t="s">
        <v>137</v>
      </c>
      <c r="E29" s="476">
        <v>45786</v>
      </c>
      <c r="F29" s="488" t="s">
        <v>187</v>
      </c>
      <c r="G29" s="939" t="s">
        <v>445</v>
      </c>
      <c r="H29" s="469">
        <v>0</v>
      </c>
      <c r="I29" s="470" t="s">
        <v>318</v>
      </c>
      <c r="J29" s="469" t="s">
        <v>63</v>
      </c>
      <c r="K29" s="469"/>
      <c r="L29" s="467">
        <v>45790</v>
      </c>
      <c r="M29" s="469" t="s">
        <v>57</v>
      </c>
      <c r="N29" s="543">
        <v>63283</v>
      </c>
      <c r="O29" s="469" t="s">
        <v>57</v>
      </c>
      <c r="P29" s="627" t="s">
        <v>319</v>
      </c>
      <c r="Q29" s="471">
        <v>45790</v>
      </c>
      <c r="R29" s="471">
        <v>45813</v>
      </c>
      <c r="S29" s="471">
        <v>45814</v>
      </c>
      <c r="T29" s="471">
        <v>45828</v>
      </c>
      <c r="U29" s="471">
        <v>45846</v>
      </c>
      <c r="V29" s="472">
        <v>5776</v>
      </c>
      <c r="W29" s="628">
        <v>5776</v>
      </c>
      <c r="X29" s="106">
        <f t="shared" ref="X29:X61" si="10">SUM(V29-W29)</f>
        <v>0</v>
      </c>
      <c r="Y29" s="22">
        <f t="shared" ref="Y29:Y61" si="11">IFERROR($W29/$V29, 0)</f>
        <v>1</v>
      </c>
      <c r="Z29" s="653">
        <v>45796</v>
      </c>
      <c r="AA29" s="355">
        <v>1</v>
      </c>
      <c r="AB29" s="355">
        <v>1</v>
      </c>
      <c r="AC29" s="646">
        <v>0</v>
      </c>
      <c r="AD29" s="323" t="s">
        <v>446</v>
      </c>
    </row>
    <row r="30" spans="1:30" ht="39.75" customHeight="1">
      <c r="A30" s="928" t="s">
        <v>447</v>
      </c>
      <c r="B30" s="465" t="s">
        <v>117</v>
      </c>
      <c r="C30" s="467">
        <v>46021</v>
      </c>
      <c r="D30" s="465" t="s">
        <v>51</v>
      </c>
      <c r="E30" s="467" t="s">
        <v>52</v>
      </c>
      <c r="F30" s="465" t="s">
        <v>138</v>
      </c>
      <c r="G30" s="468" t="s">
        <v>448</v>
      </c>
      <c r="H30" s="469">
        <v>0</v>
      </c>
      <c r="I30" s="469" t="s">
        <v>318</v>
      </c>
      <c r="J30" s="469" t="s">
        <v>63</v>
      </c>
      <c r="K30" s="469"/>
      <c r="L30" s="467" t="s">
        <v>184</v>
      </c>
      <c r="M30" s="469" t="s">
        <v>57</v>
      </c>
      <c r="N30" s="543">
        <v>1931.75</v>
      </c>
      <c r="O30" s="469" t="s">
        <v>57</v>
      </c>
      <c r="P30" s="1065" t="s">
        <v>319</v>
      </c>
      <c r="Q30" s="124"/>
      <c r="R30" s="653"/>
      <c r="S30" s="471"/>
      <c r="T30" s="471"/>
      <c r="U30" s="471"/>
      <c r="V30" s="416">
        <v>0</v>
      </c>
      <c r="W30" s="582">
        <v>0</v>
      </c>
      <c r="X30" s="472">
        <f>SUM(V30-W30)</f>
        <v>0</v>
      </c>
      <c r="Y30" s="663">
        <f t="shared" si="11"/>
        <v>0</v>
      </c>
      <c r="Z30" s="479">
        <v>45996</v>
      </c>
      <c r="AA30" s="355">
        <v>0</v>
      </c>
      <c r="AB30" s="355">
        <v>1</v>
      </c>
      <c r="AC30" s="472">
        <v>0</v>
      </c>
      <c r="AD30" s="170" t="s">
        <v>449</v>
      </c>
    </row>
    <row r="31" spans="1:30" ht="39.75" customHeight="1">
      <c r="A31" s="928" t="s">
        <v>450</v>
      </c>
      <c r="B31" s="682" t="s">
        <v>117</v>
      </c>
      <c r="C31" s="476">
        <v>45991</v>
      </c>
      <c r="D31" s="465" t="s">
        <v>451</v>
      </c>
      <c r="E31" s="467">
        <v>45936</v>
      </c>
      <c r="F31" s="465" t="s">
        <v>118</v>
      </c>
      <c r="G31" s="683"/>
      <c r="H31" s="469">
        <v>0</v>
      </c>
      <c r="I31" s="469" t="s">
        <v>318</v>
      </c>
      <c r="J31" s="469" t="s">
        <v>63</v>
      </c>
      <c r="K31" s="469"/>
      <c r="L31" s="467" t="s">
        <v>184</v>
      </c>
      <c r="M31" s="469" t="s">
        <v>57</v>
      </c>
      <c r="N31" s="543">
        <v>74164.05</v>
      </c>
      <c r="O31" s="469" t="s">
        <v>57</v>
      </c>
      <c r="P31" s="1065" t="s">
        <v>319</v>
      </c>
      <c r="Q31" s="124">
        <v>45939</v>
      </c>
      <c r="R31" s="653"/>
      <c r="S31" s="471"/>
      <c r="T31" s="471"/>
      <c r="U31" s="471"/>
      <c r="V31" s="416">
        <v>5613</v>
      </c>
      <c r="W31" s="582">
        <v>5774</v>
      </c>
      <c r="X31" s="472">
        <f t="shared" si="10"/>
        <v>-161</v>
      </c>
      <c r="Y31" s="663">
        <f t="shared" si="11"/>
        <v>1.0286834135043648</v>
      </c>
      <c r="Z31" s="479">
        <v>45960</v>
      </c>
      <c r="AA31" s="355">
        <v>1</v>
      </c>
      <c r="AB31" s="355">
        <v>1</v>
      </c>
      <c r="AC31" s="472">
        <v>0</v>
      </c>
      <c r="AD31" s="170" t="s">
        <v>452</v>
      </c>
    </row>
    <row r="32" spans="1:30" ht="39.75" customHeight="1">
      <c r="A32" s="928" t="s">
        <v>453</v>
      </c>
      <c r="B32" s="465" t="s">
        <v>117</v>
      </c>
      <c r="C32" s="476">
        <v>45960</v>
      </c>
      <c r="D32" s="467" t="s">
        <v>454</v>
      </c>
      <c r="E32" s="467">
        <v>45939</v>
      </c>
      <c r="F32" s="465" t="s">
        <v>187</v>
      </c>
      <c r="G32" s="683"/>
      <c r="H32" s="469">
        <v>385</v>
      </c>
      <c r="I32" s="662" t="s">
        <v>318</v>
      </c>
      <c r="J32" s="469" t="s">
        <v>56</v>
      </c>
      <c r="K32" s="469"/>
      <c r="L32" s="467">
        <v>45937</v>
      </c>
      <c r="M32" s="469" t="s">
        <v>57</v>
      </c>
      <c r="N32" s="543">
        <v>210533.1</v>
      </c>
      <c r="O32" s="469" t="s">
        <v>57</v>
      </c>
      <c r="P32" s="627" t="s">
        <v>319</v>
      </c>
      <c r="Q32" s="471">
        <v>45936</v>
      </c>
      <c r="R32" s="471"/>
      <c r="S32" s="471"/>
      <c r="T32" s="471"/>
      <c r="U32" s="471"/>
      <c r="V32" s="416">
        <v>18693</v>
      </c>
      <c r="W32" s="582">
        <v>18693</v>
      </c>
      <c r="X32" s="472">
        <f t="shared" si="10"/>
        <v>0</v>
      </c>
      <c r="Y32" s="663">
        <f t="shared" si="11"/>
        <v>1</v>
      </c>
      <c r="Z32" s="479">
        <v>45944</v>
      </c>
      <c r="AA32" s="355">
        <v>1</v>
      </c>
      <c r="AB32" s="355">
        <v>1</v>
      </c>
      <c r="AC32" s="472">
        <v>0</v>
      </c>
      <c r="AD32" s="170" t="s">
        <v>455</v>
      </c>
    </row>
    <row r="33" spans="1:30" ht="39.75" customHeight="1">
      <c r="A33" s="928" t="s">
        <v>456</v>
      </c>
      <c r="B33" s="465" t="s">
        <v>117</v>
      </c>
      <c r="C33" s="467">
        <v>45996</v>
      </c>
      <c r="D33" s="467" t="s">
        <v>454</v>
      </c>
      <c r="E33" s="467">
        <v>45958</v>
      </c>
      <c r="F33" s="465" t="s">
        <v>138</v>
      </c>
      <c r="G33" s="468" t="s">
        <v>457</v>
      </c>
      <c r="H33" s="469">
        <v>303</v>
      </c>
      <c r="I33" s="662" t="s">
        <v>318</v>
      </c>
      <c r="J33" s="469" t="s">
        <v>56</v>
      </c>
      <c r="K33" s="469"/>
      <c r="L33" s="467">
        <v>45953</v>
      </c>
      <c r="M33" s="469" t="s">
        <v>57</v>
      </c>
      <c r="N33" s="543">
        <v>168480.8</v>
      </c>
      <c r="O33" s="469" t="s">
        <v>57</v>
      </c>
      <c r="P33" s="627" t="s">
        <v>319</v>
      </c>
      <c r="Q33" s="471">
        <v>45953</v>
      </c>
      <c r="R33" s="471"/>
      <c r="S33" s="471"/>
      <c r="T33" s="471"/>
      <c r="U33" s="471"/>
      <c r="V33" s="472">
        <v>14659</v>
      </c>
      <c r="W33" s="628">
        <v>14659</v>
      </c>
      <c r="X33" s="472">
        <f t="shared" si="10"/>
        <v>0</v>
      </c>
      <c r="Y33" s="663">
        <f t="shared" si="11"/>
        <v>1</v>
      </c>
      <c r="Z33" s="479">
        <v>45978</v>
      </c>
      <c r="AA33" s="355">
        <v>1</v>
      </c>
      <c r="AB33" s="355">
        <v>0</v>
      </c>
      <c r="AC33" s="472">
        <v>0</v>
      </c>
      <c r="AD33" s="759" t="s">
        <v>458</v>
      </c>
    </row>
    <row r="34" spans="1:30" ht="39.75" customHeight="1">
      <c r="A34" s="928" t="s">
        <v>459</v>
      </c>
      <c r="B34" s="465" t="s">
        <v>117</v>
      </c>
      <c r="C34" s="467">
        <v>46017</v>
      </c>
      <c r="D34" s="467" t="s">
        <v>233</v>
      </c>
      <c r="E34" s="467">
        <v>45936</v>
      </c>
      <c r="F34" s="465" t="s">
        <v>118</v>
      </c>
      <c r="G34" s="468"/>
      <c r="H34" s="469">
        <v>157</v>
      </c>
      <c r="I34" s="662" t="s">
        <v>318</v>
      </c>
      <c r="J34" s="469" t="s">
        <v>56</v>
      </c>
      <c r="K34" s="469"/>
      <c r="L34" s="467">
        <v>45943</v>
      </c>
      <c r="M34" s="469" t="s">
        <v>57</v>
      </c>
      <c r="N34" s="543">
        <v>64059.5</v>
      </c>
      <c r="O34" s="469" t="s">
        <v>57</v>
      </c>
      <c r="P34" s="627" t="s">
        <v>319</v>
      </c>
      <c r="Q34" s="471">
        <v>45943</v>
      </c>
      <c r="R34" s="471"/>
      <c r="S34" s="471"/>
      <c r="T34" s="471"/>
      <c r="U34" s="471"/>
      <c r="V34" s="472">
        <v>4725</v>
      </c>
      <c r="W34" s="628">
        <v>4725</v>
      </c>
      <c r="X34" s="472">
        <f t="shared" si="10"/>
        <v>0</v>
      </c>
      <c r="Y34" s="663">
        <f t="shared" si="11"/>
        <v>1</v>
      </c>
      <c r="Z34" s="479">
        <v>45971</v>
      </c>
      <c r="AA34" s="355">
        <v>1</v>
      </c>
      <c r="AB34" s="355">
        <v>1</v>
      </c>
      <c r="AC34" s="472">
        <v>0</v>
      </c>
      <c r="AD34" s="759" t="s">
        <v>460</v>
      </c>
    </row>
    <row r="35" spans="1:30" ht="39.75" customHeight="1">
      <c r="A35" s="1153" t="s">
        <v>461</v>
      </c>
      <c r="B35" s="1154" t="s">
        <v>339</v>
      </c>
      <c r="C35" s="375">
        <v>46019</v>
      </c>
      <c r="D35" s="978" t="s">
        <v>137</v>
      </c>
      <c r="E35" s="375">
        <v>45959</v>
      </c>
      <c r="F35" s="374" t="s">
        <v>340</v>
      </c>
      <c r="G35" s="672" t="s">
        <v>462</v>
      </c>
      <c r="H35" s="1069">
        <v>89</v>
      </c>
      <c r="I35" s="979" t="s">
        <v>318</v>
      </c>
      <c r="J35" s="980" t="s">
        <v>63</v>
      </c>
      <c r="K35" s="469"/>
      <c r="L35" s="375">
        <v>45964</v>
      </c>
      <c r="M35" s="980" t="s">
        <v>57</v>
      </c>
      <c r="N35" s="1070">
        <v>62937.05</v>
      </c>
      <c r="O35" s="52" t="s">
        <v>57</v>
      </c>
      <c r="P35" s="1072" t="s">
        <v>319</v>
      </c>
      <c r="Q35" s="124">
        <v>45964</v>
      </c>
      <c r="R35" s="652"/>
      <c r="S35" s="652"/>
      <c r="T35" s="652"/>
      <c r="U35" s="124">
        <v>46002</v>
      </c>
      <c r="V35" s="1013">
        <v>8523</v>
      </c>
      <c r="W35" s="1014">
        <v>8457</v>
      </c>
      <c r="X35" s="1013">
        <f>SUM(V35-W35)</f>
        <v>66</v>
      </c>
      <c r="Y35" s="1155">
        <f>IFERROR($W35/$V35, 0)</f>
        <v>0.99225624780007038</v>
      </c>
      <c r="Z35" s="124">
        <v>45966</v>
      </c>
      <c r="AA35" s="602">
        <v>1</v>
      </c>
      <c r="AB35" s="602">
        <v>0</v>
      </c>
      <c r="AC35" s="472">
        <v>0</v>
      </c>
      <c r="AD35" s="1038" t="s">
        <v>463</v>
      </c>
    </row>
    <row r="36" spans="1:30" ht="39.75" customHeight="1">
      <c r="A36" s="1088" t="s">
        <v>464</v>
      </c>
      <c r="B36" s="982" t="s">
        <v>339</v>
      </c>
      <c r="C36" s="467">
        <v>46045</v>
      </c>
      <c r="D36" s="643" t="s">
        <v>137</v>
      </c>
      <c r="E36" s="467"/>
      <c r="F36" s="465"/>
      <c r="G36" s="468"/>
      <c r="H36" s="1077">
        <v>77</v>
      </c>
      <c r="I36" s="830" t="s">
        <v>318</v>
      </c>
      <c r="J36" s="478" t="s">
        <v>63</v>
      </c>
      <c r="K36" s="1078"/>
      <c r="L36" s="476" t="s">
        <v>52</v>
      </c>
      <c r="M36" s="478" t="s">
        <v>57</v>
      </c>
      <c r="N36" s="1079">
        <v>4046.5</v>
      </c>
      <c r="O36" s="478" t="s">
        <v>57</v>
      </c>
      <c r="P36" s="627" t="s">
        <v>319</v>
      </c>
      <c r="Q36" s="471" t="s">
        <v>52</v>
      </c>
      <c r="R36" s="553"/>
      <c r="S36" s="553"/>
      <c r="T36" s="553"/>
      <c r="U36" s="471">
        <v>45999</v>
      </c>
      <c r="V36" s="1083">
        <v>5136</v>
      </c>
      <c r="W36" s="628">
        <v>5136</v>
      </c>
      <c r="X36" s="1013">
        <f t="shared" si="10"/>
        <v>0</v>
      </c>
      <c r="Y36" s="71">
        <f t="shared" si="11"/>
        <v>1</v>
      </c>
      <c r="Z36" s="653">
        <v>45964</v>
      </c>
      <c r="AA36" s="355">
        <v>1</v>
      </c>
      <c r="AB36" s="355">
        <v>0</v>
      </c>
      <c r="AC36" s="41">
        <v>0</v>
      </c>
      <c r="AD36" s="875" t="s">
        <v>465</v>
      </c>
    </row>
    <row r="37" spans="1:30" ht="39.75" customHeight="1">
      <c r="A37" s="1074" t="s">
        <v>466</v>
      </c>
      <c r="B37" s="982" t="s">
        <v>339</v>
      </c>
      <c r="C37" s="467">
        <v>46045</v>
      </c>
      <c r="D37" s="643" t="s">
        <v>137</v>
      </c>
      <c r="E37" s="467"/>
      <c r="F37" s="465"/>
      <c r="G37" s="468"/>
      <c r="H37" s="1077">
        <v>85</v>
      </c>
      <c r="I37" s="830" t="s">
        <v>318</v>
      </c>
      <c r="J37" s="478" t="s">
        <v>63</v>
      </c>
      <c r="K37" s="1078"/>
      <c r="L37" s="476" t="s">
        <v>52</v>
      </c>
      <c r="M37" s="478" t="s">
        <v>57</v>
      </c>
      <c r="N37" s="1079">
        <v>29180.45</v>
      </c>
      <c r="O37" s="478" t="s">
        <v>57</v>
      </c>
      <c r="P37" s="627" t="s">
        <v>319</v>
      </c>
      <c r="Q37" s="471" t="s">
        <v>52</v>
      </c>
      <c r="R37" s="553"/>
      <c r="S37" s="553"/>
      <c r="T37" s="553"/>
      <c r="U37" s="124">
        <v>46002</v>
      </c>
      <c r="V37" s="1083">
        <v>6249</v>
      </c>
      <c r="W37" s="628">
        <v>6183</v>
      </c>
      <c r="X37" s="1013">
        <f t="shared" si="10"/>
        <v>66</v>
      </c>
      <c r="Y37" s="71">
        <f t="shared" si="11"/>
        <v>0.98943831012962069</v>
      </c>
      <c r="Z37" s="653">
        <v>45964</v>
      </c>
      <c r="AA37" s="355">
        <v>1</v>
      </c>
      <c r="AB37" s="355">
        <v>0</v>
      </c>
      <c r="AC37" s="41">
        <v>0</v>
      </c>
      <c r="AD37" s="1084" t="s">
        <v>467</v>
      </c>
    </row>
    <row r="38" spans="1:30" ht="39.75" customHeight="1">
      <c r="A38" s="1089" t="s">
        <v>468</v>
      </c>
      <c r="B38" s="982" t="s">
        <v>339</v>
      </c>
      <c r="C38" s="467">
        <v>46045</v>
      </c>
      <c r="D38" s="643" t="s">
        <v>137</v>
      </c>
      <c r="E38" s="467"/>
      <c r="F38" s="465"/>
      <c r="G38" s="468"/>
      <c r="H38" s="1077">
        <v>62</v>
      </c>
      <c r="I38" s="830" t="s">
        <v>318</v>
      </c>
      <c r="J38" s="478" t="s">
        <v>63</v>
      </c>
      <c r="K38" s="1078"/>
      <c r="L38" s="476" t="s">
        <v>52</v>
      </c>
      <c r="M38" s="478" t="s">
        <v>57</v>
      </c>
      <c r="N38" s="1079">
        <v>170</v>
      </c>
      <c r="O38" s="478" t="s">
        <v>57</v>
      </c>
      <c r="P38" s="713" t="s">
        <v>319</v>
      </c>
      <c r="Q38" s="471" t="s">
        <v>52</v>
      </c>
      <c r="R38" s="553"/>
      <c r="S38" s="553"/>
      <c r="T38" s="553"/>
      <c r="U38" s="124">
        <v>46002</v>
      </c>
      <c r="V38" s="1093">
        <v>4095</v>
      </c>
      <c r="W38" s="628">
        <v>4088</v>
      </c>
      <c r="X38" s="1013">
        <f t="shared" si="10"/>
        <v>7</v>
      </c>
      <c r="Y38" s="71">
        <f t="shared" si="11"/>
        <v>0.9982905982905983</v>
      </c>
      <c r="Z38" s="653">
        <v>45964</v>
      </c>
      <c r="AA38" s="355">
        <v>1</v>
      </c>
      <c r="AB38" s="355">
        <v>0</v>
      </c>
      <c r="AC38" s="41">
        <v>0</v>
      </c>
      <c r="AD38" s="875" t="s">
        <v>469</v>
      </c>
    </row>
    <row r="39" spans="1:30" ht="39.75" customHeight="1">
      <c r="A39" s="1074" t="s">
        <v>470</v>
      </c>
      <c r="B39" s="982" t="s">
        <v>339</v>
      </c>
      <c r="C39" s="467">
        <v>46045</v>
      </c>
      <c r="D39" s="643" t="s">
        <v>137</v>
      </c>
      <c r="E39" s="467">
        <v>45959</v>
      </c>
      <c r="F39" s="465" t="s">
        <v>340</v>
      </c>
      <c r="G39" s="468" t="s">
        <v>471</v>
      </c>
      <c r="H39" s="1077">
        <v>78</v>
      </c>
      <c r="I39" s="830" t="s">
        <v>318</v>
      </c>
      <c r="J39" s="478" t="s">
        <v>63</v>
      </c>
      <c r="K39" s="1078"/>
      <c r="L39" s="467">
        <v>45964</v>
      </c>
      <c r="M39" s="478" t="s">
        <v>57</v>
      </c>
      <c r="N39" s="1079">
        <v>170</v>
      </c>
      <c r="O39" s="478" t="s">
        <v>57</v>
      </c>
      <c r="P39" s="627" t="s">
        <v>319</v>
      </c>
      <c r="Q39" s="471">
        <v>45964</v>
      </c>
      <c r="R39" s="553"/>
      <c r="S39" s="553"/>
      <c r="T39" s="553"/>
      <c r="U39" s="471">
        <v>45999</v>
      </c>
      <c r="V39" s="1083">
        <v>7522</v>
      </c>
      <c r="W39" s="628">
        <v>7522</v>
      </c>
      <c r="X39" s="1083">
        <f t="shared" si="10"/>
        <v>0</v>
      </c>
      <c r="Y39" s="499">
        <f t="shared" si="11"/>
        <v>1</v>
      </c>
      <c r="Z39" s="471">
        <v>45964</v>
      </c>
      <c r="AA39" s="355">
        <v>1</v>
      </c>
      <c r="AB39" s="355">
        <v>1</v>
      </c>
      <c r="AC39" s="41">
        <v>0</v>
      </c>
      <c r="AD39" s="474" t="s">
        <v>472</v>
      </c>
    </row>
    <row r="40" spans="1:30" ht="39.75" customHeight="1">
      <c r="A40" s="1073" t="s">
        <v>473</v>
      </c>
      <c r="B40" s="450" t="s">
        <v>339</v>
      </c>
      <c r="C40" s="375">
        <v>46045</v>
      </c>
      <c r="D40" s="978" t="s">
        <v>137</v>
      </c>
      <c r="E40" s="375"/>
      <c r="F40" s="374"/>
      <c r="G40" s="638"/>
      <c r="H40" s="1069">
        <v>80</v>
      </c>
      <c r="I40" s="979" t="s">
        <v>318</v>
      </c>
      <c r="J40" s="980" t="s">
        <v>63</v>
      </c>
      <c r="K40" s="1011"/>
      <c r="L40" s="476" t="s">
        <v>52</v>
      </c>
      <c r="M40" s="980" t="s">
        <v>57</v>
      </c>
      <c r="N40" s="1070">
        <v>25891</v>
      </c>
      <c r="O40" s="52" t="s">
        <v>57</v>
      </c>
      <c r="P40" s="1072" t="s">
        <v>319</v>
      </c>
      <c r="Q40" s="471" t="s">
        <v>52</v>
      </c>
      <c r="R40" s="652"/>
      <c r="S40" s="652"/>
      <c r="T40" s="652"/>
      <c r="U40" s="124">
        <v>46002</v>
      </c>
      <c r="V40" s="1013">
        <v>5254</v>
      </c>
      <c r="W40" s="1014">
        <v>5254</v>
      </c>
      <c r="X40" s="1013">
        <f t="shared" si="10"/>
        <v>0</v>
      </c>
      <c r="Y40" s="872">
        <f t="shared" si="11"/>
        <v>1</v>
      </c>
      <c r="Z40" s="124">
        <v>45964</v>
      </c>
      <c r="AA40" s="355">
        <v>1</v>
      </c>
      <c r="AB40" s="355">
        <v>0</v>
      </c>
      <c r="AC40" s="41">
        <v>0</v>
      </c>
      <c r="AD40" s="436" t="s">
        <v>469</v>
      </c>
    </row>
    <row r="41" spans="1:30" ht="39.75" customHeight="1">
      <c r="A41" s="1073" t="s">
        <v>474</v>
      </c>
      <c r="B41" s="450" t="s">
        <v>339</v>
      </c>
      <c r="C41" s="375">
        <v>46045</v>
      </c>
      <c r="D41" s="978" t="s">
        <v>137</v>
      </c>
      <c r="E41" s="375"/>
      <c r="F41" s="374"/>
      <c r="G41" s="638"/>
      <c r="H41" s="1069">
        <v>83</v>
      </c>
      <c r="I41" s="979" t="s">
        <v>318</v>
      </c>
      <c r="J41" s="980" t="s">
        <v>63</v>
      </c>
      <c r="K41" s="1011"/>
      <c r="L41" s="476" t="s">
        <v>52</v>
      </c>
      <c r="M41" s="980" t="s">
        <v>57</v>
      </c>
      <c r="N41" s="1070">
        <v>170</v>
      </c>
      <c r="O41" s="52" t="s">
        <v>57</v>
      </c>
      <c r="P41" s="1072" t="s">
        <v>319</v>
      </c>
      <c r="Q41" s="471" t="s">
        <v>52</v>
      </c>
      <c r="R41" s="652"/>
      <c r="S41" s="652"/>
      <c r="T41" s="652"/>
      <c r="U41" s="124">
        <v>46002</v>
      </c>
      <c r="V41" s="1013">
        <v>5947</v>
      </c>
      <c r="W41" s="1014">
        <v>5947</v>
      </c>
      <c r="X41" s="1013">
        <f t="shared" si="10"/>
        <v>0</v>
      </c>
      <c r="Y41" s="872">
        <f t="shared" si="11"/>
        <v>1</v>
      </c>
      <c r="Z41" s="124">
        <v>45964</v>
      </c>
      <c r="AA41" s="355">
        <v>1</v>
      </c>
      <c r="AB41" s="355">
        <v>0</v>
      </c>
      <c r="AC41" s="41">
        <v>0</v>
      </c>
      <c r="AD41" s="436" t="s">
        <v>475</v>
      </c>
    </row>
    <row r="42" spans="1:30" ht="39.75" customHeight="1">
      <c r="A42" s="1073" t="s">
        <v>476</v>
      </c>
      <c r="B42" s="450" t="s">
        <v>339</v>
      </c>
      <c r="C42" s="375">
        <v>46045</v>
      </c>
      <c r="D42" s="978" t="s">
        <v>137</v>
      </c>
      <c r="E42" s="375"/>
      <c r="F42" s="374"/>
      <c r="G42" s="638"/>
      <c r="H42" s="1069">
        <v>85</v>
      </c>
      <c r="I42" s="979" t="s">
        <v>318</v>
      </c>
      <c r="J42" s="980" t="s">
        <v>63</v>
      </c>
      <c r="K42" s="1011"/>
      <c r="L42" s="476" t="s">
        <v>52</v>
      </c>
      <c r="M42" s="980" t="s">
        <v>57</v>
      </c>
      <c r="N42" s="1070">
        <v>30788</v>
      </c>
      <c r="O42" s="52" t="s">
        <v>57</v>
      </c>
      <c r="P42" s="1072" t="s">
        <v>319</v>
      </c>
      <c r="Q42" s="471" t="s">
        <v>52</v>
      </c>
      <c r="R42" s="652"/>
      <c r="S42" s="652"/>
      <c r="T42" s="652"/>
      <c r="U42" s="471">
        <v>45999</v>
      </c>
      <c r="V42" s="1013">
        <v>5599</v>
      </c>
      <c r="W42" s="1014">
        <v>5599</v>
      </c>
      <c r="X42" s="1013">
        <f t="shared" si="10"/>
        <v>0</v>
      </c>
      <c r="Y42" s="872">
        <f t="shared" si="11"/>
        <v>1</v>
      </c>
      <c r="Z42" s="124">
        <v>45964</v>
      </c>
      <c r="AA42" s="355">
        <v>1</v>
      </c>
      <c r="AB42" s="602">
        <v>0</v>
      </c>
      <c r="AC42" s="981">
        <v>0</v>
      </c>
      <c r="AD42" s="436" t="s">
        <v>477</v>
      </c>
    </row>
    <row r="43" spans="1:30" ht="39.75" customHeight="1">
      <c r="A43" s="1073" t="s">
        <v>478</v>
      </c>
      <c r="B43" s="450" t="s">
        <v>339</v>
      </c>
      <c r="C43" s="375">
        <v>46045</v>
      </c>
      <c r="D43" s="978" t="s">
        <v>137</v>
      </c>
      <c r="E43" s="375"/>
      <c r="F43" s="374"/>
      <c r="G43" s="638"/>
      <c r="H43" s="1069">
        <v>88</v>
      </c>
      <c r="I43" s="979" t="s">
        <v>318</v>
      </c>
      <c r="J43" s="980" t="s">
        <v>63</v>
      </c>
      <c r="K43" s="1011"/>
      <c r="L43" s="476" t="s">
        <v>52</v>
      </c>
      <c r="M43" s="980" t="s">
        <v>57</v>
      </c>
      <c r="N43" s="1070">
        <v>5668</v>
      </c>
      <c r="O43" s="52" t="s">
        <v>57</v>
      </c>
      <c r="P43" s="1072" t="s">
        <v>319</v>
      </c>
      <c r="Q43" s="471" t="s">
        <v>52</v>
      </c>
      <c r="R43" s="652"/>
      <c r="S43" s="652"/>
      <c r="T43" s="652"/>
      <c r="U43" s="471">
        <v>45999</v>
      </c>
      <c r="V43" s="1013">
        <v>6646</v>
      </c>
      <c r="W43" s="1014">
        <v>6623</v>
      </c>
      <c r="X43" s="1013">
        <f t="shared" si="10"/>
        <v>23</v>
      </c>
      <c r="Y43" s="872">
        <f t="shared" si="11"/>
        <v>0.99653927174240142</v>
      </c>
      <c r="Z43" s="124">
        <v>45964</v>
      </c>
      <c r="AA43" s="355">
        <v>1</v>
      </c>
      <c r="AB43" s="355">
        <v>0</v>
      </c>
      <c r="AC43" s="41">
        <v>0</v>
      </c>
      <c r="AD43" s="436" t="s">
        <v>469</v>
      </c>
    </row>
    <row r="44" spans="1:30" ht="39.75" customHeight="1">
      <c r="A44" s="1073" t="s">
        <v>479</v>
      </c>
      <c r="B44" s="450" t="s">
        <v>339</v>
      </c>
      <c r="C44" s="375">
        <v>46045</v>
      </c>
      <c r="D44" s="978" t="s">
        <v>137</v>
      </c>
      <c r="E44" s="375"/>
      <c r="F44" s="374"/>
      <c r="G44" s="638"/>
      <c r="H44" s="1069">
        <v>30</v>
      </c>
      <c r="I44" s="979" t="s">
        <v>318</v>
      </c>
      <c r="J44" s="980" t="s">
        <v>63</v>
      </c>
      <c r="K44" s="1011"/>
      <c r="L44" s="476" t="s">
        <v>52</v>
      </c>
      <c r="M44" s="980" t="s">
        <v>57</v>
      </c>
      <c r="N44" s="1070">
        <v>170</v>
      </c>
      <c r="O44" s="52" t="s">
        <v>57</v>
      </c>
      <c r="P44" s="1072" t="s">
        <v>319</v>
      </c>
      <c r="Q44" s="471" t="s">
        <v>52</v>
      </c>
      <c r="R44" s="652"/>
      <c r="S44" s="652"/>
      <c r="T44" s="652"/>
      <c r="U44" s="124">
        <v>46002</v>
      </c>
      <c r="V44" s="1013">
        <v>2136</v>
      </c>
      <c r="W44" s="1014">
        <v>2136</v>
      </c>
      <c r="X44" s="1013">
        <f t="shared" si="10"/>
        <v>0</v>
      </c>
      <c r="Y44" s="872">
        <f t="shared" si="11"/>
        <v>1</v>
      </c>
      <c r="Z44" s="124">
        <v>45964</v>
      </c>
      <c r="AA44" s="355">
        <v>1</v>
      </c>
      <c r="AB44" s="355">
        <v>0</v>
      </c>
      <c r="AC44" s="41">
        <v>0</v>
      </c>
      <c r="AD44" s="436" t="s">
        <v>469</v>
      </c>
    </row>
    <row r="45" spans="1:30" ht="39.75" customHeight="1">
      <c r="A45" s="1073" t="s">
        <v>480</v>
      </c>
      <c r="B45" s="450" t="s">
        <v>339</v>
      </c>
      <c r="C45" s="375">
        <v>46045</v>
      </c>
      <c r="D45" s="978" t="s">
        <v>137</v>
      </c>
      <c r="E45" s="375">
        <v>45959</v>
      </c>
      <c r="F45" s="374" t="s">
        <v>187</v>
      </c>
      <c r="G45" s="638"/>
      <c r="H45" s="376">
        <v>89</v>
      </c>
      <c r="I45" s="979" t="s">
        <v>318</v>
      </c>
      <c r="J45" s="980" t="s">
        <v>63</v>
      </c>
      <c r="K45" s="651"/>
      <c r="L45" s="51">
        <v>45964</v>
      </c>
      <c r="M45" s="52" t="s">
        <v>57</v>
      </c>
      <c r="N45" s="840">
        <v>84750.5</v>
      </c>
      <c r="O45" s="52" t="s">
        <v>57</v>
      </c>
      <c r="P45" s="1072" t="s">
        <v>319</v>
      </c>
      <c r="Q45" s="54">
        <v>45964</v>
      </c>
      <c r="R45" s="652"/>
      <c r="S45" s="652"/>
      <c r="T45" s="652"/>
      <c r="U45" s="652"/>
      <c r="V45" s="106">
        <v>6935</v>
      </c>
      <c r="W45" s="1014">
        <v>6942</v>
      </c>
      <c r="X45" s="106">
        <f t="shared" si="10"/>
        <v>-7</v>
      </c>
      <c r="Y45" s="985">
        <f t="shared" si="11"/>
        <v>1.0010093727469358</v>
      </c>
      <c r="Z45" s="124">
        <v>45973</v>
      </c>
      <c r="AA45" s="355">
        <v>0</v>
      </c>
      <c r="AB45" s="355">
        <v>0</v>
      </c>
      <c r="AC45" s="41">
        <v>0</v>
      </c>
      <c r="AD45" s="436" t="s">
        <v>481</v>
      </c>
    </row>
    <row r="46" spans="1:30" ht="39.75" customHeight="1">
      <c r="A46" s="1073" t="s">
        <v>482</v>
      </c>
      <c r="B46" s="450" t="s">
        <v>339</v>
      </c>
      <c r="C46" s="375">
        <v>45989</v>
      </c>
      <c r="D46" s="978" t="s">
        <v>137</v>
      </c>
      <c r="E46" s="375">
        <v>45959</v>
      </c>
      <c r="F46" s="374" t="s">
        <v>187</v>
      </c>
      <c r="G46" s="638" t="s">
        <v>483</v>
      </c>
      <c r="H46" s="376">
        <v>59</v>
      </c>
      <c r="I46" s="979" t="s">
        <v>318</v>
      </c>
      <c r="J46" s="980" t="s">
        <v>63</v>
      </c>
      <c r="K46" s="651"/>
      <c r="L46" s="51">
        <v>45964</v>
      </c>
      <c r="M46" s="980" t="s">
        <v>57</v>
      </c>
      <c r="N46" s="840">
        <v>65066.5</v>
      </c>
      <c r="O46" s="52" t="s">
        <v>57</v>
      </c>
      <c r="P46" s="1072" t="s">
        <v>319</v>
      </c>
      <c r="Q46" s="54">
        <v>45964</v>
      </c>
      <c r="R46" s="1004"/>
      <c r="S46" s="652"/>
      <c r="T46" s="652"/>
      <c r="U46" s="652"/>
      <c r="V46" s="106">
        <v>5421</v>
      </c>
      <c r="W46" s="1014">
        <v>5466</v>
      </c>
      <c r="X46" s="472">
        <f t="shared" si="10"/>
        <v>-45</v>
      </c>
      <c r="Y46" s="872">
        <f t="shared" si="11"/>
        <v>1.0083010514665192</v>
      </c>
      <c r="Z46" s="124">
        <v>45985</v>
      </c>
      <c r="AA46" s="602">
        <v>0</v>
      </c>
      <c r="AB46" s="602">
        <v>0</v>
      </c>
      <c r="AC46" s="981">
        <v>0</v>
      </c>
      <c r="AD46" s="436" t="s">
        <v>484</v>
      </c>
    </row>
    <row r="47" spans="1:30" ht="39.75" customHeight="1">
      <c r="A47" s="1073" t="s">
        <v>485</v>
      </c>
      <c r="B47" s="450" t="s">
        <v>339</v>
      </c>
      <c r="C47" s="375">
        <v>46010</v>
      </c>
      <c r="D47" s="978" t="s">
        <v>137</v>
      </c>
      <c r="E47" s="375">
        <v>45959</v>
      </c>
      <c r="F47" s="374" t="s">
        <v>187</v>
      </c>
      <c r="G47" s="638" t="s">
        <v>486</v>
      </c>
      <c r="H47" s="376">
        <v>89</v>
      </c>
      <c r="I47" s="979" t="s">
        <v>318</v>
      </c>
      <c r="J47" s="980" t="s">
        <v>63</v>
      </c>
      <c r="K47" s="651"/>
      <c r="L47" s="51">
        <v>45964</v>
      </c>
      <c r="M47" s="980" t="s">
        <v>57</v>
      </c>
      <c r="N47" s="840">
        <v>81602</v>
      </c>
      <c r="O47" s="52" t="s">
        <v>57</v>
      </c>
      <c r="P47" s="1072" t="s">
        <v>319</v>
      </c>
      <c r="Q47" s="54">
        <v>45964</v>
      </c>
      <c r="R47" s="1004"/>
      <c r="S47" s="652"/>
      <c r="T47" s="652"/>
      <c r="U47" s="652"/>
      <c r="V47" s="106">
        <v>6752</v>
      </c>
      <c r="W47" s="1014">
        <v>6737</v>
      </c>
      <c r="X47" s="472">
        <f t="shared" si="10"/>
        <v>15</v>
      </c>
      <c r="Y47" s="872">
        <f t="shared" si="11"/>
        <v>0.99777843601895733</v>
      </c>
      <c r="Z47" s="124">
        <v>45992</v>
      </c>
      <c r="AA47" s="602">
        <v>0</v>
      </c>
      <c r="AB47" s="602">
        <v>0</v>
      </c>
      <c r="AC47" s="981">
        <v>0</v>
      </c>
      <c r="AD47" s="436" t="s">
        <v>487</v>
      </c>
    </row>
    <row r="48" spans="1:30" ht="39.75" customHeight="1">
      <c r="A48" s="1073" t="s">
        <v>488</v>
      </c>
      <c r="B48" s="450" t="s">
        <v>339</v>
      </c>
      <c r="C48" s="375">
        <v>46045</v>
      </c>
      <c r="D48" s="978" t="s">
        <v>137</v>
      </c>
      <c r="E48" s="375">
        <v>45959</v>
      </c>
      <c r="F48" s="374" t="s">
        <v>187</v>
      </c>
      <c r="G48" s="638"/>
      <c r="H48" s="376">
        <v>88</v>
      </c>
      <c r="I48" s="979" t="s">
        <v>318</v>
      </c>
      <c r="J48" s="980" t="s">
        <v>63</v>
      </c>
      <c r="K48" s="651"/>
      <c r="L48" s="51">
        <v>45961</v>
      </c>
      <c r="M48" s="52" t="s">
        <v>57</v>
      </c>
      <c r="N48" s="840">
        <v>88231.9</v>
      </c>
      <c r="O48" s="52" t="s">
        <v>57</v>
      </c>
      <c r="P48" s="1072" t="s">
        <v>319</v>
      </c>
      <c r="Q48" s="54">
        <v>45961</v>
      </c>
      <c r="R48" s="652"/>
      <c r="S48" s="652"/>
      <c r="T48" s="652"/>
      <c r="U48" s="652"/>
      <c r="V48" s="106">
        <v>7274</v>
      </c>
      <c r="W48" s="1014">
        <v>7274</v>
      </c>
      <c r="X48" s="106">
        <f t="shared" si="10"/>
        <v>0</v>
      </c>
      <c r="Y48" s="872">
        <f t="shared" si="11"/>
        <v>1</v>
      </c>
      <c r="Z48" s="124">
        <v>45968</v>
      </c>
      <c r="AA48" s="355">
        <v>0</v>
      </c>
      <c r="AB48" s="355">
        <v>0</v>
      </c>
      <c r="AC48" s="41">
        <v>0</v>
      </c>
      <c r="AD48" s="436" t="s">
        <v>489</v>
      </c>
    </row>
    <row r="49" spans="1:30" ht="39.75" customHeight="1">
      <c r="A49" s="1073" t="s">
        <v>490</v>
      </c>
      <c r="B49" s="450" t="s">
        <v>339</v>
      </c>
      <c r="C49" s="375">
        <v>45989</v>
      </c>
      <c r="D49" s="978" t="s">
        <v>137</v>
      </c>
      <c r="E49" s="375">
        <v>45959</v>
      </c>
      <c r="F49" s="374" t="s">
        <v>187</v>
      </c>
      <c r="G49" s="638" t="s">
        <v>491</v>
      </c>
      <c r="H49" s="376">
        <v>87</v>
      </c>
      <c r="I49" s="979" t="s">
        <v>318</v>
      </c>
      <c r="J49" s="980" t="s">
        <v>63</v>
      </c>
      <c r="K49" s="651"/>
      <c r="L49" s="51">
        <v>45964</v>
      </c>
      <c r="M49" s="980" t="s">
        <v>57</v>
      </c>
      <c r="N49" s="840">
        <v>93578</v>
      </c>
      <c r="O49" s="52" t="s">
        <v>57</v>
      </c>
      <c r="P49" s="1072" t="s">
        <v>319</v>
      </c>
      <c r="Q49" s="54">
        <v>45964</v>
      </c>
      <c r="R49" s="1004"/>
      <c r="S49" s="652"/>
      <c r="T49" s="652"/>
      <c r="U49" s="652"/>
      <c r="V49" s="106">
        <v>7782</v>
      </c>
      <c r="W49" s="1014">
        <v>7782</v>
      </c>
      <c r="X49" s="472">
        <f t="shared" si="10"/>
        <v>0</v>
      </c>
      <c r="Y49" s="872">
        <f t="shared" si="11"/>
        <v>1</v>
      </c>
      <c r="Z49" s="124">
        <v>45975</v>
      </c>
      <c r="AA49" s="602">
        <v>0</v>
      </c>
      <c r="AB49" s="602">
        <v>0</v>
      </c>
      <c r="AC49" s="981">
        <v>0</v>
      </c>
      <c r="AD49" s="436" t="s">
        <v>492</v>
      </c>
    </row>
    <row r="50" spans="1:30" ht="39.75" customHeight="1">
      <c r="A50" s="1073" t="s">
        <v>493</v>
      </c>
      <c r="B50" s="450" t="s">
        <v>339</v>
      </c>
      <c r="C50" s="375">
        <v>46045</v>
      </c>
      <c r="D50" s="978" t="s">
        <v>137</v>
      </c>
      <c r="E50" s="375">
        <v>45959</v>
      </c>
      <c r="F50" s="374" t="s">
        <v>187</v>
      </c>
      <c r="G50" s="638"/>
      <c r="H50" s="376">
        <v>90</v>
      </c>
      <c r="I50" s="979" t="s">
        <v>318</v>
      </c>
      <c r="J50" s="980" t="s">
        <v>63</v>
      </c>
      <c r="K50" s="651"/>
      <c r="L50" s="51">
        <v>45964</v>
      </c>
      <c r="M50" s="52" t="s">
        <v>57</v>
      </c>
      <c r="N50" s="840">
        <v>84896</v>
      </c>
      <c r="O50" s="52" t="s">
        <v>57</v>
      </c>
      <c r="P50" s="1072" t="s">
        <v>319</v>
      </c>
      <c r="Q50" s="54">
        <v>45964</v>
      </c>
      <c r="R50" s="652"/>
      <c r="S50" s="652"/>
      <c r="T50" s="652"/>
      <c r="U50" s="652"/>
      <c r="V50" s="106">
        <v>7060</v>
      </c>
      <c r="W50" s="1014">
        <v>7060</v>
      </c>
      <c r="X50" s="106">
        <f t="shared" si="10"/>
        <v>0</v>
      </c>
      <c r="Y50" s="872">
        <f t="shared" si="11"/>
        <v>1</v>
      </c>
      <c r="Z50" s="124">
        <v>45973</v>
      </c>
      <c r="AA50" s="602">
        <v>0</v>
      </c>
      <c r="AB50" s="355">
        <v>0</v>
      </c>
      <c r="AC50" s="41">
        <v>0</v>
      </c>
      <c r="AD50" s="436" t="s">
        <v>494</v>
      </c>
    </row>
    <row r="51" spans="1:30" ht="39.75" customHeight="1">
      <c r="A51" s="1334" t="s">
        <v>495</v>
      </c>
      <c r="B51" s="1154" t="s">
        <v>339</v>
      </c>
      <c r="C51" s="1305">
        <v>46019</v>
      </c>
      <c r="D51" s="978" t="s">
        <v>137</v>
      </c>
      <c r="E51" s="1305">
        <v>45959</v>
      </c>
      <c r="F51" s="1306" t="s">
        <v>187</v>
      </c>
      <c r="G51" s="1306" t="s">
        <v>496</v>
      </c>
      <c r="H51" s="1307">
        <v>90</v>
      </c>
      <c r="I51" s="979" t="s">
        <v>318</v>
      </c>
      <c r="J51" s="1288" t="s">
        <v>63</v>
      </c>
      <c r="K51" s="651"/>
      <c r="L51" s="1309">
        <v>45961</v>
      </c>
      <c r="M51" s="1288" t="s">
        <v>57</v>
      </c>
      <c r="N51" s="1335">
        <v>91897</v>
      </c>
      <c r="O51" s="1311" t="s">
        <v>57</v>
      </c>
      <c r="P51" s="1336" t="s">
        <v>319</v>
      </c>
      <c r="Q51" s="1337">
        <v>45961</v>
      </c>
      <c r="R51" s="1338"/>
      <c r="S51" s="1313"/>
      <c r="T51" s="1313"/>
      <c r="U51" s="1313"/>
      <c r="V51" s="1272">
        <v>7457</v>
      </c>
      <c r="W51" s="1339">
        <v>7468</v>
      </c>
      <c r="X51" s="1214">
        <f>SUM(V51-W51)</f>
        <v>-11</v>
      </c>
      <c r="Y51" s="1155">
        <f>IFERROR($W51/$V51, 0)</f>
        <v>1.0014751240445219</v>
      </c>
      <c r="Z51" s="1261">
        <v>45974</v>
      </c>
      <c r="AA51" s="1296">
        <v>0</v>
      </c>
      <c r="AB51" s="1296">
        <v>0</v>
      </c>
      <c r="AC51" s="1293">
        <v>0</v>
      </c>
      <c r="AD51" s="1263" t="s">
        <v>497</v>
      </c>
    </row>
    <row r="52" spans="1:30" ht="39.75" customHeight="1">
      <c r="A52" s="1073" t="s">
        <v>498</v>
      </c>
      <c r="B52" s="450" t="s">
        <v>339</v>
      </c>
      <c r="C52" s="375">
        <v>45989</v>
      </c>
      <c r="D52" s="978" t="s">
        <v>137</v>
      </c>
      <c r="E52" s="375">
        <v>45959</v>
      </c>
      <c r="F52" s="374" t="s">
        <v>187</v>
      </c>
      <c r="G52" s="638" t="s">
        <v>499</v>
      </c>
      <c r="H52" s="376">
        <v>90</v>
      </c>
      <c r="I52" s="979" t="s">
        <v>318</v>
      </c>
      <c r="J52" s="980" t="s">
        <v>63</v>
      </c>
      <c r="K52" s="651"/>
      <c r="L52" s="51">
        <v>45964</v>
      </c>
      <c r="M52" s="980" t="s">
        <v>57</v>
      </c>
      <c r="N52" s="840">
        <v>96685</v>
      </c>
      <c r="O52" s="52" t="s">
        <v>57</v>
      </c>
      <c r="P52" s="1072" t="s">
        <v>319</v>
      </c>
      <c r="Q52" s="54">
        <v>45964</v>
      </c>
      <c r="R52" s="1004"/>
      <c r="S52" s="652"/>
      <c r="T52" s="652"/>
      <c r="U52" s="652"/>
      <c r="V52" s="106">
        <v>7926</v>
      </c>
      <c r="W52" s="1014">
        <v>7926</v>
      </c>
      <c r="X52" s="472">
        <f t="shared" si="10"/>
        <v>0</v>
      </c>
      <c r="Y52" s="872">
        <f t="shared" si="11"/>
        <v>1</v>
      </c>
      <c r="Z52" s="124">
        <v>45981</v>
      </c>
      <c r="AA52" s="602">
        <v>0</v>
      </c>
      <c r="AB52" s="602">
        <v>0</v>
      </c>
      <c r="AC52" s="981">
        <v>0</v>
      </c>
      <c r="AD52" s="436" t="s">
        <v>500</v>
      </c>
    </row>
    <row r="53" spans="1:30" ht="39.75" customHeight="1">
      <c r="A53" s="1073" t="s">
        <v>501</v>
      </c>
      <c r="B53" s="450" t="s">
        <v>339</v>
      </c>
      <c r="C53" s="375">
        <v>46021</v>
      </c>
      <c r="D53" s="978" t="s">
        <v>137</v>
      </c>
      <c r="E53" s="375">
        <v>45959</v>
      </c>
      <c r="F53" s="374" t="s">
        <v>187</v>
      </c>
      <c r="G53" s="638" t="s">
        <v>502</v>
      </c>
      <c r="H53" s="376">
        <v>89</v>
      </c>
      <c r="I53" s="979" t="s">
        <v>318</v>
      </c>
      <c r="J53" s="980" t="s">
        <v>63</v>
      </c>
      <c r="K53" s="651"/>
      <c r="L53" s="51">
        <v>45961</v>
      </c>
      <c r="M53" s="980" t="s">
        <v>57</v>
      </c>
      <c r="N53" s="840">
        <v>83615</v>
      </c>
      <c r="O53" s="52" t="s">
        <v>57</v>
      </c>
      <c r="P53" s="1072" t="s">
        <v>319</v>
      </c>
      <c r="Q53" s="54">
        <v>45961</v>
      </c>
      <c r="R53" s="1004"/>
      <c r="S53" s="652"/>
      <c r="T53" s="652"/>
      <c r="U53" s="652"/>
      <c r="V53" s="106">
        <v>7010</v>
      </c>
      <c r="W53" s="1014">
        <v>7010</v>
      </c>
      <c r="X53" s="472">
        <f t="shared" si="10"/>
        <v>0</v>
      </c>
      <c r="Y53" s="872">
        <f t="shared" si="11"/>
        <v>1</v>
      </c>
      <c r="Z53" s="124">
        <v>45986</v>
      </c>
      <c r="AA53" s="602">
        <v>0</v>
      </c>
      <c r="AB53" s="602">
        <v>0</v>
      </c>
      <c r="AC53" s="981">
        <v>0</v>
      </c>
      <c r="AD53" s="436" t="s">
        <v>351</v>
      </c>
    </row>
    <row r="54" spans="1:30" ht="39.75" customHeight="1">
      <c r="A54" s="1334" t="s">
        <v>503</v>
      </c>
      <c r="B54" s="1154" t="s">
        <v>339</v>
      </c>
      <c r="C54" s="1305">
        <v>46021</v>
      </c>
      <c r="D54" s="978" t="s">
        <v>137</v>
      </c>
      <c r="E54" s="1305">
        <v>45959</v>
      </c>
      <c r="F54" s="1306" t="s">
        <v>187</v>
      </c>
      <c r="G54" s="1306" t="s">
        <v>504</v>
      </c>
      <c r="H54" s="1307">
        <v>88</v>
      </c>
      <c r="I54" s="979" t="s">
        <v>318</v>
      </c>
      <c r="J54" s="1288" t="s">
        <v>63</v>
      </c>
      <c r="K54" s="651"/>
      <c r="L54" s="1309">
        <v>45964</v>
      </c>
      <c r="M54" s="1288" t="s">
        <v>57</v>
      </c>
      <c r="N54" s="1335">
        <v>78736.5</v>
      </c>
      <c r="O54" s="1311" t="s">
        <v>57</v>
      </c>
      <c r="P54" s="1336" t="s">
        <v>319</v>
      </c>
      <c r="Q54" s="1337">
        <v>45964</v>
      </c>
      <c r="R54" s="1338"/>
      <c r="S54" s="1313"/>
      <c r="T54" s="1313"/>
      <c r="U54" s="1313"/>
      <c r="V54" s="1272">
        <v>6403</v>
      </c>
      <c r="W54" s="1339">
        <v>6403</v>
      </c>
      <c r="X54" s="1214">
        <f>SUM(V54-W54)</f>
        <v>0</v>
      </c>
      <c r="Y54" s="1155">
        <f>IFERROR($W54/$V54, 0)</f>
        <v>1</v>
      </c>
      <c r="Z54" s="1261">
        <v>46000</v>
      </c>
      <c r="AA54" s="1296">
        <v>0</v>
      </c>
      <c r="AB54" s="1296">
        <v>0</v>
      </c>
      <c r="AC54" s="1293">
        <v>0</v>
      </c>
      <c r="AD54" s="1263" t="s">
        <v>505</v>
      </c>
    </row>
    <row r="55" spans="1:30" ht="39.75" customHeight="1">
      <c r="A55" s="1334" t="s">
        <v>506</v>
      </c>
      <c r="B55" s="1154" t="s">
        <v>339</v>
      </c>
      <c r="C55" s="1305">
        <v>46021</v>
      </c>
      <c r="D55" s="978" t="s">
        <v>137</v>
      </c>
      <c r="E55" s="1305">
        <v>45959</v>
      </c>
      <c r="F55" s="1306" t="s">
        <v>187</v>
      </c>
      <c r="G55" s="1306" t="s">
        <v>507</v>
      </c>
      <c r="H55" s="1307">
        <v>85</v>
      </c>
      <c r="I55" s="979" t="s">
        <v>318</v>
      </c>
      <c r="J55" s="1288" t="s">
        <v>63</v>
      </c>
      <c r="K55" s="651"/>
      <c r="L55" s="1309">
        <v>45964</v>
      </c>
      <c r="M55" s="1288" t="s">
        <v>57</v>
      </c>
      <c r="N55" s="1335">
        <v>84770</v>
      </c>
      <c r="O55" s="1311" t="s">
        <v>57</v>
      </c>
      <c r="P55" s="1336" t="s">
        <v>319</v>
      </c>
      <c r="Q55" s="1337">
        <v>45964</v>
      </c>
      <c r="R55" s="1338"/>
      <c r="S55" s="1313"/>
      <c r="T55" s="1313"/>
      <c r="U55" s="1313"/>
      <c r="V55" s="1272">
        <v>6965</v>
      </c>
      <c r="W55" s="1339">
        <v>7129</v>
      </c>
      <c r="X55" s="1214">
        <f>SUM(V55-W55)</f>
        <v>-164</v>
      </c>
      <c r="Y55" s="1155">
        <f>IFERROR($W55/$V55, 0)</f>
        <v>1.0235463029432879</v>
      </c>
      <c r="Z55" s="1261">
        <v>45999</v>
      </c>
      <c r="AA55" s="1296">
        <v>0</v>
      </c>
      <c r="AB55" s="1296">
        <v>0</v>
      </c>
      <c r="AC55" s="1293">
        <v>0</v>
      </c>
      <c r="AD55" s="1263" t="s">
        <v>505</v>
      </c>
    </row>
    <row r="56" spans="1:30" ht="39.75" customHeight="1">
      <c r="A56" s="1075" t="s">
        <v>508</v>
      </c>
      <c r="B56" s="790" t="s">
        <v>50</v>
      </c>
      <c r="C56" s="889">
        <v>45991</v>
      </c>
      <c r="D56" s="1091" t="s">
        <v>72</v>
      </c>
      <c r="E56" s="57">
        <v>45743</v>
      </c>
      <c r="F56" s="773" t="s">
        <v>61</v>
      </c>
      <c r="G56" s="791" t="s">
        <v>509</v>
      </c>
      <c r="H56" s="777">
        <v>69</v>
      </c>
      <c r="I56" s="662" t="s">
        <v>318</v>
      </c>
      <c r="J56" s="469" t="s">
        <v>63</v>
      </c>
      <c r="K56" s="905"/>
      <c r="L56" s="51">
        <v>45741</v>
      </c>
      <c r="M56" s="376" t="s">
        <v>57</v>
      </c>
      <c r="N56" s="840">
        <v>67734.5</v>
      </c>
      <c r="O56" s="376" t="s">
        <v>57</v>
      </c>
      <c r="P56" s="1072" t="s">
        <v>319</v>
      </c>
      <c r="Q56" s="54">
        <v>45744</v>
      </c>
      <c r="R56" s="54"/>
      <c r="S56" s="54"/>
      <c r="T56" s="54"/>
      <c r="U56" s="54"/>
      <c r="V56" s="31">
        <v>4822</v>
      </c>
      <c r="W56" s="1014">
        <v>4816</v>
      </c>
      <c r="X56" s="106">
        <f t="shared" si="10"/>
        <v>6</v>
      </c>
      <c r="Y56" s="985">
        <f t="shared" si="11"/>
        <v>0.99875570302778927</v>
      </c>
      <c r="Z56" s="54">
        <v>45784</v>
      </c>
      <c r="AA56" s="355">
        <v>0</v>
      </c>
      <c r="AB56" s="355">
        <v>0</v>
      </c>
      <c r="AC56" s="646">
        <v>0</v>
      </c>
      <c r="AD56" s="69" t="s">
        <v>510</v>
      </c>
    </row>
    <row r="57" spans="1:30" ht="39.75" customHeight="1">
      <c r="A57" s="1075" t="s">
        <v>511</v>
      </c>
      <c r="B57" s="772" t="s">
        <v>50</v>
      </c>
      <c r="C57" s="889">
        <v>45991</v>
      </c>
      <c r="D57" s="1076" t="s">
        <v>512</v>
      </c>
      <c r="E57" s="774">
        <v>45735</v>
      </c>
      <c r="F57" s="773" t="s">
        <v>61</v>
      </c>
      <c r="G57" s="776" t="s">
        <v>513</v>
      </c>
      <c r="H57" s="777">
        <v>70</v>
      </c>
      <c r="I57" s="470" t="s">
        <v>318</v>
      </c>
      <c r="J57" s="478" t="s">
        <v>63</v>
      </c>
      <c r="K57" s="52"/>
      <c r="L57" s="375">
        <v>45716</v>
      </c>
      <c r="M57" s="52" t="s">
        <v>57</v>
      </c>
      <c r="N57" s="1080">
        <v>56262.5</v>
      </c>
      <c r="O57" s="52" t="s">
        <v>57</v>
      </c>
      <c r="P57" s="1072" t="s">
        <v>319</v>
      </c>
      <c r="Q57" s="54">
        <v>45744</v>
      </c>
      <c r="R57" s="54">
        <v>45917</v>
      </c>
      <c r="S57" s="54">
        <v>45930</v>
      </c>
      <c r="T57" s="54"/>
      <c r="U57" s="54"/>
      <c r="V57" s="31">
        <v>4870</v>
      </c>
      <c r="W57" s="1014">
        <v>5044</v>
      </c>
      <c r="X57" s="106">
        <f t="shared" si="10"/>
        <v>-174</v>
      </c>
      <c r="Y57" s="985">
        <f t="shared" si="11"/>
        <v>1.0357289527720739</v>
      </c>
      <c r="Z57" s="54">
        <v>45754</v>
      </c>
      <c r="AA57" s="355">
        <v>0</v>
      </c>
      <c r="AB57" s="355">
        <v>0</v>
      </c>
      <c r="AC57" s="41">
        <v>0</v>
      </c>
      <c r="AD57" s="1028" t="s">
        <v>514</v>
      </c>
    </row>
    <row r="58" spans="1:30" ht="39.75" customHeight="1">
      <c r="A58" s="928" t="s">
        <v>515</v>
      </c>
      <c r="B58" s="825" t="s">
        <v>50</v>
      </c>
      <c r="C58" s="467">
        <v>45991</v>
      </c>
      <c r="D58" s="467" t="s">
        <v>72</v>
      </c>
      <c r="E58" s="476">
        <v>45748</v>
      </c>
      <c r="F58" s="475" t="s">
        <v>61</v>
      </c>
      <c r="G58" s="826" t="s">
        <v>516</v>
      </c>
      <c r="H58" s="478">
        <v>0</v>
      </c>
      <c r="I58" s="478" t="s">
        <v>318</v>
      </c>
      <c r="J58" s="469" t="s">
        <v>63</v>
      </c>
      <c r="K58" s="827"/>
      <c r="L58" s="476">
        <v>45741</v>
      </c>
      <c r="M58" s="469" t="s">
        <v>57</v>
      </c>
      <c r="N58" s="544">
        <v>17203.45</v>
      </c>
      <c r="O58" s="469" t="s">
        <v>57</v>
      </c>
      <c r="P58" s="977" t="s">
        <v>319</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517</v>
      </c>
    </row>
    <row r="59" spans="1:30" ht="39.75" customHeight="1">
      <c r="A59" s="1075" t="s">
        <v>518</v>
      </c>
      <c r="B59" s="790" t="s">
        <v>50</v>
      </c>
      <c r="C59" s="889">
        <v>45991</v>
      </c>
      <c r="D59" s="1091" t="s">
        <v>72</v>
      </c>
      <c r="E59" s="57">
        <v>45779</v>
      </c>
      <c r="F59" s="773" t="s">
        <v>61</v>
      </c>
      <c r="G59" s="791" t="s">
        <v>519</v>
      </c>
      <c r="H59" s="777">
        <v>0</v>
      </c>
      <c r="I59" s="478" t="s">
        <v>318</v>
      </c>
      <c r="J59" s="469" t="s">
        <v>63</v>
      </c>
      <c r="K59" s="905"/>
      <c r="L59" s="51">
        <v>45742</v>
      </c>
      <c r="M59" s="911" t="s">
        <v>57</v>
      </c>
      <c r="N59" s="1080">
        <v>23800.25</v>
      </c>
      <c r="O59" s="376" t="s">
        <v>57</v>
      </c>
      <c r="P59" s="1072" t="s">
        <v>319</v>
      </c>
      <c r="Q59" s="54">
        <v>45743</v>
      </c>
      <c r="R59" s="195"/>
      <c r="S59" s="54"/>
      <c r="T59" s="54"/>
      <c r="U59" s="54"/>
      <c r="V59" s="31">
        <v>1697</v>
      </c>
      <c r="W59" s="1014">
        <v>1815</v>
      </c>
      <c r="X59" s="472">
        <f t="shared" si="10"/>
        <v>-118</v>
      </c>
      <c r="Y59" s="863">
        <f t="shared" si="11"/>
        <v>1.0695344725987035</v>
      </c>
      <c r="Z59" s="54">
        <v>45791</v>
      </c>
      <c r="AA59" s="602">
        <v>1</v>
      </c>
      <c r="AB59" s="602">
        <v>0</v>
      </c>
      <c r="AC59" s="1094">
        <v>0</v>
      </c>
      <c r="AD59" s="1028" t="s">
        <v>520</v>
      </c>
    </row>
    <row r="60" spans="1:30" ht="39.75" customHeight="1">
      <c r="A60" s="1075" t="s">
        <v>521</v>
      </c>
      <c r="B60" s="790" t="s">
        <v>50</v>
      </c>
      <c r="C60" s="889">
        <v>46008</v>
      </c>
      <c r="D60" s="1091" t="s">
        <v>522</v>
      </c>
      <c r="E60" s="57">
        <v>45952</v>
      </c>
      <c r="F60" s="773" t="s">
        <v>101</v>
      </c>
      <c r="G60" s="791"/>
      <c r="H60" s="777">
        <v>139</v>
      </c>
      <c r="I60" s="662" t="s">
        <v>318</v>
      </c>
      <c r="J60" s="469" t="s">
        <v>56</v>
      </c>
      <c r="K60" s="52"/>
      <c r="L60" s="51" t="s">
        <v>52</v>
      </c>
      <c r="M60" s="980" t="s">
        <v>57</v>
      </c>
      <c r="N60" s="1080">
        <v>42766.5</v>
      </c>
      <c r="O60" s="52" t="s">
        <v>57</v>
      </c>
      <c r="P60" s="1072" t="s">
        <v>319</v>
      </c>
      <c r="Q60" s="54">
        <v>45939</v>
      </c>
      <c r="R60" s="195"/>
      <c r="S60" s="54"/>
      <c r="T60" s="54"/>
      <c r="U60" s="54"/>
      <c r="V60" s="31">
        <v>6699</v>
      </c>
      <c r="W60" s="1014">
        <v>7067</v>
      </c>
      <c r="X60" s="472">
        <f t="shared" si="10"/>
        <v>-368</v>
      </c>
      <c r="Y60" s="985">
        <f t="shared" si="11"/>
        <v>1.0549335721749515</v>
      </c>
      <c r="Z60" s="54">
        <v>45954</v>
      </c>
      <c r="AA60" s="602">
        <v>1</v>
      </c>
      <c r="AB60" s="602">
        <v>1</v>
      </c>
      <c r="AC60" s="1094">
        <v>0</v>
      </c>
      <c r="AD60" s="149"/>
    </row>
    <row r="61" spans="1:30" ht="39.75" customHeight="1">
      <c r="A61" s="1075" t="s">
        <v>523</v>
      </c>
      <c r="B61" s="790" t="s">
        <v>50</v>
      </c>
      <c r="C61" s="889">
        <v>46008</v>
      </c>
      <c r="D61" s="1091" t="s">
        <v>524</v>
      </c>
      <c r="E61" s="57">
        <v>45938</v>
      </c>
      <c r="F61" s="773" t="s">
        <v>101</v>
      </c>
      <c r="G61" s="791"/>
      <c r="H61" s="777">
        <v>193</v>
      </c>
      <c r="I61" s="662" t="s">
        <v>318</v>
      </c>
      <c r="J61" s="469" t="s">
        <v>56</v>
      </c>
      <c r="K61" s="96"/>
      <c r="L61" s="51" t="s">
        <v>52</v>
      </c>
      <c r="M61" s="980" t="s">
        <v>57</v>
      </c>
      <c r="N61" s="1080">
        <v>86136</v>
      </c>
      <c r="O61" s="52" t="s">
        <v>57</v>
      </c>
      <c r="P61" s="1072" t="s">
        <v>319</v>
      </c>
      <c r="Q61" s="54">
        <v>45938</v>
      </c>
      <c r="R61" s="195"/>
      <c r="S61" s="54"/>
      <c r="T61" s="54"/>
      <c r="U61" s="54"/>
      <c r="V61" s="31">
        <v>7655</v>
      </c>
      <c r="W61" s="1014">
        <v>8289</v>
      </c>
      <c r="X61" s="472">
        <f t="shared" si="10"/>
        <v>-634</v>
      </c>
      <c r="Y61" s="985">
        <f t="shared" si="11"/>
        <v>1.0828216851730894</v>
      </c>
      <c r="Z61" s="54">
        <v>45943</v>
      </c>
      <c r="AA61" s="602">
        <v>1</v>
      </c>
      <c r="AB61" s="602">
        <v>1</v>
      </c>
      <c r="AC61" s="1094">
        <v>0</v>
      </c>
      <c r="AD61" s="902"/>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9" sqref="A39:XFD4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6" t="s">
        <v>48</v>
      </c>
    </row>
    <row r="2" spans="1:30" ht="39.75" customHeight="1">
      <c r="A2" s="931" t="s">
        <v>525</v>
      </c>
      <c r="B2" s="832" t="s">
        <v>238</v>
      </c>
      <c r="C2" s="467">
        <v>45960</v>
      </c>
      <c r="D2" s="467" t="s">
        <v>249</v>
      </c>
      <c r="E2" s="467">
        <v>45852</v>
      </c>
      <c r="F2" s="643" t="s">
        <v>250</v>
      </c>
      <c r="G2" s="683" t="s">
        <v>526</v>
      </c>
      <c r="H2" s="469">
        <v>0</v>
      </c>
      <c r="I2" s="469" t="s">
        <v>318</v>
      </c>
      <c r="J2" s="469" t="s">
        <v>63</v>
      </c>
      <c r="K2" s="469"/>
      <c r="L2" s="467">
        <v>45852</v>
      </c>
      <c r="M2" s="469" t="s">
        <v>57</v>
      </c>
      <c r="N2" s="543">
        <v>42837.2</v>
      </c>
      <c r="O2" s="469" t="s">
        <v>57</v>
      </c>
      <c r="P2" s="808" t="s">
        <v>319</v>
      </c>
      <c r="Q2" s="471">
        <v>45852</v>
      </c>
      <c r="R2" s="871"/>
      <c r="S2" s="871"/>
      <c r="T2" s="871"/>
      <c r="U2" s="87" t="s">
        <v>527</v>
      </c>
      <c r="V2" s="490">
        <v>3432</v>
      </c>
      <c r="W2" s="743">
        <v>3519</v>
      </c>
      <c r="X2" s="106">
        <f>SUM(V2-W2)</f>
        <v>-87</v>
      </c>
      <c r="Y2" s="658">
        <f>IFERROR($W2/$V2, 0)</f>
        <v>1.0253496503496504</v>
      </c>
      <c r="Z2" s="679">
        <v>45866</v>
      </c>
      <c r="AA2" s="355">
        <v>1</v>
      </c>
      <c r="AB2" s="355">
        <v>1</v>
      </c>
      <c r="AC2" s="1006">
        <v>0</v>
      </c>
      <c r="AD2" s="542"/>
    </row>
    <row r="3" spans="1:30" ht="39.75" customHeight="1">
      <c r="A3" s="844" t="s">
        <v>528</v>
      </c>
      <c r="B3" s="491" t="s">
        <v>238</v>
      </c>
      <c r="C3" s="467">
        <v>45868</v>
      </c>
      <c r="D3" s="475" t="s">
        <v>529</v>
      </c>
      <c r="E3" s="476">
        <v>45716</v>
      </c>
      <c r="F3" s="475" t="s">
        <v>250</v>
      </c>
      <c r="G3" s="598" t="s">
        <v>530</v>
      </c>
      <c r="H3" s="478">
        <v>0</v>
      </c>
      <c r="I3" s="483" t="s">
        <v>318</v>
      </c>
      <c r="J3" s="478" t="s">
        <v>63</v>
      </c>
      <c r="K3" s="487"/>
      <c r="L3" s="467">
        <v>45716</v>
      </c>
      <c r="M3" s="478" t="s">
        <v>57</v>
      </c>
      <c r="N3" s="544">
        <v>64932.55</v>
      </c>
      <c r="O3" s="478" t="s">
        <v>57</v>
      </c>
      <c r="P3" s="808" t="s">
        <v>319</v>
      </c>
      <c r="Q3" s="479">
        <v>45721</v>
      </c>
      <c r="R3" s="54"/>
      <c r="S3" s="54"/>
      <c r="T3" s="54"/>
      <c r="U3" s="87" t="s">
        <v>527</v>
      </c>
      <c r="V3" s="1105">
        <v>5151</v>
      </c>
      <c r="W3" s="744">
        <v>5207</v>
      </c>
      <c r="X3" s="106">
        <f>SUM(V3-W3)</f>
        <v>-56</v>
      </c>
      <c r="Y3" s="22">
        <f>IFERROR($W3/$V3, 0)</f>
        <v>1.0108716754028344</v>
      </c>
      <c r="Z3" s="679">
        <v>45748</v>
      </c>
      <c r="AA3" s="355">
        <v>1</v>
      </c>
      <c r="AB3" s="355">
        <v>1</v>
      </c>
      <c r="AC3" s="41">
        <v>0</v>
      </c>
      <c r="AD3" s="873"/>
    </row>
    <row r="4" spans="1:30" ht="39.75" customHeight="1">
      <c r="A4" s="880" t="s">
        <v>531</v>
      </c>
      <c r="B4" s="491" t="s">
        <v>238</v>
      </c>
      <c r="C4" s="467">
        <v>45991</v>
      </c>
      <c r="D4" s="476" t="s">
        <v>397</v>
      </c>
      <c r="E4" s="428">
        <v>45707</v>
      </c>
      <c r="F4" s="475" t="s">
        <v>250</v>
      </c>
      <c r="G4" s="492" t="s">
        <v>532</v>
      </c>
      <c r="H4" s="483">
        <v>0</v>
      </c>
      <c r="I4" s="483" t="s">
        <v>318</v>
      </c>
      <c r="J4" s="483" t="s">
        <v>63</v>
      </c>
      <c r="K4" s="483"/>
      <c r="L4" s="476">
        <v>45708</v>
      </c>
      <c r="M4" s="483" t="s">
        <v>57</v>
      </c>
      <c r="N4" s="545">
        <v>87944.4</v>
      </c>
      <c r="O4" s="483" t="s">
        <v>57</v>
      </c>
      <c r="P4" s="808" t="s">
        <v>319</v>
      </c>
      <c r="Q4" s="479">
        <v>45709</v>
      </c>
      <c r="R4" s="1106"/>
      <c r="S4" s="1106"/>
      <c r="T4" s="1106"/>
      <c r="U4" s="1107" t="s">
        <v>527</v>
      </c>
      <c r="V4" s="493">
        <v>7008</v>
      </c>
      <c r="W4" s="743">
        <v>7258</v>
      </c>
      <c r="X4" s="106">
        <f t="shared" ref="X4" si="0">SUM(V4-W4)</f>
        <v>-250</v>
      </c>
      <c r="Y4" s="22">
        <f t="shared" ref="Y4" si="1">IFERROR($W4/$V4, 0)</f>
        <v>1.0356735159817352</v>
      </c>
      <c r="Z4" s="679">
        <v>45747</v>
      </c>
      <c r="AA4" s="473">
        <v>1</v>
      </c>
      <c r="AB4" s="473">
        <v>1</v>
      </c>
      <c r="AC4" s="817">
        <v>0</v>
      </c>
      <c r="AD4" s="874" t="s">
        <v>533</v>
      </c>
    </row>
    <row r="5" spans="1:30" ht="39.75" customHeight="1">
      <c r="A5" s="844" t="s">
        <v>534</v>
      </c>
      <c r="B5" s="832" t="s">
        <v>238</v>
      </c>
      <c r="C5" s="476">
        <v>45807</v>
      </c>
      <c r="D5" s="465" t="s">
        <v>529</v>
      </c>
      <c r="E5" s="475" t="s">
        <v>52</v>
      </c>
      <c r="F5" s="465" t="s">
        <v>250</v>
      </c>
      <c r="G5" s="826" t="s">
        <v>535</v>
      </c>
      <c r="H5" s="469">
        <v>84</v>
      </c>
      <c r="I5" s="830" t="s">
        <v>318</v>
      </c>
      <c r="J5" s="478" t="s">
        <v>63</v>
      </c>
      <c r="K5" s="845"/>
      <c r="L5" s="467">
        <v>45716</v>
      </c>
      <c r="M5" s="478" t="s">
        <v>57</v>
      </c>
      <c r="N5" s="543">
        <v>2812.95</v>
      </c>
      <c r="O5" s="478" t="s">
        <v>57</v>
      </c>
      <c r="P5" s="808" t="s">
        <v>319</v>
      </c>
      <c r="Q5" s="479">
        <v>45792</v>
      </c>
      <c r="R5" s="479">
        <v>45947</v>
      </c>
      <c r="S5" s="352"/>
      <c r="T5" s="352"/>
      <c r="U5" s="486" t="s">
        <v>527</v>
      </c>
      <c r="V5" s="41">
        <v>285</v>
      </c>
      <c r="W5" s="846">
        <v>285</v>
      </c>
      <c r="X5" s="472">
        <f>SUM(V5-W5)</f>
        <v>0</v>
      </c>
      <c r="Y5" s="663">
        <f>IFERROR($W5/$V5, 0)</f>
        <v>1</v>
      </c>
      <c r="Z5" s="479">
        <v>45798</v>
      </c>
      <c r="AA5" s="663">
        <v>1</v>
      </c>
      <c r="AB5" s="663">
        <v>1</v>
      </c>
      <c r="AC5" s="472">
        <v>3451</v>
      </c>
      <c r="AD5" s="665"/>
    </row>
    <row r="6" spans="1:30" ht="39.75" customHeight="1">
      <c r="A6" s="931" t="s">
        <v>536</v>
      </c>
      <c r="B6" s="491" t="s">
        <v>238</v>
      </c>
      <c r="C6" s="467">
        <v>45991</v>
      </c>
      <c r="D6" s="475" t="s">
        <v>537</v>
      </c>
      <c r="E6" s="476">
        <v>45716</v>
      </c>
      <c r="F6" s="475" t="s">
        <v>239</v>
      </c>
      <c r="G6" s="477" t="s">
        <v>538</v>
      </c>
      <c r="H6" s="478">
        <v>31</v>
      </c>
      <c r="I6" s="483" t="s">
        <v>318</v>
      </c>
      <c r="J6" s="478" t="s">
        <v>63</v>
      </c>
      <c r="K6" s="487"/>
      <c r="L6" s="467">
        <v>45716</v>
      </c>
      <c r="M6" s="478" t="s">
        <v>57</v>
      </c>
      <c r="N6" s="544">
        <v>28777</v>
      </c>
      <c r="O6" s="478" t="s">
        <v>57</v>
      </c>
      <c r="P6" s="808" t="s">
        <v>319</v>
      </c>
      <c r="Q6" s="479">
        <v>45716</v>
      </c>
      <c r="R6" s="479">
        <v>45992</v>
      </c>
      <c r="S6" s="479"/>
      <c r="T6" s="479"/>
      <c r="U6" s="486" t="s">
        <v>527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539</v>
      </c>
      <c r="B7" s="491" t="s">
        <v>238</v>
      </c>
      <c r="C7" s="467">
        <v>45991</v>
      </c>
      <c r="D7" s="475" t="s">
        <v>397</v>
      </c>
      <c r="E7" s="476">
        <v>45866</v>
      </c>
      <c r="F7" s="475" t="s">
        <v>250</v>
      </c>
      <c r="G7" s="477" t="s">
        <v>540</v>
      </c>
      <c r="H7" s="478">
        <v>0</v>
      </c>
      <c r="I7" s="483" t="s">
        <v>318</v>
      </c>
      <c r="J7" s="478" t="s">
        <v>63</v>
      </c>
      <c r="K7" s="487"/>
      <c r="L7" s="476">
        <v>45863</v>
      </c>
      <c r="M7" s="478" t="s">
        <v>57</v>
      </c>
      <c r="N7" s="544">
        <v>143407.25</v>
      </c>
      <c r="O7" s="478" t="s">
        <v>57</v>
      </c>
      <c r="P7" s="808" t="s">
        <v>319</v>
      </c>
      <c r="Q7" s="479">
        <v>45863</v>
      </c>
      <c r="R7" s="479"/>
      <c r="S7" s="479"/>
      <c r="T7" s="479"/>
      <c r="U7" s="486" t="s">
        <v>527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541</v>
      </c>
      <c r="B8" s="491" t="s">
        <v>238</v>
      </c>
      <c r="C8" s="467">
        <v>45991</v>
      </c>
      <c r="D8" s="475" t="s">
        <v>72</v>
      </c>
      <c r="E8" s="476">
        <v>45880</v>
      </c>
      <c r="F8" s="475" t="s">
        <v>239</v>
      </c>
      <c r="G8" s="477" t="s">
        <v>542</v>
      </c>
      <c r="H8" s="478">
        <v>0</v>
      </c>
      <c r="I8" s="483" t="s">
        <v>318</v>
      </c>
      <c r="J8" s="478" t="s">
        <v>63</v>
      </c>
      <c r="K8" s="487"/>
      <c r="L8" s="476">
        <v>45881</v>
      </c>
      <c r="M8" s="478" t="s">
        <v>57</v>
      </c>
      <c r="N8" s="544">
        <v>4815.6499999999996</v>
      </c>
      <c r="O8" s="478" t="s">
        <v>57</v>
      </c>
      <c r="P8" s="808" t="s">
        <v>319</v>
      </c>
      <c r="Q8" s="479">
        <v>45881</v>
      </c>
      <c r="R8" s="479">
        <v>45947</v>
      </c>
      <c r="S8" s="479"/>
      <c r="T8" s="479"/>
      <c r="U8" s="486" t="s">
        <v>527</v>
      </c>
      <c r="V8" s="41">
        <v>321</v>
      </c>
      <c r="W8" s="744">
        <v>367</v>
      </c>
      <c r="X8" s="106">
        <f>SUM(V8-W8)</f>
        <v>-46</v>
      </c>
      <c r="Y8" s="22">
        <f>IFERROR($W8/$V8, 0)</f>
        <v>1.1433021806853583</v>
      </c>
      <c r="Z8" s="679">
        <v>45905</v>
      </c>
      <c r="AA8" s="355">
        <v>0</v>
      </c>
      <c r="AB8" s="355">
        <v>0</v>
      </c>
      <c r="AC8" s="41">
        <v>0</v>
      </c>
      <c r="AD8" s="516"/>
    </row>
    <row r="9" spans="1:30" ht="39.75" customHeight="1">
      <c r="A9" s="942" t="s">
        <v>543</v>
      </c>
      <c r="B9" s="835" t="s">
        <v>238</v>
      </c>
      <c r="C9" s="836">
        <v>45955</v>
      </c>
      <c r="D9" s="837" t="s">
        <v>137</v>
      </c>
      <c r="E9" s="837">
        <v>45919</v>
      </c>
      <c r="F9" s="837" t="s">
        <v>260</v>
      </c>
      <c r="G9" s="838" t="s">
        <v>544</v>
      </c>
      <c r="H9" s="393">
        <v>0</v>
      </c>
      <c r="I9" s="839" t="s">
        <v>318</v>
      </c>
      <c r="J9" s="393" t="s">
        <v>63</v>
      </c>
      <c r="K9" s="393"/>
      <c r="L9" s="837" t="s">
        <v>52</v>
      </c>
      <c r="M9" s="393" t="s">
        <v>57</v>
      </c>
      <c r="N9" s="840">
        <v>4646.75</v>
      </c>
      <c r="O9" s="393" t="s">
        <v>91</v>
      </c>
      <c r="P9" s="915" t="s">
        <v>319</v>
      </c>
      <c r="Q9" s="599"/>
      <c r="R9" s="599">
        <v>45947</v>
      </c>
      <c r="S9" s="599"/>
      <c r="T9" s="599"/>
      <c r="U9" s="486" t="s">
        <v>527</v>
      </c>
      <c r="V9" s="938">
        <v>117</v>
      </c>
      <c r="W9" s="943">
        <v>117</v>
      </c>
      <c r="X9" s="106">
        <f t="shared" ref="X9:X38" si="6">SUM(V9-W9)</f>
        <v>0</v>
      </c>
      <c r="Y9" s="658">
        <f t="shared" ref="Y9:Y38" si="7">IFERROR($W9/$V9, 0)</f>
        <v>1</v>
      </c>
      <c r="Z9" s="879">
        <v>45946</v>
      </c>
      <c r="AA9" s="602">
        <v>0</v>
      </c>
      <c r="AB9" s="602">
        <v>0</v>
      </c>
      <c r="AC9" s="841">
        <v>0</v>
      </c>
      <c r="AD9" s="842"/>
    </row>
    <row r="10" spans="1:30" ht="39.75" customHeight="1">
      <c r="A10" s="931" t="s">
        <v>545</v>
      </c>
      <c r="B10" s="465" t="s">
        <v>117</v>
      </c>
      <c r="C10" s="476">
        <v>45960</v>
      </c>
      <c r="D10" s="467" t="s">
        <v>72</v>
      </c>
      <c r="E10" s="476">
        <v>45918</v>
      </c>
      <c r="F10" s="465" t="s">
        <v>118</v>
      </c>
      <c r="G10" s="50" t="s">
        <v>546</v>
      </c>
      <c r="H10" s="1000">
        <v>0</v>
      </c>
      <c r="I10" s="662" t="s">
        <v>318</v>
      </c>
      <c r="J10" s="469" t="s">
        <v>63</v>
      </c>
      <c r="K10" s="469"/>
      <c r="L10" s="476">
        <v>45918</v>
      </c>
      <c r="M10" s="478" t="s">
        <v>57</v>
      </c>
      <c r="N10" s="544">
        <v>9611.9500000000007</v>
      </c>
      <c r="O10" s="478" t="s">
        <v>57</v>
      </c>
      <c r="P10" s="808" t="s">
        <v>319</v>
      </c>
      <c r="Q10" s="479">
        <v>45918</v>
      </c>
      <c r="R10" s="479"/>
      <c r="S10" s="479"/>
      <c r="T10" s="479"/>
      <c r="U10" s="486" t="s">
        <v>527</v>
      </c>
      <c r="V10" s="41">
        <v>807</v>
      </c>
      <c r="W10" s="744">
        <v>896</v>
      </c>
      <c r="X10" s="106">
        <f t="shared" si="6"/>
        <v>-89</v>
      </c>
      <c r="Y10" s="658">
        <f t="shared" si="7"/>
        <v>1.110285006195787</v>
      </c>
      <c r="Z10" s="679">
        <v>45938</v>
      </c>
      <c r="AA10" s="663">
        <v>1</v>
      </c>
      <c r="AB10" s="663">
        <v>1</v>
      </c>
      <c r="AC10" s="646">
        <v>0</v>
      </c>
      <c r="AD10" s="474" t="s">
        <v>547</v>
      </c>
    </row>
    <row r="11" spans="1:30" ht="39.75" customHeight="1">
      <c r="A11" s="847" t="s">
        <v>548</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527</v>
      </c>
      <c r="V11" s="41">
        <v>3566</v>
      </c>
      <c r="W11" s="744">
        <v>3704</v>
      </c>
      <c r="X11" s="106">
        <f t="shared" si="6"/>
        <v>-138</v>
      </c>
      <c r="Y11" s="22">
        <f t="shared" si="7"/>
        <v>1.0386988222097588</v>
      </c>
      <c r="Z11" s="679">
        <v>45904</v>
      </c>
      <c r="AA11" s="355">
        <v>1</v>
      </c>
      <c r="AB11" s="355">
        <v>1</v>
      </c>
      <c r="AC11" s="646">
        <v>0</v>
      </c>
      <c r="AD11" s="516" t="s">
        <v>549</v>
      </c>
    </row>
    <row r="12" spans="1:30" ht="39.75" customHeight="1">
      <c r="A12" s="847" t="s">
        <v>550</v>
      </c>
      <c r="B12" s="465" t="s">
        <v>117</v>
      </c>
      <c r="C12" s="476">
        <v>45930</v>
      </c>
      <c r="D12" s="467" t="s">
        <v>137</v>
      </c>
      <c r="E12" s="467">
        <v>45896</v>
      </c>
      <c r="F12" s="465" t="s">
        <v>187</v>
      </c>
      <c r="G12" s="465" t="s">
        <v>551</v>
      </c>
      <c r="H12" s="469">
        <v>66</v>
      </c>
      <c r="I12" s="469" t="s">
        <v>318</v>
      </c>
      <c r="J12" s="469" t="s">
        <v>63</v>
      </c>
      <c r="K12" s="469"/>
      <c r="L12" s="467">
        <v>45897</v>
      </c>
      <c r="M12" s="469" t="s">
        <v>57</v>
      </c>
      <c r="N12" s="543">
        <v>44896.1</v>
      </c>
      <c r="O12" s="469" t="s">
        <v>57</v>
      </c>
      <c r="P12" s="808" t="s">
        <v>319</v>
      </c>
      <c r="Q12" s="471">
        <v>45897</v>
      </c>
      <c r="R12" s="482"/>
      <c r="S12" s="482"/>
      <c r="T12" s="482"/>
      <c r="U12" s="486" t="s">
        <v>527</v>
      </c>
      <c r="V12" s="472">
        <v>2385</v>
      </c>
      <c r="W12" s="744">
        <v>2385</v>
      </c>
      <c r="X12" s="106">
        <f t="shared" si="6"/>
        <v>0</v>
      </c>
      <c r="Y12" s="22">
        <f t="shared" si="7"/>
        <v>1</v>
      </c>
      <c r="Z12" s="679">
        <v>45918</v>
      </c>
      <c r="AA12" s="355">
        <v>1</v>
      </c>
      <c r="AB12" s="355">
        <v>1</v>
      </c>
      <c r="AC12" s="646">
        <v>0</v>
      </c>
      <c r="AD12" s="413" t="s">
        <v>552</v>
      </c>
    </row>
    <row r="13" spans="1:30" ht="39.75" customHeight="1">
      <c r="A13" s="847" t="s">
        <v>553</v>
      </c>
      <c r="B13" s="465" t="s">
        <v>117</v>
      </c>
      <c r="C13" s="476">
        <v>45930</v>
      </c>
      <c r="D13" s="467" t="s">
        <v>137</v>
      </c>
      <c r="E13" s="643">
        <v>45910</v>
      </c>
      <c r="F13" s="465" t="s">
        <v>118</v>
      </c>
      <c r="G13" s="465" t="s">
        <v>554</v>
      </c>
      <c r="H13" s="469">
        <v>80</v>
      </c>
      <c r="I13" s="469" t="s">
        <v>318</v>
      </c>
      <c r="J13" s="469" t="s">
        <v>63</v>
      </c>
      <c r="K13" s="469"/>
      <c r="L13" s="467">
        <v>45903</v>
      </c>
      <c r="M13" s="469" t="s">
        <v>57</v>
      </c>
      <c r="N13" s="543">
        <v>59116.7</v>
      </c>
      <c r="O13" s="469" t="s">
        <v>57</v>
      </c>
      <c r="P13" s="808" t="s">
        <v>319</v>
      </c>
      <c r="Q13" s="471">
        <v>45903</v>
      </c>
      <c r="R13" s="482"/>
      <c r="S13" s="482"/>
      <c r="T13" s="471"/>
      <c r="U13" s="486" t="s">
        <v>527</v>
      </c>
      <c r="V13" s="472">
        <v>4833</v>
      </c>
      <c r="W13" s="744">
        <v>4446</v>
      </c>
      <c r="X13" s="106">
        <f t="shared" si="6"/>
        <v>387</v>
      </c>
      <c r="Y13" s="22">
        <f t="shared" si="7"/>
        <v>0.91992551210428308</v>
      </c>
      <c r="Z13" s="679">
        <v>45923</v>
      </c>
      <c r="AA13" s="355">
        <v>1</v>
      </c>
      <c r="AB13" s="355">
        <v>1</v>
      </c>
      <c r="AC13" s="646">
        <v>0</v>
      </c>
      <c r="AD13" s="413" t="s">
        <v>555</v>
      </c>
    </row>
    <row r="14" spans="1:30" ht="39.75" customHeight="1">
      <c r="A14" s="844" t="s">
        <v>556</v>
      </c>
      <c r="B14" s="465" t="s">
        <v>117</v>
      </c>
      <c r="C14" s="476">
        <v>45930</v>
      </c>
      <c r="D14" s="467" t="s">
        <v>137</v>
      </c>
      <c r="E14" s="643">
        <v>45910</v>
      </c>
      <c r="F14" s="643" t="s">
        <v>187</v>
      </c>
      <c r="G14" s="683" t="s">
        <v>557</v>
      </c>
      <c r="H14" s="469">
        <v>67</v>
      </c>
      <c r="I14" s="662" t="s">
        <v>318</v>
      </c>
      <c r="J14" s="469" t="s">
        <v>63</v>
      </c>
      <c r="K14" s="469"/>
      <c r="L14" s="467">
        <v>45903</v>
      </c>
      <c r="M14" s="469" t="s">
        <v>57</v>
      </c>
      <c r="N14" s="543">
        <v>40406</v>
      </c>
      <c r="O14" s="469" t="s">
        <v>57</v>
      </c>
      <c r="P14" s="808" t="s">
        <v>319</v>
      </c>
      <c r="Q14" s="471">
        <v>45903</v>
      </c>
      <c r="R14" s="553"/>
      <c r="S14" s="553"/>
      <c r="T14" s="553"/>
      <c r="U14" s="486" t="s">
        <v>527</v>
      </c>
      <c r="V14" s="472">
        <v>3895</v>
      </c>
      <c r="W14" s="744">
        <v>3809</v>
      </c>
      <c r="X14" s="106">
        <f t="shared" si="6"/>
        <v>86</v>
      </c>
      <c r="Y14" s="658">
        <f t="shared" si="7"/>
        <v>0.97792041078305525</v>
      </c>
      <c r="Z14" s="679">
        <v>45924</v>
      </c>
      <c r="AA14" s="355">
        <v>1</v>
      </c>
      <c r="AB14" s="355">
        <v>1</v>
      </c>
      <c r="AC14" s="646">
        <v>0</v>
      </c>
      <c r="AD14" s="875" t="s">
        <v>558</v>
      </c>
    </row>
    <row r="15" spans="1:30" ht="39.75" customHeight="1">
      <c r="A15" s="931" t="s">
        <v>559</v>
      </c>
      <c r="B15" s="465" t="s">
        <v>117</v>
      </c>
      <c r="C15" s="467">
        <v>46006</v>
      </c>
      <c r="D15" s="467" t="s">
        <v>137</v>
      </c>
      <c r="E15" s="467">
        <v>45979</v>
      </c>
      <c r="F15" s="465" t="s">
        <v>187</v>
      </c>
      <c r="G15" s="683" t="s">
        <v>560</v>
      </c>
      <c r="H15" s="469">
        <v>28</v>
      </c>
      <c r="I15" s="662" t="s">
        <v>318</v>
      </c>
      <c r="J15" s="469" t="s">
        <v>63</v>
      </c>
      <c r="K15" s="469"/>
      <c r="L15" s="467">
        <v>45979</v>
      </c>
      <c r="M15" s="469" t="s">
        <v>57</v>
      </c>
      <c r="N15" s="543">
        <v>29683</v>
      </c>
      <c r="O15" s="469" t="s">
        <v>57</v>
      </c>
      <c r="P15" s="808" t="s">
        <v>319</v>
      </c>
      <c r="Q15" s="1005">
        <v>45979</v>
      </c>
      <c r="R15" s="553"/>
      <c r="S15" s="553"/>
      <c r="T15" s="553"/>
      <c r="U15" s="486" t="s">
        <v>527</v>
      </c>
      <c r="V15" s="472">
        <v>2416</v>
      </c>
      <c r="W15" s="744">
        <v>2533</v>
      </c>
      <c r="X15" s="472">
        <f t="shared" si="6"/>
        <v>-117</v>
      </c>
      <c r="Y15" s="864">
        <f t="shared" si="7"/>
        <v>1.0484271523178808</v>
      </c>
      <c r="Z15" s="471">
        <v>45994</v>
      </c>
      <c r="AA15" s="355">
        <v>1</v>
      </c>
      <c r="AB15" s="355">
        <v>0</v>
      </c>
      <c r="AC15" s="646">
        <v>0</v>
      </c>
      <c r="AD15" s="474" t="s">
        <v>561</v>
      </c>
    </row>
    <row r="16" spans="1:30" ht="39.75" customHeight="1">
      <c r="A16" s="931" t="s">
        <v>562</v>
      </c>
      <c r="B16" s="465" t="s">
        <v>117</v>
      </c>
      <c r="C16" s="476">
        <v>45960</v>
      </c>
      <c r="D16" s="467" t="s">
        <v>137</v>
      </c>
      <c r="E16" s="467">
        <v>45936</v>
      </c>
      <c r="F16" s="465" t="s">
        <v>138</v>
      </c>
      <c r="G16" s="683"/>
      <c r="H16" s="469">
        <v>35</v>
      </c>
      <c r="I16" s="662" t="s">
        <v>318</v>
      </c>
      <c r="J16" s="469" t="s">
        <v>63</v>
      </c>
      <c r="K16" s="469"/>
      <c r="L16" s="467">
        <v>45933</v>
      </c>
      <c r="M16" s="469" t="s">
        <v>57</v>
      </c>
      <c r="N16" s="543">
        <v>26026</v>
      </c>
      <c r="O16" s="469" t="s">
        <v>57</v>
      </c>
      <c r="P16" s="808" t="s">
        <v>319</v>
      </c>
      <c r="Q16" s="471">
        <v>45933</v>
      </c>
      <c r="R16" s="553"/>
      <c r="S16" s="553"/>
      <c r="T16" s="553"/>
      <c r="U16" s="486" t="s">
        <v>527</v>
      </c>
      <c r="V16" s="472">
        <v>2071</v>
      </c>
      <c r="W16" s="744">
        <v>2072</v>
      </c>
      <c r="X16" s="472">
        <f>SUM(V16-W16)</f>
        <v>-1</v>
      </c>
      <c r="Y16" s="663">
        <f t="shared" ref="Y16" si="8">IFERROR($W16/$V16, 0)</f>
        <v>1.000482858522453</v>
      </c>
      <c r="Z16" s="479">
        <v>45958</v>
      </c>
      <c r="AA16" s="355">
        <v>1</v>
      </c>
      <c r="AB16" s="355">
        <v>1</v>
      </c>
      <c r="AC16" s="789">
        <v>0</v>
      </c>
      <c r="AD16" s="474" t="s">
        <v>563</v>
      </c>
    </row>
    <row r="17" spans="1:30" ht="39.75" customHeight="1">
      <c r="A17" s="847" t="s">
        <v>564</v>
      </c>
      <c r="B17" s="465" t="s">
        <v>117</v>
      </c>
      <c r="C17" s="476">
        <v>45960</v>
      </c>
      <c r="D17" s="467" t="s">
        <v>137</v>
      </c>
      <c r="E17" s="467">
        <v>45915</v>
      </c>
      <c r="F17" s="643" t="s">
        <v>187</v>
      </c>
      <c r="G17" s="683"/>
      <c r="H17" s="469">
        <v>82</v>
      </c>
      <c r="I17" s="662" t="s">
        <v>318</v>
      </c>
      <c r="J17" s="469" t="s">
        <v>63</v>
      </c>
      <c r="K17" s="469"/>
      <c r="L17" s="467">
        <v>45912</v>
      </c>
      <c r="M17" s="469" t="s">
        <v>57</v>
      </c>
      <c r="N17" s="543">
        <v>82621.149999999994</v>
      </c>
      <c r="O17" s="469" t="s">
        <v>57</v>
      </c>
      <c r="P17" s="808" t="s">
        <v>319</v>
      </c>
      <c r="Q17" s="471">
        <v>45912</v>
      </c>
      <c r="R17" s="471"/>
      <c r="S17" s="471"/>
      <c r="T17" s="471"/>
      <c r="U17" s="486" t="s">
        <v>527</v>
      </c>
      <c r="V17" s="472">
        <v>5653</v>
      </c>
      <c r="W17" s="744">
        <v>5653</v>
      </c>
      <c r="X17" s="106">
        <f t="shared" si="6"/>
        <v>0</v>
      </c>
      <c r="Y17" s="658">
        <f t="shared" si="7"/>
        <v>1</v>
      </c>
      <c r="Z17" s="679">
        <v>45932</v>
      </c>
      <c r="AA17" s="355">
        <v>1</v>
      </c>
      <c r="AB17" s="355">
        <v>1</v>
      </c>
      <c r="AC17" s="789">
        <v>0</v>
      </c>
      <c r="AD17" s="875" t="s">
        <v>565</v>
      </c>
    </row>
    <row r="18" spans="1:30" ht="39.75" customHeight="1">
      <c r="A18" s="844" t="s">
        <v>566</v>
      </c>
      <c r="B18" s="465" t="s">
        <v>117</v>
      </c>
      <c r="C18" s="476">
        <v>45945</v>
      </c>
      <c r="D18" s="467" t="s">
        <v>137</v>
      </c>
      <c r="E18" s="467">
        <v>45932</v>
      </c>
      <c r="F18" s="465" t="s">
        <v>187</v>
      </c>
      <c r="G18" s="683"/>
      <c r="H18" s="469">
        <v>34</v>
      </c>
      <c r="I18" s="662" t="s">
        <v>318</v>
      </c>
      <c r="J18" s="469" t="s">
        <v>63</v>
      </c>
      <c r="K18" s="469"/>
      <c r="L18" s="467">
        <v>45933</v>
      </c>
      <c r="M18" s="469" t="s">
        <v>57</v>
      </c>
      <c r="N18" s="543">
        <v>29646</v>
      </c>
      <c r="O18" s="469" t="s">
        <v>57</v>
      </c>
      <c r="P18" s="808" t="s">
        <v>319</v>
      </c>
      <c r="Q18" s="471">
        <v>45933</v>
      </c>
      <c r="R18" s="553"/>
      <c r="S18" s="553"/>
      <c r="T18" s="553"/>
      <c r="U18" s="486" t="s">
        <v>527</v>
      </c>
      <c r="V18" s="472">
        <v>2188</v>
      </c>
      <c r="W18" s="744">
        <v>2278</v>
      </c>
      <c r="X18" s="106">
        <f>SUM(V18-W18)</f>
        <v>-90</v>
      </c>
      <c r="Y18" s="658">
        <f>IFERROR($W18/$V18, 0)</f>
        <v>1.0411334552102376</v>
      </c>
      <c r="Z18" s="679">
        <v>45931</v>
      </c>
      <c r="AA18" s="355">
        <v>1</v>
      </c>
      <c r="AB18" s="355">
        <v>1</v>
      </c>
      <c r="AC18" s="789">
        <v>0</v>
      </c>
      <c r="AD18" s="875" t="s">
        <v>567</v>
      </c>
    </row>
    <row r="19" spans="1:30" ht="39.75" customHeight="1">
      <c r="A19" s="931" t="s">
        <v>568</v>
      </c>
      <c r="B19" s="465" t="s">
        <v>117</v>
      </c>
      <c r="C19" s="476">
        <v>45960</v>
      </c>
      <c r="D19" s="467" t="s">
        <v>229</v>
      </c>
      <c r="E19" s="467">
        <v>45932</v>
      </c>
      <c r="F19" s="465" t="s">
        <v>118</v>
      </c>
      <c r="G19" s="683"/>
      <c r="H19" s="469">
        <v>79</v>
      </c>
      <c r="I19" s="662" t="s">
        <v>318</v>
      </c>
      <c r="J19" s="469" t="s">
        <v>63</v>
      </c>
      <c r="K19" s="469"/>
      <c r="L19" s="467">
        <v>45933</v>
      </c>
      <c r="M19" s="469" t="s">
        <v>57</v>
      </c>
      <c r="N19" s="543">
        <v>45014</v>
      </c>
      <c r="O19" s="469" t="s">
        <v>57</v>
      </c>
      <c r="P19" s="808" t="s">
        <v>319</v>
      </c>
      <c r="Q19" s="471">
        <v>45933</v>
      </c>
      <c r="R19" s="553"/>
      <c r="S19" s="553"/>
      <c r="T19" s="553"/>
      <c r="U19" s="486" t="s">
        <v>527</v>
      </c>
      <c r="V19" s="472">
        <v>3378</v>
      </c>
      <c r="W19" s="744">
        <v>3372</v>
      </c>
      <c r="X19" s="472">
        <f>SUM(V19-W19)</f>
        <v>6</v>
      </c>
      <c r="Y19" s="663">
        <f t="shared" ref="Y19" si="9">IFERROR($W19/$V19, 0)</f>
        <v>0.9982238010657194</v>
      </c>
      <c r="Z19" s="479">
        <v>45958</v>
      </c>
      <c r="AA19" s="355">
        <v>1</v>
      </c>
      <c r="AB19" s="355">
        <v>1</v>
      </c>
      <c r="AC19" s="789">
        <v>0</v>
      </c>
      <c r="AD19" s="955" t="s">
        <v>569</v>
      </c>
    </row>
    <row r="20" spans="1:30" ht="39.75" customHeight="1">
      <c r="A20" s="931" t="s">
        <v>570</v>
      </c>
      <c r="B20" s="465" t="s">
        <v>117</v>
      </c>
      <c r="C20" s="476">
        <v>45960</v>
      </c>
      <c r="D20" s="467" t="s">
        <v>137</v>
      </c>
      <c r="E20" s="467">
        <v>45936</v>
      </c>
      <c r="F20" s="465" t="s">
        <v>118</v>
      </c>
      <c r="G20" s="683"/>
      <c r="H20" s="469">
        <v>75</v>
      </c>
      <c r="I20" s="662" t="s">
        <v>318</v>
      </c>
      <c r="J20" s="469" t="s">
        <v>63</v>
      </c>
      <c r="K20" s="469"/>
      <c r="L20" s="467">
        <v>45936</v>
      </c>
      <c r="M20" s="469" t="s">
        <v>57</v>
      </c>
      <c r="N20" s="543">
        <v>38796</v>
      </c>
      <c r="O20" s="469" t="s">
        <v>57</v>
      </c>
      <c r="P20" s="808" t="s">
        <v>319</v>
      </c>
      <c r="Q20" s="471">
        <v>45936</v>
      </c>
      <c r="R20" s="553"/>
      <c r="S20" s="553"/>
      <c r="T20" s="553"/>
      <c r="U20" s="486" t="s">
        <v>527</v>
      </c>
      <c r="V20" s="416">
        <v>2874</v>
      </c>
      <c r="W20" s="954">
        <v>2875</v>
      </c>
      <c r="X20" s="106">
        <f t="shared" ref="X20:X23" si="10">SUM(V20-W20)</f>
        <v>-1</v>
      </c>
      <c r="Y20" s="658">
        <f t="shared" ref="Y20:Y23" si="11">IFERROR($W20/$V20, 0)</f>
        <v>1.0003479471120389</v>
      </c>
      <c r="Z20" s="679">
        <v>45944</v>
      </c>
      <c r="AA20" s="355">
        <v>1</v>
      </c>
      <c r="AB20" s="355">
        <v>1</v>
      </c>
      <c r="AC20" s="472">
        <v>0</v>
      </c>
      <c r="AD20" s="170" t="s">
        <v>571</v>
      </c>
    </row>
    <row r="21" spans="1:30" ht="39.75" customHeight="1">
      <c r="A21" s="931" t="s">
        <v>572</v>
      </c>
      <c r="B21" s="465" t="s">
        <v>117</v>
      </c>
      <c r="C21" s="476">
        <v>45976</v>
      </c>
      <c r="D21" s="467" t="s">
        <v>137</v>
      </c>
      <c r="E21" s="467">
        <v>45959</v>
      </c>
      <c r="F21" s="465" t="s">
        <v>138</v>
      </c>
      <c r="G21" s="683"/>
      <c r="H21" s="469">
        <v>61</v>
      </c>
      <c r="I21" s="662" t="s">
        <v>318</v>
      </c>
      <c r="J21" s="469" t="s">
        <v>63</v>
      </c>
      <c r="K21" s="469"/>
      <c r="L21" s="467">
        <v>45962</v>
      </c>
      <c r="M21" s="469" t="s">
        <v>57</v>
      </c>
      <c r="N21" s="543">
        <v>35050</v>
      </c>
      <c r="O21" s="469" t="s">
        <v>57</v>
      </c>
      <c r="P21" s="808" t="s">
        <v>319</v>
      </c>
      <c r="Q21" s="471">
        <v>45961</v>
      </c>
      <c r="R21" s="553"/>
      <c r="S21" s="553"/>
      <c r="T21" s="553"/>
      <c r="U21" s="486" t="s">
        <v>527</v>
      </c>
      <c r="V21" s="472">
        <v>2527</v>
      </c>
      <c r="W21" s="744">
        <v>2647</v>
      </c>
      <c r="X21" s="472">
        <f t="shared" si="10"/>
        <v>-120</v>
      </c>
      <c r="Y21" s="663">
        <f t="shared" si="11"/>
        <v>1.0474871388998812</v>
      </c>
      <c r="Z21" s="479">
        <v>45973</v>
      </c>
      <c r="AA21" s="355">
        <v>1</v>
      </c>
      <c r="AB21" s="355">
        <v>1</v>
      </c>
      <c r="AC21" s="789">
        <v>0</v>
      </c>
      <c r="AD21" s="436" t="s">
        <v>573</v>
      </c>
    </row>
    <row r="22" spans="1:30" ht="39.75" customHeight="1">
      <c r="A22" s="931" t="s">
        <v>574</v>
      </c>
      <c r="B22" s="465" t="s">
        <v>117</v>
      </c>
      <c r="C22" s="476">
        <v>45976</v>
      </c>
      <c r="D22" s="467" t="s">
        <v>137</v>
      </c>
      <c r="E22" s="467">
        <v>45958</v>
      </c>
      <c r="F22" s="465" t="s">
        <v>138</v>
      </c>
      <c r="G22" s="683"/>
      <c r="H22" s="469">
        <v>48</v>
      </c>
      <c r="I22" s="662" t="s">
        <v>318</v>
      </c>
      <c r="J22" s="469" t="s">
        <v>63</v>
      </c>
      <c r="K22" s="469"/>
      <c r="L22" s="467">
        <v>45954</v>
      </c>
      <c r="M22" s="469" t="s">
        <v>57</v>
      </c>
      <c r="N22" s="543">
        <v>54228.7</v>
      </c>
      <c r="O22" s="469" t="s">
        <v>57</v>
      </c>
      <c r="P22" s="808" t="s">
        <v>319</v>
      </c>
      <c r="Q22" s="471">
        <v>45953</v>
      </c>
      <c r="R22" s="553"/>
      <c r="S22" s="553"/>
      <c r="T22" s="553"/>
      <c r="U22" s="486" t="s">
        <v>527</v>
      </c>
      <c r="V22" s="472">
        <v>4141</v>
      </c>
      <c r="W22" s="744">
        <v>4316</v>
      </c>
      <c r="X22" s="472">
        <f t="shared" si="10"/>
        <v>-175</v>
      </c>
      <c r="Y22" s="663">
        <f t="shared" si="11"/>
        <v>1.042260323593335</v>
      </c>
      <c r="Z22" s="479">
        <v>45964</v>
      </c>
      <c r="AA22" s="355">
        <v>1</v>
      </c>
      <c r="AB22" s="355">
        <v>1</v>
      </c>
      <c r="AC22" s="789">
        <v>0</v>
      </c>
      <c r="AD22" s="436" t="s">
        <v>575</v>
      </c>
    </row>
    <row r="23" spans="1:30" ht="39.75" customHeight="1">
      <c r="A23" s="931" t="s">
        <v>576</v>
      </c>
      <c r="B23" s="465" t="s">
        <v>117</v>
      </c>
      <c r="C23" s="476">
        <v>45991</v>
      </c>
      <c r="D23" s="467" t="s">
        <v>229</v>
      </c>
      <c r="E23" s="467">
        <v>45936</v>
      </c>
      <c r="F23" s="465" t="s">
        <v>138</v>
      </c>
      <c r="G23" s="683"/>
      <c r="H23" s="469">
        <v>83</v>
      </c>
      <c r="I23" s="662" t="s">
        <v>318</v>
      </c>
      <c r="J23" s="469" t="s">
        <v>63</v>
      </c>
      <c r="K23" s="469"/>
      <c r="L23" s="467">
        <v>45936</v>
      </c>
      <c r="M23" s="469" t="s">
        <v>57</v>
      </c>
      <c r="N23" s="543">
        <v>96748</v>
      </c>
      <c r="O23" s="469" t="s">
        <v>57</v>
      </c>
      <c r="P23" s="1156" t="s">
        <v>319</v>
      </c>
      <c r="Q23" s="124">
        <v>45936</v>
      </c>
      <c r="R23" s="1008"/>
      <c r="S23" s="553"/>
      <c r="T23" s="553"/>
      <c r="U23" s="486" t="s">
        <v>527</v>
      </c>
      <c r="V23" s="472">
        <v>6240</v>
      </c>
      <c r="W23" s="744">
        <v>6203</v>
      </c>
      <c r="X23" s="472">
        <f t="shared" si="10"/>
        <v>37</v>
      </c>
      <c r="Y23" s="663">
        <f t="shared" si="11"/>
        <v>0.99407051282051284</v>
      </c>
      <c r="Z23" s="479">
        <v>45951</v>
      </c>
      <c r="AA23" s="355">
        <v>1</v>
      </c>
      <c r="AB23" s="355">
        <v>0</v>
      </c>
      <c r="AC23" s="646">
        <v>0</v>
      </c>
      <c r="AD23" s="1071" t="s">
        <v>577</v>
      </c>
    </row>
    <row r="24" spans="1:30" ht="39.75" customHeight="1">
      <c r="A24" s="931" t="s">
        <v>578</v>
      </c>
      <c r="B24" s="465" t="s">
        <v>117</v>
      </c>
      <c r="C24" s="467">
        <v>45991</v>
      </c>
      <c r="D24" s="467" t="s">
        <v>137</v>
      </c>
      <c r="E24" s="467">
        <v>45966</v>
      </c>
      <c r="F24" s="465" t="s">
        <v>138</v>
      </c>
      <c r="G24" s="683" t="s">
        <v>579</v>
      </c>
      <c r="H24" s="469">
        <v>75</v>
      </c>
      <c r="I24" s="662" t="s">
        <v>318</v>
      </c>
      <c r="J24" s="469" t="s">
        <v>63</v>
      </c>
      <c r="K24" s="469"/>
      <c r="L24" s="467">
        <v>45967</v>
      </c>
      <c r="M24" s="469" t="s">
        <v>57</v>
      </c>
      <c r="N24" s="543">
        <v>60620</v>
      </c>
      <c r="O24" s="469" t="s">
        <v>57</v>
      </c>
      <c r="P24" s="808" t="s">
        <v>319</v>
      </c>
      <c r="Q24" s="471">
        <v>45967</v>
      </c>
      <c r="R24" s="553"/>
      <c r="S24" s="553"/>
      <c r="T24" s="553"/>
      <c r="U24" s="486" t="s">
        <v>527</v>
      </c>
      <c r="V24" s="472">
        <v>4814</v>
      </c>
      <c r="W24" s="744">
        <v>4708</v>
      </c>
      <c r="X24" s="472">
        <f>SUM(V24-W24)</f>
        <v>106</v>
      </c>
      <c r="Y24" s="864">
        <f>IFERROR($W24/$V24, 0)</f>
        <v>0.97798088907353553</v>
      </c>
      <c r="Z24" s="479">
        <v>45986</v>
      </c>
      <c r="AA24" s="355">
        <v>1</v>
      </c>
      <c r="AB24" s="355">
        <v>1</v>
      </c>
      <c r="AC24" s="789">
        <v>0</v>
      </c>
      <c r="AD24" s="759" t="s">
        <v>580</v>
      </c>
    </row>
    <row r="25" spans="1:30" ht="39.75" customHeight="1">
      <c r="A25" s="844" t="s">
        <v>581</v>
      </c>
      <c r="B25" s="682" t="s">
        <v>117</v>
      </c>
      <c r="C25" s="476">
        <v>45930</v>
      </c>
      <c r="D25" s="643" t="s">
        <v>72</v>
      </c>
      <c r="E25" s="467">
        <v>45902</v>
      </c>
      <c r="F25" s="465" t="s">
        <v>118</v>
      </c>
      <c r="G25" s="760"/>
      <c r="H25" s="469">
        <v>0</v>
      </c>
      <c r="I25" s="662" t="s">
        <v>318</v>
      </c>
      <c r="J25" s="469" t="s">
        <v>63</v>
      </c>
      <c r="K25" s="469"/>
      <c r="L25" s="476">
        <v>45902</v>
      </c>
      <c r="M25" s="469" t="s">
        <v>57</v>
      </c>
      <c r="N25" s="543">
        <v>5604.6</v>
      </c>
      <c r="O25" s="469" t="s">
        <v>57</v>
      </c>
      <c r="P25" s="1156" t="s">
        <v>319</v>
      </c>
      <c r="Q25" s="54">
        <v>45902</v>
      </c>
      <c r="R25" s="653"/>
      <c r="S25" s="471"/>
      <c r="T25" s="471"/>
      <c r="U25" s="486" t="s">
        <v>527</v>
      </c>
      <c r="V25" s="472">
        <v>328</v>
      </c>
      <c r="W25" s="744">
        <v>335</v>
      </c>
      <c r="X25" s="472">
        <f t="shared" si="6"/>
        <v>-7</v>
      </c>
      <c r="Y25" s="473">
        <f t="shared" si="7"/>
        <v>1.0213414634146341</v>
      </c>
      <c r="Z25" s="479">
        <v>45922</v>
      </c>
      <c r="AA25" s="355">
        <v>1</v>
      </c>
      <c r="AB25" s="355">
        <v>1</v>
      </c>
      <c r="AC25" s="472">
        <v>0</v>
      </c>
      <c r="AD25" s="759" t="s">
        <v>582</v>
      </c>
    </row>
    <row r="26" spans="1:30" ht="39.75" customHeight="1">
      <c r="A26" s="931" t="s">
        <v>583</v>
      </c>
      <c r="B26" s="465" t="s">
        <v>117</v>
      </c>
      <c r="C26" s="476">
        <v>45991</v>
      </c>
      <c r="D26" s="467" t="s">
        <v>229</v>
      </c>
      <c r="E26" s="467">
        <v>45953</v>
      </c>
      <c r="F26" s="465" t="s">
        <v>138</v>
      </c>
      <c r="G26" s="683" t="s">
        <v>584</v>
      </c>
      <c r="H26" s="469">
        <v>0</v>
      </c>
      <c r="I26" s="469" t="s">
        <v>318</v>
      </c>
      <c r="J26" s="469" t="s">
        <v>63</v>
      </c>
      <c r="K26" s="469"/>
      <c r="L26" s="467" t="s">
        <v>184</v>
      </c>
      <c r="M26" s="469" t="s">
        <v>57</v>
      </c>
      <c r="N26" s="543">
        <v>51970</v>
      </c>
      <c r="O26" s="469" t="s">
        <v>57</v>
      </c>
      <c r="P26" s="1156" t="s">
        <v>319</v>
      </c>
      <c r="Q26" s="124">
        <v>45953</v>
      </c>
      <c r="R26" s="653"/>
      <c r="S26" s="471"/>
      <c r="T26" s="471"/>
      <c r="U26" s="486" t="s">
        <v>527</v>
      </c>
      <c r="V26" s="966">
        <v>4544</v>
      </c>
      <c r="W26" s="854">
        <v>4569</v>
      </c>
      <c r="X26" s="472">
        <f>SUM(V26-W26)</f>
        <v>-25</v>
      </c>
      <c r="Y26" s="663">
        <f>IFERROR($W26/$V26, 0)</f>
        <v>1.0055017605633803</v>
      </c>
      <c r="Z26" s="479">
        <v>45960</v>
      </c>
      <c r="AA26" s="355">
        <v>1</v>
      </c>
      <c r="AB26" s="355">
        <v>0</v>
      </c>
      <c r="AC26" s="472">
        <v>0</v>
      </c>
      <c r="AD26" s="1157" t="s">
        <v>585</v>
      </c>
    </row>
    <row r="27" spans="1:30" ht="39.75" customHeight="1">
      <c r="A27" s="931" t="s">
        <v>586</v>
      </c>
      <c r="B27" s="682" t="s">
        <v>117</v>
      </c>
      <c r="C27" s="476">
        <v>45991</v>
      </c>
      <c r="D27" s="467" t="s">
        <v>229</v>
      </c>
      <c r="E27" s="467">
        <v>45961</v>
      </c>
      <c r="F27" s="465" t="s">
        <v>118</v>
      </c>
      <c r="G27" s="683"/>
      <c r="H27" s="469">
        <v>0</v>
      </c>
      <c r="I27" s="469" t="s">
        <v>318</v>
      </c>
      <c r="J27" s="469" t="s">
        <v>63</v>
      </c>
      <c r="K27" s="469"/>
      <c r="L27" s="467" t="s">
        <v>184</v>
      </c>
      <c r="M27" s="469" t="s">
        <v>57</v>
      </c>
      <c r="N27" s="543">
        <v>39221.800000000003</v>
      </c>
      <c r="O27" s="469" t="s">
        <v>57</v>
      </c>
      <c r="P27" s="1156" t="s">
        <v>319</v>
      </c>
      <c r="Q27" s="124">
        <v>45950</v>
      </c>
      <c r="R27" s="653"/>
      <c r="S27" s="471"/>
      <c r="T27" s="471"/>
      <c r="U27" s="486" t="s">
        <v>527</v>
      </c>
      <c r="V27" s="416">
        <v>3078</v>
      </c>
      <c r="W27" s="954">
        <v>3272</v>
      </c>
      <c r="X27" s="472">
        <f t="shared" si="6"/>
        <v>-194</v>
      </c>
      <c r="Y27" s="663">
        <f t="shared" si="7"/>
        <v>1.0630279402209226</v>
      </c>
      <c r="Z27" s="479">
        <v>45966</v>
      </c>
      <c r="AA27" s="355">
        <v>1</v>
      </c>
      <c r="AB27" s="355">
        <v>1</v>
      </c>
      <c r="AC27" s="472">
        <v>0</v>
      </c>
      <c r="AD27" s="170" t="s">
        <v>587</v>
      </c>
    </row>
    <row r="28" spans="1:30" ht="39.75" customHeight="1">
      <c r="A28" s="844" t="s">
        <v>588</v>
      </c>
      <c r="B28" s="465" t="s">
        <v>117</v>
      </c>
      <c r="C28" s="476">
        <v>45960</v>
      </c>
      <c r="D28" s="467" t="s">
        <v>589</v>
      </c>
      <c r="E28" s="467">
        <v>45915</v>
      </c>
      <c r="F28" s="465" t="s">
        <v>590</v>
      </c>
      <c r="G28" s="683"/>
      <c r="H28" s="469">
        <v>384</v>
      </c>
      <c r="I28" s="662" t="s">
        <v>318</v>
      </c>
      <c r="J28" s="469" t="s">
        <v>56</v>
      </c>
      <c r="K28" s="469"/>
      <c r="L28" s="467">
        <v>45905</v>
      </c>
      <c r="M28" s="469" t="s">
        <v>57</v>
      </c>
      <c r="N28" s="543">
        <v>145985.5</v>
      </c>
      <c r="O28" s="469" t="s">
        <v>57</v>
      </c>
      <c r="P28" s="1111" t="s">
        <v>319</v>
      </c>
      <c r="Q28" s="1005">
        <v>45906</v>
      </c>
      <c r="R28" s="471"/>
      <c r="S28" s="471"/>
      <c r="T28" s="471"/>
      <c r="U28" s="486" t="s">
        <v>527</v>
      </c>
      <c r="V28" s="789">
        <v>14150</v>
      </c>
      <c r="W28" s="881">
        <v>15469</v>
      </c>
      <c r="X28" s="106">
        <f t="shared" si="6"/>
        <v>-1319</v>
      </c>
      <c r="Y28" s="658">
        <f t="shared" si="7"/>
        <v>1.0932155477031802</v>
      </c>
      <c r="Z28" s="679">
        <v>45926</v>
      </c>
      <c r="AA28" s="355">
        <v>1</v>
      </c>
      <c r="AB28" s="355">
        <v>1</v>
      </c>
      <c r="AC28" s="472">
        <v>0</v>
      </c>
      <c r="AD28" s="873" t="s">
        <v>591</v>
      </c>
    </row>
    <row r="29" spans="1:30" ht="39.75" customHeight="1">
      <c r="A29" s="931" t="s">
        <v>592</v>
      </c>
      <c r="B29" s="465" t="s">
        <v>117</v>
      </c>
      <c r="C29" s="476">
        <v>45930</v>
      </c>
      <c r="D29" s="467" t="s">
        <v>593</v>
      </c>
      <c r="E29" s="467">
        <v>45916</v>
      </c>
      <c r="F29" s="465" t="s">
        <v>118</v>
      </c>
      <c r="G29" s="683"/>
      <c r="H29" s="469">
        <v>84</v>
      </c>
      <c r="I29" s="662" t="s">
        <v>318</v>
      </c>
      <c r="J29" s="469" t="s">
        <v>56</v>
      </c>
      <c r="K29" s="469"/>
      <c r="L29" s="465" t="s">
        <v>319</v>
      </c>
      <c r="M29" s="469" t="s">
        <v>57</v>
      </c>
      <c r="N29" s="543">
        <v>30892</v>
      </c>
      <c r="O29" s="469" t="s">
        <v>57</v>
      </c>
      <c r="P29" s="808" t="s">
        <v>319</v>
      </c>
      <c r="Q29" s="471">
        <v>45911</v>
      </c>
      <c r="R29" s="471"/>
      <c r="S29" s="471"/>
      <c r="T29" s="471"/>
      <c r="U29" s="486" t="s">
        <v>527</v>
      </c>
      <c r="V29" s="789">
        <v>2811</v>
      </c>
      <c r="W29" s="881">
        <v>2732</v>
      </c>
      <c r="X29" s="106">
        <f>SUM(V29-W29)</f>
        <v>79</v>
      </c>
      <c r="Y29" s="22">
        <f>IFERROR($W29/$V29, 0)</f>
        <v>0.97189612237637857</v>
      </c>
      <c r="Z29" s="679">
        <v>45922</v>
      </c>
      <c r="AA29" s="355">
        <v>1</v>
      </c>
      <c r="AB29" s="355">
        <v>1</v>
      </c>
      <c r="AC29" s="472">
        <v>0</v>
      </c>
      <c r="AD29" s="665" t="s">
        <v>594</v>
      </c>
    </row>
    <row r="30" spans="1:30" ht="39.75" customHeight="1">
      <c r="A30" s="844" t="s">
        <v>595</v>
      </c>
      <c r="B30" s="825" t="s">
        <v>50</v>
      </c>
      <c r="C30" s="643">
        <v>45838</v>
      </c>
      <c r="D30" s="475" t="s">
        <v>596</v>
      </c>
      <c r="E30" s="476">
        <v>45727</v>
      </c>
      <c r="F30" s="475" t="s">
        <v>61</v>
      </c>
      <c r="G30" s="848" t="s">
        <v>597</v>
      </c>
      <c r="H30" s="478">
        <v>71</v>
      </c>
      <c r="I30" s="830" t="s">
        <v>318</v>
      </c>
      <c r="J30" s="478" t="s">
        <v>63</v>
      </c>
      <c r="K30" s="487"/>
      <c r="L30" s="476">
        <v>45728</v>
      </c>
      <c r="M30" s="478" t="s">
        <v>57</v>
      </c>
      <c r="N30" s="544">
        <v>60843.5</v>
      </c>
      <c r="O30" s="478" t="s">
        <v>57</v>
      </c>
      <c r="P30" s="808" t="s">
        <v>319</v>
      </c>
      <c r="Q30" s="479">
        <v>45722</v>
      </c>
      <c r="R30" s="479">
        <v>45917</v>
      </c>
      <c r="S30" s="479">
        <v>45939</v>
      </c>
      <c r="T30" s="479"/>
      <c r="U30" s="486" t="s">
        <v>527</v>
      </c>
      <c r="V30" s="849">
        <v>4979</v>
      </c>
      <c r="W30" s="744">
        <v>5020</v>
      </c>
      <c r="X30" s="472">
        <f t="shared" si="6"/>
        <v>-41</v>
      </c>
      <c r="Y30" s="663">
        <f t="shared" si="7"/>
        <v>1.0082345852580838</v>
      </c>
      <c r="Z30" s="479">
        <v>45741</v>
      </c>
      <c r="AA30" s="663">
        <v>1</v>
      </c>
      <c r="AB30" s="663">
        <v>1</v>
      </c>
      <c r="AC30" s="352">
        <v>0</v>
      </c>
      <c r="AD30" s="665" t="s">
        <v>598</v>
      </c>
    </row>
    <row r="31" spans="1:30" ht="39.75" customHeight="1">
      <c r="A31" s="929" t="s">
        <v>599</v>
      </c>
      <c r="B31" s="511" t="s">
        <v>50</v>
      </c>
      <c r="C31" s="497">
        <v>45772</v>
      </c>
      <c r="D31" s="512" t="s">
        <v>600</v>
      </c>
      <c r="E31" s="512">
        <v>45693</v>
      </c>
      <c r="F31" s="502" t="s">
        <v>61</v>
      </c>
      <c r="G31" s="513" t="s">
        <v>601</v>
      </c>
      <c r="H31" s="505">
        <v>86</v>
      </c>
      <c r="I31" s="507" t="s">
        <v>318</v>
      </c>
      <c r="J31" s="505" t="s">
        <v>63</v>
      </c>
      <c r="K31" s="505"/>
      <c r="L31" s="512">
        <v>45714</v>
      </c>
      <c r="M31" s="505" t="s">
        <v>57</v>
      </c>
      <c r="N31" s="546">
        <v>94170.5</v>
      </c>
      <c r="O31" s="505" t="s">
        <v>57</v>
      </c>
      <c r="P31" s="930" t="s">
        <v>319</v>
      </c>
      <c r="Q31" s="479">
        <v>45693</v>
      </c>
      <c r="R31" s="479">
        <v>45869</v>
      </c>
      <c r="S31" s="479">
        <v>45903</v>
      </c>
      <c r="T31" s="479"/>
      <c r="U31" s="486" t="s">
        <v>527</v>
      </c>
      <c r="V31" s="493">
        <v>7980</v>
      </c>
      <c r="W31" s="743">
        <v>7901</v>
      </c>
      <c r="X31" s="106">
        <f t="shared" si="6"/>
        <v>79</v>
      </c>
      <c r="Y31" s="22">
        <f t="shared" si="7"/>
        <v>0.99010025062656637</v>
      </c>
      <c r="Z31" s="679">
        <v>45713</v>
      </c>
      <c r="AA31" s="473">
        <v>1</v>
      </c>
      <c r="AB31" s="473">
        <v>1</v>
      </c>
      <c r="AC31" s="817">
        <v>0</v>
      </c>
      <c r="AD31" s="173" t="s">
        <v>602</v>
      </c>
    </row>
    <row r="32" spans="1:30" ht="39.75" customHeight="1">
      <c r="A32" s="929" t="s">
        <v>603</v>
      </c>
      <c r="B32" s="511" t="s">
        <v>50</v>
      </c>
      <c r="C32" s="497">
        <v>45772</v>
      </c>
      <c r="D32" s="512" t="s">
        <v>600</v>
      </c>
      <c r="E32" s="512">
        <v>45698</v>
      </c>
      <c r="F32" s="497" t="s">
        <v>61</v>
      </c>
      <c r="G32" s="513" t="s">
        <v>604</v>
      </c>
      <c r="H32" s="505">
        <v>89</v>
      </c>
      <c r="I32" s="505" t="s">
        <v>318</v>
      </c>
      <c r="J32" s="505" t="s">
        <v>63</v>
      </c>
      <c r="K32" s="505"/>
      <c r="L32" s="512">
        <v>45695</v>
      </c>
      <c r="M32" s="505" t="s">
        <v>57</v>
      </c>
      <c r="N32" s="547">
        <v>89698.5</v>
      </c>
      <c r="O32" s="505" t="s">
        <v>57</v>
      </c>
      <c r="P32" s="930" t="s">
        <v>319</v>
      </c>
      <c r="Q32" s="479">
        <v>45694</v>
      </c>
      <c r="R32" s="479">
        <v>45917</v>
      </c>
      <c r="S32" s="479">
        <v>45936</v>
      </c>
      <c r="T32" s="479"/>
      <c r="U32" s="486" t="s">
        <v>527</v>
      </c>
      <c r="V32" s="493">
        <v>7562</v>
      </c>
      <c r="W32" s="743">
        <v>7556</v>
      </c>
      <c r="X32" s="106">
        <f t="shared" si="6"/>
        <v>6</v>
      </c>
      <c r="Y32" s="22">
        <f t="shared" si="7"/>
        <v>0.99920655911134626</v>
      </c>
      <c r="Z32" s="679">
        <v>45709</v>
      </c>
      <c r="AA32" s="473">
        <v>1</v>
      </c>
      <c r="AB32" s="473">
        <v>1</v>
      </c>
      <c r="AC32" s="817">
        <v>0</v>
      </c>
      <c r="AD32" s="201" t="s">
        <v>605</v>
      </c>
    </row>
    <row r="33" spans="1:30" ht="39.75" customHeight="1">
      <c r="A33" s="850" t="s">
        <v>606</v>
      </c>
      <c r="B33" s="825" t="s">
        <v>50</v>
      </c>
      <c r="C33" s="476">
        <v>45772</v>
      </c>
      <c r="D33" s="476" t="s">
        <v>596</v>
      </c>
      <c r="E33" s="828">
        <v>45686</v>
      </c>
      <c r="F33" s="475" t="s">
        <v>61</v>
      </c>
      <c r="G33" s="851" t="s">
        <v>607</v>
      </c>
      <c r="H33" s="830">
        <v>77</v>
      </c>
      <c r="I33" s="662" t="s">
        <v>318</v>
      </c>
      <c r="J33" s="830" t="s">
        <v>63</v>
      </c>
      <c r="K33" s="830"/>
      <c r="L33" s="828">
        <v>45686</v>
      </c>
      <c r="M33" s="830" t="s">
        <v>57</v>
      </c>
      <c r="N33" s="852">
        <v>61924</v>
      </c>
      <c r="O33" s="830" t="s">
        <v>57</v>
      </c>
      <c r="P33" s="808" t="s">
        <v>319</v>
      </c>
      <c r="Q33" s="479">
        <v>45692</v>
      </c>
      <c r="R33" s="479">
        <v>45847</v>
      </c>
      <c r="S33" s="479">
        <v>45852</v>
      </c>
      <c r="T33" s="479"/>
      <c r="U33" s="486" t="s">
        <v>527</v>
      </c>
      <c r="V33" s="853">
        <v>5005</v>
      </c>
      <c r="W33" s="854">
        <v>4996</v>
      </c>
      <c r="X33" s="472">
        <f t="shared" si="6"/>
        <v>9</v>
      </c>
      <c r="Y33" s="663">
        <f t="shared" si="7"/>
        <v>0.99820179820179822</v>
      </c>
      <c r="Z33" s="479">
        <v>45708</v>
      </c>
      <c r="AA33" s="663">
        <v>1</v>
      </c>
      <c r="AB33" s="663">
        <v>1</v>
      </c>
      <c r="AC33" s="817">
        <v>0</v>
      </c>
      <c r="AD33" s="855" t="s">
        <v>608</v>
      </c>
    </row>
    <row r="34" spans="1:30" ht="39.75" customHeight="1">
      <c r="A34" s="850" t="s">
        <v>609</v>
      </c>
      <c r="B34" s="825" t="s">
        <v>50</v>
      </c>
      <c r="C34" s="476">
        <v>45772</v>
      </c>
      <c r="D34" s="828" t="s">
        <v>610</v>
      </c>
      <c r="E34" s="828">
        <v>45694</v>
      </c>
      <c r="F34" s="828" t="s">
        <v>61</v>
      </c>
      <c r="G34" s="851" t="s">
        <v>611</v>
      </c>
      <c r="H34" s="830">
        <v>84</v>
      </c>
      <c r="I34" s="662" t="s">
        <v>318</v>
      </c>
      <c r="J34" s="830" t="s">
        <v>63</v>
      </c>
      <c r="K34" s="830"/>
      <c r="L34" s="828">
        <v>45698</v>
      </c>
      <c r="M34" s="830" t="s">
        <v>57</v>
      </c>
      <c r="N34" s="852">
        <v>63402.5</v>
      </c>
      <c r="O34" s="830" t="s">
        <v>57</v>
      </c>
      <c r="P34" s="808" t="s">
        <v>319</v>
      </c>
      <c r="Q34" s="479">
        <v>45695</v>
      </c>
      <c r="R34" s="479">
        <v>45847</v>
      </c>
      <c r="S34" s="479">
        <v>45852</v>
      </c>
      <c r="T34" s="479"/>
      <c r="U34" s="486" t="s">
        <v>527</v>
      </c>
      <c r="V34" s="849">
        <v>4979</v>
      </c>
      <c r="W34" s="854">
        <v>4984</v>
      </c>
      <c r="X34" s="472">
        <f t="shared" si="6"/>
        <v>-5</v>
      </c>
      <c r="Y34" s="663">
        <f t="shared" si="7"/>
        <v>1.0010042177144005</v>
      </c>
      <c r="Z34" s="479">
        <v>45714</v>
      </c>
      <c r="AA34" s="663">
        <v>1</v>
      </c>
      <c r="AB34" s="663">
        <v>1</v>
      </c>
      <c r="AC34" s="817">
        <v>0</v>
      </c>
      <c r="AD34" s="148" t="s">
        <v>612</v>
      </c>
    </row>
    <row r="35" spans="1:30" ht="39.75" customHeight="1">
      <c r="A35" s="1102" t="s">
        <v>613</v>
      </c>
      <c r="B35" s="378" t="s">
        <v>50</v>
      </c>
      <c r="C35" s="51">
        <v>45742</v>
      </c>
      <c r="D35" s="1090" t="s">
        <v>614</v>
      </c>
      <c r="E35" s="381">
        <v>45680</v>
      </c>
      <c r="F35" s="50" t="s">
        <v>61</v>
      </c>
      <c r="G35" s="573" t="s">
        <v>615</v>
      </c>
      <c r="H35" s="52">
        <v>79</v>
      </c>
      <c r="I35" s="1092" t="s">
        <v>616</v>
      </c>
      <c r="J35" s="980" t="s">
        <v>63</v>
      </c>
      <c r="K35" s="52"/>
      <c r="L35" s="374" t="s">
        <v>319</v>
      </c>
      <c r="M35" s="380" t="s">
        <v>57</v>
      </c>
      <c r="N35" s="1080">
        <v>64790.5</v>
      </c>
      <c r="O35" s="380" t="s">
        <v>57</v>
      </c>
      <c r="P35" s="1103" t="s">
        <v>319</v>
      </c>
      <c r="Q35" s="54">
        <v>45675</v>
      </c>
      <c r="R35" s="54">
        <v>45917</v>
      </c>
      <c r="S35" s="54">
        <v>45931</v>
      </c>
      <c r="T35" s="54"/>
      <c r="U35" s="486" t="s">
        <v>527</v>
      </c>
      <c r="V35" s="31">
        <v>4975</v>
      </c>
      <c r="W35" s="1104">
        <v>4975</v>
      </c>
      <c r="X35" s="106">
        <f t="shared" si="6"/>
        <v>0</v>
      </c>
      <c r="Y35" s="22">
        <f t="shared" si="7"/>
        <v>1</v>
      </c>
      <c r="Z35" s="195">
        <v>45680</v>
      </c>
      <c r="AA35" s="355">
        <v>0</v>
      </c>
      <c r="AB35" s="355">
        <v>0</v>
      </c>
      <c r="AC35" s="817">
        <v>0</v>
      </c>
      <c r="AD35" s="69" t="s">
        <v>617</v>
      </c>
    </row>
    <row r="36" spans="1:30" ht="39.75" customHeight="1">
      <c r="A36" s="844" t="s">
        <v>618</v>
      </c>
      <c r="B36" s="825" t="s">
        <v>50</v>
      </c>
      <c r="C36" s="467">
        <v>45960</v>
      </c>
      <c r="D36" s="465" t="s">
        <v>259</v>
      </c>
      <c r="E36" s="467">
        <v>45927</v>
      </c>
      <c r="F36" s="465" t="s">
        <v>101</v>
      </c>
      <c r="G36" s="683" t="s">
        <v>619</v>
      </c>
      <c r="H36" s="469">
        <v>86</v>
      </c>
      <c r="I36" s="662" t="s">
        <v>318</v>
      </c>
      <c r="J36" s="469" t="s">
        <v>63</v>
      </c>
      <c r="K36" s="478"/>
      <c r="L36" s="467">
        <v>45917</v>
      </c>
      <c r="M36" s="469" t="s">
        <v>57</v>
      </c>
      <c r="N36" s="543">
        <v>45500</v>
      </c>
      <c r="O36" s="469" t="s">
        <v>57</v>
      </c>
      <c r="P36" s="808" t="s">
        <v>319</v>
      </c>
      <c r="Q36" s="471">
        <v>45917</v>
      </c>
      <c r="R36" s="471">
        <v>45944</v>
      </c>
      <c r="S36" s="471">
        <v>45951</v>
      </c>
      <c r="T36" s="471"/>
      <c r="U36" s="486" t="s">
        <v>527</v>
      </c>
      <c r="V36" s="472">
        <v>3242</v>
      </c>
      <c r="W36" s="744">
        <v>3228</v>
      </c>
      <c r="X36" s="984">
        <f t="shared" si="6"/>
        <v>14</v>
      </c>
      <c r="Y36" s="985">
        <f t="shared" si="7"/>
        <v>0.99568167797655771</v>
      </c>
      <c r="Z36" s="679">
        <v>45930</v>
      </c>
      <c r="AA36" s="355">
        <v>0</v>
      </c>
      <c r="AB36" s="355">
        <v>0</v>
      </c>
      <c r="AC36" s="789">
        <v>0</v>
      </c>
      <c r="AD36" s="882"/>
    </row>
    <row r="37" spans="1:30" ht="39.75" customHeight="1">
      <c r="A37" s="931" t="s">
        <v>620</v>
      </c>
      <c r="B37" s="825" t="s">
        <v>50</v>
      </c>
      <c r="C37" s="467">
        <v>45991</v>
      </c>
      <c r="D37" s="467" t="s">
        <v>72</v>
      </c>
      <c r="E37" s="476">
        <v>45743</v>
      </c>
      <c r="F37" s="475" t="s">
        <v>61</v>
      </c>
      <c r="G37" s="826" t="s">
        <v>621</v>
      </c>
      <c r="H37" s="478">
        <v>70</v>
      </c>
      <c r="I37" s="662" t="s">
        <v>318</v>
      </c>
      <c r="J37" s="469" t="s">
        <v>63</v>
      </c>
      <c r="K37" s="827"/>
      <c r="L37" s="476">
        <v>45741</v>
      </c>
      <c r="M37" s="469" t="s">
        <v>57</v>
      </c>
      <c r="N37" s="544">
        <v>67735.5</v>
      </c>
      <c r="O37" s="469" t="s">
        <v>57</v>
      </c>
      <c r="P37" s="808" t="s">
        <v>319</v>
      </c>
      <c r="Q37" s="479">
        <v>45779</v>
      </c>
      <c r="R37" s="479"/>
      <c r="S37" s="479"/>
      <c r="T37" s="479"/>
      <c r="U37" s="486" t="s">
        <v>527</v>
      </c>
      <c r="V37" s="41">
        <v>6152</v>
      </c>
      <c r="W37" s="744">
        <v>5723</v>
      </c>
      <c r="X37" s="106">
        <f>SUM(V37-W37)</f>
        <v>429</v>
      </c>
      <c r="Y37" s="658">
        <f>IFERROR($W37/$V37, 0)</f>
        <v>0.9302665799739922</v>
      </c>
      <c r="Z37" s="679">
        <v>45792</v>
      </c>
      <c r="AA37" s="355">
        <v>0</v>
      </c>
      <c r="AB37" s="355">
        <v>0</v>
      </c>
      <c r="AC37" s="646">
        <v>0</v>
      </c>
      <c r="AD37" s="353" t="s">
        <v>622</v>
      </c>
    </row>
    <row r="38" spans="1:30" ht="39.75" customHeight="1">
      <c r="A38" s="880" t="s">
        <v>623</v>
      </c>
      <c r="B38" s="825" t="s">
        <v>50</v>
      </c>
      <c r="C38" s="828">
        <v>45716</v>
      </c>
      <c r="D38" s="828" t="s">
        <v>72</v>
      </c>
      <c r="E38" s="828">
        <v>45701</v>
      </c>
      <c r="F38" s="475" t="s">
        <v>61</v>
      </c>
      <c r="G38" s="851" t="s">
        <v>532</v>
      </c>
      <c r="H38" s="830">
        <v>0</v>
      </c>
      <c r="I38" s="830" t="s">
        <v>319</v>
      </c>
      <c r="J38" s="830" t="s">
        <v>63</v>
      </c>
      <c r="K38" s="830"/>
      <c r="L38" s="828">
        <v>45705</v>
      </c>
      <c r="M38" s="830" t="s">
        <v>57</v>
      </c>
      <c r="N38" s="852">
        <v>1295</v>
      </c>
      <c r="O38" s="830" t="s">
        <v>57</v>
      </c>
      <c r="P38" s="808" t="s">
        <v>319</v>
      </c>
      <c r="Q38" s="514">
        <v>45706</v>
      </c>
      <c r="R38" s="514">
        <v>45826</v>
      </c>
      <c r="S38" s="514"/>
      <c r="T38" s="514"/>
      <c r="U38" s="486" t="s">
        <v>527</v>
      </c>
      <c r="V38" s="853">
        <v>153</v>
      </c>
      <c r="W38" s="743">
        <v>153</v>
      </c>
      <c r="X38" s="106">
        <f t="shared" si="6"/>
        <v>0</v>
      </c>
      <c r="Y38" s="658">
        <f t="shared" si="7"/>
        <v>1</v>
      </c>
      <c r="Z38" s="679">
        <v>45754</v>
      </c>
      <c r="AA38" s="473">
        <v>1</v>
      </c>
      <c r="AB38" s="473">
        <v>1</v>
      </c>
      <c r="AC38" s="817">
        <v>0</v>
      </c>
      <c r="AD38" s="173" t="s">
        <v>624</v>
      </c>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4"/>
  <sheetViews>
    <sheetView topLeftCell="A80" workbookViewId="0">
      <pane xSplit="1" topLeftCell="B51" activePane="topRight" state="frozen"/>
      <selection pane="topRight" activeCell="A113" sqref="A113:XFD1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625</v>
      </c>
      <c r="O1" s="463" t="s">
        <v>33</v>
      </c>
      <c r="P1" s="463" t="s">
        <v>34</v>
      </c>
      <c r="Q1" s="463" t="s">
        <v>35</v>
      </c>
      <c r="R1" s="463" t="s">
        <v>40</v>
      </c>
      <c r="S1" s="463" t="s">
        <v>41</v>
      </c>
      <c r="T1" s="463" t="s">
        <v>47</v>
      </c>
      <c r="U1" s="463" t="s">
        <v>43</v>
      </c>
      <c r="V1" s="463" t="s">
        <v>44</v>
      </c>
      <c r="W1" s="464" t="s">
        <v>45</v>
      </c>
      <c r="X1" s="463" t="s">
        <v>46</v>
      </c>
      <c r="Y1" s="463" t="s">
        <v>626</v>
      </c>
      <c r="Z1" s="568" t="s">
        <v>39</v>
      </c>
      <c r="AA1" t="s">
        <v>627</v>
      </c>
    </row>
    <row r="2" spans="1:27" ht="39.75" customHeight="1">
      <c r="A2" s="373" t="s">
        <v>628</v>
      </c>
      <c r="B2" s="390" t="s">
        <v>238</v>
      </c>
      <c r="C2" s="51">
        <v>45807</v>
      </c>
      <c r="D2" s="51" t="s">
        <v>629</v>
      </c>
      <c r="E2" s="51">
        <v>45706</v>
      </c>
      <c r="F2" s="50" t="s">
        <v>250</v>
      </c>
      <c r="G2" s="382" t="s">
        <v>630</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238</v>
      </c>
      <c r="C3" s="375">
        <v>45991</v>
      </c>
      <c r="D3" s="50" t="s">
        <v>633</v>
      </c>
      <c r="E3" s="51">
        <v>45735</v>
      </c>
      <c r="F3" s="50" t="s">
        <v>250</v>
      </c>
      <c r="G3" s="379" t="s">
        <v>634</v>
      </c>
      <c r="H3" s="52">
        <v>0</v>
      </c>
      <c r="I3" s="52" t="s">
        <v>318</v>
      </c>
      <c r="J3" s="52" t="s">
        <v>63</v>
      </c>
      <c r="K3" s="613">
        <v>45718</v>
      </c>
      <c r="L3" s="52" t="s">
        <v>57</v>
      </c>
      <c r="M3" s="426">
        <v>200394.1</v>
      </c>
      <c r="N3" s="426">
        <v>209003.94</v>
      </c>
      <c r="O3" s="52" t="s">
        <v>57</v>
      </c>
      <c r="P3" s="437" t="s">
        <v>319</v>
      </c>
      <c r="Q3" s="479">
        <v>45716</v>
      </c>
      <c r="R3" s="41">
        <v>15386</v>
      </c>
      <c r="S3" s="472">
        <v>15339</v>
      </c>
      <c r="T3" s="30">
        <v>0</v>
      </c>
      <c r="U3" s="877">
        <v>1</v>
      </c>
      <c r="V3" s="679">
        <v>45747</v>
      </c>
      <c r="W3" s="355">
        <v>1</v>
      </c>
      <c r="X3" s="355">
        <v>1</v>
      </c>
      <c r="Y3" s="355">
        <v>1</v>
      </c>
      <c r="Z3" s="479">
        <v>45926</v>
      </c>
      <c r="AA3" s="141"/>
    </row>
    <row r="4" spans="1:27" ht="39.75" customHeight="1">
      <c r="A4" s="373" t="s">
        <v>635</v>
      </c>
      <c r="B4" s="50" t="s">
        <v>117</v>
      </c>
      <c r="C4" s="51">
        <v>45772</v>
      </c>
      <c r="D4" s="51" t="s">
        <v>72</v>
      </c>
      <c r="E4" s="659">
        <v>45691</v>
      </c>
      <c r="F4" s="659" t="s">
        <v>118</v>
      </c>
      <c r="G4" s="671" t="s">
        <v>636</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50" t="s">
        <v>638</v>
      </c>
      <c r="E5" s="375">
        <v>45735</v>
      </c>
      <c r="F5" s="650" t="s">
        <v>118</v>
      </c>
      <c r="G5" s="574" t="s">
        <v>639</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640</v>
      </c>
    </row>
    <row r="6" spans="1:27" ht="39.75" customHeight="1">
      <c r="A6" s="373" t="s">
        <v>641</v>
      </c>
      <c r="B6" s="374" t="s">
        <v>117</v>
      </c>
      <c r="C6" s="375">
        <v>45868</v>
      </c>
      <c r="D6" s="590" t="s">
        <v>137</v>
      </c>
      <c r="E6" s="375">
        <v>45813</v>
      </c>
      <c r="F6" s="590" t="s">
        <v>187</v>
      </c>
      <c r="G6" s="574" t="s">
        <v>642</v>
      </c>
      <c r="H6" s="376">
        <v>0</v>
      </c>
      <c r="I6" s="377" t="s">
        <v>318</v>
      </c>
      <c r="J6" s="376" t="s">
        <v>63</v>
      </c>
      <c r="K6" s="375">
        <v>45793</v>
      </c>
      <c r="L6" s="376" t="s">
        <v>57</v>
      </c>
      <c r="M6" s="429">
        <v>104070.8</v>
      </c>
      <c r="N6" s="426">
        <v>106593.55</v>
      </c>
      <c r="O6" s="376" t="s">
        <v>57</v>
      </c>
      <c r="P6" s="437" t="s">
        <v>319</v>
      </c>
      <c r="Q6" s="471">
        <v>45793</v>
      </c>
      <c r="R6" s="472">
        <v>7848</v>
      </c>
      <c r="S6" s="472">
        <v>7859</v>
      </c>
      <c r="T6" s="146">
        <v>0</v>
      </c>
      <c r="U6" s="877">
        <v>1</v>
      </c>
      <c r="V6" s="653">
        <v>45825</v>
      </c>
      <c r="W6" s="355">
        <v>1</v>
      </c>
      <c r="X6" s="355">
        <v>1</v>
      </c>
      <c r="Y6" s="355">
        <v>1</v>
      </c>
      <c r="Z6" s="479">
        <v>45897</v>
      </c>
      <c r="AA6" s="639" t="s">
        <v>643</v>
      </c>
    </row>
    <row r="7" spans="1:27" ht="39.75" customHeight="1">
      <c r="A7" s="373" t="s">
        <v>644</v>
      </c>
      <c r="B7" s="374" t="s">
        <v>117</v>
      </c>
      <c r="C7" s="375">
        <v>45807</v>
      </c>
      <c r="D7" s="650" t="s">
        <v>137</v>
      </c>
      <c r="E7" s="375">
        <v>45778</v>
      </c>
      <c r="F7" s="374" t="s">
        <v>118</v>
      </c>
      <c r="G7" s="672" t="s">
        <v>645</v>
      </c>
      <c r="H7" s="376">
        <v>0</v>
      </c>
      <c r="I7" s="376" t="s">
        <v>318</v>
      </c>
      <c r="J7" s="376" t="s">
        <v>63</v>
      </c>
      <c r="K7" s="375">
        <v>45782</v>
      </c>
      <c r="L7" s="376" t="s">
        <v>57</v>
      </c>
      <c r="M7" s="429">
        <v>119135.3</v>
      </c>
      <c r="N7" s="426">
        <v>121256.65</v>
      </c>
      <c r="O7" s="376" t="s">
        <v>57</v>
      </c>
      <c r="P7" s="376" t="s">
        <v>319</v>
      </c>
      <c r="Q7" s="653">
        <v>45782</v>
      </c>
      <c r="R7" s="472">
        <v>9356</v>
      </c>
      <c r="S7" s="472">
        <v>9202</v>
      </c>
      <c r="T7" s="472">
        <v>0</v>
      </c>
      <c r="U7" s="663">
        <f>IFERROR(Table4[[#This Row],[Actual Redline Completed Footage UG]]/Table4[[#This Row],[Footage UG]], 0)</f>
        <v>0.98353997434801199</v>
      </c>
      <c r="V7" s="471">
        <v>45792</v>
      </c>
      <c r="W7" s="60">
        <v>1</v>
      </c>
      <c r="X7" s="60">
        <v>1</v>
      </c>
      <c r="Y7" s="355">
        <v>1</v>
      </c>
      <c r="Z7" s="166">
        <v>45897</v>
      </c>
      <c r="AA7" s="1052" t="s">
        <v>646</v>
      </c>
    </row>
    <row r="8" spans="1:27" ht="39.75" customHeight="1">
      <c r="A8" s="373" t="s">
        <v>647</v>
      </c>
      <c r="B8" s="50" t="s">
        <v>117</v>
      </c>
      <c r="C8" s="51">
        <v>45787</v>
      </c>
      <c r="D8" s="659" t="s">
        <v>137</v>
      </c>
      <c r="E8" s="51">
        <v>45715</v>
      </c>
      <c r="F8" s="50" t="s">
        <v>118</v>
      </c>
      <c r="G8" s="671" t="s">
        <v>648</v>
      </c>
      <c r="H8" s="52">
        <v>0</v>
      </c>
      <c r="I8" s="661" t="s">
        <v>318</v>
      </c>
      <c r="J8" s="52" t="s">
        <v>63</v>
      </c>
      <c r="K8" s="50" t="s">
        <v>319</v>
      </c>
      <c r="L8" s="52" t="s">
        <v>57</v>
      </c>
      <c r="M8" s="426">
        <v>12601.45</v>
      </c>
      <c r="N8" s="555">
        <v>13008.1</v>
      </c>
      <c r="O8" s="52" t="s">
        <v>57</v>
      </c>
      <c r="P8" s="52" t="s">
        <v>319</v>
      </c>
      <c r="Q8" s="678">
        <v>45716</v>
      </c>
      <c r="R8" s="493">
        <v>939</v>
      </c>
      <c r="S8" s="493">
        <v>928</v>
      </c>
      <c r="T8" s="484">
        <v>0</v>
      </c>
      <c r="U8" s="473">
        <f>IFERROR(Table4[[#This Row],[Actual Redline Completed Footage UG]]/Table4[[#This Row],[Footage UG]], 0)</f>
        <v>0.98828541001064962</v>
      </c>
      <c r="V8" s="479">
        <v>45733</v>
      </c>
      <c r="W8" s="606">
        <v>1</v>
      </c>
      <c r="X8" s="606">
        <v>1</v>
      </c>
      <c r="Y8" s="473">
        <v>1</v>
      </c>
      <c r="Z8" s="166">
        <v>45824</v>
      </c>
    </row>
    <row r="9" spans="1:27" ht="39.75" customHeight="1">
      <c r="A9" s="373" t="s">
        <v>649</v>
      </c>
      <c r="B9" s="50" t="s">
        <v>117</v>
      </c>
      <c r="C9" s="51">
        <v>45868</v>
      </c>
      <c r="D9" s="381" t="s">
        <v>137</v>
      </c>
      <c r="E9" s="51">
        <v>45828</v>
      </c>
      <c r="F9" s="381" t="s">
        <v>187</v>
      </c>
      <c r="G9" s="379" t="s">
        <v>650</v>
      </c>
      <c r="H9" s="52">
        <v>0</v>
      </c>
      <c r="I9" s="380" t="s">
        <v>318</v>
      </c>
      <c r="J9" s="52" t="s">
        <v>63</v>
      </c>
      <c r="K9" s="375">
        <v>45826</v>
      </c>
      <c r="L9" s="376" t="s">
        <v>57</v>
      </c>
      <c r="M9" s="429">
        <v>144886</v>
      </c>
      <c r="N9" s="426">
        <v>138688</v>
      </c>
      <c r="O9" s="376" t="s">
        <v>57</v>
      </c>
      <c r="P9" s="437" t="s">
        <v>319</v>
      </c>
      <c r="Q9" s="508">
        <v>45840</v>
      </c>
      <c r="R9" s="490">
        <v>11054</v>
      </c>
      <c r="S9" s="490">
        <v>11092</v>
      </c>
      <c r="T9" s="31">
        <v>0</v>
      </c>
      <c r="U9" s="877">
        <v>1</v>
      </c>
      <c r="V9" s="653">
        <v>45845</v>
      </c>
      <c r="W9" s="355">
        <v>1</v>
      </c>
      <c r="X9" s="355">
        <v>1</v>
      </c>
      <c r="Y9" s="355">
        <v>1</v>
      </c>
      <c r="Z9" s="471">
        <v>45917</v>
      </c>
      <c r="AA9" s="149" t="s">
        <v>651</v>
      </c>
    </row>
    <row r="10" spans="1:27" ht="39.75" customHeight="1">
      <c r="A10" s="373" t="s">
        <v>652</v>
      </c>
      <c r="B10" s="374" t="s">
        <v>117</v>
      </c>
      <c r="C10" s="375">
        <v>45711</v>
      </c>
      <c r="D10" s="375" t="s">
        <v>653</v>
      </c>
      <c r="E10" s="375">
        <v>45693</v>
      </c>
      <c r="F10" s="650" t="s">
        <v>187</v>
      </c>
      <c r="G10" s="673" t="s">
        <v>73</v>
      </c>
      <c r="H10" s="376">
        <v>54</v>
      </c>
      <c r="I10" s="668" t="s">
        <v>616</v>
      </c>
      <c r="J10" s="376" t="s">
        <v>63</v>
      </c>
      <c r="K10" s="374" t="s">
        <v>319</v>
      </c>
      <c r="L10" s="668" t="s">
        <v>57</v>
      </c>
      <c r="M10" s="429">
        <v>47461.5</v>
      </c>
      <c r="N10" s="570">
        <v>45340</v>
      </c>
      <c r="O10" s="668" t="s">
        <v>57</v>
      </c>
      <c r="P10" s="376" t="s">
        <v>319</v>
      </c>
      <c r="Q10" s="653">
        <v>45692</v>
      </c>
      <c r="R10" s="472">
        <v>3775</v>
      </c>
      <c r="S10" s="472">
        <v>3734</v>
      </c>
      <c r="T10" s="480">
        <v>0</v>
      </c>
      <c r="U10" s="663">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9" t="s">
        <v>137</v>
      </c>
      <c r="E11" s="51">
        <v>45712</v>
      </c>
      <c r="F11" s="659" t="s">
        <v>118</v>
      </c>
      <c r="G11" s="667" t="s">
        <v>655</v>
      </c>
      <c r="H11" s="52">
        <v>49</v>
      </c>
      <c r="I11" s="52" t="s">
        <v>616</v>
      </c>
      <c r="J11" s="52" t="s">
        <v>63</v>
      </c>
      <c r="K11" s="51">
        <v>45713</v>
      </c>
      <c r="L11" s="661" t="s">
        <v>57</v>
      </c>
      <c r="M11" s="426">
        <v>43064</v>
      </c>
      <c r="N11" s="571">
        <v>44346</v>
      </c>
      <c r="O11" s="661" t="s">
        <v>57</v>
      </c>
      <c r="P11" s="376" t="s">
        <v>319</v>
      </c>
      <c r="Q11" s="653">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9" t="s">
        <v>137</v>
      </c>
      <c r="E12" s="51">
        <v>45706</v>
      </c>
      <c r="F12" s="659" t="s">
        <v>187</v>
      </c>
      <c r="G12" s="671" t="s">
        <v>657</v>
      </c>
      <c r="H12" s="52">
        <v>56</v>
      </c>
      <c r="I12" s="661" t="s">
        <v>616</v>
      </c>
      <c r="J12" s="52" t="s">
        <v>63</v>
      </c>
      <c r="K12" s="666">
        <v>45707</v>
      </c>
      <c r="L12" s="52" t="s">
        <v>57</v>
      </c>
      <c r="M12" s="426">
        <v>62522.54</v>
      </c>
      <c r="N12" s="555">
        <v>56001</v>
      </c>
      <c r="O12" s="52" t="s">
        <v>57</v>
      </c>
      <c r="P12" s="52" t="s">
        <v>319</v>
      </c>
      <c r="Q12" s="678">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9" t="s">
        <v>137</v>
      </c>
      <c r="E13" s="51">
        <v>45755</v>
      </c>
      <c r="F13" s="659" t="s">
        <v>187</v>
      </c>
      <c r="G13" s="574" t="s">
        <v>659</v>
      </c>
      <c r="H13" s="52">
        <v>82</v>
      </c>
      <c r="I13" s="661" t="s">
        <v>318</v>
      </c>
      <c r="J13" s="52" t="s">
        <v>63</v>
      </c>
      <c r="K13" s="666">
        <v>45756</v>
      </c>
      <c r="L13" s="52" t="s">
        <v>57</v>
      </c>
      <c r="M13" s="426">
        <v>67171.5</v>
      </c>
      <c r="N13" s="555">
        <v>64739</v>
      </c>
      <c r="O13" s="52" t="s">
        <v>57</v>
      </c>
      <c r="P13" s="52" t="s">
        <v>319</v>
      </c>
      <c r="Q13" s="678">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9" t="s">
        <v>638</v>
      </c>
      <c r="E14" s="51">
        <v>45749</v>
      </c>
      <c r="F14" s="659" t="s">
        <v>187</v>
      </c>
      <c r="G14" s="671" t="s">
        <v>661</v>
      </c>
      <c r="H14" s="52">
        <v>79</v>
      </c>
      <c r="I14" s="661" t="s">
        <v>318</v>
      </c>
      <c r="J14" s="52" t="s">
        <v>63</v>
      </c>
      <c r="K14" s="51">
        <v>45749</v>
      </c>
      <c r="L14" s="52" t="s">
        <v>57</v>
      </c>
      <c r="M14" s="426">
        <v>72492</v>
      </c>
      <c r="N14" s="555">
        <v>73087.5</v>
      </c>
      <c r="O14" s="52" t="s">
        <v>57</v>
      </c>
      <c r="P14" s="52" t="s">
        <v>319</v>
      </c>
      <c r="Q14" s="679">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9" t="s">
        <v>137</v>
      </c>
      <c r="E15" s="51">
        <v>45749</v>
      </c>
      <c r="F15" s="659" t="s">
        <v>118</v>
      </c>
      <c r="G15" s="671" t="s">
        <v>663</v>
      </c>
      <c r="H15" s="52">
        <v>59</v>
      </c>
      <c r="I15" s="661" t="s">
        <v>318</v>
      </c>
      <c r="J15" s="52" t="s">
        <v>63</v>
      </c>
      <c r="K15" s="51">
        <v>45750</v>
      </c>
      <c r="L15" s="52" t="s">
        <v>57</v>
      </c>
      <c r="M15" s="426">
        <v>51295</v>
      </c>
      <c r="N15" s="555">
        <v>51485.5</v>
      </c>
      <c r="O15" s="52" t="s">
        <v>57</v>
      </c>
      <c r="P15" s="52" t="s">
        <v>319</v>
      </c>
      <c r="Q15" s="679">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9" t="s">
        <v>118</v>
      </c>
      <c r="G16" s="667" t="s">
        <v>666</v>
      </c>
      <c r="H16" s="52">
        <v>23</v>
      </c>
      <c r="I16" s="52" t="s">
        <v>318</v>
      </c>
      <c r="J16" s="52" t="s">
        <v>63</v>
      </c>
      <c r="K16" s="50" t="s">
        <v>319</v>
      </c>
      <c r="L16" s="661" t="s">
        <v>57</v>
      </c>
      <c r="M16" s="426">
        <v>26617</v>
      </c>
      <c r="N16" s="571">
        <v>25405</v>
      </c>
      <c r="O16" s="661" t="s">
        <v>57</v>
      </c>
      <c r="P16" s="52" t="s">
        <v>319</v>
      </c>
      <c r="Q16" s="679">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9" t="s">
        <v>118</v>
      </c>
      <c r="G17" s="667" t="s">
        <v>668</v>
      </c>
      <c r="H17" s="52">
        <v>70</v>
      </c>
      <c r="I17" s="661" t="s">
        <v>616</v>
      </c>
      <c r="J17" s="52" t="s">
        <v>63</v>
      </c>
      <c r="K17" s="50" t="s">
        <v>319</v>
      </c>
      <c r="L17" s="661" t="s">
        <v>57</v>
      </c>
      <c r="M17" s="426">
        <v>72118</v>
      </c>
      <c r="N17" s="674">
        <v>70778</v>
      </c>
      <c r="O17" s="661" t="s">
        <v>57</v>
      </c>
      <c r="P17" s="52" t="s">
        <v>319</v>
      </c>
      <c r="Q17" s="679">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9" t="s">
        <v>118</v>
      </c>
      <c r="G18" s="667" t="s">
        <v>670</v>
      </c>
      <c r="H18" s="52">
        <v>75</v>
      </c>
      <c r="I18" s="661" t="s">
        <v>616</v>
      </c>
      <c r="J18" s="52" t="s">
        <v>63</v>
      </c>
      <c r="K18" s="50" t="s">
        <v>319</v>
      </c>
      <c r="L18" s="661" t="s">
        <v>57</v>
      </c>
      <c r="M18" s="426">
        <v>69288</v>
      </c>
      <c r="N18" s="571">
        <v>70664</v>
      </c>
      <c r="O18" s="661" t="s">
        <v>57</v>
      </c>
      <c r="P18" s="52" t="s">
        <v>319</v>
      </c>
      <c r="Q18" s="679">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9" t="s">
        <v>187</v>
      </c>
      <c r="G19" s="667" t="s">
        <v>673</v>
      </c>
      <c r="H19" s="52">
        <v>65</v>
      </c>
      <c r="I19" s="661" t="s">
        <v>616</v>
      </c>
      <c r="J19" s="52" t="s">
        <v>63</v>
      </c>
      <c r="K19" s="51">
        <v>45673</v>
      </c>
      <c r="L19" s="661" t="s">
        <v>57</v>
      </c>
      <c r="M19" s="426">
        <v>69555</v>
      </c>
      <c r="N19" s="674">
        <v>70432</v>
      </c>
      <c r="O19" s="661" t="s">
        <v>57</v>
      </c>
      <c r="P19" s="52" t="s">
        <v>319</v>
      </c>
      <c r="Q19" s="679">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9" t="s">
        <v>118</v>
      </c>
      <c r="G20" s="667" t="s">
        <v>675</v>
      </c>
      <c r="H20" s="52">
        <v>81</v>
      </c>
      <c r="I20" s="661" t="s">
        <v>616</v>
      </c>
      <c r="J20" s="52" t="s">
        <v>63</v>
      </c>
      <c r="K20" s="50" t="s">
        <v>319</v>
      </c>
      <c r="L20" s="661" t="s">
        <v>57</v>
      </c>
      <c r="M20" s="426">
        <v>83754</v>
      </c>
      <c r="N20" s="571">
        <v>80572.5</v>
      </c>
      <c r="O20" s="661" t="s">
        <v>57</v>
      </c>
      <c r="P20" s="52" t="s">
        <v>319</v>
      </c>
      <c r="Q20" s="679">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9" t="s">
        <v>137</v>
      </c>
      <c r="E21" s="51">
        <v>45708</v>
      </c>
      <c r="F21" s="659" t="s">
        <v>187</v>
      </c>
      <c r="G21" s="671" t="s">
        <v>677</v>
      </c>
      <c r="H21" s="52">
        <v>50</v>
      </c>
      <c r="I21" s="52" t="s">
        <v>616</v>
      </c>
      <c r="J21" s="52" t="s">
        <v>63</v>
      </c>
      <c r="K21" s="51">
        <v>45705</v>
      </c>
      <c r="L21" s="52" t="s">
        <v>57</v>
      </c>
      <c r="M21" s="426">
        <v>43895.5</v>
      </c>
      <c r="N21" s="571">
        <v>44479.5</v>
      </c>
      <c r="O21" s="52" t="s">
        <v>57</v>
      </c>
      <c r="P21" s="52" t="s">
        <v>319</v>
      </c>
      <c r="Q21" s="678">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9" t="s">
        <v>137</v>
      </c>
      <c r="E22" s="51">
        <v>45729</v>
      </c>
      <c r="F22" s="50" t="s">
        <v>187</v>
      </c>
      <c r="G22" s="671" t="s">
        <v>679</v>
      </c>
      <c r="H22" s="52">
        <v>52</v>
      </c>
      <c r="I22" s="52" t="s">
        <v>318</v>
      </c>
      <c r="J22" s="52" t="s">
        <v>63</v>
      </c>
      <c r="K22" s="51">
        <v>45733</v>
      </c>
      <c r="L22" s="52" t="s">
        <v>57</v>
      </c>
      <c r="M22" s="426">
        <v>50824.5</v>
      </c>
      <c r="N22" s="571">
        <v>50928.5</v>
      </c>
      <c r="O22" s="52" t="s">
        <v>57</v>
      </c>
      <c r="P22" s="52" t="s">
        <v>319</v>
      </c>
      <c r="Q22" s="679">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9" t="s">
        <v>137</v>
      </c>
      <c r="E23" s="51">
        <v>45735</v>
      </c>
      <c r="F23" s="659" t="s">
        <v>118</v>
      </c>
      <c r="G23" s="671" t="s">
        <v>681</v>
      </c>
      <c r="H23" s="52">
        <v>86</v>
      </c>
      <c r="I23" s="52" t="s">
        <v>318</v>
      </c>
      <c r="J23" s="52" t="s">
        <v>63</v>
      </c>
      <c r="K23" s="51">
        <v>45737</v>
      </c>
      <c r="L23" s="52" t="s">
        <v>57</v>
      </c>
      <c r="M23" s="426">
        <v>83462</v>
      </c>
      <c r="N23" s="571">
        <v>83033</v>
      </c>
      <c r="O23" s="52" t="s">
        <v>57</v>
      </c>
      <c r="P23" s="52" t="s">
        <v>319</v>
      </c>
      <c r="Q23" s="679">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9" t="s">
        <v>137</v>
      </c>
      <c r="E24" s="51">
        <v>45712</v>
      </c>
      <c r="F24" s="659" t="s">
        <v>187</v>
      </c>
      <c r="G24" s="671" t="s">
        <v>683</v>
      </c>
      <c r="H24" s="52">
        <v>51</v>
      </c>
      <c r="I24" s="661" t="s">
        <v>616</v>
      </c>
      <c r="J24" s="52" t="s">
        <v>63</v>
      </c>
      <c r="K24" s="50" t="s">
        <v>319</v>
      </c>
      <c r="L24" s="52" t="s">
        <v>57</v>
      </c>
      <c r="M24" s="426">
        <v>47414</v>
      </c>
      <c r="N24" s="571">
        <v>45744</v>
      </c>
      <c r="O24" s="52" t="s">
        <v>57</v>
      </c>
      <c r="P24" s="52" t="s">
        <v>319</v>
      </c>
      <c r="Q24" s="816">
        <v>45716</v>
      </c>
      <c r="R24" s="32">
        <v>3597</v>
      </c>
      <c r="S24" s="32">
        <v>3636</v>
      </c>
      <c r="T24" s="607">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9" t="s">
        <v>137</v>
      </c>
      <c r="E25" s="51">
        <v>45735</v>
      </c>
      <c r="F25" s="659" t="s">
        <v>187</v>
      </c>
      <c r="G25" s="671" t="s">
        <v>685</v>
      </c>
      <c r="H25" s="52">
        <v>59</v>
      </c>
      <c r="I25" s="661" t="s">
        <v>318</v>
      </c>
      <c r="J25" s="52" t="s">
        <v>63</v>
      </c>
      <c r="K25" s="51">
        <v>45736</v>
      </c>
      <c r="L25" s="52" t="s">
        <v>57</v>
      </c>
      <c r="M25" s="426">
        <v>59562.5</v>
      </c>
      <c r="N25" s="571">
        <v>52525.5</v>
      </c>
      <c r="O25" s="52" t="s">
        <v>57</v>
      </c>
      <c r="P25" s="52" t="s">
        <v>319</v>
      </c>
      <c r="Q25" s="195">
        <v>45735</v>
      </c>
      <c r="R25" s="31">
        <v>4123</v>
      </c>
      <c r="S25" s="75">
        <v>4094</v>
      </c>
      <c r="T25" s="83">
        <v>0</v>
      </c>
      <c r="U25" s="663">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9" t="s">
        <v>137</v>
      </c>
      <c r="E26" s="51">
        <v>45735</v>
      </c>
      <c r="F26" s="659" t="s">
        <v>118</v>
      </c>
      <c r="G26" s="671" t="s">
        <v>687</v>
      </c>
      <c r="H26" s="52">
        <v>35</v>
      </c>
      <c r="I26" s="52" t="s">
        <v>318</v>
      </c>
      <c r="J26" s="52" t="s">
        <v>63</v>
      </c>
      <c r="K26" s="51">
        <v>45735</v>
      </c>
      <c r="L26" s="52" t="s">
        <v>57</v>
      </c>
      <c r="M26" s="426">
        <v>41187</v>
      </c>
      <c r="N26" s="571">
        <v>39597.5</v>
      </c>
      <c r="O26" s="52" t="s">
        <v>57</v>
      </c>
      <c r="P26" s="52" t="s">
        <v>319</v>
      </c>
      <c r="Q26" s="195">
        <v>45735</v>
      </c>
      <c r="R26" s="31">
        <v>3235</v>
      </c>
      <c r="S26" s="75">
        <v>3240</v>
      </c>
      <c r="T26" s="83">
        <v>0</v>
      </c>
      <c r="U26" s="663">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187</v>
      </c>
      <c r="G27" s="573" t="s">
        <v>689</v>
      </c>
      <c r="H27" s="52">
        <v>22</v>
      </c>
      <c r="I27" s="52" t="s">
        <v>318</v>
      </c>
      <c r="J27" s="52" t="s">
        <v>63</v>
      </c>
      <c r="K27" s="50" t="s">
        <v>319</v>
      </c>
      <c r="L27" s="52" t="s">
        <v>57</v>
      </c>
      <c r="M27" s="426">
        <v>14497.5</v>
      </c>
      <c r="N27" s="571">
        <v>14042</v>
      </c>
      <c r="O27" s="52" t="s">
        <v>57</v>
      </c>
      <c r="P27" s="52" t="s">
        <v>319</v>
      </c>
      <c r="Q27" s="195">
        <v>45695</v>
      </c>
      <c r="R27" s="31">
        <v>1073</v>
      </c>
      <c r="S27" s="31">
        <v>1091</v>
      </c>
      <c r="T27" s="83">
        <v>0</v>
      </c>
      <c r="U27" s="663">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90" t="s">
        <v>137</v>
      </c>
      <c r="E28" s="590">
        <v>45840</v>
      </c>
      <c r="F28" s="375" t="s">
        <v>118</v>
      </c>
      <c r="G28" s="374" t="s">
        <v>691</v>
      </c>
      <c r="H28" s="376">
        <v>81</v>
      </c>
      <c r="I28" s="376" t="s">
        <v>318</v>
      </c>
      <c r="J28" s="376" t="s">
        <v>63</v>
      </c>
      <c r="K28" s="375">
        <v>45847</v>
      </c>
      <c r="L28" s="376" t="s">
        <v>57</v>
      </c>
      <c r="M28" s="429">
        <v>71310.899999999994</v>
      </c>
      <c r="N28" s="426">
        <v>62984.35</v>
      </c>
      <c r="O28" s="376" t="s">
        <v>57</v>
      </c>
      <c r="P28" s="437" t="s">
        <v>319</v>
      </c>
      <c r="Q28" s="347">
        <v>45847</v>
      </c>
      <c r="R28" s="899">
        <v>4940</v>
      </c>
      <c r="S28" s="472">
        <v>4818</v>
      </c>
      <c r="T28" s="83">
        <v>0</v>
      </c>
      <c r="U28" s="877">
        <v>0.98</v>
      </c>
      <c r="V28" s="679">
        <v>45854</v>
      </c>
      <c r="W28" s="355">
        <v>1</v>
      </c>
      <c r="X28" s="355">
        <v>1</v>
      </c>
      <c r="Y28" s="355">
        <v>1</v>
      </c>
      <c r="Z28" s="347">
        <v>45875</v>
      </c>
      <c r="AA28" s="174" t="s">
        <v>692</v>
      </c>
    </row>
    <row r="29" spans="1:27" ht="39.75" customHeight="1">
      <c r="A29" s="373" t="s">
        <v>693</v>
      </c>
      <c r="B29" s="374" t="s">
        <v>117</v>
      </c>
      <c r="C29" s="51">
        <v>45868</v>
      </c>
      <c r="D29" s="590" t="s">
        <v>137</v>
      </c>
      <c r="E29" s="590">
        <v>45839</v>
      </c>
      <c r="F29" s="374" t="s">
        <v>118</v>
      </c>
      <c r="G29" s="374" t="s">
        <v>694</v>
      </c>
      <c r="H29" s="376">
        <v>86</v>
      </c>
      <c r="I29" s="376" t="s">
        <v>318</v>
      </c>
      <c r="J29" s="376" t="s">
        <v>63</v>
      </c>
      <c r="K29" s="375">
        <v>45840</v>
      </c>
      <c r="L29" s="376" t="s">
        <v>57</v>
      </c>
      <c r="M29" s="429">
        <v>53605.2</v>
      </c>
      <c r="N29" s="426">
        <v>52185.2</v>
      </c>
      <c r="O29" s="376" t="s">
        <v>57</v>
      </c>
      <c r="P29" s="437" t="s">
        <v>319</v>
      </c>
      <c r="Q29" s="347">
        <v>45840</v>
      </c>
      <c r="R29" s="899">
        <v>4009</v>
      </c>
      <c r="S29" s="647">
        <v>4039</v>
      </c>
      <c r="T29" s="146">
        <v>0</v>
      </c>
      <c r="U29" s="877">
        <v>1.01</v>
      </c>
      <c r="V29" s="679">
        <v>45862</v>
      </c>
      <c r="W29" s="355">
        <v>1</v>
      </c>
      <c r="X29" s="355">
        <v>1</v>
      </c>
      <c r="Y29" s="355">
        <v>1</v>
      </c>
      <c r="Z29" s="471">
        <v>45875</v>
      </c>
      <c r="AA29" s="149" t="s">
        <v>695</v>
      </c>
    </row>
    <row r="30" spans="1:27" ht="39.75" customHeight="1">
      <c r="A30" s="373" t="s">
        <v>696</v>
      </c>
      <c r="B30" s="374" t="s">
        <v>117</v>
      </c>
      <c r="C30" s="51">
        <v>45868</v>
      </c>
      <c r="D30" s="650" t="s">
        <v>137</v>
      </c>
      <c r="E30" s="650">
        <v>45833</v>
      </c>
      <c r="F30" s="374" t="s">
        <v>187</v>
      </c>
      <c r="G30" s="374" t="s">
        <v>697</v>
      </c>
      <c r="H30" s="376">
        <v>66</v>
      </c>
      <c r="I30" s="376" t="s">
        <v>318</v>
      </c>
      <c r="J30" s="376" t="s">
        <v>63</v>
      </c>
      <c r="K30" s="375">
        <v>45833</v>
      </c>
      <c r="L30" s="376" t="s">
        <v>57</v>
      </c>
      <c r="M30" s="429">
        <v>32940.449999999997</v>
      </c>
      <c r="N30" s="426">
        <v>43258.2</v>
      </c>
      <c r="O30" s="376" t="s">
        <v>57</v>
      </c>
      <c r="P30" s="1046" t="s">
        <v>319</v>
      </c>
      <c r="Q30" s="347">
        <v>45833</v>
      </c>
      <c r="R30" s="899">
        <v>2067</v>
      </c>
      <c r="S30" s="647">
        <v>2937</v>
      </c>
      <c r="T30" s="1136">
        <v>0</v>
      </c>
      <c r="U30" s="877">
        <v>1.42</v>
      </c>
      <c r="V30" s="679">
        <v>45840</v>
      </c>
      <c r="W30" s="355">
        <v>1</v>
      </c>
      <c r="X30" s="355">
        <v>1</v>
      </c>
      <c r="Y30" s="355">
        <v>1</v>
      </c>
      <c r="Z30" s="54">
        <v>45897</v>
      </c>
      <c r="AA30" s="413" t="s">
        <v>698</v>
      </c>
    </row>
    <row r="31" spans="1:27" ht="39.75" customHeight="1">
      <c r="A31" s="373" t="s">
        <v>699</v>
      </c>
      <c r="B31" s="374" t="s">
        <v>117</v>
      </c>
      <c r="C31" s="51">
        <v>45868</v>
      </c>
      <c r="D31" s="590" t="s">
        <v>137</v>
      </c>
      <c r="E31" s="590">
        <v>45839</v>
      </c>
      <c r="F31" s="375" t="s">
        <v>118</v>
      </c>
      <c r="G31" s="374" t="s">
        <v>700</v>
      </c>
      <c r="H31" s="376">
        <v>43</v>
      </c>
      <c r="I31" s="376" t="s">
        <v>318</v>
      </c>
      <c r="J31" s="376" t="s">
        <v>63</v>
      </c>
      <c r="K31" s="375">
        <v>45840</v>
      </c>
      <c r="L31" s="376" t="s">
        <v>57</v>
      </c>
      <c r="M31" s="429">
        <v>23404.75</v>
      </c>
      <c r="N31" s="426">
        <v>18702.400000000001</v>
      </c>
      <c r="O31" s="376" t="s">
        <v>57</v>
      </c>
      <c r="P31" s="1054" t="s">
        <v>319</v>
      </c>
      <c r="Q31" s="124">
        <v>45840</v>
      </c>
      <c r="R31" s="106">
        <v>1667</v>
      </c>
      <c r="S31" s="1057">
        <v>1661</v>
      </c>
      <c r="T31" s="30">
        <v>0</v>
      </c>
      <c r="U31" s="877">
        <v>1</v>
      </c>
      <c r="V31" s="879">
        <v>45853</v>
      </c>
      <c r="W31" s="602">
        <v>1</v>
      </c>
      <c r="X31" s="602">
        <v>1</v>
      </c>
      <c r="Y31" s="602">
        <v>1</v>
      </c>
      <c r="Z31" s="54">
        <v>45916</v>
      </c>
      <c r="AA31" s="603" t="s">
        <v>701</v>
      </c>
    </row>
    <row r="32" spans="1:27" ht="39.75" customHeight="1">
      <c r="A32" s="373" t="s">
        <v>702</v>
      </c>
      <c r="B32" s="50" t="s">
        <v>117</v>
      </c>
      <c r="C32" s="51">
        <v>45862</v>
      </c>
      <c r="D32" s="659" t="s">
        <v>137</v>
      </c>
      <c r="E32" s="51">
        <v>45758</v>
      </c>
      <c r="F32" s="659" t="s">
        <v>118</v>
      </c>
      <c r="G32" s="574" t="s">
        <v>703</v>
      </c>
      <c r="H32" s="52">
        <v>62</v>
      </c>
      <c r="I32" s="52" t="s">
        <v>318</v>
      </c>
      <c r="J32" s="52" t="s">
        <v>63</v>
      </c>
      <c r="K32" s="51">
        <v>45762</v>
      </c>
      <c r="L32" s="52" t="s">
        <v>57</v>
      </c>
      <c r="M32" s="426">
        <v>62502</v>
      </c>
      <c r="N32" s="555">
        <v>59129.5</v>
      </c>
      <c r="O32" s="52" t="s">
        <v>57</v>
      </c>
      <c r="P32" s="52" t="s">
        <v>319</v>
      </c>
      <c r="Q32" s="195">
        <v>45762</v>
      </c>
      <c r="R32" s="31">
        <v>5008</v>
      </c>
      <c r="S32" s="75">
        <v>4791</v>
      </c>
      <c r="T32" s="21">
        <v>0</v>
      </c>
      <c r="U32" s="663">
        <f>IFERROR(Table4[[#This Row],[Actual Redline Completed Footage UG]]/Table4[[#This Row],[Footage UG]], 0)</f>
        <v>0.95666932907348246</v>
      </c>
      <c r="V32" s="427">
        <v>45783</v>
      </c>
      <c r="W32" s="608">
        <v>1</v>
      </c>
      <c r="X32" s="608">
        <v>1</v>
      </c>
      <c r="Y32" s="609">
        <v>1</v>
      </c>
      <c r="Z32" s="356">
        <v>45831</v>
      </c>
      <c r="AA32" s="43"/>
    </row>
    <row r="33" spans="1:27" ht="39.75" customHeight="1">
      <c r="A33" s="373" t="s">
        <v>704</v>
      </c>
      <c r="B33" s="374" t="s">
        <v>117</v>
      </c>
      <c r="C33" s="51">
        <v>45862</v>
      </c>
      <c r="D33" s="381" t="s">
        <v>137</v>
      </c>
      <c r="E33" s="51">
        <v>45758</v>
      </c>
      <c r="F33" s="381" t="s">
        <v>118</v>
      </c>
      <c r="G33" s="574" t="s">
        <v>705</v>
      </c>
      <c r="H33" s="52">
        <v>89</v>
      </c>
      <c r="I33" s="52" t="s">
        <v>318</v>
      </c>
      <c r="J33" s="52" t="s">
        <v>63</v>
      </c>
      <c r="K33" s="51">
        <v>45762</v>
      </c>
      <c r="L33" s="52" t="s">
        <v>57</v>
      </c>
      <c r="M33" s="426">
        <v>70705.5</v>
      </c>
      <c r="N33" s="555">
        <v>67666</v>
      </c>
      <c r="O33" s="52" t="s">
        <v>57</v>
      </c>
      <c r="P33" s="52" t="s">
        <v>319</v>
      </c>
      <c r="Q33" s="195">
        <v>45762</v>
      </c>
      <c r="R33" s="31">
        <v>5203</v>
      </c>
      <c r="S33" s="31">
        <v>5333</v>
      </c>
      <c r="T33" s="83">
        <v>0</v>
      </c>
      <c r="U33" s="663">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4" t="s">
        <v>707</v>
      </c>
      <c r="H34" s="52">
        <v>87</v>
      </c>
      <c r="I34" s="52" t="s">
        <v>318</v>
      </c>
      <c r="J34" s="52" t="s">
        <v>63</v>
      </c>
      <c r="K34" s="51">
        <v>45762</v>
      </c>
      <c r="L34" s="52" t="s">
        <v>57</v>
      </c>
      <c r="M34" s="426">
        <v>66004.5</v>
      </c>
      <c r="N34" s="555">
        <v>64943.5</v>
      </c>
      <c r="O34" s="52" t="s">
        <v>57</v>
      </c>
      <c r="P34" s="52" t="s">
        <v>319</v>
      </c>
      <c r="Q34" s="195">
        <v>45762</v>
      </c>
      <c r="R34" s="31">
        <v>5120</v>
      </c>
      <c r="S34" s="75">
        <v>5340</v>
      </c>
      <c r="T34" s="83">
        <v>0</v>
      </c>
      <c r="U34" s="663">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90" t="s">
        <v>137</v>
      </c>
      <c r="E35" s="51">
        <v>45786</v>
      </c>
      <c r="F35" s="590" t="s">
        <v>118</v>
      </c>
      <c r="G35" s="638" t="s">
        <v>709</v>
      </c>
      <c r="H35" s="376">
        <v>60</v>
      </c>
      <c r="I35" s="376" t="s">
        <v>318</v>
      </c>
      <c r="J35" s="376" t="s">
        <v>63</v>
      </c>
      <c r="K35" s="375">
        <v>45790</v>
      </c>
      <c r="L35" s="376" t="s">
        <v>57</v>
      </c>
      <c r="M35" s="429">
        <v>57237</v>
      </c>
      <c r="N35" s="569">
        <v>55777</v>
      </c>
      <c r="O35" s="52" t="s">
        <v>57</v>
      </c>
      <c r="P35" s="376" t="s">
        <v>319</v>
      </c>
      <c r="Q35" s="193">
        <v>45790</v>
      </c>
      <c r="R35" s="106">
        <v>4508</v>
      </c>
      <c r="S35" s="106">
        <v>4426</v>
      </c>
      <c r="T35" s="83">
        <v>0</v>
      </c>
      <c r="U35" s="663">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1" t="s">
        <v>712</v>
      </c>
      <c r="B36" s="511" t="s">
        <v>117</v>
      </c>
      <c r="C36" s="497">
        <v>45688</v>
      </c>
      <c r="D36" s="497" t="s">
        <v>713</v>
      </c>
      <c r="E36" s="497">
        <v>45684</v>
      </c>
      <c r="F36" s="512" t="s">
        <v>187</v>
      </c>
      <c r="G36" s="782" t="s">
        <v>714</v>
      </c>
      <c r="H36" s="116">
        <v>0</v>
      </c>
      <c r="I36" s="505" t="s">
        <v>319</v>
      </c>
      <c r="J36" s="116" t="s">
        <v>63</v>
      </c>
      <c r="K36" s="510">
        <v>45673</v>
      </c>
      <c r="L36" s="505" t="s">
        <v>57</v>
      </c>
      <c r="M36" s="778">
        <v>24886.5</v>
      </c>
      <c r="N36" s="809">
        <v>7262</v>
      </c>
      <c r="O36" s="505" t="s">
        <v>57</v>
      </c>
      <c r="P36" s="815" t="s">
        <v>319</v>
      </c>
      <c r="Q36" s="479">
        <v>45673</v>
      </c>
      <c r="R36" s="41">
        <v>330</v>
      </c>
      <c r="S36" s="41">
        <v>330</v>
      </c>
      <c r="T36" s="484">
        <v>0</v>
      </c>
      <c r="U36" s="663">
        <f>IFERROR(Table4[[#This Row],[Actual Redline Completed Footage UG]]/Table4[[#This Row],[Footage UG]], 0)</f>
        <v>1</v>
      </c>
      <c r="V36" s="479">
        <v>45684</v>
      </c>
      <c r="W36" s="355">
        <v>1</v>
      </c>
      <c r="X36" s="355">
        <v>1</v>
      </c>
      <c r="Y36" s="355">
        <v>1</v>
      </c>
      <c r="Z36" s="479">
        <v>45821</v>
      </c>
      <c r="AA36" s="201"/>
    </row>
    <row r="37" spans="1:27" ht="39.75" customHeight="1">
      <c r="A37" s="749" t="s">
        <v>715</v>
      </c>
      <c r="B37" s="907" t="s">
        <v>117</v>
      </c>
      <c r="C37" s="989">
        <v>45868</v>
      </c>
      <c r="D37" s="945" t="s">
        <v>137</v>
      </c>
      <c r="E37" s="909">
        <v>45849</v>
      </c>
      <c r="F37" s="910" t="s">
        <v>118</v>
      </c>
      <c r="G37" s="683"/>
      <c r="H37" s="911">
        <v>0</v>
      </c>
      <c r="I37" s="911" t="s">
        <v>318</v>
      </c>
      <c r="J37" s="911" t="s">
        <v>63</v>
      </c>
      <c r="K37" s="375">
        <v>45848</v>
      </c>
      <c r="L37" s="376" t="s">
        <v>57</v>
      </c>
      <c r="M37" s="1003">
        <v>23436.55</v>
      </c>
      <c r="N37" s="426">
        <v>15484.65</v>
      </c>
      <c r="O37" s="376" t="s">
        <v>57</v>
      </c>
      <c r="P37" s="1054" t="s">
        <v>319</v>
      </c>
      <c r="Q37" s="599">
        <v>45848</v>
      </c>
      <c r="R37" s="1172">
        <v>1743</v>
      </c>
      <c r="S37" s="1172">
        <v>924</v>
      </c>
      <c r="T37" s="30">
        <v>0</v>
      </c>
      <c r="U37" s="877">
        <v>0.53</v>
      </c>
      <c r="V37" s="879">
        <v>45854</v>
      </c>
      <c r="W37" s="602">
        <v>1</v>
      </c>
      <c r="X37" s="602">
        <v>1</v>
      </c>
      <c r="Y37" s="602">
        <v>1</v>
      </c>
      <c r="Z37" s="54" t="s">
        <v>710</v>
      </c>
      <c r="AA37" s="1191"/>
    </row>
    <row r="38" spans="1:27" ht="39.75" customHeight="1">
      <c r="A38" s="1159" t="s">
        <v>716</v>
      </c>
      <c r="B38" s="1160" t="s">
        <v>117</v>
      </c>
      <c r="C38" s="1161">
        <v>45899</v>
      </c>
      <c r="D38" s="1162" t="s">
        <v>717</v>
      </c>
      <c r="E38" s="1163">
        <v>45876</v>
      </c>
      <c r="F38" s="1164" t="s">
        <v>187</v>
      </c>
      <c r="G38" s="1165" t="s">
        <v>718</v>
      </c>
      <c r="H38" s="1166">
        <v>0</v>
      </c>
      <c r="I38" s="1167" t="s">
        <v>318</v>
      </c>
      <c r="J38" s="1166" t="s">
        <v>63</v>
      </c>
      <c r="K38" s="51" t="s">
        <v>52</v>
      </c>
      <c r="L38" s="376" t="s">
        <v>57</v>
      </c>
      <c r="M38" s="429">
        <v>1343</v>
      </c>
      <c r="N38" s="1169">
        <v>2310</v>
      </c>
      <c r="O38" s="376" t="s">
        <v>57</v>
      </c>
      <c r="P38" s="1054" t="s">
        <v>319</v>
      </c>
      <c r="Q38" s="124" t="s">
        <v>56</v>
      </c>
      <c r="R38" s="1036">
        <v>74</v>
      </c>
      <c r="S38" s="1168">
        <v>0</v>
      </c>
      <c r="T38" s="106">
        <v>0</v>
      </c>
      <c r="U38" s="877">
        <f>IFERROR(Table5[[#This Row],[Actual Redline Completed Footage UG]]/Table5[[#This Row],[Footage UG]], 0)</f>
        <v>0</v>
      </c>
      <c r="V38" s="946" t="s">
        <v>56</v>
      </c>
      <c r="W38" s="602">
        <v>0</v>
      </c>
      <c r="X38" s="602">
        <v>0</v>
      </c>
      <c r="Y38" s="602">
        <v>0</v>
      </c>
      <c r="Z38" s="124" t="s">
        <v>56</v>
      </c>
      <c r="AA38" s="975" t="s">
        <v>719</v>
      </c>
    </row>
    <row r="39" spans="1:27" ht="39.75" customHeight="1">
      <c r="A39" s="373" t="s">
        <v>720</v>
      </c>
      <c r="B39" s="1170" t="s">
        <v>117</v>
      </c>
      <c r="C39" s="972">
        <v>45899</v>
      </c>
      <c r="D39" s="945" t="s">
        <v>137</v>
      </c>
      <c r="E39" s="945">
        <v>45870</v>
      </c>
      <c r="F39" s="1171" t="s">
        <v>187</v>
      </c>
      <c r="G39" s="1034" t="s">
        <v>721</v>
      </c>
      <c r="H39" s="962">
        <v>0</v>
      </c>
      <c r="I39" s="962" t="s">
        <v>318</v>
      </c>
      <c r="J39" s="962" t="s">
        <v>63</v>
      </c>
      <c r="K39" s="945">
        <v>45870</v>
      </c>
      <c r="L39" s="962" t="s">
        <v>57</v>
      </c>
      <c r="M39" s="964">
        <v>49307.5</v>
      </c>
      <c r="N39" s="426">
        <v>47409</v>
      </c>
      <c r="O39" s="962" t="s">
        <v>57</v>
      </c>
      <c r="P39" s="1192" t="s">
        <v>319</v>
      </c>
      <c r="Q39" s="599">
        <v>45870</v>
      </c>
      <c r="R39" s="1172">
        <v>3914</v>
      </c>
      <c r="S39" s="1172">
        <v>3675</v>
      </c>
      <c r="T39" s="106">
        <v>0</v>
      </c>
      <c r="U39" s="877">
        <v>0.94</v>
      </c>
      <c r="V39" s="879">
        <v>45873</v>
      </c>
      <c r="W39" s="602">
        <v>1</v>
      </c>
      <c r="X39" s="602">
        <v>1</v>
      </c>
      <c r="Y39" s="602">
        <v>1</v>
      </c>
      <c r="Z39" s="54">
        <v>45916</v>
      </c>
      <c r="AA39" s="1173" t="s">
        <v>722</v>
      </c>
    </row>
    <row r="40" spans="1:27" ht="39.75" customHeight="1">
      <c r="A40" s="373" t="s">
        <v>723</v>
      </c>
      <c r="B40" s="374" t="s">
        <v>117</v>
      </c>
      <c r="C40" s="650">
        <v>45805</v>
      </c>
      <c r="D40" s="650" t="s">
        <v>137</v>
      </c>
      <c r="E40" s="650">
        <v>45695</v>
      </c>
      <c r="F40" s="650" t="s">
        <v>187</v>
      </c>
      <c r="G40" s="775" t="s">
        <v>724</v>
      </c>
      <c r="H40" s="376">
        <v>0</v>
      </c>
      <c r="I40" s="668" t="s">
        <v>318</v>
      </c>
      <c r="J40" s="376" t="s">
        <v>63</v>
      </c>
      <c r="K40" s="375">
        <v>45705</v>
      </c>
      <c r="L40" s="376" t="s">
        <v>57</v>
      </c>
      <c r="M40" s="429">
        <v>88491.8</v>
      </c>
      <c r="N40" s="426">
        <v>85791.25</v>
      </c>
      <c r="O40" s="376" t="s">
        <v>57</v>
      </c>
      <c r="P40" s="376" t="s">
        <v>319</v>
      </c>
      <c r="Q40" s="193">
        <v>45705</v>
      </c>
      <c r="R40" s="106">
        <v>7207</v>
      </c>
      <c r="S40" s="106">
        <v>6778</v>
      </c>
      <c r="T40" s="30">
        <v>0</v>
      </c>
      <c r="U40" s="663">
        <f>IFERROR(Table4[[#This Row],[Actual Redline Completed Footage UG]]/Table4[[#This Row],[Footage UG]], 0)</f>
        <v>0.94047453864298602</v>
      </c>
      <c r="V40" s="124">
        <v>45721</v>
      </c>
      <c r="W40" s="34">
        <v>1</v>
      </c>
      <c r="X40" s="34">
        <v>1</v>
      </c>
      <c r="Y40" s="34">
        <v>1</v>
      </c>
      <c r="Z40" s="356">
        <v>45898</v>
      </c>
      <c r="AA40" s="639" t="s">
        <v>725</v>
      </c>
    </row>
    <row r="41" spans="1:27" ht="39.75" customHeight="1">
      <c r="A41" s="1159" t="s">
        <v>726</v>
      </c>
      <c r="B41" s="1170" t="s">
        <v>117</v>
      </c>
      <c r="C41" s="972">
        <v>45899</v>
      </c>
      <c r="D41" s="945" t="s">
        <v>137</v>
      </c>
      <c r="E41" s="945">
        <v>45870</v>
      </c>
      <c r="F41" s="1171" t="s">
        <v>187</v>
      </c>
      <c r="G41" s="1034" t="s">
        <v>727</v>
      </c>
      <c r="H41" s="962">
        <v>0</v>
      </c>
      <c r="I41" s="962" t="s">
        <v>318</v>
      </c>
      <c r="J41" s="962" t="s">
        <v>63</v>
      </c>
      <c r="K41" s="945">
        <v>45870</v>
      </c>
      <c r="L41" s="962" t="s">
        <v>57</v>
      </c>
      <c r="M41" s="964">
        <v>12886.4</v>
      </c>
      <c r="N41" s="1169">
        <v>18418.349999999999</v>
      </c>
      <c r="O41" s="962" t="s">
        <v>57</v>
      </c>
      <c r="P41" s="1193" t="s">
        <v>319</v>
      </c>
      <c r="Q41" s="599">
        <v>45870</v>
      </c>
      <c r="R41" s="1172">
        <v>884</v>
      </c>
      <c r="S41" s="1172">
        <v>797</v>
      </c>
      <c r="T41" s="106">
        <v>0</v>
      </c>
      <c r="U41" s="877">
        <v>0.9</v>
      </c>
      <c r="V41" s="879">
        <v>45876</v>
      </c>
      <c r="W41" s="602">
        <v>1</v>
      </c>
      <c r="X41" s="602">
        <v>1</v>
      </c>
      <c r="Y41" s="602">
        <v>1</v>
      </c>
      <c r="Z41" s="54">
        <v>45916</v>
      </c>
      <c r="AA41" s="1173" t="s">
        <v>728</v>
      </c>
    </row>
    <row r="42" spans="1:27" ht="39.75" customHeight="1">
      <c r="A42" s="1159" t="s">
        <v>729</v>
      </c>
      <c r="B42" s="1183" t="s">
        <v>117</v>
      </c>
      <c r="C42" s="1161">
        <v>45930</v>
      </c>
      <c r="D42" s="1162" t="s">
        <v>72</v>
      </c>
      <c r="E42" s="1163">
        <v>45868</v>
      </c>
      <c r="F42" s="1183" t="s">
        <v>118</v>
      </c>
      <c r="G42" s="1165" t="s">
        <v>730</v>
      </c>
      <c r="H42" s="1166">
        <v>0</v>
      </c>
      <c r="I42" s="1166" t="s">
        <v>318</v>
      </c>
      <c r="J42" s="1166" t="s">
        <v>63</v>
      </c>
      <c r="K42" s="945">
        <v>45868</v>
      </c>
      <c r="L42" s="962" t="s">
        <v>57</v>
      </c>
      <c r="M42" s="964">
        <v>14179.65</v>
      </c>
      <c r="N42" s="1169">
        <v>15936.8</v>
      </c>
      <c r="O42" s="962" t="s">
        <v>57</v>
      </c>
      <c r="P42" s="1192" t="s">
        <v>319</v>
      </c>
      <c r="Q42" s="599">
        <v>45868</v>
      </c>
      <c r="R42" s="1172">
        <v>973</v>
      </c>
      <c r="S42" s="1172">
        <v>1060</v>
      </c>
      <c r="T42" s="30">
        <v>0</v>
      </c>
      <c r="U42" s="877">
        <v>1.0900000000000001</v>
      </c>
      <c r="V42" s="879">
        <v>45880</v>
      </c>
      <c r="W42" s="602">
        <v>1</v>
      </c>
      <c r="X42" s="602">
        <v>1</v>
      </c>
      <c r="Y42" s="602">
        <v>1</v>
      </c>
      <c r="Z42" s="599">
        <v>45926</v>
      </c>
      <c r="AA42" s="1173" t="s">
        <v>731</v>
      </c>
    </row>
    <row r="43" spans="1:27" ht="39.75" customHeight="1">
      <c r="A43" s="1159" t="s">
        <v>732</v>
      </c>
      <c r="B43" s="1162" t="s">
        <v>117</v>
      </c>
      <c r="C43" s="1161">
        <v>45930</v>
      </c>
      <c r="D43" s="1164" t="s">
        <v>72</v>
      </c>
      <c r="E43" s="1161">
        <v>45902</v>
      </c>
      <c r="F43" s="1162" t="s">
        <v>118</v>
      </c>
      <c r="G43" s="1179"/>
      <c r="H43" s="1180">
        <v>0</v>
      </c>
      <c r="I43" s="1180" t="s">
        <v>318</v>
      </c>
      <c r="J43" s="1180" t="s">
        <v>63</v>
      </c>
      <c r="K43" s="909">
        <v>45902</v>
      </c>
      <c r="L43" s="911" t="s">
        <v>57</v>
      </c>
      <c r="M43" s="1176">
        <v>3067.9</v>
      </c>
      <c r="N43" s="1169">
        <v>8729.7000000000007</v>
      </c>
      <c r="O43" s="911" t="s">
        <v>57</v>
      </c>
      <c r="P43" s="1039" t="s">
        <v>319</v>
      </c>
      <c r="Q43" s="599">
        <v>45902</v>
      </c>
      <c r="R43" s="1172">
        <v>662</v>
      </c>
      <c r="S43" s="1194">
        <v>662</v>
      </c>
      <c r="T43" s="1181">
        <v>0</v>
      </c>
      <c r="U43" s="877">
        <v>1</v>
      </c>
      <c r="V43" s="879">
        <v>45909</v>
      </c>
      <c r="W43" s="973">
        <v>1</v>
      </c>
      <c r="X43" s="973">
        <v>1</v>
      </c>
      <c r="Y43" s="973">
        <v>1</v>
      </c>
      <c r="Z43" s="599">
        <v>45926</v>
      </c>
      <c r="AA43" s="1182" t="s">
        <v>733</v>
      </c>
    </row>
    <row r="44" spans="1:27" ht="39.75" customHeight="1">
      <c r="A44" s="1174" t="s">
        <v>734</v>
      </c>
      <c r="B44" s="907" t="s">
        <v>117</v>
      </c>
      <c r="C44" s="989">
        <v>45868</v>
      </c>
      <c r="D44" s="909" t="s">
        <v>72</v>
      </c>
      <c r="E44" s="909">
        <v>45849</v>
      </c>
      <c r="F44" s="910" t="s">
        <v>118</v>
      </c>
      <c r="G44" s="1190" t="s">
        <v>735</v>
      </c>
      <c r="H44" s="911">
        <v>0</v>
      </c>
      <c r="I44" s="911" t="s">
        <v>318</v>
      </c>
      <c r="J44" s="911" t="s">
        <v>63</v>
      </c>
      <c r="K44" s="375">
        <v>45848</v>
      </c>
      <c r="L44" s="376" t="s">
        <v>57</v>
      </c>
      <c r="M44" s="429">
        <v>1206</v>
      </c>
      <c r="N44" s="426">
        <v>1195</v>
      </c>
      <c r="O44" s="376" t="s">
        <v>57</v>
      </c>
      <c r="P44" s="1054" t="s">
        <v>319</v>
      </c>
      <c r="Q44" s="599">
        <v>45848</v>
      </c>
      <c r="R44" s="1172">
        <v>90</v>
      </c>
      <c r="S44" s="1172">
        <v>90</v>
      </c>
      <c r="T44" s="30">
        <v>0</v>
      </c>
      <c r="U44" s="877">
        <v>1</v>
      </c>
      <c r="V44" s="879">
        <v>45854</v>
      </c>
      <c r="W44" s="602">
        <v>1</v>
      </c>
      <c r="X44" s="602">
        <v>1</v>
      </c>
      <c r="Y44" s="602">
        <v>1</v>
      </c>
      <c r="Z44" s="54">
        <v>45898</v>
      </c>
      <c r="AA44" s="1191" t="s">
        <v>736</v>
      </c>
    </row>
    <row r="45" spans="1:27" ht="39.75" customHeight="1">
      <c r="A45" s="1174" t="s">
        <v>737</v>
      </c>
      <c r="B45" s="907" t="s">
        <v>117</v>
      </c>
      <c r="C45" s="989">
        <v>45899</v>
      </c>
      <c r="D45" s="910" t="s">
        <v>72</v>
      </c>
      <c r="E45" s="910">
        <v>45882</v>
      </c>
      <c r="F45" s="907" t="s">
        <v>118</v>
      </c>
      <c r="G45" s="1175" t="s">
        <v>738</v>
      </c>
      <c r="H45" s="911">
        <v>0</v>
      </c>
      <c r="I45" s="912" t="s">
        <v>318</v>
      </c>
      <c r="J45" s="911" t="s">
        <v>63</v>
      </c>
      <c r="K45" s="909" t="s">
        <v>52</v>
      </c>
      <c r="L45" s="911" t="s">
        <v>57</v>
      </c>
      <c r="M45" s="1176">
        <v>18903.7</v>
      </c>
      <c r="N45" s="426">
        <v>7007.75</v>
      </c>
      <c r="O45" s="911" t="s">
        <v>57</v>
      </c>
      <c r="P45" s="1039" t="s">
        <v>319</v>
      </c>
      <c r="Q45" s="599">
        <v>45882</v>
      </c>
      <c r="R45" s="601">
        <v>575</v>
      </c>
      <c r="S45" s="601">
        <v>575</v>
      </c>
      <c r="T45" s="30">
        <v>0</v>
      </c>
      <c r="U45" s="877">
        <v>1</v>
      </c>
      <c r="V45" s="879">
        <v>45887</v>
      </c>
      <c r="W45" s="602">
        <v>1</v>
      </c>
      <c r="X45" s="602">
        <v>1</v>
      </c>
      <c r="Y45" s="602">
        <v>1</v>
      </c>
      <c r="Z45" s="124">
        <v>45926</v>
      </c>
      <c r="AA45" s="1178" t="s">
        <v>739</v>
      </c>
    </row>
    <row r="46" spans="1:27" ht="39.75" customHeight="1">
      <c r="A46" s="501" t="s">
        <v>740</v>
      </c>
      <c r="B46" s="489" t="s">
        <v>117</v>
      </c>
      <c r="C46" s="497">
        <v>45899</v>
      </c>
      <c r="D46" s="504" t="s">
        <v>72</v>
      </c>
      <c r="E46" s="497">
        <v>45806</v>
      </c>
      <c r="F46" s="489" t="s">
        <v>118</v>
      </c>
      <c r="G46" s="1033" t="s">
        <v>741</v>
      </c>
      <c r="H46" s="503">
        <v>0</v>
      </c>
      <c r="I46" s="940" t="s">
        <v>318</v>
      </c>
      <c r="J46" s="503" t="s">
        <v>63</v>
      </c>
      <c r="K46" s="504" t="s">
        <v>742</v>
      </c>
      <c r="L46" s="503" t="s">
        <v>57</v>
      </c>
      <c r="M46" s="897">
        <v>21888.65</v>
      </c>
      <c r="N46" s="426">
        <v>21950.85</v>
      </c>
      <c r="O46" s="503" t="s">
        <v>57</v>
      </c>
      <c r="P46" s="1101" t="s">
        <v>319</v>
      </c>
      <c r="Q46" s="124">
        <v>45824</v>
      </c>
      <c r="R46" s="106">
        <v>1669</v>
      </c>
      <c r="S46" s="647">
        <v>1701</v>
      </c>
      <c r="T46" s="30">
        <v>0</v>
      </c>
      <c r="U46" s="877">
        <v>1.02</v>
      </c>
      <c r="V46" s="679">
        <v>45833</v>
      </c>
      <c r="W46" s="355">
        <v>1</v>
      </c>
      <c r="X46" s="355">
        <v>1</v>
      </c>
      <c r="Y46" s="355">
        <v>1</v>
      </c>
      <c r="Z46" s="124">
        <v>45926</v>
      </c>
      <c r="AA46" s="515" t="s">
        <v>743</v>
      </c>
    </row>
    <row r="47" spans="1:27" ht="39.75" customHeight="1">
      <c r="A47" s="373" t="s">
        <v>744</v>
      </c>
      <c r="B47" s="50" t="s">
        <v>117</v>
      </c>
      <c r="C47" s="51">
        <v>45792</v>
      </c>
      <c r="D47" s="381" t="s">
        <v>137</v>
      </c>
      <c r="E47" s="381">
        <v>45695</v>
      </c>
      <c r="F47" s="381" t="s">
        <v>118</v>
      </c>
      <c r="G47" s="382" t="s">
        <v>745</v>
      </c>
      <c r="H47" s="52">
        <v>0</v>
      </c>
      <c r="I47" s="380" t="s">
        <v>319</v>
      </c>
      <c r="J47" s="52" t="s">
        <v>63</v>
      </c>
      <c r="K47" s="50" t="s">
        <v>319</v>
      </c>
      <c r="L47" s="52" t="s">
        <v>57</v>
      </c>
      <c r="M47" s="426">
        <v>3425.55</v>
      </c>
      <c r="N47" s="555">
        <v>7741.4</v>
      </c>
      <c r="O47" s="52" t="s">
        <v>57</v>
      </c>
      <c r="P47" s="52" t="s">
        <v>319</v>
      </c>
      <c r="Q47" s="195">
        <v>45689</v>
      </c>
      <c r="R47" s="30">
        <v>73</v>
      </c>
      <c r="S47" s="49">
        <v>73</v>
      </c>
      <c r="T47" s="83">
        <v>0</v>
      </c>
      <c r="U47" s="663">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50" t="s">
        <v>137</v>
      </c>
      <c r="E48" s="51">
        <v>45763</v>
      </c>
      <c r="F48" s="650" t="s">
        <v>187</v>
      </c>
      <c r="G48" s="574" t="s">
        <v>747</v>
      </c>
      <c r="H48" s="376">
        <v>0</v>
      </c>
      <c r="I48" s="668" t="s">
        <v>318</v>
      </c>
      <c r="J48" s="376" t="s">
        <v>63</v>
      </c>
      <c r="K48" s="374" t="s">
        <v>319</v>
      </c>
      <c r="L48" s="376" t="s">
        <v>57</v>
      </c>
      <c r="M48" s="429">
        <v>3707.3</v>
      </c>
      <c r="N48" s="426">
        <v>8209.69</v>
      </c>
      <c r="O48" s="376" t="s">
        <v>57</v>
      </c>
      <c r="P48" s="376" t="s">
        <v>319</v>
      </c>
      <c r="Q48" s="193">
        <v>45763</v>
      </c>
      <c r="R48" s="87">
        <v>143</v>
      </c>
      <c r="S48" s="87">
        <v>143</v>
      </c>
      <c r="T48" s="30">
        <v>0</v>
      </c>
      <c r="U48" s="663">
        <f>IFERROR(Table4[[#This Row],[Actual Redline Completed Footage UG]]/Table4[[#This Row],[Footage UG]], 0)</f>
        <v>1</v>
      </c>
      <c r="V48" s="54">
        <v>45768</v>
      </c>
      <c r="W48" s="34">
        <v>0</v>
      </c>
      <c r="X48" s="34">
        <v>0</v>
      </c>
      <c r="Y48" s="34">
        <v>1</v>
      </c>
      <c r="Z48" s="494">
        <v>45926</v>
      </c>
      <c r="AA48" s="639" t="s">
        <v>725</v>
      </c>
    </row>
    <row r="49" spans="1:27" ht="39.75" customHeight="1">
      <c r="A49" s="591" t="s">
        <v>748</v>
      </c>
      <c r="B49" s="50" t="s">
        <v>117</v>
      </c>
      <c r="C49" s="51">
        <v>45688</v>
      </c>
      <c r="D49" s="51" t="s">
        <v>665</v>
      </c>
      <c r="E49" s="51">
        <v>45682</v>
      </c>
      <c r="F49" s="659" t="s">
        <v>118</v>
      </c>
      <c r="G49" s="574" t="s">
        <v>749</v>
      </c>
      <c r="H49" s="52">
        <v>48</v>
      </c>
      <c r="I49" s="661" t="s">
        <v>616</v>
      </c>
      <c r="J49" s="52" t="s">
        <v>56</v>
      </c>
      <c r="K49" s="50" t="s">
        <v>319</v>
      </c>
      <c r="L49" s="52" t="s">
        <v>57</v>
      </c>
      <c r="M49" s="426">
        <v>21648.75</v>
      </c>
      <c r="N49" s="555">
        <v>35235</v>
      </c>
      <c r="O49" s="52" t="s">
        <v>57</v>
      </c>
      <c r="P49" s="52" t="s">
        <v>319</v>
      </c>
      <c r="Q49" s="195">
        <v>45678</v>
      </c>
      <c r="R49" s="31">
        <v>2264</v>
      </c>
      <c r="S49" s="75">
        <v>2163</v>
      </c>
      <c r="T49" s="83">
        <v>0</v>
      </c>
      <c r="U49" s="663">
        <f>IFERROR(Table4[[#This Row],[Actual Redline Completed Footage UG]]/Table4[[#This Row],[Footage UG]], 0)</f>
        <v>0.95538869257950532</v>
      </c>
      <c r="V49" s="54">
        <v>45681</v>
      </c>
      <c r="W49" s="34">
        <v>1</v>
      </c>
      <c r="X49" s="34">
        <v>1</v>
      </c>
      <c r="Y49" s="34">
        <v>1</v>
      </c>
      <c r="Z49" s="356">
        <v>45818</v>
      </c>
      <c r="AA49" s="43"/>
    </row>
    <row r="50" spans="1:27" ht="39.75" customHeight="1">
      <c r="A50" s="770" t="s">
        <v>750</v>
      </c>
      <c r="B50" s="772" t="s">
        <v>50</v>
      </c>
      <c r="C50" s="889">
        <v>45838</v>
      </c>
      <c r="D50" s="889" t="s">
        <v>141</v>
      </c>
      <c r="E50" s="889">
        <v>45818</v>
      </c>
      <c r="F50" s="895" t="s">
        <v>751</v>
      </c>
      <c r="G50" s="895" t="s">
        <v>752</v>
      </c>
      <c r="H50" s="793">
        <v>56</v>
      </c>
      <c r="I50" s="793" t="s">
        <v>318</v>
      </c>
      <c r="J50" s="793" t="s">
        <v>63</v>
      </c>
      <c r="K50" s="504">
        <v>45817</v>
      </c>
      <c r="L50" s="503" t="s">
        <v>57</v>
      </c>
      <c r="M50" s="897">
        <v>75953</v>
      </c>
      <c r="N50" s="971">
        <v>61562</v>
      </c>
      <c r="O50" s="503" t="s">
        <v>57</v>
      </c>
      <c r="P50" s="1353" t="s">
        <v>319</v>
      </c>
      <c r="Q50" s="471">
        <v>45817</v>
      </c>
      <c r="R50" s="472">
        <v>6005</v>
      </c>
      <c r="S50" s="472">
        <v>6044</v>
      </c>
      <c r="T50" s="42">
        <v>0</v>
      </c>
      <c r="U50" s="877">
        <v>1.01</v>
      </c>
      <c r="V50" s="653">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9" t="s">
        <v>755</v>
      </c>
      <c r="H51" s="52">
        <v>60</v>
      </c>
      <c r="I51" s="52" t="s">
        <v>318</v>
      </c>
      <c r="J51" s="52" t="s">
        <v>63</v>
      </c>
      <c r="K51" s="51">
        <v>45716</v>
      </c>
      <c r="L51" s="52" t="s">
        <v>57</v>
      </c>
      <c r="M51" s="426">
        <v>64727</v>
      </c>
      <c r="N51" s="555">
        <v>68203</v>
      </c>
      <c r="O51" s="52" t="s">
        <v>57</v>
      </c>
      <c r="P51" s="376" t="s">
        <v>319</v>
      </c>
      <c r="Q51" s="195">
        <v>45719</v>
      </c>
      <c r="R51" s="610">
        <v>5853</v>
      </c>
      <c r="S51" s="106">
        <v>5975</v>
      </c>
      <c r="T51" s="800">
        <v>0</v>
      </c>
      <c r="U51" s="864">
        <v>1.02</v>
      </c>
      <c r="V51" s="54">
        <v>45741</v>
      </c>
      <c r="W51" s="34">
        <v>1</v>
      </c>
      <c r="X51" s="34">
        <v>1</v>
      </c>
      <c r="Y51" s="34">
        <v>1</v>
      </c>
      <c r="Z51" s="494">
        <v>45868</v>
      </c>
      <c r="AA51" s="43"/>
    </row>
    <row r="52" spans="1:27" ht="39.75" customHeight="1">
      <c r="A52" s="373" t="s">
        <v>756</v>
      </c>
      <c r="B52" s="378" t="s">
        <v>50</v>
      </c>
      <c r="C52" s="51">
        <v>45807</v>
      </c>
      <c r="D52" s="50" t="s">
        <v>529</v>
      </c>
      <c r="E52" s="51">
        <v>45727</v>
      </c>
      <c r="F52" s="50" t="s">
        <v>757</v>
      </c>
      <c r="G52" s="589" t="s">
        <v>758</v>
      </c>
      <c r="H52" s="52">
        <v>80</v>
      </c>
      <c r="I52" s="52" t="s">
        <v>319</v>
      </c>
      <c r="J52" s="52" t="s">
        <v>63</v>
      </c>
      <c r="K52" s="51">
        <v>45728</v>
      </c>
      <c r="L52" s="52" t="s">
        <v>57</v>
      </c>
      <c r="M52" s="426">
        <v>88033.5</v>
      </c>
      <c r="N52" s="555">
        <v>88045.5</v>
      </c>
      <c r="O52" s="52" t="s">
        <v>57</v>
      </c>
      <c r="P52" s="52" t="s">
        <v>319</v>
      </c>
      <c r="Q52" s="679">
        <v>45727</v>
      </c>
      <c r="R52" s="41">
        <v>7442</v>
      </c>
      <c r="S52" s="41">
        <v>7447</v>
      </c>
      <c r="T52" s="352">
        <v>0</v>
      </c>
      <c r="U52" s="663">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9" t="s">
        <v>760</v>
      </c>
      <c r="H53" s="52">
        <v>90</v>
      </c>
      <c r="I53" s="52" t="s">
        <v>319</v>
      </c>
      <c r="J53" s="52" t="s">
        <v>63</v>
      </c>
      <c r="K53" s="51">
        <v>45728</v>
      </c>
      <c r="L53" s="52" t="s">
        <v>57</v>
      </c>
      <c r="M53" s="426">
        <v>82979.5</v>
      </c>
      <c r="N53" s="555">
        <v>78032</v>
      </c>
      <c r="O53" s="52" t="s">
        <v>57</v>
      </c>
      <c r="P53" s="376" t="s">
        <v>319</v>
      </c>
      <c r="Q53" s="195">
        <v>45728</v>
      </c>
      <c r="R53" s="31">
        <v>6524</v>
      </c>
      <c r="S53" s="106">
        <v>6492</v>
      </c>
      <c r="T53" s="657">
        <v>0</v>
      </c>
      <c r="U53" s="663">
        <f>IFERROR(Table4[[#This Row],[Actual Redline Completed Footage UG]]/Table4[[#This Row],[Footage UG]], 0)</f>
        <v>0.99509503372164321</v>
      </c>
      <c r="V53" s="54">
        <v>45740</v>
      </c>
      <c r="W53" s="34">
        <v>1</v>
      </c>
      <c r="X53" s="34">
        <v>1</v>
      </c>
      <c r="Y53" s="34">
        <v>1</v>
      </c>
      <c r="Z53" s="356">
        <v>45916</v>
      </c>
      <c r="AA53" s="1063" t="s">
        <v>761</v>
      </c>
    </row>
    <row r="54" spans="1:27" ht="39.75" customHeight="1">
      <c r="A54" s="373" t="s">
        <v>762</v>
      </c>
      <c r="B54" s="670" t="s">
        <v>50</v>
      </c>
      <c r="C54" s="51">
        <v>45742</v>
      </c>
      <c r="D54" s="50" t="s">
        <v>596</v>
      </c>
      <c r="E54" s="51">
        <v>45716</v>
      </c>
      <c r="F54" s="50" t="s">
        <v>763</v>
      </c>
      <c r="G54" s="669" t="s">
        <v>764</v>
      </c>
      <c r="H54" s="52">
        <v>87</v>
      </c>
      <c r="I54" s="52" t="s">
        <v>319</v>
      </c>
      <c r="J54" s="52" t="s">
        <v>63</v>
      </c>
      <c r="K54" s="51">
        <v>45716</v>
      </c>
      <c r="L54" s="52" t="s">
        <v>57</v>
      </c>
      <c r="M54" s="426">
        <v>74446</v>
      </c>
      <c r="N54" s="569">
        <v>73894</v>
      </c>
      <c r="O54" s="52" t="s">
        <v>57</v>
      </c>
      <c r="P54" s="376" t="s">
        <v>319</v>
      </c>
      <c r="Q54" s="195">
        <v>45723</v>
      </c>
      <c r="R54" s="610">
        <v>6149</v>
      </c>
      <c r="S54" s="106">
        <v>6362</v>
      </c>
      <c r="T54" s="30">
        <v>0</v>
      </c>
      <c r="U54" s="663">
        <f>IFERROR(Table4[[#This Row],[Actual Redline Completed Footage UG]]/Table4[[#This Row],[Footage UG]], 0)</f>
        <v>1.0346397788258253</v>
      </c>
      <c r="V54" s="54">
        <v>45733</v>
      </c>
      <c r="W54" s="22">
        <v>1</v>
      </c>
      <c r="X54" s="22">
        <v>1</v>
      </c>
      <c r="Y54" s="22">
        <v>1</v>
      </c>
      <c r="Z54" s="611">
        <v>45859</v>
      </c>
      <c r="AA54" s="43"/>
    </row>
    <row r="55" spans="1:27" ht="39.75" customHeight="1">
      <c r="A55" s="373" t="s">
        <v>765</v>
      </c>
      <c r="B55" s="378" t="s">
        <v>50</v>
      </c>
      <c r="C55" s="51">
        <v>45772</v>
      </c>
      <c r="D55" s="50" t="s">
        <v>137</v>
      </c>
      <c r="E55" s="51">
        <v>45716</v>
      </c>
      <c r="F55" s="50" t="s">
        <v>61</v>
      </c>
      <c r="G55" s="379" t="s">
        <v>766</v>
      </c>
      <c r="H55" s="52">
        <v>83</v>
      </c>
      <c r="I55" s="380" t="s">
        <v>319</v>
      </c>
      <c r="J55" s="52" t="s">
        <v>63</v>
      </c>
      <c r="K55" s="613">
        <v>45716</v>
      </c>
      <c r="L55" s="52" t="s">
        <v>57</v>
      </c>
      <c r="M55" s="675">
        <v>84935.5</v>
      </c>
      <c r="N55" s="570">
        <v>81445</v>
      </c>
      <c r="O55" s="52" t="s">
        <v>57</v>
      </c>
      <c r="P55" s="376" t="s">
        <v>319</v>
      </c>
      <c r="Q55" s="193">
        <v>45726</v>
      </c>
      <c r="R55" s="106">
        <v>7049</v>
      </c>
      <c r="S55" s="106">
        <v>7081</v>
      </c>
      <c r="T55" s="31">
        <v>0</v>
      </c>
      <c r="U55" s="663">
        <f>IFERROR(Table4[[#This Row],[Actual Redline Completed Footage UG]]/Table4[[#This Row],[Footage UG]], 0)</f>
        <v>1.0045396510143283</v>
      </c>
      <c r="V55" s="54">
        <v>45740</v>
      </c>
      <c r="W55" s="22">
        <v>1</v>
      </c>
      <c r="X55" s="22">
        <v>1</v>
      </c>
      <c r="Y55" s="22">
        <v>1</v>
      </c>
      <c r="Z55" s="356">
        <v>45770</v>
      </c>
      <c r="AA55" s="43"/>
    </row>
    <row r="56" spans="1:27" ht="39.75" customHeight="1">
      <c r="A56" s="676" t="s">
        <v>767</v>
      </c>
      <c r="B56" s="670" t="s">
        <v>50</v>
      </c>
      <c r="C56" s="51">
        <v>45772</v>
      </c>
      <c r="D56" s="51" t="s">
        <v>137</v>
      </c>
      <c r="E56" s="659">
        <v>45685</v>
      </c>
      <c r="F56" s="659" t="s">
        <v>61</v>
      </c>
      <c r="G56" s="660" t="s">
        <v>768</v>
      </c>
      <c r="H56" s="661">
        <v>76</v>
      </c>
      <c r="I56" s="668" t="s">
        <v>318</v>
      </c>
      <c r="J56" s="661" t="s">
        <v>63</v>
      </c>
      <c r="K56" s="659">
        <v>45692</v>
      </c>
      <c r="L56" s="661" t="s">
        <v>57</v>
      </c>
      <c r="M56" s="664">
        <v>90302</v>
      </c>
      <c r="N56" s="426">
        <v>98764.5</v>
      </c>
      <c r="O56" s="661" t="s">
        <v>57</v>
      </c>
      <c r="P56" s="376" t="s">
        <v>319</v>
      </c>
      <c r="Q56" s="196">
        <v>45694</v>
      </c>
      <c r="R56" s="891">
        <v>8420</v>
      </c>
      <c r="S56" s="1056">
        <v>8553</v>
      </c>
      <c r="T56" s="30">
        <v>0</v>
      </c>
      <c r="U56" s="663">
        <f>IFERROR(Table4[[#This Row],[Actual Redline Completed Footage UG]]/Table4[[#This Row],[Footage UG]], 0)</f>
        <v>1.0157957244655582</v>
      </c>
      <c r="V56" s="54">
        <v>45709</v>
      </c>
      <c r="W56" s="658">
        <v>1</v>
      </c>
      <c r="X56" s="658">
        <v>1</v>
      </c>
      <c r="Y56" s="658">
        <v>1</v>
      </c>
      <c r="Z56" s="54">
        <v>45867</v>
      </c>
      <c r="AA56" s="1062" t="s">
        <v>769</v>
      </c>
    </row>
    <row r="57" spans="1:27" ht="39.75" customHeight="1">
      <c r="A57" s="677" t="s">
        <v>770</v>
      </c>
      <c r="B57" s="378" t="s">
        <v>50</v>
      </c>
      <c r="C57" s="51">
        <v>45772</v>
      </c>
      <c r="D57" s="51" t="s">
        <v>596</v>
      </c>
      <c r="E57" s="659">
        <v>45695</v>
      </c>
      <c r="F57" s="50" t="s">
        <v>763</v>
      </c>
      <c r="G57" s="573" t="s">
        <v>604</v>
      </c>
      <c r="H57" s="380">
        <v>86</v>
      </c>
      <c r="I57" s="380" t="s">
        <v>318</v>
      </c>
      <c r="J57" s="380" t="s">
        <v>63</v>
      </c>
      <c r="K57" s="381">
        <v>45698</v>
      </c>
      <c r="L57" s="380" t="s">
        <v>57</v>
      </c>
      <c r="M57" s="641">
        <v>71361</v>
      </c>
      <c r="N57" s="555">
        <v>72125</v>
      </c>
      <c r="O57" s="380" t="s">
        <v>57</v>
      </c>
      <c r="P57" s="52" t="s">
        <v>319</v>
      </c>
      <c r="Q57" s="195">
        <v>45688</v>
      </c>
      <c r="R57" s="388">
        <v>6214</v>
      </c>
      <c r="S57" s="388">
        <v>6214</v>
      </c>
      <c r="T57" s="83">
        <v>0</v>
      </c>
      <c r="U57" s="663">
        <f>IFERROR(Table4[[#This Row],[Actual Redline Completed Footage UG]]/Table4[[#This Row],[Footage UG]], 0)</f>
        <v>1</v>
      </c>
      <c r="V57" s="54">
        <v>45708</v>
      </c>
      <c r="W57" s="22">
        <v>1</v>
      </c>
      <c r="X57" s="22">
        <v>1</v>
      </c>
      <c r="Y57" s="22">
        <v>1</v>
      </c>
      <c r="Z57" s="356">
        <v>45791</v>
      </c>
      <c r="AA57" s="43"/>
    </row>
    <row r="58" spans="1:27" ht="39.75" customHeight="1">
      <c r="A58" s="677" t="s">
        <v>771</v>
      </c>
      <c r="B58" s="378" t="s">
        <v>50</v>
      </c>
      <c r="C58" s="51">
        <v>45772</v>
      </c>
      <c r="D58" s="381" t="s">
        <v>141</v>
      </c>
      <c r="E58" s="381">
        <v>45686</v>
      </c>
      <c r="F58" s="381" t="s">
        <v>751</v>
      </c>
      <c r="G58" s="573" t="s">
        <v>772</v>
      </c>
      <c r="H58" s="380">
        <v>81</v>
      </c>
      <c r="I58" s="377" t="s">
        <v>318</v>
      </c>
      <c r="J58" s="380" t="s">
        <v>63</v>
      </c>
      <c r="K58" s="381">
        <v>45700</v>
      </c>
      <c r="L58" s="380" t="s">
        <v>57</v>
      </c>
      <c r="M58" s="641">
        <v>76139.5</v>
      </c>
      <c r="N58" s="569">
        <v>79581.5</v>
      </c>
      <c r="O58" s="380" t="s">
        <v>57</v>
      </c>
      <c r="P58" s="376" t="s">
        <v>319</v>
      </c>
      <c r="Q58" s="679">
        <v>45692</v>
      </c>
      <c r="R58" s="493">
        <v>6303</v>
      </c>
      <c r="S58" s="490">
        <v>6761</v>
      </c>
      <c r="T58" s="83">
        <v>0</v>
      </c>
      <c r="U58" s="663">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7" t="s">
        <v>774</v>
      </c>
      <c r="B59" s="378" t="s">
        <v>50</v>
      </c>
      <c r="C59" s="51">
        <v>45772</v>
      </c>
      <c r="D59" s="51" t="s">
        <v>137</v>
      </c>
      <c r="E59" s="381">
        <v>45685</v>
      </c>
      <c r="F59" s="50" t="s">
        <v>61</v>
      </c>
      <c r="G59" s="573" t="s">
        <v>775</v>
      </c>
      <c r="H59" s="380">
        <v>81</v>
      </c>
      <c r="I59" s="377" t="s">
        <v>318</v>
      </c>
      <c r="J59" s="380" t="s">
        <v>63</v>
      </c>
      <c r="K59" s="381">
        <v>45699</v>
      </c>
      <c r="L59" s="380" t="s">
        <v>57</v>
      </c>
      <c r="M59" s="641">
        <v>73583.5</v>
      </c>
      <c r="N59" s="555">
        <v>84066</v>
      </c>
      <c r="O59" s="771" t="s">
        <v>57</v>
      </c>
      <c r="P59" s="376" t="s">
        <v>319</v>
      </c>
      <c r="Q59" s="195">
        <v>45691</v>
      </c>
      <c r="R59" s="388">
        <v>6205</v>
      </c>
      <c r="S59" s="107">
        <v>6180</v>
      </c>
      <c r="T59" s="657">
        <v>0</v>
      </c>
      <c r="U59" s="864">
        <v>1</v>
      </c>
      <c r="V59" s="54">
        <v>45699</v>
      </c>
      <c r="W59" s="34">
        <v>1</v>
      </c>
      <c r="X59" s="34">
        <v>1</v>
      </c>
      <c r="Y59" s="34">
        <v>1</v>
      </c>
      <c r="Z59" s="356">
        <v>45916</v>
      </c>
      <c r="AA59" s="902" t="s">
        <v>776</v>
      </c>
    </row>
    <row r="60" spans="1:27" ht="39.75" customHeight="1">
      <c r="A60" s="373" t="s">
        <v>777</v>
      </c>
      <c r="B60" s="378" t="s">
        <v>50</v>
      </c>
      <c r="C60" s="381">
        <v>45688</v>
      </c>
      <c r="D60" s="381" t="s">
        <v>600</v>
      </c>
      <c r="E60" s="381">
        <v>45692</v>
      </c>
      <c r="F60" s="51" t="s">
        <v>757</v>
      </c>
      <c r="G60" s="573" t="s">
        <v>778</v>
      </c>
      <c r="H60" s="380">
        <v>90</v>
      </c>
      <c r="I60" s="380" t="s">
        <v>616</v>
      </c>
      <c r="J60" s="380" t="s">
        <v>63</v>
      </c>
      <c r="K60" s="50" t="s">
        <v>319</v>
      </c>
      <c r="L60" s="380" t="s">
        <v>57</v>
      </c>
      <c r="M60" s="641">
        <v>51958</v>
      </c>
      <c r="N60" s="555">
        <v>20330.259999999998</v>
      </c>
      <c r="O60" s="380" t="s">
        <v>57</v>
      </c>
      <c r="P60" s="52" t="s">
        <v>319</v>
      </c>
      <c r="Q60" s="195">
        <v>45694</v>
      </c>
      <c r="R60" s="388">
        <v>760</v>
      </c>
      <c r="S60" s="388">
        <v>708</v>
      </c>
      <c r="T60" s="83">
        <v>0</v>
      </c>
      <c r="U60" s="663">
        <f>IFERROR(Table4[[#This Row],[Actual Redline Completed Footage UG]]/Table4[[#This Row],[Footage UG]], 0)</f>
        <v>0.93157894736842106</v>
      </c>
      <c r="V60" s="54">
        <v>45729</v>
      </c>
      <c r="W60" s="22">
        <v>1</v>
      </c>
      <c r="X60" s="22">
        <v>1</v>
      </c>
      <c r="Y60" s="22">
        <v>1</v>
      </c>
      <c r="Z60" s="356">
        <v>45792</v>
      </c>
      <c r="AA60" s="69" t="s">
        <v>779</v>
      </c>
    </row>
    <row r="61" spans="1:27" ht="39.75" customHeight="1">
      <c r="A61" s="770" t="s">
        <v>780</v>
      </c>
      <c r="B61" s="790" t="s">
        <v>50</v>
      </c>
      <c r="C61" s="794">
        <v>45688</v>
      </c>
      <c r="D61" s="57" t="s">
        <v>781</v>
      </c>
      <c r="E61" s="794">
        <v>45685</v>
      </c>
      <c r="F61" s="794" t="s">
        <v>782</v>
      </c>
      <c r="G61" s="1024" t="s">
        <v>783</v>
      </c>
      <c r="H61" s="777">
        <v>86</v>
      </c>
      <c r="I61" s="792" t="s">
        <v>616</v>
      </c>
      <c r="J61" s="777" t="s">
        <v>63</v>
      </c>
      <c r="K61" s="497">
        <v>45677</v>
      </c>
      <c r="L61" s="963" t="s">
        <v>57</v>
      </c>
      <c r="M61" s="778">
        <v>78075.5</v>
      </c>
      <c r="N61" s="640">
        <v>75360</v>
      </c>
      <c r="O61" s="963" t="s">
        <v>57</v>
      </c>
      <c r="P61" s="1101" t="s">
        <v>319</v>
      </c>
      <c r="Q61" s="479">
        <v>45675</v>
      </c>
      <c r="R61" s="41">
        <v>6526</v>
      </c>
      <c r="S61" s="472">
        <v>6316</v>
      </c>
      <c r="T61" s="114">
        <v>0</v>
      </c>
      <c r="U61" s="811">
        <v>0.97</v>
      </c>
      <c r="V61" s="679">
        <v>45685</v>
      </c>
      <c r="W61" s="663">
        <v>1</v>
      </c>
      <c r="X61" s="663">
        <v>1</v>
      </c>
      <c r="Y61" s="817">
        <v>0</v>
      </c>
      <c r="Z61" s="471">
        <v>45894</v>
      </c>
      <c r="AA61" s="965"/>
    </row>
    <row r="62" spans="1:27" ht="39.75" customHeight="1">
      <c r="A62" s="373" t="s">
        <v>784</v>
      </c>
      <c r="B62" s="670" t="s">
        <v>50</v>
      </c>
      <c r="C62" s="659">
        <v>45688</v>
      </c>
      <c r="D62" s="659" t="s">
        <v>614</v>
      </c>
      <c r="E62" s="659">
        <v>45692</v>
      </c>
      <c r="F62" s="659" t="s">
        <v>239</v>
      </c>
      <c r="G62" s="660" t="s">
        <v>785</v>
      </c>
      <c r="H62" s="52">
        <v>86</v>
      </c>
      <c r="I62" s="661" t="s">
        <v>616</v>
      </c>
      <c r="J62" s="52" t="s">
        <v>63</v>
      </c>
      <c r="K62" s="374" t="s">
        <v>319</v>
      </c>
      <c r="L62" s="661" t="s">
        <v>57</v>
      </c>
      <c r="M62" s="426">
        <v>82480.5</v>
      </c>
      <c r="N62" s="426">
        <v>77870.5</v>
      </c>
      <c r="O62" s="661" t="s">
        <v>57</v>
      </c>
      <c r="P62" s="376" t="s">
        <v>319</v>
      </c>
      <c r="Q62" s="195">
        <v>45675</v>
      </c>
      <c r="R62" s="31">
        <v>6390</v>
      </c>
      <c r="S62" s="572">
        <v>6114</v>
      </c>
      <c r="T62" s="30">
        <v>0</v>
      </c>
      <c r="U62" s="663">
        <f>IFERROR(Table4[[#This Row],[Actual Redline Completed Footage UG]]/Table4[[#This Row],[Footage UG]], 0)</f>
        <v>0.95680751173708922</v>
      </c>
      <c r="V62" s="54">
        <v>45687</v>
      </c>
      <c r="W62" s="658">
        <v>1</v>
      </c>
      <c r="X62" s="658">
        <v>1</v>
      </c>
      <c r="Y62" s="658">
        <v>1</v>
      </c>
      <c r="Z62" s="356">
        <v>45882</v>
      </c>
      <c r="AA62" s="801" t="s">
        <v>786</v>
      </c>
    </row>
    <row r="63" spans="1:27" ht="39.75" customHeight="1">
      <c r="A63" s="1140" t="s">
        <v>787</v>
      </c>
      <c r="B63" s="1141" t="s">
        <v>50</v>
      </c>
      <c r="C63" s="910">
        <v>45688</v>
      </c>
      <c r="D63" s="910" t="s">
        <v>600</v>
      </c>
      <c r="E63" s="910">
        <v>45695</v>
      </c>
      <c r="F63" s="909" t="s">
        <v>61</v>
      </c>
      <c r="G63" s="1175" t="s">
        <v>788</v>
      </c>
      <c r="H63" s="911">
        <v>88</v>
      </c>
      <c r="I63" s="912" t="s">
        <v>616</v>
      </c>
      <c r="J63" s="911" t="s">
        <v>63</v>
      </c>
      <c r="K63" s="907" t="s">
        <v>319</v>
      </c>
      <c r="L63" s="912" t="s">
        <v>57</v>
      </c>
      <c r="M63" s="429">
        <v>43130</v>
      </c>
      <c r="N63" s="426">
        <v>43560</v>
      </c>
      <c r="O63" s="668" t="s">
        <v>57</v>
      </c>
      <c r="P63" s="1054" t="s">
        <v>319</v>
      </c>
      <c r="Q63" s="599">
        <v>45691</v>
      </c>
      <c r="R63" s="601">
        <v>2931</v>
      </c>
      <c r="S63" s="106">
        <v>3257</v>
      </c>
      <c r="T63" s="31">
        <v>0</v>
      </c>
      <c r="U63" s="1144">
        <v>1.1100000000000001</v>
      </c>
      <c r="V63" s="124">
        <v>45750</v>
      </c>
      <c r="W63" s="877">
        <v>1</v>
      </c>
      <c r="X63" s="877">
        <v>1</v>
      </c>
      <c r="Y63" s="658">
        <v>1</v>
      </c>
      <c r="Z63" s="54" t="s">
        <v>710</v>
      </c>
      <c r="AA63" s="1195" t="s">
        <v>789</v>
      </c>
    </row>
    <row r="64" spans="1:27" ht="39.75" customHeight="1">
      <c r="A64" s="1140" t="s">
        <v>790</v>
      </c>
      <c r="B64" s="993" t="s">
        <v>50</v>
      </c>
      <c r="C64" s="1142">
        <v>45688</v>
      </c>
      <c r="D64" s="989" t="s">
        <v>72</v>
      </c>
      <c r="E64" s="1142">
        <v>45686</v>
      </c>
      <c r="F64" s="1142" t="s">
        <v>61</v>
      </c>
      <c r="G64" s="1196" t="s">
        <v>791</v>
      </c>
      <c r="H64" s="980">
        <v>88</v>
      </c>
      <c r="I64" s="979" t="s">
        <v>616</v>
      </c>
      <c r="J64" s="980" t="s">
        <v>63</v>
      </c>
      <c r="K64" s="1197">
        <v>45706</v>
      </c>
      <c r="L64" s="979" t="s">
        <v>57</v>
      </c>
      <c r="M64" s="426">
        <v>69212.5</v>
      </c>
      <c r="N64" s="426">
        <v>70500</v>
      </c>
      <c r="O64" s="661" t="s">
        <v>57</v>
      </c>
      <c r="P64" s="1054" t="s">
        <v>319</v>
      </c>
      <c r="Q64" s="600">
        <v>45679</v>
      </c>
      <c r="R64" s="981">
        <v>5661</v>
      </c>
      <c r="S64" s="106">
        <v>5752</v>
      </c>
      <c r="T64" s="31">
        <v>0</v>
      </c>
      <c r="U64" s="1144">
        <v>1.02</v>
      </c>
      <c r="V64" s="54">
        <v>45681</v>
      </c>
      <c r="W64" s="658">
        <v>1</v>
      </c>
      <c r="X64" s="658">
        <v>1</v>
      </c>
      <c r="Y64" s="658">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318</v>
      </c>
      <c r="J65" s="376" t="s">
        <v>63</v>
      </c>
      <c r="K65" s="51">
        <v>45741</v>
      </c>
      <c r="L65" s="376" t="s">
        <v>57</v>
      </c>
      <c r="M65" s="426">
        <v>74508.5</v>
      </c>
      <c r="N65" s="555">
        <v>75008.5</v>
      </c>
      <c r="O65" s="376" t="s">
        <v>57</v>
      </c>
      <c r="P65" s="376" t="s">
        <v>319</v>
      </c>
      <c r="Q65" s="195">
        <v>45749</v>
      </c>
      <c r="R65" s="31">
        <v>5795</v>
      </c>
      <c r="S65" s="106">
        <v>5411</v>
      </c>
      <c r="T65" s="146">
        <v>0</v>
      </c>
      <c r="U65" s="663">
        <v>0.93</v>
      </c>
      <c r="V65" s="54">
        <v>45763</v>
      </c>
      <c r="W65" s="22">
        <v>1</v>
      </c>
      <c r="X65" s="22">
        <v>1</v>
      </c>
      <c r="Y65" s="22">
        <v>1</v>
      </c>
      <c r="Z65" s="54" t="s">
        <v>710</v>
      </c>
      <c r="AA65" s="807" t="s">
        <v>796</v>
      </c>
    </row>
    <row r="66" spans="1:27" ht="39.75" customHeight="1">
      <c r="A66" s="373" t="s">
        <v>797</v>
      </c>
      <c r="B66" s="378" t="s">
        <v>50</v>
      </c>
      <c r="C66" s="51">
        <v>45772</v>
      </c>
      <c r="D66" s="50" t="s">
        <v>798</v>
      </c>
      <c r="E66" s="51">
        <v>45743</v>
      </c>
      <c r="F66" s="50" t="s">
        <v>239</v>
      </c>
      <c r="G66" s="379" t="s">
        <v>799</v>
      </c>
      <c r="H66" s="52">
        <v>88</v>
      </c>
      <c r="I66" s="380" t="s">
        <v>318</v>
      </c>
      <c r="J66" s="52" t="s">
        <v>63</v>
      </c>
      <c r="K66" s="51">
        <v>45741</v>
      </c>
      <c r="L66" s="52" t="s">
        <v>57</v>
      </c>
      <c r="M66" s="426">
        <v>73070.5</v>
      </c>
      <c r="N66" s="555">
        <v>72678</v>
      </c>
      <c r="O66" s="52" t="s">
        <v>57</v>
      </c>
      <c r="P66" s="52" t="s">
        <v>319</v>
      </c>
      <c r="Q66" s="195">
        <v>45749</v>
      </c>
      <c r="R66" s="31">
        <v>6028</v>
      </c>
      <c r="S66" s="1041">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40" t="s">
        <v>800</v>
      </c>
      <c r="B67" s="993" t="s">
        <v>50</v>
      </c>
      <c r="C67" s="989">
        <v>45772</v>
      </c>
      <c r="D67" s="913" t="s">
        <v>610</v>
      </c>
      <c r="E67" s="989">
        <v>45743</v>
      </c>
      <c r="F67" s="913" t="s">
        <v>61</v>
      </c>
      <c r="G67" s="990" t="s">
        <v>801</v>
      </c>
      <c r="H67" s="980">
        <v>57</v>
      </c>
      <c r="I67" s="979" t="s">
        <v>318</v>
      </c>
      <c r="J67" s="911" t="s">
        <v>63</v>
      </c>
      <c r="K67" s="989">
        <v>45741</v>
      </c>
      <c r="L67" s="911" t="s">
        <v>57</v>
      </c>
      <c r="M67" s="426">
        <v>49071</v>
      </c>
      <c r="N67" s="426">
        <v>51376.61</v>
      </c>
      <c r="O67" s="376" t="s">
        <v>57</v>
      </c>
      <c r="P67" s="1054" t="s">
        <v>319</v>
      </c>
      <c r="Q67" s="599">
        <v>45745</v>
      </c>
      <c r="R67" s="601">
        <v>3967</v>
      </c>
      <c r="S67" s="106">
        <v>3936</v>
      </c>
      <c r="T67" s="31">
        <v>0</v>
      </c>
      <c r="U67" s="1144">
        <v>0.99</v>
      </c>
      <c r="V67" s="54">
        <v>45756</v>
      </c>
      <c r="W67" s="658">
        <v>1</v>
      </c>
      <c r="X67" s="658">
        <v>1</v>
      </c>
      <c r="Y67" s="658">
        <v>1</v>
      </c>
      <c r="Z67" s="54" t="s">
        <v>710</v>
      </c>
      <c r="AA67" s="807" t="s">
        <v>802</v>
      </c>
    </row>
    <row r="68" spans="1:27" ht="39.75" customHeight="1">
      <c r="A68" s="373" t="s">
        <v>803</v>
      </c>
      <c r="B68" s="670" t="s">
        <v>50</v>
      </c>
      <c r="C68" s="659">
        <v>45711</v>
      </c>
      <c r="D68" s="659" t="s">
        <v>614</v>
      </c>
      <c r="E68" s="659">
        <v>45691</v>
      </c>
      <c r="F68" s="659" t="s">
        <v>239</v>
      </c>
      <c r="G68" s="660" t="s">
        <v>804</v>
      </c>
      <c r="H68" s="52">
        <v>73</v>
      </c>
      <c r="I68" s="668" t="s">
        <v>616</v>
      </c>
      <c r="J68" s="52" t="s">
        <v>63</v>
      </c>
      <c r="K68" s="51">
        <v>45698</v>
      </c>
      <c r="L68" s="661" t="s">
        <v>57</v>
      </c>
      <c r="M68" s="426">
        <v>60575.5</v>
      </c>
      <c r="N68" s="555">
        <v>59352</v>
      </c>
      <c r="O68" s="661" t="s">
        <v>57</v>
      </c>
      <c r="P68" s="376" t="s">
        <v>319</v>
      </c>
      <c r="Q68" s="195">
        <v>45691</v>
      </c>
      <c r="R68" s="31">
        <v>4614</v>
      </c>
      <c r="S68" s="106">
        <v>4614</v>
      </c>
      <c r="T68" s="657">
        <v>0</v>
      </c>
      <c r="U68" s="663">
        <f>IFERROR(Table4[[#This Row],[Actual Redline Completed Footage UG]]/Table4[[#This Row],[Footage UG]], 0)</f>
        <v>1</v>
      </c>
      <c r="V68" s="54">
        <v>45706</v>
      </c>
      <c r="W68" s="658">
        <v>1</v>
      </c>
      <c r="X68" s="658">
        <v>1</v>
      </c>
      <c r="Y68" s="658">
        <v>1</v>
      </c>
      <c r="Z68" s="494">
        <v>45888</v>
      </c>
      <c r="AA68" s="69" t="s">
        <v>805</v>
      </c>
    </row>
    <row r="69" spans="1:27" ht="39.75" customHeight="1">
      <c r="A69" s="373" t="s">
        <v>806</v>
      </c>
      <c r="B69" s="378" t="s">
        <v>50</v>
      </c>
      <c r="C69" s="381">
        <v>45711</v>
      </c>
      <c r="D69" s="381" t="s">
        <v>798</v>
      </c>
      <c r="E69" s="381">
        <v>45707</v>
      </c>
      <c r="F69" s="381" t="s">
        <v>239</v>
      </c>
      <c r="G69" s="573" t="s">
        <v>807</v>
      </c>
      <c r="H69" s="52">
        <v>65</v>
      </c>
      <c r="I69" s="380" t="s">
        <v>616</v>
      </c>
      <c r="J69" s="52" t="s">
        <v>63</v>
      </c>
      <c r="K69" s="51">
        <v>45698</v>
      </c>
      <c r="L69" s="380" t="s">
        <v>57</v>
      </c>
      <c r="M69" s="426">
        <v>65001</v>
      </c>
      <c r="N69" s="570">
        <v>68269</v>
      </c>
      <c r="O69" s="380" t="s">
        <v>57</v>
      </c>
      <c r="P69" s="376" t="s">
        <v>319</v>
      </c>
      <c r="Q69" s="193">
        <v>45708</v>
      </c>
      <c r="R69" s="106">
        <v>5284</v>
      </c>
      <c r="S69" s="106">
        <v>5458</v>
      </c>
      <c r="T69" s="83">
        <v>0</v>
      </c>
      <c r="U69" s="663">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318</v>
      </c>
      <c r="J70" s="376" t="s">
        <v>63</v>
      </c>
      <c r="K70" s="51">
        <v>45741</v>
      </c>
      <c r="L70" s="376" t="s">
        <v>57</v>
      </c>
      <c r="M70" s="426">
        <v>62104</v>
      </c>
      <c r="N70" s="570">
        <v>64186</v>
      </c>
      <c r="O70" s="376" t="s">
        <v>57</v>
      </c>
      <c r="P70" s="376" t="s">
        <v>319</v>
      </c>
      <c r="Q70" s="193">
        <v>45744</v>
      </c>
      <c r="R70" s="106">
        <v>5210</v>
      </c>
      <c r="S70" s="106">
        <v>5139</v>
      </c>
      <c r="T70" s="146">
        <v>0</v>
      </c>
      <c r="U70" s="663">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70" t="s">
        <v>50</v>
      </c>
      <c r="C71" s="51">
        <v>45772</v>
      </c>
      <c r="D71" s="50" t="s">
        <v>596</v>
      </c>
      <c r="E71" s="51">
        <v>45743</v>
      </c>
      <c r="F71" s="50" t="s">
        <v>763</v>
      </c>
      <c r="G71" s="671" t="s">
        <v>811</v>
      </c>
      <c r="H71" s="52">
        <v>84</v>
      </c>
      <c r="I71" s="661" t="s">
        <v>318</v>
      </c>
      <c r="J71" s="376" t="s">
        <v>63</v>
      </c>
      <c r="K71" s="51">
        <v>45741</v>
      </c>
      <c r="L71" s="376" t="s">
        <v>57</v>
      </c>
      <c r="M71" s="426">
        <v>63756.5</v>
      </c>
      <c r="N71" s="570">
        <v>64902.5</v>
      </c>
      <c r="O71" s="376" t="s">
        <v>57</v>
      </c>
      <c r="P71" s="376" t="s">
        <v>319</v>
      </c>
      <c r="Q71" s="193">
        <v>45755</v>
      </c>
      <c r="R71" s="106">
        <v>5237</v>
      </c>
      <c r="S71" s="572">
        <v>5439</v>
      </c>
      <c r="T71" s="146">
        <v>0</v>
      </c>
      <c r="U71" s="663">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318</v>
      </c>
      <c r="J72" s="52" t="s">
        <v>63</v>
      </c>
      <c r="K72" s="51">
        <v>45741</v>
      </c>
      <c r="L72" s="52" t="s">
        <v>57</v>
      </c>
      <c r="M72" s="426">
        <v>67840.5</v>
      </c>
      <c r="N72" s="555">
        <v>66607.5</v>
      </c>
      <c r="O72" s="52" t="s">
        <v>57</v>
      </c>
      <c r="P72" s="52" t="s">
        <v>319</v>
      </c>
      <c r="Q72" s="195">
        <v>45747</v>
      </c>
      <c r="R72" s="31">
        <v>5601</v>
      </c>
      <c r="S72" s="75">
        <v>5628</v>
      </c>
      <c r="T72" s="83">
        <v>0</v>
      </c>
      <c r="U72" s="663">
        <f>IFERROR(Table4[[#This Row],[Actual Redline Completed Footage UG]]/Table4[[#This Row],[Footage UG]], 0)</f>
        <v>1.004820567755758</v>
      </c>
      <c r="V72" s="427">
        <v>45761</v>
      </c>
      <c r="W72" s="1050">
        <v>1</v>
      </c>
      <c r="X72" s="1050">
        <v>1</v>
      </c>
      <c r="Y72" s="1050">
        <v>1</v>
      </c>
      <c r="Z72" s="356">
        <v>45831</v>
      </c>
      <c r="AA72" s="43"/>
    </row>
    <row r="73" spans="1:27" ht="39.75" customHeight="1">
      <c r="A73" s="373" t="s">
        <v>814</v>
      </c>
      <c r="B73" s="378" t="s">
        <v>50</v>
      </c>
      <c r="C73" s="51">
        <v>45831</v>
      </c>
      <c r="D73" s="50" t="s">
        <v>798</v>
      </c>
      <c r="E73" s="51">
        <v>45761</v>
      </c>
      <c r="F73" s="50" t="s">
        <v>239</v>
      </c>
      <c r="G73" s="379" t="s">
        <v>815</v>
      </c>
      <c r="H73" s="52">
        <v>69</v>
      </c>
      <c r="I73" s="52" t="s">
        <v>318</v>
      </c>
      <c r="J73" s="52" t="s">
        <v>63</v>
      </c>
      <c r="K73" s="51">
        <v>45757</v>
      </c>
      <c r="L73" s="52" t="s">
        <v>57</v>
      </c>
      <c r="M73" s="426">
        <v>53906.75</v>
      </c>
      <c r="N73" s="555">
        <v>54578.5</v>
      </c>
      <c r="O73" s="52" t="s">
        <v>57</v>
      </c>
      <c r="P73" s="52" t="s">
        <v>319</v>
      </c>
      <c r="Q73" s="195">
        <v>45757</v>
      </c>
      <c r="R73" s="31">
        <v>4615</v>
      </c>
      <c r="S73" s="31">
        <v>4588</v>
      </c>
      <c r="T73" s="83">
        <v>0</v>
      </c>
      <c r="U73" s="663">
        <f>IFERROR(Table4[[#This Row],[Actual Redline Completed Footage UG]]/Table4[[#This Row],[Footage UG]], 0)</f>
        <v>0.99414951245937166</v>
      </c>
      <c r="V73" s="54">
        <v>45772</v>
      </c>
      <c r="W73" s="612">
        <v>1</v>
      </c>
      <c r="X73" s="612">
        <v>1</v>
      </c>
      <c r="Y73" s="612">
        <v>1</v>
      </c>
      <c r="Z73" s="356">
        <v>45824</v>
      </c>
      <c r="AA73" s="43"/>
    </row>
    <row r="74" spans="1:27" ht="39.75" customHeight="1">
      <c r="A74" s="373" t="s">
        <v>816</v>
      </c>
      <c r="B74" s="378" t="s">
        <v>50</v>
      </c>
      <c r="C74" s="375">
        <v>45831</v>
      </c>
      <c r="D74" s="374" t="s">
        <v>817</v>
      </c>
      <c r="E74" s="51">
        <v>45807</v>
      </c>
      <c r="F74" s="50" t="s">
        <v>61</v>
      </c>
      <c r="G74" s="574" t="s">
        <v>818</v>
      </c>
      <c r="H74" s="376">
        <v>50</v>
      </c>
      <c r="I74" s="376" t="s">
        <v>318</v>
      </c>
      <c r="J74" s="376" t="s">
        <v>63</v>
      </c>
      <c r="K74" s="375">
        <v>45757</v>
      </c>
      <c r="L74" s="376" t="s">
        <v>57</v>
      </c>
      <c r="M74" s="429">
        <v>47432.5</v>
      </c>
      <c r="N74" s="555">
        <v>54385.09</v>
      </c>
      <c r="O74" s="376" t="s">
        <v>57</v>
      </c>
      <c r="P74" s="376" t="s">
        <v>319</v>
      </c>
      <c r="Q74" s="193">
        <v>45757</v>
      </c>
      <c r="R74" s="106">
        <v>3932</v>
      </c>
      <c r="S74" s="572">
        <v>4034</v>
      </c>
      <c r="T74" s="83">
        <v>0</v>
      </c>
      <c r="U74" s="663">
        <f>IFERROR(Table4[[#This Row],[Actual Redline Completed Footage UG]]/Table4[[#This Row],[Footage UG]], 0)</f>
        <v>1.0259409969481179</v>
      </c>
      <c r="V74" s="54">
        <v>45771</v>
      </c>
      <c r="W74" s="34">
        <v>0</v>
      </c>
      <c r="X74" s="34">
        <v>0</v>
      </c>
      <c r="Y74" s="34">
        <v>0</v>
      </c>
      <c r="Z74" s="593">
        <v>45849</v>
      </c>
      <c r="AA74" s="594" t="s">
        <v>819</v>
      </c>
    </row>
    <row r="75" spans="1:27" ht="39.75" customHeight="1">
      <c r="A75" s="373" t="s">
        <v>820</v>
      </c>
      <c r="B75" s="378" t="s">
        <v>50</v>
      </c>
      <c r="C75" s="51">
        <v>45831</v>
      </c>
      <c r="D75" s="50" t="s">
        <v>141</v>
      </c>
      <c r="E75" s="51">
        <v>45761</v>
      </c>
      <c r="F75" s="50" t="s">
        <v>751</v>
      </c>
      <c r="G75" s="50" t="s">
        <v>821</v>
      </c>
      <c r="H75" s="52">
        <v>76</v>
      </c>
      <c r="I75" s="52" t="s">
        <v>319</v>
      </c>
      <c r="J75" s="52" t="s">
        <v>63</v>
      </c>
      <c r="K75" s="51">
        <v>45757</v>
      </c>
      <c r="L75" s="52" t="s">
        <v>57</v>
      </c>
      <c r="M75" s="426">
        <v>62383</v>
      </c>
      <c r="N75" s="555">
        <v>61939</v>
      </c>
      <c r="O75" s="52" t="s">
        <v>57</v>
      </c>
      <c r="P75" s="52" t="s">
        <v>319</v>
      </c>
      <c r="Q75" s="680">
        <v>45757</v>
      </c>
      <c r="R75" s="557">
        <v>5164</v>
      </c>
      <c r="S75" s="75">
        <v>5164</v>
      </c>
      <c r="T75" s="83">
        <v>0</v>
      </c>
      <c r="U75" s="663">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319</v>
      </c>
      <c r="J76" s="376" t="s">
        <v>63</v>
      </c>
      <c r="K76" s="375">
        <v>45757</v>
      </c>
      <c r="L76" s="376" t="s">
        <v>57</v>
      </c>
      <c r="M76" s="429">
        <v>80443.5</v>
      </c>
      <c r="N76" s="555">
        <v>81941</v>
      </c>
      <c r="O76" s="376" t="s">
        <v>57</v>
      </c>
      <c r="P76" s="376" t="s">
        <v>319</v>
      </c>
      <c r="Q76" s="193">
        <v>45757</v>
      </c>
      <c r="R76" s="106">
        <v>6617</v>
      </c>
      <c r="S76" s="572">
        <v>6743</v>
      </c>
      <c r="T76" s="83">
        <v>0</v>
      </c>
      <c r="U76" s="663">
        <f>IFERROR(Table4[[#This Row],[Actual Redline Completed Footage UG]]/Table4[[#This Row],[Footage UG]], 0)</f>
        <v>1.0190418618709385</v>
      </c>
      <c r="V76" s="54">
        <v>45771</v>
      </c>
      <c r="W76" s="92">
        <v>0</v>
      </c>
      <c r="X76" s="92">
        <v>0</v>
      </c>
      <c r="Y76" s="92">
        <v>0</v>
      </c>
      <c r="Z76" s="593">
        <v>45849</v>
      </c>
      <c r="AA76" s="157" t="s">
        <v>825</v>
      </c>
    </row>
    <row r="77" spans="1:27" ht="39.75" customHeight="1">
      <c r="A77" s="373" t="s">
        <v>826</v>
      </c>
      <c r="B77" s="670" t="s">
        <v>50</v>
      </c>
      <c r="C77" s="375">
        <v>45831</v>
      </c>
      <c r="D77" s="51" t="s">
        <v>817</v>
      </c>
      <c r="E77" s="51">
        <v>45807</v>
      </c>
      <c r="F77" s="374" t="s">
        <v>61</v>
      </c>
      <c r="G77" s="374" t="s">
        <v>827</v>
      </c>
      <c r="H77" s="376">
        <v>86</v>
      </c>
      <c r="I77" s="376" t="s">
        <v>318</v>
      </c>
      <c r="J77" s="376" t="s">
        <v>63</v>
      </c>
      <c r="K77" s="375">
        <v>45757</v>
      </c>
      <c r="L77" s="376" t="s">
        <v>57</v>
      </c>
      <c r="M77" s="429">
        <v>68736.5</v>
      </c>
      <c r="N77" s="555">
        <v>68249</v>
      </c>
      <c r="O77" s="376" t="s">
        <v>57</v>
      </c>
      <c r="P77" s="376" t="s">
        <v>319</v>
      </c>
      <c r="Q77" s="798">
        <v>45756</v>
      </c>
      <c r="R77" s="799">
        <v>5939</v>
      </c>
      <c r="S77" s="572">
        <v>5791</v>
      </c>
      <c r="T77" s="83">
        <v>0</v>
      </c>
      <c r="U77" s="663">
        <f>IFERROR(Table4[[#This Row],[Actual Redline Completed Footage UG]]/Table4[[#This Row],[Footage UG]], 0)</f>
        <v>0.97507997979457817</v>
      </c>
      <c r="V77" s="54">
        <v>45768</v>
      </c>
      <c r="W77" s="34">
        <v>0</v>
      </c>
      <c r="X77" s="34">
        <v>0</v>
      </c>
      <c r="Y77" s="34">
        <v>0</v>
      </c>
      <c r="Z77" s="593">
        <v>45849</v>
      </c>
      <c r="AA77" s="157" t="s">
        <v>825</v>
      </c>
    </row>
    <row r="78" spans="1:27" ht="39.75" customHeight="1">
      <c r="A78" s="373" t="s">
        <v>828</v>
      </c>
      <c r="B78" s="378" t="s">
        <v>50</v>
      </c>
      <c r="C78" s="51">
        <v>45772</v>
      </c>
      <c r="D78" s="50" t="s">
        <v>141</v>
      </c>
      <c r="E78" s="51">
        <v>45743</v>
      </c>
      <c r="F78" s="50" t="s">
        <v>751</v>
      </c>
      <c r="G78" s="379" t="s">
        <v>829</v>
      </c>
      <c r="H78" s="52">
        <v>84</v>
      </c>
      <c r="I78" s="661" t="s">
        <v>318</v>
      </c>
      <c r="J78" s="376" t="s">
        <v>63</v>
      </c>
      <c r="K78" s="51">
        <v>45741</v>
      </c>
      <c r="L78" s="376" t="s">
        <v>57</v>
      </c>
      <c r="M78" s="426">
        <v>73491.5</v>
      </c>
      <c r="N78" s="569">
        <v>202651</v>
      </c>
      <c r="O78" s="376" t="s">
        <v>57</v>
      </c>
      <c r="P78" s="376" t="s">
        <v>319</v>
      </c>
      <c r="Q78" s="195">
        <v>45748</v>
      </c>
      <c r="R78" s="31">
        <v>5390</v>
      </c>
      <c r="S78" s="572">
        <v>5327</v>
      </c>
      <c r="T78" s="146">
        <v>0</v>
      </c>
      <c r="U78" s="663">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318</v>
      </c>
      <c r="J79" s="376" t="s">
        <v>63</v>
      </c>
      <c r="K79" s="375">
        <v>45757</v>
      </c>
      <c r="L79" s="393" t="s">
        <v>57</v>
      </c>
      <c r="M79" s="429">
        <v>78331</v>
      </c>
      <c r="N79" s="426">
        <v>82072.25</v>
      </c>
      <c r="O79" s="376" t="s">
        <v>57</v>
      </c>
      <c r="P79" s="437" t="s">
        <v>319</v>
      </c>
      <c r="Q79" s="471">
        <v>45757</v>
      </c>
      <c r="R79" s="472">
        <v>6334</v>
      </c>
      <c r="S79" s="472">
        <v>6228</v>
      </c>
      <c r="T79" s="42">
        <v>0</v>
      </c>
      <c r="U79" s="885">
        <v>0.98</v>
      </c>
      <c r="V79" s="679">
        <v>45769</v>
      </c>
      <c r="W79" s="355">
        <v>1</v>
      </c>
      <c r="X79" s="355">
        <v>1</v>
      </c>
      <c r="Y79" s="355">
        <v>1</v>
      </c>
      <c r="Z79" s="479">
        <v>45917</v>
      </c>
      <c r="AA79" s="1040" t="s">
        <v>631</v>
      </c>
    </row>
    <row r="80" spans="1:27" ht="39.75" customHeight="1">
      <c r="A80" s="373" t="s">
        <v>832</v>
      </c>
      <c r="B80" s="670" t="s">
        <v>50</v>
      </c>
      <c r="C80" s="51">
        <v>45772</v>
      </c>
      <c r="D80" s="50" t="s">
        <v>137</v>
      </c>
      <c r="E80" s="51">
        <v>45743</v>
      </c>
      <c r="F80" s="50" t="s">
        <v>61</v>
      </c>
      <c r="G80" s="671" t="s">
        <v>833</v>
      </c>
      <c r="H80" s="52">
        <v>81</v>
      </c>
      <c r="I80" s="661" t="s">
        <v>318</v>
      </c>
      <c r="J80" s="376" t="s">
        <v>63</v>
      </c>
      <c r="K80" s="51">
        <v>45741</v>
      </c>
      <c r="L80" s="376" t="s">
        <v>57</v>
      </c>
      <c r="M80" s="426">
        <v>74961</v>
      </c>
      <c r="N80" s="426">
        <v>77123</v>
      </c>
      <c r="O80" s="376" t="s">
        <v>57</v>
      </c>
      <c r="P80" s="376" t="s">
        <v>319</v>
      </c>
      <c r="Q80" s="195">
        <v>45747</v>
      </c>
      <c r="R80" s="31">
        <v>6327</v>
      </c>
      <c r="S80" s="572">
        <v>6414</v>
      </c>
      <c r="T80" s="30">
        <v>0</v>
      </c>
      <c r="U80" s="663">
        <f>IFERROR(Table4[[#This Row],[Actual Redline Completed Footage UG]]/Table4[[#This Row],[Footage UG]], 0)</f>
        <v>1.0137505926979611</v>
      </c>
      <c r="V80" s="54">
        <v>45761</v>
      </c>
      <c r="W80" s="658">
        <v>1</v>
      </c>
      <c r="X80" s="658">
        <v>1</v>
      </c>
      <c r="Y80" s="658">
        <v>1</v>
      </c>
      <c r="Z80" s="820">
        <v>45894</v>
      </c>
      <c r="AA80" s="157" t="s">
        <v>825</v>
      </c>
    </row>
    <row r="81" spans="1:27" ht="39.75" customHeight="1">
      <c r="A81" s="373" t="s">
        <v>834</v>
      </c>
      <c r="B81" s="378" t="s">
        <v>50</v>
      </c>
      <c r="C81" s="51">
        <v>45772</v>
      </c>
      <c r="D81" s="50" t="s">
        <v>141</v>
      </c>
      <c r="E81" s="51">
        <v>45743</v>
      </c>
      <c r="F81" s="50" t="s">
        <v>751</v>
      </c>
      <c r="G81" s="379" t="s">
        <v>835</v>
      </c>
      <c r="H81" s="52">
        <v>80</v>
      </c>
      <c r="I81" s="380" t="s">
        <v>318</v>
      </c>
      <c r="J81" s="376" t="s">
        <v>63</v>
      </c>
      <c r="K81" s="51">
        <v>45741</v>
      </c>
      <c r="L81" s="376" t="s">
        <v>57</v>
      </c>
      <c r="M81" s="426">
        <v>70235</v>
      </c>
      <c r="N81" s="569">
        <v>134171.5</v>
      </c>
      <c r="O81" s="376" t="s">
        <v>57</v>
      </c>
      <c r="P81" s="376" t="s">
        <v>319</v>
      </c>
      <c r="Q81" s="195">
        <v>45745</v>
      </c>
      <c r="R81" s="31">
        <v>5585</v>
      </c>
      <c r="S81" s="106">
        <v>5566</v>
      </c>
      <c r="T81" s="146">
        <v>0</v>
      </c>
      <c r="U81" s="663">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70" t="s">
        <v>50</v>
      </c>
      <c r="C82" s="659">
        <v>45688</v>
      </c>
      <c r="D82" s="51" t="s">
        <v>596</v>
      </c>
      <c r="E82" s="659">
        <v>45684</v>
      </c>
      <c r="F82" s="50" t="s">
        <v>763</v>
      </c>
      <c r="G82" s="660" t="s">
        <v>837</v>
      </c>
      <c r="H82" s="52">
        <v>90</v>
      </c>
      <c r="I82" s="661" t="s">
        <v>616</v>
      </c>
      <c r="J82" s="52" t="s">
        <v>63</v>
      </c>
      <c r="K82" s="50" t="s">
        <v>319</v>
      </c>
      <c r="L82" s="661" t="s">
        <v>57</v>
      </c>
      <c r="M82" s="426">
        <v>60625.5</v>
      </c>
      <c r="N82" s="555">
        <v>59084</v>
      </c>
      <c r="O82" s="661" t="s">
        <v>57</v>
      </c>
      <c r="P82" s="52" t="s">
        <v>319</v>
      </c>
      <c r="Q82" s="195">
        <v>45679</v>
      </c>
      <c r="R82" s="31">
        <v>5038</v>
      </c>
      <c r="S82" s="75">
        <v>4909</v>
      </c>
      <c r="T82" s="83">
        <v>0</v>
      </c>
      <c r="U82" s="663">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70" t="s">
        <v>50</v>
      </c>
      <c r="C83" s="51">
        <v>45772</v>
      </c>
      <c r="D83" s="50" t="s">
        <v>600</v>
      </c>
      <c r="E83" s="51">
        <v>45716</v>
      </c>
      <c r="F83" s="50" t="s">
        <v>757</v>
      </c>
      <c r="G83" s="671" t="s">
        <v>839</v>
      </c>
      <c r="H83" s="52">
        <v>86</v>
      </c>
      <c r="I83" s="661" t="s">
        <v>318</v>
      </c>
      <c r="J83" s="52" t="s">
        <v>63</v>
      </c>
      <c r="K83" s="51">
        <v>45721</v>
      </c>
      <c r="L83" s="52" t="s">
        <v>57</v>
      </c>
      <c r="M83" s="592">
        <v>79507</v>
      </c>
      <c r="N83" s="555">
        <v>86709.5</v>
      </c>
      <c r="O83" s="52" t="s">
        <v>57</v>
      </c>
      <c r="P83" s="52" t="s">
        <v>319</v>
      </c>
      <c r="Q83" s="680">
        <v>45720</v>
      </c>
      <c r="R83" s="557">
        <v>6756</v>
      </c>
      <c r="S83" s="75">
        <v>6667</v>
      </c>
      <c r="T83" s="31">
        <v>0</v>
      </c>
      <c r="U83" s="663">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70" t="s">
        <v>50</v>
      </c>
      <c r="C84" s="51">
        <v>45711</v>
      </c>
      <c r="D84" s="659" t="s">
        <v>141</v>
      </c>
      <c r="E84" s="659">
        <v>45686</v>
      </c>
      <c r="F84" s="659" t="s">
        <v>751</v>
      </c>
      <c r="G84" s="660" t="s">
        <v>841</v>
      </c>
      <c r="H84" s="52">
        <v>90</v>
      </c>
      <c r="I84" s="668" t="s">
        <v>616</v>
      </c>
      <c r="J84" s="52" t="s">
        <v>63</v>
      </c>
      <c r="K84" s="51">
        <v>45700</v>
      </c>
      <c r="L84" s="661" t="s">
        <v>57</v>
      </c>
      <c r="M84" s="426">
        <v>77320</v>
      </c>
      <c r="N84" s="426">
        <v>75804</v>
      </c>
      <c r="O84" s="661" t="s">
        <v>57</v>
      </c>
      <c r="P84" s="376" t="s">
        <v>319</v>
      </c>
      <c r="Q84" s="797">
        <v>45706</v>
      </c>
      <c r="R84" s="31">
        <v>6041</v>
      </c>
      <c r="S84" s="1058">
        <v>6024</v>
      </c>
      <c r="T84" s="30">
        <v>0</v>
      </c>
      <c r="U84" s="663">
        <f>IFERROR(Table4[[#This Row],[Actual Redline Completed Footage UG]]/Table4[[#This Row],[Footage UG]], 0)</f>
        <v>0.9971858963747724</v>
      </c>
      <c r="V84" s="556">
        <v>45714</v>
      </c>
      <c r="W84" s="658">
        <v>1</v>
      </c>
      <c r="X84" s="34">
        <v>1</v>
      </c>
      <c r="Y84" s="34">
        <v>1</v>
      </c>
      <c r="Z84" s="820">
        <v>45894</v>
      </c>
      <c r="AA84" s="1064" t="s">
        <v>842</v>
      </c>
    </row>
    <row r="85" spans="1:27" ht="39.75" customHeight="1">
      <c r="A85" s="373" t="s">
        <v>843</v>
      </c>
      <c r="B85" s="378" t="s">
        <v>50</v>
      </c>
      <c r="C85" s="51">
        <v>45772</v>
      </c>
      <c r="D85" s="50" t="s">
        <v>141</v>
      </c>
      <c r="E85" s="51">
        <v>45716</v>
      </c>
      <c r="F85" s="50" t="s">
        <v>751</v>
      </c>
      <c r="G85" s="379" t="s">
        <v>844</v>
      </c>
      <c r="H85" s="52">
        <v>82</v>
      </c>
      <c r="I85" s="380" t="s">
        <v>318</v>
      </c>
      <c r="J85" s="52" t="s">
        <v>63</v>
      </c>
      <c r="K85" s="51">
        <v>45716</v>
      </c>
      <c r="L85" s="52" t="s">
        <v>57</v>
      </c>
      <c r="M85" s="426">
        <v>64609</v>
      </c>
      <c r="N85" s="569">
        <v>76965</v>
      </c>
      <c r="O85" s="52" t="s">
        <v>57</v>
      </c>
      <c r="P85" s="376" t="s">
        <v>319</v>
      </c>
      <c r="Q85" s="195">
        <v>45720</v>
      </c>
      <c r="R85" s="31">
        <v>5327</v>
      </c>
      <c r="S85" s="572">
        <v>5450</v>
      </c>
      <c r="T85" s="31">
        <v>0</v>
      </c>
      <c r="U85" s="663">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239</v>
      </c>
      <c r="G86" s="382" t="s">
        <v>847</v>
      </c>
      <c r="H86" s="52">
        <v>64</v>
      </c>
      <c r="I86" s="380" t="s">
        <v>318</v>
      </c>
      <c r="J86" s="52" t="s">
        <v>63</v>
      </c>
      <c r="K86" s="51">
        <v>45701</v>
      </c>
      <c r="L86" s="380" t="s">
        <v>57</v>
      </c>
      <c r="M86" s="426">
        <v>48609</v>
      </c>
      <c r="N86" s="555">
        <v>48682.5</v>
      </c>
      <c r="O86" s="771" t="s">
        <v>57</v>
      </c>
      <c r="P86" s="376" t="s">
        <v>319</v>
      </c>
      <c r="Q86" s="681">
        <v>45698</v>
      </c>
      <c r="R86" s="558">
        <v>4035</v>
      </c>
      <c r="S86" s="106">
        <v>4045</v>
      </c>
      <c r="T86" s="657">
        <v>0</v>
      </c>
      <c r="U86" s="864">
        <v>1</v>
      </c>
      <c r="V86" s="54">
        <v>45709</v>
      </c>
      <c r="W86" s="34">
        <v>1</v>
      </c>
      <c r="X86" s="34">
        <v>1</v>
      </c>
      <c r="Y86" s="34">
        <v>1</v>
      </c>
      <c r="Z86" s="356">
        <v>45894</v>
      </c>
      <c r="AA86" s="43" t="s">
        <v>848</v>
      </c>
    </row>
    <row r="87" spans="1:27" ht="39.75" customHeight="1">
      <c r="A87" s="373" t="s">
        <v>849</v>
      </c>
      <c r="B87" s="670" t="s">
        <v>50</v>
      </c>
      <c r="C87" s="51">
        <v>45772</v>
      </c>
      <c r="D87" s="659" t="s">
        <v>600</v>
      </c>
      <c r="E87" s="659">
        <v>45692</v>
      </c>
      <c r="F87" s="659" t="s">
        <v>757</v>
      </c>
      <c r="G87" s="660" t="s">
        <v>850</v>
      </c>
      <c r="H87" s="52">
        <v>59</v>
      </c>
      <c r="I87" s="661" t="s">
        <v>318</v>
      </c>
      <c r="J87" s="52" t="s">
        <v>63</v>
      </c>
      <c r="K87" s="51">
        <v>45698</v>
      </c>
      <c r="L87" s="661" t="s">
        <v>57</v>
      </c>
      <c r="M87" s="426">
        <v>52222</v>
      </c>
      <c r="N87" s="555">
        <v>51838</v>
      </c>
      <c r="O87" s="661" t="s">
        <v>57</v>
      </c>
      <c r="P87" s="52" t="s">
        <v>319</v>
      </c>
      <c r="Q87" s="195">
        <v>45691</v>
      </c>
      <c r="R87" s="31">
        <v>4772</v>
      </c>
      <c r="S87" s="75">
        <v>4329</v>
      </c>
      <c r="T87" s="83">
        <v>0</v>
      </c>
      <c r="U87" s="663">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70" t="s">
        <v>50</v>
      </c>
      <c r="C88" s="51">
        <v>45772</v>
      </c>
      <c r="D88" s="51" t="s">
        <v>596</v>
      </c>
      <c r="E88" s="659">
        <v>45686</v>
      </c>
      <c r="F88" s="50" t="s">
        <v>763</v>
      </c>
      <c r="G88" s="660" t="s">
        <v>852</v>
      </c>
      <c r="H88" s="52">
        <v>85</v>
      </c>
      <c r="I88" s="668" t="s">
        <v>318</v>
      </c>
      <c r="J88" s="52" t="s">
        <v>63</v>
      </c>
      <c r="K88" s="51">
        <v>45698</v>
      </c>
      <c r="L88" s="1198" t="s">
        <v>57</v>
      </c>
      <c r="M88" s="426">
        <v>67892.5</v>
      </c>
      <c r="N88" s="426">
        <v>65771.429999999993</v>
      </c>
      <c r="O88" s="661" t="s">
        <v>57</v>
      </c>
      <c r="P88" s="354" t="s">
        <v>319</v>
      </c>
      <c r="Q88" s="54">
        <v>45709</v>
      </c>
      <c r="R88" s="32">
        <v>5494</v>
      </c>
      <c r="S88" s="106">
        <v>5431</v>
      </c>
      <c r="T88" s="31">
        <v>0</v>
      </c>
      <c r="U88" s="1143">
        <v>0.99</v>
      </c>
      <c r="V88" s="166">
        <v>45722</v>
      </c>
      <c r="W88" s="811">
        <v>1</v>
      </c>
      <c r="X88" s="811">
        <v>1</v>
      </c>
      <c r="Y88" s="811">
        <v>1</v>
      </c>
      <c r="Z88" s="166">
        <v>45917</v>
      </c>
      <c r="AA88" s="148" t="s">
        <v>853</v>
      </c>
    </row>
    <row r="89" spans="1:27" ht="39.75" customHeight="1">
      <c r="A89" s="373" t="s">
        <v>854</v>
      </c>
      <c r="B89" s="670" t="s">
        <v>50</v>
      </c>
      <c r="C89" s="51">
        <v>45772</v>
      </c>
      <c r="D89" s="50" t="s">
        <v>141</v>
      </c>
      <c r="E89" s="51">
        <v>45716</v>
      </c>
      <c r="F89" s="50" t="s">
        <v>751</v>
      </c>
      <c r="G89" s="671" t="s">
        <v>855</v>
      </c>
      <c r="H89" s="52">
        <v>88</v>
      </c>
      <c r="I89" s="661" t="s">
        <v>319</v>
      </c>
      <c r="J89" s="52" t="s">
        <v>63</v>
      </c>
      <c r="K89" s="51">
        <v>45716</v>
      </c>
      <c r="L89" s="52" t="s">
        <v>57</v>
      </c>
      <c r="M89" s="592">
        <v>67463</v>
      </c>
      <c r="N89" s="555">
        <v>69992</v>
      </c>
      <c r="O89" s="52" t="s">
        <v>57</v>
      </c>
      <c r="P89" s="52" t="s">
        <v>319</v>
      </c>
      <c r="Q89" s="196">
        <v>45720</v>
      </c>
      <c r="R89" s="42">
        <v>5491</v>
      </c>
      <c r="S89" s="74">
        <v>5605</v>
      </c>
      <c r="T89" s="42">
        <v>0</v>
      </c>
      <c r="U89" s="663">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70" t="s">
        <v>50</v>
      </c>
      <c r="C90" s="659">
        <v>45711</v>
      </c>
      <c r="D90" s="659" t="s">
        <v>857</v>
      </c>
      <c r="E90" s="659">
        <v>45692</v>
      </c>
      <c r="F90" s="659" t="s">
        <v>782</v>
      </c>
      <c r="G90" s="660" t="s">
        <v>858</v>
      </c>
      <c r="H90" s="52">
        <v>86</v>
      </c>
      <c r="I90" s="668" t="s">
        <v>616</v>
      </c>
      <c r="J90" s="52" t="s">
        <v>63</v>
      </c>
      <c r="K90" s="51">
        <v>45698</v>
      </c>
      <c r="L90" s="661" t="s">
        <v>57</v>
      </c>
      <c r="M90" s="426">
        <v>66638</v>
      </c>
      <c r="N90" s="570">
        <v>65072</v>
      </c>
      <c r="O90" s="661" t="s">
        <v>57</v>
      </c>
      <c r="P90" s="376" t="s">
        <v>319</v>
      </c>
      <c r="Q90" s="193">
        <v>45691</v>
      </c>
      <c r="R90" s="106">
        <v>5428</v>
      </c>
      <c r="S90" s="106">
        <v>5399</v>
      </c>
      <c r="T90" s="83">
        <v>0</v>
      </c>
      <c r="U90" s="663">
        <f>IFERROR(Table4[[#This Row],[Actual Redline Completed Footage UG]]/Table4[[#This Row],[Footage UG]], 0)</f>
        <v>0.9946573323507738</v>
      </c>
      <c r="V90" s="54">
        <v>45700</v>
      </c>
      <c r="W90" s="22">
        <v>1</v>
      </c>
      <c r="X90" s="22">
        <v>1</v>
      </c>
      <c r="Y90" s="22">
        <v>1</v>
      </c>
      <c r="Z90" s="54" t="s">
        <v>710</v>
      </c>
      <c r="AA90" s="43"/>
    </row>
    <row r="91" spans="1:27" ht="39.75" customHeight="1">
      <c r="A91" s="770" t="s">
        <v>859</v>
      </c>
      <c r="B91" s="772" t="s">
        <v>50</v>
      </c>
      <c r="C91" s="774">
        <v>45711</v>
      </c>
      <c r="D91" s="57" t="s">
        <v>798</v>
      </c>
      <c r="E91" s="889">
        <v>45706</v>
      </c>
      <c r="F91" s="57" t="s">
        <v>239</v>
      </c>
      <c r="G91" s="796" t="s">
        <v>860</v>
      </c>
      <c r="H91" s="777">
        <v>85</v>
      </c>
      <c r="I91" s="783" t="s">
        <v>318</v>
      </c>
      <c r="J91" s="777" t="s">
        <v>63</v>
      </c>
      <c r="K91" s="57">
        <v>45707</v>
      </c>
      <c r="L91" s="777" t="s">
        <v>57</v>
      </c>
      <c r="M91" s="426" t="s">
        <v>861</v>
      </c>
      <c r="N91" s="570">
        <v>67080</v>
      </c>
      <c r="O91" s="52" t="s">
        <v>57</v>
      </c>
      <c r="P91" s="1054" t="s">
        <v>319</v>
      </c>
      <c r="Q91" s="1055">
        <v>45707</v>
      </c>
      <c r="R91" s="106">
        <v>5564</v>
      </c>
      <c r="S91" s="1057">
        <v>5576</v>
      </c>
      <c r="T91" s="604">
        <v>0</v>
      </c>
      <c r="U91" s="663">
        <f>IFERROR(Table4[[#This Row],[Actual Redline Completed Footage UG]]/Table4[[#This Row],[Footage UG]], 0)</f>
        <v>1.0021567217828899</v>
      </c>
      <c r="V91" s="54">
        <v>45727</v>
      </c>
      <c r="W91" s="1051">
        <v>1</v>
      </c>
      <c r="X91" s="605">
        <v>1</v>
      </c>
      <c r="Y91" s="605">
        <v>1</v>
      </c>
      <c r="Z91" s="54">
        <v>45757</v>
      </c>
      <c r="AA91" s="595"/>
    </row>
    <row r="92" spans="1:27" ht="39.75" customHeight="1">
      <c r="A92" s="770" t="s">
        <v>862</v>
      </c>
      <c r="B92" s="790" t="s">
        <v>50</v>
      </c>
      <c r="C92" s="57">
        <v>45772</v>
      </c>
      <c r="D92" s="773" t="s">
        <v>629</v>
      </c>
      <c r="E92" s="57">
        <v>45743</v>
      </c>
      <c r="F92" s="773" t="s">
        <v>863</v>
      </c>
      <c r="G92" s="791" t="s">
        <v>864</v>
      </c>
      <c r="H92" s="777">
        <v>91</v>
      </c>
      <c r="I92" s="792" t="s">
        <v>318</v>
      </c>
      <c r="J92" s="793" t="s">
        <v>63</v>
      </c>
      <c r="K92" s="57">
        <v>45741</v>
      </c>
      <c r="L92" s="793" t="s">
        <v>57</v>
      </c>
      <c r="M92" s="426">
        <v>79069.5</v>
      </c>
      <c r="N92" s="569">
        <v>73300</v>
      </c>
      <c r="O92" s="376" t="s">
        <v>57</v>
      </c>
      <c r="P92" s="437" t="s">
        <v>319</v>
      </c>
      <c r="Q92" s="54">
        <v>45744</v>
      </c>
      <c r="R92" s="31">
        <v>6330</v>
      </c>
      <c r="S92" s="647">
        <v>6180</v>
      </c>
      <c r="T92" s="1059">
        <v>0</v>
      </c>
      <c r="U92" s="663">
        <f>IFERROR(Table4[[#This Row],[Actual Redline Completed Footage UG]]/Table4[[#This Row],[Footage UG]], 0)</f>
        <v>0.976303317535545</v>
      </c>
      <c r="V92" s="54">
        <v>45751</v>
      </c>
      <c r="W92" s="1060">
        <v>1</v>
      </c>
      <c r="X92" s="473">
        <v>1</v>
      </c>
      <c r="Y92" s="473">
        <v>1</v>
      </c>
      <c r="Z92" s="54">
        <v>45859</v>
      </c>
      <c r="AA92" s="201"/>
    </row>
    <row r="93" spans="1:27" ht="39.75" customHeight="1">
      <c r="A93" s="770" t="s">
        <v>865</v>
      </c>
      <c r="B93" s="790" t="s">
        <v>50</v>
      </c>
      <c r="C93" s="57">
        <v>45772</v>
      </c>
      <c r="D93" s="773" t="s">
        <v>629</v>
      </c>
      <c r="E93" s="57">
        <v>45743</v>
      </c>
      <c r="F93" s="773" t="s">
        <v>863</v>
      </c>
      <c r="G93" s="791" t="s">
        <v>866</v>
      </c>
      <c r="H93" s="777">
        <v>20</v>
      </c>
      <c r="I93" s="792" t="s">
        <v>318</v>
      </c>
      <c r="J93" s="793" t="s">
        <v>63</v>
      </c>
      <c r="K93" s="57">
        <v>45741</v>
      </c>
      <c r="L93" s="793" t="s">
        <v>57</v>
      </c>
      <c r="M93" s="426">
        <v>16398</v>
      </c>
      <c r="N93" s="555">
        <v>15664</v>
      </c>
      <c r="O93" s="376" t="s">
        <v>57</v>
      </c>
      <c r="P93" s="1046" t="s">
        <v>319</v>
      </c>
      <c r="Q93" s="479">
        <v>45744</v>
      </c>
      <c r="R93" s="41">
        <v>1265</v>
      </c>
      <c r="S93" s="472">
        <v>1257</v>
      </c>
      <c r="T93" s="1059">
        <v>0</v>
      </c>
      <c r="U93" s="663">
        <f>IFERROR(Table4[[#This Row],[Actual Redline Completed Footage UG]]/Table4[[#This Row],[Footage UG]], 0)</f>
        <v>0.99367588932806328</v>
      </c>
      <c r="V93" s="479">
        <v>45750</v>
      </c>
      <c r="W93" s="473">
        <v>1</v>
      </c>
      <c r="X93" s="473">
        <v>1</v>
      </c>
      <c r="Y93" s="473">
        <v>1</v>
      </c>
      <c r="Z93" s="54">
        <v>45849</v>
      </c>
      <c r="AA93" s="201"/>
    </row>
    <row r="94" spans="1:27" ht="39.75" customHeight="1">
      <c r="A94" s="1002" t="s">
        <v>867</v>
      </c>
      <c r="B94" s="825" t="s">
        <v>50</v>
      </c>
      <c r="C94" s="467">
        <v>45862</v>
      </c>
      <c r="D94" s="476" t="s">
        <v>846</v>
      </c>
      <c r="E94" s="476">
        <v>45694</v>
      </c>
      <c r="F94" s="475" t="s">
        <v>239</v>
      </c>
      <c r="G94" s="829" t="s">
        <v>868</v>
      </c>
      <c r="H94" s="478">
        <v>90</v>
      </c>
      <c r="I94" s="662" t="s">
        <v>318</v>
      </c>
      <c r="J94" s="478" t="s">
        <v>63</v>
      </c>
      <c r="K94" s="476">
        <v>45698</v>
      </c>
      <c r="L94" s="830" t="s">
        <v>57</v>
      </c>
      <c r="M94" s="779">
        <v>68216.5</v>
      </c>
      <c r="N94" s="640">
        <v>65624.5</v>
      </c>
      <c r="O94" s="830" t="s">
        <v>57</v>
      </c>
      <c r="P94" s="1039" t="s">
        <v>319</v>
      </c>
      <c r="Q94" s="600">
        <v>45698</v>
      </c>
      <c r="R94" s="981">
        <v>5410</v>
      </c>
      <c r="S94" s="601">
        <v>5337</v>
      </c>
      <c r="T94" s="32">
        <v>0</v>
      </c>
      <c r="U94" s="918">
        <v>0.99</v>
      </c>
      <c r="V94" s="600">
        <v>45719</v>
      </c>
      <c r="W94" s="602">
        <v>1</v>
      </c>
      <c r="X94" s="602">
        <v>1</v>
      </c>
      <c r="Y94" s="602">
        <v>1</v>
      </c>
      <c r="Z94" s="600">
        <v>45917</v>
      </c>
      <c r="AA94" s="595" t="s">
        <v>869</v>
      </c>
    </row>
    <row r="95" spans="1:27" ht="39.75" customHeight="1">
      <c r="A95" s="770" t="s">
        <v>870</v>
      </c>
      <c r="B95" s="790" t="s">
        <v>50</v>
      </c>
      <c r="C95" s="57">
        <v>45777</v>
      </c>
      <c r="D95" s="57" t="s">
        <v>798</v>
      </c>
      <c r="E95" s="57">
        <v>45700</v>
      </c>
      <c r="F95" s="794" t="s">
        <v>239</v>
      </c>
      <c r="G95" s="796" t="s">
        <v>871</v>
      </c>
      <c r="H95" s="777">
        <v>78</v>
      </c>
      <c r="I95" s="792" t="s">
        <v>319</v>
      </c>
      <c r="J95" s="777" t="s">
        <v>63</v>
      </c>
      <c r="K95" s="57">
        <v>45708</v>
      </c>
      <c r="L95" s="777" t="s">
        <v>57</v>
      </c>
      <c r="M95" s="640">
        <v>56854</v>
      </c>
      <c r="N95" s="809">
        <v>62254</v>
      </c>
      <c r="O95" s="777" t="s">
        <v>57</v>
      </c>
      <c r="P95" s="777" t="s">
        <v>319</v>
      </c>
      <c r="Q95" s="479">
        <v>45696</v>
      </c>
      <c r="R95" s="41">
        <v>5239</v>
      </c>
      <c r="S95" s="41">
        <v>5205</v>
      </c>
      <c r="T95" s="997">
        <v>0</v>
      </c>
      <c r="U95" s="663">
        <f>IFERROR(Table4[[#This Row],[Actual Redline Completed Footage UG]]/Table4[[#This Row],[Footage UG]], 0)</f>
        <v>0.99351021187249478</v>
      </c>
      <c r="V95" s="166">
        <v>45716</v>
      </c>
      <c r="W95" s="343">
        <v>1</v>
      </c>
      <c r="X95" s="343">
        <v>1</v>
      </c>
      <c r="Y95" s="343">
        <v>1</v>
      </c>
      <c r="Z95" s="479">
        <v>45791</v>
      </c>
      <c r="AA95" s="115"/>
    </row>
    <row r="96" spans="1:27" ht="39.75" customHeight="1">
      <c r="A96" s="812" t="s">
        <v>872</v>
      </c>
      <c r="B96" s="102" t="s">
        <v>50</v>
      </c>
      <c r="C96" s="77">
        <v>45742</v>
      </c>
      <c r="D96" s="77" t="s">
        <v>798</v>
      </c>
      <c r="E96" s="77">
        <v>45694</v>
      </c>
      <c r="F96" s="1043" t="s">
        <v>239</v>
      </c>
      <c r="G96" s="1044" t="s">
        <v>873</v>
      </c>
      <c r="H96" s="76">
        <v>87</v>
      </c>
      <c r="I96" s="103" t="s">
        <v>319</v>
      </c>
      <c r="J96" s="76" t="s">
        <v>63</v>
      </c>
      <c r="K96" s="77">
        <v>45708</v>
      </c>
      <c r="L96" s="103" t="s">
        <v>57</v>
      </c>
      <c r="M96" s="813">
        <v>73639</v>
      </c>
      <c r="N96" s="1053">
        <v>73025</v>
      </c>
      <c r="O96" s="103" t="s">
        <v>57</v>
      </c>
      <c r="P96" s="105" t="s">
        <v>319</v>
      </c>
      <c r="Q96" s="1049">
        <v>45696</v>
      </c>
      <c r="R96" s="899">
        <v>5868</v>
      </c>
      <c r="S96" s="647">
        <v>5979</v>
      </c>
      <c r="T96" s="997">
        <v>0</v>
      </c>
      <c r="U96" s="663">
        <f>IFERROR(Table4[[#This Row],[Actual Redline Completed Footage UG]]/Table4[[#This Row],[Footage UG]], 0)</f>
        <v>1.018916155419223</v>
      </c>
      <c r="V96" s="166">
        <v>45714</v>
      </c>
      <c r="W96" s="1061">
        <v>1</v>
      </c>
      <c r="X96" s="1061">
        <v>1</v>
      </c>
      <c r="Y96" s="1061">
        <v>1</v>
      </c>
      <c r="Z96" s="479">
        <v>45758</v>
      </c>
      <c r="AA96" s="115"/>
    </row>
    <row r="97" spans="1:30" ht="39.75" customHeight="1">
      <c r="A97" s="823" t="s">
        <v>874</v>
      </c>
      <c r="B97" s="102" t="s">
        <v>50</v>
      </c>
      <c r="C97" s="77">
        <v>45747</v>
      </c>
      <c r="D97" s="1043" t="s">
        <v>600</v>
      </c>
      <c r="E97" s="77">
        <v>45700</v>
      </c>
      <c r="F97" s="77" t="s">
        <v>757</v>
      </c>
      <c r="G97" s="1044" t="s">
        <v>875</v>
      </c>
      <c r="H97" s="76">
        <v>60</v>
      </c>
      <c r="I97" s="819" t="s">
        <v>319</v>
      </c>
      <c r="J97" s="76" t="s">
        <v>63</v>
      </c>
      <c r="K97" s="77">
        <v>45698</v>
      </c>
      <c r="L97" s="103" t="s">
        <v>57</v>
      </c>
      <c r="M97" s="813">
        <v>54861</v>
      </c>
      <c r="N97" s="814">
        <v>55197</v>
      </c>
      <c r="O97" s="103" t="s">
        <v>57</v>
      </c>
      <c r="P97" s="76" t="s">
        <v>319</v>
      </c>
      <c r="Q97" s="1047">
        <v>45698</v>
      </c>
      <c r="R97" s="31">
        <v>4552</v>
      </c>
      <c r="S97" s="31">
        <v>4552</v>
      </c>
      <c r="T97" s="83">
        <v>0</v>
      </c>
      <c r="U97" s="658">
        <f>IFERROR(Table4[[#This Row],[Actual Redline Completed Footage UG]]/Table4[[#This Row],[Footage UG]], 0)</f>
        <v>1</v>
      </c>
      <c r="V97" s="54">
        <v>45727</v>
      </c>
      <c r="W97" s="34">
        <v>1</v>
      </c>
      <c r="X97" s="34">
        <v>1</v>
      </c>
      <c r="Y97" s="34">
        <v>1</v>
      </c>
      <c r="Z97" s="54">
        <v>45811</v>
      </c>
      <c r="AA97" s="43"/>
    </row>
    <row r="98" spans="1:30" ht="39.75" customHeight="1">
      <c r="A98" s="770" t="s">
        <v>876</v>
      </c>
      <c r="B98" s="790" t="s">
        <v>50</v>
      </c>
      <c r="C98" s="57">
        <v>45838</v>
      </c>
      <c r="D98" s="773" t="s">
        <v>141</v>
      </c>
      <c r="E98" s="57">
        <v>45736</v>
      </c>
      <c r="F98" s="773" t="s">
        <v>751</v>
      </c>
      <c r="G98" s="791" t="s">
        <v>877</v>
      </c>
      <c r="H98" s="777">
        <v>50</v>
      </c>
      <c r="I98" s="795" t="s">
        <v>318</v>
      </c>
      <c r="J98" s="777" t="s">
        <v>63</v>
      </c>
      <c r="K98" s="57">
        <v>45735</v>
      </c>
      <c r="L98" s="777" t="s">
        <v>57</v>
      </c>
      <c r="M98" s="640">
        <v>41285</v>
      </c>
      <c r="N98" s="809">
        <v>40484</v>
      </c>
      <c r="O98" s="777" t="s">
        <v>57</v>
      </c>
      <c r="P98" s="793" t="s">
        <v>319</v>
      </c>
      <c r="Q98" s="479">
        <v>45736</v>
      </c>
      <c r="R98" s="41">
        <v>3415</v>
      </c>
      <c r="S98" s="821">
        <v>3445</v>
      </c>
      <c r="T98" s="42">
        <v>0</v>
      </c>
      <c r="U98" s="658">
        <f>IFERROR(Table4[[#This Row],[Actual Redline Completed Footage UG]]/Table4[[#This Row],[Footage UG]], 0)</f>
        <v>1.0087847730600292</v>
      </c>
      <c r="V98" s="166">
        <v>45749</v>
      </c>
      <c r="W98" s="343">
        <v>1</v>
      </c>
      <c r="X98" s="343">
        <v>1</v>
      </c>
      <c r="Y98" s="343">
        <v>1</v>
      </c>
      <c r="Z98" s="479">
        <v>45859</v>
      </c>
      <c r="AA98" s="115"/>
    </row>
    <row r="99" spans="1:30" ht="39.75" customHeight="1">
      <c r="A99" s="770" t="s">
        <v>878</v>
      </c>
      <c r="B99" s="790" t="s">
        <v>50</v>
      </c>
      <c r="C99" s="57">
        <v>45742</v>
      </c>
      <c r="D99" s="773" t="s">
        <v>823</v>
      </c>
      <c r="E99" s="57">
        <v>45707</v>
      </c>
      <c r="F99" s="773" t="s">
        <v>61</v>
      </c>
      <c r="G99" s="791" t="s">
        <v>879</v>
      </c>
      <c r="H99" s="777">
        <v>0</v>
      </c>
      <c r="I99" s="777" t="s">
        <v>616</v>
      </c>
      <c r="J99" s="777" t="s">
        <v>63</v>
      </c>
      <c r="K99" s="1045">
        <v>45716</v>
      </c>
      <c r="L99" s="777" t="s">
        <v>57</v>
      </c>
      <c r="M99" s="640">
        <v>21944.6</v>
      </c>
      <c r="N99" s="809">
        <v>26564</v>
      </c>
      <c r="O99" s="777" t="s">
        <v>57</v>
      </c>
      <c r="P99" s="793" t="s">
        <v>319</v>
      </c>
      <c r="Q99" s="1048">
        <v>45716</v>
      </c>
      <c r="R99" s="849">
        <v>1695</v>
      </c>
      <c r="S99" s="966">
        <v>1634</v>
      </c>
      <c r="T99" s="810">
        <v>0</v>
      </c>
      <c r="U99" s="811">
        <f>IFERROR(Table4[[#This Row],[Actual Redline Completed Footage UG]]/Table4[[#This Row],[Footage UG]], 0)</f>
        <v>0.96401179941002946</v>
      </c>
      <c r="V99" s="166">
        <v>45734</v>
      </c>
      <c r="W99" s="811">
        <v>1</v>
      </c>
      <c r="X99" s="811">
        <v>1</v>
      </c>
      <c r="Y99" s="811">
        <v>1</v>
      </c>
      <c r="Z99" s="479">
        <v>45849</v>
      </c>
      <c r="AA99" s="822" t="s">
        <v>880</v>
      </c>
    </row>
    <row r="100" spans="1:30" ht="39.75" customHeight="1">
      <c r="A100" s="770" t="s">
        <v>881</v>
      </c>
      <c r="B100" s="790" t="s">
        <v>50</v>
      </c>
      <c r="C100" s="57">
        <v>45711</v>
      </c>
      <c r="D100" s="57" t="s">
        <v>596</v>
      </c>
      <c r="E100" s="57">
        <v>45695</v>
      </c>
      <c r="F100" s="773" t="s">
        <v>763</v>
      </c>
      <c r="G100" s="796" t="s">
        <v>882</v>
      </c>
      <c r="H100" s="777">
        <v>0</v>
      </c>
      <c r="I100" s="792" t="s">
        <v>616</v>
      </c>
      <c r="J100" s="777" t="s">
        <v>63</v>
      </c>
      <c r="K100" s="57">
        <v>45695</v>
      </c>
      <c r="L100" s="792" t="s">
        <v>57</v>
      </c>
      <c r="M100" s="640">
        <v>20939.75</v>
      </c>
      <c r="N100" s="809">
        <v>13575.75</v>
      </c>
      <c r="O100" s="792" t="s">
        <v>57</v>
      </c>
      <c r="P100" s="793" t="s">
        <v>319</v>
      </c>
      <c r="Q100" s="166">
        <v>45693</v>
      </c>
      <c r="R100" s="42">
        <v>1235</v>
      </c>
      <c r="S100" s="647">
        <v>1160</v>
      </c>
      <c r="T100" s="810">
        <v>0</v>
      </c>
      <c r="U100" s="811">
        <f>IFERROR(Table4[[#This Row],[Actual Redline Completed Footage UG]]/Table4[[#This Row],[Footage UG]], 0)</f>
        <v>0.93927125506072873</v>
      </c>
      <c r="V100" s="166">
        <v>45727</v>
      </c>
      <c r="W100" s="811">
        <v>1</v>
      </c>
      <c r="X100" s="811">
        <v>1</v>
      </c>
      <c r="Y100" s="811">
        <v>1</v>
      </c>
      <c r="Z100" s="471">
        <v>45888</v>
      </c>
      <c r="AA100" s="822"/>
    </row>
    <row r="101" spans="1:30" ht="39.75" customHeight="1">
      <c r="A101" s="892" t="s">
        <v>883</v>
      </c>
      <c r="B101" s="772" t="s">
        <v>50</v>
      </c>
      <c r="C101" s="57">
        <v>45833</v>
      </c>
      <c r="D101" s="774" t="s">
        <v>100</v>
      </c>
      <c r="E101" s="774" t="s">
        <v>52</v>
      </c>
      <c r="F101" s="774" t="s">
        <v>884</v>
      </c>
      <c r="G101" s="806" t="s">
        <v>885</v>
      </c>
      <c r="H101" s="783">
        <v>0</v>
      </c>
      <c r="I101" s="783" t="s">
        <v>318</v>
      </c>
      <c r="J101" s="783" t="s">
        <v>63</v>
      </c>
      <c r="K101" s="895" t="s">
        <v>319</v>
      </c>
      <c r="L101" s="783" t="s">
        <v>57</v>
      </c>
      <c r="M101" s="893">
        <v>289634.75</v>
      </c>
      <c r="N101" s="809">
        <v>296306.83</v>
      </c>
      <c r="O101" s="894" t="s">
        <v>57</v>
      </c>
      <c r="P101" s="793" t="s">
        <v>319</v>
      </c>
      <c r="Q101" s="479">
        <v>45693</v>
      </c>
      <c r="R101" s="493">
        <v>22725</v>
      </c>
      <c r="S101" s="490">
        <v>22085</v>
      </c>
      <c r="T101" s="810">
        <v>0</v>
      </c>
      <c r="U101" s="885">
        <v>1</v>
      </c>
      <c r="V101" s="166">
        <v>45674</v>
      </c>
      <c r="W101" s="343">
        <v>1</v>
      </c>
      <c r="X101" s="343">
        <v>1</v>
      </c>
      <c r="Y101" s="343">
        <v>1</v>
      </c>
      <c r="Z101" s="479">
        <v>45882</v>
      </c>
      <c r="AA101" s="170" t="s">
        <v>886</v>
      </c>
    </row>
    <row r="102" spans="1:30" ht="39.75" customHeight="1">
      <c r="A102" s="770" t="s">
        <v>887</v>
      </c>
      <c r="B102" s="790" t="s">
        <v>50</v>
      </c>
      <c r="C102" s="57">
        <v>45991</v>
      </c>
      <c r="D102" s="57" t="s">
        <v>888</v>
      </c>
      <c r="E102" s="57">
        <v>45743</v>
      </c>
      <c r="F102" s="773" t="s">
        <v>61</v>
      </c>
      <c r="G102" s="791" t="s">
        <v>889</v>
      </c>
      <c r="H102" s="777">
        <v>60</v>
      </c>
      <c r="I102" s="792" t="s">
        <v>318</v>
      </c>
      <c r="J102" s="777" t="s">
        <v>63</v>
      </c>
      <c r="K102" s="476">
        <v>45741</v>
      </c>
      <c r="L102" s="469" t="s">
        <v>57</v>
      </c>
      <c r="M102" s="779">
        <v>47849</v>
      </c>
      <c r="N102" s="640">
        <v>51778</v>
      </c>
      <c r="O102" s="469" t="s">
        <v>57</v>
      </c>
      <c r="P102" s="787" t="s">
        <v>319</v>
      </c>
      <c r="Q102" s="479">
        <v>45744</v>
      </c>
      <c r="R102" s="41">
        <v>4194</v>
      </c>
      <c r="S102" s="472">
        <v>4448</v>
      </c>
      <c r="T102" s="495">
        <v>0</v>
      </c>
      <c r="U102" s="663">
        <v>1.06</v>
      </c>
      <c r="V102" s="479">
        <v>45784</v>
      </c>
      <c r="W102" s="473">
        <v>1</v>
      </c>
      <c r="X102" s="473">
        <v>1</v>
      </c>
      <c r="Y102" s="473">
        <v>1</v>
      </c>
      <c r="Z102" s="479">
        <v>45972</v>
      </c>
      <c r="AA102" s="883" t="s">
        <v>890</v>
      </c>
      <c r="AB102" s="500">
        <v>1</v>
      </c>
      <c r="AC102" s="472">
        <v>2266</v>
      </c>
      <c r="AD102" s="665"/>
    </row>
    <row r="103" spans="1:30" ht="39.75" customHeight="1">
      <c r="A103" s="373" t="s">
        <v>891</v>
      </c>
      <c r="B103" s="670" t="s">
        <v>50</v>
      </c>
      <c r="C103" s="51">
        <v>45838</v>
      </c>
      <c r="D103" s="50" t="s">
        <v>817</v>
      </c>
      <c r="E103" s="51">
        <v>45824</v>
      </c>
      <c r="F103" s="50" t="s">
        <v>61</v>
      </c>
      <c r="G103" s="667" t="s">
        <v>892</v>
      </c>
      <c r="H103" s="52">
        <v>0</v>
      </c>
      <c r="I103" s="661" t="s">
        <v>318</v>
      </c>
      <c r="J103" s="52" t="s">
        <v>63</v>
      </c>
      <c r="K103" s="989" t="s">
        <v>52</v>
      </c>
      <c r="L103" s="979" t="s">
        <v>57</v>
      </c>
      <c r="M103" s="1187">
        <v>1594</v>
      </c>
      <c r="N103" s="426">
        <v>1187.5</v>
      </c>
      <c r="O103" s="979" t="s">
        <v>57</v>
      </c>
      <c r="P103" s="1039" t="s">
        <v>319</v>
      </c>
      <c r="Q103" s="600">
        <v>45818</v>
      </c>
      <c r="R103" s="981">
        <v>65</v>
      </c>
      <c r="S103" s="601">
        <v>65</v>
      </c>
      <c r="T103" s="1188">
        <v>0</v>
      </c>
      <c r="U103" s="877">
        <v>1</v>
      </c>
      <c r="V103" s="879">
        <v>45831</v>
      </c>
      <c r="W103" s="602">
        <v>1</v>
      </c>
      <c r="X103" s="602">
        <v>1</v>
      </c>
      <c r="Y103" s="602">
        <v>1</v>
      </c>
      <c r="Z103" s="600">
        <v>45859</v>
      </c>
      <c r="AA103" s="1189" t="s">
        <v>893</v>
      </c>
    </row>
    <row r="104" spans="1:30" ht="39.75" customHeight="1">
      <c r="A104" s="1042"/>
      <c r="B104" s="559"/>
      <c r="C104" s="560"/>
      <c r="D104" s="560"/>
      <c r="E104" s="560"/>
      <c r="F104" s="614"/>
      <c r="G104" s="561"/>
      <c r="H104" s="119"/>
      <c r="I104" s="615"/>
      <c r="J104" s="119"/>
      <c r="K104" s="559"/>
      <c r="L104" s="119"/>
      <c r="M104" s="562"/>
      <c r="N104" s="563"/>
      <c r="O104" s="119"/>
      <c r="P104" s="119"/>
      <c r="Q104" s="541"/>
      <c r="R104" s="564"/>
      <c r="S104" s="564"/>
      <c r="T104" s="615"/>
      <c r="U104" s="434"/>
      <c r="V104" s="541"/>
      <c r="W104" s="435"/>
      <c r="X104" s="435"/>
      <c r="Y104" s="435"/>
      <c r="Z104" s="541"/>
    </row>
    <row r="105" spans="1:30" ht="39.75" customHeight="1">
      <c r="A105" s="824" t="s">
        <v>894</v>
      </c>
      <c r="B105" s="559"/>
      <c r="C105" s="560"/>
      <c r="D105" s="560"/>
      <c r="E105" s="560"/>
      <c r="F105" s="614"/>
      <c r="G105" s="561"/>
      <c r="H105" s="119"/>
      <c r="I105" s="615"/>
      <c r="J105" s="119"/>
      <c r="K105" s="559"/>
      <c r="L105" s="119"/>
      <c r="M105" s="562"/>
      <c r="N105" s="563">
        <v>31333</v>
      </c>
      <c r="O105" s="119"/>
      <c r="P105" s="119"/>
      <c r="Q105" s="541"/>
      <c r="R105" s="564"/>
      <c r="S105" s="564"/>
      <c r="T105" s="615"/>
      <c r="U105" s="434"/>
      <c r="V105" s="541"/>
      <c r="W105" s="435"/>
      <c r="X105" s="435"/>
      <c r="Y105" s="435"/>
      <c r="Z105" s="541"/>
    </row>
    <row r="106" spans="1:30" ht="39.75" customHeight="1">
      <c r="A106" s="579"/>
      <c r="B106" s="559"/>
      <c r="C106" s="560"/>
      <c r="D106" s="560"/>
      <c r="E106" s="560"/>
      <c r="F106" s="614"/>
      <c r="G106" s="561"/>
      <c r="H106" s="119"/>
      <c r="I106" s="615"/>
      <c r="J106" s="119"/>
      <c r="K106" s="559"/>
      <c r="L106" s="119"/>
      <c r="M106" s="562">
        <v>5541815.3399999999</v>
      </c>
      <c r="N106" s="563">
        <v>5837687.5</v>
      </c>
      <c r="O106" s="119"/>
      <c r="P106" s="119"/>
      <c r="Q106" s="541"/>
      <c r="R106" s="564"/>
      <c r="S106" s="564"/>
      <c r="T106" s="615"/>
      <c r="U106" s="434"/>
      <c r="V106" s="541"/>
      <c r="W106" s="435"/>
      <c r="X106" s="435"/>
      <c r="Y106" s="435"/>
      <c r="Z106" s="541"/>
    </row>
    <row r="107" spans="1:30" ht="39.75" customHeight="1">
      <c r="A107" s="256"/>
      <c r="Q107" s="96"/>
    </row>
    <row r="108" spans="1:30" ht="39.75" customHeight="1">
      <c r="A108" s="565" t="s">
        <v>895</v>
      </c>
      <c r="B108" s="566"/>
    </row>
    <row r="109" spans="1:30" ht="39.75" customHeight="1" thickBot="1">
      <c r="A109" s="425" t="s">
        <v>375</v>
      </c>
      <c r="B109" s="568" t="s">
        <v>20</v>
      </c>
      <c r="C109" s="576" t="s">
        <v>21</v>
      </c>
      <c r="D109" s="568" t="s">
        <v>22</v>
      </c>
      <c r="E109" s="568" t="s">
        <v>23</v>
      </c>
      <c r="F109" s="568" t="s">
        <v>24</v>
      </c>
      <c r="G109" s="568" t="s">
        <v>25</v>
      </c>
      <c r="H109" s="568" t="s">
        <v>26</v>
      </c>
      <c r="I109" s="568" t="s">
        <v>27</v>
      </c>
      <c r="J109" s="568" t="s">
        <v>28</v>
      </c>
      <c r="K109" s="568" t="s">
        <v>30</v>
      </c>
      <c r="L109" s="568" t="s">
        <v>31</v>
      </c>
      <c r="M109" s="577" t="s">
        <v>32</v>
      </c>
      <c r="N109" s="577" t="s">
        <v>625</v>
      </c>
      <c r="O109" s="568" t="s">
        <v>33</v>
      </c>
      <c r="P109" s="568" t="s">
        <v>34</v>
      </c>
      <c r="Q109" s="568" t="s">
        <v>35</v>
      </c>
      <c r="R109" s="568" t="s">
        <v>40</v>
      </c>
      <c r="S109" s="568" t="s">
        <v>41</v>
      </c>
      <c r="T109" s="568" t="s">
        <v>47</v>
      </c>
      <c r="U109" s="568" t="s">
        <v>43</v>
      </c>
      <c r="V109" s="568" t="s">
        <v>44</v>
      </c>
      <c r="W109" s="578" t="s">
        <v>45</v>
      </c>
      <c r="X109" s="568" t="s">
        <v>46</v>
      </c>
      <c r="Y109" s="568" t="s">
        <v>626</v>
      </c>
      <c r="Z109" s="463" t="s">
        <v>39</v>
      </c>
      <c r="AA109" s="586" t="s">
        <v>896</v>
      </c>
    </row>
    <row r="110" spans="1:30" ht="39.75" customHeight="1" thickBot="1">
      <c r="A110" s="373" t="s">
        <v>897</v>
      </c>
      <c r="B110" s="390" t="s">
        <v>238</v>
      </c>
      <c r="C110" s="51">
        <v>45711</v>
      </c>
      <c r="D110" s="50" t="s">
        <v>137</v>
      </c>
      <c r="E110" s="51">
        <v>45707</v>
      </c>
      <c r="F110" s="50" t="s">
        <v>898</v>
      </c>
      <c r="G110" s="379" t="s">
        <v>899</v>
      </c>
      <c r="H110" s="52">
        <v>0</v>
      </c>
      <c r="I110" s="380" t="s">
        <v>318</v>
      </c>
      <c r="J110" s="52" t="s">
        <v>63</v>
      </c>
      <c r="K110" s="51">
        <v>45701</v>
      </c>
      <c r="L110" s="52" t="s">
        <v>57</v>
      </c>
      <c r="M110" s="426">
        <v>111163</v>
      </c>
      <c r="N110" s="737"/>
      <c r="O110" s="52" t="s">
        <v>57</v>
      </c>
      <c r="P110" s="587" t="s">
        <v>319</v>
      </c>
      <c r="Q110" s="479">
        <v>45718</v>
      </c>
      <c r="R110" s="41">
        <v>7805</v>
      </c>
      <c r="S110" s="506">
        <v>7969</v>
      </c>
      <c r="T110" s="83">
        <v>0</v>
      </c>
      <c r="U110" s="71">
        <f>IFERROR(Table5[[#This Row],[Actual Redline Completed Footage UG]]/Table5[[#This Row],[Footage UG]], 0)</f>
        <v>1.0210121716848175</v>
      </c>
      <c r="V110" s="679">
        <v>45740</v>
      </c>
      <c r="W110" s="499">
        <v>1</v>
      </c>
      <c r="X110" s="355">
        <v>1</v>
      </c>
      <c r="Y110" s="355">
        <v>1</v>
      </c>
      <c r="Z110" s="479">
        <v>45854</v>
      </c>
      <c r="AA110" s="43"/>
    </row>
    <row r="111" spans="1:30" ht="39.75" customHeight="1" thickBot="1">
      <c r="A111" s="373" t="s">
        <v>900</v>
      </c>
      <c r="B111" s="374" t="s">
        <v>117</v>
      </c>
      <c r="C111" s="51">
        <v>45899</v>
      </c>
      <c r="D111" s="375" t="s">
        <v>137</v>
      </c>
      <c r="E111" s="375">
        <v>45873</v>
      </c>
      <c r="F111" s="590" t="s">
        <v>187</v>
      </c>
      <c r="G111" s="638"/>
      <c r="H111" s="376">
        <v>50</v>
      </c>
      <c r="I111" s="377" t="s">
        <v>318</v>
      </c>
      <c r="J111" s="376" t="s">
        <v>56</v>
      </c>
      <c r="K111" s="375">
        <v>45874</v>
      </c>
      <c r="L111" s="376" t="s">
        <v>57</v>
      </c>
      <c r="M111" s="429">
        <v>11894.25</v>
      </c>
      <c r="N111" s="96"/>
      <c r="O111" s="376" t="s">
        <v>57</v>
      </c>
      <c r="P111" s="588" t="s">
        <v>319</v>
      </c>
      <c r="Q111" s="471">
        <v>45873</v>
      </c>
      <c r="R111" s="416">
        <v>1471</v>
      </c>
      <c r="S111" s="750">
        <v>1437</v>
      </c>
      <c r="T111" s="30">
        <v>0</v>
      </c>
      <c r="U111" s="877">
        <f>IFERROR(Table5[[#This Row],[Actual Redline Completed Footage UG]]/Table5[[#This Row],[Footage UG]], 0)</f>
        <v>0.97688647178789934</v>
      </c>
      <c r="V111" s="679">
        <v>45881</v>
      </c>
      <c r="W111" s="355">
        <v>1</v>
      </c>
      <c r="X111" s="355">
        <v>1</v>
      </c>
      <c r="Y111" s="355">
        <v>1</v>
      </c>
      <c r="Z111" s="471">
        <v>45926</v>
      </c>
      <c r="AA111" s="902"/>
    </row>
    <row r="112" spans="1:30" ht="39.75" customHeight="1" thickBot="1">
      <c r="A112" s="1002" t="s">
        <v>901</v>
      </c>
      <c r="B112" s="465" t="s">
        <v>117</v>
      </c>
      <c r="C112" s="467">
        <v>45868</v>
      </c>
      <c r="D112" s="488" t="s">
        <v>137</v>
      </c>
      <c r="E112" s="467">
        <v>45786</v>
      </c>
      <c r="F112" s="488" t="s">
        <v>118</v>
      </c>
      <c r="G112" s="465" t="s">
        <v>902</v>
      </c>
      <c r="H112" s="469">
        <v>0</v>
      </c>
      <c r="I112" s="469" t="s">
        <v>318</v>
      </c>
      <c r="J112" s="469" t="s">
        <v>63</v>
      </c>
      <c r="K112" s="467">
        <v>45786</v>
      </c>
      <c r="L112" s="469" t="s">
        <v>57</v>
      </c>
      <c r="M112" s="1003">
        <v>133172.15</v>
      </c>
      <c r="N112" s="737"/>
      <c r="O112" s="469" t="s">
        <v>57</v>
      </c>
      <c r="P112" s="751" t="s">
        <v>319</v>
      </c>
      <c r="Q112" s="471">
        <v>45789</v>
      </c>
      <c r="R112" s="472">
        <v>13306</v>
      </c>
      <c r="S112" s="498">
        <v>12936</v>
      </c>
      <c r="T112" s="146">
        <v>0</v>
      </c>
      <c r="U112" s="658">
        <f>IFERROR(Table5[[#This Row],[Actual Redline Completed Footage UG]]/Table5[[#This Row],[Footage UG]], 0)</f>
        <v>0.97219299564106421</v>
      </c>
      <c r="V112" s="653">
        <v>45810</v>
      </c>
      <c r="W112" s="473">
        <v>1</v>
      </c>
      <c r="X112" s="473">
        <v>1</v>
      </c>
      <c r="Y112" s="355">
        <v>1</v>
      </c>
      <c r="Z112" s="471">
        <v>45917</v>
      </c>
      <c r="AA112" s="597" t="s">
        <v>903</v>
      </c>
    </row>
    <row r="113" spans="1:27" ht="39.75" customHeight="1" thickBot="1">
      <c r="A113" s="373" t="s">
        <v>904</v>
      </c>
      <c r="B113" s="50" t="s">
        <v>117</v>
      </c>
      <c r="C113" s="51">
        <v>45930</v>
      </c>
      <c r="D113" s="51" t="s">
        <v>72</v>
      </c>
      <c r="E113" s="51">
        <v>45918</v>
      </c>
      <c r="F113" s="50" t="s">
        <v>118</v>
      </c>
      <c r="G113" s="671"/>
      <c r="H113" s="52">
        <v>0</v>
      </c>
      <c r="I113" s="661" t="s">
        <v>318</v>
      </c>
      <c r="J113" s="52" t="s">
        <v>63</v>
      </c>
      <c r="K113" s="51">
        <v>45918</v>
      </c>
      <c r="L113" s="376" t="s">
        <v>57</v>
      </c>
      <c r="M113" s="429">
        <v>10840.25</v>
      </c>
      <c r="N113" s="737"/>
      <c r="O113" s="376" t="s">
        <v>57</v>
      </c>
      <c r="P113" s="741" t="s">
        <v>319</v>
      </c>
      <c r="Q113" s="54">
        <v>45912</v>
      </c>
      <c r="R113" s="106">
        <v>865</v>
      </c>
      <c r="S113" s="631">
        <v>851</v>
      </c>
      <c r="T113" s="106">
        <v>0</v>
      </c>
      <c r="U113" s="658">
        <v>0.98</v>
      </c>
      <c r="V113" s="946">
        <v>45924</v>
      </c>
      <c r="W113" s="1012">
        <v>1</v>
      </c>
      <c r="X113" s="1012">
        <v>1</v>
      </c>
      <c r="Y113" s="605">
        <v>1</v>
      </c>
      <c r="Z113" s="600">
        <v>45972</v>
      </c>
      <c r="AA113" s="842" t="s">
        <v>905</v>
      </c>
    </row>
    <row r="114" spans="1:27" ht="39.75" customHeight="1" thickBot="1">
      <c r="A114" s="373" t="s">
        <v>906</v>
      </c>
      <c r="B114" s="50" t="s">
        <v>117</v>
      </c>
      <c r="C114" s="51">
        <v>45899</v>
      </c>
      <c r="D114" s="381" t="s">
        <v>137</v>
      </c>
      <c r="E114" s="51">
        <v>45853</v>
      </c>
      <c r="F114" s="50" t="s">
        <v>118</v>
      </c>
      <c r="G114" s="50" t="s">
        <v>907</v>
      </c>
      <c r="H114" s="52">
        <v>0</v>
      </c>
      <c r="I114" s="52" t="s">
        <v>318</v>
      </c>
      <c r="J114" s="52" t="s">
        <v>63</v>
      </c>
      <c r="K114" s="375">
        <v>45853</v>
      </c>
      <c r="L114" s="380" t="s">
        <v>57</v>
      </c>
      <c r="M114" s="429">
        <v>60849.9</v>
      </c>
      <c r="N114" s="96"/>
      <c r="O114" s="380" t="s">
        <v>57</v>
      </c>
      <c r="P114" s="741" t="s">
        <v>319</v>
      </c>
      <c r="Q114" s="124">
        <v>45853</v>
      </c>
      <c r="R114" s="106">
        <v>5276</v>
      </c>
      <c r="S114" s="631">
        <v>5289</v>
      </c>
      <c r="T114" s="30">
        <v>0</v>
      </c>
      <c r="U114" s="22">
        <v>1</v>
      </c>
      <c r="V114" s="946">
        <v>45874</v>
      </c>
      <c r="W114" s="605">
        <v>1</v>
      </c>
      <c r="X114" s="605">
        <v>1</v>
      </c>
      <c r="Y114" s="602">
        <v>1</v>
      </c>
      <c r="Z114" s="600">
        <v>45916</v>
      </c>
      <c r="AA114" s="603" t="s">
        <v>908</v>
      </c>
    </row>
    <row r="115" spans="1:27" ht="39.75" customHeight="1" thickBot="1">
      <c r="A115" s="373" t="s">
        <v>909</v>
      </c>
      <c r="B115" s="50" t="s">
        <v>117</v>
      </c>
      <c r="C115" s="51">
        <v>45930</v>
      </c>
      <c r="D115" s="51" t="s">
        <v>137</v>
      </c>
      <c r="E115" s="51">
        <v>45884</v>
      </c>
      <c r="F115" s="50" t="s">
        <v>187</v>
      </c>
      <c r="G115" s="379"/>
      <c r="H115" s="52">
        <v>69</v>
      </c>
      <c r="I115" s="380" t="s">
        <v>318</v>
      </c>
      <c r="J115" s="52" t="s">
        <v>63</v>
      </c>
      <c r="K115" s="375">
        <v>45884</v>
      </c>
      <c r="L115" s="376" t="s">
        <v>57</v>
      </c>
      <c r="M115" s="429">
        <v>67441</v>
      </c>
      <c r="N115" s="96"/>
      <c r="O115" s="376" t="s">
        <v>57</v>
      </c>
      <c r="P115" s="741" t="s">
        <v>319</v>
      </c>
      <c r="Q115" s="124">
        <v>45884</v>
      </c>
      <c r="R115" s="106">
        <v>4348</v>
      </c>
      <c r="S115" s="631">
        <v>4122</v>
      </c>
      <c r="T115" s="146">
        <v>0</v>
      </c>
      <c r="U115" s="877">
        <f>IFERROR(Table5[[#This Row],[Actual Redline Completed Footage UG]]/Table5[[#This Row],[Footage UG]], 0)</f>
        <v>0.94802207911683534</v>
      </c>
      <c r="V115" s="879">
        <v>45895</v>
      </c>
      <c r="W115" s="602">
        <v>1</v>
      </c>
      <c r="X115" s="602">
        <v>1</v>
      </c>
      <c r="Y115" s="602">
        <v>1</v>
      </c>
      <c r="Z115" s="600">
        <v>45917</v>
      </c>
      <c r="AA115" s="888" t="s">
        <v>910</v>
      </c>
    </row>
    <row r="116" spans="1:27" ht="39.75" customHeight="1" thickBot="1">
      <c r="A116" s="373" t="s">
        <v>911</v>
      </c>
      <c r="B116" s="374" t="s">
        <v>117</v>
      </c>
      <c r="C116" s="51">
        <v>45868</v>
      </c>
      <c r="D116" s="590" t="s">
        <v>137</v>
      </c>
      <c r="E116" s="375">
        <v>45796</v>
      </c>
      <c r="F116" s="590" t="s">
        <v>187</v>
      </c>
      <c r="G116" s="374" t="s">
        <v>912</v>
      </c>
      <c r="H116" s="376">
        <v>58</v>
      </c>
      <c r="I116" s="376" t="s">
        <v>318</v>
      </c>
      <c r="J116" s="376" t="s">
        <v>63</v>
      </c>
      <c r="K116" s="375">
        <v>45797</v>
      </c>
      <c r="L116" s="376" t="s">
        <v>57</v>
      </c>
      <c r="M116" s="429">
        <v>43097.65</v>
      </c>
      <c r="N116" s="737"/>
      <c r="O116" s="376" t="s">
        <v>57</v>
      </c>
      <c r="P116" s="741" t="s">
        <v>319</v>
      </c>
      <c r="Q116" s="124">
        <v>45810</v>
      </c>
      <c r="R116" s="106">
        <v>3309</v>
      </c>
      <c r="S116" s="631">
        <v>3194</v>
      </c>
      <c r="T116" s="30">
        <v>0</v>
      </c>
      <c r="U116" s="877">
        <f>IFERROR(Table5[[#This Row],[Actual Redline Completed Footage UG]]/Table5[[#This Row],[Footage UG]], 0)</f>
        <v>0.9652462979752191</v>
      </c>
      <c r="V116" s="879">
        <v>45832</v>
      </c>
      <c r="W116" s="602">
        <v>1</v>
      </c>
      <c r="X116" s="602">
        <v>1</v>
      </c>
      <c r="Y116" s="602">
        <v>1</v>
      </c>
      <c r="Z116" s="600">
        <v>45898</v>
      </c>
      <c r="AA116" s="603" t="s">
        <v>913</v>
      </c>
    </row>
    <row r="117" spans="1:27" ht="39.75" customHeight="1" thickBot="1">
      <c r="A117" s="1002" t="s">
        <v>914</v>
      </c>
      <c r="B117" s="475" t="s">
        <v>117</v>
      </c>
      <c r="C117" s="476">
        <v>45930</v>
      </c>
      <c r="D117" s="476" t="s">
        <v>137</v>
      </c>
      <c r="E117" s="828">
        <v>45880</v>
      </c>
      <c r="F117" s="428" t="s">
        <v>187</v>
      </c>
      <c r="G117" s="475" t="s">
        <v>915</v>
      </c>
      <c r="H117" s="478">
        <v>62</v>
      </c>
      <c r="I117" s="478" t="s">
        <v>318</v>
      </c>
      <c r="J117" s="478" t="s">
        <v>63</v>
      </c>
      <c r="K117" s="467">
        <v>45880</v>
      </c>
      <c r="L117" s="469" t="s">
        <v>57</v>
      </c>
      <c r="M117" s="1003">
        <v>56807.95</v>
      </c>
      <c r="N117" s="737"/>
      <c r="O117" s="469" t="s">
        <v>57</v>
      </c>
      <c r="P117" s="751" t="s">
        <v>319</v>
      </c>
      <c r="Q117" s="471">
        <v>45880</v>
      </c>
      <c r="R117" s="472">
        <v>3787</v>
      </c>
      <c r="S117" s="498">
        <v>4670</v>
      </c>
      <c r="T117" s="30">
        <v>0</v>
      </c>
      <c r="U117" s="658">
        <f>IFERROR(Table5[[#This Row],[Actual Redline Completed Footage UG]]/Table5[[#This Row],[Footage UG]], 0)</f>
        <v>1.2331660945339318</v>
      </c>
      <c r="V117" s="679">
        <v>45888</v>
      </c>
      <c r="W117" s="355">
        <v>1</v>
      </c>
      <c r="X117" s="355">
        <v>1</v>
      </c>
      <c r="Y117" s="602">
        <v>1</v>
      </c>
      <c r="Z117" s="599">
        <v>45917</v>
      </c>
      <c r="AA117" s="413" t="s">
        <v>916</v>
      </c>
    </row>
    <row r="118" spans="1:27" ht="39.75" customHeight="1" thickBot="1">
      <c r="A118" s="373" t="s">
        <v>917</v>
      </c>
      <c r="B118" s="374" t="s">
        <v>117</v>
      </c>
      <c r="C118" s="51">
        <v>45930</v>
      </c>
      <c r="D118" s="375" t="s">
        <v>137</v>
      </c>
      <c r="E118" s="650">
        <v>45882</v>
      </c>
      <c r="F118" s="650" t="s">
        <v>187</v>
      </c>
      <c r="G118" s="374" t="s">
        <v>918</v>
      </c>
      <c r="H118" s="376">
        <v>85</v>
      </c>
      <c r="I118" s="376" t="s">
        <v>318</v>
      </c>
      <c r="J118" s="376" t="s">
        <v>63</v>
      </c>
      <c r="K118" s="375">
        <v>45882</v>
      </c>
      <c r="L118" s="376" t="s">
        <v>57</v>
      </c>
      <c r="M118" s="429">
        <v>59869.5</v>
      </c>
      <c r="N118" s="737"/>
      <c r="O118" s="376" t="s">
        <v>57</v>
      </c>
      <c r="P118" s="588" t="s">
        <v>319</v>
      </c>
      <c r="Q118" s="642">
        <v>45882</v>
      </c>
      <c r="R118" s="903">
        <v>4537</v>
      </c>
      <c r="S118" s="498">
        <v>4604</v>
      </c>
      <c r="T118" s="30">
        <v>0</v>
      </c>
      <c r="U118" s="658">
        <f>IFERROR(Table5[[#This Row],[Actual Redline Completed Footage UG]]/Table5[[#This Row],[Footage UG]], 0)</f>
        <v>1.0147674674895306</v>
      </c>
      <c r="V118" s="196">
        <v>45894</v>
      </c>
      <c r="W118" s="343">
        <v>1</v>
      </c>
      <c r="X118" s="343">
        <v>1</v>
      </c>
      <c r="Y118" s="343">
        <v>1</v>
      </c>
      <c r="Z118" s="347">
        <v>45917</v>
      </c>
      <c r="AA118" s="174" t="s">
        <v>919</v>
      </c>
    </row>
    <row r="119" spans="1:27" ht="39.75" customHeight="1" thickBot="1">
      <c r="A119" s="373" t="s">
        <v>920</v>
      </c>
      <c r="B119" s="374" t="s">
        <v>117</v>
      </c>
      <c r="C119" s="51">
        <v>45930</v>
      </c>
      <c r="D119" s="375" t="s">
        <v>137</v>
      </c>
      <c r="E119" s="375">
        <v>45896</v>
      </c>
      <c r="F119" s="590" t="s">
        <v>187</v>
      </c>
      <c r="G119" s="374" t="s">
        <v>691</v>
      </c>
      <c r="H119" s="376">
        <v>72</v>
      </c>
      <c r="I119" s="376" t="s">
        <v>318</v>
      </c>
      <c r="J119" s="376" t="s">
        <v>63</v>
      </c>
      <c r="K119" s="375">
        <v>45897</v>
      </c>
      <c r="L119" s="376" t="s">
        <v>57</v>
      </c>
      <c r="M119" s="429">
        <v>50874.95</v>
      </c>
      <c r="N119" s="737"/>
      <c r="O119" s="376" t="s">
        <v>57</v>
      </c>
      <c r="P119" s="596" t="s">
        <v>319</v>
      </c>
      <c r="Q119" s="193">
        <v>45897</v>
      </c>
      <c r="R119" s="106">
        <v>3012</v>
      </c>
      <c r="S119" s="878">
        <v>3012</v>
      </c>
      <c r="T119" s="106">
        <v>0</v>
      </c>
      <c r="U119" s="658">
        <v>1</v>
      </c>
      <c r="V119" s="196">
        <v>45916</v>
      </c>
      <c r="W119" s="439">
        <v>1</v>
      </c>
      <c r="X119" s="343">
        <v>1</v>
      </c>
      <c r="Y119" s="144">
        <v>1</v>
      </c>
      <c r="Z119" s="166">
        <v>45972</v>
      </c>
      <c r="AA119" s="149" t="s">
        <v>921</v>
      </c>
    </row>
    <row r="120" spans="1:27" ht="39.75" customHeight="1" thickBot="1">
      <c r="A120" s="373" t="s">
        <v>922</v>
      </c>
      <c r="B120" s="374" t="s">
        <v>117</v>
      </c>
      <c r="C120" s="51">
        <v>45868</v>
      </c>
      <c r="D120" s="590" t="s">
        <v>137</v>
      </c>
      <c r="E120" s="590">
        <v>45839</v>
      </c>
      <c r="F120" s="374" t="s">
        <v>118</v>
      </c>
      <c r="G120" s="374" t="s">
        <v>923</v>
      </c>
      <c r="H120" s="376">
        <v>77</v>
      </c>
      <c r="I120" s="376" t="s">
        <v>318</v>
      </c>
      <c r="J120" s="376" t="s">
        <v>63</v>
      </c>
      <c r="K120" s="375">
        <v>45840</v>
      </c>
      <c r="L120" s="376" t="s">
        <v>57</v>
      </c>
      <c r="M120" s="429">
        <v>10430.549999999999</v>
      </c>
      <c r="N120" s="737"/>
      <c r="O120" s="376" t="s">
        <v>57</v>
      </c>
      <c r="P120" s="742" t="s">
        <v>319</v>
      </c>
      <c r="Q120" s="124">
        <v>45840</v>
      </c>
      <c r="R120" s="106">
        <v>2773</v>
      </c>
      <c r="S120" s="901">
        <v>2659</v>
      </c>
      <c r="T120" s="146">
        <v>0</v>
      </c>
      <c r="U120" s="877">
        <f>IFERROR(Table5[[#This Row],[Actual Redline Completed Footage UG]]/Table5[[#This Row],[Footage UG]], 0)</f>
        <v>0.95888928957807429</v>
      </c>
      <c r="V120" s="195">
        <v>45859</v>
      </c>
      <c r="W120" s="34">
        <v>1</v>
      </c>
      <c r="X120" s="34">
        <v>1</v>
      </c>
      <c r="Y120" s="34">
        <v>1</v>
      </c>
      <c r="Z120" s="124">
        <v>45875</v>
      </c>
      <c r="AA120" s="904" t="s">
        <v>194</v>
      </c>
    </row>
    <row r="121" spans="1:27" ht="39.75" customHeight="1" thickBot="1">
      <c r="A121" s="373" t="s">
        <v>924</v>
      </c>
      <c r="B121" s="374" t="s">
        <v>117</v>
      </c>
      <c r="C121" s="51">
        <v>45930</v>
      </c>
      <c r="D121" s="375" t="s">
        <v>137</v>
      </c>
      <c r="E121" s="650">
        <v>45910</v>
      </c>
      <c r="F121" s="650" t="s">
        <v>187</v>
      </c>
      <c r="G121" s="374" t="s">
        <v>925</v>
      </c>
      <c r="H121" s="376">
        <v>87</v>
      </c>
      <c r="I121" s="376" t="s">
        <v>318</v>
      </c>
      <c r="J121" s="376" t="s">
        <v>63</v>
      </c>
      <c r="K121" s="375">
        <v>45912</v>
      </c>
      <c r="L121" s="376" t="s">
        <v>57</v>
      </c>
      <c r="M121" s="429">
        <v>60115.95</v>
      </c>
      <c r="N121" s="737"/>
      <c r="O121" s="376" t="s">
        <v>57</v>
      </c>
      <c r="P121" s="741" t="s">
        <v>319</v>
      </c>
      <c r="Q121" s="124">
        <v>45908</v>
      </c>
      <c r="R121" s="106">
        <v>4774</v>
      </c>
      <c r="S121" s="901">
        <v>4605</v>
      </c>
      <c r="T121" s="106">
        <v>0</v>
      </c>
      <c r="U121" s="22">
        <v>0.96</v>
      </c>
      <c r="V121" s="879">
        <v>45930</v>
      </c>
      <c r="W121" s="602">
        <v>1</v>
      </c>
      <c r="X121" s="602">
        <v>1</v>
      </c>
      <c r="Y121" s="605">
        <v>1</v>
      </c>
      <c r="Z121" s="54">
        <v>45972</v>
      </c>
      <c r="AA121" s="603" t="s">
        <v>926</v>
      </c>
    </row>
    <row r="122" spans="1:27" ht="39.75" customHeight="1" thickBot="1">
      <c r="A122" s="373" t="s">
        <v>927</v>
      </c>
      <c r="B122" s="374" t="s">
        <v>117</v>
      </c>
      <c r="C122" s="51">
        <v>45930</v>
      </c>
      <c r="D122" s="375" t="s">
        <v>137</v>
      </c>
      <c r="E122" s="650">
        <v>45910</v>
      </c>
      <c r="F122" s="374" t="s">
        <v>118</v>
      </c>
      <c r="G122" s="672"/>
      <c r="H122" s="376">
        <v>54</v>
      </c>
      <c r="I122" s="668" t="s">
        <v>318</v>
      </c>
      <c r="J122" s="376" t="s">
        <v>63</v>
      </c>
      <c r="K122" s="375">
        <v>45903</v>
      </c>
      <c r="L122" s="376" t="s">
        <v>57</v>
      </c>
      <c r="M122" s="429">
        <v>27186</v>
      </c>
      <c r="N122" s="737"/>
      <c r="O122" s="376" t="s">
        <v>57</v>
      </c>
      <c r="P122" s="741" t="s">
        <v>319</v>
      </c>
      <c r="Q122" s="124">
        <v>45903</v>
      </c>
      <c r="R122" s="106">
        <v>2084</v>
      </c>
      <c r="S122" s="631">
        <v>2039</v>
      </c>
      <c r="T122" s="106">
        <v>0</v>
      </c>
      <c r="U122" s="658">
        <v>0.98</v>
      </c>
      <c r="V122" s="879">
        <v>45918</v>
      </c>
      <c r="W122" s="602">
        <v>1</v>
      </c>
      <c r="X122" s="602">
        <v>1</v>
      </c>
      <c r="Y122" s="605">
        <v>1</v>
      </c>
      <c r="Z122" s="54">
        <v>45972</v>
      </c>
      <c r="AA122" s="842" t="s">
        <v>928</v>
      </c>
    </row>
    <row r="123" spans="1:27" ht="39.75" customHeight="1" thickBot="1">
      <c r="A123" s="373" t="s">
        <v>929</v>
      </c>
      <c r="B123" s="374" t="s">
        <v>117</v>
      </c>
      <c r="C123" s="51">
        <v>45899</v>
      </c>
      <c r="D123" s="375" t="s">
        <v>137</v>
      </c>
      <c r="E123" s="375">
        <v>45887</v>
      </c>
      <c r="F123" s="590" t="s">
        <v>187</v>
      </c>
      <c r="G123" s="638" t="s">
        <v>930</v>
      </c>
      <c r="H123" s="376">
        <v>73</v>
      </c>
      <c r="I123" s="377" t="s">
        <v>318</v>
      </c>
      <c r="J123" s="376" t="s">
        <v>63</v>
      </c>
      <c r="K123" s="375">
        <v>45887</v>
      </c>
      <c r="L123" s="376" t="s">
        <v>57</v>
      </c>
      <c r="M123" s="429">
        <v>37930</v>
      </c>
      <c r="N123" s="96"/>
      <c r="O123" s="376" t="s">
        <v>57</v>
      </c>
      <c r="P123" s="587" t="s">
        <v>319</v>
      </c>
      <c r="Q123" s="471">
        <v>45887</v>
      </c>
      <c r="R123" s="472">
        <v>2649</v>
      </c>
      <c r="S123" s="498">
        <v>2678</v>
      </c>
      <c r="T123" s="30">
        <v>0</v>
      </c>
      <c r="U123" s="877">
        <f>IFERROR(Table5[[#This Row],[Actual Redline Completed Footage UG]]/Table5[[#This Row],[Footage UG]], 0)</f>
        <v>1.0109475273688184</v>
      </c>
      <c r="V123" s="679">
        <v>45895</v>
      </c>
      <c r="W123" s="355">
        <v>1</v>
      </c>
      <c r="X123" s="355">
        <v>1</v>
      </c>
      <c r="Y123" s="663">
        <v>1</v>
      </c>
      <c r="Z123" s="54">
        <v>45917</v>
      </c>
      <c r="AA123" s="875" t="s">
        <v>931</v>
      </c>
    </row>
    <row r="124" spans="1:27" ht="39.75" customHeight="1" thickBot="1">
      <c r="A124" s="373" t="s">
        <v>932</v>
      </c>
      <c r="B124" s="50" t="s">
        <v>117</v>
      </c>
      <c r="C124" s="51">
        <v>45899</v>
      </c>
      <c r="D124" s="381" t="s">
        <v>141</v>
      </c>
      <c r="E124" s="51">
        <v>45887</v>
      </c>
      <c r="F124" s="381" t="s">
        <v>187</v>
      </c>
      <c r="G124" s="379" t="s">
        <v>933</v>
      </c>
      <c r="H124" s="52">
        <v>70</v>
      </c>
      <c r="I124" s="380" t="s">
        <v>318</v>
      </c>
      <c r="J124" s="52" t="s">
        <v>63</v>
      </c>
      <c r="K124" s="375">
        <v>45887</v>
      </c>
      <c r="L124" s="376" t="s">
        <v>57</v>
      </c>
      <c r="M124" s="429">
        <v>69889</v>
      </c>
      <c r="N124" s="96"/>
      <c r="O124" s="376" t="s">
        <v>57</v>
      </c>
      <c r="P124" s="588" t="s">
        <v>319</v>
      </c>
      <c r="Q124" s="471">
        <v>45887</v>
      </c>
      <c r="R124" s="472">
        <v>3836</v>
      </c>
      <c r="S124" s="498">
        <v>3836</v>
      </c>
      <c r="T124" s="30">
        <v>0</v>
      </c>
      <c r="U124" s="658">
        <v>1</v>
      </c>
      <c r="V124" s="679">
        <v>45896</v>
      </c>
      <c r="W124" s="355">
        <v>1</v>
      </c>
      <c r="X124" s="355">
        <v>1</v>
      </c>
      <c r="Y124" s="355">
        <v>1</v>
      </c>
      <c r="Z124" s="54">
        <v>45917</v>
      </c>
      <c r="AA124" s="875" t="s">
        <v>934</v>
      </c>
    </row>
    <row r="125" spans="1:27" ht="39.75" customHeight="1" thickBot="1">
      <c r="A125" s="373" t="s">
        <v>935</v>
      </c>
      <c r="B125" s="50" t="s">
        <v>117</v>
      </c>
      <c r="C125" s="51">
        <v>45899</v>
      </c>
      <c r="D125" s="51" t="s">
        <v>137</v>
      </c>
      <c r="E125" s="51">
        <v>45887</v>
      </c>
      <c r="F125" s="50" t="s">
        <v>118</v>
      </c>
      <c r="G125" s="379" t="s">
        <v>936</v>
      </c>
      <c r="H125" s="52">
        <v>84</v>
      </c>
      <c r="I125" s="380" t="s">
        <v>318</v>
      </c>
      <c r="J125" s="52" t="s">
        <v>63</v>
      </c>
      <c r="K125" s="375">
        <v>45887</v>
      </c>
      <c r="L125" s="376" t="s">
        <v>57</v>
      </c>
      <c r="M125" s="429">
        <v>52110</v>
      </c>
      <c r="N125" s="737"/>
      <c r="O125" s="376" t="s">
        <v>57</v>
      </c>
      <c r="P125" s="588" t="s">
        <v>319</v>
      </c>
      <c r="Q125" s="124">
        <v>45887</v>
      </c>
      <c r="R125" s="106">
        <v>4071</v>
      </c>
      <c r="S125" s="630">
        <v>4043</v>
      </c>
      <c r="T125" s="30">
        <v>0</v>
      </c>
      <c r="U125" s="658">
        <f>IFERROR(Table5[[#This Row],[Actual Redline Completed Footage UG]]/Table5[[#This Row],[Footage UG]], 0)</f>
        <v>0.99312208302628346</v>
      </c>
      <c r="V125" s="679">
        <v>45895</v>
      </c>
      <c r="W125" s="355">
        <v>1</v>
      </c>
      <c r="X125" s="355">
        <v>1</v>
      </c>
      <c r="Y125" s="646">
        <v>0</v>
      </c>
      <c r="Z125" s="54">
        <v>45917</v>
      </c>
      <c r="AA125" s="436" t="s">
        <v>937</v>
      </c>
    </row>
    <row r="126" spans="1:27" ht="39.75" customHeight="1" thickBot="1">
      <c r="A126" s="373" t="s">
        <v>938</v>
      </c>
      <c r="B126" s="50" t="s">
        <v>117</v>
      </c>
      <c r="C126" s="51">
        <v>45930</v>
      </c>
      <c r="D126" s="51" t="s">
        <v>137</v>
      </c>
      <c r="E126" s="51">
        <v>45896</v>
      </c>
      <c r="F126" s="381" t="s">
        <v>187</v>
      </c>
      <c r="G126" s="379"/>
      <c r="H126" s="52">
        <v>87</v>
      </c>
      <c r="I126" s="380" t="s">
        <v>318</v>
      </c>
      <c r="J126" s="52" t="s">
        <v>63</v>
      </c>
      <c r="K126" s="375">
        <v>45897</v>
      </c>
      <c r="L126" s="376" t="s">
        <v>57</v>
      </c>
      <c r="M126" s="429">
        <v>52204</v>
      </c>
      <c r="N126" s="737"/>
      <c r="O126" s="376" t="s">
        <v>57</v>
      </c>
      <c r="P126" s="741" t="s">
        <v>319</v>
      </c>
      <c r="Q126" s="347">
        <v>45896</v>
      </c>
      <c r="R126" s="899">
        <v>4048</v>
      </c>
      <c r="S126" s="631">
        <v>5120</v>
      </c>
      <c r="T126" s="106">
        <v>0</v>
      </c>
      <c r="U126" s="22">
        <v>1.26</v>
      </c>
      <c r="V126" s="879">
        <v>45910</v>
      </c>
      <c r="W126" s="602">
        <v>1</v>
      </c>
      <c r="X126" s="602">
        <v>1</v>
      </c>
      <c r="Y126" s="605">
        <v>1</v>
      </c>
      <c r="Z126" s="54">
        <v>45972</v>
      </c>
      <c r="AA126" s="888" t="s">
        <v>939</v>
      </c>
    </row>
    <row r="127" spans="1:27" ht="39.75" customHeight="1" thickBot="1">
      <c r="A127" s="373" t="s">
        <v>940</v>
      </c>
      <c r="B127" s="50" t="s">
        <v>117</v>
      </c>
      <c r="C127" s="51">
        <v>45930</v>
      </c>
      <c r="D127" s="51" t="s">
        <v>137</v>
      </c>
      <c r="E127" s="51">
        <v>45915</v>
      </c>
      <c r="F127" s="659" t="s">
        <v>187</v>
      </c>
      <c r="G127" s="671"/>
      <c r="H127" s="52">
        <v>53</v>
      </c>
      <c r="I127" s="661" t="s">
        <v>318</v>
      </c>
      <c r="J127" s="52" t="s">
        <v>63</v>
      </c>
      <c r="K127" s="375">
        <v>45912</v>
      </c>
      <c r="L127" s="376" t="s">
        <v>57</v>
      </c>
      <c r="M127" s="429">
        <v>47676</v>
      </c>
      <c r="N127" s="737"/>
      <c r="O127" s="376" t="s">
        <v>57</v>
      </c>
      <c r="P127" s="741" t="s">
        <v>319</v>
      </c>
      <c r="Q127" s="124">
        <v>45912</v>
      </c>
      <c r="R127" s="106">
        <v>4022</v>
      </c>
      <c r="S127" s="631">
        <v>3933</v>
      </c>
      <c r="T127" s="106">
        <v>0</v>
      </c>
      <c r="U127" s="658">
        <v>0.98</v>
      </c>
      <c r="V127" s="879">
        <v>45931</v>
      </c>
      <c r="W127" s="602">
        <v>1</v>
      </c>
      <c r="X127" s="602">
        <v>1</v>
      </c>
      <c r="Y127" s="605">
        <v>1</v>
      </c>
      <c r="Z127" s="54">
        <v>45972</v>
      </c>
      <c r="AA127" s="842" t="s">
        <v>941</v>
      </c>
    </row>
    <row r="128" spans="1:27" ht="39.75" customHeight="1" thickBot="1">
      <c r="A128" s="373" t="s">
        <v>942</v>
      </c>
      <c r="B128" s="50" t="s">
        <v>117</v>
      </c>
      <c r="C128" s="51">
        <v>45945</v>
      </c>
      <c r="D128" s="51" t="s">
        <v>137</v>
      </c>
      <c r="E128" s="51">
        <v>45945</v>
      </c>
      <c r="F128" s="50" t="s">
        <v>138</v>
      </c>
      <c r="G128" s="671"/>
      <c r="H128" s="52">
        <v>59</v>
      </c>
      <c r="I128" s="661" t="s">
        <v>318</v>
      </c>
      <c r="J128" s="52" t="s">
        <v>63</v>
      </c>
      <c r="K128" s="375">
        <v>45933</v>
      </c>
      <c r="L128" s="376" t="s">
        <v>57</v>
      </c>
      <c r="M128" s="429">
        <v>44697.599999999999</v>
      </c>
      <c r="N128" s="737"/>
      <c r="O128" s="376" t="s">
        <v>57</v>
      </c>
      <c r="P128" s="741" t="s">
        <v>319</v>
      </c>
      <c r="Q128" s="124">
        <v>45933</v>
      </c>
      <c r="R128" s="106">
        <v>3495</v>
      </c>
      <c r="S128" s="631">
        <v>3448</v>
      </c>
      <c r="T128" s="106">
        <v>0</v>
      </c>
      <c r="U128" s="658">
        <v>0.99</v>
      </c>
      <c r="V128" s="879">
        <v>45945</v>
      </c>
      <c r="W128" s="602">
        <v>1</v>
      </c>
      <c r="X128" s="602">
        <v>1</v>
      </c>
      <c r="Y128" s="605">
        <v>1</v>
      </c>
      <c r="Z128" s="54">
        <v>45972</v>
      </c>
      <c r="AA128" s="1038" t="s">
        <v>943</v>
      </c>
    </row>
    <row r="129" spans="1:27" ht="39.75" customHeight="1" thickBot="1">
      <c r="A129" s="373" t="s">
        <v>944</v>
      </c>
      <c r="B129" s="50" t="s">
        <v>117</v>
      </c>
      <c r="C129" s="51">
        <v>45960</v>
      </c>
      <c r="D129" s="51" t="s">
        <v>229</v>
      </c>
      <c r="E129" s="51">
        <v>45950</v>
      </c>
      <c r="F129" s="50" t="s">
        <v>138</v>
      </c>
      <c r="G129" s="671"/>
      <c r="H129" s="52">
        <v>82</v>
      </c>
      <c r="I129" s="661" t="s">
        <v>318</v>
      </c>
      <c r="J129" s="52" t="s">
        <v>63</v>
      </c>
      <c r="K129" s="375">
        <v>45933</v>
      </c>
      <c r="L129" s="376" t="s">
        <v>57</v>
      </c>
      <c r="M129" s="429">
        <v>58864</v>
      </c>
      <c r="N129" s="737"/>
      <c r="O129" s="376" t="s">
        <v>57</v>
      </c>
      <c r="P129" s="741" t="s">
        <v>319</v>
      </c>
      <c r="Q129" s="124">
        <v>45933</v>
      </c>
      <c r="R129" s="106">
        <v>4747</v>
      </c>
      <c r="S129" s="631">
        <v>4925</v>
      </c>
      <c r="T129" s="106">
        <v>0</v>
      </c>
      <c r="U129" s="658">
        <v>1.04</v>
      </c>
      <c r="V129" s="879">
        <v>45951</v>
      </c>
      <c r="W129" s="602">
        <v>1</v>
      </c>
      <c r="X129" s="602">
        <v>1</v>
      </c>
      <c r="Y129" s="605">
        <v>1</v>
      </c>
      <c r="Z129" s="54">
        <v>45972</v>
      </c>
      <c r="AA129" s="888" t="s">
        <v>945</v>
      </c>
    </row>
    <row r="130" spans="1:27" ht="39.75" customHeight="1">
      <c r="A130" s="373" t="s">
        <v>946</v>
      </c>
      <c r="B130" s="670" t="s">
        <v>117</v>
      </c>
      <c r="C130" s="51">
        <v>45930</v>
      </c>
      <c r="D130" s="659" t="s">
        <v>72</v>
      </c>
      <c r="E130" s="51">
        <v>45902</v>
      </c>
      <c r="F130" s="50" t="s">
        <v>118</v>
      </c>
      <c r="G130" s="50"/>
      <c r="H130" s="52">
        <v>0</v>
      </c>
      <c r="I130" s="52" t="s">
        <v>318</v>
      </c>
      <c r="J130" s="52" t="s">
        <v>63</v>
      </c>
      <c r="K130" s="375">
        <v>45902</v>
      </c>
      <c r="L130" s="376" t="s">
        <v>57</v>
      </c>
      <c r="M130" s="429">
        <v>12695</v>
      </c>
      <c r="N130" s="737"/>
      <c r="O130" s="376" t="s">
        <v>57</v>
      </c>
      <c r="P130" s="741" t="s">
        <v>319</v>
      </c>
      <c r="Q130" s="124">
        <v>45902</v>
      </c>
      <c r="R130" s="1036">
        <v>1010</v>
      </c>
      <c r="S130" s="1037">
        <v>978</v>
      </c>
      <c r="T130" s="106">
        <v>0</v>
      </c>
      <c r="U130" s="658">
        <v>0.97</v>
      </c>
      <c r="V130" s="879">
        <v>45911</v>
      </c>
      <c r="W130" s="602">
        <v>1</v>
      </c>
      <c r="X130" s="602">
        <v>1</v>
      </c>
      <c r="Y130" s="605">
        <v>1</v>
      </c>
      <c r="Z130" s="54">
        <v>45972</v>
      </c>
      <c r="AA130" s="842" t="s">
        <v>947</v>
      </c>
    </row>
    <row r="131" spans="1:27" ht="39.75" customHeight="1">
      <c r="A131" s="767" t="s">
        <v>734</v>
      </c>
      <c r="B131" s="1170" t="s">
        <v>117</v>
      </c>
      <c r="C131" s="945">
        <v>45838</v>
      </c>
      <c r="D131" s="1171" t="s">
        <v>137</v>
      </c>
      <c r="E131" s="945">
        <v>45817</v>
      </c>
      <c r="F131" s="1171" t="s">
        <v>118</v>
      </c>
      <c r="G131" s="1184" t="s">
        <v>948</v>
      </c>
      <c r="H131" s="962">
        <v>0</v>
      </c>
      <c r="I131" s="1035" t="s">
        <v>318</v>
      </c>
      <c r="J131" s="962" t="s">
        <v>63</v>
      </c>
      <c r="K131" s="1185">
        <v>45821</v>
      </c>
      <c r="L131" s="1035" t="s">
        <v>57</v>
      </c>
      <c r="M131" s="964">
        <v>23436.55</v>
      </c>
      <c r="N131" s="737"/>
      <c r="O131" s="1035" t="s">
        <v>57</v>
      </c>
      <c r="P131" s="769" t="s">
        <v>319</v>
      </c>
      <c r="Q131" s="599">
        <v>45817</v>
      </c>
      <c r="R131" s="601">
        <v>1769</v>
      </c>
      <c r="S131" s="1177">
        <v>1044</v>
      </c>
      <c r="T131" s="657">
        <v>0</v>
      </c>
      <c r="U131" s="877">
        <f>IFERROR(Table5[[#This Row],[Actual Redline Completed Footage UG]]/Table5[[#This Row],[Footage UG]], 0)</f>
        <v>0.5901639344262295</v>
      </c>
      <c r="V131" s="879">
        <v>45831</v>
      </c>
      <c r="W131" s="602">
        <v>1</v>
      </c>
      <c r="X131" s="602">
        <v>1</v>
      </c>
      <c r="Y131" s="602">
        <v>1</v>
      </c>
      <c r="Z131" s="54">
        <v>45897</v>
      </c>
      <c r="AA131" s="1186" t="s">
        <v>949</v>
      </c>
    </row>
    <row r="132" spans="1:27" ht="39.75" customHeight="1" thickBot="1">
      <c r="A132" s="767" t="s">
        <v>950</v>
      </c>
      <c r="B132" s="1031" t="s">
        <v>117</v>
      </c>
      <c r="C132" s="972">
        <v>45899</v>
      </c>
      <c r="D132" s="945" t="s">
        <v>72</v>
      </c>
      <c r="E132" s="945">
        <v>45876</v>
      </c>
      <c r="F132" s="945" t="s">
        <v>118</v>
      </c>
      <c r="G132" s="1034" t="s">
        <v>951</v>
      </c>
      <c r="H132" s="962">
        <v>0</v>
      </c>
      <c r="I132" s="1035" t="s">
        <v>318</v>
      </c>
      <c r="J132" s="962" t="s">
        <v>63</v>
      </c>
      <c r="K132" s="945">
        <v>45876</v>
      </c>
      <c r="L132" s="962" t="s">
        <v>57</v>
      </c>
      <c r="M132" s="964">
        <v>1462.85</v>
      </c>
      <c r="N132" s="96"/>
      <c r="O132" s="962" t="s">
        <v>57</v>
      </c>
      <c r="P132" s="769" t="s">
        <v>319</v>
      </c>
      <c r="Q132" s="347">
        <v>45876</v>
      </c>
      <c r="R132" s="974">
        <v>116</v>
      </c>
      <c r="S132" s="900">
        <v>130</v>
      </c>
      <c r="T132" s="30">
        <v>0</v>
      </c>
      <c r="U132" s="877">
        <f>IFERROR(Table5[[#This Row],[Actual Redline Completed Footage UG]]/Table5[[#This Row],[Footage UG]], 0)</f>
        <v>1.1206896551724137</v>
      </c>
      <c r="V132" s="879">
        <v>45896</v>
      </c>
      <c r="W132" s="973">
        <v>1</v>
      </c>
      <c r="X132" s="973">
        <v>1</v>
      </c>
      <c r="Y132" s="973">
        <v>1</v>
      </c>
      <c r="Z132" s="124">
        <v>45926</v>
      </c>
      <c r="AA132" s="975" t="s">
        <v>952</v>
      </c>
    </row>
    <row r="133" spans="1:27" ht="39.75" customHeight="1" thickBot="1">
      <c r="A133" s="770" t="s">
        <v>953</v>
      </c>
      <c r="B133" s="895" t="s">
        <v>117</v>
      </c>
      <c r="C133" s="57">
        <v>45899</v>
      </c>
      <c r="D133" s="889" t="s">
        <v>137</v>
      </c>
      <c r="E133" s="889">
        <v>45882</v>
      </c>
      <c r="F133" s="1023" t="s">
        <v>187</v>
      </c>
      <c r="G133" s="1029" t="s">
        <v>954</v>
      </c>
      <c r="H133" s="793">
        <v>0</v>
      </c>
      <c r="I133" s="805" t="s">
        <v>318</v>
      </c>
      <c r="J133" s="793" t="s">
        <v>63</v>
      </c>
      <c r="K133" s="375">
        <v>45882</v>
      </c>
      <c r="L133" s="376" t="s">
        <v>57</v>
      </c>
      <c r="M133" s="429">
        <v>13056.5</v>
      </c>
      <c r="N133" s="786"/>
      <c r="O133" s="376" t="s">
        <v>57</v>
      </c>
      <c r="P133" s="588" t="s">
        <v>319</v>
      </c>
      <c r="Q133" s="471">
        <v>45882</v>
      </c>
      <c r="R133" s="416">
        <v>1100</v>
      </c>
      <c r="S133" s="750">
        <v>1110</v>
      </c>
      <c r="T133" s="30">
        <v>0</v>
      </c>
      <c r="U133" s="877">
        <f>IFERROR(Table5[[#This Row],[Actual Redline Completed Footage UG]]/Table5[[#This Row],[Footage UG]], 0)</f>
        <v>1.009090909090909</v>
      </c>
      <c r="V133" s="679">
        <v>45887</v>
      </c>
      <c r="W133" s="355">
        <v>1</v>
      </c>
      <c r="X133" s="355">
        <v>1</v>
      </c>
      <c r="Y133" s="355">
        <v>1</v>
      </c>
      <c r="Z133" s="124">
        <v>45926</v>
      </c>
      <c r="AA133" s="170" t="s">
        <v>955</v>
      </c>
    </row>
    <row r="134" spans="1:27" ht="39.75" customHeight="1" thickBot="1">
      <c r="A134" s="770" t="s">
        <v>956</v>
      </c>
      <c r="B134" s="895" t="s">
        <v>117</v>
      </c>
      <c r="C134" s="57">
        <v>45868</v>
      </c>
      <c r="D134" s="773" t="s">
        <v>72</v>
      </c>
      <c r="E134" s="889">
        <v>45853</v>
      </c>
      <c r="F134" s="1022" t="s">
        <v>118</v>
      </c>
      <c r="G134" s="1032" t="s">
        <v>957</v>
      </c>
      <c r="H134" s="793">
        <v>0</v>
      </c>
      <c r="I134" s="793" t="s">
        <v>318</v>
      </c>
      <c r="J134" s="793" t="s">
        <v>63</v>
      </c>
      <c r="K134" s="467">
        <v>45853</v>
      </c>
      <c r="L134" s="469" t="s">
        <v>57</v>
      </c>
      <c r="M134" s="1003">
        <v>68216.5</v>
      </c>
      <c r="N134" s="780"/>
      <c r="O134" s="469" t="s">
        <v>57</v>
      </c>
      <c r="P134" s="751" t="s">
        <v>319</v>
      </c>
      <c r="Q134" s="471">
        <v>45853</v>
      </c>
      <c r="R134" s="966">
        <v>581</v>
      </c>
      <c r="S134" s="967">
        <v>581</v>
      </c>
      <c r="T134" s="30">
        <v>0</v>
      </c>
      <c r="U134" s="877">
        <f>IFERROR(Table5[[#This Row],[Actual Redline Completed Footage UG]]/Table5[[#This Row],[Footage UG]], 0)</f>
        <v>1</v>
      </c>
      <c r="V134" s="679">
        <v>45868</v>
      </c>
      <c r="W134" s="355">
        <v>1</v>
      </c>
      <c r="X134" s="355">
        <v>1</v>
      </c>
      <c r="Y134" s="355">
        <v>1</v>
      </c>
      <c r="Z134" s="479">
        <v>45916</v>
      </c>
      <c r="AA134" s="874" t="s">
        <v>958</v>
      </c>
    </row>
    <row r="135" spans="1:27" ht="39.75" customHeight="1" thickBot="1">
      <c r="A135" s="887" t="s">
        <v>959</v>
      </c>
      <c r="B135" s="465" t="s">
        <v>117</v>
      </c>
      <c r="C135" s="476">
        <v>45868</v>
      </c>
      <c r="D135" s="467" t="s">
        <v>72</v>
      </c>
      <c r="E135" s="488">
        <v>45839</v>
      </c>
      <c r="F135" s="467" t="s">
        <v>118</v>
      </c>
      <c r="G135" s="477" t="s">
        <v>960</v>
      </c>
      <c r="H135" s="478">
        <v>0</v>
      </c>
      <c r="I135" s="478" t="s">
        <v>318</v>
      </c>
      <c r="J135" s="478" t="s">
        <v>63</v>
      </c>
      <c r="K135" s="510">
        <v>45838</v>
      </c>
      <c r="L135" s="1030" t="s">
        <v>57</v>
      </c>
      <c r="M135" s="779">
        <v>72566</v>
      </c>
      <c r="N135" s="737"/>
      <c r="O135" s="478" t="s">
        <v>57</v>
      </c>
      <c r="P135" s="751" t="s">
        <v>319</v>
      </c>
      <c r="Q135" s="479">
        <v>45838</v>
      </c>
      <c r="R135" s="41">
        <v>765</v>
      </c>
      <c r="S135" s="498">
        <v>786</v>
      </c>
      <c r="T135" s="30">
        <v>0</v>
      </c>
      <c r="U135" s="877">
        <f>IFERROR(Table5[[#This Row],[Actual Redline Completed Footage UG]]/Table5[[#This Row],[Footage UG]], 0)</f>
        <v>1.0274509803921568</v>
      </c>
      <c r="V135" s="679">
        <v>45845</v>
      </c>
      <c r="W135" s="355">
        <v>1</v>
      </c>
      <c r="X135" s="355">
        <v>1</v>
      </c>
      <c r="Y135" s="355">
        <v>1</v>
      </c>
      <c r="Z135" s="479">
        <v>45916</v>
      </c>
      <c r="AA135" s="902" t="s">
        <v>961</v>
      </c>
    </row>
    <row r="136" spans="1:27" ht="39.75" customHeight="1" thickBot="1">
      <c r="A136" s="373" t="s">
        <v>962</v>
      </c>
      <c r="B136" s="1020" t="s">
        <v>117</v>
      </c>
      <c r="C136" s="51">
        <v>45960</v>
      </c>
      <c r="D136" s="51" t="s">
        <v>72</v>
      </c>
      <c r="E136" s="51">
        <v>45945</v>
      </c>
      <c r="F136" s="50" t="s">
        <v>118</v>
      </c>
      <c r="G136" s="671" t="s">
        <v>963</v>
      </c>
      <c r="H136" s="52">
        <v>0</v>
      </c>
      <c r="I136" s="52" t="s">
        <v>318</v>
      </c>
      <c r="J136" s="52" t="s">
        <v>63</v>
      </c>
      <c r="K136" s="375">
        <v>45936</v>
      </c>
      <c r="L136" s="376" t="s">
        <v>57</v>
      </c>
      <c r="M136" s="429">
        <v>4235.8</v>
      </c>
      <c r="N136" s="737"/>
      <c r="O136" s="376" t="s">
        <v>57</v>
      </c>
      <c r="P136" s="588" t="s">
        <v>319</v>
      </c>
      <c r="Q136" s="471">
        <v>45939</v>
      </c>
      <c r="R136" s="416">
        <v>228</v>
      </c>
      <c r="S136" s="750">
        <v>240</v>
      </c>
      <c r="T136" s="899">
        <v>0</v>
      </c>
      <c r="U136" s="811">
        <v>1.05</v>
      </c>
      <c r="V136" s="679">
        <v>45926</v>
      </c>
      <c r="W136" s="355">
        <v>1</v>
      </c>
      <c r="X136" s="355">
        <v>1</v>
      </c>
      <c r="Y136" s="473">
        <v>1</v>
      </c>
      <c r="Z136" s="166">
        <v>45972</v>
      </c>
      <c r="AA136" s="516" t="s">
        <v>964</v>
      </c>
    </row>
    <row r="137" spans="1:27" ht="39.75" customHeight="1" thickBot="1">
      <c r="A137" s="770" t="s">
        <v>965</v>
      </c>
      <c r="B137" s="773" t="s">
        <v>117</v>
      </c>
      <c r="C137" s="57">
        <v>45930</v>
      </c>
      <c r="D137" s="57" t="s">
        <v>137</v>
      </c>
      <c r="E137" s="57">
        <v>45874</v>
      </c>
      <c r="F137" s="774" t="s">
        <v>187</v>
      </c>
      <c r="G137" s="776"/>
      <c r="H137" s="777">
        <v>208</v>
      </c>
      <c r="I137" s="783" t="s">
        <v>318</v>
      </c>
      <c r="J137" s="777" t="s">
        <v>56</v>
      </c>
      <c r="K137" s="467">
        <v>45876</v>
      </c>
      <c r="L137" s="469" t="s">
        <v>57</v>
      </c>
      <c r="M137" s="1003">
        <v>124980</v>
      </c>
      <c r="N137" s="786"/>
      <c r="O137" s="469" t="s">
        <v>57</v>
      </c>
      <c r="P137" s="751" t="s">
        <v>319</v>
      </c>
      <c r="Q137" s="471">
        <v>45876</v>
      </c>
      <c r="R137" s="416">
        <v>11700</v>
      </c>
      <c r="S137" s="750">
        <v>11820</v>
      </c>
      <c r="T137" s="114">
        <v>0</v>
      </c>
      <c r="U137" s="22">
        <v>1.01</v>
      </c>
      <c r="V137" s="679">
        <v>45890</v>
      </c>
      <c r="W137" s="355">
        <v>1</v>
      </c>
      <c r="X137" s="355">
        <v>1</v>
      </c>
      <c r="Y137" s="663">
        <v>1</v>
      </c>
      <c r="Z137" s="124">
        <v>45926</v>
      </c>
      <c r="AA137" s="516" t="s">
        <v>966</v>
      </c>
    </row>
    <row r="138" spans="1:27" ht="39.75" customHeight="1" thickBot="1">
      <c r="A138" s="770" t="s">
        <v>967</v>
      </c>
      <c r="B138" s="772" t="s">
        <v>50</v>
      </c>
      <c r="C138" s="57">
        <v>45772</v>
      </c>
      <c r="D138" s="773" t="s">
        <v>596</v>
      </c>
      <c r="E138" s="57">
        <v>45716</v>
      </c>
      <c r="F138" s="773" t="s">
        <v>763</v>
      </c>
      <c r="G138" s="890" t="s">
        <v>968</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5">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969</v>
      </c>
      <c r="B139" s="772" t="s">
        <v>50</v>
      </c>
      <c r="C139" s="57">
        <v>45772</v>
      </c>
      <c r="D139" s="773" t="s">
        <v>610</v>
      </c>
      <c r="E139" s="57">
        <v>45743</v>
      </c>
      <c r="F139" s="773" t="s">
        <v>763</v>
      </c>
      <c r="G139" s="776" t="s">
        <v>970</v>
      </c>
      <c r="H139" s="777">
        <v>63</v>
      </c>
      <c r="I139" s="783" t="s">
        <v>318</v>
      </c>
      <c r="J139" s="793" t="s">
        <v>63</v>
      </c>
      <c r="K139" s="1025">
        <v>45741</v>
      </c>
      <c r="L139" s="860" t="s">
        <v>57</v>
      </c>
      <c r="M139" s="1026">
        <v>41813</v>
      </c>
      <c r="N139" s="786"/>
      <c r="O139" s="860" t="s">
        <v>57</v>
      </c>
      <c r="P139" s="1018" t="s">
        <v>319</v>
      </c>
      <c r="Q139" s="356">
        <v>45745</v>
      </c>
      <c r="R139" s="32">
        <v>3243</v>
      </c>
      <c r="S139" s="901">
        <v>3290</v>
      </c>
      <c r="T139" s="32">
        <v>0</v>
      </c>
      <c r="U139" s="877">
        <f>IFERROR(Table5[[#This Row],[Actual Redline Completed Footage UG]]/Table5[[#This Row],[Footage UG]], 0)</f>
        <v>1.0144927536231885</v>
      </c>
      <c r="V139" s="356">
        <v>45761</v>
      </c>
      <c r="W139" s="330">
        <v>1</v>
      </c>
      <c r="X139" s="330">
        <v>1</v>
      </c>
      <c r="Y139" s="330">
        <v>1</v>
      </c>
      <c r="Z139" s="479">
        <v>45917</v>
      </c>
      <c r="AA139" s="1028" t="s">
        <v>971</v>
      </c>
    </row>
    <row r="140" spans="1:27" ht="39.75" customHeight="1">
      <c r="A140" s="770" t="s">
        <v>972</v>
      </c>
      <c r="B140" s="772" t="s">
        <v>50</v>
      </c>
      <c r="C140" s="57">
        <v>45772</v>
      </c>
      <c r="D140" s="774" t="s">
        <v>141</v>
      </c>
      <c r="E140" s="57">
        <v>45708</v>
      </c>
      <c r="F140" s="774" t="s">
        <v>751</v>
      </c>
      <c r="G140" s="781" t="s">
        <v>973</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77">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974</v>
      </c>
      <c r="B141" s="772" t="s">
        <v>50</v>
      </c>
      <c r="C141" s="889">
        <v>45862</v>
      </c>
      <c r="D141" s="773" t="s">
        <v>141</v>
      </c>
      <c r="E141" s="57">
        <v>45743</v>
      </c>
      <c r="F141" s="773" t="s">
        <v>751</v>
      </c>
      <c r="G141" s="776" t="s">
        <v>975</v>
      </c>
      <c r="H141" s="777">
        <v>88</v>
      </c>
      <c r="I141" s="805" t="s">
        <v>318</v>
      </c>
      <c r="J141" s="793" t="s">
        <v>63</v>
      </c>
      <c r="K141" s="497">
        <v>45741</v>
      </c>
      <c r="L141" s="503" t="s">
        <v>57</v>
      </c>
      <c r="M141" s="778">
        <v>75396.5</v>
      </c>
      <c r="N141" s="780"/>
      <c r="O141" s="503" t="s">
        <v>57</v>
      </c>
      <c r="P141" s="785" t="s">
        <v>319</v>
      </c>
      <c r="Q141" s="479">
        <v>45749</v>
      </c>
      <c r="R141" s="41">
        <v>6061</v>
      </c>
      <c r="S141" s="498">
        <v>6217</v>
      </c>
      <c r="T141" s="1027">
        <v>0</v>
      </c>
      <c r="U141" s="877">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1" t="s">
        <v>976</v>
      </c>
      <c r="B142" s="466" t="s">
        <v>50</v>
      </c>
      <c r="C142" s="476">
        <v>45747</v>
      </c>
      <c r="D142" s="476" t="s">
        <v>137</v>
      </c>
      <c r="E142" s="428">
        <v>45698</v>
      </c>
      <c r="F142" s="428" t="s">
        <v>61</v>
      </c>
      <c r="G142" s="944" t="s">
        <v>977</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77">
        <f>IFERROR(Table5[[#This Row],[Actual Redline Completed Footage UG]]/Table5[[#This Row],[Footage UG]], 0)</f>
        <v>1</v>
      </c>
      <c r="V142" s="679">
        <v>45721</v>
      </c>
      <c r="W142" s="500">
        <v>1</v>
      </c>
      <c r="X142" s="500">
        <v>1</v>
      </c>
      <c r="Y142" s="500">
        <v>1</v>
      </c>
      <c r="Z142" s="479">
        <v>45917</v>
      </c>
      <c r="AA142" s="898" t="s">
        <v>978</v>
      </c>
    </row>
    <row r="143" spans="1:27" ht="39.75" customHeight="1">
      <c r="A143" s="1002" t="s">
        <v>979</v>
      </c>
      <c r="B143" s="466" t="s">
        <v>50</v>
      </c>
      <c r="C143" s="476">
        <v>45742</v>
      </c>
      <c r="D143" s="475" t="s">
        <v>141</v>
      </c>
      <c r="E143" s="476">
        <v>45708</v>
      </c>
      <c r="F143" s="428" t="s">
        <v>751</v>
      </c>
      <c r="G143" s="477" t="s">
        <v>980</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77">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981</v>
      </c>
      <c r="B144" s="790" t="s">
        <v>50</v>
      </c>
      <c r="C144" s="57">
        <v>45711</v>
      </c>
      <c r="D144" s="57" t="s">
        <v>529</v>
      </c>
      <c r="E144" s="57">
        <v>45694</v>
      </c>
      <c r="F144" s="57" t="s">
        <v>757</v>
      </c>
      <c r="G144" s="796" t="s">
        <v>982</v>
      </c>
      <c r="H144" s="777">
        <v>0</v>
      </c>
      <c r="I144" s="792" t="s">
        <v>616</v>
      </c>
      <c r="J144" s="777" t="s">
        <v>63</v>
      </c>
      <c r="K144" s="476">
        <v>45686</v>
      </c>
      <c r="L144" s="830" t="s">
        <v>57</v>
      </c>
      <c r="M144" s="779">
        <v>22755.7</v>
      </c>
      <c r="N144" s="786"/>
      <c r="O144" s="830" t="s">
        <v>57</v>
      </c>
      <c r="P144" s="751" t="s">
        <v>319</v>
      </c>
      <c r="Q144" s="479">
        <v>45693</v>
      </c>
      <c r="R144" s="41">
        <v>1735</v>
      </c>
      <c r="S144" s="498">
        <v>1725</v>
      </c>
      <c r="T144" s="79">
        <v>0</v>
      </c>
      <c r="U144" s="877">
        <f>IFERROR(Table5[[#This Row],[Actual Redline Completed Footage UG]]/Table5[[#This Row],[Footage UG]], 0)</f>
        <v>0.99423631123919309</v>
      </c>
      <c r="V144" s="679">
        <v>45729</v>
      </c>
      <c r="W144" s="663">
        <v>1</v>
      </c>
      <c r="X144" s="663">
        <v>1</v>
      </c>
      <c r="Y144" s="663">
        <v>1</v>
      </c>
      <c r="Z144" s="479">
        <v>45895</v>
      </c>
      <c r="AA144" s="173" t="s">
        <v>983</v>
      </c>
    </row>
    <row r="145" spans="1:30" ht="39.75" customHeight="1">
      <c r="A145" s="770" t="s">
        <v>984</v>
      </c>
      <c r="B145" s="772" t="s">
        <v>50</v>
      </c>
      <c r="C145" s="57">
        <v>45742</v>
      </c>
      <c r="D145" s="773" t="s">
        <v>846</v>
      </c>
      <c r="E145" s="57">
        <v>45708</v>
      </c>
      <c r="F145" s="774" t="s">
        <v>239</v>
      </c>
      <c r="G145" s="776" t="s">
        <v>985</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77">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986</v>
      </c>
      <c r="B146" s="790" t="s">
        <v>50</v>
      </c>
      <c r="C146" s="57">
        <v>45924</v>
      </c>
      <c r="D146" s="794" t="s">
        <v>137</v>
      </c>
      <c r="E146" s="57">
        <v>45772</v>
      </c>
      <c r="F146" s="773" t="s">
        <v>61</v>
      </c>
      <c r="G146" s="773" t="s">
        <v>987</v>
      </c>
      <c r="H146" s="777">
        <v>0</v>
      </c>
      <c r="I146" s="777" t="s">
        <v>318</v>
      </c>
      <c r="J146" s="777" t="s">
        <v>63</v>
      </c>
      <c r="K146" s="475" t="s">
        <v>52</v>
      </c>
      <c r="L146" s="469" t="s">
        <v>57</v>
      </c>
      <c r="M146" s="1003">
        <v>4397.6499999999996</v>
      </c>
      <c r="N146" s="780"/>
      <c r="O146" s="469" t="s">
        <v>57</v>
      </c>
      <c r="P146" s="751" t="s">
        <v>319</v>
      </c>
      <c r="Q146" s="471">
        <v>45852</v>
      </c>
      <c r="R146" s="472">
        <v>129</v>
      </c>
      <c r="S146" s="1019">
        <v>129</v>
      </c>
      <c r="T146" s="495">
        <f>SUM(R146-S146)</f>
        <v>0</v>
      </c>
      <c r="U146" s="658">
        <v>1</v>
      </c>
      <c r="V146" s="679">
        <v>45856</v>
      </c>
      <c r="W146" s="355">
        <v>0</v>
      </c>
      <c r="X146" s="355">
        <v>0</v>
      </c>
      <c r="Y146" s="646">
        <v>0</v>
      </c>
      <c r="Z146" s="479">
        <v>45972</v>
      </c>
      <c r="AA146" s="174" t="s">
        <v>988</v>
      </c>
      <c r="AB146" s="425" t="s">
        <v>46</v>
      </c>
      <c r="AC146" s="425" t="s">
        <v>47</v>
      </c>
      <c r="AD146" s="876" t="s">
        <v>48</v>
      </c>
    </row>
    <row r="147" spans="1:30" ht="39.75" customHeight="1">
      <c r="A147" s="1351" t="s">
        <v>989</v>
      </c>
      <c r="B147" s="390" t="s">
        <v>339</v>
      </c>
      <c r="C147" s="51">
        <v>46045</v>
      </c>
      <c r="D147" s="659" t="s">
        <v>137</v>
      </c>
      <c r="E147" s="51"/>
      <c r="F147" s="50" t="s">
        <v>340</v>
      </c>
      <c r="G147" s="379"/>
      <c r="H147" s="1347">
        <v>80</v>
      </c>
      <c r="I147" s="661" t="s">
        <v>318</v>
      </c>
      <c r="J147" s="52" t="s">
        <v>63</v>
      </c>
      <c r="K147" s="51" t="s">
        <v>52</v>
      </c>
      <c r="L147" s="478" t="s">
        <v>57</v>
      </c>
      <c r="M147" s="1079">
        <v>170</v>
      </c>
      <c r="N147" s="737"/>
      <c r="O147" s="478" t="s">
        <v>57</v>
      </c>
      <c r="P147" s="1350" t="s">
        <v>319</v>
      </c>
      <c r="Q147" s="471" t="s">
        <v>52</v>
      </c>
      <c r="R147" s="1083">
        <v>7137</v>
      </c>
      <c r="S147" s="498">
        <v>7141</v>
      </c>
      <c r="T147" s="1013">
        <v>0</v>
      </c>
      <c r="U147" s="71">
        <v>1</v>
      </c>
      <c r="V147" s="653">
        <v>45964</v>
      </c>
      <c r="W147" s="355">
        <v>1</v>
      </c>
      <c r="X147" s="355">
        <v>0</v>
      </c>
      <c r="Y147" s="41">
        <v>0</v>
      </c>
      <c r="Z147" s="471">
        <v>45999</v>
      </c>
      <c r="AA147" s="1095" t="s">
        <v>990</v>
      </c>
      <c r="AB147" s="425"/>
      <c r="AC147" s="425"/>
      <c r="AD147" s="876"/>
    </row>
    <row r="148" spans="1:30" ht="39.75" customHeight="1">
      <c r="A148" s="1352" t="s">
        <v>991</v>
      </c>
      <c r="B148" s="1348" t="s">
        <v>339</v>
      </c>
      <c r="C148" s="57">
        <v>46045</v>
      </c>
      <c r="D148" s="794" t="s">
        <v>137</v>
      </c>
      <c r="E148" s="57"/>
      <c r="F148" s="773" t="s">
        <v>340</v>
      </c>
      <c r="G148" s="776"/>
      <c r="H148" s="1349">
        <v>89</v>
      </c>
      <c r="I148" s="792" t="s">
        <v>318</v>
      </c>
      <c r="J148" s="777" t="s">
        <v>63</v>
      </c>
      <c r="K148" s="57" t="s">
        <v>52</v>
      </c>
      <c r="L148" s="478" t="s">
        <v>57</v>
      </c>
      <c r="M148" s="1079">
        <v>26696</v>
      </c>
      <c r="N148" s="780"/>
      <c r="O148" s="478" t="s">
        <v>57</v>
      </c>
      <c r="P148" s="751" t="s">
        <v>319</v>
      </c>
      <c r="Q148" s="471" t="s">
        <v>52</v>
      </c>
      <c r="R148" s="1083">
        <v>8153</v>
      </c>
      <c r="S148" s="498">
        <v>8114</v>
      </c>
      <c r="T148" s="1083">
        <v>0</v>
      </c>
      <c r="U148" s="499">
        <v>1</v>
      </c>
      <c r="V148" s="471">
        <v>45964</v>
      </c>
      <c r="W148" s="355">
        <v>1</v>
      </c>
      <c r="X148" s="355">
        <v>0</v>
      </c>
      <c r="Y148" s="41">
        <v>0</v>
      </c>
      <c r="Z148" s="471">
        <v>45999</v>
      </c>
      <c r="AA148" s="875" t="s">
        <v>992</v>
      </c>
      <c r="AB148" s="425"/>
      <c r="AC148" s="425"/>
      <c r="AD148" s="876"/>
    </row>
    <row r="149" spans="1:30" ht="39.75" customHeight="1">
      <c r="A149" s="96"/>
      <c r="B149" s="96"/>
      <c r="C149" s="96"/>
      <c r="D149" s="96"/>
      <c r="E149" s="96"/>
      <c r="F149" s="96"/>
      <c r="G149" s="96"/>
      <c r="H149" s="96"/>
      <c r="I149" s="96"/>
      <c r="J149" s="96"/>
      <c r="K149" s="96"/>
      <c r="L149" s="96"/>
      <c r="M149" s="96"/>
      <c r="N149" s="96"/>
      <c r="O149" s="884"/>
      <c r="P149" s="886"/>
      <c r="Q149" s="43"/>
      <c r="R149" s="43"/>
      <c r="S149" s="43"/>
      <c r="T149" s="43"/>
      <c r="U149" s="169"/>
      <c r="V149" s="169"/>
      <c r="W149" s="43"/>
      <c r="X149" s="43"/>
      <c r="Y149" s="43"/>
      <c r="Z149" s="43"/>
      <c r="AA149" s="43"/>
      <c r="AB149" s="500">
        <v>1</v>
      </c>
      <c r="AC149" s="41">
        <v>3830</v>
      </c>
      <c r="AD149" s="665"/>
    </row>
    <row r="150" spans="1:30" ht="39.75" customHeight="1">
      <c r="A150" s="96"/>
      <c r="B150" s="96"/>
      <c r="C150" s="96"/>
      <c r="D150" s="96"/>
      <c r="E150" s="96"/>
      <c r="F150" s="96"/>
      <c r="G150" s="96"/>
      <c r="H150" s="96"/>
      <c r="I150" s="96"/>
      <c r="J150" s="96"/>
      <c r="K150" s="96"/>
      <c r="L150" s="96"/>
      <c r="M150" s="96"/>
      <c r="N150" s="96"/>
      <c r="O150" s="884"/>
      <c r="P150" s="886"/>
      <c r="Q150" s="43"/>
      <c r="R150" s="43"/>
      <c r="S150" s="43"/>
      <c r="T150" s="43"/>
      <c r="U150" s="43"/>
      <c r="V150" s="43"/>
      <c r="W150" s="43"/>
      <c r="X150" s="43"/>
      <c r="Y150" s="43"/>
      <c r="Z150" s="43"/>
      <c r="AA150" s="43"/>
      <c r="AB150" s="500">
        <v>1</v>
      </c>
      <c r="AC150" s="41">
        <v>3371</v>
      </c>
      <c r="AD150" s="665"/>
    </row>
    <row r="151" spans="1:30" ht="39.75" customHeight="1">
      <c r="A151" s="55" t="s">
        <v>993</v>
      </c>
      <c r="B151" s="145"/>
      <c r="C151" s="145"/>
      <c r="D151" s="145"/>
      <c r="E151" s="145"/>
      <c r="F151" s="55"/>
      <c r="G151" s="55"/>
      <c r="H151" s="145"/>
      <c r="I151" s="145"/>
      <c r="J151" s="145"/>
      <c r="K151" s="145"/>
      <c r="L151" s="55"/>
      <c r="M151" s="145"/>
      <c r="N151" s="549"/>
      <c r="O151" s="145"/>
      <c r="P151" s="145"/>
      <c r="Q151" s="145"/>
      <c r="R151" s="145"/>
      <c r="S151" s="145"/>
      <c r="T151" s="145"/>
      <c r="U151" s="145"/>
      <c r="V151" s="145"/>
      <c r="W151" s="145"/>
      <c r="X151" s="145"/>
      <c r="Y151" s="145"/>
      <c r="Z151" s="145"/>
      <c r="AA151" s="145"/>
      <c r="AB151" s="663">
        <v>1</v>
      </c>
      <c r="AC151" s="849">
        <v>5569</v>
      </c>
      <c r="AD151" s="665"/>
    </row>
    <row r="152" spans="1:30" ht="39.75" customHeight="1">
      <c r="A152" s="517" t="s">
        <v>375</v>
      </c>
      <c r="B152" s="517" t="s">
        <v>20</v>
      </c>
      <c r="C152" s="517" t="s">
        <v>21</v>
      </c>
      <c r="D152" s="517" t="s">
        <v>22</v>
      </c>
      <c r="E152" s="517" t="s">
        <v>23</v>
      </c>
      <c r="F152" s="517" t="s">
        <v>24</v>
      </c>
      <c r="G152" s="517" t="s">
        <v>25</v>
      </c>
      <c r="H152" s="517" t="s">
        <v>26</v>
      </c>
      <c r="I152" s="517" t="s">
        <v>27</v>
      </c>
      <c r="J152" s="517" t="s">
        <v>28</v>
      </c>
      <c r="K152" s="517" t="s">
        <v>29</v>
      </c>
      <c r="L152" s="517" t="s">
        <v>30</v>
      </c>
      <c r="M152" s="517" t="s">
        <v>31</v>
      </c>
      <c r="N152" s="548" t="s">
        <v>32</v>
      </c>
      <c r="O152" s="517" t="s">
        <v>33</v>
      </c>
      <c r="P152" s="517" t="s">
        <v>34</v>
      </c>
      <c r="Q152" s="425" t="s">
        <v>35</v>
      </c>
      <c r="R152" s="425" t="s">
        <v>36</v>
      </c>
      <c r="S152" s="425" t="s">
        <v>37</v>
      </c>
      <c r="T152" s="425" t="s">
        <v>38</v>
      </c>
      <c r="U152" s="425" t="s">
        <v>39</v>
      </c>
      <c r="V152" s="425" t="s">
        <v>40</v>
      </c>
      <c r="W152" s="425" t="s">
        <v>41</v>
      </c>
      <c r="X152" s="425" t="s">
        <v>42</v>
      </c>
      <c r="Y152" s="425" t="s">
        <v>43</v>
      </c>
      <c r="Z152" s="425" t="s">
        <v>44</v>
      </c>
      <c r="AA152" s="518" t="s">
        <v>45</v>
      </c>
      <c r="AB152" s="663">
        <v>1</v>
      </c>
      <c r="AC152" s="352">
        <v>145</v>
      </c>
      <c r="AD152" s="665"/>
    </row>
    <row r="153" spans="1:30" ht="39.75" customHeight="1">
      <c r="A153" s="896" t="s">
        <v>994</v>
      </c>
      <c r="B153" s="832" t="s">
        <v>238</v>
      </c>
      <c r="C153" s="476">
        <v>45807</v>
      </c>
      <c r="D153" s="465" t="s">
        <v>51</v>
      </c>
      <c r="E153" s="475" t="s">
        <v>52</v>
      </c>
      <c r="F153" s="465" t="s">
        <v>782</v>
      </c>
      <c r="G153" s="683" t="s">
        <v>538</v>
      </c>
      <c r="H153" s="469">
        <v>60</v>
      </c>
      <c r="I153" s="830" t="s">
        <v>318</v>
      </c>
      <c r="J153" s="478" t="s">
        <v>56</v>
      </c>
      <c r="K153" s="845"/>
      <c r="L153" s="467">
        <v>45716</v>
      </c>
      <c r="M153" s="478" t="s">
        <v>57</v>
      </c>
      <c r="N153" s="543">
        <v>2075.6999999999998</v>
      </c>
      <c r="O153" s="478" t="s">
        <v>57</v>
      </c>
      <c r="P153" s="921" t="s">
        <v>319</v>
      </c>
      <c r="Q153" s="352" t="s">
        <v>56</v>
      </c>
      <c r="R153" s="352" t="s">
        <v>56</v>
      </c>
      <c r="S153" s="352" t="s">
        <v>56</v>
      </c>
      <c r="T153" s="352" t="s">
        <v>56</v>
      </c>
      <c r="U153" s="352" t="s">
        <v>56</v>
      </c>
      <c r="V153" s="41">
        <v>0</v>
      </c>
      <c r="W153" s="352">
        <v>0</v>
      </c>
      <c r="X153" s="472">
        <f t="shared" ref="X153:X159" si="0">SUM(V153-W153)</f>
        <v>0</v>
      </c>
      <c r="Y153" s="864">
        <f t="shared" ref="Y153:Y159" si="1">IFERROR($W153/$V153, 0)</f>
        <v>0</v>
      </c>
      <c r="Z153" s="479">
        <v>45744</v>
      </c>
      <c r="AA153" s="500">
        <v>1</v>
      </c>
      <c r="AB153" s="663">
        <v>1</v>
      </c>
      <c r="AC153" s="853">
        <v>1408</v>
      </c>
      <c r="AD153" s="115" t="s">
        <v>995</v>
      </c>
    </row>
    <row r="154" spans="1:30" ht="39.75" customHeight="1">
      <c r="A154" s="896" t="s">
        <v>996</v>
      </c>
      <c r="B154" s="832" t="s">
        <v>238</v>
      </c>
      <c r="C154" s="476">
        <v>45807</v>
      </c>
      <c r="D154" s="475" t="s">
        <v>51</v>
      </c>
      <c r="E154" s="475" t="s">
        <v>52</v>
      </c>
      <c r="F154" s="475" t="s">
        <v>782</v>
      </c>
      <c r="G154" s="826" t="s">
        <v>997</v>
      </c>
      <c r="H154" s="478">
        <v>79</v>
      </c>
      <c r="I154" s="830" t="s">
        <v>318</v>
      </c>
      <c r="J154" s="478" t="s">
        <v>56</v>
      </c>
      <c r="K154" s="487"/>
      <c r="L154" s="467">
        <v>45716</v>
      </c>
      <c r="M154" s="478" t="s">
        <v>57</v>
      </c>
      <c r="N154" s="544">
        <v>2947.5</v>
      </c>
      <c r="O154" s="478" t="s">
        <v>57</v>
      </c>
      <c r="P154" s="922" t="s">
        <v>319</v>
      </c>
      <c r="Q154" s="352" t="s">
        <v>56</v>
      </c>
      <c r="R154" s="352" t="s">
        <v>56</v>
      </c>
      <c r="S154" s="352" t="s">
        <v>56</v>
      </c>
      <c r="T154" s="352" t="s">
        <v>56</v>
      </c>
      <c r="U154" s="352" t="s">
        <v>56</v>
      </c>
      <c r="V154" s="41">
        <v>0</v>
      </c>
      <c r="W154" s="352">
        <v>0</v>
      </c>
      <c r="X154" s="472">
        <f t="shared" si="0"/>
        <v>0</v>
      </c>
      <c r="Y154" s="864">
        <f t="shared" si="1"/>
        <v>0</v>
      </c>
      <c r="Z154" s="479">
        <v>45744</v>
      </c>
      <c r="AA154" s="500">
        <v>1</v>
      </c>
      <c r="AB154" s="663">
        <v>1</v>
      </c>
      <c r="AC154" s="41">
        <v>5915</v>
      </c>
      <c r="AD154" s="665"/>
    </row>
    <row r="155" spans="1:30" ht="39.75" customHeight="1">
      <c r="A155" s="896" t="s">
        <v>998</v>
      </c>
      <c r="B155" s="832" t="s">
        <v>238</v>
      </c>
      <c r="C155" s="476">
        <v>45807</v>
      </c>
      <c r="D155" s="475" t="s">
        <v>51</v>
      </c>
      <c r="E155" s="475" t="s">
        <v>52</v>
      </c>
      <c r="F155" s="475" t="s">
        <v>782</v>
      </c>
      <c r="G155" s="826" t="s">
        <v>999</v>
      </c>
      <c r="H155" s="478">
        <v>83</v>
      </c>
      <c r="I155" s="830" t="s">
        <v>318</v>
      </c>
      <c r="J155" s="478" t="s">
        <v>56</v>
      </c>
      <c r="K155" s="487"/>
      <c r="L155" s="467">
        <v>45716</v>
      </c>
      <c r="M155" s="478" t="s">
        <v>57</v>
      </c>
      <c r="N155" s="544">
        <v>2908.95</v>
      </c>
      <c r="O155" s="478" t="s">
        <v>57</v>
      </c>
      <c r="P155" s="922" t="s">
        <v>319</v>
      </c>
      <c r="Q155" s="352" t="s">
        <v>56</v>
      </c>
      <c r="R155" s="352" t="s">
        <v>56</v>
      </c>
      <c r="S155" s="352" t="s">
        <v>56</v>
      </c>
      <c r="T155" s="352" t="s">
        <v>56</v>
      </c>
      <c r="U155" s="352" t="s">
        <v>56</v>
      </c>
      <c r="V155" s="41">
        <v>0</v>
      </c>
      <c r="W155" s="352">
        <v>0</v>
      </c>
      <c r="X155" s="472">
        <f t="shared" si="0"/>
        <v>0</v>
      </c>
      <c r="Y155" s="864">
        <f t="shared" si="1"/>
        <v>0</v>
      </c>
      <c r="Z155" s="479">
        <v>45744</v>
      </c>
      <c r="AA155" s="500">
        <v>1</v>
      </c>
    </row>
    <row r="156" spans="1:30" ht="39.75" customHeight="1">
      <c r="A156" s="896" t="s">
        <v>1000</v>
      </c>
      <c r="B156" s="825" t="s">
        <v>50</v>
      </c>
      <c r="C156" s="476">
        <v>45807</v>
      </c>
      <c r="D156" s="475" t="s">
        <v>51</v>
      </c>
      <c r="E156" s="475" t="s">
        <v>52</v>
      </c>
      <c r="F156" s="475" t="s">
        <v>53</v>
      </c>
      <c r="G156" s="826" t="s">
        <v>1001</v>
      </c>
      <c r="H156" s="478">
        <v>68</v>
      </c>
      <c r="I156" s="478" t="s">
        <v>319</v>
      </c>
      <c r="J156" s="478" t="s">
        <v>56</v>
      </c>
      <c r="K156" s="478"/>
      <c r="L156" s="831">
        <v>45716</v>
      </c>
      <c r="M156" s="478" t="s">
        <v>57</v>
      </c>
      <c r="N156" s="544">
        <v>1134</v>
      </c>
      <c r="O156" s="478" t="s">
        <v>57</v>
      </c>
      <c r="P156" s="923" t="s">
        <v>319</v>
      </c>
      <c r="Q156" s="352" t="s">
        <v>56</v>
      </c>
      <c r="R156" s="352" t="s">
        <v>56</v>
      </c>
      <c r="S156" s="352" t="s">
        <v>56</v>
      </c>
      <c r="T156" s="352" t="s">
        <v>56</v>
      </c>
      <c r="U156" s="352" t="s">
        <v>56</v>
      </c>
      <c r="V156" s="41">
        <v>0</v>
      </c>
      <c r="W156" s="472">
        <v>0</v>
      </c>
      <c r="X156" s="472">
        <f t="shared" si="0"/>
        <v>0</v>
      </c>
      <c r="Y156" s="864">
        <f t="shared" si="1"/>
        <v>0</v>
      </c>
      <c r="Z156" s="479">
        <v>45812</v>
      </c>
      <c r="AA156" s="663">
        <v>1</v>
      </c>
    </row>
    <row r="157" spans="1:30" ht="39.75" customHeight="1">
      <c r="A157" s="896" t="s">
        <v>1002</v>
      </c>
      <c r="B157" s="825" t="s">
        <v>50</v>
      </c>
      <c r="C157" s="476">
        <v>45772</v>
      </c>
      <c r="D157" s="475" t="s">
        <v>51</v>
      </c>
      <c r="E157" s="475" t="s">
        <v>52</v>
      </c>
      <c r="F157" s="475" t="s">
        <v>53</v>
      </c>
      <c r="G157" s="848" t="s">
        <v>1003</v>
      </c>
      <c r="H157" s="478">
        <v>38</v>
      </c>
      <c r="I157" s="478" t="s">
        <v>319</v>
      </c>
      <c r="J157" s="478" t="s">
        <v>56</v>
      </c>
      <c r="K157" s="487"/>
      <c r="L157" s="467">
        <v>45716</v>
      </c>
      <c r="M157" s="478" t="s">
        <v>57</v>
      </c>
      <c r="N157" s="544">
        <v>870</v>
      </c>
      <c r="O157" s="478" t="s">
        <v>57</v>
      </c>
      <c r="P157" s="923" t="s">
        <v>319</v>
      </c>
      <c r="Q157" s="352" t="s">
        <v>56</v>
      </c>
      <c r="R157" s="352" t="s">
        <v>56</v>
      </c>
      <c r="S157" s="352" t="s">
        <v>56</v>
      </c>
      <c r="T157" s="352" t="s">
        <v>56</v>
      </c>
      <c r="U157" s="352" t="s">
        <v>56</v>
      </c>
      <c r="V157" s="41">
        <v>0</v>
      </c>
      <c r="W157" s="486">
        <v>0</v>
      </c>
      <c r="X157" s="472">
        <f t="shared" si="0"/>
        <v>0</v>
      </c>
      <c r="Y157" s="864">
        <f t="shared" si="1"/>
        <v>0</v>
      </c>
      <c r="Z157" s="479">
        <v>45742</v>
      </c>
      <c r="AA157" s="663">
        <v>1</v>
      </c>
      <c r="AB157" s="602">
        <v>0</v>
      </c>
      <c r="AC157" s="919">
        <v>0</v>
      </c>
      <c r="AD157" s="920" t="s">
        <v>1004</v>
      </c>
    </row>
    <row r="158" spans="1:30" ht="39.75" customHeight="1">
      <c r="A158" s="896" t="s">
        <v>1005</v>
      </c>
      <c r="B158" s="825" t="s">
        <v>50</v>
      </c>
      <c r="C158" s="476">
        <v>45772</v>
      </c>
      <c r="D158" s="828" t="s">
        <v>600</v>
      </c>
      <c r="E158" s="828">
        <v>45698</v>
      </c>
      <c r="F158" s="476" t="s">
        <v>757</v>
      </c>
      <c r="G158" s="829" t="s">
        <v>1006</v>
      </c>
      <c r="H158" s="478">
        <v>82</v>
      </c>
      <c r="I158" s="478" t="s">
        <v>318</v>
      </c>
      <c r="J158" s="478" t="s">
        <v>63</v>
      </c>
      <c r="K158" s="478"/>
      <c r="L158" s="831">
        <v>45716</v>
      </c>
      <c r="M158" s="830" t="s">
        <v>57</v>
      </c>
      <c r="N158" s="544">
        <v>2025.6</v>
      </c>
      <c r="O158" s="830" t="s">
        <v>57</v>
      </c>
      <c r="P158" s="923" t="s">
        <v>319</v>
      </c>
      <c r="Q158" s="352" t="s">
        <v>56</v>
      </c>
      <c r="R158" s="352" t="s">
        <v>56</v>
      </c>
      <c r="S158" s="352" t="s">
        <v>56</v>
      </c>
      <c r="T158" s="352" t="s">
        <v>56</v>
      </c>
      <c r="U158" s="352" t="s">
        <v>56</v>
      </c>
      <c r="V158" s="41">
        <v>0</v>
      </c>
      <c r="W158" s="472">
        <v>0</v>
      </c>
      <c r="X158" s="472">
        <f t="shared" si="0"/>
        <v>0</v>
      </c>
      <c r="Y158" s="864">
        <f t="shared" si="1"/>
        <v>0</v>
      </c>
      <c r="Z158" s="479">
        <v>45716</v>
      </c>
      <c r="AA158" s="663">
        <v>1</v>
      </c>
      <c r="AB158" s="61">
        <v>0</v>
      </c>
      <c r="AC158" s="868">
        <v>0</v>
      </c>
      <c r="AD158" s="870" t="s">
        <v>1007</v>
      </c>
    </row>
    <row r="159" spans="1:30" ht="39.75" customHeight="1">
      <c r="A159" s="896" t="s">
        <v>1008</v>
      </c>
      <c r="B159" s="825" t="s">
        <v>50</v>
      </c>
      <c r="C159" s="476">
        <v>45742</v>
      </c>
      <c r="D159" s="475" t="s">
        <v>51</v>
      </c>
      <c r="E159" s="476">
        <v>45715</v>
      </c>
      <c r="F159" s="475" t="s">
        <v>53</v>
      </c>
      <c r="G159" s="826" t="s">
        <v>1009</v>
      </c>
      <c r="H159" s="478">
        <v>84</v>
      </c>
      <c r="I159" s="478" t="s">
        <v>319</v>
      </c>
      <c r="J159" s="478" t="s">
        <v>56</v>
      </c>
      <c r="K159" s="478"/>
      <c r="L159" s="476">
        <v>45715</v>
      </c>
      <c r="M159" s="478" t="s">
        <v>57</v>
      </c>
      <c r="N159" s="544">
        <v>3801.75</v>
      </c>
      <c r="O159" s="478" t="s">
        <v>57</v>
      </c>
      <c r="P159" s="923" t="s">
        <v>319</v>
      </c>
      <c r="Q159" s="352" t="s">
        <v>56</v>
      </c>
      <c r="R159" s="352" t="s">
        <v>56</v>
      </c>
      <c r="S159" s="352" t="s">
        <v>56</v>
      </c>
      <c r="T159" s="352" t="s">
        <v>56</v>
      </c>
      <c r="U159" s="352" t="s">
        <v>56</v>
      </c>
      <c r="V159" s="41">
        <v>0</v>
      </c>
      <c r="W159" s="352">
        <v>0</v>
      </c>
      <c r="X159" s="472">
        <f t="shared" si="0"/>
        <v>0</v>
      </c>
      <c r="Y159" s="864">
        <f t="shared" si="1"/>
        <v>0</v>
      </c>
      <c r="Z159" s="479">
        <v>45716</v>
      </c>
      <c r="AA159" s="663">
        <v>1</v>
      </c>
    </row>
    <row r="160" spans="1:30" ht="39.75" customHeight="1">
      <c r="A160" s="96"/>
      <c r="B160" s="96"/>
      <c r="C160" s="96"/>
      <c r="D160" s="96"/>
      <c r="E160" s="96"/>
      <c r="F160" s="96"/>
      <c r="G160" s="96"/>
      <c r="H160" s="96"/>
      <c r="I160" s="96"/>
      <c r="J160" s="96"/>
      <c r="K160" s="96"/>
      <c r="L160" s="96"/>
      <c r="M160" s="96"/>
      <c r="N160" s="96"/>
      <c r="O160" s="884"/>
      <c r="P160" s="886"/>
      <c r="Q160" s="43"/>
      <c r="R160" s="43"/>
      <c r="S160" s="43"/>
      <c r="T160" s="43"/>
      <c r="U160" s="43"/>
      <c r="V160" s="43"/>
      <c r="W160" s="43"/>
      <c r="X160" s="43"/>
      <c r="Y160" s="43"/>
      <c r="Z160" s="43"/>
      <c r="AA160" s="43"/>
    </row>
    <row r="161" spans="1:27" ht="39.75" customHeight="1">
      <c r="A161" s="905" t="s">
        <v>1010</v>
      </c>
      <c r="B161" s="96"/>
      <c r="C161" s="96"/>
      <c r="D161" s="96"/>
      <c r="E161" s="96"/>
      <c r="F161" s="96"/>
      <c r="G161" s="96"/>
      <c r="H161" s="96"/>
      <c r="I161" s="96"/>
      <c r="J161" s="96"/>
      <c r="K161" s="96"/>
      <c r="L161" s="96"/>
      <c r="M161" s="96"/>
      <c r="N161" s="96"/>
      <c r="O161" s="884"/>
      <c r="P161" s="886"/>
      <c r="Q161" s="43"/>
      <c r="R161" s="43"/>
      <c r="S161" s="43"/>
      <c r="T161" s="43"/>
      <c r="U161" s="43"/>
      <c r="V161" s="43"/>
      <c r="W161" s="43"/>
      <c r="X161" s="43"/>
      <c r="Y161" s="43"/>
      <c r="Z161" s="43"/>
      <c r="AA161" s="43"/>
    </row>
    <row r="162" spans="1:27" ht="39.75" customHeight="1">
      <c r="A162" s="906" t="s">
        <v>1011</v>
      </c>
      <c r="B162" s="907" t="s">
        <v>117</v>
      </c>
      <c r="C162" s="908"/>
      <c r="D162" s="909" t="s">
        <v>72</v>
      </c>
      <c r="E162" s="909">
        <v>45768</v>
      </c>
      <c r="F162" s="910" t="s">
        <v>187</v>
      </c>
      <c r="G162" s="907"/>
      <c r="H162" s="911">
        <v>0</v>
      </c>
      <c r="I162" s="912" t="s">
        <v>319</v>
      </c>
      <c r="J162" s="911" t="s">
        <v>56</v>
      </c>
      <c r="K162" s="908"/>
      <c r="L162" s="913" t="s">
        <v>56</v>
      </c>
      <c r="M162" s="911" t="s">
        <v>91</v>
      </c>
      <c r="N162" s="914">
        <v>0</v>
      </c>
      <c r="O162" s="911" t="s">
        <v>91</v>
      </c>
      <c r="P162" s="915" t="s">
        <v>319</v>
      </c>
      <c r="Q162" s="916" t="s">
        <v>56</v>
      </c>
      <c r="R162" s="917" t="s">
        <v>184</v>
      </c>
      <c r="S162" s="917" t="s">
        <v>184</v>
      </c>
      <c r="T162" s="917" t="s">
        <v>184</v>
      </c>
      <c r="U162" s="916"/>
      <c r="V162" s="917">
        <v>3</v>
      </c>
      <c r="W162" s="917">
        <v>3</v>
      </c>
      <c r="X162" s="601">
        <f t="shared" ref="X162:X163" si="2">SUM(V162-W162)</f>
        <v>0</v>
      </c>
      <c r="Y162" s="918">
        <f t="shared" ref="Y162:Y163" si="3">IFERROR($W162/$V162, 0)</f>
        <v>1</v>
      </c>
      <c r="Z162" s="600">
        <v>45768</v>
      </c>
      <c r="AA162" s="602">
        <v>0</v>
      </c>
    </row>
    <row r="163" spans="1:27" ht="39.75" customHeight="1">
      <c r="A163" s="856" t="s">
        <v>1012</v>
      </c>
      <c r="B163" s="859" t="s">
        <v>117</v>
      </c>
      <c r="C163" s="865"/>
      <c r="D163" s="858" t="s">
        <v>72</v>
      </c>
      <c r="E163" s="858">
        <v>45768</v>
      </c>
      <c r="F163" s="857" t="s">
        <v>187</v>
      </c>
      <c r="G163" s="859"/>
      <c r="H163" s="860">
        <v>0</v>
      </c>
      <c r="I163" s="866" t="s">
        <v>319</v>
      </c>
      <c r="J163" s="860" t="s">
        <v>56</v>
      </c>
      <c r="K163" s="865"/>
      <c r="L163" s="867" t="s">
        <v>56</v>
      </c>
      <c r="M163" s="860" t="s">
        <v>91</v>
      </c>
      <c r="N163" s="861">
        <v>0</v>
      </c>
      <c r="O163" s="860" t="s">
        <v>91</v>
      </c>
      <c r="P163" s="862" t="s">
        <v>319</v>
      </c>
      <c r="Q163" s="79" t="s">
        <v>56</v>
      </c>
      <c r="R163" s="328" t="s">
        <v>184</v>
      </c>
      <c r="S163" s="328" t="s">
        <v>184</v>
      </c>
      <c r="T163" s="328" t="s">
        <v>184</v>
      </c>
      <c r="U163" s="79"/>
      <c r="V163" s="328">
        <v>3</v>
      </c>
      <c r="W163" s="328">
        <v>3</v>
      </c>
      <c r="X163" s="495">
        <f t="shared" si="2"/>
        <v>0</v>
      </c>
      <c r="Y163" s="869">
        <f t="shared" si="3"/>
        <v>1</v>
      </c>
      <c r="Z163" s="356">
        <v>45768</v>
      </c>
      <c r="AA163" s="61">
        <v>0</v>
      </c>
    </row>
    <row r="164" spans="1:27" ht="39.75" customHeight="1">
      <c r="A164" s="96"/>
      <c r="B164" s="96"/>
      <c r="C164" s="96"/>
      <c r="D164" s="96"/>
      <c r="E164" s="96"/>
      <c r="F164" s="96"/>
      <c r="G164" s="96"/>
      <c r="H164" s="96"/>
      <c r="I164" s="96"/>
      <c r="J164" s="96"/>
      <c r="K164" s="96"/>
      <c r="L164" s="96"/>
      <c r="M164" s="96"/>
      <c r="N164" s="96"/>
      <c r="O164" s="884"/>
      <c r="P164" s="886"/>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4"/>
      <c r="P165" s="886"/>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4"/>
      <c r="P166" s="886"/>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4"/>
      <c r="P167" s="886"/>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4"/>
      <c r="P168" s="886"/>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4"/>
      <c r="P169" s="886"/>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4"/>
      <c r="P170" s="886"/>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4"/>
      <c r="P171" s="886"/>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4"/>
      <c r="P172" s="886"/>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4"/>
      <c r="P173" s="886"/>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4"/>
      <c r="P174" s="886"/>
      <c r="Q174" s="43"/>
      <c r="R174" s="43"/>
      <c r="S174" s="43"/>
      <c r="T174" s="43"/>
      <c r="U174" s="43"/>
      <c r="V174" s="43"/>
      <c r="W174" s="43"/>
      <c r="X174" s="43"/>
      <c r="Y174" s="43"/>
      <c r="Z174" s="43"/>
      <c r="AA174" s="43"/>
    </row>
  </sheetData>
  <dataValidations count="9">
    <dataValidation type="list" allowBlank="1" showInputMessage="1" showErrorMessage="1" sqref="I9:I11 I22:I25 I81:I82 I68:I69 I84 I86 I119 I117 I115 I56 I142:I146 I125 I128 I103 I133 I97 I99 I153 I157 I135:I138 I130 I38 I112 I79 I88 I5:I6 I45" xr:uid="{8EBE9BB6-6BD2-46C1-9207-22004A752DD6}">
      <formula1>"On Track, In Jeopardy, Completed on Track, Completed, Completed -Missed TSD, On Hold Per Tillman"</formula1>
    </dataValidation>
    <dataValidation type="list" allowBlank="1" showInputMessage="1" showErrorMessage="1" sqref="I1 I109 I152" xr:uid="{54C34FE6-5399-45BA-9ADF-D8D523AA2260}">
      <formula1>"N/A, On Track, In Jeopardy, Completed on Track, Completed, Completed -Missed TSD, On Hold Per Tillman"</formula1>
    </dataValidation>
    <dataValidation allowBlank="1" showInputMessage="1" showErrorMessage="1" sqref="Q141:Q143 Z1 E68 Q54 K50:K52 E53:E54 Z58 K54 Q70:Q72 E120 D56:E56 Q56:Q59 Q50:Q52 Z52 V52 Q91:Q92 E4 K1:K3 Z138 E122:E125 E128 Z95 K109:K110 E117 E135 D99:E99 D100 E138 L155 E157 L151:L152 Q151:U159 L157:L159 Q163:U163 L162:L163 D139 Z101 Z3 Z61 Z134:Z135 K133:K136 K129:K130 D38:E38 Z42 Q47 K69:K106 K33:K40 Z36 Q61:Q64 K56:K65 Q66 K67 Q74:Q89 Q94:Q106 Z147:Z148 Q145:Q148 Q132:Q139 K5:K6 E48:E49 E51 K138:K148 K42:K46 K11:K30 Z29 Q1:Q45 E7:E8 Z9 K9 Q109:Q130 K112:K125 Z109:Z118" xr:uid="{69BA9396-C6BF-4BF7-ADE5-B0A99637D974}"/>
    <dataValidation type="list" allowBlank="1" showInputMessage="1" showErrorMessage="1" sqref="J110:J111 J90:J91 J162:J163 J153:J159 J2:J4 J93:J103 J88 J131:J148 J120:J129 J6:J86 J113:J118" xr:uid="{FD7C7CD5-6442-444B-AC8D-9E87EABB0D4D}">
      <formula1>"Received, Pending, Not Required"</formula1>
    </dataValidation>
    <dataValidation type="list" allowBlank="1" showInputMessage="1" showErrorMessage="1" sqref="I53:I55 I12:I21 I120:I124 I83 I57:I67 I85 I113:I114 I110:I111 I126:I127 I129 I80 I98 I154:I156 I151 I158:I159 I162:I163 I116 I118 I100:I102 I2:I4 I89:I96 I139:I141 I134 I104:I106 I39:I44 I70:I78 I87 I147:I148 I131:I132 I46:I51 I26:I37 I7:I8" xr:uid="{961FBB26-6236-46B9-BD22-4000D8D733CF}">
      <formula1>"On Track, In Jeopardy, Completed on Track, Completed, Completed -Missed TSD"</formula1>
    </dataValidation>
    <dataValidation type="list" allowBlank="1" showInputMessage="1" showErrorMessage="1" sqref="P162:P163 P151:P159 P53:P106 P1:P51 P109:P148"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1:K159 K162:K16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771</v>
      </c>
      <c r="F4">
        <v>1049</v>
      </c>
      <c r="G4">
        <v>1049</v>
      </c>
      <c r="J4" s="44" t="s">
        <v>1019</v>
      </c>
      <c r="K4" t="s">
        <v>1020</v>
      </c>
      <c r="N4" s="44" t="s">
        <v>1019</v>
      </c>
      <c r="O4" t="s">
        <v>1021</v>
      </c>
      <c r="P4" t="s">
        <v>1022</v>
      </c>
      <c r="Q4" t="s">
        <v>1023</v>
      </c>
      <c r="R4" t="s">
        <v>1017</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1024</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1025</v>
      </c>
      <c r="P9">
        <v>2546</v>
      </c>
      <c r="Q9">
        <v>627</v>
      </c>
      <c r="R9">
        <v>3173</v>
      </c>
    </row>
    <row r="10" spans="1:18">
      <c r="A10" t="s">
        <v>671</v>
      </c>
      <c r="C10">
        <v>534</v>
      </c>
      <c r="D10">
        <v>460</v>
      </c>
      <c r="E10">
        <v>886</v>
      </c>
      <c r="F10">
        <v>202</v>
      </c>
      <c r="G10">
        <v>2082</v>
      </c>
      <c r="J10" t="s">
        <v>846</v>
      </c>
      <c r="K10">
        <v>933</v>
      </c>
      <c r="N10" t="s">
        <v>1026</v>
      </c>
      <c r="O10">
        <v>3226</v>
      </c>
      <c r="P10">
        <v>17340</v>
      </c>
      <c r="Q10">
        <v>7593</v>
      </c>
      <c r="R10">
        <v>28159</v>
      </c>
    </row>
    <row r="11" spans="1:18">
      <c r="A11" t="s">
        <v>883</v>
      </c>
      <c r="C11">
        <v>1990</v>
      </c>
      <c r="D11">
        <v>1045</v>
      </c>
      <c r="G11">
        <v>3035</v>
      </c>
      <c r="J11" t="s">
        <v>1025</v>
      </c>
      <c r="K11">
        <v>627</v>
      </c>
      <c r="N11" t="s">
        <v>141</v>
      </c>
      <c r="O11">
        <v>6056</v>
      </c>
      <c r="P11">
        <v>14625</v>
      </c>
      <c r="Q11">
        <v>17060</v>
      </c>
      <c r="R11">
        <v>37741</v>
      </c>
    </row>
    <row r="12" spans="1:18">
      <c r="A12" t="s">
        <v>1017</v>
      </c>
      <c r="B12">
        <v>2677</v>
      </c>
      <c r="C12">
        <v>2967</v>
      </c>
      <c r="D12">
        <v>3297</v>
      </c>
      <c r="E12">
        <v>2384</v>
      </c>
      <c r="F12">
        <v>1394</v>
      </c>
      <c r="G12">
        <v>12719</v>
      </c>
      <c r="J12" t="s">
        <v>1026</v>
      </c>
      <c r="K12">
        <v>3502</v>
      </c>
      <c r="N12" t="s">
        <v>629</v>
      </c>
      <c r="P12">
        <v>5968</v>
      </c>
      <c r="Q12">
        <v>20002</v>
      </c>
      <c r="R12">
        <v>25970</v>
      </c>
    </row>
    <row r="13" spans="1:18">
      <c r="J13" t="s">
        <v>141</v>
      </c>
      <c r="K13">
        <v>7128</v>
      </c>
      <c r="N13" t="s">
        <v>610</v>
      </c>
      <c r="O13">
        <v>2073</v>
      </c>
      <c r="P13">
        <v>6882</v>
      </c>
      <c r="Q13">
        <v>7027</v>
      </c>
      <c r="R13">
        <v>15982</v>
      </c>
    </row>
    <row r="14" spans="1:18">
      <c r="J14" t="s">
        <v>1027</v>
      </c>
      <c r="K14">
        <v>2298</v>
      </c>
      <c r="N14" t="s">
        <v>1017</v>
      </c>
      <c r="O14">
        <v>33368</v>
      </c>
      <c r="P14">
        <v>138513</v>
      </c>
      <c r="Q14">
        <v>104769</v>
      </c>
      <c r="R14">
        <v>276650</v>
      </c>
    </row>
    <row r="15" spans="1:18">
      <c r="A15" s="44" t="s">
        <v>1015</v>
      </c>
      <c r="B15" s="44" t="s">
        <v>1013</v>
      </c>
      <c r="J15" t="s">
        <v>629</v>
      </c>
      <c r="K15">
        <v>13034</v>
      </c>
    </row>
    <row r="16" spans="1:18">
      <c r="A16" s="44" t="s">
        <v>1016</v>
      </c>
      <c r="B16" s="111">
        <v>45705</v>
      </c>
      <c r="C16" s="111">
        <v>45706</v>
      </c>
      <c r="D16" s="111">
        <v>45707</v>
      </c>
      <c r="E16" s="111">
        <v>45708</v>
      </c>
      <c r="F16" s="111">
        <v>45709</v>
      </c>
      <c r="G16" t="s">
        <v>1017</v>
      </c>
      <c r="J16" t="s">
        <v>600</v>
      </c>
      <c r="K16">
        <v>4828</v>
      </c>
    </row>
    <row r="17" spans="1:11">
      <c r="A17" t="s">
        <v>771</v>
      </c>
      <c r="E17">
        <v>547</v>
      </c>
      <c r="F17">
        <v>792</v>
      </c>
      <c r="G17">
        <v>1339</v>
      </c>
      <c r="J17" t="s">
        <v>610</v>
      </c>
      <c r="K17">
        <v>6718</v>
      </c>
    </row>
    <row r="18" spans="1:11">
      <c r="A18" t="s">
        <v>774</v>
      </c>
      <c r="F18">
        <v>823</v>
      </c>
      <c r="G18">
        <v>823</v>
      </c>
      <c r="J18" t="s">
        <v>529</v>
      </c>
    </row>
    <row r="19" spans="1:11">
      <c r="A19" t="s">
        <v>780</v>
      </c>
      <c r="E19">
        <v>23</v>
      </c>
      <c r="F19">
        <v>24</v>
      </c>
      <c r="G19">
        <v>47</v>
      </c>
      <c r="J19" t="s">
        <v>1017</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1017</v>
      </c>
      <c r="B35">
        <v>666</v>
      </c>
      <c r="C35">
        <v>3607</v>
      </c>
      <c r="D35">
        <v>6573</v>
      </c>
      <c r="E35">
        <v>6968</v>
      </c>
      <c r="F35">
        <v>9397</v>
      </c>
      <c r="G35">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1028</v>
      </c>
      <c r="F66">
        <v>0</v>
      </c>
      <c r="G66">
        <v>0</v>
      </c>
    </row>
    <row r="67" spans="1:7">
      <c r="A67" t="s">
        <v>609</v>
      </c>
      <c r="D67">
        <v>1090</v>
      </c>
      <c r="E67">
        <v>840</v>
      </c>
      <c r="F67">
        <v>530</v>
      </c>
      <c r="G67">
        <v>2460</v>
      </c>
    </row>
    <row r="68" spans="1:7">
      <c r="A68" t="s">
        <v>1029</v>
      </c>
      <c r="D68">
        <v>120</v>
      </c>
      <c r="G68">
        <v>120</v>
      </c>
    </row>
    <row r="69" spans="1:7">
      <c r="A69" t="s">
        <v>840</v>
      </c>
      <c r="D69">
        <v>399</v>
      </c>
      <c r="E69">
        <v>335</v>
      </c>
      <c r="F69">
        <v>1339</v>
      </c>
      <c r="G69">
        <v>2073</v>
      </c>
    </row>
    <row r="70" spans="1:7">
      <c r="A70" t="s">
        <v>872</v>
      </c>
      <c r="D70">
        <v>891</v>
      </c>
      <c r="E70">
        <v>1213</v>
      </c>
      <c r="F70">
        <v>1054</v>
      </c>
      <c r="G70">
        <v>3158</v>
      </c>
    </row>
    <row r="71" spans="1:7" hidden="1">
      <c r="A71" t="s">
        <v>1030</v>
      </c>
      <c r="F71">
        <v>0</v>
      </c>
      <c r="G71">
        <v>0</v>
      </c>
    </row>
    <row r="72" spans="1:7">
      <c r="A72" t="s">
        <v>1017</v>
      </c>
      <c r="B72">
        <v>2715</v>
      </c>
      <c r="C72">
        <v>5384</v>
      </c>
      <c r="D72">
        <v>9765</v>
      </c>
      <c r="E72">
        <v>9064</v>
      </c>
      <c r="F72">
        <v>6000</v>
      </c>
      <c r="G72">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1028</v>
      </c>
      <c r="B102">
        <v>0</v>
      </c>
      <c r="D102">
        <v>0</v>
      </c>
      <c r="E102">
        <v>0</v>
      </c>
      <c r="F102">
        <v>0</v>
      </c>
      <c r="G102">
        <v>0</v>
      </c>
    </row>
    <row r="103" spans="1:7">
      <c r="A103" t="s">
        <v>609</v>
      </c>
      <c r="B103">
        <v>0</v>
      </c>
      <c r="D103">
        <v>372</v>
      </c>
      <c r="E103">
        <v>0</v>
      </c>
      <c r="F103">
        <v>0</v>
      </c>
      <c r="G103">
        <v>372</v>
      </c>
    </row>
    <row r="104" spans="1:7">
      <c r="A104" t="s">
        <v>1029</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1031</v>
      </c>
      <c r="C110">
        <v>285</v>
      </c>
      <c r="G110">
        <v>285</v>
      </c>
    </row>
    <row r="111" spans="1:7">
      <c r="A111" t="s">
        <v>635</v>
      </c>
      <c r="D111">
        <v>617</v>
      </c>
      <c r="E111">
        <v>286</v>
      </c>
      <c r="F111">
        <v>0</v>
      </c>
      <c r="G111">
        <v>903</v>
      </c>
    </row>
    <row r="112" spans="1:7">
      <c r="A112" t="s">
        <v>976</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1017</v>
      </c>
      <c r="B119">
        <v>7386</v>
      </c>
      <c r="C119">
        <v>7398</v>
      </c>
      <c r="D119">
        <v>6140</v>
      </c>
      <c r="E119">
        <v>7383</v>
      </c>
      <c r="F119">
        <v>6171</v>
      </c>
      <c r="G11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1028</v>
      </c>
      <c r="B149">
        <v>0</v>
      </c>
      <c r="C149">
        <v>106</v>
      </c>
      <c r="D149">
        <v>0</v>
      </c>
      <c r="E149">
        <v>0</v>
      </c>
      <c r="F149">
        <v>0</v>
      </c>
      <c r="G149">
        <v>106</v>
      </c>
    </row>
    <row r="150" spans="1:7">
      <c r="A150" t="s">
        <v>609</v>
      </c>
      <c r="B150">
        <v>649</v>
      </c>
      <c r="C150">
        <v>528</v>
      </c>
      <c r="D150">
        <v>489</v>
      </c>
      <c r="E150">
        <v>534</v>
      </c>
      <c r="G150">
        <v>2200</v>
      </c>
    </row>
    <row r="151" spans="1:7">
      <c r="A151" t="s">
        <v>1029</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1030</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976</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1032</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984</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1017</v>
      </c>
      <c r="B175">
        <v>3692</v>
      </c>
      <c r="C175">
        <v>8835</v>
      </c>
      <c r="D175">
        <v>14012</v>
      </c>
      <c r="E175">
        <v>11838</v>
      </c>
      <c r="F175">
        <v>6153</v>
      </c>
      <c r="G175">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1028</v>
      </c>
    </row>
    <row r="192" spans="1:7">
      <c r="A192" t="s">
        <v>872</v>
      </c>
      <c r="D192">
        <v>1409</v>
      </c>
      <c r="E192">
        <v>1016</v>
      </c>
      <c r="G192">
        <v>2425</v>
      </c>
    </row>
    <row r="193" spans="1:7">
      <c r="A193" t="s">
        <v>1030</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976</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1032</v>
      </c>
    </row>
    <row r="206" spans="1:7">
      <c r="A206" t="s">
        <v>874</v>
      </c>
      <c r="D206">
        <v>1460</v>
      </c>
      <c r="E206">
        <v>0</v>
      </c>
      <c r="F206">
        <v>420</v>
      </c>
      <c r="G206">
        <v>1880</v>
      </c>
    </row>
    <row r="207" spans="1:7">
      <c r="A207" t="s">
        <v>838</v>
      </c>
      <c r="B207">
        <v>919</v>
      </c>
      <c r="E207">
        <v>1672</v>
      </c>
      <c r="F207">
        <v>0</v>
      </c>
      <c r="G207">
        <v>2591</v>
      </c>
    </row>
    <row r="208" spans="1:7">
      <c r="A208" t="s">
        <v>984</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967</v>
      </c>
      <c r="C214">
        <v>977</v>
      </c>
      <c r="D214">
        <v>953</v>
      </c>
      <c r="E214">
        <v>2472</v>
      </c>
      <c r="F214">
        <v>399</v>
      </c>
      <c r="G214">
        <v>4801</v>
      </c>
    </row>
    <row r="215" spans="1:7">
      <c r="A215" t="s">
        <v>878</v>
      </c>
      <c r="C215">
        <v>803</v>
      </c>
      <c r="D215">
        <v>551</v>
      </c>
      <c r="E215">
        <v>0</v>
      </c>
      <c r="G215">
        <v>1354</v>
      </c>
    </row>
    <row r="216" spans="1:7">
      <c r="A216" t="s">
        <v>1033</v>
      </c>
    </row>
    <row r="217" spans="1:7">
      <c r="A217" t="s">
        <v>854</v>
      </c>
      <c r="D217">
        <v>1373</v>
      </c>
      <c r="E217">
        <v>3928</v>
      </c>
      <c r="F217">
        <v>1528</v>
      </c>
      <c r="G217">
        <v>6829</v>
      </c>
    </row>
    <row r="218" spans="1:7">
      <c r="A218" t="s">
        <v>1034</v>
      </c>
      <c r="E218">
        <v>1016</v>
      </c>
      <c r="G218">
        <v>1016</v>
      </c>
    </row>
    <row r="219" spans="1:7">
      <c r="A219" t="s">
        <v>85</v>
      </c>
      <c r="E219">
        <v>706</v>
      </c>
      <c r="G219">
        <v>706</v>
      </c>
    </row>
    <row r="220" spans="1:7">
      <c r="A220" t="s">
        <v>1035</v>
      </c>
      <c r="F220">
        <v>583</v>
      </c>
      <c r="G220">
        <v>583</v>
      </c>
    </row>
    <row r="221" spans="1:7">
      <c r="A221" t="s">
        <v>1017</v>
      </c>
      <c r="B221">
        <v>7728</v>
      </c>
      <c r="C221">
        <v>5573</v>
      </c>
      <c r="D221">
        <v>6879</v>
      </c>
      <c r="E221">
        <v>18825</v>
      </c>
      <c r="F221">
        <v>4269</v>
      </c>
      <c r="G221">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984</v>
      </c>
      <c r="C238">
        <v>0</v>
      </c>
      <c r="D238">
        <v>0</v>
      </c>
      <c r="E238">
        <v>0</v>
      </c>
      <c r="G238">
        <v>0</v>
      </c>
    </row>
    <row r="239" spans="1:7">
      <c r="A239" t="s">
        <v>762</v>
      </c>
      <c r="B239">
        <v>905</v>
      </c>
      <c r="C239">
        <v>630</v>
      </c>
      <c r="D239">
        <v>894</v>
      </c>
      <c r="G239">
        <v>2429</v>
      </c>
    </row>
    <row r="240" spans="1:7">
      <c r="A240" t="s">
        <v>1036</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1037</v>
      </c>
    </row>
    <row r="245" spans="1:7">
      <c r="A245" t="s">
        <v>1038</v>
      </c>
    </row>
    <row r="246" spans="1:7">
      <c r="A246" t="s">
        <v>979</v>
      </c>
      <c r="C246">
        <v>575</v>
      </c>
      <c r="G246">
        <v>575</v>
      </c>
    </row>
    <row r="247" spans="1:7">
      <c r="A247" t="s">
        <v>595</v>
      </c>
      <c r="C247">
        <v>1065</v>
      </c>
      <c r="D247">
        <v>825</v>
      </c>
      <c r="E247">
        <v>705</v>
      </c>
      <c r="G247">
        <v>2595</v>
      </c>
    </row>
    <row r="248" spans="1:7">
      <c r="A248" t="s">
        <v>981</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972</v>
      </c>
      <c r="D253">
        <v>1972</v>
      </c>
      <c r="E253">
        <v>178</v>
      </c>
      <c r="F253">
        <v>266</v>
      </c>
      <c r="G253">
        <v>2416</v>
      </c>
    </row>
    <row r="254" spans="1:7">
      <c r="A254" t="s">
        <v>1039</v>
      </c>
      <c r="E254">
        <v>0</v>
      </c>
      <c r="G254">
        <v>0</v>
      </c>
    </row>
    <row r="255" spans="1:7">
      <c r="A255" t="s">
        <v>637</v>
      </c>
      <c r="E255">
        <v>195</v>
      </c>
      <c r="G255">
        <v>195</v>
      </c>
    </row>
    <row r="256" spans="1:7">
      <c r="A256" t="s">
        <v>750</v>
      </c>
      <c r="F256">
        <v>0</v>
      </c>
      <c r="G256">
        <v>0</v>
      </c>
    </row>
    <row r="257" spans="1:7">
      <c r="A257" t="s">
        <v>1040</v>
      </c>
    </row>
    <row r="258" spans="1:7">
      <c r="A258" t="s">
        <v>1017</v>
      </c>
      <c r="B258">
        <v>6288</v>
      </c>
      <c r="C258">
        <v>10704</v>
      </c>
      <c r="D258">
        <v>15537</v>
      </c>
      <c r="E258">
        <v>4598</v>
      </c>
      <c r="F258">
        <v>4133</v>
      </c>
      <c r="G258">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967</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972</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1041</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531</v>
      </c>
      <c r="B284">
        <v>2227</v>
      </c>
      <c r="G284">
        <v>2227</v>
      </c>
    </row>
    <row r="285" spans="1:7">
      <c r="A285" t="s">
        <v>787</v>
      </c>
      <c r="C285">
        <v>0</v>
      </c>
      <c r="D285">
        <v>0</v>
      </c>
      <c r="E285">
        <v>344</v>
      </c>
      <c r="G285">
        <v>344</v>
      </c>
    </row>
    <row r="286" spans="1:7">
      <c r="A286" t="s">
        <v>528</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536</v>
      </c>
    </row>
    <row r="292" spans="1:7">
      <c r="A292" t="s">
        <v>862</v>
      </c>
      <c r="F292">
        <v>2144</v>
      </c>
      <c r="G292">
        <v>2144</v>
      </c>
    </row>
    <row r="293" spans="1:7">
      <c r="A293" t="s">
        <v>1017</v>
      </c>
      <c r="B293">
        <v>12032</v>
      </c>
      <c r="C293">
        <v>2267</v>
      </c>
      <c r="D293">
        <v>3661</v>
      </c>
      <c r="E293">
        <v>10915</v>
      </c>
      <c r="F293">
        <v>3770</v>
      </c>
      <c r="G29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984</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528</v>
      </c>
    </row>
    <row r="311" spans="1:7">
      <c r="A311" t="s">
        <v>865</v>
      </c>
    </row>
    <row r="312" spans="1:7">
      <c r="A312" t="s">
        <v>686</v>
      </c>
      <c r="B312">
        <v>618</v>
      </c>
      <c r="C312">
        <v>700</v>
      </c>
      <c r="G312">
        <v>1318</v>
      </c>
    </row>
    <row r="313" spans="1:7">
      <c r="A313" t="s">
        <v>678</v>
      </c>
    </row>
    <row r="314" spans="1:7">
      <c r="A314" t="s">
        <v>536</v>
      </c>
    </row>
    <row r="315" spans="1:7">
      <c r="A315" t="s">
        <v>862</v>
      </c>
      <c r="B315">
        <v>990</v>
      </c>
      <c r="C315">
        <v>1871</v>
      </c>
      <c r="D315">
        <v>1307</v>
      </c>
      <c r="G315">
        <v>4168</v>
      </c>
    </row>
    <row r="316" spans="1:7">
      <c r="A316" t="s">
        <v>511</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1017</v>
      </c>
      <c r="B322">
        <v>5328</v>
      </c>
      <c r="C322">
        <v>4629</v>
      </c>
      <c r="D322">
        <v>5655</v>
      </c>
      <c r="E322">
        <v>4473</v>
      </c>
      <c r="F322">
        <v>2741</v>
      </c>
      <c r="G322">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1037</v>
      </c>
      <c r="E336">
        <v>96</v>
      </c>
      <c r="G336">
        <v>96</v>
      </c>
    </row>
    <row r="337" spans="1:7">
      <c r="A337" t="s">
        <v>972</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969</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1017</v>
      </c>
      <c r="B350">
        <v>3213</v>
      </c>
      <c r="C350">
        <v>9609</v>
      </c>
      <c r="D350">
        <v>8532</v>
      </c>
      <c r="E350">
        <v>6325</v>
      </c>
      <c r="F350">
        <v>3565</v>
      </c>
      <c r="G350">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981</v>
      </c>
    </row>
    <row r="363" spans="1:7">
      <c r="A363" t="s">
        <v>800</v>
      </c>
    </row>
    <row r="364" spans="1:7">
      <c r="A364" t="s">
        <v>834</v>
      </c>
    </row>
    <row r="365" spans="1:7">
      <c r="A365" t="s">
        <v>812</v>
      </c>
      <c r="B365">
        <v>1050</v>
      </c>
      <c r="G365">
        <v>1050</v>
      </c>
    </row>
    <row r="366" spans="1:7">
      <c r="A366" t="s">
        <v>832</v>
      </c>
    </row>
    <row r="367" spans="1:7">
      <c r="A367" t="s">
        <v>969</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1017</v>
      </c>
      <c r="B380">
        <v>2956</v>
      </c>
      <c r="C380">
        <v>6650</v>
      </c>
      <c r="D380">
        <v>7542</v>
      </c>
      <c r="E380">
        <v>7403</v>
      </c>
      <c r="F380">
        <v>3549</v>
      </c>
      <c r="G380">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883</v>
      </c>
      <c r="B385">
        <v>423</v>
      </c>
      <c r="G385">
        <v>423</v>
      </c>
    </row>
    <row r="386" spans="1:7">
      <c r="A386" t="s">
        <v>635</v>
      </c>
    </row>
    <row r="387" spans="1:7">
      <c r="A387" t="s">
        <v>876</v>
      </c>
      <c r="F387">
        <v>1367</v>
      </c>
      <c r="G387">
        <v>1367</v>
      </c>
    </row>
    <row r="388" spans="1:7">
      <c r="A388" t="s">
        <v>808</v>
      </c>
    </row>
    <row r="389" spans="1:7">
      <c r="A389" t="s">
        <v>969</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1042</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1017</v>
      </c>
      <c r="B402">
        <v>6951</v>
      </c>
      <c r="C402">
        <v>8540</v>
      </c>
      <c r="D402">
        <v>8067</v>
      </c>
      <c r="E402">
        <v>4788</v>
      </c>
      <c r="F402">
        <v>2387</v>
      </c>
      <c r="G402">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511</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1043</v>
      </c>
      <c r="B420">
        <v>640</v>
      </c>
      <c r="C420">
        <v>490</v>
      </c>
      <c r="D420">
        <v>127</v>
      </c>
      <c r="G420">
        <v>1257</v>
      </c>
    </row>
    <row r="421" spans="1:7">
      <c r="A421" t="s">
        <v>515</v>
      </c>
    </row>
    <row r="422" spans="1:7">
      <c r="A422" t="s">
        <v>706</v>
      </c>
      <c r="B422">
        <v>575</v>
      </c>
      <c r="C422">
        <v>1847</v>
      </c>
      <c r="D422">
        <v>1052</v>
      </c>
      <c r="E422">
        <v>1846</v>
      </c>
      <c r="G422">
        <v>5320</v>
      </c>
    </row>
    <row r="423" spans="1:7">
      <c r="A423" t="s">
        <v>702</v>
      </c>
      <c r="C423">
        <v>565</v>
      </c>
      <c r="D423">
        <v>1935</v>
      </c>
      <c r="E423">
        <v>1483</v>
      </c>
      <c r="G423">
        <v>3983</v>
      </c>
    </row>
    <row r="424" spans="1:7">
      <c r="A424" t="s">
        <v>1044</v>
      </c>
      <c r="D424">
        <v>592</v>
      </c>
      <c r="E424">
        <v>592</v>
      </c>
      <c r="F424">
        <v>730</v>
      </c>
      <c r="G424">
        <v>1914</v>
      </c>
    </row>
    <row r="425" spans="1:7">
      <c r="A425" t="s">
        <v>1045</v>
      </c>
      <c r="D425">
        <v>645</v>
      </c>
      <c r="E425">
        <v>853</v>
      </c>
      <c r="G425">
        <v>1498</v>
      </c>
    </row>
    <row r="426" spans="1:7">
      <c r="A426" t="s">
        <v>1046</v>
      </c>
      <c r="E426">
        <v>616</v>
      </c>
      <c r="F426">
        <v>900</v>
      </c>
      <c r="G426">
        <v>1516</v>
      </c>
    </row>
    <row r="427" spans="1:7">
      <c r="A427" t="s">
        <v>87</v>
      </c>
      <c r="E427">
        <v>225</v>
      </c>
      <c r="G427">
        <v>225</v>
      </c>
    </row>
    <row r="428" spans="1:7">
      <c r="A428" t="s">
        <v>1017</v>
      </c>
      <c r="B428">
        <v>3282</v>
      </c>
      <c r="C428">
        <v>5067</v>
      </c>
      <c r="D428">
        <v>5637</v>
      </c>
      <c r="E428">
        <v>6198</v>
      </c>
      <c r="F428">
        <v>2723</v>
      </c>
      <c r="G428">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883</v>
      </c>
    </row>
    <row r="434" spans="1:7">
      <c r="A434" t="s">
        <v>1047</v>
      </c>
    </row>
    <row r="435" spans="1:7">
      <c r="A435" t="s">
        <v>599</v>
      </c>
      <c r="C435">
        <v>55</v>
      </c>
      <c r="G435">
        <v>55</v>
      </c>
    </row>
    <row r="436" spans="1:7">
      <c r="A436" t="s">
        <v>723</v>
      </c>
      <c r="D436">
        <v>1190</v>
      </c>
      <c r="G436">
        <v>1190</v>
      </c>
    </row>
    <row r="437" spans="1:7">
      <c r="A437" t="s">
        <v>1037</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1045</v>
      </c>
    </row>
    <row r="445" spans="1:7">
      <c r="A445" t="s">
        <v>1046</v>
      </c>
      <c r="C445">
        <v>212</v>
      </c>
      <c r="E445">
        <v>1316</v>
      </c>
      <c r="F445">
        <v>1232</v>
      </c>
      <c r="G445">
        <v>2760</v>
      </c>
    </row>
    <row r="446" spans="1:7">
      <c r="A446" t="s">
        <v>518</v>
      </c>
      <c r="D446">
        <v>153</v>
      </c>
      <c r="G446">
        <v>153</v>
      </c>
    </row>
    <row r="447" spans="1:7">
      <c r="A447" t="s">
        <v>1048</v>
      </c>
    </row>
    <row r="448" spans="1:7">
      <c r="A448" t="s">
        <v>1049</v>
      </c>
    </row>
    <row r="449" spans="1:7">
      <c r="A449" t="s">
        <v>1050</v>
      </c>
      <c r="E449">
        <v>201</v>
      </c>
      <c r="F449">
        <v>30</v>
      </c>
      <c r="G449">
        <v>231</v>
      </c>
    </row>
    <row r="450" spans="1:7">
      <c r="A450" t="s">
        <v>644</v>
      </c>
      <c r="E450">
        <v>1580</v>
      </c>
      <c r="G450">
        <v>1580</v>
      </c>
    </row>
    <row r="451" spans="1:7">
      <c r="A451" t="s">
        <v>1051</v>
      </c>
      <c r="F451">
        <v>151</v>
      </c>
      <c r="G451">
        <v>151</v>
      </c>
    </row>
    <row r="452" spans="1:7">
      <c r="A452" t="s">
        <v>1017</v>
      </c>
      <c r="C452">
        <v>1866</v>
      </c>
      <c r="D452">
        <v>2445</v>
      </c>
      <c r="E452">
        <v>5402</v>
      </c>
      <c r="F452">
        <v>3784</v>
      </c>
      <c r="G452">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1046</v>
      </c>
      <c r="B468">
        <v>1156</v>
      </c>
      <c r="C468">
        <v>947</v>
      </c>
      <c r="G468">
        <v>2103</v>
      </c>
    </row>
    <row r="469" spans="1:7">
      <c r="A469" t="s">
        <v>644</v>
      </c>
      <c r="B469">
        <v>270</v>
      </c>
      <c r="E469">
        <v>948</v>
      </c>
      <c r="G469">
        <v>1218</v>
      </c>
    </row>
    <row r="470" spans="1:7">
      <c r="A470" t="s">
        <v>444</v>
      </c>
      <c r="B470">
        <v>644</v>
      </c>
      <c r="C470">
        <v>1430</v>
      </c>
      <c r="D470">
        <v>970</v>
      </c>
      <c r="G470">
        <v>3044</v>
      </c>
    </row>
    <row r="471" spans="1:7">
      <c r="A471" t="s">
        <v>534</v>
      </c>
      <c r="F471">
        <v>285</v>
      </c>
      <c r="G471">
        <v>285</v>
      </c>
    </row>
    <row r="472" spans="1:7">
      <c r="A472" t="s">
        <v>1052</v>
      </c>
      <c r="E472">
        <v>260</v>
      </c>
      <c r="F472">
        <v>129</v>
      </c>
      <c r="G472">
        <v>389</v>
      </c>
    </row>
    <row r="473" spans="1:7">
      <c r="A473" t="s">
        <v>1053</v>
      </c>
    </row>
    <row r="474" spans="1:7">
      <c r="A474" t="s">
        <v>1017</v>
      </c>
      <c r="B474">
        <v>4596</v>
      </c>
      <c r="C474">
        <v>3924</v>
      </c>
      <c r="D474">
        <v>3428</v>
      </c>
      <c r="E474">
        <v>1980</v>
      </c>
      <c r="F474">
        <v>1544</v>
      </c>
      <c r="G474">
        <v>15472</v>
      </c>
    </row>
    <row r="477" spans="1:7">
      <c r="A477" s="44" t="s">
        <v>1015</v>
      </c>
      <c r="B477" s="44" t="s">
        <v>1013</v>
      </c>
    </row>
    <row r="478" spans="1:7">
      <c r="A478" s="44" t="s">
        <v>1016</v>
      </c>
      <c r="B478" s="111">
        <v>45804</v>
      </c>
      <c r="C478" s="111">
        <v>45805</v>
      </c>
      <c r="D478" s="111">
        <v>45806</v>
      </c>
      <c r="E478" s="111">
        <v>45807</v>
      </c>
      <c r="F478" t="s">
        <v>1017</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444</v>
      </c>
      <c r="B485">
        <v>948</v>
      </c>
      <c r="D485">
        <v>736</v>
      </c>
      <c r="F485">
        <v>1684</v>
      </c>
    </row>
    <row r="486" spans="1:7">
      <c r="A486" t="s">
        <v>422</v>
      </c>
    </row>
    <row r="487" spans="1:7">
      <c r="A487" t="s">
        <v>1054</v>
      </c>
    </row>
    <row r="488" spans="1:7">
      <c r="A488" t="s">
        <v>1055</v>
      </c>
    </row>
    <row r="489" spans="1:7">
      <c r="A489" t="s">
        <v>1056</v>
      </c>
    </row>
    <row r="490" spans="1:7">
      <c r="A490" t="s">
        <v>1057</v>
      </c>
    </row>
    <row r="491" spans="1:7">
      <c r="A491" t="s">
        <v>1058</v>
      </c>
    </row>
    <row r="492" spans="1:7">
      <c r="A492" t="s">
        <v>1017</v>
      </c>
      <c r="B492">
        <v>2983</v>
      </c>
      <c r="C492">
        <v>3593</v>
      </c>
      <c r="D492">
        <v>3943</v>
      </c>
      <c r="E492">
        <v>711</v>
      </c>
      <c r="F492">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511</v>
      </c>
      <c r="E501">
        <v>341</v>
      </c>
      <c r="G501">
        <v>341</v>
      </c>
    </row>
    <row r="502" spans="1:7">
      <c r="A502" t="s">
        <v>1051</v>
      </c>
    </row>
    <row r="503" spans="1:7">
      <c r="A503" t="s">
        <v>444</v>
      </c>
      <c r="B503">
        <v>1957</v>
      </c>
      <c r="G503">
        <v>1957</v>
      </c>
    </row>
    <row r="504" spans="1:7">
      <c r="A504" t="s">
        <v>422</v>
      </c>
      <c r="B504">
        <v>275</v>
      </c>
      <c r="C504">
        <v>280</v>
      </c>
      <c r="D504">
        <v>310</v>
      </c>
      <c r="G504">
        <v>865</v>
      </c>
    </row>
    <row r="505" spans="1:7">
      <c r="A505" t="s">
        <v>901</v>
      </c>
      <c r="B505">
        <v>800</v>
      </c>
      <c r="C505">
        <v>631</v>
      </c>
      <c r="D505">
        <v>1401</v>
      </c>
      <c r="G505">
        <v>2832</v>
      </c>
    </row>
    <row r="506" spans="1:7">
      <c r="A506" t="s">
        <v>1059</v>
      </c>
      <c r="B506">
        <v>6</v>
      </c>
      <c r="G506">
        <v>6</v>
      </c>
    </row>
    <row r="507" spans="1:7">
      <c r="A507" t="s">
        <v>1060</v>
      </c>
    </row>
    <row r="508" spans="1:7">
      <c r="A508" t="s">
        <v>1061</v>
      </c>
    </row>
    <row r="509" spans="1:7">
      <c r="A509" t="s">
        <v>708</v>
      </c>
      <c r="D509">
        <v>610</v>
      </c>
      <c r="E509">
        <v>2523</v>
      </c>
      <c r="G509">
        <v>3133</v>
      </c>
    </row>
    <row r="510" spans="1:7">
      <c r="A510" t="s">
        <v>1062</v>
      </c>
    </row>
    <row r="511" spans="1:7">
      <c r="A511" t="s">
        <v>1017</v>
      </c>
      <c r="B511">
        <v>3758</v>
      </c>
      <c r="C511">
        <v>3342</v>
      </c>
      <c r="D511">
        <v>2404</v>
      </c>
      <c r="E511">
        <v>3965</v>
      </c>
      <c r="F511">
        <v>437</v>
      </c>
      <c r="G511">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422</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1063</v>
      </c>
      <c r="B523">
        <v>155</v>
      </c>
      <c r="G523">
        <v>155</v>
      </c>
    </row>
    <row r="524" spans="1:7">
      <c r="A524" t="s">
        <v>1064</v>
      </c>
    </row>
    <row r="525" spans="1:7">
      <c r="A525" t="s">
        <v>1017</v>
      </c>
      <c r="B525">
        <v>2363</v>
      </c>
      <c r="C525">
        <v>2146</v>
      </c>
      <c r="D525">
        <v>2345</v>
      </c>
      <c r="E525">
        <v>1790</v>
      </c>
      <c r="G525">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767</v>
      </c>
    </row>
    <row r="531" spans="1:7">
      <c r="A531" t="s">
        <v>972</v>
      </c>
    </row>
    <row r="532" spans="1:7">
      <c r="A532" t="s">
        <v>750</v>
      </c>
      <c r="B532">
        <v>1394</v>
      </c>
      <c r="C532">
        <v>1756</v>
      </c>
      <c r="D532">
        <v>846</v>
      </c>
      <c r="G532">
        <v>3996</v>
      </c>
    </row>
    <row r="533" spans="1:7">
      <c r="A533" t="s">
        <v>632</v>
      </c>
      <c r="B533">
        <v>465</v>
      </c>
      <c r="C533">
        <v>218</v>
      </c>
      <c r="D533">
        <v>729</v>
      </c>
      <c r="E533">
        <v>464</v>
      </c>
      <c r="G533">
        <v>1876</v>
      </c>
    </row>
    <row r="534" spans="1:7">
      <c r="A534" t="s">
        <v>528</v>
      </c>
      <c r="E534">
        <v>977</v>
      </c>
      <c r="G534">
        <v>977</v>
      </c>
    </row>
    <row r="535" spans="1:7">
      <c r="A535" t="s">
        <v>1050</v>
      </c>
      <c r="D535">
        <v>81</v>
      </c>
      <c r="F535">
        <v>114</v>
      </c>
      <c r="G535">
        <v>195</v>
      </c>
    </row>
    <row r="536" spans="1:7">
      <c r="A536" t="s">
        <v>644</v>
      </c>
    </row>
    <row r="537" spans="1:7">
      <c r="A537" t="s">
        <v>444</v>
      </c>
    </row>
    <row r="538" spans="1:7">
      <c r="A538" t="s">
        <v>422</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1017</v>
      </c>
      <c r="B541">
        <v>2589</v>
      </c>
      <c r="C541">
        <v>4755</v>
      </c>
      <c r="D541">
        <v>3630</v>
      </c>
      <c r="E541">
        <v>1441</v>
      </c>
      <c r="F541">
        <v>166</v>
      </c>
      <c r="G541">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753</v>
      </c>
    </row>
    <row r="547" spans="1:7">
      <c r="A547" t="s">
        <v>750</v>
      </c>
      <c r="C547">
        <v>1946</v>
      </c>
      <c r="G547">
        <v>1946</v>
      </c>
    </row>
    <row r="548" spans="1:7">
      <c r="A548" t="s">
        <v>632</v>
      </c>
      <c r="E548">
        <v>112</v>
      </c>
      <c r="G548">
        <v>112</v>
      </c>
    </row>
    <row r="549" spans="1:7">
      <c r="A549" t="s">
        <v>528</v>
      </c>
      <c r="E549">
        <v>676</v>
      </c>
      <c r="F549">
        <v>430</v>
      </c>
      <c r="G549">
        <v>1106</v>
      </c>
    </row>
    <row r="550" spans="1:7">
      <c r="A550" t="s">
        <v>511</v>
      </c>
      <c r="D550">
        <v>649</v>
      </c>
      <c r="G550">
        <v>649</v>
      </c>
    </row>
    <row r="551" spans="1:7">
      <c r="A551" t="s">
        <v>1050</v>
      </c>
      <c r="B551">
        <v>237</v>
      </c>
      <c r="C551">
        <v>322</v>
      </c>
      <c r="D551">
        <v>245</v>
      </c>
      <c r="E551">
        <v>1091</v>
      </c>
      <c r="F551">
        <v>303</v>
      </c>
      <c r="G551">
        <v>2198</v>
      </c>
    </row>
    <row r="552" spans="1:7">
      <c r="A552" t="s">
        <v>422</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911</v>
      </c>
      <c r="C556">
        <v>1044</v>
      </c>
      <c r="D556">
        <v>1100</v>
      </c>
      <c r="E556">
        <v>1050</v>
      </c>
      <c r="G556">
        <v>3194</v>
      </c>
    </row>
    <row r="557" spans="1:7">
      <c r="A557" t="s">
        <v>740</v>
      </c>
      <c r="D557">
        <v>335</v>
      </c>
      <c r="E557">
        <v>200</v>
      </c>
      <c r="G557">
        <v>535</v>
      </c>
    </row>
    <row r="558" spans="1:7">
      <c r="A558" t="s">
        <v>1017</v>
      </c>
      <c r="B558">
        <v>2563</v>
      </c>
      <c r="C558">
        <v>4503</v>
      </c>
      <c r="D558">
        <v>3637</v>
      </c>
      <c r="E558">
        <v>4425</v>
      </c>
      <c r="F558">
        <v>733</v>
      </c>
      <c r="G558">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F563">
        <v>0</v>
      </c>
      <c r="G563">
        <v>0</v>
      </c>
    </row>
    <row r="564" spans="1:7">
      <c r="A564" t="s">
        <v>632</v>
      </c>
      <c r="C564">
        <v>282</v>
      </c>
      <c r="G564">
        <v>282</v>
      </c>
    </row>
    <row r="565" spans="1:7">
      <c r="A565" t="s">
        <v>528</v>
      </c>
      <c r="B565">
        <v>885</v>
      </c>
      <c r="C565">
        <v>478</v>
      </c>
      <c r="D565">
        <v>490</v>
      </c>
      <c r="E565">
        <v>372</v>
      </c>
      <c r="G565">
        <v>2225</v>
      </c>
    </row>
    <row r="566" spans="1:7">
      <c r="A566" t="s">
        <v>1043</v>
      </c>
    </row>
    <row r="567" spans="1:7">
      <c r="A567" t="s">
        <v>1050</v>
      </c>
      <c r="B567">
        <v>360</v>
      </c>
      <c r="G567">
        <v>360</v>
      </c>
    </row>
    <row r="568" spans="1:7">
      <c r="A568" t="s">
        <v>444</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1017</v>
      </c>
      <c r="B573">
        <v>1365</v>
      </c>
      <c r="C573">
        <v>880</v>
      </c>
      <c r="D573">
        <v>916</v>
      </c>
      <c r="E573">
        <v>372</v>
      </c>
      <c r="F573">
        <v>0</v>
      </c>
      <c r="G57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F578">
        <v>198</v>
      </c>
      <c r="G578">
        <v>198</v>
      </c>
    </row>
    <row r="579" spans="1:7">
      <c r="A579" t="s">
        <v>528</v>
      </c>
    </row>
    <row r="580" spans="1:7">
      <c r="A580" t="s">
        <v>536</v>
      </c>
    </row>
    <row r="581" spans="1:7">
      <c r="A581" t="s">
        <v>1045</v>
      </c>
      <c r="E581">
        <v>400</v>
      </c>
      <c r="G581">
        <v>400</v>
      </c>
    </row>
    <row r="582" spans="1:7">
      <c r="A582" t="s">
        <v>696</v>
      </c>
      <c r="B582">
        <v>846</v>
      </c>
      <c r="C582">
        <v>827</v>
      </c>
      <c r="G582">
        <v>1673</v>
      </c>
    </row>
    <row r="583" spans="1:7">
      <c r="A583" t="s">
        <v>959</v>
      </c>
      <c r="C583">
        <v>465</v>
      </c>
      <c r="D583">
        <v>321</v>
      </c>
      <c r="G583">
        <v>786</v>
      </c>
    </row>
    <row r="584" spans="1:7">
      <c r="A584" t="s">
        <v>649</v>
      </c>
      <c r="B584">
        <v>1644</v>
      </c>
      <c r="C584">
        <v>60</v>
      </c>
      <c r="G584">
        <v>1704</v>
      </c>
    </row>
    <row r="585" spans="1:7">
      <c r="A585" t="s">
        <v>1017</v>
      </c>
      <c r="B585">
        <v>2490</v>
      </c>
      <c r="C585">
        <v>1352</v>
      </c>
      <c r="D585">
        <v>321</v>
      </c>
      <c r="E585">
        <v>400</v>
      </c>
      <c r="F585">
        <v>198</v>
      </c>
      <c r="G585">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C590">
        <v>403</v>
      </c>
      <c r="D590">
        <v>39</v>
      </c>
      <c r="G590">
        <v>442</v>
      </c>
    </row>
    <row r="591" spans="1:7">
      <c r="A591" t="s">
        <v>531</v>
      </c>
      <c r="B591">
        <v>862</v>
      </c>
      <c r="G591">
        <v>862</v>
      </c>
    </row>
    <row r="592" spans="1:7">
      <c r="A592" t="s">
        <v>1045</v>
      </c>
      <c r="C592">
        <v>203</v>
      </c>
      <c r="D592">
        <v>170</v>
      </c>
      <c r="E592">
        <v>106</v>
      </c>
      <c r="G592">
        <v>479</v>
      </c>
    </row>
    <row r="593" spans="1:7">
      <c r="A593" t="s">
        <v>422</v>
      </c>
      <c r="D593">
        <v>280</v>
      </c>
      <c r="E593">
        <v>1972</v>
      </c>
      <c r="G593">
        <v>2252</v>
      </c>
    </row>
    <row r="594" spans="1:7">
      <c r="A594" t="s">
        <v>959</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986</v>
      </c>
      <c r="F598">
        <v>47</v>
      </c>
      <c r="G598">
        <v>47</v>
      </c>
    </row>
    <row r="599" spans="1:7">
      <c r="A599" t="s">
        <v>1017</v>
      </c>
      <c r="B599">
        <v>862</v>
      </c>
      <c r="C599">
        <v>1816</v>
      </c>
      <c r="D599">
        <v>1402</v>
      </c>
      <c r="E599">
        <v>2661</v>
      </c>
      <c r="F599">
        <v>47</v>
      </c>
      <c r="G59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C604">
        <v>318</v>
      </c>
      <c r="G604">
        <v>318</v>
      </c>
    </row>
    <row r="605" spans="1:7">
      <c r="A605" t="s">
        <v>531</v>
      </c>
      <c r="D605">
        <v>461</v>
      </c>
      <c r="E605">
        <v>880</v>
      </c>
      <c r="F605">
        <v>585</v>
      </c>
      <c r="G605">
        <v>1926</v>
      </c>
    </row>
    <row r="606" spans="1:7">
      <c r="A606" t="s">
        <v>536</v>
      </c>
      <c r="E606">
        <v>868</v>
      </c>
      <c r="G606">
        <v>868</v>
      </c>
    </row>
    <row r="607" spans="1:7">
      <c r="A607" t="s">
        <v>1045</v>
      </c>
      <c r="D607">
        <v>272</v>
      </c>
      <c r="E607">
        <v>79</v>
      </c>
      <c r="G607">
        <v>351</v>
      </c>
    </row>
    <row r="608" spans="1:7">
      <c r="A608" t="s">
        <v>422</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922</v>
      </c>
      <c r="B614">
        <v>1070</v>
      </c>
      <c r="C614">
        <v>1224</v>
      </c>
      <c r="D614">
        <v>235</v>
      </c>
      <c r="G614">
        <v>2529</v>
      </c>
    </row>
    <row r="615" spans="1:7">
      <c r="A615" t="s">
        <v>1065</v>
      </c>
      <c r="C615">
        <v>605</v>
      </c>
      <c r="G615">
        <v>605</v>
      </c>
    </row>
    <row r="616" spans="1:7">
      <c r="A616" t="s">
        <v>693</v>
      </c>
      <c r="D616">
        <v>363</v>
      </c>
      <c r="E616">
        <v>1077</v>
      </c>
      <c r="G616">
        <v>1440</v>
      </c>
    </row>
    <row r="617" spans="1:7">
      <c r="A617" t="s">
        <v>956</v>
      </c>
    </row>
    <row r="618" spans="1:7">
      <c r="A618" t="s">
        <v>1017</v>
      </c>
      <c r="B618">
        <v>3849</v>
      </c>
      <c r="C618">
        <v>5584</v>
      </c>
      <c r="D618">
        <v>3571</v>
      </c>
      <c r="E618">
        <v>5222</v>
      </c>
      <c r="F618">
        <v>585</v>
      </c>
      <c r="G618">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771</v>
      </c>
      <c r="F623">
        <v>318</v>
      </c>
      <c r="G623">
        <v>318</v>
      </c>
    </row>
    <row r="624" spans="1:7">
      <c r="A624" t="s">
        <v>606</v>
      </c>
      <c r="F624">
        <v>183</v>
      </c>
      <c r="G624">
        <v>183</v>
      </c>
    </row>
    <row r="625" spans="1:7">
      <c r="A625" t="s">
        <v>531</v>
      </c>
      <c r="B625">
        <v>345</v>
      </c>
      <c r="G625">
        <v>345</v>
      </c>
    </row>
    <row r="626" spans="1:7">
      <c r="A626" t="s">
        <v>422</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956</v>
      </c>
      <c r="C631">
        <v>581</v>
      </c>
      <c r="G631">
        <v>581</v>
      </c>
    </row>
    <row r="632" spans="1:7">
      <c r="A632" t="s">
        <v>525</v>
      </c>
      <c r="D632">
        <v>314</v>
      </c>
      <c r="G632">
        <v>314</v>
      </c>
    </row>
    <row r="633" spans="1:7">
      <c r="A633" t="s">
        <v>539</v>
      </c>
      <c r="E633">
        <v>2390</v>
      </c>
      <c r="F633">
        <v>1377</v>
      </c>
      <c r="G633">
        <v>3767</v>
      </c>
    </row>
    <row r="634" spans="1:7">
      <c r="A634" t="s">
        <v>1017</v>
      </c>
      <c r="B634">
        <v>4193</v>
      </c>
      <c r="C634">
        <v>3518</v>
      </c>
      <c r="D634">
        <v>4552</v>
      </c>
      <c r="E634">
        <v>3977</v>
      </c>
      <c r="F634">
        <v>1878</v>
      </c>
      <c r="G634">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row>
    <row r="640" spans="1:7">
      <c r="A640" t="s">
        <v>649</v>
      </c>
    </row>
    <row r="641" spans="1:7">
      <c r="A641" t="s">
        <v>525</v>
      </c>
    </row>
    <row r="642" spans="1:7">
      <c r="A642" t="s">
        <v>539</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1017</v>
      </c>
      <c r="B646">
        <v>918</v>
      </c>
      <c r="C646">
        <v>2865</v>
      </c>
      <c r="D646">
        <v>2804</v>
      </c>
      <c r="E646">
        <v>1582</v>
      </c>
      <c r="F646">
        <v>718</v>
      </c>
      <c r="G646">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C651">
        <v>319</v>
      </c>
      <c r="G651">
        <v>319</v>
      </c>
    </row>
    <row r="652" spans="1:7">
      <c r="A652" t="s">
        <v>1045</v>
      </c>
      <c r="B652">
        <v>376</v>
      </c>
      <c r="C652">
        <v>35</v>
      </c>
      <c r="D652">
        <v>48</v>
      </c>
      <c r="E652">
        <v>144</v>
      </c>
      <c r="F652">
        <v>64</v>
      </c>
      <c r="G652">
        <v>667</v>
      </c>
    </row>
    <row r="653" spans="1:7">
      <c r="A653" t="s">
        <v>539</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1066</v>
      </c>
    </row>
    <row r="659" spans="1:7">
      <c r="A659" t="s">
        <v>299</v>
      </c>
      <c r="F659">
        <v>391</v>
      </c>
      <c r="G659">
        <v>391</v>
      </c>
    </row>
    <row r="660" spans="1:7">
      <c r="A660" t="s">
        <v>1017</v>
      </c>
      <c r="B660">
        <v>2410</v>
      </c>
      <c r="C660">
        <v>3698</v>
      </c>
      <c r="D660">
        <v>2288</v>
      </c>
      <c r="E660">
        <v>861</v>
      </c>
      <c r="F660">
        <v>544</v>
      </c>
      <c r="G660">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D665">
        <v>499</v>
      </c>
      <c r="E665">
        <v>231</v>
      </c>
      <c r="F665">
        <v>316</v>
      </c>
      <c r="G665">
        <v>1046</v>
      </c>
    </row>
    <row r="666" spans="1:7">
      <c r="A666" t="s">
        <v>511</v>
      </c>
    </row>
    <row r="667" spans="1:7">
      <c r="A667" t="s">
        <v>1045</v>
      </c>
      <c r="B667">
        <v>141</v>
      </c>
      <c r="D667">
        <v>181</v>
      </c>
      <c r="E667">
        <v>82</v>
      </c>
      <c r="F667">
        <v>96</v>
      </c>
      <c r="G667">
        <v>500</v>
      </c>
    </row>
    <row r="668" spans="1:7">
      <c r="A668" t="s">
        <v>740</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720</v>
      </c>
    </row>
    <row r="672" spans="1:7">
      <c r="A672" t="s">
        <v>726</v>
      </c>
    </row>
    <row r="673" spans="1:7">
      <c r="A673" t="s">
        <v>299</v>
      </c>
      <c r="B673">
        <v>396</v>
      </c>
      <c r="G673">
        <v>396</v>
      </c>
    </row>
    <row r="674" spans="1:7">
      <c r="A674" t="s">
        <v>953</v>
      </c>
      <c r="B674">
        <v>1109</v>
      </c>
      <c r="G674">
        <v>1109</v>
      </c>
    </row>
    <row r="675" spans="1:7">
      <c r="A675" t="s">
        <v>1067</v>
      </c>
      <c r="C675">
        <v>205</v>
      </c>
      <c r="G675">
        <v>205</v>
      </c>
    </row>
    <row r="676" spans="1:7">
      <c r="A676" t="s">
        <v>1068</v>
      </c>
      <c r="C676">
        <v>1456</v>
      </c>
      <c r="D676">
        <v>1420</v>
      </c>
      <c r="E676">
        <v>1170</v>
      </c>
      <c r="F676">
        <v>1081</v>
      </c>
      <c r="G676">
        <v>5127</v>
      </c>
    </row>
    <row r="677" spans="1:7">
      <c r="A677" t="s">
        <v>914</v>
      </c>
      <c r="C677">
        <v>1460</v>
      </c>
      <c r="D677">
        <v>1428</v>
      </c>
      <c r="E677">
        <v>1654</v>
      </c>
      <c r="G677">
        <v>4542</v>
      </c>
    </row>
    <row r="678" spans="1:7">
      <c r="A678" t="s">
        <v>1069</v>
      </c>
      <c r="F678">
        <v>878</v>
      </c>
      <c r="G678">
        <v>878</v>
      </c>
    </row>
    <row r="679" spans="1:7">
      <c r="A679" t="s">
        <v>1017</v>
      </c>
      <c r="B679">
        <v>2366</v>
      </c>
      <c r="C679">
        <v>4375</v>
      </c>
      <c r="D679">
        <v>4351</v>
      </c>
      <c r="E679">
        <v>4159</v>
      </c>
      <c r="F679">
        <v>2371</v>
      </c>
      <c r="G67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1045</v>
      </c>
      <c r="B688">
        <v>20</v>
      </c>
      <c r="E688">
        <v>250</v>
      </c>
      <c r="F688">
        <v>177</v>
      </c>
      <c r="G688">
        <v>447</v>
      </c>
    </row>
    <row r="689" spans="1:7">
      <c r="A689" t="s">
        <v>539</v>
      </c>
      <c r="B689">
        <v>639</v>
      </c>
      <c r="G689">
        <v>639</v>
      </c>
    </row>
    <row r="690" spans="1:7">
      <c r="A690" t="s">
        <v>299</v>
      </c>
      <c r="D690">
        <v>400</v>
      </c>
      <c r="E690">
        <v>320</v>
      </c>
      <c r="G690">
        <v>720</v>
      </c>
    </row>
    <row r="691" spans="1:7">
      <c r="A691" t="s">
        <v>1068</v>
      </c>
      <c r="B691">
        <v>809</v>
      </c>
      <c r="C691">
        <v>533</v>
      </c>
      <c r="G691">
        <v>1342</v>
      </c>
    </row>
    <row r="692" spans="1:7">
      <c r="A692" t="s">
        <v>1069</v>
      </c>
      <c r="B692">
        <v>715</v>
      </c>
      <c r="F692">
        <v>1131</v>
      </c>
      <c r="G692">
        <v>1846</v>
      </c>
    </row>
    <row r="693" spans="1:7">
      <c r="A693" t="s">
        <v>950</v>
      </c>
      <c r="D693">
        <v>130</v>
      </c>
      <c r="G693">
        <v>130</v>
      </c>
    </row>
    <row r="694" spans="1:7">
      <c r="A694" t="s">
        <v>917</v>
      </c>
      <c r="B694">
        <v>735</v>
      </c>
      <c r="E694">
        <v>1453</v>
      </c>
      <c r="G694">
        <v>2188</v>
      </c>
    </row>
    <row r="695" spans="1:7">
      <c r="A695" t="s">
        <v>737</v>
      </c>
      <c r="C695">
        <v>260</v>
      </c>
      <c r="E695">
        <v>315</v>
      </c>
      <c r="G695">
        <v>575</v>
      </c>
    </row>
    <row r="696" spans="1:7">
      <c r="A696" t="s">
        <v>1070</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909</v>
      </c>
    </row>
    <row r="701" spans="1:7">
      <c r="A701" t="s">
        <v>1017</v>
      </c>
      <c r="B701">
        <v>3421</v>
      </c>
      <c r="C701">
        <v>4269</v>
      </c>
      <c r="D701">
        <v>5361</v>
      </c>
      <c r="E701">
        <v>3598</v>
      </c>
      <c r="F701">
        <v>1314</v>
      </c>
      <c r="G701">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row>
    <row r="706" spans="1:7">
      <c r="A706" t="s">
        <v>396</v>
      </c>
      <c r="E706">
        <v>99</v>
      </c>
      <c r="G706">
        <v>99</v>
      </c>
    </row>
    <row r="707" spans="1:7">
      <c r="A707" t="s">
        <v>531</v>
      </c>
    </row>
    <row r="708" spans="1:7">
      <c r="A708" t="s">
        <v>865</v>
      </c>
    </row>
    <row r="709" spans="1:7">
      <c r="A709" t="s">
        <v>536</v>
      </c>
      <c r="C709">
        <v>15</v>
      </c>
      <c r="D709">
        <v>65</v>
      </c>
      <c r="E709">
        <v>6</v>
      </c>
      <c r="G709">
        <v>86</v>
      </c>
    </row>
    <row r="710" spans="1:7">
      <c r="A710" t="s">
        <v>1045</v>
      </c>
    </row>
    <row r="711" spans="1:7">
      <c r="A711" t="s">
        <v>1050</v>
      </c>
      <c r="F711">
        <v>125</v>
      </c>
      <c r="G711">
        <v>125</v>
      </c>
    </row>
    <row r="712" spans="1:7">
      <c r="A712" t="s">
        <v>922</v>
      </c>
      <c r="D712">
        <v>130</v>
      </c>
      <c r="G712">
        <v>130</v>
      </c>
    </row>
    <row r="713" spans="1:7">
      <c r="A713" t="s">
        <v>914</v>
      </c>
      <c r="F713">
        <v>128</v>
      </c>
      <c r="G713">
        <v>128</v>
      </c>
    </row>
    <row r="714" spans="1:7">
      <c r="A714" t="s">
        <v>917</v>
      </c>
      <c r="D714">
        <v>2472</v>
      </c>
      <c r="G714">
        <v>2472</v>
      </c>
    </row>
    <row r="715" spans="1:7">
      <c r="A715" t="s">
        <v>935</v>
      </c>
      <c r="C715">
        <v>977</v>
      </c>
      <c r="G715">
        <v>977</v>
      </c>
    </row>
    <row r="716" spans="1:7">
      <c r="A716" t="s">
        <v>932</v>
      </c>
      <c r="D716">
        <v>2819</v>
      </c>
      <c r="G716">
        <v>2819</v>
      </c>
    </row>
    <row r="717" spans="1:7">
      <c r="A717" t="s">
        <v>909</v>
      </c>
      <c r="D717">
        <v>1491</v>
      </c>
      <c r="E717">
        <v>1549</v>
      </c>
      <c r="G717">
        <v>3040</v>
      </c>
    </row>
    <row r="718" spans="1:7">
      <c r="A718" t="s">
        <v>1071</v>
      </c>
    </row>
    <row r="719" spans="1:7">
      <c r="A719" t="s">
        <v>548</v>
      </c>
      <c r="E719">
        <v>903</v>
      </c>
      <c r="G719">
        <v>903</v>
      </c>
    </row>
    <row r="720" spans="1:7">
      <c r="A720" t="s">
        <v>541</v>
      </c>
      <c r="F720">
        <v>285</v>
      </c>
      <c r="G720">
        <v>285</v>
      </c>
    </row>
    <row r="721" spans="1:7">
      <c r="A721" t="s">
        <v>1017</v>
      </c>
      <c r="C721">
        <v>992</v>
      </c>
      <c r="D721">
        <v>6977</v>
      </c>
      <c r="E721">
        <v>2557</v>
      </c>
      <c r="F721">
        <v>538</v>
      </c>
      <c r="G721">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E726">
        <v>279</v>
      </c>
      <c r="G726">
        <v>279</v>
      </c>
    </row>
    <row r="727" spans="1:7">
      <c r="A727" t="s">
        <v>1050</v>
      </c>
      <c r="D727">
        <v>299</v>
      </c>
      <c r="E727">
        <v>302</v>
      </c>
      <c r="F727">
        <v>209</v>
      </c>
      <c r="G727">
        <v>810</v>
      </c>
    </row>
    <row r="728" spans="1:7">
      <c r="A728" t="s">
        <v>1068</v>
      </c>
      <c r="B728">
        <v>2498</v>
      </c>
      <c r="C728">
        <v>1192</v>
      </c>
      <c r="D728">
        <v>1925</v>
      </c>
      <c r="G728">
        <v>5615</v>
      </c>
    </row>
    <row r="729" spans="1:7">
      <c r="A729" t="s">
        <v>1069</v>
      </c>
      <c r="E729">
        <v>443</v>
      </c>
      <c r="G729">
        <v>443</v>
      </c>
    </row>
    <row r="730" spans="1:7">
      <c r="A730" t="s">
        <v>909</v>
      </c>
      <c r="B730">
        <v>918</v>
      </c>
      <c r="G730">
        <v>918</v>
      </c>
    </row>
    <row r="731" spans="1:7">
      <c r="A731" t="s">
        <v>548</v>
      </c>
      <c r="B731">
        <v>254</v>
      </c>
      <c r="C731">
        <v>1686</v>
      </c>
      <c r="D731">
        <v>611</v>
      </c>
      <c r="G731">
        <v>2551</v>
      </c>
    </row>
    <row r="732" spans="1:7">
      <c r="A732" t="s">
        <v>541</v>
      </c>
      <c r="E732">
        <v>82</v>
      </c>
      <c r="G732">
        <v>82</v>
      </c>
    </row>
    <row r="733" spans="1:7">
      <c r="A733" t="s">
        <v>732</v>
      </c>
      <c r="C733">
        <v>329</v>
      </c>
      <c r="D733">
        <v>333</v>
      </c>
      <c r="G733">
        <v>662</v>
      </c>
    </row>
    <row r="734" spans="1:7">
      <c r="A734" t="s">
        <v>938</v>
      </c>
      <c r="D734">
        <v>740</v>
      </c>
      <c r="G734">
        <v>740</v>
      </c>
    </row>
    <row r="735" spans="1:7">
      <c r="A735" t="s">
        <v>946</v>
      </c>
      <c r="E735">
        <v>267</v>
      </c>
      <c r="G735">
        <v>267</v>
      </c>
    </row>
    <row r="736" spans="1:7">
      <c r="A736" t="s">
        <v>376</v>
      </c>
      <c r="D736">
        <v>307</v>
      </c>
      <c r="E736">
        <v>920</v>
      </c>
      <c r="F736">
        <v>610</v>
      </c>
      <c r="G736">
        <v>1837</v>
      </c>
    </row>
    <row r="737" spans="1:7">
      <c r="A737" t="s">
        <v>1017</v>
      </c>
      <c r="B737">
        <v>3670</v>
      </c>
      <c r="C737">
        <v>3207</v>
      </c>
      <c r="D737">
        <v>4215</v>
      </c>
      <c r="E737">
        <v>2293</v>
      </c>
      <c r="F737">
        <v>819</v>
      </c>
      <c r="G73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row>
    <row r="743" spans="1:7">
      <c r="A743" t="s">
        <v>531</v>
      </c>
      <c r="D743">
        <v>139</v>
      </c>
      <c r="G743">
        <v>139</v>
      </c>
    </row>
    <row r="744" spans="1:7">
      <c r="A744" t="s">
        <v>536</v>
      </c>
    </row>
    <row r="745" spans="1:7">
      <c r="A745" t="s">
        <v>518</v>
      </c>
      <c r="E745">
        <v>97</v>
      </c>
      <c r="G745">
        <v>97</v>
      </c>
    </row>
    <row r="746" spans="1:7">
      <c r="A746" t="s">
        <v>1050</v>
      </c>
      <c r="B746">
        <v>42</v>
      </c>
      <c r="C746">
        <v>219</v>
      </c>
      <c r="F746">
        <v>70</v>
      </c>
      <c r="G746">
        <v>331</v>
      </c>
    </row>
    <row r="747" spans="1:7">
      <c r="A747" t="s">
        <v>1068</v>
      </c>
    </row>
    <row r="748" spans="1:7">
      <c r="A748" t="s">
        <v>548</v>
      </c>
      <c r="D748">
        <v>250</v>
      </c>
      <c r="G748">
        <v>250</v>
      </c>
    </row>
    <row r="749" spans="1:7">
      <c r="A749" t="s">
        <v>938</v>
      </c>
      <c r="B749">
        <v>1238</v>
      </c>
      <c r="C749">
        <v>1531</v>
      </c>
      <c r="D749">
        <v>1250</v>
      </c>
      <c r="E749">
        <v>361</v>
      </c>
      <c r="G749">
        <v>4380</v>
      </c>
    </row>
    <row r="750" spans="1:7">
      <c r="A750" t="s">
        <v>946</v>
      </c>
      <c r="B750">
        <v>711</v>
      </c>
      <c r="G750">
        <v>711</v>
      </c>
    </row>
    <row r="751" spans="1:7">
      <c r="A751" t="s">
        <v>1072</v>
      </c>
      <c r="D751">
        <v>75</v>
      </c>
      <c r="G751">
        <v>75</v>
      </c>
    </row>
    <row r="752" spans="1:7">
      <c r="A752" t="s">
        <v>920</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927</v>
      </c>
      <c r="E755">
        <v>754</v>
      </c>
      <c r="G755">
        <v>754</v>
      </c>
    </row>
    <row r="756" spans="1:7">
      <c r="A756" t="s">
        <v>550</v>
      </c>
      <c r="E756">
        <v>562</v>
      </c>
      <c r="G756">
        <v>562</v>
      </c>
    </row>
    <row r="757" spans="1:7">
      <c r="A757" t="s">
        <v>1017</v>
      </c>
      <c r="B757">
        <v>2820</v>
      </c>
      <c r="C757">
        <v>3809</v>
      </c>
      <c r="D757">
        <v>2830</v>
      </c>
      <c r="E757">
        <v>4553</v>
      </c>
      <c r="F757">
        <v>545</v>
      </c>
      <c r="G7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row>
    <row r="763" spans="1:7">
      <c r="A763" t="s">
        <v>531</v>
      </c>
      <c r="B763">
        <v>60</v>
      </c>
      <c r="G763">
        <v>60</v>
      </c>
    </row>
    <row r="764" spans="1:7">
      <c r="A764" t="s">
        <v>515</v>
      </c>
      <c r="E764">
        <v>175</v>
      </c>
      <c r="G764">
        <v>175</v>
      </c>
    </row>
    <row r="765" spans="1:7">
      <c r="A765" t="s">
        <v>1050</v>
      </c>
      <c r="C765">
        <v>224</v>
      </c>
      <c r="G765">
        <v>224</v>
      </c>
    </row>
    <row r="766" spans="1:7">
      <c r="A766" t="s">
        <v>525</v>
      </c>
      <c r="D766">
        <v>406</v>
      </c>
      <c r="G766">
        <v>406</v>
      </c>
    </row>
    <row r="767" spans="1:7">
      <c r="A767" t="s">
        <v>299</v>
      </c>
      <c r="D767">
        <v>362</v>
      </c>
      <c r="E767">
        <v>399</v>
      </c>
      <c r="G767">
        <v>761</v>
      </c>
    </row>
    <row r="768" spans="1:7">
      <c r="A768" t="s">
        <v>938</v>
      </c>
    </row>
    <row r="769" spans="1:7">
      <c r="A769" t="s">
        <v>920</v>
      </c>
    </row>
    <row r="770" spans="1:7">
      <c r="A770" t="s">
        <v>399</v>
      </c>
      <c r="C770">
        <v>120</v>
      </c>
      <c r="D770">
        <v>190</v>
      </c>
      <c r="G770">
        <v>310</v>
      </c>
    </row>
    <row r="771" spans="1:7">
      <c r="A771" t="s">
        <v>376</v>
      </c>
      <c r="B771">
        <v>839</v>
      </c>
      <c r="D771">
        <v>616</v>
      </c>
      <c r="E771">
        <v>969</v>
      </c>
      <c r="F771">
        <v>552</v>
      </c>
      <c r="G771">
        <v>2976</v>
      </c>
    </row>
    <row r="772" spans="1:7">
      <c r="A772" t="s">
        <v>927</v>
      </c>
      <c r="B772">
        <v>1285</v>
      </c>
      <c r="G772">
        <v>1285</v>
      </c>
    </row>
    <row r="773" spans="1:7">
      <c r="A773" t="s">
        <v>550</v>
      </c>
      <c r="B773">
        <v>978</v>
      </c>
      <c r="C773">
        <v>675</v>
      </c>
      <c r="D773">
        <v>170</v>
      </c>
      <c r="G773">
        <v>1823</v>
      </c>
    </row>
    <row r="774" spans="1:7">
      <c r="A774" t="s">
        <v>78</v>
      </c>
      <c r="B774">
        <v>153</v>
      </c>
      <c r="D774">
        <v>260</v>
      </c>
      <c r="G774">
        <v>413</v>
      </c>
    </row>
    <row r="775" spans="1:7">
      <c r="A775" t="s">
        <v>1073</v>
      </c>
      <c r="B775">
        <v>329</v>
      </c>
      <c r="C775">
        <v>427</v>
      </c>
      <c r="D775">
        <v>537</v>
      </c>
      <c r="E775">
        <v>646</v>
      </c>
      <c r="F775">
        <v>793</v>
      </c>
      <c r="G775">
        <v>2732</v>
      </c>
    </row>
    <row r="776" spans="1:7">
      <c r="A776" t="s">
        <v>581</v>
      </c>
      <c r="B776">
        <v>335</v>
      </c>
      <c r="G776">
        <v>335</v>
      </c>
    </row>
    <row r="777" spans="1:7">
      <c r="A777" t="s">
        <v>1074</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904</v>
      </c>
      <c r="D780">
        <v>240</v>
      </c>
      <c r="E780">
        <v>504</v>
      </c>
      <c r="G780">
        <v>744</v>
      </c>
    </row>
    <row r="781" spans="1:7">
      <c r="A781" t="s">
        <v>1075</v>
      </c>
      <c r="F781">
        <v>4135</v>
      </c>
      <c r="G781">
        <v>4135</v>
      </c>
    </row>
    <row r="782" spans="1:7">
      <c r="A782" t="s">
        <v>402</v>
      </c>
      <c r="F782">
        <v>551</v>
      </c>
      <c r="G782">
        <v>551</v>
      </c>
    </row>
    <row r="783" spans="1:7">
      <c r="A783" t="s">
        <v>1076</v>
      </c>
    </row>
    <row r="784" spans="1:7">
      <c r="A784" t="s">
        <v>1017</v>
      </c>
      <c r="B784">
        <v>4394</v>
      </c>
      <c r="C784">
        <v>2968</v>
      </c>
      <c r="D784">
        <v>5524</v>
      </c>
      <c r="E784">
        <v>5070</v>
      </c>
      <c r="F784">
        <v>6786</v>
      </c>
      <c r="G784">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row>
    <row r="790" spans="1:7">
      <c r="A790" t="s">
        <v>515</v>
      </c>
      <c r="B790">
        <v>229</v>
      </c>
      <c r="G790">
        <v>229</v>
      </c>
    </row>
    <row r="791" spans="1:7">
      <c r="A791" t="s">
        <v>518</v>
      </c>
      <c r="C791">
        <v>134</v>
      </c>
      <c r="E791">
        <v>450</v>
      </c>
      <c r="F791">
        <v>352</v>
      </c>
      <c r="G791">
        <v>936</v>
      </c>
    </row>
    <row r="792" spans="1:7">
      <c r="A792" t="s">
        <v>1050</v>
      </c>
      <c r="D792">
        <v>201</v>
      </c>
      <c r="F792">
        <v>352</v>
      </c>
      <c r="G792">
        <v>553</v>
      </c>
    </row>
    <row r="793" spans="1:7">
      <c r="A793" t="s">
        <v>525</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927</v>
      </c>
    </row>
    <row r="797" spans="1:7">
      <c r="A797" t="s">
        <v>1074</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904</v>
      </c>
      <c r="B800">
        <v>80</v>
      </c>
      <c r="G800">
        <v>80</v>
      </c>
    </row>
    <row r="801" spans="1:7">
      <c r="A801" t="s">
        <v>1075</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924</v>
      </c>
      <c r="C804">
        <v>1850</v>
      </c>
      <c r="D804">
        <v>1276</v>
      </c>
      <c r="E804">
        <v>1479</v>
      </c>
      <c r="G804">
        <v>4605</v>
      </c>
    </row>
    <row r="805" spans="1:7">
      <c r="A805" t="s">
        <v>564</v>
      </c>
      <c r="D805">
        <v>1118</v>
      </c>
      <c r="E805">
        <v>1472</v>
      </c>
      <c r="G805">
        <v>2590</v>
      </c>
    </row>
    <row r="806" spans="1:7">
      <c r="A806" t="s">
        <v>940</v>
      </c>
      <c r="E806">
        <v>1393</v>
      </c>
      <c r="G806">
        <v>1393</v>
      </c>
    </row>
    <row r="807" spans="1:7">
      <c r="A807" t="s">
        <v>1017</v>
      </c>
      <c r="B807">
        <v>7888</v>
      </c>
      <c r="C807">
        <v>8152</v>
      </c>
      <c r="D807">
        <v>7103</v>
      </c>
      <c r="E807">
        <v>10576</v>
      </c>
      <c r="F807">
        <v>4760</v>
      </c>
      <c r="G80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E813">
        <v>270</v>
      </c>
      <c r="F813">
        <v>268</v>
      </c>
      <c r="G813">
        <v>538</v>
      </c>
    </row>
    <row r="814" spans="1:7">
      <c r="A814" t="s">
        <v>1044</v>
      </c>
      <c r="D814">
        <v>126</v>
      </c>
      <c r="E814">
        <v>229</v>
      </c>
      <c r="G814">
        <v>355</v>
      </c>
    </row>
    <row r="815" spans="1:7">
      <c r="A815" t="s">
        <v>518</v>
      </c>
      <c r="B815">
        <v>175</v>
      </c>
      <c r="C815">
        <v>270</v>
      </c>
      <c r="G815">
        <v>445</v>
      </c>
    </row>
    <row r="816" spans="1:7">
      <c r="A816" t="s">
        <v>1050</v>
      </c>
      <c r="B816">
        <v>65</v>
      </c>
      <c r="C816">
        <v>55</v>
      </c>
      <c r="G816">
        <v>120</v>
      </c>
    </row>
    <row r="817" spans="1:7">
      <c r="A817" t="s">
        <v>525</v>
      </c>
    </row>
    <row r="818" spans="1:7">
      <c r="A818" t="s">
        <v>399</v>
      </c>
      <c r="E818">
        <v>725</v>
      </c>
      <c r="G818">
        <v>725</v>
      </c>
    </row>
    <row r="819" spans="1:7">
      <c r="A819" t="s">
        <v>376</v>
      </c>
      <c r="B819">
        <v>768</v>
      </c>
      <c r="C819">
        <v>1014</v>
      </c>
      <c r="G819">
        <v>1782</v>
      </c>
    </row>
    <row r="820" spans="1:7">
      <c r="A820" t="s">
        <v>1074</v>
      </c>
      <c r="B820">
        <v>225</v>
      </c>
      <c r="C820">
        <v>1287</v>
      </c>
      <c r="D820">
        <v>1185</v>
      </c>
      <c r="E820">
        <v>508</v>
      </c>
      <c r="G820">
        <v>3205</v>
      </c>
    </row>
    <row r="821" spans="1:7">
      <c r="A821" t="s">
        <v>556</v>
      </c>
      <c r="D821">
        <v>334</v>
      </c>
      <c r="G821">
        <v>334</v>
      </c>
    </row>
    <row r="822" spans="1:7">
      <c r="A822" t="s">
        <v>1075</v>
      </c>
      <c r="C822">
        <v>216</v>
      </c>
      <c r="G822">
        <v>216</v>
      </c>
    </row>
    <row r="823" spans="1:7">
      <c r="A823" t="s">
        <v>402</v>
      </c>
      <c r="B823">
        <v>1088</v>
      </c>
      <c r="C823">
        <v>557</v>
      </c>
      <c r="D823">
        <v>512</v>
      </c>
      <c r="E823">
        <v>369</v>
      </c>
      <c r="G823">
        <v>2526</v>
      </c>
    </row>
    <row r="824" spans="1:7">
      <c r="A824" t="s">
        <v>618</v>
      </c>
      <c r="B824">
        <v>192</v>
      </c>
      <c r="G824">
        <v>192</v>
      </c>
    </row>
    <row r="825" spans="1:7">
      <c r="A825" t="s">
        <v>564</v>
      </c>
      <c r="B825">
        <v>1174</v>
      </c>
      <c r="C825">
        <v>1597</v>
      </c>
      <c r="D825">
        <v>308</v>
      </c>
      <c r="G825">
        <v>3079</v>
      </c>
    </row>
    <row r="826" spans="1:7">
      <c r="A826" t="s">
        <v>940</v>
      </c>
      <c r="B826">
        <v>1545</v>
      </c>
      <c r="C826">
        <v>995</v>
      </c>
      <c r="G826">
        <v>2540</v>
      </c>
    </row>
    <row r="827" spans="1:7">
      <c r="A827" t="s">
        <v>545</v>
      </c>
      <c r="D827">
        <v>333</v>
      </c>
      <c r="G827">
        <v>333</v>
      </c>
    </row>
    <row r="828" spans="1:7">
      <c r="A828" t="s">
        <v>1077</v>
      </c>
      <c r="D828">
        <v>160</v>
      </c>
      <c r="G828">
        <v>160</v>
      </c>
    </row>
    <row r="829" spans="1:7">
      <c r="A829" t="s">
        <v>182</v>
      </c>
      <c r="D829">
        <v>1282</v>
      </c>
      <c r="E829">
        <v>980</v>
      </c>
      <c r="G829">
        <v>2262</v>
      </c>
    </row>
    <row r="830" spans="1:7">
      <c r="A830" t="s">
        <v>379</v>
      </c>
    </row>
    <row r="831" spans="1:7">
      <c r="A831" t="s">
        <v>1017</v>
      </c>
      <c r="B831">
        <v>5232</v>
      </c>
      <c r="C831">
        <v>5991</v>
      </c>
      <c r="D831">
        <v>4240</v>
      </c>
      <c r="E831">
        <v>3081</v>
      </c>
      <c r="F831">
        <v>268</v>
      </c>
      <c r="G831">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C836">
        <v>163</v>
      </c>
      <c r="D836">
        <v>535</v>
      </c>
      <c r="E836">
        <v>570</v>
      </c>
      <c r="G836">
        <v>1268</v>
      </c>
    </row>
    <row r="837" spans="1:7">
      <c r="A837" t="s">
        <v>1050</v>
      </c>
    </row>
    <row r="838" spans="1:7">
      <c r="A838" t="s">
        <v>299</v>
      </c>
      <c r="E838">
        <v>170</v>
      </c>
      <c r="G838">
        <v>170</v>
      </c>
    </row>
    <row r="839" spans="1:7">
      <c r="A839" t="s">
        <v>376</v>
      </c>
      <c r="D839">
        <v>986</v>
      </c>
      <c r="G839">
        <v>986</v>
      </c>
    </row>
    <row r="840" spans="1:7">
      <c r="A840" t="s">
        <v>1074</v>
      </c>
      <c r="B840">
        <v>916</v>
      </c>
      <c r="C840">
        <v>144</v>
      </c>
      <c r="G840">
        <v>1060</v>
      </c>
    </row>
    <row r="841" spans="1:7">
      <c r="A841" t="s">
        <v>564</v>
      </c>
    </row>
    <row r="842" spans="1:7">
      <c r="A842" t="s">
        <v>940</v>
      </c>
    </row>
    <row r="843" spans="1:7">
      <c r="A843" t="s">
        <v>182</v>
      </c>
      <c r="B843">
        <v>828</v>
      </c>
      <c r="C843">
        <v>150</v>
      </c>
      <c r="E843">
        <v>688</v>
      </c>
      <c r="G843">
        <v>1666</v>
      </c>
    </row>
    <row r="844" spans="1:7">
      <c r="A844" t="s">
        <v>1078</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382</v>
      </c>
      <c r="B847">
        <v>60</v>
      </c>
      <c r="C847">
        <v>219</v>
      </c>
      <c r="G847">
        <v>279</v>
      </c>
    </row>
    <row r="848" spans="1:7">
      <c r="A848" t="s">
        <v>962</v>
      </c>
      <c r="D848">
        <v>240</v>
      </c>
      <c r="G848">
        <v>240</v>
      </c>
    </row>
    <row r="849" spans="1:7">
      <c r="A849" t="s">
        <v>1079</v>
      </c>
      <c r="C849">
        <v>1603</v>
      </c>
      <c r="D849">
        <v>791</v>
      </c>
      <c r="E849">
        <v>2803</v>
      </c>
      <c r="G849">
        <v>5197</v>
      </c>
    </row>
    <row r="850" spans="1:7">
      <c r="A850" t="s">
        <v>392</v>
      </c>
      <c r="C850">
        <v>927</v>
      </c>
      <c r="D850">
        <v>1221</v>
      </c>
      <c r="E850">
        <v>1023</v>
      </c>
      <c r="G850">
        <v>3171</v>
      </c>
    </row>
    <row r="851" spans="1:7">
      <c r="A851" t="s">
        <v>570</v>
      </c>
      <c r="C851">
        <v>974</v>
      </c>
      <c r="D851">
        <v>1312</v>
      </c>
      <c r="E851">
        <v>359</v>
      </c>
      <c r="G851">
        <v>2645</v>
      </c>
    </row>
    <row r="852" spans="1:7">
      <c r="A852" t="s">
        <v>942</v>
      </c>
      <c r="D852">
        <v>1239</v>
      </c>
      <c r="E852">
        <v>1220</v>
      </c>
      <c r="G852">
        <v>2459</v>
      </c>
    </row>
    <row r="853" spans="1:7">
      <c r="A853" t="s">
        <v>395</v>
      </c>
      <c r="D853">
        <v>1457</v>
      </c>
      <c r="E853">
        <v>1142</v>
      </c>
      <c r="F853">
        <v>945</v>
      </c>
      <c r="G853">
        <v>3544</v>
      </c>
    </row>
    <row r="854" spans="1:7">
      <c r="A854" t="s">
        <v>1017</v>
      </c>
      <c r="B854">
        <v>4025</v>
      </c>
      <c r="C854">
        <v>5125</v>
      </c>
      <c r="D854">
        <v>8008</v>
      </c>
      <c r="E854">
        <v>8462</v>
      </c>
      <c r="F854">
        <v>1068</v>
      </c>
      <c r="G854">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v>92</v>
      </c>
      <c r="E859">
        <v>209</v>
      </c>
      <c r="F859">
        <v>434</v>
      </c>
      <c r="G859">
        <v>735</v>
      </c>
    </row>
    <row r="860" spans="1:7">
      <c r="A860" t="s">
        <v>518</v>
      </c>
      <c r="B860">
        <v>153</v>
      </c>
      <c r="C860">
        <v>244</v>
      </c>
      <c r="E860">
        <v>237</v>
      </c>
      <c r="G860">
        <v>634</v>
      </c>
    </row>
    <row r="861" spans="1:7">
      <c r="A861" t="s">
        <v>1050</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523</v>
      </c>
      <c r="C865">
        <v>413</v>
      </c>
      <c r="D865">
        <v>190</v>
      </c>
      <c r="E865">
        <v>1194</v>
      </c>
      <c r="F865">
        <v>306</v>
      </c>
      <c r="G865">
        <v>2103</v>
      </c>
    </row>
    <row r="866" spans="1:7">
      <c r="A866" t="s">
        <v>1079</v>
      </c>
      <c r="B866">
        <v>3343</v>
      </c>
      <c r="C866">
        <v>714</v>
      </c>
      <c r="D866">
        <v>2013</v>
      </c>
      <c r="E866">
        <v>1500</v>
      </c>
      <c r="F866">
        <v>1933</v>
      </c>
      <c r="G866">
        <v>9503</v>
      </c>
    </row>
    <row r="867" spans="1:7">
      <c r="A867" t="s">
        <v>392</v>
      </c>
      <c r="B867">
        <v>1100</v>
      </c>
      <c r="C867">
        <v>527</v>
      </c>
      <c r="D867">
        <v>553</v>
      </c>
      <c r="G867">
        <v>2180</v>
      </c>
    </row>
    <row r="868" spans="1:7">
      <c r="A868" t="s">
        <v>570</v>
      </c>
      <c r="C868">
        <v>230</v>
      </c>
      <c r="G868">
        <v>230</v>
      </c>
    </row>
    <row r="869" spans="1:7">
      <c r="A869" t="s">
        <v>942</v>
      </c>
      <c r="B869">
        <v>853</v>
      </c>
      <c r="G869">
        <v>853</v>
      </c>
    </row>
    <row r="870" spans="1:7">
      <c r="A870" t="s">
        <v>395</v>
      </c>
      <c r="B870">
        <v>1186</v>
      </c>
      <c r="C870">
        <v>1564</v>
      </c>
      <c r="D870">
        <v>1012</v>
      </c>
      <c r="E870">
        <v>588</v>
      </c>
      <c r="G870">
        <v>4350</v>
      </c>
    </row>
    <row r="871" spans="1:7">
      <c r="A871" t="s">
        <v>944</v>
      </c>
      <c r="C871">
        <v>1007</v>
      </c>
      <c r="D871">
        <v>1672</v>
      </c>
      <c r="E871">
        <v>1544</v>
      </c>
      <c r="G871">
        <v>4223</v>
      </c>
    </row>
    <row r="872" spans="1:7">
      <c r="A872" t="s">
        <v>576</v>
      </c>
      <c r="C872">
        <v>1182</v>
      </c>
      <c r="D872">
        <v>1604</v>
      </c>
      <c r="E872">
        <v>1268</v>
      </c>
      <c r="G872">
        <v>4054</v>
      </c>
    </row>
    <row r="873" spans="1:7">
      <c r="A873" t="s">
        <v>405</v>
      </c>
      <c r="D873">
        <v>1624</v>
      </c>
      <c r="E873">
        <v>551</v>
      </c>
      <c r="G873">
        <v>2175</v>
      </c>
    </row>
    <row r="874" spans="1:7">
      <c r="A874" t="s">
        <v>393</v>
      </c>
      <c r="F874">
        <v>408</v>
      </c>
      <c r="G874">
        <v>408</v>
      </c>
    </row>
    <row r="875" spans="1:7">
      <c r="A875" t="s">
        <v>1017</v>
      </c>
      <c r="B875">
        <v>7333</v>
      </c>
      <c r="C875">
        <v>6030</v>
      </c>
      <c r="D875">
        <v>8836</v>
      </c>
      <c r="E875">
        <v>7091</v>
      </c>
      <c r="F875">
        <v>3115</v>
      </c>
      <c r="G875">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D880">
        <v>171</v>
      </c>
      <c r="G880">
        <v>171</v>
      </c>
    </row>
    <row r="881" spans="1:7">
      <c r="A881" t="s">
        <v>1044</v>
      </c>
      <c r="B881">
        <v>567</v>
      </c>
      <c r="G881">
        <v>567</v>
      </c>
    </row>
    <row r="882" spans="1:7">
      <c r="A882" t="s">
        <v>525</v>
      </c>
    </row>
    <row r="883" spans="1:7">
      <c r="A883" t="s">
        <v>539</v>
      </c>
      <c r="F883">
        <v>60</v>
      </c>
      <c r="G883">
        <v>60</v>
      </c>
    </row>
    <row r="884" spans="1:7">
      <c r="A884" t="s">
        <v>299</v>
      </c>
    </row>
    <row r="885" spans="1:7">
      <c r="A885" t="s">
        <v>376</v>
      </c>
    </row>
    <row r="886" spans="1:7">
      <c r="A886" t="s">
        <v>78</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1079</v>
      </c>
      <c r="B890">
        <v>820</v>
      </c>
      <c r="C890">
        <v>2077</v>
      </c>
      <c r="D890">
        <v>1096</v>
      </c>
      <c r="G890">
        <v>3993</v>
      </c>
    </row>
    <row r="891" spans="1:7">
      <c r="A891" t="s">
        <v>392</v>
      </c>
      <c r="C891">
        <v>1647</v>
      </c>
      <c r="D891">
        <v>343</v>
      </c>
      <c r="G891">
        <v>1990</v>
      </c>
    </row>
    <row r="892" spans="1:7">
      <c r="A892" t="s">
        <v>944</v>
      </c>
      <c r="B892">
        <v>587</v>
      </c>
      <c r="C892">
        <v>115</v>
      </c>
      <c r="G892">
        <v>702</v>
      </c>
    </row>
    <row r="893" spans="1:7">
      <c r="A893" t="s">
        <v>568</v>
      </c>
      <c r="C893">
        <v>1509</v>
      </c>
      <c r="D893">
        <v>1087</v>
      </c>
      <c r="E893">
        <v>777</v>
      </c>
      <c r="G893">
        <v>3373</v>
      </c>
    </row>
    <row r="894" spans="1:7">
      <c r="A894" t="s">
        <v>576</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1080</v>
      </c>
      <c r="B897">
        <v>1224</v>
      </c>
      <c r="C897">
        <v>988</v>
      </c>
      <c r="D897">
        <v>2316</v>
      </c>
      <c r="E897">
        <v>2066</v>
      </c>
      <c r="G897">
        <v>6594</v>
      </c>
    </row>
    <row r="898" spans="1:7">
      <c r="A898" t="s">
        <v>562</v>
      </c>
      <c r="C898">
        <v>1678</v>
      </c>
      <c r="E898">
        <v>394</v>
      </c>
      <c r="G898">
        <v>2072</v>
      </c>
    </row>
    <row r="899" spans="1:7">
      <c r="A899" t="s">
        <v>388</v>
      </c>
      <c r="D899">
        <v>3179</v>
      </c>
      <c r="G899">
        <v>3179</v>
      </c>
    </row>
    <row r="900" spans="1:7">
      <c r="A900" t="s">
        <v>583</v>
      </c>
      <c r="E900">
        <v>978</v>
      </c>
      <c r="G900">
        <v>978</v>
      </c>
    </row>
    <row r="901" spans="1:7">
      <c r="A901" t="s">
        <v>450</v>
      </c>
      <c r="E901">
        <v>502</v>
      </c>
      <c r="G901">
        <v>502</v>
      </c>
    </row>
    <row r="902" spans="1:7">
      <c r="A902" t="s">
        <v>255</v>
      </c>
      <c r="E902">
        <v>346</v>
      </c>
      <c r="G902">
        <v>346</v>
      </c>
    </row>
    <row r="903" spans="1:7">
      <c r="A903" t="s">
        <v>1017</v>
      </c>
      <c r="B903">
        <v>6492</v>
      </c>
      <c r="C903">
        <v>10726</v>
      </c>
      <c r="D903">
        <v>10129</v>
      </c>
      <c r="E903">
        <v>7046</v>
      </c>
      <c r="F903">
        <v>1591</v>
      </c>
      <c r="G90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row>
    <row r="909" spans="1:7">
      <c r="A909" t="s">
        <v>541</v>
      </c>
    </row>
    <row r="910" spans="1:7">
      <c r="A910" t="s">
        <v>376</v>
      </c>
    </row>
    <row r="911" spans="1:7">
      <c r="A911" t="s">
        <v>402</v>
      </c>
      <c r="F911">
        <v>569</v>
      </c>
      <c r="G911">
        <v>569</v>
      </c>
    </row>
    <row r="912" spans="1:7">
      <c r="A912" t="s">
        <v>523</v>
      </c>
    </row>
    <row r="913" spans="1:7">
      <c r="A913" t="s">
        <v>382</v>
      </c>
      <c r="D913">
        <v>150</v>
      </c>
      <c r="G913">
        <v>150</v>
      </c>
    </row>
    <row r="914" spans="1:7">
      <c r="A914" t="s">
        <v>395</v>
      </c>
    </row>
    <row r="915" spans="1:7">
      <c r="A915" t="s">
        <v>576</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450</v>
      </c>
      <c r="B920">
        <v>259</v>
      </c>
      <c r="C920">
        <v>1087</v>
      </c>
      <c r="D920">
        <v>2206</v>
      </c>
      <c r="E920">
        <v>453</v>
      </c>
      <c r="G920">
        <v>4005</v>
      </c>
    </row>
    <row r="921" spans="1:7">
      <c r="A921" t="s">
        <v>255</v>
      </c>
      <c r="C921">
        <v>379</v>
      </c>
      <c r="D921">
        <v>208</v>
      </c>
      <c r="G921">
        <v>587</v>
      </c>
    </row>
    <row r="922" spans="1:7">
      <c r="A922" t="s">
        <v>574</v>
      </c>
      <c r="B922">
        <v>579</v>
      </c>
      <c r="C922">
        <v>1120</v>
      </c>
      <c r="D922">
        <v>1488</v>
      </c>
      <c r="E922">
        <v>954</v>
      </c>
      <c r="G922">
        <v>4141</v>
      </c>
    </row>
    <row r="923" spans="1:7">
      <c r="A923" t="s">
        <v>1081</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521</v>
      </c>
      <c r="F928">
        <v>451</v>
      </c>
      <c r="G928">
        <v>451</v>
      </c>
    </row>
    <row r="929" spans="1:7">
      <c r="A929" t="s">
        <v>470</v>
      </c>
      <c r="B929">
        <v>3266</v>
      </c>
      <c r="C929">
        <v>3910</v>
      </c>
      <c r="D929">
        <v>346</v>
      </c>
      <c r="G929">
        <v>7522</v>
      </c>
    </row>
    <row r="930" spans="1:7">
      <c r="A930" t="s">
        <v>338</v>
      </c>
      <c r="C930">
        <v>372</v>
      </c>
      <c r="D930">
        <v>656</v>
      </c>
      <c r="G930">
        <v>1028</v>
      </c>
    </row>
    <row r="931" spans="1:7">
      <c r="A931" t="s">
        <v>461</v>
      </c>
      <c r="D931">
        <v>2985</v>
      </c>
      <c r="E931">
        <v>2373</v>
      </c>
      <c r="G931">
        <v>5358</v>
      </c>
    </row>
    <row r="932" spans="1:7">
      <c r="A932" t="s">
        <v>488</v>
      </c>
      <c r="F932">
        <v>2948</v>
      </c>
      <c r="G932">
        <v>2948</v>
      </c>
    </row>
    <row r="933" spans="1:7">
      <c r="A933" t="s">
        <v>1017</v>
      </c>
      <c r="B933">
        <v>8142</v>
      </c>
      <c r="C933">
        <v>11254</v>
      </c>
      <c r="D933">
        <v>13276</v>
      </c>
      <c r="E933">
        <v>5812</v>
      </c>
      <c r="F933">
        <v>9206</v>
      </c>
      <c r="G93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row>
    <row r="939" spans="1:7">
      <c r="A939" t="s">
        <v>379</v>
      </c>
    </row>
    <row r="940" spans="1:7">
      <c r="A940" t="s">
        <v>523</v>
      </c>
      <c r="B940">
        <v>560</v>
      </c>
      <c r="G940">
        <v>560</v>
      </c>
    </row>
    <row r="941" spans="1:7">
      <c r="A941" t="s">
        <v>395</v>
      </c>
    </row>
    <row r="942" spans="1:7">
      <c r="A942" t="s">
        <v>576</v>
      </c>
      <c r="B942">
        <v>138</v>
      </c>
      <c r="G942">
        <v>138</v>
      </c>
    </row>
    <row r="943" spans="1:7">
      <c r="A943" t="s">
        <v>393</v>
      </c>
    </row>
    <row r="944" spans="1:7">
      <c r="A944" t="s">
        <v>388</v>
      </c>
      <c r="B944">
        <v>96</v>
      </c>
      <c r="G944">
        <v>96</v>
      </c>
    </row>
    <row r="945" spans="1:7">
      <c r="A945" t="s">
        <v>583</v>
      </c>
      <c r="B945">
        <v>632</v>
      </c>
      <c r="G945">
        <v>632</v>
      </c>
    </row>
    <row r="946" spans="1:7">
      <c r="A946" t="s">
        <v>450</v>
      </c>
      <c r="B946">
        <v>558</v>
      </c>
      <c r="G946">
        <v>558</v>
      </c>
    </row>
    <row r="947" spans="1:7">
      <c r="A947" t="s">
        <v>255</v>
      </c>
      <c r="B947">
        <v>562</v>
      </c>
      <c r="D947">
        <v>474</v>
      </c>
      <c r="E947">
        <v>606</v>
      </c>
      <c r="F947">
        <v>322</v>
      </c>
      <c r="G947">
        <v>1964</v>
      </c>
    </row>
    <row r="948" spans="1:7">
      <c r="A948" t="s">
        <v>586</v>
      </c>
      <c r="B948">
        <v>1351</v>
      </c>
      <c r="D948">
        <v>890</v>
      </c>
      <c r="G948">
        <v>2241</v>
      </c>
    </row>
    <row r="949" spans="1:7">
      <c r="A949" t="s">
        <v>488</v>
      </c>
      <c r="B949">
        <v>4084</v>
      </c>
      <c r="D949">
        <v>242</v>
      </c>
      <c r="G949">
        <v>4326</v>
      </c>
    </row>
    <row r="950" spans="1:7">
      <c r="A950" t="s">
        <v>1082</v>
      </c>
      <c r="B950">
        <v>748</v>
      </c>
      <c r="C950">
        <v>1062</v>
      </c>
      <c r="G950">
        <v>1810</v>
      </c>
    </row>
    <row r="951" spans="1:7">
      <c r="A951" t="s">
        <v>390</v>
      </c>
      <c r="B951">
        <v>435</v>
      </c>
      <c r="E951">
        <v>1123</v>
      </c>
      <c r="G951">
        <v>1558</v>
      </c>
    </row>
    <row r="952" spans="1:7">
      <c r="A952" t="s">
        <v>426</v>
      </c>
      <c r="D952">
        <v>1580</v>
      </c>
      <c r="E952">
        <v>1258</v>
      </c>
      <c r="G952">
        <v>2838</v>
      </c>
    </row>
    <row r="953" spans="1:7">
      <c r="A953" t="s">
        <v>572</v>
      </c>
      <c r="D953">
        <v>877</v>
      </c>
      <c r="E953">
        <v>814</v>
      </c>
      <c r="G953">
        <v>1691</v>
      </c>
    </row>
    <row r="954" spans="1:7">
      <c r="A954" t="s">
        <v>242</v>
      </c>
      <c r="D954">
        <v>711</v>
      </c>
      <c r="E954">
        <v>325</v>
      </c>
      <c r="F954">
        <v>430</v>
      </c>
      <c r="G954">
        <v>1466</v>
      </c>
    </row>
    <row r="955" spans="1:7">
      <c r="A955" t="s">
        <v>416</v>
      </c>
      <c r="D955">
        <v>1486</v>
      </c>
      <c r="E955">
        <v>2912</v>
      </c>
      <c r="F955">
        <v>2125</v>
      </c>
      <c r="G955">
        <v>6523</v>
      </c>
    </row>
    <row r="956" spans="1:7">
      <c r="A956" t="s">
        <v>480</v>
      </c>
      <c r="D956">
        <v>1264</v>
      </c>
      <c r="E956">
        <v>1281</v>
      </c>
      <c r="G956">
        <v>2545</v>
      </c>
    </row>
    <row r="957" spans="1:7">
      <c r="A957" t="s">
        <v>1083</v>
      </c>
    </row>
    <row r="958" spans="1:7">
      <c r="A958" t="s">
        <v>493</v>
      </c>
      <c r="D958">
        <v>3678</v>
      </c>
      <c r="E958">
        <v>3382</v>
      </c>
      <c r="G958">
        <v>7060</v>
      </c>
    </row>
    <row r="959" spans="1:7">
      <c r="A959" t="s">
        <v>1084</v>
      </c>
      <c r="F959">
        <v>1505</v>
      </c>
      <c r="G959">
        <v>1505</v>
      </c>
    </row>
    <row r="960" spans="1:7">
      <c r="A960" t="s">
        <v>372</v>
      </c>
      <c r="E960">
        <v>424</v>
      </c>
      <c r="G960">
        <v>424</v>
      </c>
    </row>
    <row r="961" spans="1:7">
      <c r="A961" t="s">
        <v>495</v>
      </c>
      <c r="E961">
        <v>598</v>
      </c>
      <c r="G961">
        <v>598</v>
      </c>
    </row>
    <row r="962" spans="1:7">
      <c r="A962" t="s">
        <v>1017</v>
      </c>
      <c r="B962">
        <v>9164</v>
      </c>
      <c r="C962">
        <v>1062</v>
      </c>
      <c r="D962">
        <v>11202</v>
      </c>
      <c r="E962">
        <v>12723</v>
      </c>
      <c r="F962">
        <v>4382</v>
      </c>
      <c r="G962">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E968">
        <v>170</v>
      </c>
      <c r="F968">
        <v>271</v>
      </c>
      <c r="G968">
        <v>441</v>
      </c>
    </row>
    <row r="969" spans="1:7">
      <c r="A969" t="s">
        <v>299</v>
      </c>
      <c r="B969">
        <v>446</v>
      </c>
      <c r="C969">
        <v>120</v>
      </c>
      <c r="D969">
        <v>550</v>
      </c>
      <c r="G969">
        <v>1116</v>
      </c>
    </row>
    <row r="970" spans="1:7">
      <c r="A970" t="s">
        <v>523</v>
      </c>
      <c r="C970">
        <v>17</v>
      </c>
      <c r="G970">
        <v>17</v>
      </c>
    </row>
    <row r="971" spans="1:7">
      <c r="A971" t="s">
        <v>576</v>
      </c>
    </row>
    <row r="972" spans="1:7">
      <c r="A972" t="s">
        <v>450</v>
      </c>
      <c r="B972">
        <v>127</v>
      </c>
      <c r="G972">
        <v>127</v>
      </c>
    </row>
    <row r="973" spans="1:7">
      <c r="A973" t="s">
        <v>255</v>
      </c>
      <c r="B973">
        <v>420</v>
      </c>
      <c r="G973">
        <v>420</v>
      </c>
    </row>
    <row r="974" spans="1:7">
      <c r="A974" t="s">
        <v>586</v>
      </c>
    </row>
    <row r="975" spans="1:7">
      <c r="A975" t="s">
        <v>390</v>
      </c>
      <c r="C975">
        <v>1917</v>
      </c>
      <c r="E975">
        <v>272</v>
      </c>
      <c r="G975">
        <v>2189</v>
      </c>
    </row>
    <row r="976" spans="1:7">
      <c r="A976" t="s">
        <v>572</v>
      </c>
      <c r="B976">
        <v>956</v>
      </c>
      <c r="G976">
        <v>956</v>
      </c>
    </row>
    <row r="977" spans="1:7">
      <c r="A977" t="s">
        <v>242</v>
      </c>
      <c r="E977">
        <v>195</v>
      </c>
      <c r="G977">
        <v>195</v>
      </c>
    </row>
    <row r="978" spans="1:7">
      <c r="A978" t="s">
        <v>416</v>
      </c>
      <c r="B978">
        <v>1449</v>
      </c>
      <c r="G978">
        <v>1449</v>
      </c>
    </row>
    <row r="979" spans="1:7">
      <c r="A979" t="s">
        <v>480</v>
      </c>
      <c r="B979">
        <v>1662</v>
      </c>
      <c r="C979">
        <v>2684</v>
      </c>
      <c r="F979">
        <v>51</v>
      </c>
      <c r="G979">
        <v>4397</v>
      </c>
    </row>
    <row r="980" spans="1:7">
      <c r="A980" t="s">
        <v>490</v>
      </c>
      <c r="B980">
        <v>5466</v>
      </c>
      <c r="E980">
        <v>2252</v>
      </c>
      <c r="G980">
        <v>7718</v>
      </c>
    </row>
    <row r="981" spans="1:7">
      <c r="A981" t="s">
        <v>1084</v>
      </c>
      <c r="B981">
        <v>907</v>
      </c>
      <c r="G981">
        <v>907</v>
      </c>
    </row>
    <row r="982" spans="1:7">
      <c r="A982" t="s">
        <v>372</v>
      </c>
      <c r="E982">
        <v>313</v>
      </c>
      <c r="F982">
        <v>3007</v>
      </c>
      <c r="G982">
        <v>3320</v>
      </c>
    </row>
    <row r="983" spans="1:7">
      <c r="A983" t="s">
        <v>495</v>
      </c>
      <c r="B983">
        <v>1498</v>
      </c>
      <c r="C983">
        <v>3613</v>
      </c>
      <c r="E983">
        <v>1027</v>
      </c>
      <c r="F983">
        <v>490</v>
      </c>
      <c r="G983">
        <v>6628</v>
      </c>
    </row>
    <row r="984" spans="1:7">
      <c r="A984" t="s">
        <v>1085</v>
      </c>
      <c r="B984">
        <v>1505</v>
      </c>
      <c r="C984">
        <v>1518</v>
      </c>
      <c r="D984">
        <v>1968</v>
      </c>
      <c r="E984">
        <v>345</v>
      </c>
      <c r="F984">
        <v>375</v>
      </c>
      <c r="G984">
        <v>5711</v>
      </c>
    </row>
    <row r="985" spans="1:7">
      <c r="A985" t="s">
        <v>432</v>
      </c>
      <c r="B985">
        <v>1471</v>
      </c>
      <c r="G985">
        <v>1471</v>
      </c>
    </row>
    <row r="986" spans="1:7">
      <c r="A986" t="s">
        <v>429</v>
      </c>
      <c r="B986">
        <v>762</v>
      </c>
      <c r="C986">
        <v>1530</v>
      </c>
      <c r="D986">
        <v>954</v>
      </c>
      <c r="E986">
        <v>1603</v>
      </c>
      <c r="G986">
        <v>4849</v>
      </c>
    </row>
    <row r="987" spans="1:7">
      <c r="A987" t="s">
        <v>435</v>
      </c>
      <c r="C987">
        <v>1679</v>
      </c>
      <c r="D987">
        <v>1429</v>
      </c>
      <c r="E987">
        <v>1624</v>
      </c>
      <c r="G987">
        <v>4732</v>
      </c>
    </row>
    <row r="988" spans="1:7">
      <c r="A988" t="s">
        <v>417</v>
      </c>
      <c r="C988">
        <v>2351</v>
      </c>
      <c r="D988">
        <v>1835</v>
      </c>
      <c r="E988">
        <v>2139</v>
      </c>
      <c r="F988">
        <v>789</v>
      </c>
      <c r="G988">
        <v>7114</v>
      </c>
    </row>
    <row r="989" spans="1:7">
      <c r="A989" t="s">
        <v>1086</v>
      </c>
      <c r="C989">
        <v>12</v>
      </c>
      <c r="G989">
        <v>12</v>
      </c>
    </row>
    <row r="990" spans="1:7">
      <c r="A990" t="s">
        <v>1087</v>
      </c>
      <c r="D990">
        <v>480</v>
      </c>
      <c r="F990">
        <v>448</v>
      </c>
      <c r="G990">
        <v>928</v>
      </c>
    </row>
    <row r="991" spans="1:7">
      <c r="A991" t="s">
        <v>989</v>
      </c>
    </row>
    <row r="992" spans="1:7">
      <c r="A992" t="s">
        <v>991</v>
      </c>
    </row>
    <row r="993" spans="1:7">
      <c r="A993" t="s">
        <v>385</v>
      </c>
      <c r="C993">
        <v>136</v>
      </c>
      <c r="D993">
        <v>170</v>
      </c>
      <c r="F993">
        <v>15</v>
      </c>
      <c r="G993">
        <v>321</v>
      </c>
    </row>
    <row r="994" spans="1:7">
      <c r="A994" t="s">
        <v>498</v>
      </c>
      <c r="E994">
        <v>1420</v>
      </c>
      <c r="F994">
        <v>3043</v>
      </c>
      <c r="G994">
        <v>4463</v>
      </c>
    </row>
    <row r="995" spans="1:7">
      <c r="A995" t="s">
        <v>346</v>
      </c>
      <c r="E995">
        <v>2376</v>
      </c>
      <c r="F995">
        <v>1217</v>
      </c>
      <c r="G995">
        <v>3593</v>
      </c>
    </row>
    <row r="996" spans="1:7">
      <c r="A996" t="s">
        <v>419</v>
      </c>
      <c r="F996">
        <v>1281</v>
      </c>
      <c r="G996">
        <v>1281</v>
      </c>
    </row>
    <row r="997" spans="1:7">
      <c r="A997" t="s">
        <v>1017</v>
      </c>
      <c r="B997">
        <v>16669</v>
      </c>
      <c r="C997">
        <v>15577</v>
      </c>
      <c r="D997">
        <v>7386</v>
      </c>
      <c r="E997">
        <v>13736</v>
      </c>
      <c r="F997">
        <v>10987</v>
      </c>
      <c r="G99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row>
    <row r="1004" spans="1:7">
      <c r="A1004" t="s">
        <v>85</v>
      </c>
    </row>
    <row r="1005" spans="1:7">
      <c r="A1005" t="s">
        <v>515</v>
      </c>
      <c r="C1005">
        <v>68</v>
      </c>
      <c r="G1005">
        <v>68</v>
      </c>
    </row>
    <row r="1006" spans="1:7">
      <c r="A1006" t="s">
        <v>1069</v>
      </c>
    </row>
    <row r="1007" spans="1:7">
      <c r="A1007" t="s">
        <v>379</v>
      </c>
    </row>
    <row r="1008" spans="1:7">
      <c r="A1008" t="s">
        <v>405</v>
      </c>
    </row>
    <row r="1009" spans="1:7">
      <c r="A1009" t="s">
        <v>393</v>
      </c>
    </row>
    <row r="1010" spans="1:7">
      <c r="A1010" t="s">
        <v>388</v>
      </c>
    </row>
    <row r="1011" spans="1:7">
      <c r="A1011" t="s">
        <v>255</v>
      </c>
      <c r="D1011">
        <v>426</v>
      </c>
      <c r="G1011">
        <v>426</v>
      </c>
    </row>
    <row r="1012" spans="1:7">
      <c r="A1012" t="s">
        <v>404</v>
      </c>
    </row>
    <row r="1013" spans="1:7">
      <c r="A1013" t="s">
        <v>470</v>
      </c>
    </row>
    <row r="1014" spans="1:7">
      <c r="A1014" t="s">
        <v>338</v>
      </c>
      <c r="C1014">
        <v>1175</v>
      </c>
      <c r="G1014">
        <v>1175</v>
      </c>
    </row>
    <row r="1015" spans="1:7">
      <c r="A1015" t="s">
        <v>461</v>
      </c>
      <c r="C1015">
        <v>996</v>
      </c>
      <c r="G1015">
        <v>996</v>
      </c>
    </row>
    <row r="1016" spans="1:7">
      <c r="A1016" t="s">
        <v>390</v>
      </c>
      <c r="B1016">
        <v>900</v>
      </c>
      <c r="G1016">
        <v>900</v>
      </c>
    </row>
    <row r="1017" spans="1:7">
      <c r="A1017" t="s">
        <v>426</v>
      </c>
    </row>
    <row r="1018" spans="1:7">
      <c r="A1018" t="s">
        <v>572</v>
      </c>
    </row>
    <row r="1019" spans="1:7">
      <c r="A1019" t="s">
        <v>1085</v>
      </c>
      <c r="B1019">
        <v>2805</v>
      </c>
      <c r="C1019">
        <v>1397</v>
      </c>
      <c r="G1019">
        <v>4202</v>
      </c>
    </row>
    <row r="1020" spans="1:7">
      <c r="A1020" t="s">
        <v>432</v>
      </c>
      <c r="B1020">
        <v>665</v>
      </c>
      <c r="C1020">
        <v>1360</v>
      </c>
      <c r="D1020">
        <v>1024</v>
      </c>
      <c r="G1020">
        <v>3049</v>
      </c>
    </row>
    <row r="1021" spans="1:7">
      <c r="A1021" t="s">
        <v>429</v>
      </c>
      <c r="B1021">
        <v>805</v>
      </c>
      <c r="G1021">
        <v>805</v>
      </c>
    </row>
    <row r="1022" spans="1:7">
      <c r="A1022" t="s">
        <v>435</v>
      </c>
      <c r="B1022">
        <v>572</v>
      </c>
      <c r="G1022">
        <v>572</v>
      </c>
    </row>
    <row r="1023" spans="1:7">
      <c r="A1023" t="s">
        <v>1087</v>
      </c>
      <c r="B1023">
        <v>1718</v>
      </c>
      <c r="C1023">
        <v>2478</v>
      </c>
      <c r="D1023">
        <v>1567</v>
      </c>
      <c r="G1023">
        <v>5763</v>
      </c>
    </row>
    <row r="1024" spans="1:7">
      <c r="A1024" t="s">
        <v>498</v>
      </c>
      <c r="C1024">
        <v>3411</v>
      </c>
      <c r="G1024">
        <v>3411</v>
      </c>
    </row>
    <row r="1025" spans="1:7">
      <c r="A1025" t="s">
        <v>228</v>
      </c>
      <c r="B1025">
        <v>82</v>
      </c>
      <c r="G1025">
        <v>82</v>
      </c>
    </row>
    <row r="1026" spans="1:7">
      <c r="A1026" t="s">
        <v>346</v>
      </c>
      <c r="C1026">
        <v>3311</v>
      </c>
      <c r="G1026">
        <v>3311</v>
      </c>
    </row>
    <row r="1027" spans="1:7">
      <c r="A1027" t="s">
        <v>464</v>
      </c>
    </row>
    <row r="1028" spans="1:7">
      <c r="A1028" t="s">
        <v>419</v>
      </c>
      <c r="C1028">
        <v>2568</v>
      </c>
      <c r="G1028">
        <v>2568</v>
      </c>
    </row>
    <row r="1029" spans="1:7">
      <c r="A1029" t="s">
        <v>441</v>
      </c>
      <c r="B1029">
        <v>286</v>
      </c>
      <c r="C1029">
        <v>357</v>
      </c>
      <c r="D1029">
        <v>331</v>
      </c>
      <c r="G1029">
        <v>974</v>
      </c>
    </row>
    <row r="1030" spans="1:7">
      <c r="A1030" t="s">
        <v>413</v>
      </c>
      <c r="B1030">
        <v>1655</v>
      </c>
      <c r="C1030">
        <v>2537</v>
      </c>
      <c r="G1030">
        <v>4192</v>
      </c>
    </row>
    <row r="1031" spans="1:7">
      <c r="A1031" t="s">
        <v>482</v>
      </c>
      <c r="C1031">
        <v>2382</v>
      </c>
      <c r="G1031">
        <v>2382</v>
      </c>
    </row>
    <row r="1032" spans="1:7">
      <c r="A1032" t="s">
        <v>578</v>
      </c>
      <c r="C1032">
        <v>1100</v>
      </c>
      <c r="D1032">
        <v>855</v>
      </c>
      <c r="G1032">
        <v>1955</v>
      </c>
    </row>
    <row r="1033" spans="1:7">
      <c r="A1033" t="s">
        <v>1088</v>
      </c>
      <c r="C1033">
        <v>486</v>
      </c>
      <c r="G1033">
        <v>486</v>
      </c>
    </row>
    <row r="1034" spans="1:7">
      <c r="A1034" t="s">
        <v>501</v>
      </c>
      <c r="C1034">
        <v>3634</v>
      </c>
      <c r="G1034">
        <v>3634</v>
      </c>
    </row>
    <row r="1035" spans="1:7">
      <c r="A1035" t="s">
        <v>1089</v>
      </c>
      <c r="D1035">
        <v>955</v>
      </c>
      <c r="G1035">
        <v>955</v>
      </c>
    </row>
    <row r="1036" spans="1:7">
      <c r="A1036" t="s">
        <v>1090</v>
      </c>
    </row>
    <row r="1037" spans="1:7">
      <c r="A1037" t="s">
        <v>474</v>
      </c>
    </row>
    <row r="1038" spans="1:7">
      <c r="A1038" t="s">
        <v>466</v>
      </c>
    </row>
    <row r="1039" spans="1:7">
      <c r="A1039" t="s">
        <v>468</v>
      </c>
    </row>
    <row r="1040" spans="1:7">
      <c r="A1040" t="s">
        <v>473</v>
      </c>
    </row>
    <row r="1041" spans="1:7">
      <c r="A1041" t="s">
        <v>476</v>
      </c>
    </row>
    <row r="1042" spans="1:7">
      <c r="A1042" t="s">
        <v>478</v>
      </c>
    </row>
    <row r="1043" spans="1:7">
      <c r="A1043" t="s">
        <v>479</v>
      </c>
    </row>
    <row r="1044" spans="1:7">
      <c r="A1044" t="s">
        <v>1017</v>
      </c>
      <c r="B1044">
        <v>9488</v>
      </c>
      <c r="C1044">
        <v>27260</v>
      </c>
      <c r="D1044">
        <v>5158</v>
      </c>
      <c r="G1044">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F1049">
        <v>222</v>
      </c>
      <c r="G1049">
        <v>222</v>
      </c>
    </row>
    <row r="1050" spans="1:7">
      <c r="A1050" t="s">
        <v>1069</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490</v>
      </c>
      <c r="E1054">
        <v>64</v>
      </c>
      <c r="G1054">
        <v>64</v>
      </c>
    </row>
    <row r="1055" spans="1:7">
      <c r="A1055" t="s">
        <v>493</v>
      </c>
    </row>
    <row r="1056" spans="1:7">
      <c r="A1056" t="s">
        <v>432</v>
      </c>
      <c r="B1056">
        <v>1610</v>
      </c>
      <c r="G1056">
        <v>1610</v>
      </c>
    </row>
    <row r="1057" spans="1:7">
      <c r="A1057" t="s">
        <v>429</v>
      </c>
    </row>
    <row r="1058" spans="1:7">
      <c r="A1058" t="s">
        <v>498</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482</v>
      </c>
      <c r="B1061">
        <v>3084</v>
      </c>
      <c r="G1061">
        <v>3084</v>
      </c>
    </row>
    <row r="1062" spans="1:7">
      <c r="A1062" t="s">
        <v>578</v>
      </c>
      <c r="B1062">
        <v>1622</v>
      </c>
      <c r="C1062">
        <v>1131</v>
      </c>
      <c r="G1062">
        <v>2753</v>
      </c>
    </row>
    <row r="1063" spans="1:7">
      <c r="A1063" t="s">
        <v>1088</v>
      </c>
      <c r="B1063">
        <v>600</v>
      </c>
      <c r="C1063">
        <v>610</v>
      </c>
      <c r="D1063">
        <v>974</v>
      </c>
      <c r="G1063">
        <v>2184</v>
      </c>
    </row>
    <row r="1064" spans="1:7">
      <c r="A1064" t="s">
        <v>501</v>
      </c>
      <c r="B1064">
        <v>3376</v>
      </c>
      <c r="G1064">
        <v>3376</v>
      </c>
    </row>
    <row r="1065" spans="1:7">
      <c r="A1065" t="s">
        <v>1089</v>
      </c>
      <c r="B1065">
        <v>1765</v>
      </c>
      <c r="C1065">
        <v>1153</v>
      </c>
      <c r="D1065">
        <v>383</v>
      </c>
      <c r="E1065">
        <v>490</v>
      </c>
      <c r="G1065">
        <v>3791</v>
      </c>
    </row>
    <row r="1066" spans="1:7">
      <c r="A1066" t="s">
        <v>1091</v>
      </c>
      <c r="B1066">
        <v>545</v>
      </c>
      <c r="C1066">
        <v>1172</v>
      </c>
      <c r="D1066">
        <v>1256</v>
      </c>
      <c r="E1066">
        <v>272</v>
      </c>
      <c r="F1066">
        <v>86</v>
      </c>
      <c r="G1066">
        <v>3331</v>
      </c>
    </row>
    <row r="1067" spans="1:7">
      <c r="A1067" t="s">
        <v>369</v>
      </c>
      <c r="B1067">
        <v>1829</v>
      </c>
      <c r="C1067">
        <v>2302</v>
      </c>
      <c r="D1067">
        <v>694</v>
      </c>
      <c r="G1067">
        <v>4825</v>
      </c>
    </row>
    <row r="1068" spans="1:7">
      <c r="A1068" t="s">
        <v>485</v>
      </c>
      <c r="B1068">
        <v>1391</v>
      </c>
      <c r="C1068">
        <v>2916</v>
      </c>
      <c r="D1068">
        <v>2430</v>
      </c>
      <c r="G1068">
        <v>6737</v>
      </c>
    </row>
    <row r="1069" spans="1:7">
      <c r="A1069" t="s">
        <v>147</v>
      </c>
      <c r="D1069">
        <v>466</v>
      </c>
      <c r="E1069">
        <v>345</v>
      </c>
      <c r="G1069">
        <v>811</v>
      </c>
    </row>
    <row r="1070" spans="1:7">
      <c r="A1070" t="s">
        <v>438</v>
      </c>
      <c r="E1070">
        <v>1431</v>
      </c>
      <c r="G1070">
        <v>1431</v>
      </c>
    </row>
    <row r="1071" spans="1:7">
      <c r="A1071" t="s">
        <v>559</v>
      </c>
      <c r="D1071">
        <v>1379</v>
      </c>
      <c r="E1071">
        <v>1154</v>
      </c>
      <c r="G1071">
        <v>2533</v>
      </c>
    </row>
    <row r="1072" spans="1:7">
      <c r="A1072" t="s">
        <v>343</v>
      </c>
      <c r="D1072">
        <v>243</v>
      </c>
      <c r="G1072">
        <v>243</v>
      </c>
    </row>
    <row r="1073" spans="1:7">
      <c r="A1073" t="s">
        <v>1092</v>
      </c>
      <c r="F1073">
        <v>385</v>
      </c>
      <c r="G1073">
        <v>385</v>
      </c>
    </row>
    <row r="1074" spans="1:7">
      <c r="A1074" t="s">
        <v>1093</v>
      </c>
    </row>
    <row r="1075" spans="1:7">
      <c r="A1075" t="s">
        <v>1017</v>
      </c>
      <c r="B1075">
        <v>20575</v>
      </c>
      <c r="C1075">
        <v>10528</v>
      </c>
      <c r="D1075">
        <v>10631</v>
      </c>
      <c r="E1075">
        <v>6654</v>
      </c>
      <c r="F1075">
        <v>4537</v>
      </c>
      <c r="G1075">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v>237</v>
      </c>
      <c r="C1080">
        <v>194</v>
      </c>
      <c r="D1080">
        <v>359</v>
      </c>
      <c r="E1080">
        <v>255</v>
      </c>
      <c r="F1080">
        <v>253</v>
      </c>
      <c r="G1080">
        <v>1298</v>
      </c>
    </row>
    <row r="1081" spans="1:7">
      <c r="A1081" t="s">
        <v>99</v>
      </c>
      <c r="B1081">
        <v>1283</v>
      </c>
      <c r="C1081">
        <v>442</v>
      </c>
      <c r="F1081">
        <v>706</v>
      </c>
      <c r="G1081">
        <v>2431</v>
      </c>
    </row>
    <row r="1082" spans="1:7">
      <c r="A1082" t="s">
        <v>461</v>
      </c>
      <c r="C1082">
        <v>2203</v>
      </c>
      <c r="G1082">
        <v>2203</v>
      </c>
    </row>
    <row r="1083" spans="1:7">
      <c r="A1083" t="s">
        <v>495</v>
      </c>
      <c r="E1083">
        <v>242</v>
      </c>
      <c r="G1083">
        <v>242</v>
      </c>
    </row>
    <row r="1084" spans="1:7">
      <c r="A1084" t="s">
        <v>432</v>
      </c>
    </row>
    <row r="1085" spans="1:7">
      <c r="A1085" t="s">
        <v>419</v>
      </c>
      <c r="B1085">
        <v>428</v>
      </c>
      <c r="G1085">
        <v>428</v>
      </c>
    </row>
    <row r="1086" spans="1:7">
      <c r="A1086" t="s">
        <v>1089</v>
      </c>
    </row>
    <row r="1087" spans="1:7">
      <c r="A1087" t="s">
        <v>1091</v>
      </c>
      <c r="C1087">
        <v>265</v>
      </c>
      <c r="D1087">
        <v>542</v>
      </c>
      <c r="E1087">
        <v>739</v>
      </c>
      <c r="G1087">
        <v>1546</v>
      </c>
    </row>
    <row r="1088" spans="1:7">
      <c r="A1088" t="s">
        <v>369</v>
      </c>
      <c r="D1088">
        <v>91</v>
      </c>
      <c r="G1088">
        <v>91</v>
      </c>
    </row>
    <row r="1089" spans="1:7">
      <c r="A1089" t="s">
        <v>147</v>
      </c>
      <c r="B1089">
        <v>1172</v>
      </c>
      <c r="G1089">
        <v>1172</v>
      </c>
    </row>
    <row r="1090" spans="1:7">
      <c r="A1090" t="s">
        <v>438</v>
      </c>
      <c r="B1090">
        <v>1583</v>
      </c>
      <c r="C1090">
        <v>1325</v>
      </c>
      <c r="D1090">
        <v>621</v>
      </c>
      <c r="G1090">
        <v>3529</v>
      </c>
    </row>
    <row r="1091" spans="1:7">
      <c r="A1091" t="s">
        <v>559</v>
      </c>
    </row>
    <row r="1092" spans="1:7">
      <c r="A1092" t="s">
        <v>1092</v>
      </c>
      <c r="B1092">
        <v>640</v>
      </c>
      <c r="C1092">
        <v>541</v>
      </c>
      <c r="D1092">
        <v>330</v>
      </c>
      <c r="E1092">
        <v>520</v>
      </c>
      <c r="F1092">
        <v>550</v>
      </c>
      <c r="G1092">
        <v>2581</v>
      </c>
    </row>
    <row r="1093" spans="1:7">
      <c r="A1093" t="s">
        <v>506</v>
      </c>
      <c r="B1093">
        <v>2855</v>
      </c>
      <c r="C1093">
        <v>3343</v>
      </c>
      <c r="D1093">
        <v>931</v>
      </c>
      <c r="G1093">
        <v>7129</v>
      </c>
    </row>
    <row r="1094" spans="1:7">
      <c r="A1094" t="s">
        <v>355</v>
      </c>
      <c r="C1094">
        <v>1743</v>
      </c>
      <c r="D1094">
        <v>522</v>
      </c>
      <c r="E1094">
        <v>1194</v>
      </c>
      <c r="F1094">
        <v>2811</v>
      </c>
      <c r="G1094">
        <v>6270</v>
      </c>
    </row>
    <row r="1095" spans="1:7">
      <c r="A1095" t="s">
        <v>1094</v>
      </c>
    </row>
    <row r="1096" spans="1:7">
      <c r="A1096" t="s">
        <v>410</v>
      </c>
      <c r="C1096">
        <v>1640</v>
      </c>
      <c r="D1096">
        <v>1177</v>
      </c>
      <c r="G1096">
        <v>2817</v>
      </c>
    </row>
    <row r="1097" spans="1:7">
      <c r="A1097" t="s">
        <v>503</v>
      </c>
      <c r="C1097">
        <v>1980</v>
      </c>
      <c r="D1097">
        <v>1251</v>
      </c>
      <c r="E1097">
        <v>3172</v>
      </c>
      <c r="G1097">
        <v>6403</v>
      </c>
    </row>
    <row r="1098" spans="1:7">
      <c r="A1098" t="s">
        <v>352</v>
      </c>
      <c r="C1098">
        <v>1111</v>
      </c>
      <c r="D1098">
        <v>1373</v>
      </c>
      <c r="E1098">
        <v>1090</v>
      </c>
      <c r="G1098">
        <v>3574</v>
      </c>
    </row>
    <row r="1099" spans="1:7">
      <c r="A1099" t="s">
        <v>144</v>
      </c>
      <c r="C1099">
        <v>1500</v>
      </c>
      <c r="D1099">
        <v>1084</v>
      </c>
      <c r="G1099">
        <v>2584</v>
      </c>
    </row>
    <row r="1100" spans="1:7">
      <c r="A1100" t="s">
        <v>315</v>
      </c>
      <c r="D1100">
        <v>817</v>
      </c>
      <c r="E1100">
        <v>1820</v>
      </c>
      <c r="G1100">
        <v>2637</v>
      </c>
    </row>
    <row r="1101" spans="1:7">
      <c r="A1101" t="s">
        <v>140</v>
      </c>
      <c r="E1101">
        <v>1351</v>
      </c>
      <c r="G1101">
        <v>1351</v>
      </c>
    </row>
    <row r="1102" spans="1:7">
      <c r="A1102" t="s">
        <v>324</v>
      </c>
      <c r="F1102">
        <v>1832</v>
      </c>
      <c r="G1102">
        <v>1832</v>
      </c>
    </row>
    <row r="1103" spans="1:7">
      <c r="A1103" t="s">
        <v>1017</v>
      </c>
      <c r="B1103">
        <v>8198</v>
      </c>
      <c r="C1103">
        <v>16287</v>
      </c>
      <c r="D1103">
        <v>9098</v>
      </c>
      <c r="E1103">
        <v>10383</v>
      </c>
      <c r="F1103">
        <v>6152</v>
      </c>
      <c r="G1103">
        <v>50118</v>
      </c>
    </row>
    <row r="1106" spans="1:3">
      <c r="A1106" s="44" t="s">
        <v>1015</v>
      </c>
      <c r="B1106" s="44" t="s">
        <v>1013</v>
      </c>
    </row>
    <row r="1107" spans="1:3">
      <c r="A1107" s="44" t="s">
        <v>1016</v>
      </c>
      <c r="B1107" s="111">
        <v>46006</v>
      </c>
      <c r="C1107" t="s">
        <v>1017</v>
      </c>
    </row>
    <row r="1108" spans="1:3">
      <c r="A1108" t="s">
        <v>1061</v>
      </c>
      <c r="B1108">
        <v>365</v>
      </c>
      <c r="C1108">
        <v>365</v>
      </c>
    </row>
    <row r="1109" spans="1:3">
      <c r="A1109" t="s">
        <v>99</v>
      </c>
      <c r="B1109">
        <v>735</v>
      </c>
      <c r="C1109">
        <v>735</v>
      </c>
    </row>
    <row r="1110" spans="1:3">
      <c r="A1110" t="s">
        <v>470</v>
      </c>
    </row>
    <row r="1111" spans="1:3">
      <c r="A1111" t="s">
        <v>432</v>
      </c>
    </row>
    <row r="1112" spans="1:3">
      <c r="A1112" t="s">
        <v>1091</v>
      </c>
    </row>
    <row r="1113" spans="1:3">
      <c r="A1113" t="s">
        <v>1092</v>
      </c>
      <c r="B1113">
        <v>752</v>
      </c>
      <c r="C1113">
        <v>752</v>
      </c>
    </row>
    <row r="1114" spans="1:3">
      <c r="A1114" t="s">
        <v>503</v>
      </c>
    </row>
    <row r="1115" spans="1:3">
      <c r="A1115" t="s">
        <v>140</v>
      </c>
      <c r="B1115">
        <v>496</v>
      </c>
      <c r="C1115">
        <v>496</v>
      </c>
    </row>
    <row r="1116" spans="1:3">
      <c r="A1116" t="s">
        <v>324</v>
      </c>
    </row>
    <row r="1117" spans="1:3">
      <c r="A1117" t="s">
        <v>136</v>
      </c>
      <c r="B1117">
        <v>1095</v>
      </c>
      <c r="C1117">
        <v>1095</v>
      </c>
    </row>
    <row r="1118" spans="1:3">
      <c r="A1118" t="s">
        <v>150</v>
      </c>
      <c r="B1118">
        <v>1344</v>
      </c>
      <c r="C1118">
        <v>1344</v>
      </c>
    </row>
    <row r="1119" spans="1:3">
      <c r="A1119" t="s">
        <v>248</v>
      </c>
    </row>
    <row r="1120" spans="1:3">
      <c r="A1120" t="s">
        <v>333</v>
      </c>
      <c r="B1120">
        <v>1496</v>
      </c>
      <c r="C1120">
        <v>1496</v>
      </c>
    </row>
    <row r="1121" spans="1:3">
      <c r="A1121" t="s">
        <v>1017</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83" activePane="bottomLeft" state="frozen"/>
      <selection pane="bottomLeft" activeCell="A2298" sqref="A2298:XFD229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784</v>
      </c>
      <c r="B2" s="242" t="s">
        <v>614</v>
      </c>
      <c r="C2" s="152">
        <v>45698</v>
      </c>
      <c r="D2" s="141">
        <v>2677</v>
      </c>
      <c r="E2" s="141"/>
      <c r="F2" s="141"/>
      <c r="G2" t="str">
        <f>TEXT(C2,"mmmm")</f>
        <v>February</v>
      </c>
    </row>
    <row r="3" spans="1:7" ht="15.75">
      <c r="A3" s="117" t="s">
        <v>790</v>
      </c>
      <c r="B3" s="242" t="s">
        <v>1026</v>
      </c>
      <c r="C3" s="152">
        <v>45698</v>
      </c>
      <c r="D3" s="151"/>
      <c r="E3" s="151"/>
      <c r="F3" s="141" t="s">
        <v>1098</v>
      </c>
      <c r="G3" t="str">
        <f t="shared" ref="G3:G66" si="0">TEXT(C3,"mmmm")</f>
        <v>February</v>
      </c>
    </row>
    <row r="4" spans="1:7" ht="15.75">
      <c r="A4" s="117" t="s">
        <v>780</v>
      </c>
      <c r="B4" s="158" t="s">
        <v>1099</v>
      </c>
      <c r="C4" s="152">
        <v>45699</v>
      </c>
      <c r="D4" s="141">
        <v>202</v>
      </c>
      <c r="E4" s="141"/>
      <c r="F4" s="141"/>
      <c r="G4" t="str">
        <f t="shared" si="0"/>
        <v>February</v>
      </c>
    </row>
    <row r="5" spans="1:7" ht="15.75">
      <c r="A5" s="117" t="s">
        <v>790</v>
      </c>
      <c r="B5" s="242" t="s">
        <v>1026</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1026</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1026</v>
      </c>
      <c r="C12" s="152">
        <v>45701</v>
      </c>
      <c r="D12" s="134">
        <v>202</v>
      </c>
      <c r="E12" s="134"/>
      <c r="F12" s="141"/>
      <c r="G12" t="str">
        <f t="shared" si="0"/>
        <v>February</v>
      </c>
    </row>
    <row r="13" spans="1:7" ht="15.75">
      <c r="A13" s="117" t="s">
        <v>667</v>
      </c>
      <c r="B13" s="242" t="s">
        <v>1026</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1026</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1026</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1100</v>
      </c>
      <c r="G22" t="str">
        <f t="shared" si="0"/>
        <v>February</v>
      </c>
    </row>
    <row r="23" spans="1:7">
      <c r="A23" s="117" t="s">
        <v>671</v>
      </c>
      <c r="B23" s="245" t="s">
        <v>672</v>
      </c>
      <c r="C23" s="153">
        <v>45706</v>
      </c>
      <c r="D23" s="118">
        <v>1017</v>
      </c>
      <c r="E23" s="118"/>
      <c r="F23" s="118"/>
      <c r="G23" t="str">
        <f t="shared" si="0"/>
        <v>February</v>
      </c>
    </row>
    <row r="24" spans="1:7">
      <c r="A24" s="117" t="s">
        <v>856</v>
      </c>
      <c r="B24" s="158" t="s">
        <v>1099</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1101</v>
      </c>
      <c r="G26" t="str">
        <f t="shared" si="0"/>
        <v>February</v>
      </c>
    </row>
    <row r="27" spans="1:7">
      <c r="A27" s="117" t="s">
        <v>780</v>
      </c>
      <c r="B27" s="158" t="s">
        <v>1099</v>
      </c>
      <c r="C27" s="153">
        <v>45707</v>
      </c>
      <c r="D27" s="117"/>
      <c r="E27" s="117"/>
      <c r="F27" s="118" t="s">
        <v>1102</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1026</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1099</v>
      </c>
      <c r="C31" s="153">
        <v>45707</v>
      </c>
      <c r="D31" s="117">
        <v>696</v>
      </c>
      <c r="E31" s="117"/>
      <c r="F31" s="118"/>
      <c r="G31" t="str">
        <f t="shared" si="0"/>
        <v>February</v>
      </c>
    </row>
    <row r="32" spans="1:7">
      <c r="A32" s="117" t="s">
        <v>803</v>
      </c>
      <c r="B32" s="243" t="s">
        <v>614</v>
      </c>
      <c r="C32" s="153">
        <v>45707</v>
      </c>
      <c r="D32" s="117">
        <v>1978</v>
      </c>
      <c r="E32" s="117"/>
      <c r="F32" s="118" t="s">
        <v>1103</v>
      </c>
      <c r="G32" t="str">
        <f t="shared" si="0"/>
        <v>February</v>
      </c>
    </row>
    <row r="33" spans="1:7">
      <c r="A33" s="117" t="s">
        <v>849</v>
      </c>
      <c r="B33" s="243" t="s">
        <v>600</v>
      </c>
      <c r="C33" s="153">
        <v>45707</v>
      </c>
      <c r="D33" s="117">
        <v>1606</v>
      </c>
      <c r="E33" s="117"/>
      <c r="F33" s="118"/>
      <c r="G33" t="str">
        <f t="shared" si="0"/>
        <v>February</v>
      </c>
    </row>
    <row r="34" spans="1:7">
      <c r="A34" s="117" t="s">
        <v>780</v>
      </c>
      <c r="B34" s="158" t="s">
        <v>1099</v>
      </c>
      <c r="C34" s="153">
        <v>45708</v>
      </c>
      <c r="D34" s="117">
        <v>23</v>
      </c>
      <c r="E34" s="117"/>
      <c r="F34" s="118" t="s">
        <v>1104</v>
      </c>
      <c r="G34" t="str">
        <f t="shared" si="0"/>
        <v>February</v>
      </c>
    </row>
    <row r="35" spans="1:7" ht="15.75">
      <c r="A35" s="117" t="s">
        <v>790</v>
      </c>
      <c r="B35" s="242" t="s">
        <v>1026</v>
      </c>
      <c r="C35" s="153">
        <v>45708</v>
      </c>
      <c r="D35" s="117">
        <v>309</v>
      </c>
      <c r="E35" s="117"/>
      <c r="F35" s="118" t="s">
        <v>1105</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1106</v>
      </c>
      <c r="G37" t="str">
        <f t="shared" si="0"/>
        <v>February</v>
      </c>
    </row>
    <row r="38" spans="1:7">
      <c r="A38" s="117" t="s">
        <v>856</v>
      </c>
      <c r="B38" s="158" t="s">
        <v>1099</v>
      </c>
      <c r="C38" s="153">
        <v>45708</v>
      </c>
      <c r="D38" s="117">
        <v>227</v>
      </c>
      <c r="E38" s="117"/>
      <c r="F38" s="118"/>
      <c r="G38" t="str">
        <f t="shared" si="0"/>
        <v>February</v>
      </c>
    </row>
    <row r="39" spans="1:7">
      <c r="A39" s="117" t="s">
        <v>803</v>
      </c>
      <c r="B39" s="243" t="s">
        <v>614</v>
      </c>
      <c r="C39" s="153">
        <v>45708</v>
      </c>
      <c r="D39" s="117">
        <v>851</v>
      </c>
      <c r="E39" s="117"/>
      <c r="F39" s="118" t="s">
        <v>1107</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667</v>
      </c>
      <c r="B46" s="242" t="s">
        <v>1026</v>
      </c>
      <c r="C46" s="153">
        <v>45709</v>
      </c>
      <c r="D46" s="117">
        <v>21</v>
      </c>
      <c r="E46" s="117"/>
      <c r="F46" s="118" t="s">
        <v>1106</v>
      </c>
      <c r="G46" t="str">
        <f t="shared" si="0"/>
        <v>February</v>
      </c>
    </row>
    <row r="47" spans="1:7">
      <c r="A47" s="117" t="s">
        <v>671</v>
      </c>
      <c r="B47" s="245" t="s">
        <v>672</v>
      </c>
      <c r="C47" s="153">
        <v>45709</v>
      </c>
      <c r="D47" s="117">
        <v>19</v>
      </c>
      <c r="E47" s="117"/>
      <c r="F47" s="118" t="s">
        <v>1110</v>
      </c>
      <c r="G47" t="str">
        <f t="shared" si="0"/>
        <v>February</v>
      </c>
    </row>
    <row r="48" spans="1:7" ht="15.75">
      <c r="A48" s="117" t="s">
        <v>774</v>
      </c>
      <c r="B48" s="242" t="s">
        <v>137</v>
      </c>
      <c r="C48" s="153">
        <v>45709</v>
      </c>
      <c r="D48" s="117">
        <v>823</v>
      </c>
      <c r="E48" s="117"/>
      <c r="F48" s="118" t="s">
        <v>1106</v>
      </c>
      <c r="G48" t="str">
        <f t="shared" si="0"/>
        <v>February</v>
      </c>
    </row>
    <row r="49" spans="1:7">
      <c r="A49" s="117" t="s">
        <v>771</v>
      </c>
      <c r="B49" s="243" t="s">
        <v>141</v>
      </c>
      <c r="C49" s="153">
        <v>45709</v>
      </c>
      <c r="D49" s="117">
        <v>792</v>
      </c>
      <c r="E49" s="117"/>
      <c r="F49" s="118" t="s">
        <v>1106</v>
      </c>
      <c r="G49" t="str">
        <f t="shared" si="0"/>
        <v>February</v>
      </c>
    </row>
    <row r="50" spans="1:7">
      <c r="A50" s="117" t="s">
        <v>856</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1106</v>
      </c>
      <c r="G53" t="str">
        <f t="shared" si="0"/>
        <v>February</v>
      </c>
    </row>
    <row r="54" spans="1:7">
      <c r="A54" s="117" t="s">
        <v>770</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1026</v>
      </c>
      <c r="C56" s="153">
        <v>45712</v>
      </c>
      <c r="D56" s="117">
        <v>73</v>
      </c>
      <c r="E56" s="117"/>
      <c r="F56" s="118"/>
      <c r="G56" t="str">
        <f t="shared" si="0"/>
        <v>February</v>
      </c>
    </row>
    <row r="57" spans="1:7">
      <c r="A57" s="117" t="s">
        <v>652</v>
      </c>
      <c r="B57" s="243" t="s">
        <v>600</v>
      </c>
      <c r="C57" s="153">
        <v>45712</v>
      </c>
      <c r="D57" s="117">
        <v>2087</v>
      </c>
      <c r="E57" s="117"/>
      <c r="F57" s="118" t="s">
        <v>1111</v>
      </c>
      <c r="G57" t="str">
        <f t="shared" si="0"/>
        <v>February</v>
      </c>
    </row>
    <row r="58" spans="1:7">
      <c r="A58" s="117" t="s">
        <v>845</v>
      </c>
      <c r="B58" s="243" t="s">
        <v>846</v>
      </c>
      <c r="C58" s="153">
        <v>45712</v>
      </c>
      <c r="D58" s="117">
        <v>555</v>
      </c>
      <c r="E58" s="117"/>
      <c r="F58" s="118"/>
      <c r="G58" t="str">
        <f t="shared" si="0"/>
        <v>February</v>
      </c>
    </row>
    <row r="59" spans="1:7">
      <c r="A59" s="117" t="s">
        <v>780</v>
      </c>
      <c r="B59" s="158" t="s">
        <v>1099</v>
      </c>
      <c r="C59" s="153">
        <v>45713</v>
      </c>
      <c r="D59" s="117"/>
      <c r="E59" s="117"/>
      <c r="F59" s="118" t="s">
        <v>1112</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1026</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1026</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1113</v>
      </c>
      <c r="C68" s="153">
        <v>45713</v>
      </c>
      <c r="D68" s="117">
        <v>236</v>
      </c>
      <c r="E68" s="117"/>
      <c r="F68" s="118" t="s">
        <v>1114</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1115</v>
      </c>
      <c r="G72" t="str">
        <f t="shared" si="1"/>
        <v>February</v>
      </c>
    </row>
    <row r="73" spans="1:7">
      <c r="A73" s="117" t="s">
        <v>856</v>
      </c>
      <c r="B73" s="158" t="s">
        <v>1099</v>
      </c>
      <c r="C73" s="153">
        <v>45713</v>
      </c>
      <c r="D73" s="117">
        <v>800</v>
      </c>
      <c r="E73" s="117"/>
      <c r="F73" s="118" t="s">
        <v>1105</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780</v>
      </c>
      <c r="B83" s="158" t="s">
        <v>1099</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1026</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1026</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1026</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1113</v>
      </c>
      <c r="C93" s="153">
        <v>45714</v>
      </c>
      <c r="D93" s="117"/>
      <c r="E93" s="117"/>
      <c r="F93" s="118" t="s">
        <v>1118</v>
      </c>
      <c r="G93" t="str">
        <f t="shared" si="1"/>
        <v>February</v>
      </c>
    </row>
    <row r="94" spans="1:7" ht="15.75">
      <c r="A94" s="117" t="s">
        <v>674</v>
      </c>
      <c r="B94" s="242" t="s">
        <v>137</v>
      </c>
      <c r="C94" s="153">
        <v>45714</v>
      </c>
      <c r="D94" s="117"/>
      <c r="E94" s="117"/>
      <c r="F94" s="118" t="s">
        <v>1118</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1119</v>
      </c>
      <c r="G97" t="str">
        <f t="shared" si="1"/>
        <v>February</v>
      </c>
    </row>
    <row r="98" spans="1:7">
      <c r="A98" s="117" t="s">
        <v>856</v>
      </c>
      <c r="B98" s="158" t="s">
        <v>1099</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840</v>
      </c>
      <c r="B112" s="141" t="s">
        <v>610</v>
      </c>
      <c r="C112" s="153">
        <v>45714</v>
      </c>
      <c r="D112" s="117">
        <v>399</v>
      </c>
      <c r="E112" s="117"/>
      <c r="F112" s="118" t="s">
        <v>1121</v>
      </c>
      <c r="G112" t="str">
        <f t="shared" si="1"/>
        <v>February</v>
      </c>
    </row>
    <row r="113" spans="1:7">
      <c r="A113" s="117" t="s">
        <v>872</v>
      </c>
      <c r="B113" s="210" t="s">
        <v>798</v>
      </c>
      <c r="C113" s="153">
        <v>45714</v>
      </c>
      <c r="D113" s="117">
        <v>891</v>
      </c>
      <c r="E113" s="117"/>
      <c r="F113" s="118" t="s">
        <v>1106</v>
      </c>
      <c r="G113" t="str">
        <f t="shared" si="1"/>
        <v>February</v>
      </c>
    </row>
    <row r="114" spans="1:7">
      <c r="A114" s="117" t="s">
        <v>780</v>
      </c>
      <c r="B114" s="158" t="s">
        <v>1099</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1026</v>
      </c>
      <c r="C116" s="122">
        <v>45715</v>
      </c>
      <c r="D116" s="118"/>
      <c r="E116" s="118"/>
      <c r="F116" s="134" t="s">
        <v>1122</v>
      </c>
      <c r="G116" t="str">
        <f t="shared" si="1"/>
        <v>February</v>
      </c>
    </row>
    <row r="117" spans="1:7">
      <c r="A117" s="117" t="s">
        <v>836</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1026</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1026</v>
      </c>
      <c r="C122" s="122">
        <v>45715</v>
      </c>
      <c r="D122" s="118"/>
      <c r="E122" s="118"/>
      <c r="F122" s="134" t="s">
        <v>1124</v>
      </c>
      <c r="G122" t="str">
        <f t="shared" si="1"/>
        <v>February</v>
      </c>
    </row>
    <row r="123" spans="1:7" ht="15.75">
      <c r="A123" s="117" t="s">
        <v>669</v>
      </c>
      <c r="B123" s="242" t="s">
        <v>137</v>
      </c>
      <c r="C123" s="122">
        <v>45715</v>
      </c>
      <c r="D123" s="118"/>
      <c r="E123" s="118"/>
      <c r="F123" s="134" t="s">
        <v>1125</v>
      </c>
      <c r="G123" t="str">
        <f t="shared" si="1"/>
        <v>February</v>
      </c>
    </row>
    <row r="124" spans="1:7">
      <c r="A124" s="117" t="s">
        <v>671</v>
      </c>
      <c r="B124" s="244" t="s">
        <v>1113</v>
      </c>
      <c r="C124" s="122">
        <v>45715</v>
      </c>
      <c r="D124" s="118"/>
      <c r="E124" s="118"/>
      <c r="F124" s="134" t="s">
        <v>1124</v>
      </c>
      <c r="G124" t="str">
        <f t="shared" si="1"/>
        <v>February</v>
      </c>
    </row>
    <row r="125" spans="1:7" ht="15.75">
      <c r="A125" s="117" t="s">
        <v>674</v>
      </c>
      <c r="B125" s="242" t="s">
        <v>137</v>
      </c>
      <c r="C125" s="122">
        <v>45715</v>
      </c>
      <c r="D125" s="118"/>
      <c r="E125" s="118"/>
      <c r="F125" s="134" t="s">
        <v>1124</v>
      </c>
      <c r="G125" t="str">
        <f t="shared" si="1"/>
        <v>February</v>
      </c>
    </row>
    <row r="126" spans="1:7">
      <c r="A126" s="117" t="s">
        <v>712</v>
      </c>
      <c r="B126" s="244" t="s">
        <v>600</v>
      </c>
      <c r="C126" s="122">
        <v>45715</v>
      </c>
      <c r="D126" s="118"/>
      <c r="E126" s="118"/>
      <c r="F126" s="134" t="s">
        <v>1125</v>
      </c>
      <c r="G126" t="str">
        <f t="shared" si="1"/>
        <v>February</v>
      </c>
    </row>
    <row r="127" spans="1:7" ht="15.75">
      <c r="A127" s="117" t="s">
        <v>774</v>
      </c>
      <c r="B127" s="242" t="s">
        <v>137</v>
      </c>
      <c r="C127" s="122">
        <v>45715</v>
      </c>
      <c r="D127" s="118">
        <v>1422</v>
      </c>
      <c r="E127" s="118"/>
      <c r="F127" s="134" t="s">
        <v>1114</v>
      </c>
      <c r="G127" t="str">
        <f t="shared" si="1"/>
        <v>February</v>
      </c>
    </row>
    <row r="128" spans="1:7">
      <c r="A128" s="117" t="s">
        <v>771</v>
      </c>
      <c r="B128" s="243" t="s">
        <v>141</v>
      </c>
      <c r="C128" s="122">
        <v>45715</v>
      </c>
      <c r="D128" s="118">
        <v>670</v>
      </c>
      <c r="E128" s="118"/>
      <c r="F128" s="134" t="s">
        <v>1098</v>
      </c>
      <c r="G128" t="str">
        <f t="shared" si="1"/>
        <v>February</v>
      </c>
    </row>
    <row r="129" spans="1:7">
      <c r="A129" s="117" t="s">
        <v>856</v>
      </c>
      <c r="B129" s="158" t="s">
        <v>1099</v>
      </c>
      <c r="C129" s="122">
        <v>45715</v>
      </c>
      <c r="D129" s="118">
        <v>529</v>
      </c>
      <c r="E129" s="118"/>
      <c r="F129" s="134"/>
      <c r="G129" t="str">
        <f t="shared" si="1"/>
        <v>February</v>
      </c>
    </row>
    <row r="130" spans="1:7">
      <c r="A130" s="117" t="s">
        <v>803</v>
      </c>
      <c r="B130" s="244" t="s">
        <v>614</v>
      </c>
      <c r="C130" s="122">
        <v>45715</v>
      </c>
      <c r="D130" s="118"/>
      <c r="E130" s="118"/>
      <c r="F130" s="134" t="s">
        <v>1125</v>
      </c>
      <c r="G130" t="str">
        <f t="shared" si="1"/>
        <v>February</v>
      </c>
    </row>
    <row r="131" spans="1:7" ht="15.75">
      <c r="A131" s="117" t="s">
        <v>688</v>
      </c>
      <c r="B131" s="242" t="s">
        <v>137</v>
      </c>
      <c r="C131" s="122">
        <v>45715</v>
      </c>
      <c r="D131" s="118"/>
      <c r="E131" s="118"/>
      <c r="F131" s="134" t="s">
        <v>1125</v>
      </c>
      <c r="G131" t="str">
        <f t="shared" ref="G131:G194" si="2">TEXT(C131,"mmmm")</f>
        <v>February</v>
      </c>
    </row>
    <row r="132" spans="1:7">
      <c r="A132" s="117" t="s">
        <v>849</v>
      </c>
      <c r="B132" s="244" t="s">
        <v>600</v>
      </c>
      <c r="C132" s="122">
        <v>45715</v>
      </c>
      <c r="D132" s="118">
        <v>513</v>
      </c>
      <c r="E132" s="118"/>
      <c r="F132" s="134" t="s">
        <v>1098</v>
      </c>
      <c r="G132" t="str">
        <f t="shared" si="2"/>
        <v>February</v>
      </c>
    </row>
    <row r="133" spans="1:7">
      <c r="A133" s="117" t="s">
        <v>770</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652</v>
      </c>
      <c r="B135" s="210" t="s">
        <v>600</v>
      </c>
      <c r="C135" s="122">
        <v>45715</v>
      </c>
      <c r="D135" s="118"/>
      <c r="E135" s="118"/>
      <c r="F135" s="134" t="s">
        <v>1125</v>
      </c>
      <c r="G135" t="str">
        <f t="shared" si="2"/>
        <v>February</v>
      </c>
    </row>
    <row r="136" spans="1:7" ht="15.75">
      <c r="A136" s="117" t="s">
        <v>767</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845</v>
      </c>
      <c r="B138" s="210" t="s">
        <v>846</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840</v>
      </c>
      <c r="B143" s="141" t="s">
        <v>610</v>
      </c>
      <c r="C143" s="122">
        <v>45715</v>
      </c>
      <c r="D143" s="118">
        <v>335</v>
      </c>
      <c r="E143" s="118"/>
      <c r="F143" s="134" t="s">
        <v>1105</v>
      </c>
      <c r="G143" t="str">
        <f t="shared" si="2"/>
        <v>February</v>
      </c>
    </row>
    <row r="144" spans="1:7">
      <c r="A144" s="117" t="s">
        <v>872</v>
      </c>
      <c r="B144" s="210" t="s">
        <v>798</v>
      </c>
      <c r="C144" s="122">
        <v>45715</v>
      </c>
      <c r="D144" s="118">
        <v>1213</v>
      </c>
      <c r="E144" s="118"/>
      <c r="F144" s="134" t="s">
        <v>1106</v>
      </c>
      <c r="G144" t="str">
        <f t="shared" si="2"/>
        <v>February</v>
      </c>
    </row>
    <row r="145" spans="1:7">
      <c r="A145" s="117" t="s">
        <v>780</v>
      </c>
      <c r="B145" s="158" t="s">
        <v>1099</v>
      </c>
      <c r="C145" s="122">
        <v>45716</v>
      </c>
      <c r="D145" s="123">
        <v>9</v>
      </c>
      <c r="E145" s="123"/>
      <c r="F145" s="118" t="s">
        <v>1106</v>
      </c>
      <c r="G145" t="str">
        <f t="shared" si="2"/>
        <v>February</v>
      </c>
    </row>
    <row r="146" spans="1:7">
      <c r="A146" s="117" t="s">
        <v>784</v>
      </c>
      <c r="B146" s="244" t="s">
        <v>614</v>
      </c>
      <c r="C146" s="122">
        <v>45716</v>
      </c>
      <c r="D146" s="123" t="s">
        <v>1125</v>
      </c>
      <c r="E146" s="123"/>
      <c r="F146" s="118"/>
      <c r="G146" t="str">
        <f t="shared" si="2"/>
        <v>February</v>
      </c>
    </row>
    <row r="147" spans="1:7" ht="15.75">
      <c r="A147" s="117" t="s">
        <v>790</v>
      </c>
      <c r="B147" s="242" t="s">
        <v>1026</v>
      </c>
      <c r="C147" s="122">
        <v>45716</v>
      </c>
      <c r="D147" s="123"/>
      <c r="E147" s="123"/>
      <c r="F147" s="123" t="s">
        <v>1122</v>
      </c>
      <c r="G147" t="str">
        <f t="shared" si="2"/>
        <v>February</v>
      </c>
    </row>
    <row r="148" spans="1:7">
      <c r="A148" s="117" t="s">
        <v>836</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883</v>
      </c>
      <c r="B150" s="242" t="s">
        <v>1026</v>
      </c>
      <c r="C150" s="122">
        <v>45716</v>
      </c>
      <c r="D150" s="123" t="s">
        <v>1125</v>
      </c>
      <c r="E150" s="123"/>
      <c r="F150" s="118"/>
      <c r="G150" t="str">
        <f t="shared" si="2"/>
        <v>February</v>
      </c>
    </row>
    <row r="151" spans="1:7">
      <c r="A151" s="117" t="s">
        <v>748</v>
      </c>
      <c r="B151" s="244" t="s">
        <v>665</v>
      </c>
      <c r="C151" s="122">
        <v>45716</v>
      </c>
      <c r="D151" s="123" t="s">
        <v>1125</v>
      </c>
      <c r="E151" s="123"/>
      <c r="F151" s="118"/>
      <c r="G151" t="str">
        <f t="shared" si="2"/>
        <v>February</v>
      </c>
    </row>
    <row r="152" spans="1:7">
      <c r="A152" s="117" t="s">
        <v>664</v>
      </c>
      <c r="B152" s="244" t="s">
        <v>665</v>
      </c>
      <c r="C152" s="122">
        <v>45716</v>
      </c>
      <c r="D152" s="123" t="s">
        <v>1125</v>
      </c>
      <c r="E152" s="123"/>
      <c r="F152" s="118"/>
      <c r="G152" t="str">
        <f t="shared" si="2"/>
        <v>February</v>
      </c>
    </row>
    <row r="153" spans="1:7" ht="15.75">
      <c r="A153" s="117" t="s">
        <v>667</v>
      </c>
      <c r="B153" s="242" t="s">
        <v>1026</v>
      </c>
      <c r="C153" s="122">
        <v>45716</v>
      </c>
      <c r="D153" s="123">
        <v>3</v>
      </c>
      <c r="E153" s="123"/>
      <c r="F153" s="109" t="s">
        <v>1127</v>
      </c>
      <c r="G153" t="str">
        <f t="shared" si="2"/>
        <v>February</v>
      </c>
    </row>
    <row r="154" spans="1:7" ht="15.75">
      <c r="A154" s="117" t="s">
        <v>669</v>
      </c>
      <c r="B154" s="242" t="s">
        <v>137</v>
      </c>
      <c r="C154" s="122">
        <v>45716</v>
      </c>
      <c r="D154" s="123" t="s">
        <v>1125</v>
      </c>
      <c r="E154" s="123"/>
      <c r="F154" s="118"/>
      <c r="G154" t="str">
        <f t="shared" si="2"/>
        <v>February</v>
      </c>
    </row>
    <row r="155" spans="1:7">
      <c r="A155" s="117" t="s">
        <v>671</v>
      </c>
      <c r="B155" s="244" t="s">
        <v>1113</v>
      </c>
      <c r="C155" s="122">
        <v>45716</v>
      </c>
      <c r="D155" s="123" t="s">
        <v>1125</v>
      </c>
      <c r="E155" s="123"/>
      <c r="F155" s="118"/>
      <c r="G155" t="str">
        <f t="shared" si="2"/>
        <v>February</v>
      </c>
    </row>
    <row r="156" spans="1:7" ht="15.75">
      <c r="A156" s="117" t="s">
        <v>674</v>
      </c>
      <c r="B156" s="242" t="s">
        <v>137</v>
      </c>
      <c r="C156" s="122">
        <v>45716</v>
      </c>
      <c r="D156" s="123" t="s">
        <v>1125</v>
      </c>
      <c r="E156" s="123"/>
      <c r="F156" s="118"/>
      <c r="G156" t="str">
        <f t="shared" si="2"/>
        <v>February</v>
      </c>
    </row>
    <row r="157" spans="1:7">
      <c r="A157" s="117" t="s">
        <v>712</v>
      </c>
      <c r="B157" s="244" t="s">
        <v>600</v>
      </c>
      <c r="C157" s="122">
        <v>45716</v>
      </c>
      <c r="D157" s="123" t="s">
        <v>1125</v>
      </c>
      <c r="E157" s="123"/>
      <c r="F157" s="118"/>
      <c r="G157" t="str">
        <f t="shared" si="2"/>
        <v>February</v>
      </c>
    </row>
    <row r="158" spans="1:7" ht="15.75">
      <c r="A158" s="117" t="s">
        <v>774</v>
      </c>
      <c r="B158" s="242" t="s">
        <v>137</v>
      </c>
      <c r="C158" s="122">
        <v>45716</v>
      </c>
      <c r="D158" s="123">
        <v>946</v>
      </c>
      <c r="E158" s="123"/>
      <c r="F158" s="109" t="s">
        <v>1106</v>
      </c>
      <c r="G158" t="str">
        <f t="shared" si="2"/>
        <v>February</v>
      </c>
    </row>
    <row r="159" spans="1:7">
      <c r="A159" s="117" t="s">
        <v>771</v>
      </c>
      <c r="B159" s="243" t="s">
        <v>141</v>
      </c>
      <c r="C159" s="122">
        <v>45716</v>
      </c>
      <c r="D159" s="123" t="s">
        <v>1125</v>
      </c>
      <c r="E159" s="123"/>
      <c r="F159" s="118"/>
      <c r="G159" t="str">
        <f t="shared" si="2"/>
        <v>February</v>
      </c>
    </row>
    <row r="160" spans="1:7">
      <c r="A160" s="117" t="s">
        <v>856</v>
      </c>
      <c r="B160" s="158" t="s">
        <v>1099</v>
      </c>
      <c r="C160" s="122">
        <v>45716</v>
      </c>
      <c r="D160" s="123">
        <v>327</v>
      </c>
      <c r="E160" s="123"/>
      <c r="F160" s="118"/>
      <c r="G160" t="str">
        <f t="shared" si="2"/>
        <v>February</v>
      </c>
    </row>
    <row r="161" spans="1:7">
      <c r="A161" s="117" t="s">
        <v>803</v>
      </c>
      <c r="B161" s="244" t="s">
        <v>614</v>
      </c>
      <c r="C161" s="122">
        <v>45716</v>
      </c>
      <c r="D161" s="123">
        <v>54</v>
      </c>
      <c r="E161" s="123"/>
      <c r="F161" s="109" t="s">
        <v>1128</v>
      </c>
      <c r="G161" t="str">
        <f t="shared" si="2"/>
        <v>February</v>
      </c>
    </row>
    <row r="162" spans="1:7" ht="15.75">
      <c r="A162" s="117" t="s">
        <v>688</v>
      </c>
      <c r="B162" s="242" t="s">
        <v>137</v>
      </c>
      <c r="C162" s="122">
        <v>45716</v>
      </c>
      <c r="D162" s="123" t="s">
        <v>1125</v>
      </c>
      <c r="E162" s="123"/>
      <c r="F162" s="118"/>
      <c r="G162" t="str">
        <f t="shared" si="2"/>
        <v>February</v>
      </c>
    </row>
    <row r="163" spans="1:7">
      <c r="A163" s="117" t="s">
        <v>849</v>
      </c>
      <c r="B163" s="244" t="s">
        <v>600</v>
      </c>
      <c r="C163" s="122">
        <v>45716</v>
      </c>
      <c r="D163" s="123" t="s">
        <v>1125</v>
      </c>
      <c r="E163" s="123"/>
      <c r="F163" s="118"/>
      <c r="G163" t="str">
        <f t="shared" si="2"/>
        <v>February</v>
      </c>
    </row>
    <row r="164" spans="1:7">
      <c r="A164" s="117" t="s">
        <v>770</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652</v>
      </c>
      <c r="B166" s="210" t="s">
        <v>600</v>
      </c>
      <c r="C166" s="122">
        <v>45716</v>
      </c>
      <c r="D166" s="123" t="s">
        <v>1125</v>
      </c>
      <c r="E166" s="123"/>
      <c r="F166" s="118"/>
      <c r="G166" t="str">
        <f t="shared" si="2"/>
        <v>February</v>
      </c>
    </row>
    <row r="167" spans="1:7" ht="15.75">
      <c r="A167" s="117" t="s">
        <v>767</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840</v>
      </c>
      <c r="B174" s="141" t="s">
        <v>610</v>
      </c>
      <c r="C174" s="122">
        <v>45716</v>
      </c>
      <c r="D174" s="150">
        <v>1339</v>
      </c>
      <c r="E174" s="150"/>
      <c r="F174" s="109" t="s">
        <v>1129</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1099</v>
      </c>
      <c r="C176" s="122">
        <v>45719</v>
      </c>
      <c r="D176" s="123" t="s">
        <v>1125</v>
      </c>
      <c r="E176" s="123"/>
      <c r="F176" s="118"/>
      <c r="G176" t="str">
        <f t="shared" si="2"/>
        <v>March</v>
      </c>
    </row>
    <row r="177" spans="1:7">
      <c r="A177" s="117" t="s">
        <v>784</v>
      </c>
      <c r="B177" s="244" t="s">
        <v>614</v>
      </c>
      <c r="C177" s="122">
        <v>45719</v>
      </c>
      <c r="D177" s="123" t="s">
        <v>1125</v>
      </c>
      <c r="E177" s="123"/>
      <c r="F177" s="118"/>
      <c r="G177" t="str">
        <f t="shared" si="2"/>
        <v>March</v>
      </c>
    </row>
    <row r="178" spans="1:7" ht="15.75">
      <c r="A178" s="117" t="s">
        <v>790</v>
      </c>
      <c r="B178" s="242" t="s">
        <v>1026</v>
      </c>
      <c r="C178" s="122">
        <v>45719</v>
      </c>
      <c r="D178" s="123" t="s">
        <v>1125</v>
      </c>
      <c r="E178" s="123"/>
      <c r="F178" s="118"/>
      <c r="G178" t="str">
        <f t="shared" si="2"/>
        <v>March</v>
      </c>
    </row>
    <row r="179" spans="1:7">
      <c r="A179" s="117" t="s">
        <v>836</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883</v>
      </c>
      <c r="B181" s="242" t="s">
        <v>1026</v>
      </c>
      <c r="C181" s="122">
        <v>45719</v>
      </c>
      <c r="D181" s="123">
        <v>363</v>
      </c>
      <c r="E181" s="123"/>
      <c r="F181" s="118"/>
      <c r="G181" t="str">
        <f t="shared" si="2"/>
        <v>March</v>
      </c>
    </row>
    <row r="182" spans="1:7">
      <c r="A182" s="117" t="s">
        <v>748</v>
      </c>
      <c r="B182" s="244" t="s">
        <v>665</v>
      </c>
      <c r="C182" s="122">
        <v>45719</v>
      </c>
      <c r="D182" s="123" t="s">
        <v>1125</v>
      </c>
      <c r="E182" s="123"/>
      <c r="F182" s="118"/>
      <c r="G182" t="str">
        <f t="shared" si="2"/>
        <v>March</v>
      </c>
    </row>
    <row r="183" spans="1:7">
      <c r="A183" s="117" t="s">
        <v>664</v>
      </c>
      <c r="B183" s="244" t="s">
        <v>665</v>
      </c>
      <c r="C183" s="122">
        <v>45719</v>
      </c>
      <c r="D183" s="123" t="s">
        <v>1125</v>
      </c>
      <c r="E183" s="123"/>
      <c r="F183" s="118"/>
      <c r="G183" t="str">
        <f t="shared" si="2"/>
        <v>March</v>
      </c>
    </row>
    <row r="184" spans="1:7" ht="15.75">
      <c r="A184" s="117" t="s">
        <v>667</v>
      </c>
      <c r="B184" s="242" t="s">
        <v>1026</v>
      </c>
      <c r="C184" s="122">
        <v>45719</v>
      </c>
      <c r="D184" s="123" t="s">
        <v>1125</v>
      </c>
      <c r="E184" s="123"/>
      <c r="F184" s="118"/>
      <c r="G184" t="str">
        <f t="shared" si="2"/>
        <v>March</v>
      </c>
    </row>
    <row r="185" spans="1:7" ht="15.75">
      <c r="A185" s="117" t="s">
        <v>669</v>
      </c>
      <c r="B185" s="242" t="s">
        <v>137</v>
      </c>
      <c r="C185" s="122">
        <v>45719</v>
      </c>
      <c r="D185" s="123" t="s">
        <v>1125</v>
      </c>
      <c r="E185" s="123"/>
      <c r="F185" s="118"/>
      <c r="G185" t="str">
        <f t="shared" si="2"/>
        <v>March</v>
      </c>
    </row>
    <row r="186" spans="1:7">
      <c r="A186" s="117" t="s">
        <v>671</v>
      </c>
      <c r="B186" s="244" t="s">
        <v>1113</v>
      </c>
      <c r="C186" s="122">
        <v>45719</v>
      </c>
      <c r="D186" s="123" t="s">
        <v>1125</v>
      </c>
      <c r="E186" s="123"/>
      <c r="F186" s="118"/>
      <c r="G186" t="str">
        <f t="shared" si="2"/>
        <v>March</v>
      </c>
    </row>
    <row r="187" spans="1:7" ht="15.75">
      <c r="A187" s="117" t="s">
        <v>674</v>
      </c>
      <c r="B187" s="242" t="s">
        <v>137</v>
      </c>
      <c r="C187" s="122">
        <v>45719</v>
      </c>
      <c r="D187" s="123" t="s">
        <v>1125</v>
      </c>
      <c r="E187" s="123"/>
      <c r="F187" s="118"/>
      <c r="G187" t="str">
        <f t="shared" si="2"/>
        <v>March</v>
      </c>
    </row>
    <row r="188" spans="1:7">
      <c r="A188" s="117" t="s">
        <v>712</v>
      </c>
      <c r="B188" s="244" t="s">
        <v>600</v>
      </c>
      <c r="C188" s="122">
        <v>45719</v>
      </c>
      <c r="D188" s="123" t="s">
        <v>1125</v>
      </c>
      <c r="E188" s="123"/>
      <c r="F188" s="118"/>
      <c r="G188" t="str">
        <f t="shared" si="2"/>
        <v>March</v>
      </c>
    </row>
    <row r="189" spans="1:7" ht="15.75">
      <c r="A189" s="117" t="s">
        <v>774</v>
      </c>
      <c r="B189" s="242" t="s">
        <v>137</v>
      </c>
      <c r="C189" s="122">
        <v>45719</v>
      </c>
      <c r="D189" s="123" t="s">
        <v>1125</v>
      </c>
      <c r="E189" s="123"/>
      <c r="F189" s="118"/>
      <c r="G189" t="str">
        <f t="shared" si="2"/>
        <v>March</v>
      </c>
    </row>
    <row r="190" spans="1:7">
      <c r="A190" s="117" t="s">
        <v>771</v>
      </c>
      <c r="B190" s="243" t="s">
        <v>141</v>
      </c>
      <c r="C190" s="122">
        <v>45719</v>
      </c>
      <c r="D190" s="123" t="s">
        <v>1125</v>
      </c>
      <c r="E190" s="123"/>
      <c r="F190" s="118"/>
      <c r="G190" t="str">
        <f t="shared" si="2"/>
        <v>March</v>
      </c>
    </row>
    <row r="191" spans="1:7">
      <c r="A191" s="117" t="s">
        <v>856</v>
      </c>
      <c r="B191" s="158" t="s">
        <v>1099</v>
      </c>
      <c r="C191" s="122">
        <v>45719</v>
      </c>
      <c r="D191" s="123">
        <v>286</v>
      </c>
      <c r="E191" s="123"/>
      <c r="F191" s="118"/>
      <c r="G191" t="str">
        <f t="shared" si="2"/>
        <v>March</v>
      </c>
    </row>
    <row r="192" spans="1:7">
      <c r="A192" s="117" t="s">
        <v>803</v>
      </c>
      <c r="B192" s="244" t="s">
        <v>614</v>
      </c>
      <c r="C192" s="122">
        <v>45719</v>
      </c>
      <c r="D192" s="123" t="s">
        <v>1125</v>
      </c>
      <c r="E192" s="123"/>
      <c r="F192" s="118"/>
      <c r="G192" t="str">
        <f t="shared" si="2"/>
        <v>March</v>
      </c>
    </row>
    <row r="193" spans="1:7" ht="15.75">
      <c r="A193" s="117" t="s">
        <v>688</v>
      </c>
      <c r="B193" s="242" t="s">
        <v>137</v>
      </c>
      <c r="C193" s="122">
        <v>45719</v>
      </c>
      <c r="D193" s="123" t="s">
        <v>1125</v>
      </c>
      <c r="E193" s="123"/>
      <c r="F193" s="118"/>
      <c r="G193" t="str">
        <f t="shared" si="2"/>
        <v>March</v>
      </c>
    </row>
    <row r="194" spans="1:7">
      <c r="A194" s="117" t="s">
        <v>849</v>
      </c>
      <c r="B194" s="244" t="s">
        <v>600</v>
      </c>
      <c r="C194" s="122">
        <v>45719</v>
      </c>
      <c r="D194" s="123" t="s">
        <v>1125</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652</v>
      </c>
      <c r="B197" s="210" t="s">
        <v>600</v>
      </c>
      <c r="C197" s="122">
        <v>45719</v>
      </c>
      <c r="D197" s="123" t="s">
        <v>1125</v>
      </c>
      <c r="E197" s="123"/>
      <c r="F197" s="118"/>
      <c r="G197" t="str">
        <f t="shared" si="3"/>
        <v>March</v>
      </c>
    </row>
    <row r="198" spans="1:7" ht="15.75">
      <c r="A198" s="117" t="s">
        <v>767</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840</v>
      </c>
      <c r="B205" s="141" t="s">
        <v>610</v>
      </c>
      <c r="C205" s="122">
        <v>45719</v>
      </c>
      <c r="D205" s="150">
        <v>1292</v>
      </c>
      <c r="E205" s="150"/>
      <c r="F205" s="109" t="s">
        <v>1110</v>
      </c>
      <c r="G205" t="str">
        <f t="shared" si="3"/>
        <v>March</v>
      </c>
    </row>
    <row r="206" spans="1:7">
      <c r="A206" s="117" t="s">
        <v>872</v>
      </c>
      <c r="B206" s="210" t="s">
        <v>798</v>
      </c>
      <c r="C206" s="122">
        <v>45719</v>
      </c>
      <c r="D206" s="123" t="s">
        <v>1125</v>
      </c>
      <c r="E206" s="123"/>
      <c r="F206" s="118"/>
      <c r="G206" t="str">
        <f t="shared" si="3"/>
        <v>March</v>
      </c>
    </row>
    <row r="207" spans="1:7">
      <c r="A207" s="117" t="s">
        <v>870</v>
      </c>
      <c r="B207" s="210" t="s">
        <v>798</v>
      </c>
      <c r="C207" s="122">
        <v>45719</v>
      </c>
      <c r="D207" s="123" t="s">
        <v>1125</v>
      </c>
      <c r="E207" s="123"/>
      <c r="F207" s="118"/>
      <c r="G207" t="str">
        <f t="shared" si="3"/>
        <v>March</v>
      </c>
    </row>
    <row r="208" spans="1:7" ht="15.75">
      <c r="A208" s="117" t="s">
        <v>656</v>
      </c>
      <c r="B208" s="242" t="s">
        <v>137</v>
      </c>
      <c r="C208" s="122">
        <v>45719</v>
      </c>
      <c r="D208" s="150">
        <v>1454</v>
      </c>
      <c r="E208" s="150"/>
      <c r="F208" s="109" t="s">
        <v>1130</v>
      </c>
      <c r="G208" t="str">
        <f t="shared" si="3"/>
        <v>March</v>
      </c>
    </row>
    <row r="209" spans="1:8">
      <c r="A209" s="117" t="s">
        <v>867</v>
      </c>
      <c r="B209" s="210" t="s">
        <v>846</v>
      </c>
      <c r="C209" s="122">
        <v>45719</v>
      </c>
      <c r="D209" s="150">
        <v>2215</v>
      </c>
      <c r="E209" s="150"/>
      <c r="F209" s="109" t="s">
        <v>1131</v>
      </c>
      <c r="G209" t="str">
        <f t="shared" si="3"/>
        <v>March</v>
      </c>
    </row>
    <row r="210" spans="1:8">
      <c r="A210" s="117" t="s">
        <v>780</v>
      </c>
      <c r="B210" s="158" t="s">
        <v>1099</v>
      </c>
      <c r="C210" s="122">
        <v>45720</v>
      </c>
      <c r="D210" s="123" t="s">
        <v>1125</v>
      </c>
      <c r="E210" s="123"/>
      <c r="F210" s="118"/>
      <c r="G210" t="str">
        <f t="shared" si="3"/>
        <v>March</v>
      </c>
      <c r="H210" s="132"/>
    </row>
    <row r="211" spans="1:8" ht="15.75">
      <c r="A211" s="117" t="s">
        <v>790</v>
      </c>
      <c r="B211" s="242" t="s">
        <v>1026</v>
      </c>
      <c r="C211" s="122">
        <v>45720</v>
      </c>
      <c r="D211" s="123">
        <v>414</v>
      </c>
      <c r="E211" s="123"/>
      <c r="F211" s="118"/>
      <c r="G211" t="str">
        <f t="shared" si="3"/>
        <v>March</v>
      </c>
    </row>
    <row r="212" spans="1:8" ht="15.75">
      <c r="A212" s="117" t="s">
        <v>883</v>
      </c>
      <c r="B212" s="242" t="s">
        <v>1026</v>
      </c>
      <c r="C212" s="122">
        <v>45720</v>
      </c>
      <c r="D212" s="123">
        <v>171</v>
      </c>
      <c r="E212" s="123"/>
      <c r="F212" s="118"/>
      <c r="G212" t="str">
        <f t="shared" si="3"/>
        <v>March</v>
      </c>
    </row>
    <row r="213" spans="1:8">
      <c r="A213" s="117" t="s">
        <v>671</v>
      </c>
      <c r="B213" s="244" t="s">
        <v>1113</v>
      </c>
      <c r="C213" s="122">
        <v>45720</v>
      </c>
      <c r="D213" s="123"/>
      <c r="E213" s="123"/>
      <c r="F213" s="123" t="s">
        <v>1132</v>
      </c>
      <c r="G213" t="str">
        <f t="shared" si="3"/>
        <v>March</v>
      </c>
    </row>
    <row r="214" spans="1:8">
      <c r="A214" s="117" t="s">
        <v>771</v>
      </c>
      <c r="B214" s="243" t="s">
        <v>141</v>
      </c>
      <c r="C214" s="122">
        <v>45720</v>
      </c>
      <c r="D214" s="123"/>
      <c r="E214" s="123"/>
      <c r="F214" s="134" t="s">
        <v>1133</v>
      </c>
      <c r="G214" t="str">
        <f t="shared" si="3"/>
        <v>March</v>
      </c>
    </row>
    <row r="215" spans="1:8">
      <c r="A215" s="117" t="s">
        <v>856</v>
      </c>
      <c r="B215" s="158" t="s">
        <v>1099</v>
      </c>
      <c r="C215" s="122">
        <v>45720</v>
      </c>
      <c r="D215" s="123">
        <v>358</v>
      </c>
      <c r="E215" s="123"/>
      <c r="F215" s="118"/>
      <c r="G215" t="str">
        <f t="shared" si="3"/>
        <v>March</v>
      </c>
    </row>
    <row r="216" spans="1:8">
      <c r="A216" s="117" t="s">
        <v>770</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767</v>
      </c>
      <c r="B218" s="242" t="s">
        <v>137</v>
      </c>
      <c r="C218" s="122">
        <v>45720</v>
      </c>
      <c r="D218" s="123">
        <v>970</v>
      </c>
      <c r="E218" s="123"/>
      <c r="F218" s="109" t="s">
        <v>1106</v>
      </c>
      <c r="G218" t="str">
        <f t="shared" si="3"/>
        <v>March</v>
      </c>
    </row>
    <row r="219" spans="1:8">
      <c r="A219" s="117" t="s">
        <v>840</v>
      </c>
      <c r="B219" s="141" t="s">
        <v>610</v>
      </c>
      <c r="C219" s="122">
        <v>45720</v>
      </c>
      <c r="D219" s="150">
        <v>1022</v>
      </c>
      <c r="E219" s="150"/>
      <c r="F219" s="109" t="s">
        <v>1110</v>
      </c>
      <c r="G219" t="str">
        <f t="shared" si="3"/>
        <v>March</v>
      </c>
    </row>
    <row r="220" spans="1:8">
      <c r="A220" s="117" t="s">
        <v>872</v>
      </c>
      <c r="B220" s="210" t="s">
        <v>798</v>
      </c>
      <c r="C220" s="122">
        <v>45720</v>
      </c>
      <c r="D220" s="123" t="s">
        <v>1125</v>
      </c>
      <c r="E220" s="123"/>
      <c r="F220" s="118"/>
      <c r="G220" t="str">
        <f t="shared" si="3"/>
        <v>March</v>
      </c>
    </row>
    <row r="221" spans="1:8">
      <c r="A221" s="117" t="s">
        <v>870</v>
      </c>
      <c r="B221" s="210" t="s">
        <v>798</v>
      </c>
      <c r="C221" s="122">
        <v>45720</v>
      </c>
      <c r="D221" s="150">
        <v>1570</v>
      </c>
      <c r="E221" s="150"/>
      <c r="F221" s="118" t="s">
        <v>1104</v>
      </c>
      <c r="G221" t="str">
        <f t="shared" si="3"/>
        <v>March</v>
      </c>
    </row>
    <row r="222" spans="1:8" ht="15.75">
      <c r="A222" s="117" t="s">
        <v>656</v>
      </c>
      <c r="B222" s="242" t="s">
        <v>137</v>
      </c>
      <c r="C222" s="122">
        <v>45720</v>
      </c>
      <c r="D222" s="150">
        <v>1360</v>
      </c>
      <c r="E222" s="150"/>
      <c r="F222" s="109" t="s">
        <v>1135</v>
      </c>
      <c r="G222" t="str">
        <f t="shared" si="3"/>
        <v>March</v>
      </c>
    </row>
    <row r="223" spans="1:8">
      <c r="A223" s="117" t="s">
        <v>867</v>
      </c>
      <c r="B223" s="210" t="s">
        <v>846</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780</v>
      </c>
      <c r="B225" s="158" t="s">
        <v>1099</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1026</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1026</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1026</v>
      </c>
      <c r="C233" s="122">
        <v>45721</v>
      </c>
      <c r="D233" s="123">
        <v>0</v>
      </c>
      <c r="E233" s="123"/>
      <c r="F233" s="123" t="s">
        <v>1136</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1113</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1099</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840</v>
      </c>
      <c r="B254" s="141" t="s">
        <v>610</v>
      </c>
      <c r="C254" s="122">
        <v>45721</v>
      </c>
      <c r="D254" s="150">
        <v>1246</v>
      </c>
      <c r="E254" s="150"/>
      <c r="F254" s="133" t="s">
        <v>1140</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1141</v>
      </c>
      <c r="G256" t="str">
        <f t="shared" si="3"/>
        <v>March</v>
      </c>
    </row>
    <row r="257" spans="1:7" ht="15.75">
      <c r="A257" s="117" t="s">
        <v>656</v>
      </c>
      <c r="B257" s="242" t="s">
        <v>137</v>
      </c>
      <c r="C257" s="122">
        <v>45721</v>
      </c>
      <c r="D257" s="150">
        <v>1263</v>
      </c>
      <c r="E257" s="150"/>
      <c r="F257" s="133" t="s">
        <v>1142</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723</v>
      </c>
      <c r="B261" s="242" t="s">
        <v>1026</v>
      </c>
      <c r="C261" s="122">
        <v>45721</v>
      </c>
      <c r="D261" s="123">
        <v>200</v>
      </c>
      <c r="E261" s="123"/>
      <c r="F261" s="118"/>
      <c r="G261" t="str">
        <f t="shared" si="4"/>
        <v>March</v>
      </c>
    </row>
    <row r="262" spans="1:7">
      <c r="A262" s="117" t="s">
        <v>780</v>
      </c>
      <c r="B262" s="158" t="s">
        <v>1099</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1026</v>
      </c>
      <c r="C264" s="122">
        <v>45722</v>
      </c>
      <c r="D264" s="134">
        <v>245</v>
      </c>
      <c r="E264" s="134"/>
      <c r="F264" s="109" t="s">
        <v>1114</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1026</v>
      </c>
      <c r="C267" s="122">
        <v>45722</v>
      </c>
      <c r="D267" s="134">
        <v>397</v>
      </c>
      <c r="E267" s="134"/>
      <c r="F267" s="109" t="s">
        <v>1143</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1026</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1113</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1099</v>
      </c>
      <c r="C277" s="122">
        <v>45722</v>
      </c>
      <c r="D277" s="134">
        <v>32</v>
      </c>
      <c r="E277" s="134"/>
      <c r="F277" s="134" t="s">
        <v>1115</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1144</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723</v>
      </c>
      <c r="B298" s="242" t="s">
        <v>1026</v>
      </c>
      <c r="C298" s="122">
        <v>45722</v>
      </c>
      <c r="D298" s="134">
        <v>489</v>
      </c>
      <c r="E298" s="134"/>
      <c r="F298" s="134" t="s">
        <v>1145</v>
      </c>
      <c r="G298" t="str">
        <f t="shared" si="4"/>
        <v>March</v>
      </c>
    </row>
    <row r="299" spans="1:7">
      <c r="A299" s="118" t="s">
        <v>851</v>
      </c>
      <c r="B299" s="154" t="s">
        <v>596</v>
      </c>
      <c r="C299" s="122">
        <v>45722</v>
      </c>
      <c r="D299" s="134">
        <v>884</v>
      </c>
      <c r="E299" s="134"/>
      <c r="F299" s="134" t="s">
        <v>1146</v>
      </c>
      <c r="G299" t="str">
        <f t="shared" si="4"/>
        <v>March</v>
      </c>
    </row>
    <row r="300" spans="1:7" ht="15.75">
      <c r="A300" s="118" t="s">
        <v>654</v>
      </c>
      <c r="B300" s="242" t="s">
        <v>137</v>
      </c>
      <c r="C300" s="122">
        <v>45722</v>
      </c>
      <c r="D300" s="151">
        <v>1357</v>
      </c>
      <c r="E300" s="151"/>
      <c r="F300" s="134" t="s">
        <v>1119</v>
      </c>
      <c r="G300" t="str">
        <f t="shared" si="4"/>
        <v>March</v>
      </c>
    </row>
    <row r="301" spans="1:7">
      <c r="A301" s="118" t="s">
        <v>806</v>
      </c>
      <c r="B301" s="210" t="s">
        <v>798</v>
      </c>
      <c r="C301" s="122">
        <v>45722</v>
      </c>
      <c r="D301" s="134">
        <v>874</v>
      </c>
      <c r="E301" s="134"/>
      <c r="G301" t="str">
        <f t="shared" si="4"/>
        <v>March</v>
      </c>
    </row>
    <row r="302" spans="1:7">
      <c r="A302" s="117" t="s">
        <v>780</v>
      </c>
      <c r="B302" s="158" t="s">
        <v>1099</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1026</v>
      </c>
      <c r="C304" s="56">
        <v>45723</v>
      </c>
      <c r="D304" s="134">
        <v>0</v>
      </c>
      <c r="E304" s="134"/>
      <c r="F304" s="134" t="s">
        <v>1147</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1026</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1026</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1113</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1099</v>
      </c>
      <c r="C317" s="56">
        <v>45723</v>
      </c>
      <c r="D317" s="134">
        <v>9</v>
      </c>
      <c r="E317" s="134"/>
      <c r="F317" s="134" t="s">
        <v>1106</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1148</v>
      </c>
      <c r="G320" t="str">
        <f t="shared" si="4"/>
        <v>March</v>
      </c>
    </row>
    <row r="321" spans="1:7">
      <c r="A321" s="117" t="s">
        <v>770</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840</v>
      </c>
      <c r="B331" s="141" t="s">
        <v>610</v>
      </c>
      <c r="C331" s="56">
        <v>45723</v>
      </c>
      <c r="D331" s="134">
        <v>288</v>
      </c>
      <c r="E331" s="134"/>
      <c r="F331" s="134" t="s">
        <v>1151</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1104</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723</v>
      </c>
      <c r="B338" s="242" t="s">
        <v>1026</v>
      </c>
      <c r="C338" s="56">
        <v>45723</v>
      </c>
      <c r="D338" s="134">
        <v>0</v>
      </c>
      <c r="E338" s="134"/>
      <c r="G338" t="str">
        <f t="shared" si="5"/>
        <v>March</v>
      </c>
    </row>
    <row r="339" spans="1:7">
      <c r="A339" s="118" t="s">
        <v>851</v>
      </c>
      <c r="B339" s="154" t="s">
        <v>596</v>
      </c>
      <c r="C339" s="56">
        <v>45723</v>
      </c>
      <c r="D339" s="134">
        <v>738</v>
      </c>
      <c r="E339" s="134"/>
      <c r="F339" s="134" t="s">
        <v>1153</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1106</v>
      </c>
      <c r="G341" t="str">
        <f t="shared" si="5"/>
        <v>March</v>
      </c>
    </row>
    <row r="342" spans="1:7" ht="15.75">
      <c r="A342" s="118" t="s">
        <v>744</v>
      </c>
      <c r="B342" s="242" t="s">
        <v>1026</v>
      </c>
      <c r="C342" s="56">
        <v>45723</v>
      </c>
      <c r="D342" s="134">
        <v>20</v>
      </c>
      <c r="E342" s="134"/>
      <c r="G342" t="str">
        <f t="shared" si="5"/>
        <v>March</v>
      </c>
    </row>
    <row r="343" spans="1:7">
      <c r="A343" s="117" t="s">
        <v>780</v>
      </c>
      <c r="B343" s="158" t="s">
        <v>1099</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1026</v>
      </c>
      <c r="C345" s="56">
        <v>45726</v>
      </c>
      <c r="D345" s="134">
        <v>0</v>
      </c>
      <c r="E345" s="134"/>
      <c r="F345" s="134" t="s">
        <v>1154</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1026</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1026</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1113</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1099</v>
      </c>
      <c r="C358" s="56">
        <v>45726</v>
      </c>
      <c r="D358" s="134">
        <v>0</v>
      </c>
      <c r="E358" s="134"/>
      <c r="F358" s="134" t="s">
        <v>1155</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723</v>
      </c>
      <c r="B379" s="242" t="s">
        <v>1026</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1141</v>
      </c>
      <c r="G381" t="str">
        <f t="shared" si="5"/>
        <v>March</v>
      </c>
    </row>
    <row r="382" spans="1:7">
      <c r="A382" s="118" t="s">
        <v>806</v>
      </c>
      <c r="B382" s="210" t="s">
        <v>798</v>
      </c>
      <c r="C382" s="56">
        <v>45726</v>
      </c>
      <c r="D382" s="134">
        <v>834</v>
      </c>
      <c r="E382" s="134"/>
      <c r="G382" t="str">
        <f t="shared" si="5"/>
        <v>March</v>
      </c>
    </row>
    <row r="383" spans="1:7" ht="15.75">
      <c r="A383" s="118" t="s">
        <v>744</v>
      </c>
      <c r="B383" s="242" t="s">
        <v>1026</v>
      </c>
      <c r="C383" s="56">
        <v>45726</v>
      </c>
      <c r="D383" s="134">
        <v>0</v>
      </c>
      <c r="E383" s="134"/>
      <c r="G383" t="str">
        <f t="shared" si="5"/>
        <v>March</v>
      </c>
    </row>
    <row r="384" spans="1:7">
      <c r="A384" s="117" t="s">
        <v>780</v>
      </c>
      <c r="B384" s="158" t="s">
        <v>1099</v>
      </c>
      <c r="C384" s="56">
        <v>45727</v>
      </c>
      <c r="D384" s="123">
        <v>3</v>
      </c>
      <c r="E384" s="123"/>
      <c r="F384" s="109" t="s">
        <v>1118</v>
      </c>
      <c r="G384" t="str">
        <f t="shared" si="5"/>
        <v>March</v>
      </c>
    </row>
    <row r="385" spans="1:7">
      <c r="A385" s="117" t="s">
        <v>784</v>
      </c>
      <c r="B385" s="244" t="s">
        <v>614</v>
      </c>
      <c r="C385" s="56">
        <v>45727</v>
      </c>
      <c r="D385" s="123">
        <v>0</v>
      </c>
      <c r="E385" s="123"/>
      <c r="G385" t="str">
        <f t="shared" si="5"/>
        <v>March</v>
      </c>
    </row>
    <row r="386" spans="1:7" ht="15.75">
      <c r="A386" s="117" t="s">
        <v>790</v>
      </c>
      <c r="B386" s="242" t="s">
        <v>1026</v>
      </c>
      <c r="C386" s="56">
        <v>45727</v>
      </c>
      <c r="D386" s="123">
        <v>0</v>
      </c>
      <c r="E386" s="123"/>
      <c r="F386" s="123" t="s">
        <v>1124</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1026</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1026</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1113</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1099</v>
      </c>
      <c r="C399" s="56">
        <v>45727</v>
      </c>
      <c r="D399" s="123">
        <v>12</v>
      </c>
      <c r="E399" s="123"/>
      <c r="F399" s="109" t="s">
        <v>1106</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723</v>
      </c>
      <c r="B420" s="242" t="s">
        <v>1026</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1157</v>
      </c>
      <c r="G422" t="str">
        <f t="shared" si="6"/>
        <v>March</v>
      </c>
    </row>
    <row r="423" spans="1:7">
      <c r="A423" s="118" t="s">
        <v>806</v>
      </c>
      <c r="B423" s="210" t="s">
        <v>798</v>
      </c>
      <c r="C423" s="56">
        <v>45727</v>
      </c>
      <c r="D423" s="150">
        <v>1081</v>
      </c>
      <c r="E423" s="150"/>
      <c r="G423" t="str">
        <f t="shared" si="6"/>
        <v>March</v>
      </c>
    </row>
    <row r="424" spans="1:7" ht="15.75">
      <c r="A424" s="118" t="s">
        <v>744</v>
      </c>
      <c r="B424" s="242" t="s">
        <v>1026</v>
      </c>
      <c r="C424" s="56">
        <v>45727</v>
      </c>
      <c r="D424" s="123">
        <v>0</v>
      </c>
      <c r="E424" s="123"/>
      <c r="G424" t="str">
        <f t="shared" si="6"/>
        <v>March</v>
      </c>
    </row>
    <row r="425" spans="1:7" ht="15.75">
      <c r="A425" s="118" t="s">
        <v>682</v>
      </c>
      <c r="B425" s="242" t="s">
        <v>137</v>
      </c>
      <c r="C425" s="56">
        <v>45727</v>
      </c>
      <c r="D425" s="150">
        <v>1710</v>
      </c>
      <c r="E425" s="150"/>
      <c r="F425" s="109" t="s">
        <v>1119</v>
      </c>
      <c r="G425" t="str">
        <f t="shared" si="6"/>
        <v>March</v>
      </c>
    </row>
    <row r="426" spans="1:7">
      <c r="A426" s="118" t="s">
        <v>881</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1099</v>
      </c>
      <c r="C430" s="56">
        <v>45728</v>
      </c>
      <c r="D430" s="123"/>
      <c r="E430" s="123"/>
      <c r="F430" s="123" t="s">
        <v>1158</v>
      </c>
      <c r="G430" t="str">
        <f t="shared" si="6"/>
        <v>March</v>
      </c>
    </row>
    <row r="431" spans="1:7">
      <c r="A431" s="117" t="s">
        <v>784</v>
      </c>
      <c r="B431" s="244" t="s">
        <v>614</v>
      </c>
      <c r="C431" s="56">
        <v>45728</v>
      </c>
      <c r="D431" s="123"/>
      <c r="E431" s="123"/>
      <c r="F431" s="123" t="s">
        <v>1125</v>
      </c>
      <c r="G431" t="str">
        <f t="shared" si="6"/>
        <v>March</v>
      </c>
    </row>
    <row r="432" spans="1:7" ht="15.75">
      <c r="A432" s="117" t="s">
        <v>790</v>
      </c>
      <c r="B432" s="242" t="s">
        <v>1026</v>
      </c>
      <c r="C432" s="56">
        <v>45728</v>
      </c>
      <c r="D432" s="123"/>
      <c r="E432" s="123"/>
      <c r="F432" s="123" t="s">
        <v>1158</v>
      </c>
      <c r="G432" t="str">
        <f t="shared" si="6"/>
        <v>March</v>
      </c>
    </row>
    <row r="433" spans="1:7">
      <c r="A433" s="117" t="s">
        <v>836</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883</v>
      </c>
      <c r="B435" s="242" t="s">
        <v>1026</v>
      </c>
      <c r="C435" s="56">
        <v>45728</v>
      </c>
      <c r="D435" s="123" t="s">
        <v>1125</v>
      </c>
      <c r="E435" s="123"/>
      <c r="G435" t="str">
        <f t="shared" si="6"/>
        <v>March</v>
      </c>
    </row>
    <row r="436" spans="1:7">
      <c r="A436" s="117" t="s">
        <v>748</v>
      </c>
      <c r="B436" s="244" t="s">
        <v>665</v>
      </c>
      <c r="C436" s="56">
        <v>45728</v>
      </c>
      <c r="D436" s="123" t="s">
        <v>1159</v>
      </c>
      <c r="E436" s="123"/>
      <c r="G436" t="str">
        <f t="shared" si="6"/>
        <v>March</v>
      </c>
    </row>
    <row r="437" spans="1:7">
      <c r="A437" s="117" t="s">
        <v>664</v>
      </c>
      <c r="B437" s="244" t="s">
        <v>665</v>
      </c>
      <c r="C437" s="56">
        <v>45728</v>
      </c>
      <c r="D437" s="123" t="s">
        <v>1159</v>
      </c>
      <c r="E437" s="123"/>
      <c r="G437" t="str">
        <f t="shared" si="6"/>
        <v>March</v>
      </c>
    </row>
    <row r="438" spans="1:7" ht="15.75">
      <c r="A438" s="117" t="s">
        <v>667</v>
      </c>
      <c r="B438" s="242" t="s">
        <v>1026</v>
      </c>
      <c r="C438" s="56">
        <v>45728</v>
      </c>
      <c r="D438" s="123" t="s">
        <v>1125</v>
      </c>
      <c r="E438" s="123"/>
      <c r="G438" t="str">
        <f t="shared" si="6"/>
        <v>March</v>
      </c>
    </row>
    <row r="439" spans="1:7" ht="15.75">
      <c r="A439" s="117" t="s">
        <v>669</v>
      </c>
      <c r="B439" s="242" t="s">
        <v>137</v>
      </c>
      <c r="C439" s="56">
        <v>45728</v>
      </c>
      <c r="D439" s="123" t="s">
        <v>1159</v>
      </c>
      <c r="E439" s="123"/>
      <c r="G439" t="str">
        <f t="shared" si="6"/>
        <v>March</v>
      </c>
    </row>
    <row r="440" spans="1:7">
      <c r="A440" s="117" t="s">
        <v>671</v>
      </c>
      <c r="B440" s="244" t="s">
        <v>1113</v>
      </c>
      <c r="C440" s="56">
        <v>45728</v>
      </c>
      <c r="D440" s="123" t="s">
        <v>1125</v>
      </c>
      <c r="E440" s="123"/>
      <c r="G440" t="str">
        <f t="shared" si="6"/>
        <v>March</v>
      </c>
    </row>
    <row r="441" spans="1:7" ht="15.75">
      <c r="A441" s="117" t="s">
        <v>674</v>
      </c>
      <c r="B441" s="242" t="s">
        <v>137</v>
      </c>
      <c r="C441" s="56">
        <v>45728</v>
      </c>
      <c r="D441" s="123" t="s">
        <v>1159</v>
      </c>
      <c r="E441" s="123"/>
      <c r="G441" t="str">
        <f t="shared" si="6"/>
        <v>March</v>
      </c>
    </row>
    <row r="442" spans="1:7">
      <c r="A442" s="117" t="s">
        <v>712</v>
      </c>
      <c r="B442" s="244" t="s">
        <v>600</v>
      </c>
      <c r="C442" s="56">
        <v>45728</v>
      </c>
      <c r="D442" s="123" t="s">
        <v>1125</v>
      </c>
      <c r="E442" s="123"/>
      <c r="G442" t="str">
        <f t="shared" si="6"/>
        <v>March</v>
      </c>
    </row>
    <row r="443" spans="1:7" ht="15.75">
      <c r="A443" s="117" t="s">
        <v>774</v>
      </c>
      <c r="B443" s="242" t="s">
        <v>137</v>
      </c>
      <c r="C443" s="56">
        <v>45728</v>
      </c>
      <c r="D443" s="123" t="s">
        <v>1125</v>
      </c>
      <c r="E443" s="123"/>
      <c r="G443" t="str">
        <f t="shared" si="6"/>
        <v>March</v>
      </c>
    </row>
    <row r="444" spans="1:7">
      <c r="A444" s="117" t="s">
        <v>771</v>
      </c>
      <c r="B444" s="243" t="s">
        <v>141</v>
      </c>
      <c r="C444" s="56">
        <v>45728</v>
      </c>
      <c r="D444" s="123" t="s">
        <v>1125</v>
      </c>
      <c r="E444" s="123"/>
      <c r="G444" t="str">
        <f t="shared" si="6"/>
        <v>March</v>
      </c>
    </row>
    <row r="445" spans="1:7">
      <c r="A445" s="117" t="s">
        <v>856</v>
      </c>
      <c r="B445" s="158" t="s">
        <v>1099</v>
      </c>
      <c r="C445" s="56">
        <v>45728</v>
      </c>
      <c r="D445" s="123">
        <v>9</v>
      </c>
      <c r="E445" s="123"/>
      <c r="F445" s="109" t="s">
        <v>1102</v>
      </c>
      <c r="G445" t="str">
        <f t="shared" si="6"/>
        <v>March</v>
      </c>
    </row>
    <row r="446" spans="1:7">
      <c r="A446" s="117" t="s">
        <v>803</v>
      </c>
      <c r="B446" s="244" t="s">
        <v>614</v>
      </c>
      <c r="C446" s="56">
        <v>45728</v>
      </c>
      <c r="D446" s="123" t="s">
        <v>1125</v>
      </c>
      <c r="E446" s="123"/>
      <c r="G446" t="str">
        <f t="shared" si="6"/>
        <v>March</v>
      </c>
    </row>
    <row r="447" spans="1:7" ht="15.75">
      <c r="A447" s="117" t="s">
        <v>688</v>
      </c>
      <c r="B447" s="242" t="s">
        <v>137</v>
      </c>
      <c r="C447" s="56">
        <v>45728</v>
      </c>
      <c r="D447" s="123" t="s">
        <v>1125</v>
      </c>
      <c r="E447" s="123"/>
      <c r="G447" t="str">
        <f t="shared" si="6"/>
        <v>March</v>
      </c>
    </row>
    <row r="448" spans="1:7">
      <c r="A448" s="117" t="s">
        <v>849</v>
      </c>
      <c r="B448" s="244" t="s">
        <v>600</v>
      </c>
      <c r="C448" s="56">
        <v>45728</v>
      </c>
      <c r="D448" s="123" t="s">
        <v>1125</v>
      </c>
      <c r="E448" s="123"/>
      <c r="G448" t="str">
        <f t="shared" si="6"/>
        <v>March</v>
      </c>
    </row>
    <row r="449" spans="1:7">
      <c r="A449" s="117" t="s">
        <v>770</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652</v>
      </c>
      <c r="B451" s="210" t="s">
        <v>600</v>
      </c>
      <c r="C451" s="56">
        <v>45728</v>
      </c>
      <c r="D451" s="123" t="s">
        <v>1125</v>
      </c>
      <c r="E451" s="123"/>
      <c r="G451" t="str">
        <f t="shared" ref="G451:G514" si="7">TEXT(C451,"mmmm")</f>
        <v>March</v>
      </c>
    </row>
    <row r="452" spans="1:7" ht="15.75">
      <c r="A452" s="117" t="s">
        <v>767</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845</v>
      </c>
      <c r="B454" s="210" t="s">
        <v>846</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840</v>
      </c>
      <c r="B459" s="141" t="s">
        <v>610</v>
      </c>
      <c r="C459" s="56">
        <v>45728</v>
      </c>
      <c r="D459" s="123" t="s">
        <v>1125</v>
      </c>
      <c r="E459" s="123"/>
      <c r="G459" t="str">
        <f t="shared" si="7"/>
        <v>March</v>
      </c>
    </row>
    <row r="460" spans="1:7">
      <c r="A460" s="117" t="s">
        <v>872</v>
      </c>
      <c r="B460" s="210" t="s">
        <v>798</v>
      </c>
      <c r="C460" s="56">
        <v>45728</v>
      </c>
      <c r="D460" s="123" t="s">
        <v>1125</v>
      </c>
      <c r="E460" s="123"/>
      <c r="G460" t="str">
        <f t="shared" si="7"/>
        <v>March</v>
      </c>
    </row>
    <row r="461" spans="1:7">
      <c r="A461" s="117" t="s">
        <v>870</v>
      </c>
      <c r="B461" s="210" t="s">
        <v>798</v>
      </c>
      <c r="C461" s="56">
        <v>45728</v>
      </c>
      <c r="D461" s="123" t="s">
        <v>1125</v>
      </c>
      <c r="E461" s="123"/>
      <c r="G461" t="str">
        <f t="shared" si="7"/>
        <v>March</v>
      </c>
    </row>
    <row r="462" spans="1:7" ht="15.75">
      <c r="A462" s="117" t="s">
        <v>656</v>
      </c>
      <c r="B462" s="242" t="s">
        <v>137</v>
      </c>
      <c r="C462" s="56">
        <v>45728</v>
      </c>
      <c r="D462" s="123" t="s">
        <v>1125</v>
      </c>
      <c r="E462" s="123"/>
      <c r="G462" t="str">
        <f t="shared" si="7"/>
        <v>March</v>
      </c>
    </row>
    <row r="463" spans="1:7">
      <c r="A463" s="117" t="s">
        <v>867</v>
      </c>
      <c r="B463" s="210" t="s">
        <v>846</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723</v>
      </c>
      <c r="B466" s="242" t="s">
        <v>1026</v>
      </c>
      <c r="C466" s="56">
        <v>45728</v>
      </c>
      <c r="D466" s="150">
        <v>1004</v>
      </c>
      <c r="E466" s="150"/>
      <c r="F466" s="109" t="s">
        <v>1152</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1125</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1026</v>
      </c>
      <c r="C470" s="56">
        <v>45728</v>
      </c>
      <c r="D470" s="123" t="s">
        <v>1125</v>
      </c>
      <c r="E470" s="123"/>
      <c r="G470" t="str">
        <f t="shared" si="7"/>
        <v>March</v>
      </c>
    </row>
    <row r="471" spans="1:7" ht="15.75">
      <c r="A471" s="118" t="s">
        <v>682</v>
      </c>
      <c r="B471" s="242" t="s">
        <v>137</v>
      </c>
      <c r="C471" s="56">
        <v>45728</v>
      </c>
      <c r="D471" s="150">
        <v>1700</v>
      </c>
      <c r="E471" s="150"/>
      <c r="F471" s="109" t="s">
        <v>1160</v>
      </c>
      <c r="G471" t="str">
        <f t="shared" si="7"/>
        <v>March</v>
      </c>
    </row>
    <row r="472" spans="1:7">
      <c r="A472" s="118" t="s">
        <v>881</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874</v>
      </c>
      <c r="B474" s="157" t="s">
        <v>600</v>
      </c>
      <c r="C474" s="56">
        <v>45728</v>
      </c>
      <c r="D474" s="123" t="s">
        <v>1125</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1098</v>
      </c>
      <c r="G476" t="str">
        <f t="shared" si="7"/>
        <v>March</v>
      </c>
    </row>
    <row r="477" spans="1:7">
      <c r="A477" s="118" t="s">
        <v>984</v>
      </c>
      <c r="B477" s="157" t="s">
        <v>846</v>
      </c>
      <c r="C477" s="56">
        <v>45728</v>
      </c>
      <c r="D477" s="150">
        <v>2760</v>
      </c>
      <c r="E477" s="150"/>
      <c r="F477" s="109" t="s">
        <v>1108</v>
      </c>
      <c r="G477" t="str">
        <f t="shared" si="7"/>
        <v>March</v>
      </c>
    </row>
    <row r="478" spans="1:7">
      <c r="A478" s="118" t="s">
        <v>843</v>
      </c>
      <c r="B478" s="243" t="s">
        <v>141</v>
      </c>
      <c r="C478" s="56">
        <v>45728</v>
      </c>
      <c r="D478" s="150">
        <v>1246</v>
      </c>
      <c r="E478" s="150"/>
      <c r="F478" s="109" t="s">
        <v>1161</v>
      </c>
      <c r="G478" t="str">
        <f t="shared" si="7"/>
        <v>March</v>
      </c>
    </row>
    <row r="479" spans="1:7" ht="15.75">
      <c r="A479" s="118" t="s">
        <v>676</v>
      </c>
      <c r="B479" s="242" t="s">
        <v>137</v>
      </c>
      <c r="C479" s="56">
        <v>45728</v>
      </c>
      <c r="D479" s="150">
        <v>1353</v>
      </c>
      <c r="E479" s="150"/>
      <c r="F479" s="109" t="s">
        <v>1104</v>
      </c>
      <c r="G479" t="str">
        <f t="shared" si="7"/>
        <v>March</v>
      </c>
    </row>
    <row r="480" spans="1:7">
      <c r="A480" s="117" t="s">
        <v>780</v>
      </c>
      <c r="B480" s="158" t="s">
        <v>1099</v>
      </c>
      <c r="C480" s="56">
        <v>45729</v>
      </c>
      <c r="D480" s="123"/>
      <c r="E480" s="123"/>
      <c r="F480" s="123" t="s">
        <v>1158</v>
      </c>
      <c r="G480" t="str">
        <f t="shared" si="7"/>
        <v>March</v>
      </c>
    </row>
    <row r="481" spans="1:7">
      <c r="A481" s="117" t="s">
        <v>784</v>
      </c>
      <c r="B481" s="244" t="s">
        <v>614</v>
      </c>
      <c r="C481" s="56">
        <v>45729</v>
      </c>
      <c r="D481" s="123"/>
      <c r="E481" s="123"/>
      <c r="G481" t="str">
        <f t="shared" si="7"/>
        <v>March</v>
      </c>
    </row>
    <row r="482" spans="1:7" ht="15.75">
      <c r="A482" s="117" t="s">
        <v>790</v>
      </c>
      <c r="B482" s="242" t="s">
        <v>1026</v>
      </c>
      <c r="C482" s="56">
        <v>45729</v>
      </c>
      <c r="D482" s="123"/>
      <c r="E482" s="123"/>
      <c r="F482" s="123" t="s">
        <v>1158</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1026</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1026</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1113</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1099</v>
      </c>
      <c r="C495" s="56">
        <v>45729</v>
      </c>
      <c r="D495" s="123"/>
      <c r="E495" s="123"/>
      <c r="F495" s="123" t="s">
        <v>1158</v>
      </c>
      <c r="G495" t="str">
        <f t="shared" si="7"/>
        <v>March</v>
      </c>
    </row>
    <row r="496" spans="1:7">
      <c r="A496" s="117" t="s">
        <v>803</v>
      </c>
      <c r="B496" s="244" t="s">
        <v>614</v>
      </c>
      <c r="C496" s="56">
        <v>45729</v>
      </c>
      <c r="D496" s="123" t="s">
        <v>1125</v>
      </c>
      <c r="E496" s="123"/>
      <c r="G496" t="str">
        <f t="shared" si="7"/>
        <v>March</v>
      </c>
    </row>
    <row r="497" spans="1:7" ht="15.75">
      <c r="A497" s="117" t="s">
        <v>688</v>
      </c>
      <c r="B497" s="242" t="s">
        <v>137</v>
      </c>
      <c r="C497" s="56">
        <v>45729</v>
      </c>
      <c r="D497" s="123" t="s">
        <v>1125</v>
      </c>
      <c r="E497" s="123"/>
      <c r="G497" t="str">
        <f t="shared" si="7"/>
        <v>March</v>
      </c>
    </row>
    <row r="498" spans="1:7">
      <c r="A498" s="117" t="s">
        <v>849</v>
      </c>
      <c r="B498" s="244" t="s">
        <v>600</v>
      </c>
      <c r="C498" s="56">
        <v>45729</v>
      </c>
      <c r="D498" s="123" t="s">
        <v>1125</v>
      </c>
      <c r="E498" s="123"/>
      <c r="G498" t="str">
        <f t="shared" si="7"/>
        <v>March</v>
      </c>
    </row>
    <row r="499" spans="1:7">
      <c r="A499" s="117" t="s">
        <v>770</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652</v>
      </c>
      <c r="B501" s="210" t="s">
        <v>600</v>
      </c>
      <c r="C501" s="56">
        <v>45729</v>
      </c>
      <c r="D501" s="123" t="s">
        <v>1125</v>
      </c>
      <c r="E501" s="123"/>
      <c r="G501" t="str">
        <f t="shared" si="7"/>
        <v>March</v>
      </c>
    </row>
    <row r="502" spans="1:7" ht="15.75">
      <c r="A502" s="117" t="s">
        <v>767</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845</v>
      </c>
      <c r="B504" s="210" t="s">
        <v>846</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840</v>
      </c>
      <c r="B509" s="141" t="s">
        <v>610</v>
      </c>
      <c r="C509" s="56">
        <v>45729</v>
      </c>
      <c r="D509" s="123" t="s">
        <v>1125</v>
      </c>
      <c r="E509" s="123"/>
      <c r="G509" t="str">
        <f t="shared" si="7"/>
        <v>March</v>
      </c>
    </row>
    <row r="510" spans="1:7">
      <c r="A510" s="117" t="s">
        <v>872</v>
      </c>
      <c r="B510" s="210" t="s">
        <v>798</v>
      </c>
      <c r="C510" s="56">
        <v>45729</v>
      </c>
      <c r="D510" s="123" t="s">
        <v>1125</v>
      </c>
      <c r="E510" s="123"/>
      <c r="G510" t="str">
        <f t="shared" si="7"/>
        <v>March</v>
      </c>
    </row>
    <row r="511" spans="1:7">
      <c r="A511" s="117" t="s">
        <v>870</v>
      </c>
      <c r="B511" s="210" t="s">
        <v>798</v>
      </c>
      <c r="C511" s="56">
        <v>45729</v>
      </c>
      <c r="D511" s="123" t="s">
        <v>1125</v>
      </c>
      <c r="E511" s="123"/>
      <c r="G511" t="str">
        <f t="shared" si="7"/>
        <v>March</v>
      </c>
    </row>
    <row r="512" spans="1:7" ht="15.75">
      <c r="A512" s="117" t="s">
        <v>656</v>
      </c>
      <c r="B512" s="242" t="s">
        <v>137</v>
      </c>
      <c r="C512" s="56">
        <v>45729</v>
      </c>
      <c r="D512" s="123" t="s">
        <v>1125</v>
      </c>
      <c r="E512" s="123"/>
      <c r="G512" t="str">
        <f t="shared" si="7"/>
        <v>March</v>
      </c>
    </row>
    <row r="513" spans="1:7">
      <c r="A513" s="117" t="s">
        <v>867</v>
      </c>
      <c r="B513" s="210" t="s">
        <v>846</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723</v>
      </c>
      <c r="B516" s="242" t="s">
        <v>1026</v>
      </c>
      <c r="C516" s="56">
        <v>45729</v>
      </c>
      <c r="D516" s="123" t="s">
        <v>1125</v>
      </c>
      <c r="E516" s="123"/>
      <c r="G516" t="str">
        <f t="shared" si="8"/>
        <v>March</v>
      </c>
    </row>
    <row r="517" spans="1:7">
      <c r="A517" s="118" t="s">
        <v>851</v>
      </c>
      <c r="B517" s="154" t="s">
        <v>596</v>
      </c>
      <c r="C517" s="56">
        <v>45729</v>
      </c>
      <c r="D517" s="123">
        <v>914</v>
      </c>
      <c r="E517" s="123"/>
      <c r="F517" s="109" t="s">
        <v>1165</v>
      </c>
      <c r="G517" t="str">
        <f t="shared" si="8"/>
        <v>March</v>
      </c>
    </row>
    <row r="518" spans="1:7" ht="15.75">
      <c r="A518" s="118" t="s">
        <v>654</v>
      </c>
      <c r="B518" s="242" t="s">
        <v>137</v>
      </c>
      <c r="C518" s="56">
        <v>45729</v>
      </c>
      <c r="D518" s="123" t="s">
        <v>1125</v>
      </c>
      <c r="E518" s="123"/>
      <c r="G518" t="str">
        <f t="shared" si="8"/>
        <v>March</v>
      </c>
    </row>
    <row r="519" spans="1:7">
      <c r="A519" s="118" t="s">
        <v>806</v>
      </c>
      <c r="B519" s="210" t="s">
        <v>798</v>
      </c>
      <c r="C519" s="56">
        <v>45729</v>
      </c>
      <c r="D519" s="123" t="s">
        <v>1125</v>
      </c>
      <c r="E519" s="123"/>
      <c r="G519" t="str">
        <f t="shared" si="8"/>
        <v>March</v>
      </c>
    </row>
    <row r="520" spans="1:7" ht="15.75">
      <c r="A520" s="118" t="s">
        <v>744</v>
      </c>
      <c r="B520" s="242" t="s">
        <v>1026</v>
      </c>
      <c r="C520" s="56">
        <v>45729</v>
      </c>
      <c r="D520" s="123" t="s">
        <v>1125</v>
      </c>
      <c r="E520" s="123"/>
      <c r="G520" t="str">
        <f t="shared" si="8"/>
        <v>March</v>
      </c>
    </row>
    <row r="521" spans="1:7" ht="15.75">
      <c r="A521" s="118" t="s">
        <v>682</v>
      </c>
      <c r="B521" s="242" t="s">
        <v>137</v>
      </c>
      <c r="C521" s="56">
        <v>45729</v>
      </c>
      <c r="D521" s="123" t="s">
        <v>1125</v>
      </c>
      <c r="E521" s="123"/>
      <c r="G521" t="str">
        <f t="shared" si="8"/>
        <v>March</v>
      </c>
    </row>
    <row r="522" spans="1:7">
      <c r="A522" s="118" t="s">
        <v>881</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874</v>
      </c>
      <c r="B524" s="157" t="s">
        <v>600</v>
      </c>
      <c r="C524" s="56">
        <v>45729</v>
      </c>
      <c r="D524" s="123" t="s">
        <v>1125</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1166</v>
      </c>
      <c r="G526" t="str">
        <f t="shared" si="8"/>
        <v>March</v>
      </c>
    </row>
    <row r="527" spans="1:7">
      <c r="A527" s="118" t="s">
        <v>984</v>
      </c>
      <c r="B527" s="157" t="s">
        <v>846</v>
      </c>
      <c r="C527" s="56">
        <v>45729</v>
      </c>
      <c r="D527" s="123">
        <v>945</v>
      </c>
      <c r="E527" s="123"/>
      <c r="G527" t="str">
        <f t="shared" si="8"/>
        <v>March</v>
      </c>
    </row>
    <row r="528" spans="1:7">
      <c r="A528" s="118" t="s">
        <v>843</v>
      </c>
      <c r="B528" s="243" t="s">
        <v>141</v>
      </c>
      <c r="C528" s="56">
        <v>45729</v>
      </c>
      <c r="D528" s="123">
        <v>664</v>
      </c>
      <c r="E528" s="123"/>
      <c r="F528" s="43" t="s">
        <v>1123</v>
      </c>
      <c r="G528" t="str">
        <f t="shared" si="8"/>
        <v>March</v>
      </c>
    </row>
    <row r="529" spans="1:7" ht="15.75">
      <c r="A529" s="118" t="s">
        <v>676</v>
      </c>
      <c r="B529" s="242" t="s">
        <v>137</v>
      </c>
      <c r="C529" s="56">
        <v>45729</v>
      </c>
      <c r="D529" s="150">
        <v>1123</v>
      </c>
      <c r="E529" s="150"/>
      <c r="F529" s="109" t="s">
        <v>1167</v>
      </c>
      <c r="G529" t="str">
        <f t="shared" si="8"/>
        <v>March</v>
      </c>
    </row>
    <row r="530" spans="1:7">
      <c r="A530" s="208" t="s">
        <v>777</v>
      </c>
      <c r="B530" s="157" t="s">
        <v>600</v>
      </c>
      <c r="C530" s="56">
        <v>45729</v>
      </c>
      <c r="D530" s="43">
        <v>338</v>
      </c>
      <c r="E530" s="43"/>
      <c r="F530" s="43" t="s">
        <v>1168</v>
      </c>
      <c r="G530" t="str">
        <f t="shared" si="8"/>
        <v>March</v>
      </c>
    </row>
    <row r="531" spans="1:7">
      <c r="A531" s="117" t="s">
        <v>780</v>
      </c>
      <c r="B531" s="158" t="s">
        <v>1099</v>
      </c>
      <c r="C531" s="56">
        <v>45730</v>
      </c>
      <c r="D531" s="123"/>
      <c r="E531" s="123"/>
      <c r="F531" s="123" t="s">
        <v>1158</v>
      </c>
      <c r="G531" t="str">
        <f t="shared" si="8"/>
        <v>March</v>
      </c>
    </row>
    <row r="532" spans="1:7">
      <c r="A532" s="117" t="s">
        <v>784</v>
      </c>
      <c r="B532" s="244" t="s">
        <v>614</v>
      </c>
      <c r="C532" s="56">
        <v>45730</v>
      </c>
      <c r="D532" s="123"/>
      <c r="E532" s="123"/>
      <c r="F532" s="123" t="s">
        <v>1125</v>
      </c>
      <c r="G532" t="str">
        <f t="shared" si="8"/>
        <v>March</v>
      </c>
    </row>
    <row r="533" spans="1:7" ht="15.75">
      <c r="A533" s="117" t="s">
        <v>790</v>
      </c>
      <c r="B533" s="242" t="s">
        <v>1026</v>
      </c>
      <c r="C533" s="56">
        <v>45730</v>
      </c>
      <c r="D533" s="123"/>
      <c r="E533" s="123"/>
      <c r="F533" s="123" t="s">
        <v>1158</v>
      </c>
      <c r="G533" t="str">
        <f t="shared" si="8"/>
        <v>March</v>
      </c>
    </row>
    <row r="534" spans="1:7">
      <c r="A534" s="117" t="s">
        <v>836</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883</v>
      </c>
      <c r="B536" s="242" t="s">
        <v>1026</v>
      </c>
      <c r="C536" s="56">
        <v>45730</v>
      </c>
      <c r="D536" s="123"/>
      <c r="E536" s="123"/>
      <c r="F536" s="123" t="s">
        <v>1125</v>
      </c>
      <c r="G536" t="str">
        <f t="shared" si="8"/>
        <v>March</v>
      </c>
    </row>
    <row r="537" spans="1:7">
      <c r="A537" s="117" t="s">
        <v>748</v>
      </c>
      <c r="B537" s="244" t="s">
        <v>665</v>
      </c>
      <c r="C537" s="56">
        <v>45730</v>
      </c>
      <c r="D537" s="123"/>
      <c r="E537" s="123"/>
      <c r="F537" s="123" t="s">
        <v>1125</v>
      </c>
      <c r="G537" t="str">
        <f t="shared" si="8"/>
        <v>March</v>
      </c>
    </row>
    <row r="538" spans="1:7">
      <c r="A538" s="117" t="s">
        <v>664</v>
      </c>
      <c r="B538" s="244" t="s">
        <v>665</v>
      </c>
      <c r="C538" s="56">
        <v>45730</v>
      </c>
      <c r="D538" s="123"/>
      <c r="E538" s="123"/>
      <c r="F538" s="123" t="s">
        <v>1169</v>
      </c>
      <c r="G538" t="str">
        <f t="shared" si="8"/>
        <v>March</v>
      </c>
    </row>
    <row r="539" spans="1:7" ht="15.75">
      <c r="A539" s="117" t="s">
        <v>667</v>
      </c>
      <c r="B539" s="242" t="s">
        <v>1026</v>
      </c>
      <c r="C539" s="56">
        <v>45730</v>
      </c>
      <c r="D539" s="123"/>
      <c r="E539" s="123"/>
      <c r="F539" s="123" t="s">
        <v>1125</v>
      </c>
      <c r="G539" t="str">
        <f t="shared" si="8"/>
        <v>March</v>
      </c>
    </row>
    <row r="540" spans="1:7" ht="15.75">
      <c r="A540" s="117" t="s">
        <v>669</v>
      </c>
      <c r="B540" s="242" t="s">
        <v>137</v>
      </c>
      <c r="C540" s="56">
        <v>45730</v>
      </c>
      <c r="D540" s="123"/>
      <c r="E540" s="123"/>
      <c r="F540" s="123" t="s">
        <v>1125</v>
      </c>
      <c r="G540" t="str">
        <f t="shared" si="8"/>
        <v>March</v>
      </c>
    </row>
    <row r="541" spans="1:7">
      <c r="A541" s="117" t="s">
        <v>671</v>
      </c>
      <c r="B541" s="244" t="s">
        <v>1113</v>
      </c>
      <c r="C541" s="56">
        <v>45730</v>
      </c>
      <c r="D541" s="123"/>
      <c r="E541" s="123"/>
      <c r="F541" s="123" t="s">
        <v>1169</v>
      </c>
      <c r="G541" t="str">
        <f t="shared" si="8"/>
        <v>March</v>
      </c>
    </row>
    <row r="542" spans="1:7" ht="15.75">
      <c r="A542" s="117" t="s">
        <v>674</v>
      </c>
      <c r="B542" s="242" t="s">
        <v>137</v>
      </c>
      <c r="C542" s="56">
        <v>45730</v>
      </c>
      <c r="D542" s="123"/>
      <c r="E542" s="123"/>
      <c r="F542" s="123" t="s">
        <v>1125</v>
      </c>
      <c r="G542" t="str">
        <f t="shared" si="8"/>
        <v>March</v>
      </c>
    </row>
    <row r="543" spans="1:7">
      <c r="A543" s="117" t="s">
        <v>712</v>
      </c>
      <c r="B543" s="244" t="s">
        <v>600</v>
      </c>
      <c r="C543" s="56">
        <v>45730</v>
      </c>
      <c r="D543" s="123"/>
      <c r="E543" s="123"/>
      <c r="F543" s="123" t="s">
        <v>1169</v>
      </c>
      <c r="G543" t="str">
        <f t="shared" si="8"/>
        <v>March</v>
      </c>
    </row>
    <row r="544" spans="1:7" ht="15.75">
      <c r="A544" s="117" t="s">
        <v>774</v>
      </c>
      <c r="B544" s="242" t="s">
        <v>137</v>
      </c>
      <c r="C544" s="56">
        <v>45730</v>
      </c>
      <c r="D544" s="123"/>
      <c r="E544" s="123"/>
      <c r="F544" s="123" t="s">
        <v>1125</v>
      </c>
      <c r="G544" t="str">
        <f t="shared" si="8"/>
        <v>March</v>
      </c>
    </row>
    <row r="545" spans="1:7">
      <c r="A545" s="117" t="s">
        <v>771</v>
      </c>
      <c r="B545" s="243" t="s">
        <v>141</v>
      </c>
      <c r="C545" s="56">
        <v>45730</v>
      </c>
      <c r="D545" s="123"/>
      <c r="E545" s="123"/>
      <c r="F545" s="123" t="s">
        <v>1125</v>
      </c>
      <c r="G545" t="str">
        <f t="shared" si="8"/>
        <v>March</v>
      </c>
    </row>
    <row r="546" spans="1:7">
      <c r="A546" s="117" t="s">
        <v>856</v>
      </c>
      <c r="B546" s="158" t="s">
        <v>1099</v>
      </c>
      <c r="C546" s="56">
        <v>45730</v>
      </c>
      <c r="D546" s="123"/>
      <c r="E546" s="123"/>
      <c r="F546" s="123" t="s">
        <v>1158</v>
      </c>
      <c r="G546" t="str">
        <f t="shared" si="8"/>
        <v>March</v>
      </c>
    </row>
    <row r="547" spans="1:7">
      <c r="A547" s="117" t="s">
        <v>803</v>
      </c>
      <c r="B547" s="244" t="s">
        <v>614</v>
      </c>
      <c r="C547" s="56">
        <v>45730</v>
      </c>
      <c r="D547" s="123"/>
      <c r="E547" s="123"/>
      <c r="F547" s="123" t="s">
        <v>1125</v>
      </c>
      <c r="G547" t="str">
        <f t="shared" si="8"/>
        <v>March</v>
      </c>
    </row>
    <row r="548" spans="1:7" ht="15.75">
      <c r="A548" s="117" t="s">
        <v>688</v>
      </c>
      <c r="B548" s="242" t="s">
        <v>137</v>
      </c>
      <c r="C548" s="56">
        <v>45730</v>
      </c>
      <c r="D548" s="123"/>
      <c r="E548" s="123"/>
      <c r="F548" s="123" t="s">
        <v>1125</v>
      </c>
      <c r="G548" t="str">
        <f t="shared" si="8"/>
        <v>March</v>
      </c>
    </row>
    <row r="549" spans="1:7">
      <c r="A549" s="117" t="s">
        <v>849</v>
      </c>
      <c r="B549" s="244" t="s">
        <v>600</v>
      </c>
      <c r="C549" s="56">
        <v>45730</v>
      </c>
      <c r="D549" s="123"/>
      <c r="E549" s="123"/>
      <c r="F549" s="123" t="s">
        <v>1125</v>
      </c>
      <c r="G549" t="str">
        <f t="shared" si="8"/>
        <v>March</v>
      </c>
    </row>
    <row r="550" spans="1:7">
      <c r="A550" s="117" t="s">
        <v>770</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652</v>
      </c>
      <c r="B552" s="210" t="s">
        <v>600</v>
      </c>
      <c r="C552" s="56">
        <v>45730</v>
      </c>
      <c r="D552" s="123"/>
      <c r="E552" s="123"/>
      <c r="F552" s="123" t="s">
        <v>1169</v>
      </c>
      <c r="G552" t="str">
        <f t="shared" si="8"/>
        <v>March</v>
      </c>
    </row>
    <row r="553" spans="1:7" ht="15.75">
      <c r="A553" s="117" t="s">
        <v>767</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845</v>
      </c>
      <c r="B555" s="210" t="s">
        <v>846</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840</v>
      </c>
      <c r="B560" s="141" t="s">
        <v>610</v>
      </c>
      <c r="C560" s="56">
        <v>45730</v>
      </c>
      <c r="D560" s="123" t="s">
        <v>1125</v>
      </c>
      <c r="E560" s="123"/>
      <c r="F560" s="123"/>
      <c r="G560" t="str">
        <f t="shared" si="8"/>
        <v>March</v>
      </c>
    </row>
    <row r="561" spans="1:7">
      <c r="A561" s="117" t="s">
        <v>872</v>
      </c>
      <c r="B561" s="210" t="s">
        <v>798</v>
      </c>
      <c r="C561" s="56">
        <v>45730</v>
      </c>
      <c r="D561" s="123" t="s">
        <v>1125</v>
      </c>
      <c r="E561" s="123"/>
      <c r="F561" s="123"/>
      <c r="G561" t="str">
        <f t="shared" si="8"/>
        <v>March</v>
      </c>
    </row>
    <row r="562" spans="1:7">
      <c r="A562" s="117" t="s">
        <v>870</v>
      </c>
      <c r="B562" s="210" t="s">
        <v>798</v>
      </c>
      <c r="C562" s="56">
        <v>45730</v>
      </c>
      <c r="D562" s="123" t="s">
        <v>1125</v>
      </c>
      <c r="E562" s="123"/>
      <c r="F562" s="123"/>
      <c r="G562" t="str">
        <f t="shared" si="8"/>
        <v>March</v>
      </c>
    </row>
    <row r="563" spans="1:7" ht="15.75">
      <c r="A563" s="117" t="s">
        <v>656</v>
      </c>
      <c r="B563" s="242" t="s">
        <v>137</v>
      </c>
      <c r="C563" s="56">
        <v>45730</v>
      </c>
      <c r="D563" s="123" t="s">
        <v>1125</v>
      </c>
      <c r="E563" s="123"/>
      <c r="F563" s="123"/>
      <c r="G563" t="str">
        <f t="shared" si="8"/>
        <v>March</v>
      </c>
    </row>
    <row r="564" spans="1:7">
      <c r="A564" s="117" t="s">
        <v>867</v>
      </c>
      <c r="B564" s="210" t="s">
        <v>846</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723</v>
      </c>
      <c r="B567" s="242" t="s">
        <v>1026</v>
      </c>
      <c r="C567" s="56">
        <v>45730</v>
      </c>
      <c r="D567" s="123"/>
      <c r="E567" s="123"/>
      <c r="F567" s="123" t="s">
        <v>1172</v>
      </c>
      <c r="G567" t="str">
        <f t="shared" si="8"/>
        <v>March</v>
      </c>
    </row>
    <row r="568" spans="1:7">
      <c r="A568" s="118" t="s">
        <v>851</v>
      </c>
      <c r="B568" s="154" t="s">
        <v>596</v>
      </c>
      <c r="C568" s="56">
        <v>45730</v>
      </c>
      <c r="D568" s="150">
        <v>1903</v>
      </c>
      <c r="E568" s="150"/>
      <c r="F568" s="109" t="s">
        <v>1173</v>
      </c>
      <c r="G568" t="str">
        <f t="shared" si="8"/>
        <v>March</v>
      </c>
    </row>
    <row r="569" spans="1:7" ht="15.75">
      <c r="A569" s="118" t="s">
        <v>654</v>
      </c>
      <c r="B569" s="242" t="s">
        <v>137</v>
      </c>
      <c r="C569" s="56">
        <v>45730</v>
      </c>
      <c r="D569" s="123" t="s">
        <v>1125</v>
      </c>
      <c r="E569" s="123"/>
      <c r="F569" s="123"/>
      <c r="G569" t="str">
        <f t="shared" si="8"/>
        <v>March</v>
      </c>
    </row>
    <row r="570" spans="1:7">
      <c r="A570" s="118" t="s">
        <v>806</v>
      </c>
      <c r="B570" s="210" t="s">
        <v>798</v>
      </c>
      <c r="C570" s="56">
        <v>45730</v>
      </c>
      <c r="D570" s="123" t="s">
        <v>1125</v>
      </c>
      <c r="E570" s="123"/>
      <c r="F570" s="123"/>
      <c r="G570" t="str">
        <f t="shared" si="8"/>
        <v>March</v>
      </c>
    </row>
    <row r="571" spans="1:7" ht="15.75">
      <c r="A571" s="118" t="s">
        <v>744</v>
      </c>
      <c r="B571" s="242" t="s">
        <v>1026</v>
      </c>
      <c r="C571" s="56">
        <v>45730</v>
      </c>
      <c r="D571" s="123" t="s">
        <v>1125</v>
      </c>
      <c r="E571" s="123"/>
      <c r="F571" s="123"/>
      <c r="G571" t="str">
        <f t="shared" si="8"/>
        <v>March</v>
      </c>
    </row>
    <row r="572" spans="1:7" ht="15.75">
      <c r="A572" s="118" t="s">
        <v>682</v>
      </c>
      <c r="B572" s="242" t="s">
        <v>137</v>
      </c>
      <c r="C572" s="56">
        <v>45730</v>
      </c>
      <c r="D572" s="123" t="s">
        <v>1125</v>
      </c>
      <c r="E572" s="123"/>
      <c r="F572" s="123"/>
      <c r="G572" t="str">
        <f t="shared" si="8"/>
        <v>March</v>
      </c>
    </row>
    <row r="573" spans="1:7">
      <c r="A573" s="118" t="s">
        <v>881</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874</v>
      </c>
      <c r="B575" s="157" t="s">
        <v>600</v>
      </c>
      <c r="C575" s="56">
        <v>45730</v>
      </c>
      <c r="D575" s="123" t="s">
        <v>1125</v>
      </c>
      <c r="E575" s="123"/>
      <c r="F575" s="123"/>
      <c r="G575" t="str">
        <f t="shared" si="8"/>
        <v>March</v>
      </c>
    </row>
    <row r="576" spans="1:7">
      <c r="A576" s="118" t="s">
        <v>859</v>
      </c>
      <c r="B576" s="157" t="s">
        <v>798</v>
      </c>
      <c r="C576" s="56">
        <v>45730</v>
      </c>
      <c r="D576" s="123">
        <v>75</v>
      </c>
      <c r="E576" s="123"/>
      <c r="F576" s="133" t="s">
        <v>1174</v>
      </c>
      <c r="G576" t="str">
        <f t="shared" si="8"/>
        <v>March</v>
      </c>
    </row>
    <row r="577" spans="1:7">
      <c r="A577" s="118" t="s">
        <v>838</v>
      </c>
      <c r="B577" s="157" t="s">
        <v>600</v>
      </c>
      <c r="C577" s="56">
        <v>45730</v>
      </c>
      <c r="D577" s="150">
        <v>2048</v>
      </c>
      <c r="E577" s="150"/>
      <c r="F577" s="109" t="s">
        <v>1175</v>
      </c>
      <c r="G577" t="str">
        <f t="shared" si="8"/>
        <v>March</v>
      </c>
    </row>
    <row r="578" spans="1:7">
      <c r="A578" s="118" t="s">
        <v>984</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1176</v>
      </c>
      <c r="G579" t="str">
        <f t="shared" ref="G579:G642" si="9">TEXT(C579,"mmmm")</f>
        <v>March</v>
      </c>
    </row>
    <row r="580" spans="1:7" ht="15.75">
      <c r="A580" s="118" t="s">
        <v>676</v>
      </c>
      <c r="B580" s="242" t="s">
        <v>137</v>
      </c>
      <c r="C580" s="56">
        <v>45730</v>
      </c>
      <c r="D580" s="123" t="s">
        <v>1125</v>
      </c>
      <c r="E580" s="123"/>
      <c r="F580" s="123"/>
      <c r="G580" t="str">
        <f t="shared" si="9"/>
        <v>March</v>
      </c>
    </row>
    <row r="581" spans="1:7">
      <c r="A581" s="208" t="s">
        <v>777</v>
      </c>
      <c r="B581" s="157" t="s">
        <v>600</v>
      </c>
      <c r="C581" s="56">
        <v>45730</v>
      </c>
      <c r="D581" s="123" t="s">
        <v>1125</v>
      </c>
      <c r="E581" s="123"/>
      <c r="F581" s="123" t="s">
        <v>1125</v>
      </c>
      <c r="G581" t="str">
        <f t="shared" si="9"/>
        <v>March</v>
      </c>
    </row>
    <row r="582" spans="1:7">
      <c r="A582" s="117" t="s">
        <v>780</v>
      </c>
      <c r="B582" s="158" t="s">
        <v>1099</v>
      </c>
      <c r="C582" s="56">
        <v>45733</v>
      </c>
      <c r="E582" s="43"/>
      <c r="F582" s="123" t="s">
        <v>1158</v>
      </c>
      <c r="G582" t="str">
        <f t="shared" si="9"/>
        <v>March</v>
      </c>
    </row>
    <row r="583" spans="1:7" ht="15.75">
      <c r="A583" s="117" t="s">
        <v>790</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883</v>
      </c>
      <c r="B585" s="242" t="s">
        <v>1026</v>
      </c>
      <c r="C585" s="56">
        <v>45733</v>
      </c>
      <c r="E585" s="43"/>
      <c r="F585" s="123" t="s">
        <v>1125</v>
      </c>
      <c r="G585" t="str">
        <f t="shared" si="9"/>
        <v>March</v>
      </c>
    </row>
    <row r="586" spans="1:7">
      <c r="A586" s="117" t="s">
        <v>712</v>
      </c>
      <c r="B586" s="244" t="s">
        <v>600</v>
      </c>
      <c r="C586" s="56">
        <v>45733</v>
      </c>
      <c r="E586" s="43"/>
      <c r="F586" s="123" t="s">
        <v>1125</v>
      </c>
      <c r="G586" t="str">
        <f t="shared" si="9"/>
        <v>March</v>
      </c>
    </row>
    <row r="587" spans="1:7" ht="15.75">
      <c r="A587" s="117" t="s">
        <v>774</v>
      </c>
      <c r="B587" s="242" t="s">
        <v>137</v>
      </c>
      <c r="C587" s="56">
        <v>45733</v>
      </c>
      <c r="E587" s="43"/>
      <c r="F587" s="123" t="s">
        <v>1125</v>
      </c>
      <c r="G587" t="str">
        <f t="shared" si="9"/>
        <v>March</v>
      </c>
    </row>
    <row r="588" spans="1:7">
      <c r="A588" s="117" t="s">
        <v>856</v>
      </c>
      <c r="B588" s="158" t="s">
        <v>1099</v>
      </c>
      <c r="C588" s="56">
        <v>45733</v>
      </c>
      <c r="E588" s="43"/>
      <c r="F588" s="123" t="s">
        <v>1158</v>
      </c>
      <c r="G588" t="str">
        <f t="shared" si="9"/>
        <v>March</v>
      </c>
    </row>
    <row r="589" spans="1:7">
      <c r="A589" s="117" t="s">
        <v>803</v>
      </c>
      <c r="B589" s="244" t="s">
        <v>614</v>
      </c>
      <c r="C589" s="56">
        <v>45733</v>
      </c>
      <c r="E589" s="43"/>
      <c r="F589" s="123" t="s">
        <v>1125</v>
      </c>
      <c r="G589" t="str">
        <f t="shared" si="9"/>
        <v>March</v>
      </c>
    </row>
    <row r="590" spans="1:7">
      <c r="A590" s="117" t="s">
        <v>849</v>
      </c>
      <c r="B590" s="244" t="s">
        <v>600</v>
      </c>
      <c r="C590" s="56">
        <v>45733</v>
      </c>
      <c r="E590" s="43"/>
      <c r="F590" s="123" t="s">
        <v>1125</v>
      </c>
      <c r="G590" t="str">
        <f t="shared" si="9"/>
        <v>March</v>
      </c>
    </row>
    <row r="591" spans="1:7">
      <c r="A591" s="117" t="s">
        <v>770</v>
      </c>
      <c r="B591" s="154" t="s">
        <v>596</v>
      </c>
      <c r="C591" s="56">
        <v>45733</v>
      </c>
      <c r="E591" s="43"/>
      <c r="F591" s="123" t="s">
        <v>1125</v>
      </c>
      <c r="G591" t="str">
        <f t="shared" si="9"/>
        <v>March</v>
      </c>
    </row>
    <row r="592" spans="1:7">
      <c r="A592" s="117" t="s">
        <v>652</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872</v>
      </c>
      <c r="B596" s="210" t="s">
        <v>798</v>
      </c>
      <c r="C596" s="56">
        <v>45733</v>
      </c>
      <c r="E596" s="43"/>
      <c r="F596" s="123" t="s">
        <v>1125</v>
      </c>
      <c r="G596" t="str">
        <f t="shared" si="9"/>
        <v>March</v>
      </c>
    </row>
    <row r="597" spans="1:7">
      <c r="A597" s="117" t="s">
        <v>870</v>
      </c>
      <c r="B597" s="210" t="s">
        <v>798</v>
      </c>
      <c r="C597" s="56">
        <v>45733</v>
      </c>
      <c r="E597" s="43"/>
      <c r="F597" s="123" t="s">
        <v>1125</v>
      </c>
      <c r="G597" t="str">
        <f t="shared" si="9"/>
        <v>March</v>
      </c>
    </row>
    <row r="598" spans="1:7" ht="15.75">
      <c r="A598" s="117" t="s">
        <v>656</v>
      </c>
      <c r="B598" s="242" t="s">
        <v>137</v>
      </c>
      <c r="C598" s="56">
        <v>45733</v>
      </c>
      <c r="E598" s="43"/>
      <c r="F598" s="123" t="s">
        <v>1125</v>
      </c>
      <c r="G598" t="str">
        <f t="shared" si="9"/>
        <v>March</v>
      </c>
    </row>
    <row r="599" spans="1:7">
      <c r="A599" s="117" t="s">
        <v>867</v>
      </c>
      <c r="B599" s="210" t="s">
        <v>846</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723</v>
      </c>
      <c r="B602" s="242" t="s">
        <v>1026</v>
      </c>
      <c r="C602" s="56">
        <v>45733</v>
      </c>
      <c r="E602" s="43"/>
      <c r="F602" s="123" t="s">
        <v>1125</v>
      </c>
      <c r="G602" t="str">
        <f t="shared" si="9"/>
        <v>March</v>
      </c>
    </row>
    <row r="603" spans="1:7" ht="15.75">
      <c r="A603" s="118" t="s">
        <v>654</v>
      </c>
      <c r="B603" s="242" t="s">
        <v>137</v>
      </c>
      <c r="C603" s="56">
        <v>45733</v>
      </c>
      <c r="E603" s="43"/>
      <c r="F603" s="123" t="s">
        <v>1125</v>
      </c>
      <c r="G603" t="str">
        <f t="shared" si="9"/>
        <v>March</v>
      </c>
    </row>
    <row r="604" spans="1:7">
      <c r="A604" s="118" t="s">
        <v>806</v>
      </c>
      <c r="B604" s="210" t="s">
        <v>798</v>
      </c>
      <c r="C604" s="56">
        <v>45733</v>
      </c>
      <c r="D604" s="43">
        <v>15</v>
      </c>
      <c r="E604" s="43"/>
      <c r="F604" s="123" t="s">
        <v>1178</v>
      </c>
      <c r="G604" t="str">
        <f t="shared" si="9"/>
        <v>March</v>
      </c>
    </row>
    <row r="605" spans="1:7" ht="15.75">
      <c r="A605" s="118" t="s">
        <v>744</v>
      </c>
      <c r="B605" s="242" t="s">
        <v>1026</v>
      </c>
      <c r="C605" s="56">
        <v>45733</v>
      </c>
      <c r="E605" s="43"/>
      <c r="F605" s="123" t="s">
        <v>1125</v>
      </c>
      <c r="G605" t="str">
        <f t="shared" si="9"/>
        <v>March</v>
      </c>
    </row>
    <row r="606" spans="1:7" ht="15.75">
      <c r="A606" s="118" t="s">
        <v>682</v>
      </c>
      <c r="B606" s="242" t="s">
        <v>137</v>
      </c>
      <c r="C606" s="56">
        <v>45733</v>
      </c>
      <c r="E606" s="43"/>
      <c r="F606" s="123" t="s">
        <v>1125</v>
      </c>
      <c r="G606" t="str">
        <f t="shared" si="9"/>
        <v>March</v>
      </c>
    </row>
    <row r="607" spans="1:7">
      <c r="A607" s="118" t="s">
        <v>881</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874</v>
      </c>
      <c r="B609" s="157" t="s">
        <v>600</v>
      </c>
      <c r="C609" s="56">
        <v>45733</v>
      </c>
      <c r="E609" s="43"/>
      <c r="F609" s="123" t="s">
        <v>1125</v>
      </c>
      <c r="G609" t="str">
        <f t="shared" si="9"/>
        <v>March</v>
      </c>
    </row>
    <row r="610" spans="1:7">
      <c r="A610" s="118" t="s">
        <v>838</v>
      </c>
      <c r="B610" s="157" t="s">
        <v>600</v>
      </c>
      <c r="C610" s="56">
        <v>45733</v>
      </c>
      <c r="D610" s="43">
        <v>919</v>
      </c>
      <c r="E610" s="43"/>
      <c r="F610" s="123" t="s">
        <v>1179</v>
      </c>
      <c r="G610" t="str">
        <f t="shared" si="9"/>
        <v>March</v>
      </c>
    </row>
    <row r="611" spans="1:7">
      <c r="A611" s="118" t="s">
        <v>984</v>
      </c>
      <c r="B611" s="157" t="s">
        <v>846</v>
      </c>
      <c r="C611" s="56">
        <v>45733</v>
      </c>
      <c r="D611" s="150">
        <v>2387</v>
      </c>
      <c r="E611" s="150"/>
      <c r="F611" s="150"/>
      <c r="G611" t="str">
        <f t="shared" si="9"/>
        <v>March</v>
      </c>
    </row>
    <row r="612" spans="1:7">
      <c r="A612" s="118" t="s">
        <v>843</v>
      </c>
      <c r="B612" s="243" t="s">
        <v>141</v>
      </c>
      <c r="C612" s="56">
        <v>45733</v>
      </c>
      <c r="D612" s="43">
        <v>1095</v>
      </c>
      <c r="E612" s="43"/>
      <c r="F612" s="123" t="s">
        <v>1180</v>
      </c>
      <c r="G612" t="str">
        <f t="shared" si="9"/>
        <v>March</v>
      </c>
    </row>
    <row r="613" spans="1:7" ht="15.75">
      <c r="A613" s="118" t="s">
        <v>676</v>
      </c>
      <c r="B613" s="242" t="s">
        <v>137</v>
      </c>
      <c r="C613" s="56">
        <v>45733</v>
      </c>
      <c r="D613" s="43">
        <v>1105</v>
      </c>
      <c r="E613" s="43"/>
      <c r="F613" s="123" t="s">
        <v>1181</v>
      </c>
      <c r="G613" t="str">
        <f t="shared" si="9"/>
        <v>March</v>
      </c>
    </row>
    <row r="614" spans="1:7">
      <c r="A614" s="208" t="s">
        <v>777</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762</v>
      </c>
      <c r="B616" s="154" t="s">
        <v>596</v>
      </c>
      <c r="C616" s="56">
        <v>45733</v>
      </c>
      <c r="D616" s="43">
        <v>656</v>
      </c>
      <c r="E616" s="43"/>
      <c r="F616" s="123"/>
      <c r="G616" t="str">
        <f t="shared" si="9"/>
        <v>March</v>
      </c>
    </row>
    <row r="617" spans="1:7">
      <c r="A617" s="117" t="s">
        <v>780</v>
      </c>
      <c r="B617" s="158" t="s">
        <v>1099</v>
      </c>
      <c r="C617" s="56">
        <v>45734</v>
      </c>
      <c r="E617" s="43"/>
      <c r="F617" s="134" t="s">
        <v>1158</v>
      </c>
      <c r="G617" t="str">
        <f t="shared" si="9"/>
        <v>March</v>
      </c>
    </row>
    <row r="618" spans="1:7" ht="15.75">
      <c r="A618" s="117" t="s">
        <v>790</v>
      </c>
      <c r="B618" s="242" t="s">
        <v>1026</v>
      </c>
      <c r="C618" s="56">
        <v>45734</v>
      </c>
      <c r="E618" s="43"/>
      <c r="F618" s="134" t="s">
        <v>1158</v>
      </c>
      <c r="G618" t="str">
        <f t="shared" si="9"/>
        <v>March</v>
      </c>
    </row>
    <row r="619" spans="1:7">
      <c r="A619" s="117" t="s">
        <v>803</v>
      </c>
      <c r="B619" s="244" t="s">
        <v>614</v>
      </c>
      <c r="C619" s="56">
        <v>45734</v>
      </c>
      <c r="E619" s="43"/>
      <c r="F619" s="134" t="s">
        <v>1158</v>
      </c>
      <c r="G619" t="str">
        <f t="shared" si="9"/>
        <v>March</v>
      </c>
    </row>
    <row r="620" spans="1:7">
      <c r="A620" s="117" t="s">
        <v>870</v>
      </c>
      <c r="B620" s="210" t="s">
        <v>798</v>
      </c>
      <c r="C620" s="56">
        <v>45734</v>
      </c>
      <c r="D620" s="43">
        <v>1342</v>
      </c>
      <c r="E620" s="43"/>
      <c r="F620" s="43" t="s">
        <v>1119</v>
      </c>
      <c r="G620" t="str">
        <f t="shared" si="9"/>
        <v>March</v>
      </c>
    </row>
    <row r="621" spans="1:7" ht="15.75">
      <c r="A621" s="117" t="s">
        <v>656</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723</v>
      </c>
      <c r="B623" s="242" t="s">
        <v>1026</v>
      </c>
      <c r="C623" s="56">
        <v>45734</v>
      </c>
      <c r="D623" s="43">
        <v>1230</v>
      </c>
      <c r="E623" s="43"/>
      <c r="F623" s="43" t="s">
        <v>1184</v>
      </c>
      <c r="G623" t="str">
        <f t="shared" si="9"/>
        <v>March</v>
      </c>
    </row>
    <row r="624" spans="1:7">
      <c r="A624" s="118" t="s">
        <v>984</v>
      </c>
      <c r="B624" s="157" t="s">
        <v>846</v>
      </c>
      <c r="C624" s="56">
        <v>45734</v>
      </c>
      <c r="D624" s="43">
        <v>841</v>
      </c>
      <c r="E624" s="43"/>
      <c r="F624" s="43" t="s">
        <v>1185</v>
      </c>
      <c r="G624" t="str">
        <f t="shared" si="9"/>
        <v>March</v>
      </c>
    </row>
    <row r="625" spans="1:7">
      <c r="A625" s="118" t="s">
        <v>843</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878</v>
      </c>
      <c r="B627" s="109" t="s">
        <v>823</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790</v>
      </c>
      <c r="B629" s="242" t="s">
        <v>1026</v>
      </c>
      <c r="C629" s="56">
        <v>45735</v>
      </c>
      <c r="D629" s="123"/>
      <c r="E629" s="43"/>
      <c r="F629" s="123" t="s">
        <v>1158</v>
      </c>
      <c r="G629" t="str">
        <f t="shared" si="9"/>
        <v>March</v>
      </c>
    </row>
    <row r="630" spans="1:7">
      <c r="A630" s="210" t="s">
        <v>856</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872</v>
      </c>
      <c r="B632" s="141" t="s">
        <v>798</v>
      </c>
      <c r="C632" s="56">
        <v>45735</v>
      </c>
      <c r="D632" s="150">
        <v>1409</v>
      </c>
      <c r="E632" s="43"/>
      <c r="F632" s="109" t="s">
        <v>1189</v>
      </c>
      <c r="G632" t="str">
        <f t="shared" si="9"/>
        <v>March</v>
      </c>
    </row>
    <row r="633" spans="1:7">
      <c r="A633" s="210" t="s">
        <v>723</v>
      </c>
      <c r="B633" s="141" t="s">
        <v>600</v>
      </c>
      <c r="C633" s="56">
        <v>45735</v>
      </c>
      <c r="D633" s="123">
        <v>200</v>
      </c>
      <c r="E633" s="43"/>
      <c r="F633" s="109" t="s">
        <v>1190</v>
      </c>
      <c r="G633" t="str">
        <f t="shared" si="9"/>
        <v>March</v>
      </c>
    </row>
    <row r="634" spans="1:7">
      <c r="A634" s="210" t="s">
        <v>874</v>
      </c>
      <c r="B634" s="141" t="s">
        <v>600</v>
      </c>
      <c r="C634" s="56">
        <v>45735</v>
      </c>
      <c r="D634" s="150">
        <v>1460</v>
      </c>
      <c r="E634" s="43"/>
      <c r="F634" s="109" t="s">
        <v>1191</v>
      </c>
      <c r="G634" t="str">
        <f t="shared" si="9"/>
        <v>March</v>
      </c>
    </row>
    <row r="635" spans="1:7">
      <c r="A635" s="210" t="s">
        <v>984</v>
      </c>
      <c r="B635" s="141" t="s">
        <v>846</v>
      </c>
      <c r="C635" s="56">
        <v>45735</v>
      </c>
      <c r="D635" s="123">
        <v>18</v>
      </c>
      <c r="E635" s="43"/>
      <c r="F635" s="109" t="s">
        <v>1192</v>
      </c>
      <c r="G635" t="str">
        <f t="shared" si="9"/>
        <v>March</v>
      </c>
    </row>
    <row r="636" spans="1:7">
      <c r="A636" s="210" t="s">
        <v>762</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1195</v>
      </c>
      <c r="G639" t="str">
        <f t="shared" si="9"/>
        <v>March</v>
      </c>
    </row>
    <row r="640" spans="1:7">
      <c r="A640" s="210" t="s">
        <v>1034</v>
      </c>
      <c r="B640" s="244" t="s">
        <v>798</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846</v>
      </c>
      <c r="C642" s="56">
        <v>45736</v>
      </c>
      <c r="D642" s="123" t="s">
        <v>1125</v>
      </c>
      <c r="E642" s="43"/>
      <c r="G642" t="str">
        <f t="shared" si="9"/>
        <v>March</v>
      </c>
    </row>
    <row r="643" spans="1:7">
      <c r="A643" s="210" t="s">
        <v>762</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878</v>
      </c>
      <c r="B645" s="210" t="s">
        <v>823</v>
      </c>
      <c r="C645" s="56">
        <v>45736</v>
      </c>
      <c r="D645" s="123" t="s">
        <v>1125</v>
      </c>
      <c r="E645" s="43"/>
      <c r="G645" t="str">
        <f t="shared" si="10"/>
        <v>March</v>
      </c>
    </row>
    <row r="646" spans="1:7">
      <c r="A646" s="210" t="s">
        <v>854</v>
      </c>
      <c r="B646" s="243" t="s">
        <v>141</v>
      </c>
      <c r="C646" s="56">
        <v>45736</v>
      </c>
      <c r="D646" s="150">
        <v>1964</v>
      </c>
      <c r="E646" s="43"/>
      <c r="F646" s="109" t="s">
        <v>1198</v>
      </c>
      <c r="G646" t="str">
        <f t="shared" si="10"/>
        <v>March</v>
      </c>
    </row>
    <row r="647" spans="1:7">
      <c r="A647" s="210" t="s">
        <v>874</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838</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872</v>
      </c>
      <c r="B651" s="210" t="s">
        <v>798</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846</v>
      </c>
      <c r="C653" s="56">
        <v>45736</v>
      </c>
      <c r="D653" s="123" t="s">
        <v>1125</v>
      </c>
      <c r="E653" s="43"/>
      <c r="G653" t="str">
        <f t="shared" si="10"/>
        <v>March</v>
      </c>
    </row>
    <row r="654" spans="1:7">
      <c r="A654" s="210" t="s">
        <v>762</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878</v>
      </c>
      <c r="B656" s="157" t="s">
        <v>823</v>
      </c>
      <c r="C656" s="56">
        <v>45736</v>
      </c>
      <c r="D656" s="123" t="s">
        <v>1125</v>
      </c>
      <c r="E656" s="43"/>
      <c r="G656" t="str">
        <f t="shared" si="10"/>
        <v>March</v>
      </c>
    </row>
    <row r="657" spans="1:7">
      <c r="A657" s="210" t="s">
        <v>854</v>
      </c>
      <c r="B657" s="243" t="s">
        <v>141</v>
      </c>
      <c r="C657" s="56">
        <v>45736</v>
      </c>
      <c r="D657" s="150">
        <v>1964</v>
      </c>
      <c r="E657" s="43"/>
      <c r="F657" s="109" t="s">
        <v>1198</v>
      </c>
      <c r="G657" t="str">
        <f t="shared" si="10"/>
        <v>March</v>
      </c>
    </row>
    <row r="658" spans="1:7">
      <c r="A658" s="210" t="s">
        <v>874</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838</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872</v>
      </c>
      <c r="B662" s="141" t="s">
        <v>798</v>
      </c>
      <c r="C662" s="56">
        <v>45737</v>
      </c>
      <c r="D662" s="123"/>
      <c r="E662" s="43"/>
      <c r="F662" s="123" t="s">
        <v>1201</v>
      </c>
      <c r="G662" t="str">
        <f t="shared" si="10"/>
        <v>March</v>
      </c>
    </row>
    <row r="663" spans="1:7">
      <c r="A663" s="210" t="s">
        <v>984</v>
      </c>
      <c r="B663" s="109" t="s">
        <v>846</v>
      </c>
      <c r="C663" s="56">
        <v>45737</v>
      </c>
      <c r="D663" s="123"/>
      <c r="E663" s="43"/>
      <c r="F663" s="123" t="s">
        <v>1202</v>
      </c>
      <c r="G663" t="str">
        <f t="shared" si="10"/>
        <v>March</v>
      </c>
    </row>
    <row r="664" spans="1:7">
      <c r="A664" s="210" t="s">
        <v>762</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854</v>
      </c>
      <c r="B666" s="243" t="s">
        <v>141</v>
      </c>
      <c r="C666" s="56">
        <v>45737</v>
      </c>
      <c r="D666" s="150">
        <v>1528</v>
      </c>
      <c r="E666" s="43"/>
      <c r="F666" s="133" t="s">
        <v>1205</v>
      </c>
      <c r="G666" t="str">
        <f t="shared" si="10"/>
        <v>March</v>
      </c>
    </row>
    <row r="667" spans="1:7">
      <c r="A667" s="210" t="s">
        <v>874</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838</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806</v>
      </c>
      <c r="B671" s="157" t="s">
        <v>798</v>
      </c>
      <c r="C671" s="56">
        <v>45737</v>
      </c>
      <c r="D671" s="123"/>
      <c r="E671" s="43"/>
      <c r="F671" s="123" t="s">
        <v>1201</v>
      </c>
      <c r="G671" t="str">
        <f t="shared" si="10"/>
        <v>March</v>
      </c>
    </row>
    <row r="672" spans="1:7">
      <c r="A672" s="210" t="s">
        <v>777</v>
      </c>
      <c r="B672" s="157" t="s">
        <v>600</v>
      </c>
      <c r="C672" s="56">
        <v>45737</v>
      </c>
      <c r="D672" s="123">
        <v>360</v>
      </c>
      <c r="E672" s="43"/>
      <c r="F672" s="109" t="s">
        <v>1208</v>
      </c>
      <c r="G672" t="str">
        <f t="shared" si="10"/>
        <v>March</v>
      </c>
    </row>
    <row r="673" spans="1:7">
      <c r="A673" s="141" t="s">
        <v>883</v>
      </c>
      <c r="B673" s="243" t="s">
        <v>141</v>
      </c>
      <c r="C673" s="56">
        <v>45740</v>
      </c>
      <c r="D673" s="141">
        <v>762</v>
      </c>
      <c r="E673" s="109" t="s">
        <v>1209</v>
      </c>
      <c r="G673" t="str">
        <f t="shared" si="10"/>
        <v>March</v>
      </c>
    </row>
    <row r="674" spans="1:7">
      <c r="A674" s="154" t="s">
        <v>856</v>
      </c>
      <c r="B674" s="154" t="s">
        <v>1099</v>
      </c>
      <c r="C674" s="56">
        <v>45740</v>
      </c>
      <c r="D674" s="154"/>
      <c r="E674" s="43"/>
      <c r="F674" s="154" t="s">
        <v>1210</v>
      </c>
      <c r="G674" t="str">
        <f t="shared" si="10"/>
        <v>March</v>
      </c>
    </row>
    <row r="675" spans="1:7">
      <c r="A675" s="141" t="s">
        <v>874</v>
      </c>
      <c r="B675" s="141" t="s">
        <v>600</v>
      </c>
      <c r="C675" s="56">
        <v>45740</v>
      </c>
      <c r="D675" s="141">
        <v>982</v>
      </c>
      <c r="E675" s="43" t="s">
        <v>1211</v>
      </c>
      <c r="F675" s="109" t="s">
        <v>1103</v>
      </c>
      <c r="G675" t="str">
        <f t="shared" si="10"/>
        <v>March</v>
      </c>
    </row>
    <row r="676" spans="1:7">
      <c r="A676" s="141" t="s">
        <v>756</v>
      </c>
      <c r="B676" s="141" t="s">
        <v>600</v>
      </c>
      <c r="C676" s="56">
        <v>45740</v>
      </c>
      <c r="D676" s="141">
        <v>691</v>
      </c>
      <c r="E676" s="43"/>
      <c r="F676" s="109" t="s">
        <v>1212</v>
      </c>
      <c r="G676" t="str">
        <f t="shared" si="10"/>
        <v>March</v>
      </c>
    </row>
    <row r="677" spans="1:7" ht="15.75">
      <c r="A677" s="141" t="s">
        <v>759</v>
      </c>
      <c r="B677" s="242" t="s">
        <v>137</v>
      </c>
      <c r="C677" s="56">
        <v>45740</v>
      </c>
      <c r="D677" s="142">
        <v>1430</v>
      </c>
      <c r="E677" s="109" t="s">
        <v>1104</v>
      </c>
      <c r="F677" s="109" t="s">
        <v>1213</v>
      </c>
      <c r="G677" t="str">
        <f t="shared" si="10"/>
        <v>March</v>
      </c>
    </row>
    <row r="678" spans="1:7" ht="15.75">
      <c r="A678" s="141" t="s">
        <v>765</v>
      </c>
      <c r="B678" s="242" t="s">
        <v>137</v>
      </c>
      <c r="C678" s="56">
        <v>45740</v>
      </c>
      <c r="D678" s="142">
        <v>1460</v>
      </c>
      <c r="E678" s="43"/>
      <c r="F678" s="109" t="s">
        <v>1103</v>
      </c>
      <c r="G678" t="str">
        <f t="shared" si="10"/>
        <v>March</v>
      </c>
    </row>
    <row r="679" spans="1:7">
      <c r="A679" s="141" t="s">
        <v>883</v>
      </c>
      <c r="B679" s="157" t="s">
        <v>798</v>
      </c>
      <c r="C679" s="56">
        <v>45740</v>
      </c>
      <c r="D679" s="141"/>
      <c r="E679" s="43"/>
      <c r="F679" s="141" t="s">
        <v>1214</v>
      </c>
      <c r="G679" t="str">
        <f t="shared" si="10"/>
        <v>March</v>
      </c>
    </row>
    <row r="680" spans="1:7">
      <c r="A680" s="141" t="s">
        <v>762</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770</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874</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759</v>
      </c>
      <c r="B690" s="242" t="s">
        <v>137</v>
      </c>
      <c r="C690" s="56">
        <v>45741</v>
      </c>
      <c r="D690" s="142">
        <v>1383</v>
      </c>
      <c r="E690" s="109" t="s">
        <v>1221</v>
      </c>
      <c r="F690" s="109" t="s">
        <v>1222</v>
      </c>
      <c r="G690" t="str">
        <f t="shared" si="10"/>
        <v>March</v>
      </c>
    </row>
    <row r="691" spans="1:7" ht="15.75">
      <c r="A691" s="141" t="s">
        <v>765</v>
      </c>
      <c r="B691" s="242" t="s">
        <v>137</v>
      </c>
      <c r="C691" s="56">
        <v>45741</v>
      </c>
      <c r="D691" s="142">
        <v>1350</v>
      </c>
      <c r="E691" s="109" t="s">
        <v>1223</v>
      </c>
      <c r="F691" s="109" t="s">
        <v>1224</v>
      </c>
      <c r="G691" t="str">
        <f t="shared" si="10"/>
        <v>March</v>
      </c>
    </row>
    <row r="692" spans="1:7">
      <c r="A692" s="141" t="s">
        <v>806</v>
      </c>
      <c r="B692" s="157" t="s">
        <v>798</v>
      </c>
      <c r="C692" s="56">
        <v>45741</v>
      </c>
      <c r="D692" s="141" t="s">
        <v>1125</v>
      </c>
      <c r="E692" s="43"/>
      <c r="G692" t="str">
        <f t="shared" si="10"/>
        <v>March</v>
      </c>
    </row>
    <row r="693" spans="1:7">
      <c r="A693" s="141" t="s">
        <v>883</v>
      </c>
      <c r="B693" s="157" t="s">
        <v>798</v>
      </c>
      <c r="C693" s="56">
        <v>45741</v>
      </c>
      <c r="D693" s="141" t="s">
        <v>1125</v>
      </c>
      <c r="E693" s="43"/>
      <c r="G693" t="str">
        <f t="shared" si="10"/>
        <v>March</v>
      </c>
    </row>
    <row r="694" spans="1:7">
      <c r="A694" s="141" t="s">
        <v>762</v>
      </c>
      <c r="B694" s="154" t="s">
        <v>596</v>
      </c>
      <c r="C694" s="56">
        <v>45741</v>
      </c>
      <c r="D694" s="141">
        <v>630</v>
      </c>
      <c r="E694" s="43" t="s">
        <v>1225</v>
      </c>
      <c r="F694" s="109" t="s">
        <v>1224</v>
      </c>
      <c r="G694" t="str">
        <f t="shared" si="10"/>
        <v>March</v>
      </c>
    </row>
    <row r="695" spans="1:7">
      <c r="A695" s="141" t="s">
        <v>984</v>
      </c>
      <c r="B695" s="141" t="s">
        <v>846</v>
      </c>
      <c r="C695" s="56">
        <v>45741</v>
      </c>
      <c r="D695" s="141" t="s">
        <v>1125</v>
      </c>
      <c r="E695" s="43"/>
      <c r="G695" t="str">
        <f t="shared" si="10"/>
        <v>March</v>
      </c>
    </row>
    <row r="696" spans="1:7" ht="15.75">
      <c r="A696" s="141" t="s">
        <v>771</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851</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856</v>
      </c>
      <c r="B702" s="154" t="s">
        <v>1099</v>
      </c>
      <c r="C702" s="56">
        <v>45741</v>
      </c>
      <c r="D702" s="154"/>
      <c r="E702" s="43"/>
      <c r="F702" s="154" t="s">
        <v>1210</v>
      </c>
      <c r="G702" t="str">
        <f t="shared" si="10"/>
        <v>March</v>
      </c>
    </row>
    <row r="703" spans="1:7" ht="15.75">
      <c r="A703" s="141" t="s">
        <v>790</v>
      </c>
      <c r="B703" s="242" t="s">
        <v>1026</v>
      </c>
      <c r="C703" s="56">
        <v>45741</v>
      </c>
      <c r="D703" s="154"/>
      <c r="E703" s="43"/>
      <c r="F703" s="154" t="s">
        <v>1210</v>
      </c>
      <c r="G703" t="str">
        <f t="shared" si="10"/>
        <v>March</v>
      </c>
    </row>
    <row r="704" spans="1:7">
      <c r="A704" s="141" t="s">
        <v>753</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874</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759</v>
      </c>
      <c r="B713" s="242" t="s">
        <v>137</v>
      </c>
      <c r="C713" s="56">
        <v>45742</v>
      </c>
      <c r="D713" s="209">
        <v>1334</v>
      </c>
      <c r="E713" s="109" t="s">
        <v>1143</v>
      </c>
      <c r="F713" s="109" t="s">
        <v>1104</v>
      </c>
      <c r="G713" t="str">
        <f t="shared" si="11"/>
        <v>March</v>
      </c>
    </row>
    <row r="714" spans="1:7" ht="15.75">
      <c r="A714" s="141" t="s">
        <v>765</v>
      </c>
      <c r="B714" s="242" t="s">
        <v>137</v>
      </c>
      <c r="C714" s="56">
        <v>45742</v>
      </c>
      <c r="D714" s="209">
        <v>1507</v>
      </c>
      <c r="E714" s="109" t="s">
        <v>1143</v>
      </c>
      <c r="F714" s="109" t="s">
        <v>1104</v>
      </c>
      <c r="G714" t="str">
        <f t="shared" si="11"/>
        <v>March</v>
      </c>
    </row>
    <row r="715" spans="1:7">
      <c r="A715" s="141" t="s">
        <v>806</v>
      </c>
      <c r="B715" s="157" t="s">
        <v>798</v>
      </c>
      <c r="C715" s="56">
        <v>45742</v>
      </c>
      <c r="D715" s="210" t="s">
        <v>1125</v>
      </c>
      <c r="E715" s="43"/>
      <c r="G715" t="str">
        <f t="shared" si="11"/>
        <v>March</v>
      </c>
    </row>
    <row r="716" spans="1:7">
      <c r="A716" s="141" t="s">
        <v>883</v>
      </c>
      <c r="B716" s="157" t="s">
        <v>798</v>
      </c>
      <c r="C716" s="56">
        <v>45742</v>
      </c>
      <c r="D716" s="210" t="s">
        <v>1125</v>
      </c>
      <c r="E716" s="43"/>
      <c r="G716" t="str">
        <f t="shared" si="11"/>
        <v>March</v>
      </c>
    </row>
    <row r="717" spans="1:7">
      <c r="A717" s="141" t="s">
        <v>762</v>
      </c>
      <c r="B717" s="154" t="s">
        <v>596</v>
      </c>
      <c r="C717" s="56">
        <v>45742</v>
      </c>
      <c r="D717" s="210">
        <v>894</v>
      </c>
      <c r="E717" s="43" t="s">
        <v>1226</v>
      </c>
      <c r="F717" s="109" t="s">
        <v>1108</v>
      </c>
      <c r="G717" t="str">
        <f t="shared" si="11"/>
        <v>March</v>
      </c>
    </row>
    <row r="718" spans="1:7">
      <c r="A718" s="141" t="s">
        <v>984</v>
      </c>
      <c r="B718" s="210" t="s">
        <v>846</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851</v>
      </c>
      <c r="B722" s="154" t="s">
        <v>596</v>
      </c>
      <c r="C722" s="56">
        <v>45742</v>
      </c>
      <c r="D722" s="210"/>
      <c r="E722" s="43"/>
      <c r="F722" s="210" t="s">
        <v>1147</v>
      </c>
      <c r="G722" t="str">
        <f t="shared" si="11"/>
        <v>March</v>
      </c>
    </row>
    <row r="723" spans="1:7">
      <c r="A723" s="141" t="s">
        <v>753</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897</v>
      </c>
      <c r="B725" s="242" t="s">
        <v>137</v>
      </c>
      <c r="C725" s="56">
        <v>45742</v>
      </c>
      <c r="D725" s="209">
        <v>2934</v>
      </c>
      <c r="E725" s="43"/>
      <c r="F725" s="109" t="s">
        <v>1236</v>
      </c>
      <c r="G725" t="str">
        <f t="shared" si="11"/>
        <v>March</v>
      </c>
    </row>
    <row r="726" spans="1:7">
      <c r="A726" s="134" t="s">
        <v>396</v>
      </c>
      <c r="B726" s="141" t="s">
        <v>823</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759</v>
      </c>
      <c r="B732" s="242" t="s">
        <v>137</v>
      </c>
      <c r="C732" s="56">
        <v>45743</v>
      </c>
      <c r="D732" s="209">
        <v>1548</v>
      </c>
      <c r="E732" s="109" t="s">
        <v>1241</v>
      </c>
      <c r="F732" s="109" t="s">
        <v>1103</v>
      </c>
      <c r="G732" t="str">
        <f t="shared" si="11"/>
        <v>March</v>
      </c>
    </row>
    <row r="733" spans="1:7">
      <c r="A733" s="141" t="s">
        <v>806</v>
      </c>
      <c r="B733" s="157" t="s">
        <v>798</v>
      </c>
      <c r="C733" s="56">
        <v>45743</v>
      </c>
      <c r="D733" s="210">
        <v>137</v>
      </c>
      <c r="E733" s="43" t="s">
        <v>1242</v>
      </c>
      <c r="F733" s="133" t="s">
        <v>1243</v>
      </c>
      <c r="G733" t="str">
        <f t="shared" si="11"/>
        <v>March</v>
      </c>
    </row>
    <row r="734" spans="1:7">
      <c r="A734" s="141" t="s">
        <v>883</v>
      </c>
      <c r="B734" s="157" t="s">
        <v>798</v>
      </c>
      <c r="C734" s="56">
        <v>45743</v>
      </c>
      <c r="D734" s="210" t="s">
        <v>1125</v>
      </c>
      <c r="E734" s="43"/>
      <c r="G734" t="str">
        <f t="shared" si="11"/>
        <v>March</v>
      </c>
    </row>
    <row r="735" spans="1:7">
      <c r="A735" s="141" t="s">
        <v>881</v>
      </c>
      <c r="B735" s="154" t="s">
        <v>596</v>
      </c>
      <c r="C735" s="56">
        <v>45743</v>
      </c>
      <c r="D735" s="210">
        <v>310</v>
      </c>
      <c r="E735" s="43"/>
      <c r="G735" t="str">
        <f t="shared" si="11"/>
        <v>March</v>
      </c>
    </row>
    <row r="736" spans="1:7">
      <c r="A736" s="141" t="s">
        <v>984</v>
      </c>
      <c r="B736" s="141" t="s">
        <v>846</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851</v>
      </c>
      <c r="B740" s="154" t="s">
        <v>596</v>
      </c>
      <c r="C740" s="56">
        <v>45743</v>
      </c>
      <c r="D740" s="158"/>
      <c r="E740" s="43"/>
      <c r="F740" s="158" t="s">
        <v>1245</v>
      </c>
      <c r="G740" t="str">
        <f t="shared" si="11"/>
        <v>March</v>
      </c>
      <c r="H740" s="164"/>
      <c r="I740" s="254"/>
      <c r="J740" s="254"/>
      <c r="K740" s="164"/>
      <c r="L740" s="164"/>
      <c r="M740" s="164"/>
    </row>
    <row r="741" spans="1:13" ht="15.75">
      <c r="A741" s="141" t="s">
        <v>765</v>
      </c>
      <c r="B741" s="242" t="s">
        <v>137</v>
      </c>
      <c r="C741" s="56">
        <v>45743</v>
      </c>
      <c r="D741" s="210"/>
      <c r="E741" s="43"/>
      <c r="F741" s="210" t="s">
        <v>1246</v>
      </c>
      <c r="G741" t="str">
        <f t="shared" si="11"/>
        <v>March</v>
      </c>
      <c r="H741" s="164"/>
      <c r="I741" s="254"/>
      <c r="J741" s="254"/>
      <c r="K741" s="164"/>
      <c r="L741" s="164"/>
      <c r="M741" s="164"/>
    </row>
    <row r="742" spans="1:13">
      <c r="A742" s="141" t="s">
        <v>883</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765</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765</v>
      </c>
      <c r="B750" s="242" t="s">
        <v>137</v>
      </c>
      <c r="C750" s="56">
        <v>45744</v>
      </c>
      <c r="D750" s="210">
        <v>757</v>
      </c>
      <c r="E750" s="43" t="s">
        <v>1213</v>
      </c>
      <c r="F750" s="43" t="s">
        <v>1102</v>
      </c>
      <c r="G750" t="str">
        <f t="shared" si="11"/>
        <v>March</v>
      </c>
      <c r="H750" s="164"/>
      <c r="I750" s="164"/>
      <c r="J750" s="164"/>
      <c r="K750" s="164"/>
      <c r="L750" s="164"/>
      <c r="M750" s="164"/>
    </row>
    <row r="751" spans="1:13">
      <c r="A751" s="141" t="s">
        <v>806</v>
      </c>
      <c r="B751" s="157" t="s">
        <v>798</v>
      </c>
      <c r="C751" s="56">
        <v>45744</v>
      </c>
      <c r="D751" s="210"/>
      <c r="E751" s="43"/>
      <c r="F751" s="210" t="s">
        <v>1249</v>
      </c>
      <c r="G751" t="str">
        <f t="shared" si="11"/>
        <v>March</v>
      </c>
      <c r="H751" s="164"/>
      <c r="I751" s="164"/>
      <c r="J751" s="164"/>
      <c r="K751" s="164"/>
      <c r="L751" s="164"/>
      <c r="M751" s="164"/>
    </row>
    <row r="752" spans="1:13">
      <c r="A752" s="141" t="s">
        <v>883</v>
      </c>
      <c r="B752" s="157" t="s">
        <v>798</v>
      </c>
      <c r="C752" s="56">
        <v>45744</v>
      </c>
      <c r="D752" s="210"/>
      <c r="E752" s="43"/>
      <c r="F752" s="210" t="s">
        <v>1125</v>
      </c>
      <c r="G752" t="str">
        <f t="shared" si="11"/>
        <v>March</v>
      </c>
      <c r="H752" s="164"/>
      <c r="I752" s="164"/>
      <c r="J752" s="164"/>
      <c r="K752" s="164"/>
      <c r="L752" s="164"/>
      <c r="M752" s="164"/>
    </row>
    <row r="753" spans="1:13">
      <c r="A753" s="141" t="s">
        <v>984</v>
      </c>
      <c r="B753" s="141" t="s">
        <v>846</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897</v>
      </c>
      <c r="B758" s="242" t="s">
        <v>137</v>
      </c>
      <c r="C758" s="56">
        <v>45744</v>
      </c>
      <c r="D758" s="210"/>
      <c r="E758" s="43"/>
      <c r="F758" s="210" t="s">
        <v>1246</v>
      </c>
      <c r="G758" t="str">
        <f t="shared" si="11"/>
        <v>March</v>
      </c>
    </row>
    <row r="759" spans="1:13">
      <c r="A759" s="134" t="s">
        <v>396</v>
      </c>
      <c r="B759" s="141" t="s">
        <v>823</v>
      </c>
      <c r="C759" s="56">
        <v>45744</v>
      </c>
      <c r="D759" s="210" t="s">
        <v>1125</v>
      </c>
      <c r="E759" s="43"/>
      <c r="G759" t="str">
        <f t="shared" si="11"/>
        <v>March</v>
      </c>
    </row>
    <row r="760" spans="1:13">
      <c r="A760" s="134" t="s">
        <v>897</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750</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765</v>
      </c>
      <c r="B766" s="242" t="s">
        <v>137</v>
      </c>
      <c r="C766" s="56">
        <v>45747</v>
      </c>
      <c r="D766" s="210">
        <v>695</v>
      </c>
      <c r="E766" s="109" t="s">
        <v>1226</v>
      </c>
      <c r="F766" s="109" t="s">
        <v>1098</v>
      </c>
      <c r="G766" t="str">
        <f t="shared" si="11"/>
        <v>March</v>
      </c>
    </row>
    <row r="767" spans="1:13">
      <c r="A767" s="141" t="s">
        <v>883</v>
      </c>
      <c r="B767" s="157" t="s">
        <v>798</v>
      </c>
      <c r="C767" s="56">
        <v>45747</v>
      </c>
      <c r="D767" s="210">
        <v>644</v>
      </c>
      <c r="E767" s="43"/>
      <c r="F767" s="109" t="s">
        <v>1257</v>
      </c>
      <c r="G767" t="str">
        <f t="shared" si="11"/>
        <v>March</v>
      </c>
    </row>
    <row r="768" spans="1:13">
      <c r="A768" s="141" t="s">
        <v>1041</v>
      </c>
      <c r="B768" s="157" t="s">
        <v>798</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838</v>
      </c>
      <c r="B771" s="154" t="s">
        <v>596</v>
      </c>
      <c r="C771" s="56">
        <v>45747</v>
      </c>
      <c r="D771" s="210">
        <v>0</v>
      </c>
      <c r="E771" s="43"/>
      <c r="F771" s="210" t="s">
        <v>1260</v>
      </c>
      <c r="G771" t="str">
        <f t="shared" ref="G771:G834" si="12">TEXT(C771,"mmmm")</f>
        <v>March</v>
      </c>
      <c r="H771" s="254"/>
      <c r="I771" s="254"/>
      <c r="J771" s="254"/>
      <c r="K771" s="164"/>
    </row>
    <row r="772" spans="1:11">
      <c r="A772" s="141" t="s">
        <v>767</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684</v>
      </c>
      <c r="B774" s="141" t="s">
        <v>1025</v>
      </c>
      <c r="C774" s="56">
        <v>45747</v>
      </c>
      <c r="D774" s="142">
        <v>1413</v>
      </c>
      <c r="E774" s="43"/>
      <c r="F774" s="109" t="s">
        <v>1114</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1262</v>
      </c>
      <c r="G776" t="str">
        <f t="shared" si="12"/>
        <v>March</v>
      </c>
      <c r="H776" s="164"/>
      <c r="I776" s="164"/>
      <c r="J776" s="164"/>
      <c r="K776" s="164"/>
    </row>
    <row r="777" spans="1:11">
      <c r="A777" s="134" t="s">
        <v>897</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750</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798</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851</v>
      </c>
      <c r="B786" s="154" t="s">
        <v>596</v>
      </c>
      <c r="C786" s="56">
        <v>45748</v>
      </c>
      <c r="D786" s="141"/>
      <c r="E786" s="43"/>
      <c r="F786" s="141" t="s">
        <v>1169</v>
      </c>
      <c r="G786" t="str">
        <f t="shared" si="12"/>
        <v>April</v>
      </c>
      <c r="H786" s="164"/>
      <c r="I786" s="164"/>
      <c r="J786" s="164"/>
      <c r="K786" s="164"/>
    </row>
    <row r="787" spans="1:11">
      <c r="A787" s="141" t="s">
        <v>787</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684</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823</v>
      </c>
      <c r="C791" s="56">
        <v>45748</v>
      </c>
      <c r="D791" s="141" t="s">
        <v>1125</v>
      </c>
      <c r="E791" s="43"/>
      <c r="G791" t="str">
        <f t="shared" si="12"/>
        <v>April</v>
      </c>
      <c r="H791" s="164"/>
      <c r="I791" s="164"/>
      <c r="J791" s="164"/>
      <c r="K791" s="164"/>
    </row>
    <row r="792" spans="1:11">
      <c r="A792" s="134" t="s">
        <v>897</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750</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798</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851</v>
      </c>
      <c r="B800" s="154" t="s">
        <v>596</v>
      </c>
      <c r="C800" s="56">
        <v>45749</v>
      </c>
      <c r="D800" s="141">
        <v>0</v>
      </c>
      <c r="E800" s="43"/>
      <c r="F800" s="141" t="s">
        <v>1169</v>
      </c>
      <c r="G800" t="str">
        <f t="shared" si="12"/>
        <v>April</v>
      </c>
      <c r="H800" s="254"/>
      <c r="I800" s="254"/>
      <c r="J800" s="164"/>
      <c r="K800" s="164"/>
    </row>
    <row r="801" spans="1:11">
      <c r="A801" s="141" t="s">
        <v>787</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823</v>
      </c>
      <c r="C805" s="56">
        <v>45749</v>
      </c>
      <c r="D805" s="141" t="s">
        <v>1125</v>
      </c>
      <c r="E805" s="43"/>
      <c r="G805" t="str">
        <f t="shared" si="12"/>
        <v>April</v>
      </c>
    </row>
    <row r="806" spans="1:11">
      <c r="A806" s="134" t="s">
        <v>897</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1267</v>
      </c>
      <c r="G810" t="str">
        <f t="shared" si="12"/>
        <v>April</v>
      </c>
    </row>
    <row r="811" spans="1:11">
      <c r="A811" s="141" t="s">
        <v>1041</v>
      </c>
      <c r="B811" s="157" t="s">
        <v>798</v>
      </c>
      <c r="C811" s="56">
        <v>45750</v>
      </c>
      <c r="D811" s="155">
        <v>1328</v>
      </c>
      <c r="E811" s="43"/>
      <c r="F811" s="43" t="s">
        <v>1268</v>
      </c>
      <c r="G811" t="str">
        <f t="shared" si="12"/>
        <v>April</v>
      </c>
    </row>
    <row r="812" spans="1:11">
      <c r="A812" s="141" t="s">
        <v>876</v>
      </c>
      <c r="B812" s="243" t="s">
        <v>141</v>
      </c>
      <c r="C812" s="56">
        <v>45750</v>
      </c>
      <c r="D812" s="43">
        <v>313</v>
      </c>
      <c r="E812" s="43"/>
      <c r="F812" s="43" t="s">
        <v>1269</v>
      </c>
      <c r="G812" t="str">
        <f t="shared" si="12"/>
        <v>April</v>
      </c>
    </row>
    <row r="813" spans="1:11">
      <c r="A813" s="141" t="s">
        <v>787</v>
      </c>
      <c r="B813" s="141" t="s">
        <v>629</v>
      </c>
      <c r="C813" s="56">
        <v>45750</v>
      </c>
      <c r="D813" s="43">
        <v>344</v>
      </c>
      <c r="E813" s="43"/>
      <c r="F813" s="43" t="s">
        <v>1270</v>
      </c>
      <c r="G813" t="str">
        <f t="shared" si="12"/>
        <v>April</v>
      </c>
    </row>
    <row r="814" spans="1:11">
      <c r="A814" s="141" t="s">
        <v>865</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686</v>
      </c>
      <c r="B816" s="242" t="s">
        <v>137</v>
      </c>
      <c r="C816" s="56">
        <v>45750</v>
      </c>
      <c r="D816" s="155">
        <v>1334</v>
      </c>
      <c r="E816" s="43"/>
      <c r="F816" s="43" t="s">
        <v>1272</v>
      </c>
      <c r="G816" t="str">
        <f t="shared" si="12"/>
        <v>April</v>
      </c>
    </row>
    <row r="817" spans="1:7" ht="15.75">
      <c r="A817" s="141" t="s">
        <v>678</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823</v>
      </c>
      <c r="C819" s="56">
        <v>45750</v>
      </c>
      <c r="E819" s="43"/>
      <c r="F819" s="141" t="s">
        <v>1274</v>
      </c>
      <c r="G819" t="str">
        <f t="shared" si="12"/>
        <v>April</v>
      </c>
    </row>
    <row r="820" spans="1:7" ht="15.75">
      <c r="A820" s="134" t="s">
        <v>897</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762</v>
      </c>
      <c r="B823" s="154" t="s">
        <v>596</v>
      </c>
      <c r="C823" s="56">
        <v>45751</v>
      </c>
      <c r="E823" s="43"/>
      <c r="F823" s="141" t="s">
        <v>1235</v>
      </c>
      <c r="G823" t="str">
        <f t="shared" si="12"/>
        <v>April</v>
      </c>
    </row>
    <row r="824" spans="1:7">
      <c r="A824" s="141" t="s">
        <v>756</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777</v>
      </c>
      <c r="B826" s="141" t="s">
        <v>600</v>
      </c>
      <c r="C826" s="56">
        <v>45751</v>
      </c>
      <c r="E826" s="43"/>
      <c r="F826" s="141" t="s">
        <v>1246</v>
      </c>
      <c r="G826" t="str">
        <f t="shared" si="12"/>
        <v>April</v>
      </c>
    </row>
    <row r="827" spans="1:7">
      <c r="A827" s="141" t="s">
        <v>1041</v>
      </c>
      <c r="B827" s="157" t="s">
        <v>798</v>
      </c>
      <c r="C827" s="56">
        <v>45751</v>
      </c>
      <c r="D827" s="43">
        <v>397</v>
      </c>
      <c r="E827" s="43"/>
      <c r="F827" s="43" t="s">
        <v>1278</v>
      </c>
      <c r="G827" t="str">
        <f t="shared" si="12"/>
        <v>April</v>
      </c>
    </row>
    <row r="828" spans="1:7">
      <c r="A828" s="141" t="s">
        <v>862</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823</v>
      </c>
      <c r="C832" s="56">
        <v>45751</v>
      </c>
      <c r="E832" s="43"/>
      <c r="F832" s="141" t="s">
        <v>1274</v>
      </c>
      <c r="G832" t="str">
        <f t="shared" si="12"/>
        <v>April</v>
      </c>
    </row>
    <row r="833" spans="1:7" ht="15.75">
      <c r="A833" s="134" t="s">
        <v>897</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678</v>
      </c>
      <c r="B835" s="242" t="s">
        <v>137</v>
      </c>
      <c r="C835" s="56">
        <v>45754</v>
      </c>
      <c r="E835" s="43"/>
      <c r="F835" s="43" t="s">
        <v>1280</v>
      </c>
      <c r="G835" t="str">
        <f t="shared" ref="G835:G898" si="13">TEXT(C835,"mmmm")</f>
        <v>April</v>
      </c>
    </row>
    <row r="836" spans="1:7">
      <c r="A836" s="141" t="s">
        <v>862</v>
      </c>
      <c r="B836" s="141" t="s">
        <v>629</v>
      </c>
      <c r="C836" s="56">
        <v>45754</v>
      </c>
      <c r="D836" s="43">
        <v>990</v>
      </c>
      <c r="E836" s="43"/>
      <c r="F836" s="43" t="s">
        <v>1261</v>
      </c>
      <c r="G836" t="str">
        <f t="shared" si="13"/>
        <v>April</v>
      </c>
    </row>
    <row r="837" spans="1:7">
      <c r="A837" s="141" t="s">
        <v>756</v>
      </c>
      <c r="B837" s="141" t="s">
        <v>600</v>
      </c>
      <c r="C837" s="56">
        <v>45754</v>
      </c>
      <c r="D837" s="43">
        <v>367</v>
      </c>
      <c r="E837" s="43"/>
      <c r="F837" s="43" t="s">
        <v>1281</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511</v>
      </c>
      <c r="B840" s="141" t="s">
        <v>846</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883</v>
      </c>
      <c r="B842" s="242" t="s">
        <v>1026</v>
      </c>
      <c r="C842" s="56">
        <v>45754</v>
      </c>
      <c r="D842" s="43">
        <v>180</v>
      </c>
      <c r="E842" s="43"/>
      <c r="F842" s="43" t="s">
        <v>1186</v>
      </c>
      <c r="G842" t="str">
        <f t="shared" si="13"/>
        <v>April</v>
      </c>
    </row>
    <row r="843" spans="1:7">
      <c r="A843" s="141" t="s">
        <v>984</v>
      </c>
      <c r="B843" s="141" t="s">
        <v>846</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686</v>
      </c>
      <c r="B845" s="242" t="s">
        <v>137</v>
      </c>
      <c r="C845" s="56">
        <v>45754</v>
      </c>
      <c r="D845" s="43">
        <v>618</v>
      </c>
      <c r="E845" s="43"/>
      <c r="F845" s="43" t="s">
        <v>1284</v>
      </c>
      <c r="G845" t="str">
        <f t="shared" si="13"/>
        <v>April</v>
      </c>
    </row>
    <row r="846" spans="1:7" ht="15.75">
      <c r="A846" s="141" t="s">
        <v>680</v>
      </c>
      <c r="B846" s="242" t="s">
        <v>137</v>
      </c>
      <c r="C846" s="56">
        <v>45754</v>
      </c>
      <c r="D846" s="155">
        <v>1840</v>
      </c>
      <c r="E846" s="43"/>
      <c r="F846" s="43" t="s">
        <v>1189</v>
      </c>
      <c r="G846" t="str">
        <f t="shared" si="13"/>
        <v>April</v>
      </c>
    </row>
    <row r="847" spans="1:7">
      <c r="A847" s="141" t="s">
        <v>862</v>
      </c>
      <c r="B847" s="141" t="s">
        <v>629</v>
      </c>
      <c r="C847" s="56">
        <v>45755</v>
      </c>
      <c r="D847" s="155">
        <v>1871</v>
      </c>
      <c r="E847" s="43"/>
      <c r="F847" s="43" t="s">
        <v>1285</v>
      </c>
      <c r="G847" t="str">
        <f t="shared" si="13"/>
        <v>April</v>
      </c>
    </row>
    <row r="848" spans="1:7">
      <c r="A848" s="141" t="s">
        <v>511</v>
      </c>
      <c r="B848" s="141" t="s">
        <v>846</v>
      </c>
      <c r="C848" s="56">
        <v>45755</v>
      </c>
      <c r="D848" s="43">
        <v>343</v>
      </c>
      <c r="E848" s="43"/>
      <c r="G848" t="str">
        <f t="shared" si="13"/>
        <v>April</v>
      </c>
    </row>
    <row r="849" spans="1:7">
      <c r="A849" s="141" t="s">
        <v>984</v>
      </c>
      <c r="B849" s="157" t="s">
        <v>798</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686</v>
      </c>
      <c r="B851" s="242" t="s">
        <v>137</v>
      </c>
      <c r="C851" s="56">
        <v>45755</v>
      </c>
      <c r="D851" s="43">
        <v>700</v>
      </c>
      <c r="E851" s="43"/>
      <c r="F851" s="43" t="s">
        <v>1108</v>
      </c>
      <c r="G851" t="str">
        <f t="shared" si="13"/>
        <v>April</v>
      </c>
    </row>
    <row r="852" spans="1:7" ht="15.75">
      <c r="A852" s="141" t="s">
        <v>680</v>
      </c>
      <c r="B852" s="242" t="s">
        <v>137</v>
      </c>
      <c r="C852" s="56">
        <v>45755</v>
      </c>
      <c r="D852" s="155">
        <v>1520</v>
      </c>
      <c r="E852" s="43"/>
      <c r="F852" s="43" t="s">
        <v>1189</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823</v>
      </c>
      <c r="C855" s="56">
        <v>45755</v>
      </c>
      <c r="E855" s="43"/>
      <c r="F855" s="141" t="s">
        <v>1274</v>
      </c>
      <c r="G855" t="str">
        <f t="shared" si="13"/>
        <v>April</v>
      </c>
    </row>
    <row r="856" spans="1:7" ht="15.75">
      <c r="A856" s="134" t="s">
        <v>897</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862</v>
      </c>
      <c r="B858" s="141" t="s">
        <v>629</v>
      </c>
      <c r="C858" s="56">
        <v>45756</v>
      </c>
      <c r="D858" s="155">
        <v>1307</v>
      </c>
      <c r="E858" s="43"/>
      <c r="F858" s="78" t="s">
        <v>1286</v>
      </c>
      <c r="G858" t="str">
        <f t="shared" si="13"/>
        <v>April</v>
      </c>
    </row>
    <row r="859" spans="1:7">
      <c r="A859" s="141" t="s">
        <v>756</v>
      </c>
      <c r="B859" s="141" t="s">
        <v>600</v>
      </c>
      <c r="C859" s="56">
        <v>45756</v>
      </c>
      <c r="E859" s="43"/>
      <c r="F859" s="78" t="s">
        <v>1287</v>
      </c>
      <c r="G859" t="str">
        <f t="shared" si="13"/>
        <v>April</v>
      </c>
    </row>
    <row r="860" spans="1:7">
      <c r="A860" s="141" t="s">
        <v>808</v>
      </c>
      <c r="B860" s="154" t="s">
        <v>596</v>
      </c>
      <c r="C860" s="56">
        <v>45756</v>
      </c>
      <c r="D860" s="155">
        <v>1376</v>
      </c>
      <c r="E860" s="43"/>
      <c r="F860" s="43" t="s">
        <v>1288</v>
      </c>
      <c r="G860" t="str">
        <f t="shared" si="13"/>
        <v>April</v>
      </c>
    </row>
    <row r="861" spans="1:7">
      <c r="A861" s="141" t="s">
        <v>800</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680</v>
      </c>
      <c r="B863" s="242" t="s">
        <v>137</v>
      </c>
      <c r="C863" s="56">
        <v>45756</v>
      </c>
      <c r="D863" s="155">
        <v>2060</v>
      </c>
      <c r="E863" s="43"/>
      <c r="F863" s="43" t="s">
        <v>1189</v>
      </c>
      <c r="G863" t="str">
        <f t="shared" si="13"/>
        <v>April</v>
      </c>
    </row>
    <row r="864" spans="1:7">
      <c r="A864" s="141" t="s">
        <v>723</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823</v>
      </c>
      <c r="C866" s="56">
        <v>45756</v>
      </c>
      <c r="E866" s="43"/>
      <c r="F866" s="141" t="s">
        <v>1274</v>
      </c>
      <c r="G866" t="str">
        <f t="shared" si="13"/>
        <v>April</v>
      </c>
    </row>
    <row r="867" spans="1:7">
      <c r="A867" s="134" t="s">
        <v>897</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862</v>
      </c>
      <c r="B869" s="141" t="s">
        <v>629</v>
      </c>
      <c r="C869" s="56">
        <v>45757</v>
      </c>
      <c r="E869" s="43"/>
      <c r="F869" s="141" t="s">
        <v>1169</v>
      </c>
      <c r="G869" t="str">
        <f t="shared" si="13"/>
        <v>April</v>
      </c>
    </row>
    <row r="870" spans="1:7">
      <c r="A870" s="247" t="s">
        <v>865</v>
      </c>
      <c r="B870" s="141" t="s">
        <v>629</v>
      </c>
      <c r="C870" s="56">
        <v>45757</v>
      </c>
      <c r="E870" s="43"/>
      <c r="F870" s="141" t="s">
        <v>1169</v>
      </c>
      <c r="G870" t="str">
        <f t="shared" si="13"/>
        <v>April</v>
      </c>
    </row>
    <row r="871" spans="1:7">
      <c r="A871" s="141" t="s">
        <v>808</v>
      </c>
      <c r="B871" s="154" t="s">
        <v>596</v>
      </c>
      <c r="C871" s="56">
        <v>45757</v>
      </c>
      <c r="D871" s="43">
        <v>875</v>
      </c>
      <c r="E871" s="43"/>
      <c r="F871" s="43" t="s">
        <v>1289</v>
      </c>
      <c r="G871" t="str">
        <f t="shared" si="13"/>
        <v>April</v>
      </c>
    </row>
    <row r="872" spans="1:7">
      <c r="A872" s="141" t="s">
        <v>834</v>
      </c>
      <c r="B872" s="141" t="s">
        <v>610</v>
      </c>
      <c r="C872" s="56">
        <v>45757</v>
      </c>
      <c r="D872" s="43">
        <v>711</v>
      </c>
      <c r="E872" s="43"/>
      <c r="F872" s="43" t="s">
        <v>1290</v>
      </c>
      <c r="G872" t="str">
        <f t="shared" si="13"/>
        <v>April</v>
      </c>
    </row>
    <row r="873" spans="1:7">
      <c r="A873" s="141" t="s">
        <v>800</v>
      </c>
      <c r="B873" s="243" t="s">
        <v>141</v>
      </c>
      <c r="C873" s="56">
        <v>45757</v>
      </c>
      <c r="D873" s="43">
        <v>627</v>
      </c>
      <c r="E873" s="43"/>
      <c r="G873" t="str">
        <f t="shared" si="13"/>
        <v>April</v>
      </c>
    </row>
    <row r="874" spans="1:7" ht="15.75">
      <c r="A874" s="141" t="s">
        <v>883</v>
      </c>
      <c r="B874" s="242" t="s">
        <v>1026</v>
      </c>
      <c r="C874" s="56">
        <v>45757</v>
      </c>
      <c r="D874" s="43">
        <v>426</v>
      </c>
      <c r="E874" s="43">
        <v>360</v>
      </c>
      <c r="F874" s="43" t="s">
        <v>1291</v>
      </c>
      <c r="G874" t="str">
        <f t="shared" si="13"/>
        <v>April</v>
      </c>
    </row>
    <row r="875" spans="1:7" ht="15.75">
      <c r="A875" s="141" t="s">
        <v>723</v>
      </c>
      <c r="B875" s="242" t="s">
        <v>1026</v>
      </c>
      <c r="C875" s="56">
        <v>45757</v>
      </c>
      <c r="D875" s="43">
        <v>504</v>
      </c>
      <c r="E875" s="43"/>
      <c r="G875" t="str">
        <f t="shared" si="13"/>
        <v>April</v>
      </c>
    </row>
    <row r="876" spans="1:7" ht="15.75">
      <c r="A876" s="141" t="s">
        <v>680</v>
      </c>
      <c r="B876" s="242" t="s">
        <v>137</v>
      </c>
      <c r="C876" s="56">
        <v>45757</v>
      </c>
      <c r="D876" s="155">
        <v>1330</v>
      </c>
      <c r="E876" s="43"/>
      <c r="F876" s="78" t="s">
        <v>1292</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1293</v>
      </c>
      <c r="G878" t="str">
        <f t="shared" si="13"/>
        <v>April</v>
      </c>
    </row>
    <row r="879" spans="1:7">
      <c r="A879" s="141" t="s">
        <v>834</v>
      </c>
      <c r="B879" s="243" t="s">
        <v>141</v>
      </c>
      <c r="C879" s="56">
        <v>45758</v>
      </c>
      <c r="D879" s="43">
        <v>695</v>
      </c>
      <c r="E879" s="43"/>
      <c r="F879" s="43" t="s">
        <v>1294</v>
      </c>
      <c r="G879" t="str">
        <f t="shared" si="13"/>
        <v>April</v>
      </c>
    </row>
    <row r="880" spans="1:7">
      <c r="A880" s="141" t="s">
        <v>862</v>
      </c>
      <c r="B880" s="141" t="s">
        <v>629</v>
      </c>
      <c r="C880" s="56">
        <v>45758</v>
      </c>
      <c r="E880" s="43"/>
      <c r="F880" s="141" t="s">
        <v>1169</v>
      </c>
      <c r="G880" t="str">
        <f t="shared" si="13"/>
        <v>April</v>
      </c>
    </row>
    <row r="881" spans="1:7">
      <c r="A881" s="141" t="s">
        <v>787</v>
      </c>
      <c r="B881" s="141" t="s">
        <v>629</v>
      </c>
      <c r="C881" s="56">
        <v>45758</v>
      </c>
      <c r="E881" s="43"/>
      <c r="F881" s="141" t="s">
        <v>1169</v>
      </c>
      <c r="G881" t="str">
        <f t="shared" si="13"/>
        <v>April</v>
      </c>
    </row>
    <row r="882" spans="1:7">
      <c r="A882" s="141" t="s">
        <v>756</v>
      </c>
      <c r="B882" s="141" t="s">
        <v>529</v>
      </c>
      <c r="C882" s="56">
        <v>45758</v>
      </c>
      <c r="E882" s="43"/>
      <c r="F882" s="141" t="s">
        <v>1295</v>
      </c>
      <c r="G882" t="str">
        <f t="shared" si="13"/>
        <v>April</v>
      </c>
    </row>
    <row r="883" spans="1:7">
      <c r="A883" s="141" t="s">
        <v>874</v>
      </c>
      <c r="B883" s="141" t="s">
        <v>529</v>
      </c>
      <c r="C883" s="56">
        <v>45758</v>
      </c>
      <c r="E883" s="43"/>
      <c r="F883" s="141" t="s">
        <v>1296</v>
      </c>
      <c r="G883" t="str">
        <f t="shared" si="13"/>
        <v>April</v>
      </c>
    </row>
    <row r="884" spans="1:7">
      <c r="A884" s="141" t="s">
        <v>753</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680</v>
      </c>
      <c r="B886" s="242" t="s">
        <v>1026</v>
      </c>
      <c r="C886" s="56">
        <v>45758</v>
      </c>
      <c r="E886" s="43"/>
      <c r="F886" s="43" t="s">
        <v>1298</v>
      </c>
      <c r="G886" t="str">
        <f t="shared" si="13"/>
        <v>April</v>
      </c>
    </row>
    <row r="887" spans="1:7" ht="15.75">
      <c r="A887" s="247" t="s">
        <v>723</v>
      </c>
      <c r="B887" s="242" t="s">
        <v>137</v>
      </c>
      <c r="C887" s="56">
        <v>45758</v>
      </c>
      <c r="E887" s="43">
        <v>899</v>
      </c>
      <c r="F887" s="43" t="s">
        <v>1299</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1300</v>
      </c>
      <c r="G889" t="str">
        <f t="shared" si="13"/>
        <v>April</v>
      </c>
    </row>
    <row r="890" spans="1:7" ht="15.75">
      <c r="A890" s="141" t="s">
        <v>812</v>
      </c>
      <c r="B890" s="242" t="s">
        <v>137</v>
      </c>
      <c r="C890" s="56">
        <v>45761</v>
      </c>
      <c r="D890" s="155">
        <v>1335</v>
      </c>
      <c r="E890" s="43"/>
      <c r="F890" s="43" t="s">
        <v>1103</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756</v>
      </c>
      <c r="B894" s="141" t="s">
        <v>529</v>
      </c>
      <c r="C894" s="56">
        <v>45761</v>
      </c>
      <c r="E894" s="43"/>
      <c r="G894" t="str">
        <f t="shared" si="13"/>
        <v>April</v>
      </c>
    </row>
    <row r="895" spans="1:7">
      <c r="A895" s="141" t="s">
        <v>874</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660</v>
      </c>
      <c r="B897" s="242" t="s">
        <v>1026</v>
      </c>
      <c r="C897" s="56">
        <v>45761</v>
      </c>
      <c r="D897" s="43">
        <v>259</v>
      </c>
      <c r="E897" s="43"/>
      <c r="G897" t="str">
        <f t="shared" si="13"/>
        <v>April</v>
      </c>
    </row>
    <row r="898" spans="1:7">
      <c r="A898" s="141" t="s">
        <v>800</v>
      </c>
      <c r="B898" s="141" t="s">
        <v>610</v>
      </c>
      <c r="C898" s="56">
        <v>45762</v>
      </c>
      <c r="D898" s="43">
        <v>779</v>
      </c>
      <c r="E898" s="43"/>
      <c r="F898" s="43" t="s">
        <v>1123</v>
      </c>
      <c r="G898" t="str">
        <f t="shared" si="13"/>
        <v>April</v>
      </c>
    </row>
    <row r="899" spans="1:7">
      <c r="A899" s="141" t="s">
        <v>808</v>
      </c>
      <c r="B899" s="154" t="s">
        <v>596</v>
      </c>
      <c r="C899" s="56">
        <v>45762</v>
      </c>
      <c r="D899" s="155">
        <v>1018</v>
      </c>
      <c r="E899" s="43"/>
      <c r="F899" s="43" t="s">
        <v>1303</v>
      </c>
      <c r="G899" t="str">
        <f t="shared" ref="G899:G949" si="14">TEXT(C899,"mmmm")</f>
        <v>April</v>
      </c>
    </row>
    <row r="900" spans="1:7" ht="15.75">
      <c r="A900" s="141" t="s">
        <v>812</v>
      </c>
      <c r="B900" s="242" t="s">
        <v>137</v>
      </c>
      <c r="C900" s="56">
        <v>45762</v>
      </c>
      <c r="D900" s="155">
        <v>1133</v>
      </c>
      <c r="E900" s="43"/>
      <c r="F900" s="43" t="s">
        <v>1304</v>
      </c>
      <c r="G900" t="str">
        <f t="shared" si="14"/>
        <v>April</v>
      </c>
    </row>
    <row r="901" spans="1:7" ht="15.75">
      <c r="A901" s="141" t="s">
        <v>832</v>
      </c>
      <c r="B901" s="242" t="s">
        <v>137</v>
      </c>
      <c r="C901" s="56">
        <v>45762</v>
      </c>
      <c r="D901" s="155">
        <v>1526</v>
      </c>
      <c r="E901" s="43"/>
      <c r="F901" s="43" t="s">
        <v>1305</v>
      </c>
      <c r="G901" t="str">
        <f t="shared" si="14"/>
        <v>April</v>
      </c>
    </row>
    <row r="902" spans="1:7">
      <c r="A902" s="141" t="s">
        <v>834</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883</v>
      </c>
      <c r="B904" s="242" t="s">
        <v>1026</v>
      </c>
      <c r="C904" s="56">
        <v>45762</v>
      </c>
      <c r="D904" s="43">
        <v>561</v>
      </c>
      <c r="E904" s="43"/>
      <c r="G904" t="str">
        <f t="shared" si="14"/>
        <v>April</v>
      </c>
    </row>
    <row r="905" spans="1:7">
      <c r="A905" s="141" t="s">
        <v>756</v>
      </c>
      <c r="B905" s="141" t="s">
        <v>529</v>
      </c>
      <c r="C905" s="56">
        <v>45762</v>
      </c>
      <c r="E905" s="43"/>
      <c r="F905" s="141" t="s">
        <v>1307</v>
      </c>
      <c r="G905" t="str">
        <f t="shared" si="14"/>
        <v>April</v>
      </c>
    </row>
    <row r="906" spans="1:7">
      <c r="A906" s="141" t="s">
        <v>874</v>
      </c>
      <c r="B906" s="141" t="s">
        <v>529</v>
      </c>
      <c r="C906" s="56">
        <v>45762</v>
      </c>
      <c r="E906" s="43"/>
      <c r="F906" s="141" t="s">
        <v>1307</v>
      </c>
      <c r="G906" t="str">
        <f t="shared" si="14"/>
        <v>April</v>
      </c>
    </row>
    <row r="907" spans="1:7">
      <c r="A907" s="141" t="s">
        <v>849</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660</v>
      </c>
      <c r="B909" s="242" t="s">
        <v>1026</v>
      </c>
      <c r="C909" s="56">
        <v>45762</v>
      </c>
      <c r="D909" s="43">
        <v>243</v>
      </c>
      <c r="E909" s="43"/>
      <c r="F909" s="43" t="s">
        <v>1248</v>
      </c>
      <c r="G909" t="str">
        <f t="shared" si="14"/>
        <v>April</v>
      </c>
    </row>
    <row r="910" spans="1:7" ht="15.75">
      <c r="A910" s="154" t="s">
        <v>793</v>
      </c>
      <c r="B910" s="242" t="s">
        <v>629</v>
      </c>
      <c r="C910" s="56">
        <v>45762</v>
      </c>
      <c r="D910" s="155">
        <v>1538</v>
      </c>
      <c r="E910" s="43"/>
      <c r="F910" s="43" t="s">
        <v>1308</v>
      </c>
      <c r="G910" t="str">
        <f t="shared" si="14"/>
        <v>April</v>
      </c>
    </row>
    <row r="911" spans="1:7">
      <c r="A911" s="141" t="s">
        <v>780</v>
      </c>
      <c r="B911" s="154" t="s">
        <v>596</v>
      </c>
      <c r="C911" s="56">
        <v>45763</v>
      </c>
      <c r="E911" s="43"/>
      <c r="F911" s="141" t="s">
        <v>1309</v>
      </c>
      <c r="G911" t="str">
        <f t="shared" si="14"/>
        <v>April</v>
      </c>
    </row>
    <row r="912" spans="1:7">
      <c r="A912" s="141" t="s">
        <v>793</v>
      </c>
      <c r="B912" s="141" t="s">
        <v>629</v>
      </c>
      <c r="C912" s="56">
        <v>45763</v>
      </c>
      <c r="D912" s="155">
        <v>2713</v>
      </c>
      <c r="E912" s="43"/>
      <c r="F912" s="43" t="s">
        <v>1310</v>
      </c>
      <c r="G912" t="str">
        <f t="shared" si="14"/>
        <v>April</v>
      </c>
    </row>
    <row r="913" spans="1:7">
      <c r="A913" s="141" t="s">
        <v>800</v>
      </c>
      <c r="B913" s="141" t="s">
        <v>610</v>
      </c>
      <c r="C913" s="56">
        <v>45763</v>
      </c>
      <c r="D913" s="43">
        <v>868</v>
      </c>
      <c r="E913" s="43"/>
      <c r="F913" s="43" t="s">
        <v>1311</v>
      </c>
      <c r="G913" t="str">
        <f t="shared" si="14"/>
        <v>April</v>
      </c>
    </row>
    <row r="914" spans="1:7" ht="15.75">
      <c r="A914" s="141" t="s">
        <v>812</v>
      </c>
      <c r="B914" s="242" t="s">
        <v>137</v>
      </c>
      <c r="C914" s="56">
        <v>45763</v>
      </c>
      <c r="D914" s="155">
        <v>1624</v>
      </c>
      <c r="E914" s="43"/>
      <c r="F914" s="43" t="s">
        <v>1312</v>
      </c>
      <c r="G914" t="str">
        <f t="shared" si="14"/>
        <v>April</v>
      </c>
    </row>
    <row r="915" spans="1:7" ht="15.75">
      <c r="A915" s="141" t="s">
        <v>832</v>
      </c>
      <c r="B915" s="242" t="s">
        <v>137</v>
      </c>
      <c r="C915" s="56">
        <v>45763</v>
      </c>
      <c r="D915" s="155">
        <v>1503</v>
      </c>
      <c r="E915" s="43"/>
      <c r="F915" s="43" t="s">
        <v>1313</v>
      </c>
      <c r="G915" t="str">
        <f t="shared" si="14"/>
        <v>April</v>
      </c>
    </row>
    <row r="916" spans="1:7">
      <c r="A916" s="141" t="s">
        <v>834</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883</v>
      </c>
      <c r="B918" s="242" t="s">
        <v>1026</v>
      </c>
      <c r="C918" s="56">
        <v>45763</v>
      </c>
      <c r="D918" s="43">
        <v>260</v>
      </c>
      <c r="E918" s="43"/>
      <c r="F918" s="43" t="s">
        <v>1315</v>
      </c>
      <c r="G918" t="str">
        <f t="shared" si="14"/>
        <v>April</v>
      </c>
    </row>
    <row r="919" spans="1:7">
      <c r="A919" s="141" t="s">
        <v>854</v>
      </c>
      <c r="B919" s="243" t="s">
        <v>141</v>
      </c>
      <c r="C919" s="56">
        <v>45763</v>
      </c>
      <c r="D919" s="43">
        <v>173</v>
      </c>
      <c r="E919" s="43"/>
      <c r="G919" t="str">
        <f t="shared" si="14"/>
        <v>April</v>
      </c>
    </row>
    <row r="920" spans="1:7">
      <c r="A920" s="141" t="s">
        <v>838</v>
      </c>
      <c r="B920" s="141" t="s">
        <v>529</v>
      </c>
      <c r="C920" s="56">
        <v>45763</v>
      </c>
      <c r="E920" s="43"/>
      <c r="F920" s="141" t="s">
        <v>1169</v>
      </c>
      <c r="G920" t="str">
        <f t="shared" si="14"/>
        <v>April</v>
      </c>
    </row>
    <row r="921" spans="1:7">
      <c r="A921" s="141" t="s">
        <v>849</v>
      </c>
      <c r="B921" s="141" t="s">
        <v>529</v>
      </c>
      <c r="C921" s="56">
        <v>45763</v>
      </c>
      <c r="E921" s="43"/>
      <c r="F921" s="141" t="s">
        <v>1169</v>
      </c>
      <c r="G921" t="str">
        <f t="shared" si="14"/>
        <v>April</v>
      </c>
    </row>
    <row r="922" spans="1:7">
      <c r="A922" s="141" t="s">
        <v>843</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660</v>
      </c>
      <c r="B924" s="242" t="s">
        <v>1026</v>
      </c>
      <c r="C924" s="56">
        <v>45763</v>
      </c>
      <c r="E924" s="43"/>
      <c r="F924" s="43" t="s">
        <v>1246</v>
      </c>
      <c r="G924" t="str">
        <f t="shared" si="14"/>
        <v>April</v>
      </c>
    </row>
    <row r="925" spans="1:7">
      <c r="A925" s="141" t="s">
        <v>793</v>
      </c>
      <c r="B925" s="141" t="s">
        <v>629</v>
      </c>
      <c r="C925" s="56">
        <v>45764</v>
      </c>
      <c r="D925" s="43">
        <v>862</v>
      </c>
      <c r="E925" s="43"/>
      <c r="F925" s="43" t="s">
        <v>1316</v>
      </c>
      <c r="G925" t="str">
        <f t="shared" si="14"/>
        <v>April</v>
      </c>
    </row>
    <row r="926" spans="1:7">
      <c r="A926" s="304" t="s">
        <v>800</v>
      </c>
      <c r="B926" s="304" t="s">
        <v>610</v>
      </c>
      <c r="C926" s="56">
        <v>45764</v>
      </c>
      <c r="D926" s="43">
        <v>338</v>
      </c>
      <c r="E926" s="43"/>
      <c r="F926" s="43" t="s">
        <v>1317</v>
      </c>
      <c r="G926" t="str">
        <f t="shared" si="14"/>
        <v>April</v>
      </c>
    </row>
    <row r="927" spans="1:7">
      <c r="A927" s="304" t="s">
        <v>808</v>
      </c>
      <c r="B927" s="154" t="s">
        <v>596</v>
      </c>
      <c r="C927" s="56">
        <v>45764</v>
      </c>
      <c r="D927" s="43">
        <v>569</v>
      </c>
      <c r="E927" s="43"/>
      <c r="F927" s="78" t="s">
        <v>1318</v>
      </c>
      <c r="G927" t="str">
        <f t="shared" si="14"/>
        <v>April</v>
      </c>
    </row>
    <row r="928" spans="1:7">
      <c r="A928" s="305" t="s">
        <v>812</v>
      </c>
      <c r="B928" s="305" t="s">
        <v>137</v>
      </c>
      <c r="C928" s="56">
        <v>45764</v>
      </c>
      <c r="E928" s="43"/>
      <c r="F928" s="141" t="s">
        <v>1319</v>
      </c>
      <c r="G928" t="str">
        <f t="shared" si="14"/>
        <v>April</v>
      </c>
    </row>
    <row r="929" spans="1:7">
      <c r="A929" s="141" t="s">
        <v>832</v>
      </c>
      <c r="B929" s="141" t="s">
        <v>137</v>
      </c>
      <c r="C929" s="56">
        <v>45764</v>
      </c>
      <c r="D929" s="155">
        <v>1590</v>
      </c>
      <c r="E929" s="43"/>
      <c r="F929" s="43" t="s">
        <v>1114</v>
      </c>
      <c r="G929" t="str">
        <f t="shared" si="14"/>
        <v>April</v>
      </c>
    </row>
    <row r="930" spans="1:7">
      <c r="A930" s="305" t="s">
        <v>834</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883</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662</v>
      </c>
      <c r="B935" s="141" t="s">
        <v>137</v>
      </c>
      <c r="C935" s="310">
        <v>45764</v>
      </c>
      <c r="D935" s="43">
        <v>647</v>
      </c>
      <c r="E935" s="43"/>
      <c r="F935" s="43" t="s">
        <v>1106</v>
      </c>
      <c r="G935" t="str">
        <f t="shared" si="14"/>
        <v>April</v>
      </c>
    </row>
    <row r="936" spans="1:7">
      <c r="A936" s="309" t="s">
        <v>660</v>
      </c>
      <c r="B936" s="141" t="s">
        <v>1026</v>
      </c>
      <c r="C936" s="310">
        <v>45764</v>
      </c>
      <c r="D936" s="43">
        <v>193</v>
      </c>
      <c r="E936" s="43"/>
      <c r="F936" s="43" t="s">
        <v>1105</v>
      </c>
      <c r="G936" t="str">
        <f t="shared" si="14"/>
        <v>April</v>
      </c>
    </row>
    <row r="937" spans="1:7">
      <c r="A937" s="141" t="s">
        <v>793</v>
      </c>
      <c r="B937" s="141" t="s">
        <v>629</v>
      </c>
      <c r="C937" s="56">
        <v>45765</v>
      </c>
      <c r="D937" s="155">
        <v>1507</v>
      </c>
      <c r="E937" s="43"/>
      <c r="F937" s="78" t="s">
        <v>1322</v>
      </c>
      <c r="G937" t="str">
        <f t="shared" si="14"/>
        <v>April</v>
      </c>
    </row>
    <row r="938" spans="1:7">
      <c r="A938" s="304" t="s">
        <v>800</v>
      </c>
      <c r="B938" s="304" t="s">
        <v>610</v>
      </c>
      <c r="C938" s="56">
        <v>45765</v>
      </c>
      <c r="D938" s="43">
        <v>26</v>
      </c>
      <c r="E938" s="43"/>
      <c r="F938" s="43" t="s">
        <v>1323</v>
      </c>
      <c r="G938" t="str">
        <f t="shared" si="14"/>
        <v>April</v>
      </c>
    </row>
    <row r="939" spans="1:7">
      <c r="A939" s="304" t="s">
        <v>808</v>
      </c>
      <c r="B939" s="154" t="s">
        <v>596</v>
      </c>
      <c r="C939" s="56">
        <v>45765</v>
      </c>
      <c r="E939" s="43"/>
      <c r="F939" s="141" t="s">
        <v>1324</v>
      </c>
      <c r="G939" t="str">
        <f t="shared" si="14"/>
        <v>April</v>
      </c>
    </row>
    <row r="940" spans="1:7">
      <c r="A940" s="305" t="s">
        <v>812</v>
      </c>
      <c r="B940" s="305" t="s">
        <v>137</v>
      </c>
      <c r="C940" s="56">
        <v>45765</v>
      </c>
      <c r="D940" s="43">
        <v>350</v>
      </c>
      <c r="E940" s="43"/>
      <c r="F940" s="43" t="s">
        <v>1105</v>
      </c>
      <c r="G940" t="str">
        <f t="shared" si="14"/>
        <v>April</v>
      </c>
    </row>
    <row r="941" spans="1:7">
      <c r="A941" s="141" t="s">
        <v>832</v>
      </c>
      <c r="B941" s="141" t="s">
        <v>137</v>
      </c>
      <c r="C941" s="56">
        <v>45765</v>
      </c>
      <c r="D941" s="43">
        <v>370</v>
      </c>
      <c r="E941" s="43"/>
      <c r="F941" s="43" t="s">
        <v>1325</v>
      </c>
      <c r="G941" t="str">
        <f t="shared" si="14"/>
        <v>April</v>
      </c>
    </row>
    <row r="942" spans="1:7">
      <c r="A942" s="305" t="s">
        <v>810</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883</v>
      </c>
      <c r="B944" s="311" t="s">
        <v>1026</v>
      </c>
      <c r="C944" s="56">
        <v>45765</v>
      </c>
      <c r="E944" s="155">
        <v>6350</v>
      </c>
      <c r="F944" s="43" t="s">
        <v>1327</v>
      </c>
      <c r="G944" t="str">
        <f t="shared" si="14"/>
        <v>April</v>
      </c>
    </row>
    <row r="945" spans="1:7">
      <c r="A945" s="304" t="s">
        <v>883</v>
      </c>
      <c r="B945" s="315" t="s">
        <v>1026</v>
      </c>
      <c r="C945" s="56">
        <v>45765</v>
      </c>
      <c r="D945" s="43">
        <v>408</v>
      </c>
      <c r="E945" s="43"/>
      <c r="F945" s="43" t="s">
        <v>1328</v>
      </c>
      <c r="G945" t="str">
        <f t="shared" si="14"/>
        <v>April</v>
      </c>
    </row>
    <row r="946" spans="1:7">
      <c r="A946" s="305" t="s">
        <v>756</v>
      </c>
      <c r="B946" s="305" t="s">
        <v>529</v>
      </c>
      <c r="C946" s="56">
        <v>45765</v>
      </c>
      <c r="E946" s="43"/>
      <c r="F946" s="306" t="s">
        <v>1329</v>
      </c>
      <c r="G946" t="str">
        <f t="shared" si="14"/>
        <v>April</v>
      </c>
    </row>
    <row r="947" spans="1:7">
      <c r="A947" s="311" t="s">
        <v>849</v>
      </c>
      <c r="B947" s="311" t="s">
        <v>529</v>
      </c>
      <c r="C947" s="56">
        <v>45765</v>
      </c>
      <c r="E947" s="43"/>
      <c r="F947" s="311" t="s">
        <v>1330</v>
      </c>
      <c r="G947" t="str">
        <f t="shared" si="14"/>
        <v>April</v>
      </c>
    </row>
    <row r="948" spans="1:7">
      <c r="A948" s="306" t="s">
        <v>746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797</v>
      </c>
      <c r="B950" s="141" t="s">
        <v>1332</v>
      </c>
      <c r="C950" s="56">
        <v>45768</v>
      </c>
      <c r="E950" s="43"/>
      <c r="F950" s="141" t="s">
        <v>1333</v>
      </c>
      <c r="G950" t="str">
        <f t="shared" ref="G950:G983" si="15">TEXT(C950,"mmmm")</f>
        <v>April</v>
      </c>
    </row>
    <row r="951" spans="1:7">
      <c r="A951" s="304" t="s">
        <v>800</v>
      </c>
      <c r="B951" s="304" t="s">
        <v>610</v>
      </c>
      <c r="C951" s="56">
        <v>45768</v>
      </c>
      <c r="E951" s="43"/>
      <c r="F951" s="141" t="s">
        <v>1334</v>
      </c>
      <c r="G951" t="str">
        <f t="shared" si="15"/>
        <v>April</v>
      </c>
    </row>
    <row r="952" spans="1:7">
      <c r="A952" s="305" t="s">
        <v>810</v>
      </c>
      <c r="B952" s="305" t="s">
        <v>1335</v>
      </c>
      <c r="C952" s="56">
        <v>45768</v>
      </c>
      <c r="E952" s="43"/>
      <c r="F952" s="43" t="s">
        <v>1333</v>
      </c>
      <c r="G952" t="str">
        <f t="shared" si="15"/>
        <v>April</v>
      </c>
    </row>
    <row r="953" spans="1:7">
      <c r="A953" s="141" t="s">
        <v>812</v>
      </c>
      <c r="B953" s="317" t="s">
        <v>137</v>
      </c>
      <c r="C953" s="56">
        <v>45768</v>
      </c>
      <c r="D953" s="155">
        <v>1050</v>
      </c>
      <c r="E953" s="43"/>
      <c r="F953" s="115" t="s">
        <v>1336</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1337</v>
      </c>
      <c r="G955" t="str">
        <f t="shared" si="15"/>
        <v>April</v>
      </c>
    </row>
    <row r="956" spans="1:7">
      <c r="A956" s="304" t="s">
        <v>832</v>
      </c>
      <c r="B956" s="305" t="s">
        <v>137</v>
      </c>
      <c r="C956" s="56">
        <v>45768</v>
      </c>
      <c r="F956" s="154" t="s">
        <v>1338</v>
      </c>
      <c r="G956" t="str">
        <f t="shared" si="15"/>
        <v>April</v>
      </c>
    </row>
    <row r="957" spans="1:7">
      <c r="A957" s="304" t="s">
        <v>834</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838</v>
      </c>
      <c r="B959" s="141" t="s">
        <v>529</v>
      </c>
      <c r="C959" s="56">
        <v>45768</v>
      </c>
      <c r="E959" s="43"/>
      <c r="F959" s="311" t="s">
        <v>1329</v>
      </c>
      <c r="G959" t="str">
        <f t="shared" si="15"/>
        <v>April</v>
      </c>
    </row>
    <row r="960" spans="1:7">
      <c r="A960" s="315" t="s">
        <v>874</v>
      </c>
      <c r="B960" s="141" t="s">
        <v>529</v>
      </c>
      <c r="C960" s="56">
        <v>45768</v>
      </c>
      <c r="E960" s="43"/>
      <c r="F960" s="315" t="s">
        <v>1329</v>
      </c>
      <c r="G960" t="str">
        <f t="shared" si="15"/>
        <v>April</v>
      </c>
    </row>
    <row r="961" spans="1:7">
      <c r="A961" s="141" t="s">
        <v>660</v>
      </c>
      <c r="B961" s="141" t="s">
        <v>1026</v>
      </c>
      <c r="C961" s="56">
        <v>45768</v>
      </c>
      <c r="E961" s="43"/>
      <c r="F961" s="169" t="s">
        <v>1302</v>
      </c>
      <c r="G961" t="str">
        <f t="shared" si="15"/>
        <v>April</v>
      </c>
    </row>
    <row r="962" spans="1:7">
      <c r="A962" s="141" t="s">
        <v>797</v>
      </c>
      <c r="B962" s="141" t="s">
        <v>1332</v>
      </c>
      <c r="C962" s="319">
        <v>45769</v>
      </c>
      <c r="D962" s="169"/>
      <c r="E962" s="253"/>
      <c r="F962" s="169"/>
      <c r="G962" t="str">
        <f t="shared" si="15"/>
        <v>April</v>
      </c>
    </row>
    <row r="963" spans="1:7">
      <c r="A963" s="304" t="s">
        <v>800</v>
      </c>
      <c r="B963" s="304" t="s">
        <v>610</v>
      </c>
      <c r="C963" s="319">
        <v>45769</v>
      </c>
      <c r="F963" s="141" t="s">
        <v>1340</v>
      </c>
      <c r="G963" t="str">
        <f t="shared" si="15"/>
        <v>April</v>
      </c>
    </row>
    <row r="964" spans="1:7">
      <c r="A964" s="304" t="s">
        <v>810</v>
      </c>
      <c r="B964" s="304" t="s">
        <v>1335</v>
      </c>
      <c r="C964" s="319">
        <v>45769</v>
      </c>
      <c r="D964" s="155">
        <v>1701</v>
      </c>
      <c r="F964" s="43" t="s">
        <v>1341</v>
      </c>
      <c r="G964" t="str">
        <f t="shared" si="15"/>
        <v>April</v>
      </c>
    </row>
    <row r="965" spans="1:7">
      <c r="A965" s="304" t="s">
        <v>826</v>
      </c>
      <c r="B965" s="304" t="s">
        <v>823</v>
      </c>
      <c r="C965" s="319">
        <v>45769</v>
      </c>
      <c r="D965" s="43">
        <v>464</v>
      </c>
      <c r="F965" s="43" t="s">
        <v>1342</v>
      </c>
      <c r="G965" t="str">
        <f t="shared" si="15"/>
        <v>April</v>
      </c>
    </row>
    <row r="966" spans="1:7">
      <c r="A966" s="304" t="s">
        <v>828</v>
      </c>
      <c r="B966" s="304" t="s">
        <v>141</v>
      </c>
      <c r="C966" s="319">
        <v>45769</v>
      </c>
      <c r="D966" s="43">
        <v>951</v>
      </c>
      <c r="F966" s="43" t="s">
        <v>1343</v>
      </c>
      <c r="G966" t="str">
        <f t="shared" si="15"/>
        <v>April</v>
      </c>
    </row>
    <row r="967" spans="1:7">
      <c r="A967" s="304" t="s">
        <v>830</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854</v>
      </c>
      <c r="B969" s="304" t="s">
        <v>141</v>
      </c>
      <c r="C969" s="319">
        <v>45769</v>
      </c>
      <c r="F969" s="141" t="s">
        <v>1147</v>
      </c>
      <c r="G969" t="str">
        <f t="shared" si="15"/>
        <v>April</v>
      </c>
    </row>
    <row r="970" spans="1:7">
      <c r="A970" s="304" t="s">
        <v>883</v>
      </c>
      <c r="B970" s="304" t="s">
        <v>1026</v>
      </c>
      <c r="C970" s="319">
        <v>45769</v>
      </c>
      <c r="D970" s="43">
        <v>205</v>
      </c>
      <c r="F970" s="43" t="s">
        <v>1345</v>
      </c>
      <c r="G970" t="str">
        <f t="shared" si="15"/>
        <v>April</v>
      </c>
    </row>
    <row r="971" spans="1:7">
      <c r="A971" s="311" t="s">
        <v>874</v>
      </c>
      <c r="B971" s="311" t="s">
        <v>600</v>
      </c>
      <c r="C971" s="319">
        <v>45769</v>
      </c>
      <c r="F971" s="320" t="s">
        <v>1346</v>
      </c>
      <c r="G971" t="str">
        <f t="shared" si="15"/>
        <v>April</v>
      </c>
    </row>
    <row r="972" spans="1:7">
      <c r="A972" s="306" t="s">
        <v>660</v>
      </c>
      <c r="B972" s="317" t="s">
        <v>1026</v>
      </c>
      <c r="C972" s="319">
        <v>45769</v>
      </c>
      <c r="D972" s="43">
        <v>510</v>
      </c>
      <c r="F972" s="43" t="s">
        <v>1347</v>
      </c>
      <c r="G972" t="str">
        <f t="shared" si="15"/>
        <v>April</v>
      </c>
    </row>
    <row r="973" spans="1:7">
      <c r="A973" s="316" t="s">
        <v>662</v>
      </c>
      <c r="B973" s="317" t="s">
        <v>137</v>
      </c>
      <c r="C973" s="319">
        <v>45769</v>
      </c>
      <c r="D973" s="43">
        <v>932</v>
      </c>
      <c r="F973" s="43" t="s">
        <v>1106</v>
      </c>
      <c r="G973" t="str">
        <f t="shared" si="15"/>
        <v>April</v>
      </c>
    </row>
    <row r="974" spans="1:7">
      <c r="A974" s="154" t="s">
        <v>746</v>
      </c>
      <c r="B974" s="141" t="s">
        <v>137</v>
      </c>
      <c r="C974" s="319">
        <v>45769</v>
      </c>
      <c r="D974" s="43">
        <v>23</v>
      </c>
      <c r="F974" s="43" t="s">
        <v>1348</v>
      </c>
      <c r="G974" t="str">
        <f t="shared" si="15"/>
        <v>April</v>
      </c>
    </row>
    <row r="975" spans="1:7">
      <c r="A975" s="141" t="s">
        <v>777</v>
      </c>
      <c r="B975" s="141" t="s">
        <v>1026</v>
      </c>
      <c r="C975" s="56">
        <v>45770</v>
      </c>
      <c r="D975" s="43">
        <v>113</v>
      </c>
      <c r="F975" s="43" t="s">
        <v>1349</v>
      </c>
      <c r="G975" t="str">
        <f t="shared" si="15"/>
        <v>April</v>
      </c>
    </row>
    <row r="976" spans="1:7">
      <c r="A976" s="304" t="s">
        <v>797</v>
      </c>
      <c r="B976" s="304" t="s">
        <v>1332</v>
      </c>
      <c r="C976" s="56">
        <v>45770</v>
      </c>
      <c r="D976" s="155">
        <v>2348</v>
      </c>
      <c r="F976" s="43" t="s">
        <v>1350</v>
      </c>
      <c r="G976" t="str">
        <f t="shared" si="15"/>
        <v>April</v>
      </c>
    </row>
    <row r="977" spans="1:7">
      <c r="A977" s="304" t="s">
        <v>800</v>
      </c>
      <c r="B977" s="304" t="s">
        <v>610</v>
      </c>
      <c r="C977" s="56">
        <v>45770</v>
      </c>
      <c r="F977" s="154" t="s">
        <v>1147</v>
      </c>
      <c r="G977" t="str">
        <f t="shared" si="15"/>
        <v>April</v>
      </c>
    </row>
    <row r="978" spans="1:7">
      <c r="A978" s="304" t="s">
        <v>810</v>
      </c>
      <c r="B978" s="304" t="s">
        <v>1335</v>
      </c>
      <c r="C978" s="56">
        <v>45770</v>
      </c>
      <c r="D978" s="43">
        <v>314</v>
      </c>
      <c r="F978" s="43" t="s">
        <v>1098</v>
      </c>
      <c r="G978" t="str">
        <f t="shared" si="15"/>
        <v>April</v>
      </c>
    </row>
    <row r="979" spans="1:7">
      <c r="A979" s="304" t="s">
        <v>816</v>
      </c>
      <c r="B979" s="304" t="s">
        <v>629</v>
      </c>
      <c r="C979" s="56">
        <v>45770</v>
      </c>
      <c r="F979" s="311" t="s">
        <v>1351</v>
      </c>
      <c r="G979" t="str">
        <f t="shared" si="15"/>
        <v>April</v>
      </c>
    </row>
    <row r="980" spans="1:7">
      <c r="A980" s="304" t="s">
        <v>826</v>
      </c>
      <c r="B980" s="304" t="s">
        <v>823</v>
      </c>
      <c r="C980" s="56">
        <v>45770</v>
      </c>
      <c r="F980" s="311" t="s">
        <v>1352</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1353</v>
      </c>
      <c r="G982" t="str">
        <f t="shared" si="15"/>
        <v>April</v>
      </c>
    </row>
    <row r="983" spans="1:7">
      <c r="A983" s="304" t="s">
        <v>883</v>
      </c>
      <c r="B983" s="304" t="s">
        <v>1026</v>
      </c>
      <c r="C983" s="56">
        <v>45770</v>
      </c>
      <c r="D983" s="43">
        <v>190</v>
      </c>
      <c r="F983" s="43" t="s">
        <v>1354</v>
      </c>
      <c r="G983" t="str">
        <f t="shared" si="15"/>
        <v>April</v>
      </c>
    </row>
    <row r="984" spans="1:7">
      <c r="A984" s="311" t="s">
        <v>767</v>
      </c>
      <c r="B984" s="311" t="s">
        <v>600</v>
      </c>
      <c r="C984" s="56">
        <v>45770</v>
      </c>
      <c r="F984" s="320" t="s">
        <v>1355</v>
      </c>
    </row>
    <row r="985" spans="1:7">
      <c r="A985" s="315" t="s">
        <v>874</v>
      </c>
      <c r="B985" s="315" t="s">
        <v>600</v>
      </c>
      <c r="C985" s="56">
        <v>45770</v>
      </c>
      <c r="F985" s="616" t="s">
        <v>1346</v>
      </c>
    </row>
    <row r="986" spans="1:7">
      <c r="A986" s="306" t="s">
        <v>660</v>
      </c>
      <c r="B986" s="317" t="s">
        <v>1026</v>
      </c>
      <c r="C986" s="56">
        <v>45770</v>
      </c>
      <c r="D986" s="43">
        <v>275</v>
      </c>
      <c r="F986" s="43" t="s">
        <v>1105</v>
      </c>
      <c r="G986" t="str">
        <f>TEXT(C986,"mmmm")</f>
        <v>April</v>
      </c>
    </row>
    <row r="987" spans="1:7">
      <c r="A987" s="320" t="s">
        <v>662</v>
      </c>
      <c r="B987" s="311" t="s">
        <v>137</v>
      </c>
      <c r="C987" s="56">
        <v>45770</v>
      </c>
      <c r="D987" s="43">
        <v>1190</v>
      </c>
      <c r="F987" s="43" t="s">
        <v>1356</v>
      </c>
      <c r="G987" t="str">
        <f>TEXT(C987,"mmmm")</f>
        <v>April</v>
      </c>
    </row>
    <row r="988" spans="1:7">
      <c r="A988" s="141" t="s">
        <v>797</v>
      </c>
      <c r="B988" s="141" t="s">
        <v>1332</v>
      </c>
      <c r="C988" s="56">
        <v>45771</v>
      </c>
      <c r="D988" s="155">
        <v>1378</v>
      </c>
      <c r="F988" s="43" t="s">
        <v>1357</v>
      </c>
      <c r="G988" t="str">
        <f t="shared" ref="G988:G1052" si="16">TEXT(C988,"mmmm")</f>
        <v>April</v>
      </c>
    </row>
    <row r="989" spans="1:7">
      <c r="A989" s="304" t="s">
        <v>810</v>
      </c>
      <c r="B989" s="304" t="s">
        <v>1335</v>
      </c>
      <c r="C989" s="56">
        <v>45771</v>
      </c>
      <c r="D989" s="43">
        <v>662</v>
      </c>
      <c r="F989" s="43" t="s">
        <v>1358</v>
      </c>
      <c r="G989" t="str">
        <f t="shared" si="16"/>
        <v>April</v>
      </c>
    </row>
    <row r="990" spans="1:7">
      <c r="A990" s="304" t="s">
        <v>816</v>
      </c>
      <c r="B990" s="304" t="s">
        <v>629</v>
      </c>
      <c r="C990" s="56">
        <v>45771</v>
      </c>
      <c r="D990" s="43">
        <v>988</v>
      </c>
      <c r="F990" s="78" t="s">
        <v>1359</v>
      </c>
      <c r="G990" t="str">
        <f t="shared" si="16"/>
        <v>April</v>
      </c>
    </row>
    <row r="991" spans="1:7">
      <c r="A991" s="304" t="s">
        <v>822</v>
      </c>
      <c r="B991" s="304" t="s">
        <v>823</v>
      </c>
      <c r="C991" s="56">
        <v>45771</v>
      </c>
      <c r="D991" s="43">
        <v>588</v>
      </c>
      <c r="F991" s="43" t="s">
        <v>1278</v>
      </c>
      <c r="G991" t="str">
        <f t="shared" si="16"/>
        <v>April</v>
      </c>
    </row>
    <row r="992" spans="1:7">
      <c r="A992" s="304" t="s">
        <v>826</v>
      </c>
      <c r="B992" s="304" t="s">
        <v>823</v>
      </c>
      <c r="C992" s="56">
        <v>45771</v>
      </c>
      <c r="F992" s="311" t="s">
        <v>1360</v>
      </c>
      <c r="G992" t="str">
        <f t="shared" si="16"/>
        <v>April</v>
      </c>
    </row>
    <row r="993" spans="1:7">
      <c r="A993" s="304" t="s">
        <v>828</v>
      </c>
      <c r="B993" s="304" t="s">
        <v>141</v>
      </c>
      <c r="C993" s="56">
        <v>45771</v>
      </c>
      <c r="D993" s="155">
        <v>1671</v>
      </c>
      <c r="F993" s="78" t="s">
        <v>1361</v>
      </c>
      <c r="G993" t="str">
        <f t="shared" si="16"/>
        <v>April</v>
      </c>
    </row>
    <row r="994" spans="1:7">
      <c r="A994" s="304" t="s">
        <v>830</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883</v>
      </c>
      <c r="B996" s="304" t="s">
        <v>1026</v>
      </c>
      <c r="C996" s="56">
        <v>45771</v>
      </c>
      <c r="D996" s="43">
        <v>48</v>
      </c>
      <c r="F996" s="43" t="s">
        <v>1354</v>
      </c>
      <c r="G996" t="str">
        <f t="shared" si="16"/>
        <v>April</v>
      </c>
    </row>
    <row r="997" spans="1:7">
      <c r="A997" s="315" t="s">
        <v>767</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662</v>
      </c>
      <c r="B1000" s="315" t="s">
        <v>137</v>
      </c>
      <c r="C1000" s="56">
        <v>45771</v>
      </c>
      <c r="D1000" s="43">
        <v>909</v>
      </c>
      <c r="F1000" s="43" t="s">
        <v>1110</v>
      </c>
      <c r="G1000" t="str">
        <f t="shared" si="16"/>
        <v>April</v>
      </c>
    </row>
    <row r="1001" spans="1:7">
      <c r="A1001" s="134" t="s">
        <v>797</v>
      </c>
      <c r="B1001" s="141" t="s">
        <v>1332</v>
      </c>
      <c r="C1001" s="56">
        <v>45772</v>
      </c>
      <c r="D1001" s="43">
        <v>726</v>
      </c>
      <c r="F1001" s="43" t="s">
        <v>1367</v>
      </c>
      <c r="G1001" t="str">
        <f t="shared" si="16"/>
        <v>April</v>
      </c>
    </row>
    <row r="1002" spans="1:7">
      <c r="A1002" s="324" t="s">
        <v>810</v>
      </c>
      <c r="B1002" s="304" t="s">
        <v>1335</v>
      </c>
      <c r="C1002" s="56">
        <v>45772</v>
      </c>
      <c r="D1002" s="43">
        <v>728</v>
      </c>
      <c r="F1002" s="43" t="s">
        <v>1368</v>
      </c>
      <c r="G1002" t="str">
        <f t="shared" si="16"/>
        <v>April</v>
      </c>
    </row>
    <row r="1003" spans="1:7">
      <c r="A1003" s="324" t="s">
        <v>814</v>
      </c>
      <c r="B1003" s="304" t="s">
        <v>1332</v>
      </c>
      <c r="C1003" s="56">
        <v>45772</v>
      </c>
      <c r="D1003" s="155">
        <v>1108</v>
      </c>
      <c r="F1003" s="43" t="s">
        <v>1369</v>
      </c>
      <c r="G1003" t="str">
        <f t="shared" si="16"/>
        <v>April</v>
      </c>
    </row>
    <row r="1004" spans="1:7">
      <c r="A1004" s="324" t="s">
        <v>816</v>
      </c>
      <c r="B1004" s="304" t="s">
        <v>629</v>
      </c>
      <c r="C1004" s="56">
        <v>45772</v>
      </c>
      <c r="F1004" s="311" t="s">
        <v>1370</v>
      </c>
      <c r="G1004" t="str">
        <f t="shared" si="16"/>
        <v>April</v>
      </c>
    </row>
    <row r="1005" spans="1:7">
      <c r="A1005" s="324" t="s">
        <v>822</v>
      </c>
      <c r="B1005" s="304" t="s">
        <v>823</v>
      </c>
      <c r="C1005" s="56">
        <v>45772</v>
      </c>
      <c r="D1005" s="43">
        <v>431</v>
      </c>
      <c r="F1005" s="43" t="s">
        <v>1371</v>
      </c>
      <c r="G1005" t="str">
        <f t="shared" si="16"/>
        <v>April</v>
      </c>
    </row>
    <row r="1006" spans="1:7">
      <c r="A1006" s="324" t="s">
        <v>820</v>
      </c>
      <c r="B1006" s="304" t="s">
        <v>141</v>
      </c>
      <c r="C1006" s="56">
        <v>45772</v>
      </c>
      <c r="D1006" s="43">
        <v>385</v>
      </c>
      <c r="F1006" s="43" t="s">
        <v>1123</v>
      </c>
      <c r="G1006" t="str">
        <f t="shared" si="16"/>
        <v>April</v>
      </c>
    </row>
    <row r="1007" spans="1:7">
      <c r="A1007" s="324" t="s">
        <v>830</v>
      </c>
      <c r="B1007" s="304" t="s">
        <v>629</v>
      </c>
      <c r="C1007" s="56">
        <v>45772</v>
      </c>
      <c r="F1007" s="311" t="s">
        <v>1370</v>
      </c>
      <c r="G1007" t="str">
        <f t="shared" si="16"/>
        <v>April</v>
      </c>
    </row>
    <row r="1008" spans="1:7">
      <c r="A1008" s="324" t="s">
        <v>834</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883</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746</v>
      </c>
      <c r="B1012" s="311" t="s">
        <v>137</v>
      </c>
      <c r="C1012" s="56">
        <v>45772</v>
      </c>
      <c r="F1012" s="311" t="s">
        <v>1374</v>
      </c>
      <c r="G1012" t="str">
        <f t="shared" si="16"/>
        <v>April</v>
      </c>
    </row>
    <row r="1013" spans="1:7">
      <c r="A1013" s="134" t="s">
        <v>797</v>
      </c>
      <c r="B1013" s="141" t="s">
        <v>1332</v>
      </c>
      <c r="C1013" s="56">
        <v>45775</v>
      </c>
      <c r="D1013" s="155">
        <v>1602</v>
      </c>
      <c r="F1013" s="43" t="s">
        <v>1375</v>
      </c>
      <c r="G1013" t="str">
        <f t="shared" si="16"/>
        <v>April</v>
      </c>
    </row>
    <row r="1014" spans="1:7">
      <c r="A1014" s="324" t="s">
        <v>810</v>
      </c>
      <c r="B1014" s="304" t="s">
        <v>1335</v>
      </c>
      <c r="C1014" s="56">
        <v>45775</v>
      </c>
      <c r="D1014" s="43">
        <v>961</v>
      </c>
      <c r="F1014" s="43" t="s">
        <v>1376</v>
      </c>
      <c r="G1014" t="str">
        <f t="shared" si="16"/>
        <v>April</v>
      </c>
    </row>
    <row r="1015" spans="1:7">
      <c r="A1015" s="324" t="s">
        <v>814</v>
      </c>
      <c r="B1015" s="304" t="s">
        <v>1332</v>
      </c>
      <c r="C1015" s="56">
        <v>45775</v>
      </c>
      <c r="F1015" s="311" t="s">
        <v>1351</v>
      </c>
      <c r="G1015" t="str">
        <f t="shared" si="16"/>
        <v>April</v>
      </c>
    </row>
    <row r="1016" spans="1:7">
      <c r="A1016" s="324" t="s">
        <v>816</v>
      </c>
      <c r="B1016" s="304" t="s">
        <v>1026</v>
      </c>
      <c r="C1016" s="56">
        <v>45775</v>
      </c>
      <c r="G1016" t="str">
        <f t="shared" si="16"/>
        <v>April</v>
      </c>
    </row>
    <row r="1017" spans="1:7">
      <c r="A1017" s="324" t="s">
        <v>820</v>
      </c>
      <c r="B1017" s="304" t="s">
        <v>141</v>
      </c>
      <c r="C1017" s="56">
        <v>45775</v>
      </c>
      <c r="D1017" s="43">
        <v>813</v>
      </c>
      <c r="F1017" s="43" t="s">
        <v>1377</v>
      </c>
      <c r="G1017" t="str">
        <f t="shared" si="16"/>
        <v>April</v>
      </c>
    </row>
    <row r="1018" spans="1:7">
      <c r="A1018" s="324" t="s">
        <v>822</v>
      </c>
      <c r="B1018" s="304" t="s">
        <v>823</v>
      </c>
      <c r="C1018" s="56">
        <v>45775</v>
      </c>
      <c r="D1018" s="155">
        <v>1936</v>
      </c>
      <c r="F1018" s="43" t="s">
        <v>1378</v>
      </c>
      <c r="G1018" t="str">
        <f t="shared" si="16"/>
        <v>April</v>
      </c>
    </row>
    <row r="1019" spans="1:7">
      <c r="A1019" s="325" t="s">
        <v>883</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797</v>
      </c>
      <c r="B1022" s="141" t="s">
        <v>1332</v>
      </c>
      <c r="C1022" s="56">
        <v>45776</v>
      </c>
      <c r="F1022" s="141" t="s">
        <v>1380</v>
      </c>
      <c r="G1022" t="str">
        <f t="shared" si="16"/>
        <v>April</v>
      </c>
    </row>
    <row r="1023" spans="1:7">
      <c r="A1023" s="324" t="s">
        <v>810</v>
      </c>
      <c r="B1023" s="304" t="s">
        <v>1335</v>
      </c>
      <c r="C1023" s="56">
        <v>45776</v>
      </c>
      <c r="D1023" s="43">
        <v>370</v>
      </c>
      <c r="F1023" s="43" t="s">
        <v>1381</v>
      </c>
      <c r="G1023" t="str">
        <f t="shared" si="16"/>
        <v>April</v>
      </c>
    </row>
    <row r="1024" spans="1:7">
      <c r="A1024" s="324" t="s">
        <v>814</v>
      </c>
      <c r="B1024" s="304" t="s">
        <v>1332</v>
      </c>
      <c r="C1024" s="56">
        <v>45776</v>
      </c>
      <c r="D1024" s="43">
        <v>440</v>
      </c>
      <c r="F1024" s="43" t="s">
        <v>1382</v>
      </c>
      <c r="G1024" t="str">
        <f t="shared" si="16"/>
        <v>April</v>
      </c>
    </row>
    <row r="1025" spans="1:7">
      <c r="A1025" s="324" t="s">
        <v>816</v>
      </c>
      <c r="B1025" s="304" t="s">
        <v>1026</v>
      </c>
      <c r="C1025" s="56">
        <v>45776</v>
      </c>
      <c r="D1025" s="43">
        <v>608</v>
      </c>
      <c r="F1025" s="43" t="s">
        <v>1383</v>
      </c>
      <c r="G1025" t="str">
        <f t="shared" si="16"/>
        <v>April</v>
      </c>
    </row>
    <row r="1026" spans="1:7">
      <c r="A1026" s="325" t="s">
        <v>820</v>
      </c>
      <c r="B1026" s="305" t="s">
        <v>141</v>
      </c>
      <c r="C1026" s="56">
        <v>45776</v>
      </c>
      <c r="D1026" s="155">
        <v>1597</v>
      </c>
      <c r="F1026" s="43" t="s">
        <v>1384</v>
      </c>
      <c r="G1026" t="str">
        <f t="shared" si="16"/>
        <v>April</v>
      </c>
    </row>
    <row r="1027" spans="1:7">
      <c r="A1027" s="134" t="s">
        <v>822</v>
      </c>
      <c r="B1027" s="141" t="s">
        <v>823</v>
      </c>
      <c r="C1027" s="56">
        <v>45776</v>
      </c>
      <c r="D1027" s="155">
        <v>2103</v>
      </c>
      <c r="F1027" s="43" t="s">
        <v>1385</v>
      </c>
      <c r="G1027" t="str">
        <f t="shared" si="16"/>
        <v>April</v>
      </c>
    </row>
    <row r="1028" spans="1:7">
      <c r="A1028" s="306" t="s">
        <v>660</v>
      </c>
      <c r="B1028" s="141" t="s">
        <v>1026</v>
      </c>
      <c r="C1028" s="56">
        <v>45776</v>
      </c>
      <c r="D1028" s="43">
        <v>242</v>
      </c>
      <c r="G1028" t="str">
        <f t="shared" si="16"/>
        <v>April</v>
      </c>
    </row>
    <row r="1029" spans="1:7">
      <c r="A1029" s="306" t="s">
        <v>658</v>
      </c>
      <c r="B1029" s="305" t="s">
        <v>137</v>
      </c>
      <c r="C1029" s="56">
        <v>45776</v>
      </c>
      <c r="D1029" s="155">
        <v>1520</v>
      </c>
      <c r="F1029" s="43" t="s">
        <v>1103</v>
      </c>
      <c r="G1029" t="str">
        <f t="shared" si="16"/>
        <v>April</v>
      </c>
    </row>
    <row r="1030" spans="1:7">
      <c r="A1030" s="311" t="s">
        <v>662</v>
      </c>
      <c r="B1030" s="311" t="s">
        <v>137</v>
      </c>
      <c r="C1030" s="56">
        <v>45776</v>
      </c>
      <c r="D1030" s="43">
        <v>470</v>
      </c>
      <c r="F1030" s="43" t="s">
        <v>1098</v>
      </c>
      <c r="G1030" t="str">
        <f t="shared" si="16"/>
        <v>April</v>
      </c>
    </row>
    <row r="1031" spans="1:7">
      <c r="A1031" s="247" t="s">
        <v>704</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814</v>
      </c>
      <c r="B1033" s="304" t="s">
        <v>1332</v>
      </c>
      <c r="C1033" s="56">
        <v>45777</v>
      </c>
      <c r="D1033" s="155">
        <v>1175</v>
      </c>
      <c r="F1033" s="43" t="s">
        <v>1386</v>
      </c>
      <c r="G1033" t="str">
        <f t="shared" si="16"/>
        <v>April</v>
      </c>
    </row>
    <row r="1034" spans="1:7">
      <c r="A1034" s="324" t="s">
        <v>816</v>
      </c>
      <c r="B1034" s="304" t="s">
        <v>1026</v>
      </c>
      <c r="C1034" s="56">
        <v>45777</v>
      </c>
      <c r="D1034" s="43">
        <v>609</v>
      </c>
      <c r="F1034" s="43" t="s">
        <v>1387</v>
      </c>
      <c r="G1034" t="str">
        <f t="shared" si="16"/>
        <v>April</v>
      </c>
    </row>
    <row r="1035" spans="1:7">
      <c r="A1035" s="325" t="s">
        <v>820</v>
      </c>
      <c r="B1035" s="305" t="s">
        <v>141</v>
      </c>
      <c r="C1035" s="56">
        <v>45777</v>
      </c>
      <c r="D1035" s="155">
        <v>1632</v>
      </c>
      <c r="F1035" s="43" t="s">
        <v>1388</v>
      </c>
      <c r="G1035" t="str">
        <f t="shared" si="16"/>
        <v>April</v>
      </c>
    </row>
    <row r="1036" spans="1:7">
      <c r="A1036" s="134" t="s">
        <v>822</v>
      </c>
      <c r="B1036" s="141" t="s">
        <v>823</v>
      </c>
      <c r="C1036" s="56">
        <v>45777</v>
      </c>
      <c r="D1036" s="155">
        <v>1498</v>
      </c>
      <c r="F1036" s="43" t="s">
        <v>1389</v>
      </c>
      <c r="G1036" t="str">
        <f t="shared" si="16"/>
        <v>April</v>
      </c>
    </row>
    <row r="1037" spans="1:7">
      <c r="A1037" s="324" t="s">
        <v>830</v>
      </c>
      <c r="B1037" s="304" t="s">
        <v>596</v>
      </c>
      <c r="C1037" s="56">
        <v>45777</v>
      </c>
      <c r="D1037" s="43">
        <v>594</v>
      </c>
      <c r="F1037" s="43" t="s">
        <v>1390</v>
      </c>
      <c r="G1037" t="str">
        <f t="shared" si="16"/>
        <v>April</v>
      </c>
    </row>
    <row r="1038" spans="1:7">
      <c r="A1038" s="325" t="s">
        <v>883</v>
      </c>
      <c r="B1038" s="305" t="s">
        <v>1332</v>
      </c>
      <c r="C1038" s="336">
        <v>45777</v>
      </c>
      <c r="D1038" s="115"/>
      <c r="E1038" s="201"/>
      <c r="F1038" s="337" t="s">
        <v>1391</v>
      </c>
      <c r="G1038" t="str">
        <f t="shared" si="16"/>
        <v>April</v>
      </c>
    </row>
    <row r="1039" spans="1:7">
      <c r="A1039" s="141" t="s">
        <v>660</v>
      </c>
      <c r="B1039" s="141" t="s">
        <v>1026</v>
      </c>
      <c r="C1039" s="56">
        <v>45777</v>
      </c>
      <c r="D1039" s="43">
        <v>310</v>
      </c>
      <c r="E1039" s="43"/>
      <c r="G1039" t="str">
        <f t="shared" si="16"/>
        <v>April</v>
      </c>
    </row>
    <row r="1040" spans="1:7">
      <c r="A1040" s="141" t="s">
        <v>658</v>
      </c>
      <c r="B1040" s="141" t="s">
        <v>137</v>
      </c>
      <c r="C1040" s="56">
        <v>45777</v>
      </c>
      <c r="D1040" s="155">
        <v>1216</v>
      </c>
      <c r="E1040" s="43"/>
      <c r="F1040" s="43" t="s">
        <v>1119</v>
      </c>
      <c r="G1040" t="str">
        <f t="shared" si="16"/>
        <v>April</v>
      </c>
    </row>
    <row r="1041" spans="1:7">
      <c r="A1041" s="141" t="s">
        <v>704</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797</v>
      </c>
      <c r="B1043" s="141" t="s">
        <v>1332</v>
      </c>
      <c r="C1043" s="56">
        <v>45778</v>
      </c>
      <c r="E1043" s="43"/>
      <c r="F1043" s="141" t="s">
        <v>1391</v>
      </c>
    </row>
    <row r="1044" spans="1:7">
      <c r="A1044" s="134" t="s">
        <v>814</v>
      </c>
      <c r="B1044" s="141" t="s">
        <v>1332</v>
      </c>
      <c r="C1044" s="56">
        <v>45778</v>
      </c>
      <c r="D1044" s="43">
        <v>822</v>
      </c>
      <c r="E1044" s="43"/>
      <c r="F1044" s="43" t="s">
        <v>1393</v>
      </c>
      <c r="G1044" t="str">
        <f t="shared" si="16"/>
        <v>May</v>
      </c>
    </row>
    <row r="1045" spans="1:7">
      <c r="A1045" s="134" t="s">
        <v>816</v>
      </c>
      <c r="B1045" s="141" t="s">
        <v>1026</v>
      </c>
      <c r="C1045" s="56">
        <v>45778</v>
      </c>
      <c r="D1045" s="43">
        <v>614</v>
      </c>
      <c r="E1045" s="43"/>
      <c r="F1045" s="43" t="s">
        <v>1394</v>
      </c>
      <c r="G1045" t="str">
        <f t="shared" si="16"/>
        <v>May</v>
      </c>
    </row>
    <row r="1046" spans="1:7">
      <c r="A1046" s="134" t="s">
        <v>820</v>
      </c>
      <c r="B1046" s="141" t="s">
        <v>141</v>
      </c>
      <c r="C1046" s="56">
        <v>45778</v>
      </c>
      <c r="D1046" s="43">
        <v>692</v>
      </c>
      <c r="E1046" s="43"/>
      <c r="F1046" s="43" t="s">
        <v>1395</v>
      </c>
      <c r="G1046" t="str">
        <f t="shared" si="16"/>
        <v>May</v>
      </c>
    </row>
    <row r="1047" spans="1:7">
      <c r="A1047" s="134" t="s">
        <v>822</v>
      </c>
      <c r="B1047" s="141" t="s">
        <v>823</v>
      </c>
      <c r="C1047" s="56">
        <v>45778</v>
      </c>
      <c r="D1047" s="43">
        <v>229</v>
      </c>
      <c r="E1047" s="43"/>
      <c r="F1047" s="43" t="s">
        <v>1396</v>
      </c>
      <c r="G1047" t="str">
        <f t="shared" si="16"/>
        <v>May</v>
      </c>
    </row>
    <row r="1048" spans="1:7">
      <c r="A1048" s="134" t="s">
        <v>830</v>
      </c>
      <c r="B1048" s="141" t="s">
        <v>1332</v>
      </c>
      <c r="C1048" s="56">
        <v>45778</v>
      </c>
      <c r="E1048" s="43"/>
      <c r="F1048" s="141" t="s">
        <v>1391</v>
      </c>
      <c r="G1048" t="str">
        <f t="shared" si="16"/>
        <v>May</v>
      </c>
    </row>
    <row r="1049" spans="1:7">
      <c r="A1049" s="134" t="s">
        <v>883</v>
      </c>
      <c r="B1049" s="141" t="s">
        <v>1332</v>
      </c>
      <c r="C1049" s="56">
        <v>45778</v>
      </c>
      <c r="E1049" s="43"/>
      <c r="F1049" s="141" t="s">
        <v>1391</v>
      </c>
      <c r="G1049" t="str">
        <f t="shared" si="16"/>
        <v>May</v>
      </c>
    </row>
    <row r="1050" spans="1:7">
      <c r="A1050" s="141" t="s">
        <v>660</v>
      </c>
      <c r="B1050" s="141" t="s">
        <v>1026</v>
      </c>
      <c r="C1050" s="56">
        <v>45778</v>
      </c>
      <c r="D1050" s="43">
        <v>302</v>
      </c>
      <c r="E1050" s="43"/>
      <c r="G1050" t="str">
        <f t="shared" si="16"/>
        <v>May</v>
      </c>
    </row>
    <row r="1051" spans="1:7">
      <c r="A1051" s="154" t="s">
        <v>658</v>
      </c>
      <c r="B1051" s="141" t="s">
        <v>137</v>
      </c>
      <c r="C1051" s="56">
        <v>45778</v>
      </c>
      <c r="D1051" s="155">
        <v>1098</v>
      </c>
      <c r="E1051" s="43"/>
      <c r="F1051" s="43" t="s">
        <v>1397</v>
      </c>
      <c r="G1051" t="str">
        <f t="shared" si="16"/>
        <v>May</v>
      </c>
    </row>
    <row r="1052" spans="1:7">
      <c r="A1052" s="154" t="s">
        <v>704</v>
      </c>
      <c r="B1052" s="141" t="s">
        <v>137</v>
      </c>
      <c r="C1052" s="56">
        <v>45778</v>
      </c>
      <c r="D1052" s="155">
        <v>1031</v>
      </c>
      <c r="E1052" s="43"/>
      <c r="F1052" s="43" t="s">
        <v>1398</v>
      </c>
      <c r="G1052" t="str">
        <f t="shared" si="16"/>
        <v>May</v>
      </c>
    </row>
    <row r="1053" spans="1:7">
      <c r="A1053" s="134" t="s">
        <v>814</v>
      </c>
      <c r="B1053" s="141" t="s">
        <v>1332</v>
      </c>
      <c r="C1053" s="344">
        <v>45779</v>
      </c>
      <c r="D1053" s="350">
        <v>1020</v>
      </c>
      <c r="E1053" s="253"/>
      <c r="F1053" s="169" t="s">
        <v>1399</v>
      </c>
      <c r="G1053" t="str">
        <f t="shared" ref="G1053:G1069" si="17">TEXT(C1053,"mmmm")</f>
        <v>May</v>
      </c>
    </row>
    <row r="1054" spans="1:7">
      <c r="A1054" s="324" t="s">
        <v>816</v>
      </c>
      <c r="B1054" s="304" t="s">
        <v>1026</v>
      </c>
      <c r="C1054" s="344">
        <v>45779</v>
      </c>
      <c r="F1054" s="311" t="s">
        <v>1391</v>
      </c>
      <c r="G1054" t="str">
        <f t="shared" si="17"/>
        <v>May</v>
      </c>
    </row>
    <row r="1055" spans="1:7">
      <c r="A1055" s="324" t="s">
        <v>883</v>
      </c>
      <c r="B1055" s="304" t="s">
        <v>1332</v>
      </c>
      <c r="C1055" s="344">
        <v>45779</v>
      </c>
      <c r="F1055" s="311" t="s">
        <v>1391</v>
      </c>
      <c r="G1055" t="str">
        <f t="shared" si="17"/>
        <v>May</v>
      </c>
    </row>
    <row r="1056" spans="1:7">
      <c r="A1056" s="324" t="s">
        <v>876</v>
      </c>
      <c r="B1056" s="304" t="s">
        <v>141</v>
      </c>
      <c r="C1056" s="344">
        <v>45779</v>
      </c>
      <c r="D1056" s="155">
        <v>1367</v>
      </c>
      <c r="F1056" s="43" t="s">
        <v>1400</v>
      </c>
      <c r="G1056" t="str">
        <f t="shared" si="17"/>
        <v>May</v>
      </c>
    </row>
    <row r="1057" spans="1:7">
      <c r="A1057" s="304" t="s">
        <v>808</v>
      </c>
      <c r="B1057" s="304" t="s">
        <v>1335</v>
      </c>
      <c r="C1057" s="344">
        <v>45779</v>
      </c>
      <c r="F1057" s="141" t="s">
        <v>1169</v>
      </c>
      <c r="G1057" t="str">
        <f t="shared" si="17"/>
        <v>May</v>
      </c>
    </row>
    <row r="1058" spans="1:7">
      <c r="A1058" s="324" t="s">
        <v>822</v>
      </c>
      <c r="B1058" s="304" t="s">
        <v>823</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816</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878</v>
      </c>
      <c r="B1063" s="304" t="s">
        <v>1026</v>
      </c>
      <c r="C1063" s="56">
        <v>45782</v>
      </c>
      <c r="E1063" s="139">
        <v>636</v>
      </c>
      <c r="F1063" s="311" t="s">
        <v>1404</v>
      </c>
      <c r="G1063" t="str">
        <f t="shared" si="17"/>
        <v>May</v>
      </c>
    </row>
    <row r="1064" spans="1:7">
      <c r="A1064" s="324" t="s">
        <v>808</v>
      </c>
      <c r="B1064" s="304" t="s">
        <v>596</v>
      </c>
      <c r="C1064" s="56">
        <v>45782</v>
      </c>
      <c r="F1064" s="154" t="s">
        <v>1405</v>
      </c>
      <c r="G1064" t="str">
        <f t="shared" si="17"/>
        <v>May</v>
      </c>
    </row>
    <row r="1065" spans="1:7">
      <c r="A1065" s="324" t="s">
        <v>822</v>
      </c>
      <c r="B1065" s="304" t="s">
        <v>823</v>
      </c>
      <c r="C1065" s="56">
        <v>45782</v>
      </c>
      <c r="F1065" s="345" t="s">
        <v>1406</v>
      </c>
      <c r="G1065" t="str">
        <f t="shared" si="17"/>
        <v>May</v>
      </c>
    </row>
    <row r="1066" spans="1:7">
      <c r="A1066" s="306" t="s">
        <v>660</v>
      </c>
      <c r="B1066" s="318" t="s">
        <v>1026</v>
      </c>
      <c r="C1066" s="56">
        <v>45782</v>
      </c>
      <c r="D1066" s="43">
        <v>610</v>
      </c>
      <c r="F1066" s="43" t="s">
        <v>1098</v>
      </c>
      <c r="G1066" t="str">
        <f t="shared" si="17"/>
        <v>May</v>
      </c>
    </row>
    <row r="1067" spans="1:7">
      <c r="A1067" s="316" t="s">
        <v>704</v>
      </c>
      <c r="B1067" s="348" t="s">
        <v>137</v>
      </c>
      <c r="C1067" s="56">
        <v>45782</v>
      </c>
      <c r="D1067" s="155">
        <v>1053</v>
      </c>
      <c r="F1067" s="43" t="s">
        <v>1407</v>
      </c>
      <c r="G1067" t="str">
        <f t="shared" si="17"/>
        <v>May</v>
      </c>
    </row>
    <row r="1068" spans="1:7">
      <c r="A1068" s="154" t="s">
        <v>706</v>
      </c>
      <c r="B1068" s="318" t="s">
        <v>137</v>
      </c>
      <c r="C1068" s="56">
        <v>45782</v>
      </c>
      <c r="D1068" s="43">
        <v>575</v>
      </c>
      <c r="F1068" s="43" t="s">
        <v>1408</v>
      </c>
      <c r="G1068" t="str">
        <f t="shared" si="17"/>
        <v>May</v>
      </c>
    </row>
    <row r="1069" spans="1:7">
      <c r="A1069" s="345" t="s">
        <v>662</v>
      </c>
      <c r="B1069" s="349" t="s">
        <v>137</v>
      </c>
      <c r="C1069" s="56">
        <v>45782</v>
      </c>
      <c r="F1069" s="141" t="s">
        <v>1409</v>
      </c>
      <c r="G1069" t="str">
        <f t="shared" si="17"/>
        <v>May</v>
      </c>
    </row>
    <row r="1070" spans="1:7">
      <c r="A1070" s="134" t="s">
        <v>816</v>
      </c>
      <c r="B1070" s="141" t="s">
        <v>1026</v>
      </c>
      <c r="C1070" s="56">
        <v>45783</v>
      </c>
      <c r="D1070" s="43">
        <v>158</v>
      </c>
      <c r="F1070" s="43" t="s">
        <v>1170</v>
      </c>
      <c r="G1070" t="str">
        <f t="shared" ref="G1070:G1080" si="18">TEXT(C1070,"mmmm")</f>
        <v>May</v>
      </c>
    </row>
    <row r="1071" spans="1:7">
      <c r="A1071" s="324" t="s">
        <v>883</v>
      </c>
      <c r="B1071" s="304" t="s">
        <v>1026</v>
      </c>
      <c r="C1071" s="56">
        <v>45783</v>
      </c>
      <c r="D1071" s="43">
        <v>155</v>
      </c>
      <c r="F1071" s="43" t="s">
        <v>1226</v>
      </c>
      <c r="G1071" t="str">
        <f t="shared" si="18"/>
        <v>May</v>
      </c>
    </row>
    <row r="1072" spans="1:7">
      <c r="A1072" s="324" t="s">
        <v>883</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876</v>
      </c>
      <c r="B1075" s="304" t="s">
        <v>141</v>
      </c>
      <c r="C1075" s="56">
        <v>45783</v>
      </c>
      <c r="D1075" s="43">
        <v>424</v>
      </c>
      <c r="F1075" s="43" t="s">
        <v>1412</v>
      </c>
      <c r="G1075" t="str">
        <f t="shared" si="18"/>
        <v>May</v>
      </c>
    </row>
    <row r="1076" spans="1:7">
      <c r="A1076" s="324" t="s">
        <v>822</v>
      </c>
      <c r="B1076" s="304" t="s">
        <v>823</v>
      </c>
      <c r="C1076" s="56">
        <v>45783</v>
      </c>
      <c r="F1076" s="154" t="s">
        <v>1413</v>
      </c>
      <c r="G1076" t="str">
        <f t="shared" si="18"/>
        <v>May</v>
      </c>
    </row>
    <row r="1077" spans="1:7">
      <c r="A1077" s="306" t="s">
        <v>660</v>
      </c>
      <c r="B1077" s="318" t="s">
        <v>1026</v>
      </c>
      <c r="C1077" s="56">
        <v>45783</v>
      </c>
      <c r="D1077" s="43">
        <v>451</v>
      </c>
      <c r="G1077" t="str">
        <f t="shared" si="18"/>
        <v>May</v>
      </c>
    </row>
    <row r="1078" spans="1:7">
      <c r="A1078" s="316" t="s">
        <v>704</v>
      </c>
      <c r="B1078" s="348" t="s">
        <v>137</v>
      </c>
      <c r="C1078" s="56">
        <v>45783</v>
      </c>
      <c r="D1078" s="43">
        <v>812</v>
      </c>
      <c r="F1078" s="43" t="s">
        <v>1414</v>
      </c>
      <c r="G1078" t="str">
        <f t="shared" si="18"/>
        <v>May</v>
      </c>
    </row>
    <row r="1079" spans="1:7">
      <c r="A1079" s="154" t="s">
        <v>706</v>
      </c>
      <c r="B1079" s="318" t="s">
        <v>137</v>
      </c>
      <c r="C1079" s="56">
        <v>45783</v>
      </c>
      <c r="D1079" s="155">
        <v>1847</v>
      </c>
      <c r="F1079" s="43" t="s">
        <v>1415</v>
      </c>
      <c r="G1079" t="str">
        <f t="shared" si="18"/>
        <v>May</v>
      </c>
    </row>
    <row r="1080" spans="1:7">
      <c r="A1080" s="345" t="s">
        <v>702</v>
      </c>
      <c r="B1080" s="349" t="s">
        <v>137</v>
      </c>
      <c r="C1080" s="56">
        <v>45783</v>
      </c>
      <c r="D1080" s="43">
        <v>565</v>
      </c>
      <c r="F1080" s="43" t="s">
        <v>1108</v>
      </c>
      <c r="G1080" t="str">
        <f t="shared" si="18"/>
        <v>May</v>
      </c>
    </row>
    <row r="1081" spans="1:7">
      <c r="A1081" s="134" t="s">
        <v>816</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822</v>
      </c>
      <c r="B1086" s="304" t="s">
        <v>823</v>
      </c>
      <c r="C1086" s="56">
        <v>45784</v>
      </c>
      <c r="F1086" s="154" t="s">
        <v>1413</v>
      </c>
      <c r="G1086" t="str">
        <f>TEXT(C1086,"mmmm")</f>
        <v>May</v>
      </c>
    </row>
    <row r="1087" spans="1:7">
      <c r="A1087" s="325" t="s">
        <v>812</v>
      </c>
      <c r="B1087" s="318" t="s">
        <v>1026</v>
      </c>
      <c r="C1087" s="56">
        <v>45784</v>
      </c>
      <c r="F1087" s="141" t="s">
        <v>1169</v>
      </c>
    </row>
    <row r="1088" spans="1:7">
      <c r="A1088" s="306" t="s">
        <v>660</v>
      </c>
      <c r="B1088" s="318" t="s">
        <v>1026</v>
      </c>
      <c r="C1088" s="56">
        <v>45784</v>
      </c>
      <c r="D1088" s="43">
        <v>802</v>
      </c>
      <c r="F1088" s="43" t="s">
        <v>1141</v>
      </c>
      <c r="G1088" t="str">
        <f>TEXT(C1088,"mmmm")</f>
        <v>May</v>
      </c>
    </row>
    <row r="1089" spans="1:7">
      <c r="A1089" s="154" t="s">
        <v>706</v>
      </c>
      <c r="B1089" s="349" t="s">
        <v>137</v>
      </c>
      <c r="C1089" s="56">
        <v>45784</v>
      </c>
      <c r="D1089" s="155">
        <v>1052</v>
      </c>
      <c r="F1089" s="43" t="s">
        <v>1419</v>
      </c>
      <c r="G1089" t="str">
        <f>TEXT(C1089,"mmmm")</f>
        <v>May</v>
      </c>
    </row>
    <row r="1090" spans="1:7">
      <c r="A1090" s="345" t="s">
        <v>702</v>
      </c>
      <c r="B1090" s="349" t="s">
        <v>137</v>
      </c>
      <c r="C1090" s="56">
        <v>45784</v>
      </c>
      <c r="D1090" s="155">
        <v>1935</v>
      </c>
      <c r="F1090" s="43" t="s">
        <v>1420</v>
      </c>
      <c r="G1090" t="str">
        <f>TEXT(C1090,"mmmm")</f>
        <v>May</v>
      </c>
    </row>
    <row r="1091" spans="1:7">
      <c r="A1091" s="134" t="s">
        <v>816</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812</v>
      </c>
      <c r="B1097" s="304" t="s">
        <v>1026</v>
      </c>
      <c r="C1097" s="56">
        <v>45785</v>
      </c>
      <c r="F1097" s="141" t="s">
        <v>1169</v>
      </c>
      <c r="G1097" t="str">
        <f t="shared" si="19"/>
        <v>May</v>
      </c>
    </row>
    <row r="1098" spans="1:7">
      <c r="A1098" s="324" t="s">
        <v>822</v>
      </c>
      <c r="B1098" s="304" t="s">
        <v>823</v>
      </c>
      <c r="C1098" s="56">
        <v>45785</v>
      </c>
      <c r="F1098" s="345" t="s">
        <v>1413</v>
      </c>
      <c r="G1098" t="str">
        <f t="shared" si="19"/>
        <v>May</v>
      </c>
    </row>
    <row r="1099" spans="1:7">
      <c r="A1099" s="141" t="s">
        <v>660</v>
      </c>
      <c r="B1099" s="141" t="s">
        <v>1026</v>
      </c>
      <c r="C1099" s="56">
        <v>45785</v>
      </c>
      <c r="D1099" s="43">
        <v>75</v>
      </c>
      <c r="F1099" s="43" t="s">
        <v>1106</v>
      </c>
      <c r="G1099" t="str">
        <f t="shared" si="19"/>
        <v>May</v>
      </c>
    </row>
    <row r="1100" spans="1:7">
      <c r="A1100" s="345" t="s">
        <v>702</v>
      </c>
      <c r="B1100" s="304" t="s">
        <v>137</v>
      </c>
      <c r="C1100" s="56">
        <v>45785</v>
      </c>
      <c r="D1100" s="155">
        <v>1483</v>
      </c>
      <c r="F1100" s="43" t="s">
        <v>1425</v>
      </c>
      <c r="G1100" t="str">
        <f t="shared" si="19"/>
        <v>May</v>
      </c>
    </row>
    <row r="1101" spans="1:7">
      <c r="A1101" s="345" t="s">
        <v>706</v>
      </c>
      <c r="B1101" s="304" t="s">
        <v>137</v>
      </c>
      <c r="C1101" s="56">
        <v>45785</v>
      </c>
      <c r="D1101" s="155">
        <v>1846</v>
      </c>
      <c r="F1101" s="43" t="s">
        <v>1426</v>
      </c>
      <c r="G1101" t="str">
        <f t="shared" si="19"/>
        <v>May</v>
      </c>
    </row>
    <row r="1102" spans="1:7">
      <c r="A1102" s="345" t="s">
        <v>797</v>
      </c>
      <c r="B1102" s="304" t="s">
        <v>1332</v>
      </c>
      <c r="C1102" s="56">
        <v>45786</v>
      </c>
      <c r="D1102" s="155"/>
      <c r="F1102" s="311" t="s">
        <v>1427</v>
      </c>
      <c r="G1102" t="str">
        <f t="shared" ref="G1102:G1119" si="20">TEXT(C1102,"mmmm")</f>
        <v>May</v>
      </c>
    </row>
    <row r="1103" spans="1:7">
      <c r="A1103" s="134" t="s">
        <v>816</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660</v>
      </c>
      <c r="B1108" s="141" t="s">
        <v>1026</v>
      </c>
      <c r="C1108" s="56">
        <v>45786</v>
      </c>
      <c r="F1108" s="154" t="s">
        <v>1169</v>
      </c>
      <c r="G1108" t="str">
        <f t="shared" si="20"/>
        <v>May</v>
      </c>
    </row>
    <row r="1109" spans="1:7">
      <c r="A1109" s="345" t="s">
        <v>704</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883</v>
      </c>
      <c r="B1114" s="304" t="s">
        <v>1026</v>
      </c>
      <c r="C1114" s="56">
        <v>45790</v>
      </c>
      <c r="F1114" s="43" t="s">
        <v>1434</v>
      </c>
      <c r="G1114" t="str">
        <f t="shared" si="20"/>
        <v>May</v>
      </c>
    </row>
    <row r="1115" spans="1:7">
      <c r="A1115" s="617" t="s">
        <v>883</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660</v>
      </c>
      <c r="B1117" s="141" t="s">
        <v>1026</v>
      </c>
      <c r="C1117" s="56">
        <v>45790</v>
      </c>
      <c r="D1117" s="43">
        <v>251</v>
      </c>
      <c r="F1117" s="43" t="s">
        <v>1141</v>
      </c>
      <c r="G1117" t="str">
        <f t="shared" si="20"/>
        <v>May</v>
      </c>
    </row>
    <row r="1118" spans="1:7">
      <c r="A1118" s="345" t="s">
        <v>702</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660</v>
      </c>
      <c r="B1124" s="141" t="s">
        <v>1026</v>
      </c>
      <c r="C1124" s="56">
        <v>45791</v>
      </c>
      <c r="D1124" s="43">
        <v>424</v>
      </c>
      <c r="F1124" s="43" t="s">
        <v>1141</v>
      </c>
      <c r="G1124" t="str">
        <f t="shared" si="21"/>
        <v>May</v>
      </c>
    </row>
    <row r="1125" spans="1:7">
      <c r="A1125" s="345" t="s">
        <v>723</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830</v>
      </c>
      <c r="B1130" s="311" t="s">
        <v>1026</v>
      </c>
      <c r="C1130" s="56">
        <v>45792</v>
      </c>
      <c r="D1130" s="43">
        <v>85</v>
      </c>
      <c r="F1130" s="43" t="s">
        <v>1290</v>
      </c>
      <c r="G1130" t="str">
        <f t="shared" si="21"/>
        <v>May</v>
      </c>
    </row>
    <row r="1131" spans="1:7">
      <c r="A1131" s="346" t="s">
        <v>826</v>
      </c>
      <c r="B1131" s="346" t="s">
        <v>1440</v>
      </c>
      <c r="C1131" s="56">
        <v>45792</v>
      </c>
      <c r="D1131" s="155">
        <v>1342</v>
      </c>
      <c r="F1131" s="43" t="s">
        <v>1441</v>
      </c>
      <c r="G1131" t="str">
        <f t="shared" si="21"/>
        <v>May</v>
      </c>
    </row>
    <row r="1132" spans="1:7">
      <c r="A1132" s="141" t="s">
        <v>660</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826</v>
      </c>
      <c r="B1138" s="304" t="s">
        <v>823</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660</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767</v>
      </c>
      <c r="B1142" s="141" t="s">
        <v>1026</v>
      </c>
      <c r="C1142" s="56">
        <v>45796</v>
      </c>
      <c r="D1142" s="43">
        <v>301</v>
      </c>
      <c r="F1142" s="351" t="s">
        <v>1444</v>
      </c>
      <c r="G1142" t="str">
        <f t="shared" si="21"/>
        <v>May</v>
      </c>
    </row>
    <row r="1143" spans="1:7">
      <c r="A1143" s="304" t="s">
        <v>820</v>
      </c>
      <c r="B1143" s="304" t="s">
        <v>141</v>
      </c>
      <c r="C1143" s="56">
        <v>45796</v>
      </c>
      <c r="F1143" s="141" t="s">
        <v>1447</v>
      </c>
      <c r="G1143" t="str">
        <f t="shared" si="21"/>
        <v>May</v>
      </c>
    </row>
    <row r="1144" spans="1:7">
      <c r="A1144" s="304" t="s">
        <v>826</v>
      </c>
      <c r="B1144" s="304" t="s">
        <v>823</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867</v>
      </c>
      <c r="B1146" s="304" t="s">
        <v>1026</v>
      </c>
      <c r="C1146" s="56">
        <v>45796</v>
      </c>
      <c r="D1146" s="43">
        <v>54</v>
      </c>
      <c r="F1146" s="43" t="s">
        <v>1450</v>
      </c>
      <c r="G1146" t="str">
        <f t="shared" si="21"/>
        <v>May</v>
      </c>
    </row>
    <row r="1147" spans="1:7">
      <c r="A1147" s="141" t="s">
        <v>660</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867</v>
      </c>
      <c r="B1153" s="304" t="s">
        <v>1026</v>
      </c>
      <c r="C1153" s="56">
        <v>45797</v>
      </c>
      <c r="D1153" s="43">
        <v>101</v>
      </c>
      <c r="G1153" t="str">
        <f t="shared" si="21"/>
        <v>May</v>
      </c>
    </row>
    <row r="1154" spans="1:7">
      <c r="A1154" s="324" t="s">
        <v>753</v>
      </c>
      <c r="B1154" s="304" t="s">
        <v>1372</v>
      </c>
      <c r="C1154" s="56">
        <v>45797</v>
      </c>
      <c r="F1154" s="351" t="s">
        <v>1352</v>
      </c>
      <c r="G1154" t="str">
        <f t="shared" si="21"/>
        <v>May</v>
      </c>
    </row>
    <row r="1155" spans="1:7">
      <c r="A1155" s="304" t="s">
        <v>767</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660</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753</v>
      </c>
      <c r="B1159" s="141" t="s">
        <v>141</v>
      </c>
      <c r="C1159" s="56">
        <v>45798</v>
      </c>
      <c r="D1159" s="43">
        <v>999</v>
      </c>
      <c r="F1159" s="43" t="s">
        <v>1453</v>
      </c>
      <c r="G1159" t="str">
        <f t="shared" si="21"/>
        <v>May</v>
      </c>
    </row>
    <row r="1160" spans="1:7">
      <c r="A1160" s="304" t="s">
        <v>830</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660</v>
      </c>
      <c r="B1163" s="141" t="s">
        <v>1026</v>
      </c>
      <c r="C1163" s="56">
        <v>45798</v>
      </c>
      <c r="F1163" s="43" t="s">
        <v>1340</v>
      </c>
      <c r="G1163" t="str">
        <f t="shared" si="21"/>
        <v>May</v>
      </c>
    </row>
    <row r="1164" spans="1:7">
      <c r="A1164" s="345" t="s">
        <v>723</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823</v>
      </c>
      <c r="C1169" s="56">
        <v>45799</v>
      </c>
      <c r="F1169" s="141" t="s">
        <v>1458</v>
      </c>
      <c r="G1169" t="str">
        <f t="shared" si="21"/>
        <v>May</v>
      </c>
    </row>
    <row r="1170" spans="1:7">
      <c r="A1170" s="141" t="s">
        <v>660</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753</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660</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883</v>
      </c>
      <c r="B1181" s="304" t="s">
        <v>1464</v>
      </c>
      <c r="C1181" s="56">
        <v>45804</v>
      </c>
      <c r="D1181" s="43">
        <v>100</v>
      </c>
      <c r="G1181" t="str">
        <f t="shared" si="21"/>
        <v>May</v>
      </c>
    </row>
    <row r="1182" spans="1:7">
      <c r="A1182" s="141" t="s">
        <v>660</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660</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660</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876</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753</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901</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723</v>
      </c>
      <c r="B1214" s="307" t="s">
        <v>600</v>
      </c>
      <c r="C1214" s="56">
        <v>45811</v>
      </c>
      <c r="F1214" s="141" t="s">
        <v>1169</v>
      </c>
      <c r="G1214" t="s">
        <v>1473</v>
      </c>
    </row>
    <row r="1215" spans="1:7">
      <c r="A1215" s="141" t="s">
        <v>632</v>
      </c>
      <c r="B1215" s="141" t="s">
        <v>600</v>
      </c>
      <c r="C1215" s="56">
        <v>45811</v>
      </c>
      <c r="D1215" s="43">
        <v>948</v>
      </c>
      <c r="G1215" t="s">
        <v>1473</v>
      </c>
    </row>
    <row r="1216" spans="1:7">
      <c r="A1216" s="141" t="s">
        <v>753</v>
      </c>
      <c r="B1216" s="141" t="s">
        <v>141</v>
      </c>
      <c r="C1216" s="56">
        <v>45812</v>
      </c>
      <c r="D1216" s="43">
        <v>83</v>
      </c>
      <c r="G1216" t="s">
        <v>1473</v>
      </c>
    </row>
    <row r="1217" spans="1:7">
      <c r="A1217" s="304" t="s">
        <v>511</v>
      </c>
      <c r="B1217" s="304" t="s">
        <v>141</v>
      </c>
      <c r="C1217" s="56">
        <v>45812</v>
      </c>
      <c r="F1217" s="141" t="s">
        <v>1478</v>
      </c>
      <c r="G1217" t="s">
        <v>1473</v>
      </c>
    </row>
    <row r="1218" spans="1:7">
      <c r="A1218" s="141" t="s">
        <v>901</v>
      </c>
      <c r="B1218" s="141" t="s">
        <v>137</v>
      </c>
      <c r="C1218" s="56">
        <v>45812</v>
      </c>
      <c r="D1218" s="155">
        <v>1401</v>
      </c>
      <c r="G1218" t="s">
        <v>1473</v>
      </c>
    </row>
    <row r="1219" spans="1:7">
      <c r="A1219" s="349" t="s">
        <v>422</v>
      </c>
      <c r="B1219" s="304" t="s">
        <v>1026</v>
      </c>
      <c r="C1219" s="56">
        <v>45812</v>
      </c>
      <c r="D1219" s="43">
        <v>310</v>
      </c>
      <c r="G1219" t="s">
        <v>1473</v>
      </c>
    </row>
    <row r="1220" spans="1:7">
      <c r="A1220" s="349" t="s">
        <v>708</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708</v>
      </c>
      <c r="B1226" s="357" t="s">
        <v>137</v>
      </c>
      <c r="C1226" s="56">
        <v>45813</v>
      </c>
      <c r="D1226" s="155">
        <v>2523</v>
      </c>
      <c r="F1226" s="43" t="s">
        <v>1482</v>
      </c>
      <c r="G1226" t="s">
        <v>1473</v>
      </c>
    </row>
    <row r="1227" spans="1:7">
      <c r="A1227" s="311" t="s">
        <v>676</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901</v>
      </c>
      <c r="B1230" s="141" t="s">
        <v>137</v>
      </c>
      <c r="C1230" s="56">
        <v>45817</v>
      </c>
      <c r="D1230" s="155">
        <v>1100</v>
      </c>
      <c r="G1230" t="s">
        <v>1473</v>
      </c>
    </row>
    <row r="1231" spans="1:7">
      <c r="A1231" s="304" t="s">
        <v>746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708</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901</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901</v>
      </c>
      <c r="B1241" s="247" t="s">
        <v>137</v>
      </c>
      <c r="C1241" s="56">
        <v>45820</v>
      </c>
      <c r="D1241" s="155">
        <v>1395</v>
      </c>
      <c r="F1241" s="43" t="s">
        <v>1471</v>
      </c>
      <c r="G1241" t="s">
        <v>1473</v>
      </c>
    </row>
    <row r="1242" spans="1:7">
      <c r="A1242" s="372" t="s">
        <v>723</v>
      </c>
      <c r="B1242" s="247" t="s">
        <v>137</v>
      </c>
      <c r="C1242" s="56">
        <v>45820</v>
      </c>
      <c r="F1242" s="43" t="s">
        <v>1169</v>
      </c>
      <c r="G1242" t="s">
        <v>1473</v>
      </c>
    </row>
    <row r="1243" spans="1:7">
      <c r="A1243" s="148" t="s">
        <v>422</v>
      </c>
      <c r="B1243" s="371" t="s">
        <v>1026</v>
      </c>
      <c r="C1243" s="56">
        <v>45820</v>
      </c>
      <c r="D1243" s="43">
        <v>395</v>
      </c>
      <c r="G1243" t="s">
        <v>1473</v>
      </c>
    </row>
    <row r="1244" spans="1:7">
      <c r="A1244" s="316" t="s">
        <v>723</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750</v>
      </c>
      <c r="B1248" s="141" t="s">
        <v>141</v>
      </c>
      <c r="C1248" s="56">
        <v>45824</v>
      </c>
      <c r="D1248" s="155">
        <v>1394</v>
      </c>
      <c r="F1248" s="43" t="s">
        <v>1104</v>
      </c>
      <c r="G1248" t="s">
        <v>1473</v>
      </c>
    </row>
    <row r="1249" spans="1:7">
      <c r="A1249" s="320" t="s">
        <v>901</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750</v>
      </c>
      <c r="B1253" s="141" t="s">
        <v>141</v>
      </c>
      <c r="C1253" s="56">
        <v>45825</v>
      </c>
      <c r="D1253" s="155">
        <v>1756</v>
      </c>
      <c r="F1253" s="43" t="s">
        <v>1106</v>
      </c>
      <c r="G1253" t="s">
        <v>1473</v>
      </c>
    </row>
    <row r="1254" spans="1:7">
      <c r="A1254" s="320" t="s">
        <v>901</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750</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767</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891</v>
      </c>
      <c r="B1273" s="307" t="s">
        <v>1026</v>
      </c>
      <c r="C1273" s="56">
        <v>45831</v>
      </c>
      <c r="D1273" s="43">
        <v>65</v>
      </c>
      <c r="G1273" t="s">
        <v>1473</v>
      </c>
    </row>
    <row r="1274" spans="1:7">
      <c r="A1274" s="141" t="s">
        <v>715</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750</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740</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750</v>
      </c>
      <c r="B1289" s="304" t="s">
        <v>141</v>
      </c>
      <c r="C1289" s="56">
        <v>45834</v>
      </c>
      <c r="F1289" s="316" t="s">
        <v>1499</v>
      </c>
      <c r="G1289" t="s">
        <v>1473</v>
      </c>
    </row>
    <row r="1290" spans="1:7">
      <c r="A1290" s="349" t="s">
        <v>753</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740</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715</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753</v>
      </c>
      <c r="B1299" s="307" t="s">
        <v>141</v>
      </c>
      <c r="C1299" s="56">
        <v>45835</v>
      </c>
      <c r="F1299" s="316" t="s">
        <v>1499</v>
      </c>
      <c r="G1299" t="s">
        <v>1473</v>
      </c>
    </row>
    <row r="1300" spans="1:7">
      <c r="A1300" s="141" t="s">
        <v>715</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715</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740</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740</v>
      </c>
      <c r="B1311" s="311" t="s">
        <v>1026</v>
      </c>
      <c r="C1311" s="56">
        <v>45840</v>
      </c>
      <c r="D1311" s="43">
        <v>71</v>
      </c>
      <c r="F1311" s="43" t="s">
        <v>1152</v>
      </c>
      <c r="G1311" t="s">
        <v>1506</v>
      </c>
    </row>
    <row r="1312" spans="1:7">
      <c r="A1312" s="315" t="s">
        <v>696</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740</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696</v>
      </c>
      <c r="B1320" s="315" t="s">
        <v>137</v>
      </c>
      <c r="C1320" s="56">
        <v>45845</v>
      </c>
      <c r="D1320" s="43">
        <v>846</v>
      </c>
      <c r="G1320" t="s">
        <v>1506</v>
      </c>
    </row>
    <row r="1321" spans="1:7">
      <c r="A1321" s="304" t="s">
        <v>649</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696</v>
      </c>
      <c r="B1324" s="398" t="s">
        <v>137</v>
      </c>
      <c r="C1324" s="56">
        <v>45846</v>
      </c>
      <c r="D1324" s="43">
        <v>827</v>
      </c>
      <c r="F1324" s="43" t="s">
        <v>1513</v>
      </c>
      <c r="G1324" t="s">
        <v>1506</v>
      </c>
    </row>
    <row r="1325" spans="1:7">
      <c r="A1325" s="397" t="s">
        <v>649</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8" t="s">
        <v>531</v>
      </c>
      <c r="B1331" s="157" t="s">
        <v>397</v>
      </c>
      <c r="C1331" s="56">
        <v>45849</v>
      </c>
      <c r="D1331" s="43">
        <v>198</v>
      </c>
      <c r="G1331" t="s">
        <v>1506</v>
      </c>
    </row>
    <row r="1332" spans="1:7">
      <c r="A1332" s="247" t="s">
        <v>959</v>
      </c>
      <c r="B1332" s="398" t="s">
        <v>1026</v>
      </c>
      <c r="C1332" s="56">
        <v>45852</v>
      </c>
      <c r="F1332" s="43" t="s">
        <v>1169</v>
      </c>
      <c r="G1332" t="s">
        <v>1506</v>
      </c>
    </row>
    <row r="1333" spans="1:7">
      <c r="A1333" s="618"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699</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699</v>
      </c>
      <c r="B1340" s="304" t="s">
        <v>137</v>
      </c>
      <c r="C1340" s="56">
        <v>45854</v>
      </c>
      <c r="D1340" s="43">
        <v>397</v>
      </c>
      <c r="F1340" s="43" t="s">
        <v>1517</v>
      </c>
      <c r="G1340" t="s">
        <v>1506</v>
      </c>
    </row>
    <row r="1341" spans="1:7">
      <c r="A1341" s="311" t="s">
        <v>734</v>
      </c>
      <c r="B1341" s="304" t="s">
        <v>1026</v>
      </c>
      <c r="C1341" s="56">
        <v>45854</v>
      </c>
      <c r="D1341" s="43">
        <v>90</v>
      </c>
      <c r="G1341" t="s">
        <v>1506</v>
      </c>
    </row>
    <row r="1342" spans="1:7">
      <c r="A1342" s="346" t="s">
        <v>690</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690</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690</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690</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823</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690</v>
      </c>
      <c r="B1366" s="304" t="s">
        <v>137</v>
      </c>
      <c r="C1366" s="56">
        <v>45861</v>
      </c>
      <c r="D1366" s="43">
        <v>678</v>
      </c>
      <c r="F1366" s="43" t="s">
        <v>1525</v>
      </c>
      <c r="G1366" t="s">
        <v>1506</v>
      </c>
    </row>
    <row r="1367" spans="1:7">
      <c r="A1367" s="141" t="s">
        <v>649</v>
      </c>
      <c r="B1367" s="398" t="s">
        <v>141</v>
      </c>
      <c r="C1367" s="56">
        <v>45861</v>
      </c>
      <c r="D1367" s="43">
        <v>579</v>
      </c>
      <c r="G1367" t="s">
        <v>1506</v>
      </c>
    </row>
    <row r="1368" spans="1:7">
      <c r="A1368" s="305" t="s">
        <v>693</v>
      </c>
      <c r="B1368" s="304" t="s">
        <v>137</v>
      </c>
      <c r="C1368" s="56">
        <v>45861</v>
      </c>
      <c r="D1368" s="43">
        <v>363</v>
      </c>
      <c r="F1368" s="43" t="s">
        <v>1526</v>
      </c>
      <c r="G1368" t="s">
        <v>1506</v>
      </c>
    </row>
    <row r="1369" spans="1:7">
      <c r="A1369" s="141" t="s">
        <v>901</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956</v>
      </c>
      <c r="B1373" s="304" t="s">
        <v>1528</v>
      </c>
      <c r="C1373" s="56">
        <v>45862</v>
      </c>
      <c r="F1373" s="43" t="s">
        <v>1529</v>
      </c>
      <c r="G1373" t="s">
        <v>1506</v>
      </c>
    </row>
    <row r="1374" spans="1:7">
      <c r="A1374" s="305" t="s">
        <v>693</v>
      </c>
      <c r="B1374" s="304" t="s">
        <v>137</v>
      </c>
      <c r="C1374" s="56">
        <v>45862</v>
      </c>
      <c r="D1374" s="155">
        <v>1077</v>
      </c>
      <c r="F1374" s="43" t="s">
        <v>1530</v>
      </c>
      <c r="G1374" t="s">
        <v>1506</v>
      </c>
    </row>
    <row r="1375" spans="1:7">
      <c r="A1375" s="141" t="s">
        <v>649</v>
      </c>
      <c r="B1375" s="398" t="s">
        <v>141</v>
      </c>
      <c r="C1375" s="56">
        <v>45862</v>
      </c>
      <c r="D1375" s="43">
        <v>619</v>
      </c>
      <c r="F1375" s="43" t="s">
        <v>1531</v>
      </c>
      <c r="G1375" t="s">
        <v>1506</v>
      </c>
    </row>
    <row r="1376" spans="1:7">
      <c r="A1376" s="305" t="s">
        <v>422</v>
      </c>
      <c r="B1376" s="305" t="s">
        <v>823</v>
      </c>
      <c r="C1376" s="56">
        <v>45862</v>
      </c>
      <c r="F1376" s="43" t="s">
        <v>1532</v>
      </c>
      <c r="G1376" t="s">
        <v>1506</v>
      </c>
    </row>
    <row r="1377" spans="1:7">
      <c r="A1377" s="141" t="s">
        <v>901</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690</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699</v>
      </c>
      <c r="B1384" s="305" t="s">
        <v>137</v>
      </c>
      <c r="C1384" s="56">
        <v>45863</v>
      </c>
      <c r="F1384" s="357" t="s">
        <v>1535</v>
      </c>
      <c r="G1384" t="s">
        <v>1506</v>
      </c>
    </row>
    <row r="1385" spans="1:7">
      <c r="A1385" s="311" t="s">
        <v>696</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901</v>
      </c>
      <c r="B1388" s="304" t="s">
        <v>137</v>
      </c>
      <c r="C1388" s="56">
        <v>45866</v>
      </c>
      <c r="D1388" s="43">
        <v>817</v>
      </c>
      <c r="G1388" t="s">
        <v>1506</v>
      </c>
    </row>
    <row r="1389" spans="1:7">
      <c r="A1389" s="141" t="s">
        <v>693</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649</v>
      </c>
      <c r="B1391" s="349" t="s">
        <v>141</v>
      </c>
      <c r="C1391" s="56">
        <v>45866</v>
      </c>
      <c r="D1391" s="155">
        <v>1181</v>
      </c>
      <c r="G1391" t="s">
        <v>1506</v>
      </c>
    </row>
    <row r="1392" spans="1:7">
      <c r="A1392" s="123" t="s">
        <v>531</v>
      </c>
      <c r="B1392" s="157" t="s">
        <v>397</v>
      </c>
      <c r="C1392" s="56">
        <v>45866</v>
      </c>
      <c r="D1392" s="43">
        <v>345</v>
      </c>
      <c r="G1392" t="s">
        <v>1506</v>
      </c>
    </row>
    <row r="1393" spans="1:7">
      <c r="A1393" s="619" t="s">
        <v>649</v>
      </c>
      <c r="B1393" s="69" t="s">
        <v>141</v>
      </c>
      <c r="C1393" s="56">
        <v>45867</v>
      </c>
      <c r="D1393" s="155">
        <v>1933</v>
      </c>
      <c r="G1393" t="s">
        <v>1506</v>
      </c>
    </row>
    <row r="1394" spans="1:7">
      <c r="A1394" s="430" t="s">
        <v>901</v>
      </c>
      <c r="B1394" s="247" t="s">
        <v>137</v>
      </c>
      <c r="C1394" s="56">
        <v>45867</v>
      </c>
      <c r="E1394" s="321">
        <v>5590</v>
      </c>
      <c r="F1394" s="43" t="s">
        <v>1538</v>
      </c>
      <c r="G1394" t="s">
        <v>1506</v>
      </c>
    </row>
    <row r="1395" spans="1:7">
      <c r="A1395" s="431" t="s">
        <v>693</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649</v>
      </c>
      <c r="B1397" s="141" t="s">
        <v>141</v>
      </c>
      <c r="C1397" s="56">
        <v>45868</v>
      </c>
      <c r="D1397" s="155">
        <v>1951</v>
      </c>
      <c r="G1397" t="s">
        <v>1506</v>
      </c>
    </row>
    <row r="1398" spans="1:7">
      <c r="A1398" s="141" t="s">
        <v>649</v>
      </c>
      <c r="B1398" s="304" t="s">
        <v>137</v>
      </c>
      <c r="C1398" s="56">
        <v>45868</v>
      </c>
      <c r="D1398" s="43">
        <v>902</v>
      </c>
      <c r="G1398" t="s">
        <v>1506</v>
      </c>
    </row>
    <row r="1399" spans="1:7">
      <c r="A1399" s="304" t="s">
        <v>901</v>
      </c>
      <c r="B1399" s="304" t="s">
        <v>137</v>
      </c>
      <c r="C1399" s="56">
        <v>45868</v>
      </c>
      <c r="D1399" s="155">
        <v>1385</v>
      </c>
      <c r="F1399" s="43" t="s">
        <v>1152</v>
      </c>
      <c r="G1399" t="s">
        <v>1506</v>
      </c>
    </row>
    <row r="1400" spans="1:7">
      <c r="A1400" s="304" t="s">
        <v>690</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771</v>
      </c>
      <c r="B1403" s="311" t="s">
        <v>1026</v>
      </c>
      <c r="C1403" s="56">
        <v>45869</v>
      </c>
      <c r="F1403" s="320" t="s">
        <v>1246</v>
      </c>
      <c r="G1403" t="s">
        <v>1506</v>
      </c>
    </row>
    <row r="1404" spans="1:7">
      <c r="A1404" s="141" t="s">
        <v>649</v>
      </c>
      <c r="B1404" s="141" t="s">
        <v>141</v>
      </c>
      <c r="C1404" s="56">
        <v>45869</v>
      </c>
      <c r="D1404" s="43">
        <v>725</v>
      </c>
      <c r="G1404" t="s">
        <v>1506</v>
      </c>
    </row>
    <row r="1405" spans="1:7">
      <c r="A1405" s="305" t="s">
        <v>649</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771</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9" t="s">
        <v>649</v>
      </c>
      <c r="B1410" s="304" t="s">
        <v>1542</v>
      </c>
      <c r="C1410" s="56">
        <v>45870</v>
      </c>
      <c r="F1410" s="43" t="s">
        <v>1547</v>
      </c>
      <c r="G1410" t="s">
        <v>1545</v>
      </c>
    </row>
    <row r="1411" spans="1:7">
      <c r="A1411" s="134" t="s">
        <v>539</v>
      </c>
      <c r="B1411" s="157" t="s">
        <v>397</v>
      </c>
      <c r="C1411" s="56">
        <v>45870</v>
      </c>
      <c r="D1411" s="155">
        <v>1377</v>
      </c>
      <c r="G1411" t="s">
        <v>1545</v>
      </c>
    </row>
    <row r="1412" spans="1:7">
      <c r="A1412" s="619" t="s">
        <v>649</v>
      </c>
      <c r="B1412" s="69" t="s">
        <v>1542</v>
      </c>
      <c r="C1412" s="56">
        <v>45873</v>
      </c>
      <c r="E1412" s="321">
        <v>13125</v>
      </c>
      <c r="G1412" t="s">
        <v>1545</v>
      </c>
    </row>
    <row r="1413" spans="1:7">
      <c r="A1413" s="432" t="s">
        <v>720</v>
      </c>
      <c r="B1413" s="438" t="s">
        <v>137</v>
      </c>
      <c r="C1413" s="56">
        <v>45873</v>
      </c>
      <c r="D1413" s="43">
        <v>918</v>
      </c>
      <c r="G1413" t="s">
        <v>1545</v>
      </c>
    </row>
    <row r="1414" spans="1:7">
      <c r="A1414" s="311" t="s">
        <v>906</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906</v>
      </c>
      <c r="B1417" s="311" t="s">
        <v>137</v>
      </c>
      <c r="C1417" s="56">
        <v>45875</v>
      </c>
      <c r="D1417" s="155">
        <v>1964</v>
      </c>
      <c r="G1417" t="s">
        <v>1545</v>
      </c>
    </row>
    <row r="1418" spans="1:7">
      <c r="A1418" s="550" t="s">
        <v>539</v>
      </c>
      <c r="B1418" s="311" t="s">
        <v>397</v>
      </c>
      <c r="C1418" s="56">
        <v>45875</v>
      </c>
      <c r="D1418" s="43">
        <v>840</v>
      </c>
      <c r="G1418" t="s">
        <v>1545</v>
      </c>
    </row>
    <row r="1419" spans="1:7">
      <c r="A1419" s="141" t="s">
        <v>525</v>
      </c>
      <c r="B1419" s="551" t="s">
        <v>397</v>
      </c>
      <c r="C1419" s="56">
        <v>45875</v>
      </c>
      <c r="F1419" s="43" t="s">
        <v>1548</v>
      </c>
      <c r="G1419" t="s">
        <v>1545</v>
      </c>
    </row>
    <row r="1420" spans="1:7">
      <c r="A1420" s="387" t="s">
        <v>906</v>
      </c>
      <c r="B1420" s="415" t="s">
        <v>137</v>
      </c>
      <c r="C1420" s="310">
        <v>45876</v>
      </c>
      <c r="D1420" s="43">
        <v>377</v>
      </c>
      <c r="E1420" s="321"/>
      <c r="F1420" s="43" t="s">
        <v>1549</v>
      </c>
      <c r="G1420" t="s">
        <v>1545</v>
      </c>
    </row>
    <row r="1421" spans="1:7">
      <c r="A1421" s="387" t="s">
        <v>906</v>
      </c>
      <c r="B1421" s="311" t="s">
        <v>1550</v>
      </c>
      <c r="C1421" s="310">
        <v>45876</v>
      </c>
      <c r="E1421" s="321">
        <v>5289</v>
      </c>
      <c r="F1421" s="43" t="s">
        <v>1551</v>
      </c>
      <c r="G1421" t="s">
        <v>1545</v>
      </c>
    </row>
    <row r="1422" spans="1:7">
      <c r="A1422" s="141" t="s">
        <v>726</v>
      </c>
      <c r="B1422" s="526" t="s">
        <v>137</v>
      </c>
      <c r="C1422" s="56">
        <v>45876</v>
      </c>
      <c r="D1422" s="43">
        <v>674</v>
      </c>
      <c r="G1422" t="s">
        <v>1545</v>
      </c>
    </row>
    <row r="1423" spans="1:7">
      <c r="A1423" s="526" t="s">
        <v>539</v>
      </c>
      <c r="B1423" s="526" t="s">
        <v>397</v>
      </c>
      <c r="C1423" s="56">
        <v>45876</v>
      </c>
      <c r="D1423" s="43">
        <v>531</v>
      </c>
      <c r="G1423" t="s">
        <v>1545</v>
      </c>
    </row>
    <row r="1424" spans="1:7">
      <c r="A1424" s="247" t="s">
        <v>1045</v>
      </c>
      <c r="B1424" s="157" t="s">
        <v>1026</v>
      </c>
      <c r="C1424" s="56">
        <v>45877</v>
      </c>
      <c r="F1424" s="43" t="s">
        <v>1519</v>
      </c>
      <c r="G1424" t="s">
        <v>1545</v>
      </c>
    </row>
    <row r="1425" spans="1:7">
      <c r="A1425" s="311" t="s">
        <v>906</v>
      </c>
      <c r="B1425" s="311" t="s">
        <v>137</v>
      </c>
      <c r="C1425" s="56">
        <v>45877</v>
      </c>
      <c r="F1425" s="311" t="s">
        <v>1169</v>
      </c>
      <c r="G1425" t="s">
        <v>1545</v>
      </c>
    </row>
    <row r="1426" spans="1:7">
      <c r="A1426" s="552" t="s">
        <v>539</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720</v>
      </c>
      <c r="B1428" s="141" t="s">
        <v>137</v>
      </c>
      <c r="C1428" s="56">
        <v>45880</v>
      </c>
      <c r="D1428" s="155">
        <v>1175</v>
      </c>
      <c r="G1428" t="s">
        <v>1545</v>
      </c>
    </row>
    <row r="1429" spans="1:7">
      <c r="A1429" s="304" t="s">
        <v>729</v>
      </c>
      <c r="B1429" s="304" t="s">
        <v>1026</v>
      </c>
      <c r="C1429" s="56">
        <v>45880</v>
      </c>
      <c r="D1429" s="43">
        <v>288</v>
      </c>
      <c r="G1429" t="s">
        <v>1545</v>
      </c>
    </row>
    <row r="1430" spans="1:7">
      <c r="A1430" s="552"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720</v>
      </c>
      <c r="B1432" s="228" t="s">
        <v>137</v>
      </c>
      <c r="C1432" s="56">
        <v>45881</v>
      </c>
      <c r="D1432" s="155">
        <v>1154</v>
      </c>
      <c r="G1432" t="s">
        <v>1545</v>
      </c>
    </row>
    <row r="1433" spans="1:7">
      <c r="A1433" s="238" t="s">
        <v>729</v>
      </c>
      <c r="B1433" s="131" t="s">
        <v>1026</v>
      </c>
      <c r="C1433" s="56">
        <v>45881</v>
      </c>
      <c r="D1433" s="43">
        <v>380</v>
      </c>
      <c r="G1433" t="s">
        <v>1545</v>
      </c>
    </row>
    <row r="1434" spans="1:7">
      <c r="A1434" s="91" t="s">
        <v>726</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539</v>
      </c>
      <c r="B1436" s="311" t="s">
        <v>397</v>
      </c>
      <c r="C1436" s="56">
        <v>45881</v>
      </c>
      <c r="D1436" s="155">
        <v>1293</v>
      </c>
      <c r="G1436" t="s">
        <v>1545</v>
      </c>
    </row>
    <row r="1437" spans="1:7">
      <c r="A1437" s="247" t="s">
        <v>900</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720</v>
      </c>
      <c r="B1439" s="311" t="s">
        <v>137</v>
      </c>
      <c r="C1439" s="56">
        <v>45882</v>
      </c>
      <c r="D1439" s="43">
        <v>428</v>
      </c>
      <c r="F1439" s="43" t="s">
        <v>1164</v>
      </c>
      <c r="G1439" t="s">
        <v>1545</v>
      </c>
    </row>
    <row r="1440" spans="1:7">
      <c r="A1440" s="247" t="s">
        <v>729</v>
      </c>
      <c r="B1440" s="315" t="s">
        <v>1026</v>
      </c>
      <c r="C1440" s="56">
        <v>45882</v>
      </c>
      <c r="D1440" s="43">
        <v>229</v>
      </c>
      <c r="F1440" s="43" t="s">
        <v>1152</v>
      </c>
      <c r="G1440" t="s">
        <v>1545</v>
      </c>
    </row>
    <row r="1441" spans="1:7">
      <c r="A1441" s="247" t="s">
        <v>900</v>
      </c>
      <c r="B1441" s="304" t="s">
        <v>137</v>
      </c>
      <c r="C1441" s="56">
        <v>45882</v>
      </c>
      <c r="D1441" s="155">
        <v>1031</v>
      </c>
      <c r="F1441" s="43" t="s">
        <v>1552</v>
      </c>
      <c r="G1441" t="s">
        <v>1545</v>
      </c>
    </row>
    <row r="1442" spans="1:7">
      <c r="A1442" s="305" t="s">
        <v>726</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729</v>
      </c>
      <c r="B1446" s="131" t="s">
        <v>1026</v>
      </c>
      <c r="C1446" s="56">
        <v>45883</v>
      </c>
      <c r="D1446" s="43">
        <v>163</v>
      </c>
      <c r="G1446" t="s">
        <v>1545</v>
      </c>
    </row>
    <row r="1447" spans="1:7">
      <c r="A1447" s="552" t="s">
        <v>539</v>
      </c>
      <c r="B1447" s="311" t="s">
        <v>397</v>
      </c>
      <c r="C1447" s="56">
        <v>45883</v>
      </c>
      <c r="D1447" s="43">
        <v>554</v>
      </c>
      <c r="G1447" t="s">
        <v>1545</v>
      </c>
    </row>
    <row r="1448" spans="1:7">
      <c r="A1448" s="43" t="s">
        <v>299</v>
      </c>
      <c r="B1448" s="398" t="s">
        <v>1026</v>
      </c>
      <c r="C1448" s="56">
        <v>45883</v>
      </c>
      <c r="F1448" s="43" t="s">
        <v>1302</v>
      </c>
      <c r="G1448" t="s">
        <v>1545</v>
      </c>
    </row>
    <row r="1449" spans="1:7">
      <c r="A1449" s="525" t="s">
        <v>1045</v>
      </c>
      <c r="B1449" s="398" t="s">
        <v>1026</v>
      </c>
      <c r="C1449" s="56">
        <v>45884</v>
      </c>
      <c r="D1449" s="43">
        <v>64</v>
      </c>
      <c r="G1449" t="s">
        <v>1545</v>
      </c>
    </row>
    <row r="1450" spans="1:7">
      <c r="A1450" s="311" t="s">
        <v>720</v>
      </c>
      <c r="B1450" s="311" t="s">
        <v>1550</v>
      </c>
      <c r="C1450" s="56">
        <v>45884</v>
      </c>
      <c r="E1450" s="321">
        <v>1243</v>
      </c>
      <c r="F1450" s="43" t="s">
        <v>1553</v>
      </c>
      <c r="G1450" t="s">
        <v>1545</v>
      </c>
    </row>
    <row r="1451" spans="1:7">
      <c r="A1451" s="315" t="s">
        <v>729</v>
      </c>
      <c r="B1451" s="315" t="s">
        <v>1026</v>
      </c>
      <c r="C1451" s="56">
        <v>45884</v>
      </c>
      <c r="E1451" s="321">
        <v>1060</v>
      </c>
      <c r="F1451" s="43" t="s">
        <v>1554</v>
      </c>
      <c r="G1451" t="s">
        <v>1545</v>
      </c>
    </row>
    <row r="1452" spans="1:7">
      <c r="A1452" s="304" t="s">
        <v>726</v>
      </c>
      <c r="B1452" s="304" t="s">
        <v>1550</v>
      </c>
      <c r="C1452" s="56">
        <v>45884</v>
      </c>
      <c r="E1452" s="321">
        <v>1297</v>
      </c>
      <c r="F1452" s="43" t="s">
        <v>1555</v>
      </c>
      <c r="G1452" t="s">
        <v>1545</v>
      </c>
    </row>
    <row r="1453" spans="1:7">
      <c r="A1453" s="552" t="s">
        <v>539</v>
      </c>
      <c r="B1453" s="311" t="s">
        <v>397</v>
      </c>
      <c r="C1453" s="56">
        <v>45884</v>
      </c>
      <c r="D1453" s="43">
        <v>89</v>
      </c>
      <c r="G1453" t="s">
        <v>1545</v>
      </c>
    </row>
    <row r="1454" spans="1:7">
      <c r="A1454" s="304" t="s">
        <v>299</v>
      </c>
      <c r="B1454" s="304" t="s">
        <v>1026</v>
      </c>
      <c r="C1454" s="56">
        <v>45884</v>
      </c>
      <c r="D1454" s="43">
        <v>391</v>
      </c>
      <c r="G1454" t="s">
        <v>1545</v>
      </c>
    </row>
    <row r="1455" spans="1:7">
      <c r="A1455" s="525" t="s">
        <v>1045</v>
      </c>
      <c r="B1455" s="398" t="s">
        <v>1026</v>
      </c>
      <c r="C1455" s="56">
        <v>45887</v>
      </c>
      <c r="D1455" s="43">
        <v>141</v>
      </c>
      <c r="G1455" t="s">
        <v>1545</v>
      </c>
    </row>
    <row r="1456" spans="1:7">
      <c r="A1456" s="396" t="s">
        <v>720</v>
      </c>
      <c r="B1456" s="228" t="s">
        <v>1550</v>
      </c>
      <c r="C1456" s="56">
        <v>45887</v>
      </c>
      <c r="E1456" s="321">
        <v>2679</v>
      </c>
      <c r="F1456" s="43" t="s">
        <v>1556</v>
      </c>
      <c r="G1456" t="s">
        <v>1545</v>
      </c>
    </row>
    <row r="1457" spans="1:7">
      <c r="A1457" s="238" t="s">
        <v>740</v>
      </c>
      <c r="B1457" s="131" t="s">
        <v>1026</v>
      </c>
      <c r="C1457" s="56">
        <v>45887</v>
      </c>
      <c r="D1457" s="43">
        <v>343</v>
      </c>
      <c r="G1457" t="s">
        <v>1545</v>
      </c>
    </row>
    <row r="1458" spans="1:7">
      <c r="A1458" s="91" t="s">
        <v>726</v>
      </c>
      <c r="B1458" s="169" t="s">
        <v>1550</v>
      </c>
      <c r="C1458" s="56">
        <v>45887</v>
      </c>
      <c r="E1458" s="321">
        <v>2145</v>
      </c>
      <c r="F1458" s="43" t="s">
        <v>1557</v>
      </c>
      <c r="G1458" t="s">
        <v>1545</v>
      </c>
    </row>
    <row r="1459" spans="1:7">
      <c r="A1459" s="581" t="s">
        <v>953</v>
      </c>
      <c r="B1459" s="322" t="s">
        <v>137</v>
      </c>
      <c r="C1459" s="56">
        <v>45887</v>
      </c>
      <c r="D1459" s="155">
        <v>1109</v>
      </c>
      <c r="F1459" s="43" t="s">
        <v>1558</v>
      </c>
      <c r="G1459" t="s">
        <v>1545</v>
      </c>
    </row>
    <row r="1460" spans="1:7">
      <c r="A1460" s="552" t="s">
        <v>539</v>
      </c>
      <c r="B1460" s="311" t="s">
        <v>397</v>
      </c>
      <c r="C1460" s="56">
        <v>45887</v>
      </c>
      <c r="D1460" s="43">
        <v>377</v>
      </c>
      <c r="G1460" t="s">
        <v>1545</v>
      </c>
    </row>
    <row r="1461" spans="1:7">
      <c r="A1461" s="304" t="s">
        <v>299</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740</v>
      </c>
      <c r="B1464" s="315" t="s">
        <v>1026</v>
      </c>
      <c r="C1464" s="56">
        <v>45888</v>
      </c>
      <c r="D1464" s="43">
        <v>416</v>
      </c>
      <c r="G1464" t="s">
        <v>1545</v>
      </c>
    </row>
    <row r="1465" spans="1:7">
      <c r="A1465" s="526" t="s">
        <v>914</v>
      </c>
      <c r="B1465" s="311" t="s">
        <v>137</v>
      </c>
      <c r="C1465" s="56">
        <v>45888</v>
      </c>
      <c r="D1465" s="155">
        <v>1460</v>
      </c>
      <c r="F1465" s="43" t="s">
        <v>1559</v>
      </c>
      <c r="G1465" t="s">
        <v>1545</v>
      </c>
    </row>
    <row r="1466" spans="1:7">
      <c r="A1466" s="552" t="s">
        <v>539</v>
      </c>
      <c r="B1466" s="311" t="s">
        <v>397</v>
      </c>
      <c r="C1466" s="56">
        <v>45888</v>
      </c>
      <c r="D1466" s="43">
        <v>408</v>
      </c>
      <c r="F1466" s="115"/>
      <c r="G1466" t="s">
        <v>1545</v>
      </c>
    </row>
    <row r="1467" spans="1:7">
      <c r="A1467" s="584"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740</v>
      </c>
      <c r="B1472" s="131" t="s">
        <v>1026</v>
      </c>
      <c r="C1472" s="56">
        <v>45889</v>
      </c>
      <c r="D1472" s="43">
        <v>216</v>
      </c>
      <c r="G1472" t="s">
        <v>1545</v>
      </c>
    </row>
    <row r="1473" spans="1:7">
      <c r="A1473" s="581" t="s">
        <v>914</v>
      </c>
      <c r="B1473" s="322" t="s">
        <v>137</v>
      </c>
      <c r="C1473" s="56">
        <v>45889</v>
      </c>
      <c r="D1473" s="155">
        <v>1428</v>
      </c>
      <c r="F1473" s="43" t="s">
        <v>1466</v>
      </c>
      <c r="G1473" t="s">
        <v>1545</v>
      </c>
    </row>
    <row r="1474" spans="1:7">
      <c r="A1474" s="552" t="s">
        <v>539</v>
      </c>
      <c r="B1474" s="311" t="s">
        <v>397</v>
      </c>
      <c r="C1474" s="56">
        <v>45889</v>
      </c>
      <c r="D1474" s="43">
        <v>607</v>
      </c>
      <c r="F1474" s="43" t="s">
        <v>1561</v>
      </c>
      <c r="G1474" t="s">
        <v>1545</v>
      </c>
    </row>
    <row r="1475" spans="1:7">
      <c r="A1475" s="584"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740</v>
      </c>
      <c r="B1479" s="131" t="s">
        <v>1026</v>
      </c>
      <c r="C1479" s="56">
        <v>45890</v>
      </c>
      <c r="F1479" s="43" t="s">
        <v>1302</v>
      </c>
      <c r="G1479" t="s">
        <v>1545</v>
      </c>
    </row>
    <row r="1480" spans="1:7">
      <c r="A1480" s="581"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2" t="s">
        <v>539</v>
      </c>
      <c r="B1482" s="311" t="s">
        <v>397</v>
      </c>
      <c r="C1482" s="56">
        <v>45890</v>
      </c>
      <c r="D1482" s="155">
        <v>1022</v>
      </c>
      <c r="G1482" t="s">
        <v>1545</v>
      </c>
    </row>
    <row r="1483" spans="1:7">
      <c r="A1483" s="584"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740</v>
      </c>
      <c r="B1487" s="131" t="s">
        <v>1026</v>
      </c>
      <c r="C1487" s="56">
        <v>45891</v>
      </c>
      <c r="E1487" s="321">
        <v>2001</v>
      </c>
      <c r="F1487" s="43" t="s">
        <v>1564</v>
      </c>
      <c r="G1487" t="s">
        <v>1545</v>
      </c>
    </row>
    <row r="1488" spans="1:7">
      <c r="A1488" s="552" t="s">
        <v>539</v>
      </c>
      <c r="B1488" s="311" t="s">
        <v>397</v>
      </c>
      <c r="C1488" s="56">
        <v>45891</v>
      </c>
      <c r="E1488" s="321">
        <v>6090</v>
      </c>
      <c r="F1488" s="43" t="s">
        <v>1565</v>
      </c>
      <c r="G1488" t="s">
        <v>1545</v>
      </c>
    </row>
    <row r="1489" spans="1:7">
      <c r="A1489" s="584"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737</v>
      </c>
      <c r="B1493" s="131" t="s">
        <v>1026</v>
      </c>
      <c r="C1493" s="56">
        <v>45894</v>
      </c>
      <c r="F1493" s="311" t="s">
        <v>1566</v>
      </c>
      <c r="G1493" t="s">
        <v>1545</v>
      </c>
    </row>
    <row r="1494" spans="1:7">
      <c r="A1494" s="581" t="s">
        <v>917</v>
      </c>
      <c r="B1494" s="322" t="s">
        <v>137</v>
      </c>
      <c r="C1494" s="56">
        <v>45894</v>
      </c>
      <c r="D1494" s="43">
        <v>735</v>
      </c>
      <c r="F1494" s="43" t="s">
        <v>1567</v>
      </c>
      <c r="G1494" t="s">
        <v>1545</v>
      </c>
    </row>
    <row r="1495" spans="1:7">
      <c r="A1495" s="552" t="s">
        <v>539</v>
      </c>
      <c r="B1495" s="311" t="s">
        <v>397</v>
      </c>
      <c r="C1495" s="56">
        <v>45894</v>
      </c>
      <c r="D1495" s="43">
        <v>639</v>
      </c>
      <c r="G1495" t="s">
        <v>1545</v>
      </c>
    </row>
    <row r="1496" spans="1:7">
      <c r="A1496" s="584"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737</v>
      </c>
      <c r="B1500" s="131" t="s">
        <v>1026</v>
      </c>
      <c r="C1500" s="56">
        <v>45895</v>
      </c>
      <c r="D1500" s="43">
        <v>260</v>
      </c>
      <c r="G1500" t="s">
        <v>1545</v>
      </c>
    </row>
    <row r="1501" spans="1:7">
      <c r="A1501" s="581"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9" t="s">
        <v>929</v>
      </c>
      <c r="B1503" s="43" t="s">
        <v>137</v>
      </c>
      <c r="C1503" s="56">
        <v>45895</v>
      </c>
      <c r="D1503" s="155">
        <v>1224</v>
      </c>
      <c r="F1503" s="43" t="s">
        <v>1569</v>
      </c>
      <c r="G1503" t="s">
        <v>1545</v>
      </c>
    </row>
    <row r="1504" spans="1:7">
      <c r="A1504" s="584" t="s">
        <v>536</v>
      </c>
      <c r="B1504" s="632" t="s">
        <v>1026</v>
      </c>
      <c r="C1504" s="56">
        <v>45895</v>
      </c>
      <c r="D1504" s="43">
        <v>295</v>
      </c>
      <c r="G1504" t="s">
        <v>1545</v>
      </c>
    </row>
    <row r="1505" spans="1:7">
      <c r="A1505" s="629" t="s">
        <v>531</v>
      </c>
      <c r="B1505" s="349" t="s">
        <v>397</v>
      </c>
      <c r="C1505" s="56">
        <v>45895</v>
      </c>
      <c r="F1505" s="43" t="s">
        <v>1246</v>
      </c>
      <c r="G1505" t="s">
        <v>1545</v>
      </c>
    </row>
    <row r="1506" spans="1:7">
      <c r="A1506" s="396" t="s">
        <v>932</v>
      </c>
      <c r="B1506" s="228" t="s">
        <v>141</v>
      </c>
      <c r="C1506" s="56">
        <v>45896</v>
      </c>
      <c r="D1506" s="155">
        <v>1017</v>
      </c>
      <c r="F1506" s="43" t="s">
        <v>1570</v>
      </c>
      <c r="G1506" t="s">
        <v>1545</v>
      </c>
    </row>
    <row r="1507" spans="1:7">
      <c r="A1507" s="238" t="s">
        <v>737</v>
      </c>
      <c r="B1507" s="131" t="s">
        <v>1026</v>
      </c>
      <c r="C1507" s="56">
        <v>45896</v>
      </c>
      <c r="F1507" s="43" t="s">
        <v>1302</v>
      </c>
      <c r="G1507" t="s">
        <v>1545</v>
      </c>
    </row>
    <row r="1508" spans="1:7">
      <c r="A1508" s="581"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9" t="s">
        <v>929</v>
      </c>
      <c r="B1510" s="43" t="s">
        <v>137</v>
      </c>
      <c r="C1510" s="56">
        <v>45896</v>
      </c>
      <c r="D1510" s="43">
        <v>967</v>
      </c>
      <c r="F1510" s="43" t="s">
        <v>1573</v>
      </c>
      <c r="G1510" t="s">
        <v>1545</v>
      </c>
    </row>
    <row r="1511" spans="1:7">
      <c r="A1511" s="584" t="s">
        <v>299</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737</v>
      </c>
      <c r="B1515" s="131" t="s">
        <v>1026</v>
      </c>
      <c r="C1515" s="56">
        <v>45897</v>
      </c>
      <c r="D1515" s="43">
        <v>315</v>
      </c>
      <c r="E1515" s="139">
        <v>575</v>
      </c>
      <c r="F1515" s="43" t="s">
        <v>1575</v>
      </c>
      <c r="G1515" t="s">
        <v>1545</v>
      </c>
    </row>
    <row r="1516" spans="1:7">
      <c r="A1516" s="619"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2" t="s">
        <v>539</v>
      </c>
      <c r="B1518" s="311" t="s">
        <v>397</v>
      </c>
      <c r="C1518" s="56">
        <v>45897</v>
      </c>
      <c r="F1518" s="43" t="s">
        <v>1164</v>
      </c>
      <c r="G1518" t="s">
        <v>1545</v>
      </c>
    </row>
    <row r="1519" spans="1:7">
      <c r="A1519" s="584" t="s">
        <v>299</v>
      </c>
      <c r="B1519" s="632" t="s">
        <v>1026</v>
      </c>
      <c r="C1519" s="56">
        <v>45897</v>
      </c>
      <c r="D1519" s="43">
        <v>320</v>
      </c>
      <c r="G1519" t="s">
        <v>1545</v>
      </c>
    </row>
    <row r="1520" spans="1:7">
      <c r="A1520" s="629"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909</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865</v>
      </c>
      <c r="B1534" s="315" t="s">
        <v>1026</v>
      </c>
      <c r="C1534" s="56">
        <v>45903</v>
      </c>
      <c r="F1534" s="316" t="s">
        <v>1588</v>
      </c>
      <c r="G1534" t="s">
        <v>1583</v>
      </c>
    </row>
    <row r="1535" spans="1:7">
      <c r="A1535" s="655"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8" t="s">
        <v>932</v>
      </c>
      <c r="B1537" s="315" t="s">
        <v>1579</v>
      </c>
      <c r="C1537" s="56">
        <v>45903</v>
      </c>
      <c r="D1537" s="155">
        <v>2819</v>
      </c>
      <c r="F1537" s="43" t="s">
        <v>1591</v>
      </c>
      <c r="G1537" t="s">
        <v>1583</v>
      </c>
    </row>
    <row r="1538" spans="1:7">
      <c r="A1538" s="654" t="s">
        <v>922</v>
      </c>
      <c r="B1538" s="315" t="s">
        <v>1026</v>
      </c>
      <c r="C1538" s="56">
        <v>45903</v>
      </c>
      <c r="D1538" s="43">
        <v>130</v>
      </c>
      <c r="F1538" s="43" t="s">
        <v>1592</v>
      </c>
      <c r="G1538" t="s">
        <v>1583</v>
      </c>
    </row>
    <row r="1539" spans="1:7">
      <c r="A1539" s="584" t="s">
        <v>536</v>
      </c>
      <c r="B1539" s="318" t="s">
        <v>1026</v>
      </c>
      <c r="C1539" s="56">
        <v>45903</v>
      </c>
      <c r="D1539" s="43">
        <v>65</v>
      </c>
      <c r="F1539" s="141" t="s">
        <v>1593</v>
      </c>
      <c r="G1539" t="s">
        <v>1583</v>
      </c>
    </row>
    <row r="1540" spans="1:7">
      <c r="A1540" s="649"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9" t="s">
        <v>548</v>
      </c>
      <c r="B1544" s="43" t="s">
        <v>137</v>
      </c>
      <c r="C1544" s="56">
        <v>45904</v>
      </c>
      <c r="D1544" s="43">
        <v>903</v>
      </c>
      <c r="F1544" s="43" t="s">
        <v>1596</v>
      </c>
      <c r="G1544" t="s">
        <v>1583</v>
      </c>
    </row>
    <row r="1545" spans="1:7">
      <c r="A1545" s="654" t="s">
        <v>922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536</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541</v>
      </c>
      <c r="B1549" s="656" t="s">
        <v>1026</v>
      </c>
      <c r="C1549" s="56">
        <v>45905</v>
      </c>
      <c r="D1549" s="43">
        <v>285</v>
      </c>
      <c r="G1549" t="s">
        <v>1583</v>
      </c>
    </row>
    <row r="1550" spans="1:7">
      <c r="A1550" s="247" t="s">
        <v>914</v>
      </c>
      <c r="B1550" s="732" t="s">
        <v>137</v>
      </c>
      <c r="C1550" s="56">
        <v>45905</v>
      </c>
      <c r="D1550" s="43">
        <v>128</v>
      </c>
      <c r="E1550" s="139">
        <v>2000</v>
      </c>
      <c r="F1550" s="43" t="s">
        <v>1599</v>
      </c>
      <c r="G1550" t="s">
        <v>1583</v>
      </c>
    </row>
    <row r="1551" spans="1:7">
      <c r="A1551" s="247" t="s">
        <v>932</v>
      </c>
      <c r="B1551" s="656" t="s">
        <v>1026</v>
      </c>
      <c r="C1551" s="56">
        <v>45905</v>
      </c>
      <c r="E1551" s="321">
        <v>2062</v>
      </c>
      <c r="G1551" t="s">
        <v>1583</v>
      </c>
    </row>
    <row r="1552" spans="1:7">
      <c r="A1552" s="733" t="s">
        <v>548</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909</v>
      </c>
      <c r="B1554" s="685"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732</v>
      </c>
      <c r="B1557" s="685"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732</v>
      </c>
      <c r="B1561" s="685" t="s">
        <v>1464</v>
      </c>
      <c r="C1561" s="56">
        <v>45910</v>
      </c>
      <c r="D1561" s="43">
        <v>333</v>
      </c>
      <c r="G1561" t="s">
        <v>1583</v>
      </c>
    </row>
    <row r="1562" spans="1:7">
      <c r="A1562" s="714" t="s">
        <v>938</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541</v>
      </c>
      <c r="B1564" s="685"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732</v>
      </c>
      <c r="B1568" s="685" t="s">
        <v>1464</v>
      </c>
      <c r="C1568" s="56">
        <v>45911</v>
      </c>
      <c r="E1568" s="139">
        <v>662</v>
      </c>
      <c r="F1568" s="43" t="s">
        <v>1186</v>
      </c>
      <c r="G1568" t="s">
        <v>1583</v>
      </c>
    </row>
    <row r="1569" spans="1:7">
      <c r="A1569" s="684" t="s">
        <v>946</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732</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938</v>
      </c>
      <c r="B1577" s="685" t="s">
        <v>137</v>
      </c>
      <c r="C1577" s="56">
        <v>45915</v>
      </c>
      <c r="D1577" s="155">
        <v>1238</v>
      </c>
      <c r="F1577" s="69"/>
      <c r="G1577" t="s">
        <v>1583</v>
      </c>
    </row>
    <row r="1578" spans="1:7">
      <c r="A1578" s="684" t="s">
        <v>946</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938</v>
      </c>
      <c r="B1582" s="685" t="s">
        <v>137</v>
      </c>
      <c r="C1582" s="56">
        <v>45916</v>
      </c>
      <c r="D1582" s="155">
        <v>1531</v>
      </c>
      <c r="F1582" s="735"/>
      <c r="G1582" t="s">
        <v>1583</v>
      </c>
    </row>
    <row r="1583" spans="1:7">
      <c r="A1583" s="684" t="s">
        <v>946</v>
      </c>
      <c r="B1583" s="131" t="s">
        <v>1026</v>
      </c>
      <c r="C1583" s="56">
        <v>45916</v>
      </c>
      <c r="E1583" s="321"/>
      <c r="F1583" s="735" t="s">
        <v>1609</v>
      </c>
      <c r="G1583" t="s">
        <v>1583</v>
      </c>
    </row>
    <row r="1584" spans="1:7">
      <c r="A1584" s="69" t="s">
        <v>920</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536</v>
      </c>
      <c r="B1587" s="371" t="s">
        <v>1026</v>
      </c>
      <c r="C1587" s="56">
        <v>45916</v>
      </c>
      <c r="F1587" s="734" t="s">
        <v>1610</v>
      </c>
      <c r="G1587" t="s">
        <v>1583</v>
      </c>
    </row>
    <row r="1588" spans="1:7">
      <c r="A1588" s="649" t="s">
        <v>399</v>
      </c>
      <c r="B1588" s="141" t="s">
        <v>249</v>
      </c>
      <c r="C1588" s="56">
        <v>45916</v>
      </c>
      <c r="D1588" s="43">
        <v>251</v>
      </c>
      <c r="F1588" s="735"/>
      <c r="G1588" t="s">
        <v>1583</v>
      </c>
    </row>
    <row r="1589" spans="1:7">
      <c r="A1589" s="134" t="s">
        <v>1072</v>
      </c>
      <c r="B1589" s="311" t="s">
        <v>1026</v>
      </c>
      <c r="C1589" s="56">
        <v>45917</v>
      </c>
      <c r="D1589" s="43">
        <v>75</v>
      </c>
      <c r="F1589" s="735"/>
      <c r="G1589" t="s">
        <v>1583</v>
      </c>
    </row>
    <row r="1590" spans="1:7">
      <c r="A1590" s="141" t="s">
        <v>938</v>
      </c>
      <c r="B1590" s="351" t="s">
        <v>137</v>
      </c>
      <c r="C1590" s="56">
        <v>45917</v>
      </c>
      <c r="D1590" s="155">
        <v>1250</v>
      </c>
      <c r="F1590" s="735" t="s">
        <v>1611</v>
      </c>
      <c r="G1590" t="s">
        <v>1583</v>
      </c>
    </row>
    <row r="1591" spans="1:7">
      <c r="A1591" s="738" t="s">
        <v>548</v>
      </c>
      <c r="B1591" s="315" t="s">
        <v>141</v>
      </c>
      <c r="C1591" s="56">
        <v>45917</v>
      </c>
      <c r="D1591" s="43">
        <v>250</v>
      </c>
      <c r="F1591" s="735" t="s">
        <v>1612</v>
      </c>
      <c r="G1591" t="s">
        <v>1583</v>
      </c>
    </row>
    <row r="1592" spans="1:7">
      <c r="A1592" s="141" t="s">
        <v>920</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249</v>
      </c>
      <c r="C1594" s="56">
        <v>45917</v>
      </c>
      <c r="D1594" s="43">
        <v>253</v>
      </c>
      <c r="F1594" s="735"/>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5"/>
      <c r="G1596" t="s">
        <v>1583</v>
      </c>
    </row>
    <row r="1597" spans="1:7">
      <c r="A1597" s="88" t="s">
        <v>518</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938</v>
      </c>
      <c r="B1599" s="685" t="s">
        <v>137</v>
      </c>
      <c r="C1599" s="56">
        <v>45918</v>
      </c>
      <c r="D1599" s="43">
        <v>361</v>
      </c>
      <c r="F1599" s="735" t="s">
        <v>1616</v>
      </c>
      <c r="G1599" t="s">
        <v>1583</v>
      </c>
    </row>
    <row r="1600" spans="1:7">
      <c r="A1600" s="69" t="s">
        <v>920</v>
      </c>
      <c r="B1600" s="685" t="s">
        <v>137</v>
      </c>
      <c r="C1600" s="56">
        <v>45918</v>
      </c>
      <c r="D1600" s="155">
        <v>1204</v>
      </c>
      <c r="F1600" s="735" t="s">
        <v>1617</v>
      </c>
      <c r="G1600" t="s">
        <v>1583</v>
      </c>
    </row>
    <row r="1601" spans="1:7">
      <c r="A1601" s="69" t="s">
        <v>550</v>
      </c>
      <c r="B1601" s="685" t="s">
        <v>137</v>
      </c>
      <c r="C1601" s="56">
        <v>45918</v>
      </c>
      <c r="D1601" s="155">
        <v>562</v>
      </c>
      <c r="F1601" s="735"/>
      <c r="G1601" t="s">
        <v>1583</v>
      </c>
    </row>
    <row r="1602" spans="1:7">
      <c r="A1602" s="69" t="s">
        <v>927</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249</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946</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249</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233</v>
      </c>
      <c r="C1612" s="56">
        <v>45922</v>
      </c>
      <c r="D1612" s="43">
        <v>329</v>
      </c>
      <c r="F1612" s="735"/>
      <c r="G1612" t="s">
        <v>1583</v>
      </c>
    </row>
    <row r="1613" spans="1:7">
      <c r="A1613" s="304" t="s">
        <v>550</v>
      </c>
      <c r="B1613" s="740" t="s">
        <v>137</v>
      </c>
      <c r="C1613" s="56">
        <v>45922</v>
      </c>
      <c r="D1613" s="43">
        <v>978</v>
      </c>
      <c r="F1613" s="735" t="s">
        <v>1621</v>
      </c>
      <c r="G1613" t="s">
        <v>1583</v>
      </c>
    </row>
    <row r="1614" spans="1:7">
      <c r="A1614" s="305" t="s">
        <v>927</v>
      </c>
      <c r="B1614" s="747" t="s">
        <v>137</v>
      </c>
      <c r="C1614" s="56">
        <v>45922</v>
      </c>
      <c r="D1614" s="43">
        <v>1285</v>
      </c>
      <c r="F1614" s="735" t="s">
        <v>1622</v>
      </c>
      <c r="G1614" t="s">
        <v>1583</v>
      </c>
    </row>
    <row r="1615" spans="1:7">
      <c r="A1615" s="746" t="s">
        <v>581</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249</v>
      </c>
      <c r="C1617" s="56">
        <v>45922</v>
      </c>
      <c r="F1617" s="311" t="s">
        <v>1623</v>
      </c>
      <c r="G1617" t="s">
        <v>1583</v>
      </c>
    </row>
    <row r="1618" spans="1:7">
      <c r="A1618" s="325" t="s">
        <v>531</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233</v>
      </c>
      <c r="C1621" s="56">
        <v>45923</v>
      </c>
      <c r="D1621" s="43">
        <v>427</v>
      </c>
      <c r="F1621" s="69"/>
      <c r="G1621" t="s">
        <v>1583</v>
      </c>
    </row>
    <row r="1622" spans="1:7">
      <c r="A1622" s="69" t="s">
        <v>550</v>
      </c>
      <c r="B1622" s="753" t="s">
        <v>137</v>
      </c>
      <c r="C1622" s="56">
        <v>45923</v>
      </c>
      <c r="D1622" s="43">
        <v>675</v>
      </c>
      <c r="F1622" s="69"/>
      <c r="G1622" t="s">
        <v>1583</v>
      </c>
    </row>
    <row r="1623" spans="1:7">
      <c r="A1623" s="69" t="s">
        <v>553</v>
      </c>
      <c r="B1623" s="754" t="s">
        <v>137</v>
      </c>
      <c r="C1623" s="56">
        <v>45923</v>
      </c>
      <c r="D1623" s="155">
        <v>1231</v>
      </c>
      <c r="F1623" s="69" t="s">
        <v>1626</v>
      </c>
      <c r="G1623" t="s">
        <v>1583</v>
      </c>
    </row>
    <row r="1624" spans="1:7">
      <c r="A1624" s="752" t="s">
        <v>581</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249</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823</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233</v>
      </c>
      <c r="C1630" s="56">
        <v>45924</v>
      </c>
      <c r="D1630" s="43">
        <v>537</v>
      </c>
      <c r="F1630" s="69"/>
      <c r="G1630" t="s">
        <v>1583</v>
      </c>
    </row>
    <row r="1631" spans="1:7">
      <c r="A1631" s="148" t="s">
        <v>556</v>
      </c>
      <c r="B1631" s="763" t="s">
        <v>137</v>
      </c>
      <c r="C1631" s="336">
        <v>45924</v>
      </c>
      <c r="D1631" s="155">
        <v>1205</v>
      </c>
      <c r="F1631" s="69" t="s">
        <v>1629</v>
      </c>
      <c r="G1631" t="s">
        <v>1583</v>
      </c>
    </row>
    <row r="1632" spans="1:7">
      <c r="A1632" s="69" t="s">
        <v>553</v>
      </c>
      <c r="B1632" s="395" t="s">
        <v>137</v>
      </c>
      <c r="C1632" s="56">
        <v>45924</v>
      </c>
      <c r="D1632" s="765">
        <v>1538</v>
      </c>
      <c r="F1632" s="69" t="s">
        <v>1630</v>
      </c>
      <c r="G1632" t="s">
        <v>1583</v>
      </c>
    </row>
    <row r="1633" spans="1:7">
      <c r="A1633" s="762" t="s">
        <v>904</v>
      </c>
      <c r="B1633" s="395" t="s">
        <v>1026</v>
      </c>
      <c r="C1633" s="56">
        <v>45924</v>
      </c>
      <c r="D1633" s="161">
        <v>240</v>
      </c>
      <c r="F1633" s="69"/>
      <c r="G1633" t="s">
        <v>1583</v>
      </c>
    </row>
    <row r="1634" spans="1:7">
      <c r="A1634" s="762" t="s">
        <v>938</v>
      </c>
      <c r="B1634" s="395" t="s">
        <v>137</v>
      </c>
      <c r="C1634" s="56">
        <v>45924</v>
      </c>
      <c r="D1634" s="161"/>
      <c r="F1634" s="337" t="s">
        <v>1631</v>
      </c>
      <c r="G1634" t="s">
        <v>1583</v>
      </c>
    </row>
    <row r="1635" spans="1:7">
      <c r="A1635" s="69" t="s">
        <v>550</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249</v>
      </c>
      <c r="C1637" s="56">
        <v>45924</v>
      </c>
      <c r="D1637" s="43">
        <v>190</v>
      </c>
      <c r="F1637" s="69"/>
      <c r="G1637" t="s">
        <v>1583</v>
      </c>
    </row>
    <row r="1638" spans="1:7">
      <c r="A1638" s="157" t="s">
        <v>299</v>
      </c>
      <c r="B1638" s="247" t="s">
        <v>1026</v>
      </c>
      <c r="C1638" s="56">
        <v>45924</v>
      </c>
      <c r="D1638" s="43">
        <v>362</v>
      </c>
      <c r="F1638" s="30"/>
      <c r="G1638" t="s">
        <v>1583</v>
      </c>
    </row>
    <row r="1639" spans="1:7">
      <c r="A1639" s="757" t="s">
        <v>1074</v>
      </c>
      <c r="B1639" s="432" t="s">
        <v>823</v>
      </c>
      <c r="C1639" s="56">
        <v>45924</v>
      </c>
      <c r="F1639" s="311" t="s">
        <v>1633</v>
      </c>
      <c r="G1639" t="s">
        <v>1583</v>
      </c>
    </row>
    <row r="1640" spans="1:7">
      <c r="A1640" s="784" t="s">
        <v>525</v>
      </c>
      <c r="B1640" s="131" t="s">
        <v>249</v>
      </c>
      <c r="C1640" s="56">
        <v>45924</v>
      </c>
      <c r="D1640" s="43">
        <v>406</v>
      </c>
      <c r="F1640" s="30"/>
      <c r="G1640" t="s">
        <v>1583</v>
      </c>
    </row>
    <row r="1641" spans="1:7">
      <c r="A1641" s="758" t="s">
        <v>938</v>
      </c>
      <c r="B1641" s="632" t="s">
        <v>1026</v>
      </c>
      <c r="C1641" s="56">
        <v>45924</v>
      </c>
      <c r="E1641" s="321">
        <v>1837</v>
      </c>
      <c r="F1641" s="69" t="s">
        <v>1634</v>
      </c>
      <c r="G1641" t="s">
        <v>1583</v>
      </c>
    </row>
    <row r="1642" spans="1:7">
      <c r="A1642" s="758" t="s">
        <v>920</v>
      </c>
      <c r="B1642" s="632" t="s">
        <v>1026</v>
      </c>
      <c r="C1642" s="56">
        <v>45924</v>
      </c>
      <c r="E1642" s="139">
        <v>731</v>
      </c>
      <c r="F1642" s="69" t="s">
        <v>1634</v>
      </c>
      <c r="G1642" t="s">
        <v>1583</v>
      </c>
    </row>
    <row r="1643" spans="1:7">
      <c r="A1643" s="758" t="s">
        <v>550</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5" t="s">
        <v>1073</v>
      </c>
      <c r="B1646" s="141" t="s">
        <v>233</v>
      </c>
      <c r="C1646" s="56">
        <v>45925</v>
      </c>
      <c r="D1646" s="43">
        <v>646</v>
      </c>
      <c r="F1646" s="69" t="s">
        <v>1255</v>
      </c>
      <c r="G1646" t="s">
        <v>1583</v>
      </c>
    </row>
    <row r="1647" spans="1:7">
      <c r="A1647" s="69" t="s">
        <v>556</v>
      </c>
      <c r="B1647" s="753" t="s">
        <v>137</v>
      </c>
      <c r="C1647" s="56">
        <v>45925</v>
      </c>
      <c r="D1647" s="155">
        <v>1000</v>
      </c>
      <c r="F1647" s="30"/>
      <c r="G1647" t="s">
        <v>1583</v>
      </c>
    </row>
    <row r="1648" spans="1:7">
      <c r="A1648" s="69" t="s">
        <v>553</v>
      </c>
      <c r="B1648" s="754" t="s">
        <v>137</v>
      </c>
      <c r="C1648" s="56">
        <v>45925</v>
      </c>
      <c r="D1648" s="155">
        <v>1377</v>
      </c>
      <c r="F1648" s="69" t="s">
        <v>1635</v>
      </c>
      <c r="G1648" t="s">
        <v>1583</v>
      </c>
    </row>
    <row r="1649" spans="1:7">
      <c r="A1649" s="752" t="s">
        <v>904</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249</v>
      </c>
      <c r="C1652" s="56">
        <v>45925</v>
      </c>
      <c r="F1652" s="141" t="s">
        <v>1169</v>
      </c>
      <c r="G1652" t="s">
        <v>1583</v>
      </c>
    </row>
    <row r="1653" spans="1:7">
      <c r="A1653" s="157" t="s">
        <v>299</v>
      </c>
      <c r="B1653" s="247" t="s">
        <v>1026</v>
      </c>
      <c r="C1653" s="56">
        <v>45925</v>
      </c>
      <c r="D1653" s="43">
        <v>399</v>
      </c>
      <c r="G1653" t="s">
        <v>1583</v>
      </c>
    </row>
    <row r="1654" spans="1:7">
      <c r="A1654" s="757" t="s">
        <v>1074</v>
      </c>
      <c r="B1654" s="432" t="s">
        <v>823</v>
      </c>
      <c r="C1654" s="56">
        <v>45925</v>
      </c>
      <c r="F1654" s="311" t="s">
        <v>1638</v>
      </c>
      <c r="G1654" t="s">
        <v>1583</v>
      </c>
    </row>
    <row r="1655" spans="1:7">
      <c r="A1655" s="318" t="s">
        <v>1073</v>
      </c>
      <c r="B1655" s="141" t="s">
        <v>233</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249</v>
      </c>
      <c r="C1660" s="56">
        <v>45926</v>
      </c>
      <c r="D1660" s="43">
        <v>551</v>
      </c>
      <c r="G1660" t="s">
        <v>1583</v>
      </c>
    </row>
    <row r="1661" spans="1:7">
      <c r="A1661" s="325" t="s">
        <v>299</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904</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553</v>
      </c>
      <c r="B1667" s="738"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249</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249</v>
      </c>
      <c r="C1672" s="56">
        <v>45929</v>
      </c>
      <c r="D1672" s="43">
        <v>479</v>
      </c>
      <c r="G1672" t="s">
        <v>1583</v>
      </c>
    </row>
    <row r="1673" spans="1:7">
      <c r="A1673" s="43" t="s">
        <v>402</v>
      </c>
      <c r="B1673" s="318" t="s">
        <v>249</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2"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927</v>
      </c>
      <c r="B1680" s="141" t="s">
        <v>1026</v>
      </c>
      <c r="C1680" s="310">
        <v>45930</v>
      </c>
      <c r="E1680" s="139">
        <v>536</v>
      </c>
      <c r="G1680" t="s">
        <v>1583</v>
      </c>
    </row>
    <row r="1681" spans="1:7">
      <c r="A1681" s="803" t="s">
        <v>553</v>
      </c>
      <c r="B1681" s="141" t="s">
        <v>1026</v>
      </c>
      <c r="C1681" s="310">
        <v>45930</v>
      </c>
      <c r="E1681" s="139">
        <v>886</v>
      </c>
      <c r="G1681" t="s">
        <v>1583</v>
      </c>
    </row>
    <row r="1682" spans="1:7">
      <c r="A1682" s="134" t="s">
        <v>376</v>
      </c>
      <c r="B1682" s="304" t="s">
        <v>377</v>
      </c>
      <c r="C1682" s="56">
        <v>45930</v>
      </c>
      <c r="D1682" s="155">
        <v>1016</v>
      </c>
      <c r="G1682" t="s">
        <v>1583</v>
      </c>
    </row>
    <row r="1683" spans="1:7">
      <c r="A1683" s="803"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249</v>
      </c>
      <c r="C1685" s="56">
        <v>45930</v>
      </c>
      <c r="D1685" s="43">
        <v>251</v>
      </c>
      <c r="G1685" t="s">
        <v>1583</v>
      </c>
    </row>
    <row r="1686" spans="1:7">
      <c r="A1686" s="526" t="s">
        <v>525</v>
      </c>
      <c r="B1686" s="349" t="s">
        <v>249</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4"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564</v>
      </c>
      <c r="B1692" s="738" t="s">
        <v>137</v>
      </c>
      <c r="C1692" s="56">
        <v>45931</v>
      </c>
      <c r="D1692" s="155">
        <v>1118</v>
      </c>
      <c r="G1692" t="s">
        <v>1649</v>
      </c>
    </row>
    <row r="1693" spans="1:7">
      <c r="A1693" s="134" t="s">
        <v>376</v>
      </c>
      <c r="B1693" s="141" t="s">
        <v>377</v>
      </c>
      <c r="C1693" s="56">
        <v>45931</v>
      </c>
      <c r="D1693" s="43">
        <v>312</v>
      </c>
      <c r="G1693" t="s">
        <v>1649</v>
      </c>
    </row>
    <row r="1694" spans="1:7">
      <c r="A1694" s="552" t="s">
        <v>525</v>
      </c>
      <c r="B1694" s="141" t="s">
        <v>249</v>
      </c>
      <c r="C1694" s="56">
        <v>45931</v>
      </c>
      <c r="D1694" s="43">
        <v>753</v>
      </c>
      <c r="G1694" t="s">
        <v>1649</v>
      </c>
    </row>
    <row r="1695" spans="1:7">
      <c r="A1695" s="305" t="s">
        <v>402</v>
      </c>
      <c r="B1695" s="348" t="s">
        <v>249</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4"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564</v>
      </c>
      <c r="B1701" s="738" t="s">
        <v>137</v>
      </c>
      <c r="C1701" s="56">
        <v>45932</v>
      </c>
      <c r="D1701" s="155">
        <v>1472</v>
      </c>
      <c r="F1701" s="43" t="s">
        <v>1604</v>
      </c>
      <c r="G1701" t="s">
        <v>1649</v>
      </c>
    </row>
    <row r="1702" spans="1:7">
      <c r="A1702" s="804" t="s">
        <v>924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525</v>
      </c>
      <c r="B1705" s="141" t="s">
        <v>249</v>
      </c>
      <c r="C1705" s="56">
        <v>45932</v>
      </c>
      <c r="D1705" s="43">
        <v>305</v>
      </c>
      <c r="G1705" t="s">
        <v>1649</v>
      </c>
    </row>
    <row r="1706" spans="1:7">
      <c r="A1706" s="305" t="s">
        <v>402</v>
      </c>
      <c r="B1706" s="348" t="s">
        <v>249</v>
      </c>
      <c r="C1706" s="56">
        <v>45932</v>
      </c>
      <c r="D1706" s="43">
        <v>789</v>
      </c>
      <c r="F1706" s="43" t="s">
        <v>1655</v>
      </c>
      <c r="G1706" t="s">
        <v>1649</v>
      </c>
    </row>
    <row r="1707" spans="1:7">
      <c r="A1707" s="141" t="s">
        <v>399</v>
      </c>
      <c r="B1707" s="141" t="s">
        <v>249</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249</v>
      </c>
      <c r="C1715" s="56">
        <v>45933</v>
      </c>
      <c r="F1715" s="43" t="s">
        <v>1658</v>
      </c>
      <c r="G1715" t="s">
        <v>1649</v>
      </c>
    </row>
    <row r="1716" spans="1:7">
      <c r="A1716" s="306" t="s">
        <v>399</v>
      </c>
      <c r="B1716" s="141" t="s">
        <v>249</v>
      </c>
      <c r="C1716" s="56">
        <v>45933</v>
      </c>
      <c r="F1716" s="43" t="s">
        <v>1658</v>
      </c>
      <c r="G1716" t="s">
        <v>1649</v>
      </c>
    </row>
    <row r="1717" spans="1:7">
      <c r="A1717" s="134" t="s">
        <v>1050</v>
      </c>
      <c r="B1717" s="311" t="s">
        <v>1026</v>
      </c>
      <c r="C1717" s="56">
        <v>45936</v>
      </c>
      <c r="D1717" s="43">
        <v>65</v>
      </c>
      <c r="G1717" t="s">
        <v>1649</v>
      </c>
    </row>
    <row r="1718" spans="1:7">
      <c r="A1718" s="584" t="s">
        <v>518</v>
      </c>
      <c r="B1718" s="311" t="s">
        <v>1026</v>
      </c>
      <c r="C1718" s="56">
        <v>45936</v>
      </c>
      <c r="D1718" s="43">
        <v>175</v>
      </c>
      <c r="G1718" t="s">
        <v>1649</v>
      </c>
    </row>
    <row r="1719" spans="1:7">
      <c r="A1719" s="584" t="s">
        <v>618</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823</v>
      </c>
      <c r="C1725" s="56">
        <v>45936</v>
      </c>
      <c r="D1725" s="43">
        <v>225</v>
      </c>
      <c r="G1725" t="s">
        <v>1649</v>
      </c>
    </row>
    <row r="1726" spans="1:7">
      <c r="A1726" s="550" t="s">
        <v>525</v>
      </c>
      <c r="B1726" s="306" t="s">
        <v>249</v>
      </c>
      <c r="C1726" s="56">
        <v>45936</v>
      </c>
      <c r="F1726" s="337" t="s">
        <v>1302</v>
      </c>
      <c r="G1726" t="s">
        <v>1649</v>
      </c>
    </row>
    <row r="1727" spans="1:7">
      <c r="A1727" s="311" t="s">
        <v>402</v>
      </c>
      <c r="B1727" s="311" t="s">
        <v>249</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823</v>
      </c>
      <c r="C1735" s="310">
        <v>45937</v>
      </c>
      <c r="D1735" s="43">
        <v>416</v>
      </c>
      <c r="G1735" t="s">
        <v>1649</v>
      </c>
    </row>
    <row r="1736" spans="1:7">
      <c r="A1736" s="141" t="s">
        <v>1074</v>
      </c>
      <c r="B1736" s="141" t="s">
        <v>1026</v>
      </c>
      <c r="C1736" s="310">
        <v>45937</v>
      </c>
      <c r="D1736" s="43">
        <v>871</v>
      </c>
      <c r="G1736" t="s">
        <v>1649</v>
      </c>
    </row>
    <row r="1737" spans="1:7">
      <c r="A1737" s="141" t="s">
        <v>402</v>
      </c>
      <c r="B1737" s="141" t="s">
        <v>249</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182</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564</v>
      </c>
      <c r="B1743" s="141" t="s">
        <v>137</v>
      </c>
      <c r="C1743" s="56">
        <v>45938</v>
      </c>
      <c r="D1743" s="43">
        <v>308</v>
      </c>
      <c r="F1743" s="43" t="s">
        <v>1665</v>
      </c>
      <c r="G1743" t="s">
        <v>1649</v>
      </c>
    </row>
    <row r="1744" spans="1:7">
      <c r="A1744" s="648"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823</v>
      </c>
      <c r="C1747" s="56">
        <v>45938</v>
      </c>
      <c r="D1747" s="43">
        <v>418</v>
      </c>
      <c r="G1747" t="s">
        <v>1649</v>
      </c>
    </row>
    <row r="1748" spans="1:7">
      <c r="A1748" s="306" t="s">
        <v>402</v>
      </c>
      <c r="B1748" s="317" t="s">
        <v>249</v>
      </c>
      <c r="C1748" s="56">
        <v>45938</v>
      </c>
      <c r="D1748" s="43">
        <v>512</v>
      </c>
      <c r="F1748" s="43" t="s">
        <v>1600</v>
      </c>
      <c r="G1748" t="s">
        <v>1649</v>
      </c>
    </row>
    <row r="1749" spans="1:7">
      <c r="A1749" s="594" t="s">
        <v>515</v>
      </c>
      <c r="B1749" s="398" t="s">
        <v>1026</v>
      </c>
      <c r="C1749" s="56">
        <v>45939</v>
      </c>
      <c r="D1749" s="43">
        <v>270</v>
      </c>
      <c r="G1749" t="s">
        <v>1649</v>
      </c>
    </row>
    <row r="1750" spans="1:7">
      <c r="A1750" s="88" t="s">
        <v>1044</v>
      </c>
      <c r="B1750" s="398" t="s">
        <v>1026</v>
      </c>
      <c r="C1750" s="56">
        <v>45939</v>
      </c>
      <c r="D1750" s="43">
        <v>229</v>
      </c>
      <c r="G1750" t="s">
        <v>1649</v>
      </c>
    </row>
    <row r="1751" spans="1:7">
      <c r="A1751" s="684" t="s">
        <v>182</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564</v>
      </c>
      <c r="B1753" s="395" t="s">
        <v>137</v>
      </c>
      <c r="C1753" s="56">
        <v>45939</v>
      </c>
      <c r="F1753" s="619"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823</v>
      </c>
      <c r="C1757" s="56">
        <v>45939</v>
      </c>
      <c r="F1757" s="619" t="s">
        <v>1169</v>
      </c>
      <c r="G1757" t="s">
        <v>1649</v>
      </c>
    </row>
    <row r="1758" spans="1:7">
      <c r="A1758" s="115" t="s">
        <v>402</v>
      </c>
      <c r="B1758" s="317" t="s">
        <v>249</v>
      </c>
      <c r="C1758" s="56">
        <v>45939</v>
      </c>
      <c r="D1758" s="43">
        <v>369</v>
      </c>
      <c r="G1758" t="s">
        <v>1649</v>
      </c>
    </row>
    <row r="1759" spans="1:7">
      <c r="A1759" s="115" t="s">
        <v>399</v>
      </c>
      <c r="B1759" s="317" t="s">
        <v>249</v>
      </c>
      <c r="C1759" s="56">
        <v>45939</v>
      </c>
      <c r="D1759" s="43">
        <v>725</v>
      </c>
      <c r="G1759" t="s">
        <v>1649</v>
      </c>
    </row>
    <row r="1760" spans="1:7">
      <c r="A1760" s="123" t="s">
        <v>515</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940</v>
      </c>
      <c r="B1764" s="304" t="s">
        <v>1026</v>
      </c>
      <c r="C1764" s="56">
        <v>45940</v>
      </c>
      <c r="F1764" s="337" t="s">
        <v>1669</v>
      </c>
      <c r="G1764" t="s">
        <v>1649</v>
      </c>
    </row>
    <row r="1765" spans="1:7">
      <c r="A1765" s="311" t="s">
        <v>1074</v>
      </c>
      <c r="B1765" s="311" t="s">
        <v>823</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5" t="s">
        <v>1673</v>
      </c>
      <c r="G1769" t="s">
        <v>1649</v>
      </c>
    </row>
    <row r="1770" spans="1:7">
      <c r="A1770" s="924" t="s">
        <v>523</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182</v>
      </c>
      <c r="B1772" s="141" t="s">
        <v>137</v>
      </c>
      <c r="C1772" s="56">
        <v>45943</v>
      </c>
      <c r="D1772" s="43">
        <v>828</v>
      </c>
      <c r="G1772" t="s">
        <v>1649</v>
      </c>
    </row>
    <row r="1773" spans="1:7">
      <c r="A1773" s="788" t="s">
        <v>566</v>
      </c>
      <c r="B1773" s="305" t="s">
        <v>137</v>
      </c>
      <c r="C1773" s="56">
        <v>45943</v>
      </c>
      <c r="D1773" s="155">
        <v>1768</v>
      </c>
      <c r="G1773" t="s">
        <v>1649</v>
      </c>
    </row>
    <row r="1774" spans="1:7">
      <c r="A1774" s="926"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523</v>
      </c>
      <c r="B1778" s="315" t="s">
        <v>1640</v>
      </c>
      <c r="C1778" s="56">
        <v>45944</v>
      </c>
      <c r="D1778" s="43">
        <v>435</v>
      </c>
      <c r="G1778" t="s">
        <v>1649</v>
      </c>
    </row>
    <row r="1779" spans="1:7">
      <c r="A1779" s="88" t="s">
        <v>1050</v>
      </c>
      <c r="B1779" s="311" t="s">
        <v>1026</v>
      </c>
      <c r="C1779" s="56">
        <v>45944</v>
      </c>
      <c r="F1779" s="927" t="s">
        <v>1673</v>
      </c>
      <c r="G1779" t="s">
        <v>1649</v>
      </c>
    </row>
    <row r="1780" spans="1:7">
      <c r="A1780" s="337" t="s">
        <v>962</v>
      </c>
      <c r="B1780" s="337" t="s">
        <v>1026</v>
      </c>
      <c r="C1780" s="56">
        <v>45944</v>
      </c>
      <c r="F1780" s="337" t="s">
        <v>1675</v>
      </c>
      <c r="G1780" t="s">
        <v>1649</v>
      </c>
    </row>
    <row r="1781" spans="1:7">
      <c r="A1781" s="317" t="s">
        <v>182</v>
      </c>
      <c r="B1781" s="306" t="s">
        <v>137</v>
      </c>
      <c r="C1781" s="56">
        <v>45944</v>
      </c>
      <c r="D1781" s="43">
        <v>150</v>
      </c>
      <c r="G1781" t="s">
        <v>1649</v>
      </c>
    </row>
    <row r="1782" spans="1:7">
      <c r="A1782" s="807" t="s">
        <v>566</v>
      </c>
      <c r="B1782" s="141" t="s">
        <v>137</v>
      </c>
      <c r="C1782" s="310">
        <v>45944</v>
      </c>
      <c r="D1782" s="43">
        <v>510</v>
      </c>
      <c r="F1782" s="43" t="s">
        <v>1676</v>
      </c>
      <c r="G1782" t="s">
        <v>1649</v>
      </c>
    </row>
    <row r="1783" spans="1:7">
      <c r="A1783" s="807"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249</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523</v>
      </c>
      <c r="B1789" s="315" t="s">
        <v>1640</v>
      </c>
      <c r="C1789" s="56">
        <v>45945</v>
      </c>
      <c r="D1789" s="43">
        <v>227</v>
      </c>
      <c r="F1789" s="43" t="s">
        <v>1679</v>
      </c>
      <c r="G1789" t="s">
        <v>1649</v>
      </c>
    </row>
    <row r="1790" spans="1:7">
      <c r="A1790" s="617" t="s">
        <v>962</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2" t="s">
        <v>942</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249</v>
      </c>
      <c r="C1796" s="56">
        <v>45945</v>
      </c>
      <c r="D1796" s="155">
        <v>1221</v>
      </c>
      <c r="F1796" s="43" t="s">
        <v>1686</v>
      </c>
      <c r="G1796" t="s">
        <v>1649</v>
      </c>
    </row>
    <row r="1797" spans="1:7">
      <c r="A1797" s="644" t="s">
        <v>1044</v>
      </c>
      <c r="B1797" s="141" t="s">
        <v>1026</v>
      </c>
      <c r="C1797" s="310">
        <v>45946</v>
      </c>
      <c r="D1797" s="43">
        <v>570</v>
      </c>
      <c r="G1797" t="s">
        <v>1649</v>
      </c>
    </row>
    <row r="1798" spans="1:7">
      <c r="A1798" s="934" t="s">
        <v>1050</v>
      </c>
      <c r="B1798" s="141" t="s">
        <v>1026</v>
      </c>
      <c r="C1798" s="310">
        <v>45946</v>
      </c>
      <c r="F1798" s="316" t="s">
        <v>1673</v>
      </c>
      <c r="G1798" t="s">
        <v>1649</v>
      </c>
    </row>
    <row r="1799" spans="1:7">
      <c r="A1799" s="935" t="s">
        <v>523</v>
      </c>
      <c r="B1799" s="141" t="s">
        <v>1640</v>
      </c>
      <c r="C1799" s="310">
        <v>45946</v>
      </c>
      <c r="D1799" s="43">
        <v>487</v>
      </c>
      <c r="F1799" s="43" t="s">
        <v>1687</v>
      </c>
      <c r="G1799" t="s">
        <v>1649</v>
      </c>
    </row>
    <row r="1800" spans="1:7">
      <c r="A1800" s="936" t="s">
        <v>570</v>
      </c>
      <c r="B1800" s="141" t="s">
        <v>137</v>
      </c>
      <c r="C1800" s="310">
        <v>45946</v>
      </c>
      <c r="D1800" s="43">
        <v>359</v>
      </c>
      <c r="F1800" s="43" t="s">
        <v>1688</v>
      </c>
      <c r="G1800" t="s">
        <v>1649</v>
      </c>
    </row>
    <row r="1801" spans="1:7">
      <c r="A1801" s="937" t="s">
        <v>942</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182</v>
      </c>
      <c r="B1803" s="141" t="s">
        <v>137</v>
      </c>
      <c r="C1803" s="310">
        <v>45946</v>
      </c>
      <c r="D1803" s="43">
        <v>688</v>
      </c>
      <c r="F1803" s="43" t="s">
        <v>1490</v>
      </c>
      <c r="G1803" t="s">
        <v>1649</v>
      </c>
    </row>
    <row r="1804" spans="1:7">
      <c r="A1804" s="933" t="s">
        <v>299</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249</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4" t="s">
        <v>564</v>
      </c>
      <c r="B1810" s="684" t="s">
        <v>1026</v>
      </c>
      <c r="C1810" s="56">
        <v>45947</v>
      </c>
      <c r="F1810" s="43" t="s">
        <v>1693</v>
      </c>
      <c r="G1810" t="s">
        <v>1649</v>
      </c>
    </row>
    <row r="1811" spans="1:7">
      <c r="A1811" s="148" t="s">
        <v>1079</v>
      </c>
      <c r="B1811" s="115" t="s">
        <v>454</v>
      </c>
      <c r="C1811" s="56">
        <v>45947</v>
      </c>
      <c r="F1811" s="43" t="s">
        <v>1694</v>
      </c>
      <c r="G1811" t="s">
        <v>1649</v>
      </c>
    </row>
    <row r="1812" spans="1:7">
      <c r="A1812" s="619" t="s">
        <v>395</v>
      </c>
      <c r="B1812" s="43" t="s">
        <v>1684</v>
      </c>
      <c r="C1812" s="56">
        <v>45947</v>
      </c>
      <c r="D1812" s="43">
        <v>945</v>
      </c>
      <c r="F1812" s="43" t="s">
        <v>1695</v>
      </c>
      <c r="G1812" t="s">
        <v>1649</v>
      </c>
    </row>
    <row r="1813" spans="1:7">
      <c r="A1813" s="947" t="s">
        <v>1044</v>
      </c>
      <c r="B1813" s="784" t="s">
        <v>1026</v>
      </c>
      <c r="C1813" s="56">
        <v>45950</v>
      </c>
      <c r="D1813" s="43">
        <v>92</v>
      </c>
      <c r="F1813" s="43" t="s">
        <v>1592</v>
      </c>
      <c r="G1813" t="s">
        <v>1649</v>
      </c>
    </row>
    <row r="1814" spans="1:7">
      <c r="A1814" s="948" t="s">
        <v>518</v>
      </c>
      <c r="B1814" s="761" t="s">
        <v>1026</v>
      </c>
      <c r="C1814" s="56">
        <v>45950</v>
      </c>
      <c r="D1814" s="43">
        <v>153</v>
      </c>
      <c r="F1814" s="951"/>
      <c r="G1814" t="s">
        <v>1649</v>
      </c>
    </row>
    <row r="1815" spans="1:7">
      <c r="A1815" s="949" t="s">
        <v>523</v>
      </c>
      <c r="B1815" s="950" t="s">
        <v>1640</v>
      </c>
      <c r="C1815" s="56">
        <v>45950</v>
      </c>
      <c r="F1815" s="951" t="s">
        <v>1696</v>
      </c>
      <c r="G1815" t="s">
        <v>1649</v>
      </c>
    </row>
    <row r="1816" spans="1:7">
      <c r="A1816" s="949" t="s">
        <v>1050</v>
      </c>
      <c r="B1816" s="950" t="s">
        <v>1026</v>
      </c>
      <c r="C1816" s="56">
        <v>45950</v>
      </c>
      <c r="D1816" s="43">
        <v>455</v>
      </c>
      <c r="G1816" t="s">
        <v>1649</v>
      </c>
    </row>
    <row r="1817" spans="1:7">
      <c r="A1817" s="761" t="s">
        <v>942</v>
      </c>
      <c r="B1817" s="761" t="s">
        <v>137</v>
      </c>
      <c r="C1817" s="56">
        <v>45950</v>
      </c>
      <c r="D1817" s="43">
        <v>853</v>
      </c>
      <c r="F1817" s="43" t="s">
        <v>1697</v>
      </c>
      <c r="G1817" t="s">
        <v>1649</v>
      </c>
    </row>
    <row r="1818" spans="1:7">
      <c r="A1818" s="950" t="s">
        <v>1079</v>
      </c>
      <c r="B1818" s="950" t="s">
        <v>454</v>
      </c>
      <c r="C1818" s="56">
        <v>45950</v>
      </c>
      <c r="D1818" s="155">
        <v>3343</v>
      </c>
      <c r="F1818" s="43" t="s">
        <v>1698</v>
      </c>
      <c r="G1818" t="s">
        <v>1649</v>
      </c>
    </row>
    <row r="1819" spans="1:7">
      <c r="A1819" s="952" t="s">
        <v>525</v>
      </c>
      <c r="B1819" s="953" t="s">
        <v>1026</v>
      </c>
      <c r="C1819" s="56">
        <v>45950</v>
      </c>
      <c r="D1819" s="43">
        <v>151</v>
      </c>
      <c r="G1819" t="s">
        <v>1649</v>
      </c>
    </row>
    <row r="1820" spans="1:7">
      <c r="A1820" s="761" t="s">
        <v>395</v>
      </c>
      <c r="B1820" s="761" t="s">
        <v>1684</v>
      </c>
      <c r="C1820" s="56">
        <v>45950</v>
      </c>
      <c r="D1820" s="155">
        <v>1186</v>
      </c>
      <c r="F1820" s="43" t="s">
        <v>1524</v>
      </c>
      <c r="G1820" t="s">
        <v>1649</v>
      </c>
    </row>
    <row r="1821" spans="1:7">
      <c r="A1821" s="950" t="s">
        <v>392</v>
      </c>
      <c r="B1821" s="950" t="s">
        <v>249</v>
      </c>
      <c r="C1821" s="56">
        <v>45950</v>
      </c>
      <c r="D1821" s="155">
        <v>1100</v>
      </c>
      <c r="G1821" t="s">
        <v>1649</v>
      </c>
    </row>
    <row r="1822" spans="1:7">
      <c r="A1822" s="968" t="s">
        <v>518</v>
      </c>
      <c r="B1822" s="961" t="s">
        <v>1026</v>
      </c>
      <c r="C1822" s="56">
        <v>45951</v>
      </c>
      <c r="D1822" s="155">
        <v>244</v>
      </c>
      <c r="G1822" t="s">
        <v>1649</v>
      </c>
    </row>
    <row r="1823" spans="1:7">
      <c r="A1823" s="88" t="s">
        <v>523</v>
      </c>
      <c r="B1823" s="956" t="s">
        <v>1640</v>
      </c>
      <c r="C1823" s="56">
        <v>45951</v>
      </c>
      <c r="D1823" s="43">
        <v>413</v>
      </c>
      <c r="F1823" s="43" t="s">
        <v>1118</v>
      </c>
      <c r="G1823" t="s">
        <v>1649</v>
      </c>
    </row>
    <row r="1824" spans="1:7">
      <c r="A1824" s="957" t="s">
        <v>570</v>
      </c>
      <c r="B1824" s="684"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9" t="s">
        <v>944</v>
      </c>
      <c r="B1826" s="960"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1"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249</v>
      </c>
      <c r="C1830" s="56">
        <v>45951</v>
      </c>
      <c r="D1830" s="43">
        <v>527</v>
      </c>
      <c r="F1830" s="43" t="s">
        <v>1691</v>
      </c>
      <c r="G1830" t="s">
        <v>1649</v>
      </c>
    </row>
    <row r="1831" spans="1:7">
      <c r="A1831" s="91" t="s">
        <v>405</v>
      </c>
      <c r="B1831" s="958"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6" t="s">
        <v>1640</v>
      </c>
      <c r="C1833" s="56">
        <v>45952</v>
      </c>
      <c r="D1833" s="43">
        <v>190</v>
      </c>
      <c r="G1833" t="s">
        <v>1649</v>
      </c>
    </row>
    <row r="1834" spans="1:7">
      <c r="A1834" s="807" t="s">
        <v>1079</v>
      </c>
      <c r="B1834" s="807" t="s">
        <v>454</v>
      </c>
      <c r="C1834" s="56">
        <v>45952</v>
      </c>
      <c r="D1834" s="155">
        <v>2013</v>
      </c>
      <c r="F1834" s="320" t="s">
        <v>1704</v>
      </c>
      <c r="G1834" t="s">
        <v>1649</v>
      </c>
    </row>
    <row r="1835" spans="1:7">
      <c r="A1835" s="807" t="s">
        <v>576</v>
      </c>
      <c r="B1835" s="807" t="s">
        <v>137</v>
      </c>
      <c r="C1835" s="56">
        <v>45952</v>
      </c>
      <c r="D1835" s="155">
        <v>1604</v>
      </c>
      <c r="F1835" s="43" t="s">
        <v>1705</v>
      </c>
      <c r="G1835" t="s">
        <v>1649</v>
      </c>
    </row>
    <row r="1836" spans="1:7">
      <c r="A1836" s="959" t="s">
        <v>944</v>
      </c>
      <c r="B1836" s="395" t="s">
        <v>137</v>
      </c>
      <c r="C1836" s="56">
        <v>45952</v>
      </c>
      <c r="D1836" s="155">
        <v>1672</v>
      </c>
      <c r="F1836" s="43" t="s">
        <v>1706</v>
      </c>
      <c r="G1836" t="s">
        <v>1649</v>
      </c>
    </row>
    <row r="1837" spans="1:7">
      <c r="A1837" s="933" t="s">
        <v>525</v>
      </c>
      <c r="B1837" s="969"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249</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518</v>
      </c>
      <c r="B1842" s="976"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70" t="s">
        <v>944</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3" t="s">
        <v>525</v>
      </c>
      <c r="B1849" s="969"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6"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3" t="s">
        <v>525</v>
      </c>
      <c r="B1857" s="969"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70"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3" t="s">
        <v>299</v>
      </c>
      <c r="B1869" s="969"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249</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70" t="s">
        <v>562</v>
      </c>
      <c r="B1880" s="395" t="s">
        <v>137</v>
      </c>
      <c r="C1880" s="56">
        <v>45958</v>
      </c>
      <c r="D1880" s="155">
        <v>1678</v>
      </c>
      <c r="F1880" s="43" t="s">
        <v>1732</v>
      </c>
      <c r="G1880" t="s">
        <v>1649</v>
      </c>
    </row>
    <row r="1881" spans="1:7">
      <c r="A1881" s="970" t="s">
        <v>944</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249</v>
      </c>
      <c r="C1884" s="56">
        <v>45958</v>
      </c>
      <c r="D1884" s="155">
        <v>1224</v>
      </c>
      <c r="G1884" t="s">
        <v>1649</v>
      </c>
    </row>
    <row r="1885" spans="1:7">
      <c r="A1885" s="43" t="s">
        <v>392</v>
      </c>
      <c r="B1885" s="656" t="s">
        <v>249</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454</v>
      </c>
      <c r="C1892" s="56">
        <v>45959</v>
      </c>
      <c r="D1892" s="155">
        <v>1096</v>
      </c>
      <c r="F1892" s="43" t="s">
        <v>1739</v>
      </c>
      <c r="G1892" t="s">
        <v>1649</v>
      </c>
    </row>
    <row r="1893" spans="1:7">
      <c r="A1893" s="758" t="s">
        <v>568</v>
      </c>
      <c r="B1893" s="656" t="s">
        <v>137</v>
      </c>
      <c r="C1893" s="56">
        <v>45959</v>
      </c>
      <c r="D1893" s="155">
        <v>1087</v>
      </c>
      <c r="F1893" s="43" t="s">
        <v>1740</v>
      </c>
      <c r="G1893" t="s">
        <v>1649</v>
      </c>
    </row>
    <row r="1894" spans="1:7">
      <c r="A1894" s="983" t="s">
        <v>393</v>
      </c>
      <c r="B1894" s="161" t="s">
        <v>1684</v>
      </c>
      <c r="C1894" s="56">
        <v>45959</v>
      </c>
      <c r="D1894" s="43">
        <v>790</v>
      </c>
      <c r="F1894" s="43" t="s">
        <v>1741</v>
      </c>
      <c r="G1894" t="s">
        <v>1649</v>
      </c>
    </row>
    <row r="1895" spans="1:7">
      <c r="A1895" s="43" t="s">
        <v>392</v>
      </c>
      <c r="B1895" s="656" t="s">
        <v>249</v>
      </c>
      <c r="C1895" s="56">
        <v>45959</v>
      </c>
      <c r="D1895" s="43">
        <v>343</v>
      </c>
      <c r="G1895" t="s">
        <v>1649</v>
      </c>
    </row>
    <row r="1896" spans="1:7">
      <c r="A1896" s="69" t="s">
        <v>388</v>
      </c>
      <c r="B1896" s="43" t="s">
        <v>249</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8" t="s">
        <v>137</v>
      </c>
      <c r="C1905" s="56">
        <v>45960</v>
      </c>
      <c r="D1905" s="43">
        <v>394</v>
      </c>
      <c r="E1905" s="321">
        <v>1275</v>
      </c>
      <c r="F1905" s="43" t="s">
        <v>1750</v>
      </c>
      <c r="G1905" t="s">
        <v>1649</v>
      </c>
    </row>
    <row r="1906" spans="1:7">
      <c r="A1906" s="999"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249</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255</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7"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9" t="s">
        <v>1472</v>
      </c>
      <c r="G1921" t="s">
        <v>1649</v>
      </c>
    </row>
    <row r="1922" spans="1:7">
      <c r="A1922" s="43" t="s">
        <v>539</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255</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249</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5" t="s">
        <v>1765</v>
      </c>
      <c r="G1937" t="s">
        <v>1759</v>
      </c>
    </row>
    <row r="1938" spans="1:7">
      <c r="A1938" s="141" t="s">
        <v>407</v>
      </c>
      <c r="B1938" s="1007"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7" t="s">
        <v>1754</v>
      </c>
      <c r="G1940" t="s">
        <v>1759</v>
      </c>
    </row>
    <row r="1941" spans="1:7">
      <c r="A1941" s="88" t="s">
        <v>523</v>
      </c>
      <c r="B1941" s="956" t="s">
        <v>1736</v>
      </c>
      <c r="C1941" s="56">
        <v>45965</v>
      </c>
      <c r="F1941" s="927" t="s">
        <v>1409</v>
      </c>
      <c r="G1941" t="s">
        <v>1759</v>
      </c>
    </row>
    <row r="1942" spans="1:7">
      <c r="A1942" s="148" t="s">
        <v>99</v>
      </c>
      <c r="B1942" s="148" t="s">
        <v>1550</v>
      </c>
      <c r="C1942" s="56">
        <v>45965</v>
      </c>
      <c r="D1942" s="43">
        <v>363</v>
      </c>
      <c r="G1942" t="s">
        <v>1759</v>
      </c>
    </row>
    <row r="1943" spans="1:7">
      <c r="A1943" s="148" t="s">
        <v>99</v>
      </c>
      <c r="B1943" s="148" t="s">
        <v>259</v>
      </c>
      <c r="C1943" s="56">
        <v>45965</v>
      </c>
      <c r="D1943" s="43">
        <v>778</v>
      </c>
      <c r="G1943" t="s">
        <v>1759</v>
      </c>
    </row>
    <row r="1944" spans="1:7">
      <c r="A1944" s="148" t="s">
        <v>99</v>
      </c>
      <c r="B1944" s="43" t="s">
        <v>1640</v>
      </c>
      <c r="C1944" s="56">
        <v>45965</v>
      </c>
      <c r="D1944" s="43">
        <v>550</v>
      </c>
      <c r="G1944" t="s">
        <v>1759</v>
      </c>
    </row>
    <row r="1945" spans="1:7">
      <c r="A1945" s="970"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9" t="s">
        <v>405</v>
      </c>
      <c r="B1949" s="43" t="s">
        <v>1684</v>
      </c>
      <c r="C1949" s="56">
        <v>45965</v>
      </c>
      <c r="D1949" s="43">
        <v>633</v>
      </c>
      <c r="G1949" t="s">
        <v>1759</v>
      </c>
    </row>
    <row r="1950" spans="1:7">
      <c r="A1950" s="43" t="s">
        <v>255</v>
      </c>
      <c r="B1950" s="141" t="s">
        <v>1758</v>
      </c>
      <c r="C1950" s="56">
        <v>45965</v>
      </c>
      <c r="D1950" s="43">
        <v>379</v>
      </c>
      <c r="F1950" s="43" t="s">
        <v>1769</v>
      </c>
      <c r="G1950" t="s">
        <v>1759</v>
      </c>
    </row>
    <row r="1951" spans="1:7">
      <c r="A1951" s="148" t="s">
        <v>388</v>
      </c>
      <c r="B1951" s="43" t="s">
        <v>249</v>
      </c>
      <c r="C1951" s="56">
        <v>45965</v>
      </c>
      <c r="D1951" s="155">
        <v>1072</v>
      </c>
      <c r="F1951" s="43" t="s">
        <v>1770</v>
      </c>
      <c r="G1951" t="s">
        <v>1759</v>
      </c>
    </row>
    <row r="1952" spans="1:7">
      <c r="A1952" s="1009" t="s">
        <v>395</v>
      </c>
      <c r="B1952" s="758" t="s">
        <v>1684</v>
      </c>
      <c r="C1952" s="56">
        <v>45965</v>
      </c>
      <c r="F1952" s="925" t="s">
        <v>1183</v>
      </c>
      <c r="G1952" t="s">
        <v>1759</v>
      </c>
    </row>
    <row r="1953" spans="1:7">
      <c r="A1953" s="371" t="s">
        <v>541</v>
      </c>
      <c r="B1953" s="115" t="s">
        <v>1026</v>
      </c>
      <c r="C1953" s="56">
        <v>45965</v>
      </c>
      <c r="E1953" s="201"/>
      <c r="F1953" s="925"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259</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255</v>
      </c>
      <c r="B1964" s="304" t="s">
        <v>1758</v>
      </c>
      <c r="C1964" s="56">
        <v>45966</v>
      </c>
      <c r="D1964" s="43">
        <v>208</v>
      </c>
      <c r="F1964" s="43" t="s">
        <v>1105</v>
      </c>
      <c r="G1964" t="s">
        <v>1759</v>
      </c>
    </row>
    <row r="1965" spans="1:7">
      <c r="A1965" s="305" t="s">
        <v>388</v>
      </c>
      <c r="B1965" s="304" t="s">
        <v>249</v>
      </c>
      <c r="C1965" s="56">
        <v>45966</v>
      </c>
      <c r="D1965" s="155">
        <v>1034</v>
      </c>
      <c r="G1965" t="s">
        <v>1759</v>
      </c>
    </row>
    <row r="1966" spans="1:7">
      <c r="A1966" s="311" t="s">
        <v>382</v>
      </c>
      <c r="B1966" s="1010" t="s">
        <v>1464</v>
      </c>
      <c r="C1966" s="56">
        <v>45966</v>
      </c>
      <c r="D1966" s="43">
        <v>150</v>
      </c>
      <c r="G1966" t="s">
        <v>1759</v>
      </c>
    </row>
    <row r="1967" spans="1:7">
      <c r="A1967" s="247" t="s">
        <v>376</v>
      </c>
      <c r="B1967" s="157" t="s">
        <v>1763</v>
      </c>
      <c r="C1967" s="56">
        <v>45966</v>
      </c>
      <c r="E1967" s="1015">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0"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255</v>
      </c>
      <c r="B1977" s="141" t="s">
        <v>1758</v>
      </c>
      <c r="C1977" s="56">
        <v>45967</v>
      </c>
      <c r="F1977" s="387" t="s">
        <v>1779</v>
      </c>
      <c r="G1977" t="s">
        <v>1759</v>
      </c>
    </row>
    <row r="1978" spans="1:7">
      <c r="A1978" s="148" t="s">
        <v>388</v>
      </c>
      <c r="B1978" s="43" t="s">
        <v>249</v>
      </c>
      <c r="C1978" s="56">
        <v>45967</v>
      </c>
      <c r="D1978" s="43">
        <v>209</v>
      </c>
      <c r="G1978" t="s">
        <v>1759</v>
      </c>
    </row>
    <row r="1979" spans="1:7">
      <c r="A1979" s="619" t="s">
        <v>404</v>
      </c>
      <c r="B1979" s="758" t="s">
        <v>1684</v>
      </c>
      <c r="C1979" s="56">
        <v>45967</v>
      </c>
      <c r="D1979" s="155">
        <v>1063</v>
      </c>
      <c r="G1979" t="s">
        <v>1759</v>
      </c>
    </row>
    <row r="1980" spans="1:7">
      <c r="A1980" s="734"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255</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249</v>
      </c>
      <c r="C1989" s="56">
        <v>45968</v>
      </c>
      <c r="D1989" s="43">
        <v>569</v>
      </c>
      <c r="G1989" t="s">
        <v>1759</v>
      </c>
    </row>
    <row r="1990" spans="1:7">
      <c r="A1990" s="247" t="s">
        <v>488</v>
      </c>
      <c r="B1990" s="43" t="s">
        <v>137</v>
      </c>
      <c r="C1990" s="56">
        <v>45968</v>
      </c>
      <c r="D1990" s="155">
        <v>2948</v>
      </c>
      <c r="G1990" t="s">
        <v>1759</v>
      </c>
    </row>
    <row r="1991" spans="1:7">
      <c r="A1991" s="956"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249</v>
      </c>
      <c r="C1998" s="56">
        <v>45971</v>
      </c>
      <c r="D1998" s="43">
        <v>96</v>
      </c>
      <c r="G1998" t="s">
        <v>1759</v>
      </c>
    </row>
    <row r="1999" spans="1:7">
      <c r="A1999" s="304" t="s">
        <v>255</v>
      </c>
      <c r="B1999" s="349" t="s">
        <v>1758</v>
      </c>
      <c r="C1999" s="56">
        <v>45971</v>
      </c>
      <c r="D1999" s="43">
        <v>562</v>
      </c>
      <c r="G1999" t="s">
        <v>1759</v>
      </c>
    </row>
    <row r="2000" spans="1:7">
      <c r="A2000" s="141" t="s">
        <v>390</v>
      </c>
      <c r="B2000" s="804" t="s">
        <v>249</v>
      </c>
      <c r="C2000" s="56">
        <v>45971</v>
      </c>
      <c r="D2000" s="43">
        <v>435</v>
      </c>
      <c r="F2000" s="43" t="s">
        <v>1783</v>
      </c>
      <c r="G2000" t="s">
        <v>1759</v>
      </c>
    </row>
    <row r="2001" spans="1:7">
      <c r="A2001" s="1016"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233</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242</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255</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9" t="s">
        <v>242</v>
      </c>
      <c r="B2023" s="43" t="s">
        <v>1464</v>
      </c>
      <c r="C2023" s="56">
        <v>45974</v>
      </c>
      <c r="D2023" s="43">
        <v>325</v>
      </c>
      <c r="G2023" t="s">
        <v>1759</v>
      </c>
    </row>
    <row r="2024" spans="1:7">
      <c r="A2024" s="43" t="s">
        <v>242</v>
      </c>
      <c r="B2024" s="43" t="s">
        <v>1464</v>
      </c>
      <c r="C2024" s="56">
        <v>45974</v>
      </c>
      <c r="F2024" s="43" t="s">
        <v>1186</v>
      </c>
      <c r="G2024" t="s">
        <v>1759</v>
      </c>
    </row>
    <row r="2025" spans="1:7">
      <c r="A2025" s="148" t="s">
        <v>255</v>
      </c>
      <c r="B2025" s="43" t="s">
        <v>1794</v>
      </c>
      <c r="C2025" s="56">
        <v>45974</v>
      </c>
      <c r="D2025" s="43">
        <v>606</v>
      </c>
      <c r="G2025" t="s">
        <v>1759</v>
      </c>
    </row>
    <row r="2026" spans="1:7">
      <c r="A2026" s="1066" t="s">
        <v>390</v>
      </c>
      <c r="B2026" s="1067" t="s">
        <v>249</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5">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233</v>
      </c>
      <c r="C2035" s="56">
        <v>45975</v>
      </c>
      <c r="D2035" s="43">
        <v>1505</v>
      </c>
      <c r="E2035" s="253"/>
      <c r="F2035" s="169" t="s">
        <v>1797</v>
      </c>
      <c r="G2035" t="s">
        <v>1759</v>
      </c>
    </row>
    <row r="2036" spans="1:7">
      <c r="A2036" s="141" t="s">
        <v>242</v>
      </c>
      <c r="B2036" s="141" t="s">
        <v>1464</v>
      </c>
      <c r="C2036" s="56">
        <v>45975</v>
      </c>
      <c r="D2036" s="43">
        <v>430</v>
      </c>
      <c r="G2036" t="s">
        <v>1759</v>
      </c>
    </row>
    <row r="2037" spans="1:7">
      <c r="A2037" s="305" t="s">
        <v>255</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233</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299</v>
      </c>
      <c r="B2046" s="318" t="s">
        <v>1026</v>
      </c>
      <c r="C2046" s="56">
        <v>45978</v>
      </c>
      <c r="D2046" s="43">
        <v>176</v>
      </c>
      <c r="G2046" t="s">
        <v>1759</v>
      </c>
    </row>
    <row r="2047" spans="1:7">
      <c r="A2047" s="141" t="s">
        <v>299</v>
      </c>
      <c r="B2047" s="349" t="s">
        <v>1026</v>
      </c>
      <c r="C2047" s="56">
        <v>45978</v>
      </c>
      <c r="D2047" s="43">
        <v>270</v>
      </c>
      <c r="G2047" t="s">
        <v>1759</v>
      </c>
    </row>
    <row r="2048" spans="1:7">
      <c r="A2048" s="141" t="s">
        <v>255</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233</v>
      </c>
      <c r="C2058" s="56">
        <v>45979</v>
      </c>
      <c r="F2058" s="43" t="s">
        <v>1802</v>
      </c>
      <c r="G2058" t="s">
        <v>1759</v>
      </c>
    </row>
    <row r="2059" spans="1:7">
      <c r="A2059" t="s">
        <v>429</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299</v>
      </c>
      <c r="B2061" s="43" t="s">
        <v>1464</v>
      </c>
      <c r="C2061" s="56">
        <v>45979</v>
      </c>
      <c r="D2061" s="43">
        <v>120</v>
      </c>
      <c r="F2061" s="69"/>
      <c r="G2061" t="s">
        <v>1759</v>
      </c>
    </row>
    <row r="2062" spans="1:7">
      <c r="A2062" s="619" t="s">
        <v>390</v>
      </c>
      <c r="B2062" s="656" t="s">
        <v>249</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233</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299</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242</v>
      </c>
      <c r="B2081" s="318" t="s">
        <v>1026</v>
      </c>
      <c r="C2081" s="56">
        <v>45981</v>
      </c>
      <c r="D2081" s="43">
        <v>195</v>
      </c>
      <c r="F2081" s="69" t="s">
        <v>1813</v>
      </c>
      <c r="G2081" t="s">
        <v>1759</v>
      </c>
    </row>
    <row r="2082" spans="1:7">
      <c r="A2082" s="141" t="s">
        <v>299</v>
      </c>
      <c r="B2082" s="304" t="s">
        <v>1464</v>
      </c>
      <c r="C2082" s="56">
        <v>45981</v>
      </c>
      <c r="F2082" s="69" t="s">
        <v>1814</v>
      </c>
      <c r="G2082" t="s">
        <v>1759</v>
      </c>
    </row>
    <row r="2083" spans="1:7">
      <c r="A2083" s="304" t="s">
        <v>390</v>
      </c>
      <c r="B2083" s="1007" t="s">
        <v>249</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7">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6"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7"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228</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7" t="s">
        <v>137</v>
      </c>
      <c r="C2111" s="56">
        <v>45985</v>
      </c>
      <c r="D2111" s="43">
        <v>805</v>
      </c>
      <c r="F2111" s="69" t="s">
        <v>1823</v>
      </c>
      <c r="G2111" t="s">
        <v>1759</v>
      </c>
    </row>
    <row r="2112" spans="1:7">
      <c r="A2112" s="43" t="s">
        <v>432</v>
      </c>
      <c r="B2112" s="1097" t="s">
        <v>137</v>
      </c>
      <c r="C2112" s="56">
        <v>45985</v>
      </c>
      <c r="D2112" s="43">
        <v>665</v>
      </c>
      <c r="F2112" s="69"/>
      <c r="G2112" t="s">
        <v>1759</v>
      </c>
    </row>
    <row r="2113" spans="1:7">
      <c r="A2113" s="43" t="s">
        <v>435</v>
      </c>
      <c r="B2113" s="1097"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249</v>
      </c>
      <c r="C2117" s="56">
        <v>45985</v>
      </c>
      <c r="D2117" s="139">
        <v>900</v>
      </c>
      <c r="E2117" s="43"/>
      <c r="F2117" s="69" t="s">
        <v>1825</v>
      </c>
      <c r="G2117" t="s">
        <v>1759</v>
      </c>
    </row>
    <row r="2118" spans="1:7">
      <c r="A2118" s="432" t="s">
        <v>405</v>
      </c>
      <c r="B2118" s="371" t="s">
        <v>1684</v>
      </c>
      <c r="C2118" s="56">
        <v>45985</v>
      </c>
      <c r="D2118" s="139"/>
      <c r="E2118" s="43"/>
      <c r="F2118" s="1096" t="s">
        <v>1826</v>
      </c>
      <c r="G2118" t="s">
        <v>1759</v>
      </c>
    </row>
    <row r="2119" spans="1:7">
      <c r="A2119" s="430" t="s">
        <v>404</v>
      </c>
      <c r="B2119" s="247" t="s">
        <v>1684</v>
      </c>
      <c r="C2119" s="56">
        <v>45985</v>
      </c>
      <c r="D2119" s="139"/>
      <c r="E2119" s="43"/>
      <c r="F2119" s="1096" t="s">
        <v>1827</v>
      </c>
      <c r="G2119" t="s">
        <v>1759</v>
      </c>
    </row>
    <row r="2120" spans="1:7">
      <c r="A2120" s="43" t="s">
        <v>393</v>
      </c>
      <c r="B2120" s="247" t="s">
        <v>1684</v>
      </c>
      <c r="C2120" s="56">
        <v>45985</v>
      </c>
      <c r="D2120" s="139"/>
      <c r="E2120" s="43"/>
      <c r="F2120" s="1096"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441</v>
      </c>
      <c r="B2126" s="807"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233</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4" t="s">
        <v>1302</v>
      </c>
      <c r="G2145" t="s">
        <v>1759</v>
      </c>
    </row>
    <row r="2146" spans="1:7">
      <c r="A2146" s="807" t="s">
        <v>441</v>
      </c>
      <c r="B2146" s="807" t="s">
        <v>1026</v>
      </c>
      <c r="C2146" s="56">
        <v>45987</v>
      </c>
      <c r="D2146" s="43">
        <v>331</v>
      </c>
      <c r="E2146" s="321">
        <v>1063</v>
      </c>
      <c r="F2146" s="43" t="s">
        <v>1833</v>
      </c>
      <c r="G2146" t="s">
        <v>1759</v>
      </c>
    </row>
    <row r="2147" spans="1:7">
      <c r="A2147" s="1098"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233</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249</v>
      </c>
      <c r="C2154" s="56">
        <v>45987</v>
      </c>
      <c r="D2154" s="423"/>
      <c r="E2154" s="43"/>
      <c r="F2154" s="141" t="s">
        <v>1832</v>
      </c>
      <c r="G2154" t="s">
        <v>1759</v>
      </c>
    </row>
    <row r="2155" spans="1:7">
      <c r="A2155" s="141" t="s">
        <v>255</v>
      </c>
      <c r="B2155" s="141" t="s">
        <v>1752</v>
      </c>
      <c r="C2155" s="56">
        <v>45987</v>
      </c>
      <c r="D2155" s="161">
        <v>426</v>
      </c>
      <c r="E2155" s="253"/>
      <c r="F2155" s="169"/>
      <c r="G2155" t="s">
        <v>1759</v>
      </c>
    </row>
    <row r="2156" spans="1:7">
      <c r="A2156" s="141" t="s">
        <v>390</v>
      </c>
      <c r="B2156" s="141" t="s">
        <v>249</v>
      </c>
      <c r="C2156" s="56">
        <v>45987</v>
      </c>
      <c r="D2156" s="423"/>
      <c r="E2156" s="43"/>
      <c r="F2156" s="141" t="s">
        <v>1832</v>
      </c>
      <c r="G2156" t="s">
        <v>1759</v>
      </c>
    </row>
    <row r="2157" spans="1:7">
      <c r="A2157" s="141" t="s">
        <v>379</v>
      </c>
      <c r="B2157" s="141" t="s">
        <v>1838</v>
      </c>
      <c r="C2157" s="56">
        <v>45987</v>
      </c>
      <c r="D2157" s="161"/>
      <c r="E2157" s="1099">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8"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432</v>
      </c>
      <c r="B2176" s="807" t="s">
        <v>137</v>
      </c>
      <c r="C2176" s="56">
        <v>45992</v>
      </c>
      <c r="D2176" s="155">
        <v>1610</v>
      </c>
      <c r="F2176" s="43" t="s">
        <v>1847</v>
      </c>
      <c r="G2176" t="s">
        <v>1844</v>
      </c>
    </row>
    <row r="2177" spans="1:7">
      <c r="A2177" s="1098"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233</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233</v>
      </c>
      <c r="C2190" s="56">
        <v>45993</v>
      </c>
      <c r="D2190" s="43">
        <v>610</v>
      </c>
      <c r="F2190" s="43" t="s">
        <v>1852</v>
      </c>
      <c r="G2190" t="s">
        <v>1844</v>
      </c>
    </row>
    <row r="2191" spans="1:7">
      <c r="A2191" s="1098"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3" t="s">
        <v>1091</v>
      </c>
      <c r="B2196" s="953" t="s">
        <v>1711</v>
      </c>
      <c r="C2196" s="56">
        <v>45994</v>
      </c>
      <c r="D2196" s="43">
        <v>721</v>
      </c>
      <c r="F2196" s="43" t="s">
        <v>1855</v>
      </c>
      <c r="G2196" t="s">
        <v>1844</v>
      </c>
    </row>
    <row r="2197" spans="1:7">
      <c r="A2197" s="953" t="s">
        <v>1091</v>
      </c>
      <c r="B2197" s="953" t="s">
        <v>1026</v>
      </c>
      <c r="C2197" s="56">
        <v>45994</v>
      </c>
      <c r="D2197" s="43">
        <v>535</v>
      </c>
      <c r="G2197" t="s">
        <v>1844</v>
      </c>
    </row>
    <row r="2198" spans="1:7">
      <c r="A2198" s="953" t="s">
        <v>99</v>
      </c>
      <c r="B2198" s="953" t="s">
        <v>1550</v>
      </c>
      <c r="C2198" s="56">
        <v>45994</v>
      </c>
      <c r="D2198" s="155">
        <v>1029</v>
      </c>
      <c r="F2198" s="43" t="s">
        <v>1856</v>
      </c>
      <c r="G2198" t="s">
        <v>1844</v>
      </c>
    </row>
    <row r="2199" spans="1:7">
      <c r="A2199" s="953" t="s">
        <v>99</v>
      </c>
      <c r="B2199" s="953"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233</v>
      </c>
      <c r="C2201" s="56">
        <v>45994</v>
      </c>
      <c r="D2201" s="43">
        <v>974</v>
      </c>
      <c r="G2201" t="s">
        <v>1844</v>
      </c>
    </row>
    <row r="2202" spans="1:7">
      <c r="A2202" s="1098" t="s">
        <v>147</v>
      </c>
      <c r="B2202" s="1133" t="s">
        <v>141</v>
      </c>
      <c r="C2202" s="56">
        <v>45994</v>
      </c>
      <c r="D2202" s="43">
        <v>466</v>
      </c>
      <c r="F2202" s="43" t="s">
        <v>1858</v>
      </c>
      <c r="G2202" t="s">
        <v>1844</v>
      </c>
    </row>
    <row r="2203" spans="1:7">
      <c r="A2203" s="758" t="s">
        <v>1089</v>
      </c>
      <c r="B2203" s="1133" t="s">
        <v>454</v>
      </c>
      <c r="C2203" s="56">
        <v>45994</v>
      </c>
      <c r="D2203" s="43">
        <v>383</v>
      </c>
      <c r="G2203" t="s">
        <v>1844</v>
      </c>
    </row>
    <row r="2204" spans="1:7">
      <c r="A2204" s="758" t="s">
        <v>559</v>
      </c>
      <c r="B2204" s="1133" t="s">
        <v>137</v>
      </c>
      <c r="C2204" s="56">
        <v>45994</v>
      </c>
      <c r="D2204" s="155">
        <v>1379</v>
      </c>
      <c r="F2204" s="43" t="s">
        <v>1859</v>
      </c>
      <c r="G2204" t="s">
        <v>1844</v>
      </c>
    </row>
    <row r="2205" spans="1:7">
      <c r="A2205" s="758" t="s">
        <v>413</v>
      </c>
      <c r="B2205" s="758" t="s">
        <v>1684</v>
      </c>
      <c r="C2205" s="56">
        <v>45994</v>
      </c>
      <c r="D2205" s="155">
        <v>1677</v>
      </c>
      <c r="G2205" t="s">
        <v>1844</v>
      </c>
    </row>
    <row r="2206" spans="1:7">
      <c r="A2206" s="1134" t="s">
        <v>485</v>
      </c>
      <c r="B2206" s="1135" t="s">
        <v>137</v>
      </c>
      <c r="C2206" s="56">
        <v>45994</v>
      </c>
      <c r="D2206" s="155">
        <v>2430</v>
      </c>
      <c r="G2206" t="s">
        <v>1844</v>
      </c>
    </row>
    <row r="2207" spans="1:7">
      <c r="A2207" s="761" t="s">
        <v>369</v>
      </c>
      <c r="B2207" s="761" t="s">
        <v>137</v>
      </c>
      <c r="C2207" s="56">
        <v>45994</v>
      </c>
      <c r="D2207" s="43">
        <v>694</v>
      </c>
      <c r="G2207" t="s">
        <v>1844</v>
      </c>
    </row>
    <row r="2208" spans="1:7">
      <c r="A2208" s="1134" t="s">
        <v>343</v>
      </c>
      <c r="B2208" s="1135"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147</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8" t="s">
        <v>147</v>
      </c>
      <c r="B2217" s="1133"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5" t="s">
        <v>137</v>
      </c>
      <c r="C2222" s="56">
        <v>45995</v>
      </c>
      <c r="D2222" s="43">
        <v>52</v>
      </c>
      <c r="F2222" s="43" t="s">
        <v>1870</v>
      </c>
      <c r="G2222" t="s">
        <v>1844</v>
      </c>
    </row>
    <row r="2223" spans="1:7">
      <c r="A2223" s="953" t="s">
        <v>1091</v>
      </c>
      <c r="B2223" s="953" t="s">
        <v>1711</v>
      </c>
      <c r="C2223" s="56">
        <v>45996</v>
      </c>
      <c r="D2223" s="43">
        <v>86</v>
      </c>
      <c r="F2223" s="43" t="s">
        <v>1871</v>
      </c>
      <c r="G2223" t="s">
        <v>1844</v>
      </c>
    </row>
    <row r="2224" spans="1:7">
      <c r="A2224" s="953" t="s">
        <v>99</v>
      </c>
      <c r="B2224" s="953" t="s">
        <v>1711</v>
      </c>
      <c r="C2224" s="56">
        <v>45996</v>
      </c>
      <c r="D2224" s="43">
        <v>710</v>
      </c>
      <c r="G2224" t="s">
        <v>1844</v>
      </c>
    </row>
    <row r="2225" spans="1:7">
      <c r="A2225" s="953" t="s">
        <v>99</v>
      </c>
      <c r="B2225" s="953" t="s">
        <v>1550</v>
      </c>
      <c r="C2225" s="56">
        <v>45996</v>
      </c>
      <c r="D2225" s="155">
        <v>1114</v>
      </c>
      <c r="G2225" t="s">
        <v>1844</v>
      </c>
    </row>
    <row r="2226" spans="1:7">
      <c r="A2226" s="761" t="s">
        <v>1061</v>
      </c>
      <c r="B2226" s="761" t="s">
        <v>1666</v>
      </c>
      <c r="C2226" s="56">
        <v>45996</v>
      </c>
      <c r="D2226" s="43">
        <v>222</v>
      </c>
      <c r="G2226" t="s">
        <v>1844</v>
      </c>
    </row>
    <row r="2227" spans="1:7">
      <c r="A2227" s="758" t="s">
        <v>1092</v>
      </c>
      <c r="B2227" s="1138" t="s">
        <v>233</v>
      </c>
      <c r="C2227" s="56">
        <v>45996</v>
      </c>
      <c r="D2227" s="43">
        <v>385</v>
      </c>
      <c r="F2227" s="43" t="s">
        <v>1872</v>
      </c>
      <c r="G2227" t="s">
        <v>1844</v>
      </c>
    </row>
    <row r="2228" spans="1:7">
      <c r="A2228" s="648" t="s">
        <v>429</v>
      </c>
      <c r="B2228" s="1139" t="s">
        <v>1464</v>
      </c>
      <c r="C2228" s="56">
        <v>45996</v>
      </c>
      <c r="E2228" s="139">
        <v>446</v>
      </c>
      <c r="F2228" s="758"/>
      <c r="G2228" t="s">
        <v>1844</v>
      </c>
    </row>
    <row r="2229" spans="1:7">
      <c r="A2229" s="648" t="s">
        <v>578</v>
      </c>
      <c r="B2229" s="1139" t="s">
        <v>1464</v>
      </c>
      <c r="C2229" s="56">
        <v>45996</v>
      </c>
      <c r="E2229" s="139">
        <v>422</v>
      </c>
      <c r="F2229" s="1133"/>
      <c r="G2229" t="s">
        <v>1844</v>
      </c>
    </row>
    <row r="2230" spans="1:7">
      <c r="A2230" s="648" t="s">
        <v>578</v>
      </c>
      <c r="B2230" s="1139" t="s">
        <v>1464</v>
      </c>
      <c r="C2230" s="56">
        <v>45996</v>
      </c>
      <c r="F2230" s="311" t="s">
        <v>1325</v>
      </c>
      <c r="G2230" t="s">
        <v>1844</v>
      </c>
    </row>
    <row r="2231" spans="1:7">
      <c r="A2231" s="1133" t="s">
        <v>1089</v>
      </c>
      <c r="B2231" s="1139" t="s">
        <v>454</v>
      </c>
      <c r="C2231" s="56">
        <v>45996</v>
      </c>
      <c r="F2231" s="311" t="s">
        <v>1873</v>
      </c>
      <c r="G2231" t="s">
        <v>1844</v>
      </c>
    </row>
    <row r="2232" spans="1:7">
      <c r="A2232" s="758" t="s">
        <v>419</v>
      </c>
      <c r="B2232" s="758" t="s">
        <v>1684</v>
      </c>
      <c r="C2232" s="56">
        <v>45996</v>
      </c>
      <c r="D2232" s="155">
        <v>2020</v>
      </c>
      <c r="G2232" t="s">
        <v>1844</v>
      </c>
    </row>
    <row r="2233" spans="1:7">
      <c r="A2233" s="317" t="s">
        <v>1093</v>
      </c>
      <c r="B2233" s="1135" t="s">
        <v>137</v>
      </c>
      <c r="C2233" s="56">
        <v>45996</v>
      </c>
      <c r="E2233" s="139">
        <v>636</v>
      </c>
      <c r="F2233" s="953"/>
      <c r="G2233" t="s">
        <v>1844</v>
      </c>
    </row>
    <row r="2234" spans="1:7">
      <c r="A2234" s="311" t="s">
        <v>493</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6" t="s">
        <v>233</v>
      </c>
      <c r="C2239" s="56">
        <v>45999</v>
      </c>
      <c r="D2239" s="43">
        <v>640</v>
      </c>
      <c r="F2239" s="43" t="s">
        <v>1876</v>
      </c>
      <c r="G2239" t="s">
        <v>1844</v>
      </c>
    </row>
    <row r="2240" spans="1:7">
      <c r="A2240" s="1145" t="s">
        <v>432</v>
      </c>
      <c r="B2240" s="1146" t="s">
        <v>1464</v>
      </c>
      <c r="C2240" s="56">
        <v>45999</v>
      </c>
      <c r="F2240" s="311" t="s">
        <v>1877</v>
      </c>
      <c r="G2240" t="s">
        <v>1844</v>
      </c>
    </row>
    <row r="2241" spans="1:7">
      <c r="A2241" s="1098" t="s">
        <v>147</v>
      </c>
      <c r="B2241" s="1146" t="s">
        <v>141</v>
      </c>
      <c r="C2241" s="56">
        <v>45999</v>
      </c>
      <c r="D2241" s="155">
        <v>1172</v>
      </c>
      <c r="E2241" s="201"/>
      <c r="F2241" s="115" t="s">
        <v>1878</v>
      </c>
      <c r="G2241" t="s">
        <v>1844</v>
      </c>
    </row>
    <row r="2242" spans="1:7">
      <c r="A2242" s="1145" t="s">
        <v>438</v>
      </c>
      <c r="B2242" s="1146" t="s">
        <v>137</v>
      </c>
      <c r="C2242" s="56">
        <v>45999</v>
      </c>
      <c r="D2242" s="321">
        <v>1583</v>
      </c>
      <c r="E2242" s="43"/>
      <c r="F2242" s="43" t="s">
        <v>1879</v>
      </c>
      <c r="G2242" t="s">
        <v>1844</v>
      </c>
    </row>
    <row r="2243" spans="1:7">
      <c r="A2243" s="247" t="s">
        <v>559</v>
      </c>
      <c r="B2243" s="1146" t="s">
        <v>137</v>
      </c>
      <c r="C2243" s="56">
        <v>45999</v>
      </c>
      <c r="D2243" s="139"/>
      <c r="E2243" s="43"/>
      <c r="F2243" s="141" t="s">
        <v>1325</v>
      </c>
      <c r="G2243" t="s">
        <v>1844</v>
      </c>
    </row>
    <row r="2244" spans="1:7">
      <c r="A2244" s="247" t="s">
        <v>1089</v>
      </c>
      <c r="B2244" s="1146"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7" t="s">
        <v>233</v>
      </c>
      <c r="C2252" s="56">
        <v>46000</v>
      </c>
      <c r="D2252" s="43">
        <v>541</v>
      </c>
      <c r="F2252" s="43" t="s">
        <v>1885</v>
      </c>
      <c r="G2252" t="s">
        <v>1844</v>
      </c>
    </row>
    <row r="2253" spans="1:7">
      <c r="A2253" s="1145" t="s">
        <v>438</v>
      </c>
      <c r="B2253" s="247" t="s">
        <v>137</v>
      </c>
      <c r="C2253" s="310">
        <v>46000</v>
      </c>
      <c r="D2253" s="155">
        <v>1325</v>
      </c>
      <c r="F2253" s="43" t="s">
        <v>1835</v>
      </c>
      <c r="G2253" t="s">
        <v>1844</v>
      </c>
    </row>
    <row r="2254" spans="1:7">
      <c r="A2254" s="1145" t="s">
        <v>559</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5"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8" t="s">
        <v>352</v>
      </c>
      <c r="B2261" s="139" t="s">
        <v>137</v>
      </c>
      <c r="C2261" s="56">
        <v>46000</v>
      </c>
      <c r="D2261" s="155">
        <v>1111</v>
      </c>
      <c r="G2261" t="s">
        <v>1844</v>
      </c>
    </row>
    <row r="2262" spans="1:7">
      <c r="A2262" s="404" t="s">
        <v>355</v>
      </c>
      <c r="B2262" s="173" t="s">
        <v>137</v>
      </c>
      <c r="C2262" s="56">
        <v>46000</v>
      </c>
      <c r="D2262" s="155">
        <v>1743</v>
      </c>
      <c r="G2262" t="s">
        <v>1844</v>
      </c>
    </row>
    <row r="2263" spans="1:7">
      <c r="A2263" s="953" t="s">
        <v>1091</v>
      </c>
      <c r="B2263" s="953" t="s">
        <v>1711</v>
      </c>
      <c r="C2263" s="56">
        <v>46001</v>
      </c>
      <c r="D2263" s="43">
        <v>542</v>
      </c>
      <c r="F2263" s="43" t="s">
        <v>1889</v>
      </c>
      <c r="G2263" t="s">
        <v>1844</v>
      </c>
    </row>
    <row r="2264" spans="1:7">
      <c r="A2264" s="953" t="s">
        <v>99</v>
      </c>
      <c r="B2264" s="953" t="s">
        <v>1711</v>
      </c>
      <c r="C2264" s="56">
        <v>46001</v>
      </c>
      <c r="F2264" s="784" t="s">
        <v>1302</v>
      </c>
      <c r="G2264" t="s">
        <v>1844</v>
      </c>
    </row>
    <row r="2265" spans="1:7">
      <c r="A2265" s="761" t="s">
        <v>99</v>
      </c>
      <c r="B2265" s="761" t="s">
        <v>1550</v>
      </c>
      <c r="C2265" s="56">
        <v>46001</v>
      </c>
      <c r="F2265" s="761" t="s">
        <v>1890</v>
      </c>
      <c r="G2265" t="s">
        <v>1844</v>
      </c>
    </row>
    <row r="2266" spans="1:7">
      <c r="A2266" s="950" t="s">
        <v>1061</v>
      </c>
      <c r="B2266" s="950" t="s">
        <v>1464</v>
      </c>
      <c r="C2266" s="56">
        <v>46001</v>
      </c>
      <c r="D2266" s="43">
        <v>359</v>
      </c>
      <c r="F2266" s="43" t="s">
        <v>1593</v>
      </c>
      <c r="G2266" t="s">
        <v>1844</v>
      </c>
    </row>
    <row r="2267" spans="1:7">
      <c r="A2267" s="758" t="s">
        <v>1092</v>
      </c>
      <c r="B2267" s="1138" t="s">
        <v>233</v>
      </c>
      <c r="C2267" s="56">
        <v>46001</v>
      </c>
      <c r="D2267" s="43">
        <v>330</v>
      </c>
      <c r="F2267" s="43" t="s">
        <v>1691</v>
      </c>
      <c r="G2267" t="s">
        <v>1844</v>
      </c>
    </row>
    <row r="2268" spans="1:7">
      <c r="A2268" s="788" t="s">
        <v>438</v>
      </c>
      <c r="B2268" s="1148"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2" t="s">
        <v>432</v>
      </c>
      <c r="B2270" s="950"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315</v>
      </c>
      <c r="B2272" s="758" t="s">
        <v>1684</v>
      </c>
      <c r="C2272" s="56">
        <v>46001</v>
      </c>
      <c r="D2272" s="43">
        <v>817</v>
      </c>
      <c r="F2272" s="43" t="s">
        <v>1894</v>
      </c>
      <c r="G2272" t="s">
        <v>1844</v>
      </c>
    </row>
    <row r="2273" spans="1:7">
      <c r="A2273" s="758" t="s">
        <v>503</v>
      </c>
      <c r="B2273" s="758" t="s">
        <v>137</v>
      </c>
      <c r="C2273" s="56">
        <v>46001</v>
      </c>
      <c r="D2273" s="155">
        <v>1251</v>
      </c>
      <c r="G2273" t="s">
        <v>1844</v>
      </c>
    </row>
    <row r="2274" spans="1:7">
      <c r="A2274" s="1149" t="s">
        <v>506</v>
      </c>
      <c r="B2274" s="1133" t="s">
        <v>137</v>
      </c>
      <c r="C2274" s="56">
        <v>46001</v>
      </c>
      <c r="D2274" s="43">
        <v>931</v>
      </c>
      <c r="G2274" t="s">
        <v>1844</v>
      </c>
    </row>
    <row r="2275" spans="1:7">
      <c r="A2275" s="758" t="s">
        <v>355</v>
      </c>
      <c r="B2275" s="1007" t="s">
        <v>137</v>
      </c>
      <c r="C2275" s="56">
        <v>46001</v>
      </c>
      <c r="D2275" s="43">
        <v>522</v>
      </c>
      <c r="G2275" t="s">
        <v>1844</v>
      </c>
    </row>
    <row r="2276" spans="1:7">
      <c r="A2276" s="758" t="s">
        <v>369</v>
      </c>
      <c r="B2276" s="732" t="s">
        <v>137</v>
      </c>
      <c r="C2276" s="56">
        <v>46001</v>
      </c>
      <c r="D2276" s="43">
        <v>91</v>
      </c>
      <c r="G2276" t="s">
        <v>1844</v>
      </c>
    </row>
    <row r="2277" spans="1:7">
      <c r="A2277" s="758" t="s">
        <v>461</v>
      </c>
      <c r="B2277" s="1067"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6" t="s">
        <v>233</v>
      </c>
      <c r="C2284" s="56">
        <v>46002</v>
      </c>
      <c r="D2284" s="43">
        <v>520</v>
      </c>
      <c r="G2284" t="s">
        <v>1844</v>
      </c>
    </row>
    <row r="2285" spans="1:7">
      <c r="A2285" s="1150" t="s">
        <v>140</v>
      </c>
      <c r="B2285" s="1146" t="s">
        <v>141</v>
      </c>
      <c r="C2285" s="56">
        <v>46002</v>
      </c>
      <c r="D2285" s="155">
        <v>1351</v>
      </c>
      <c r="F2285" s="43" t="s">
        <v>1900</v>
      </c>
      <c r="G2285" t="s">
        <v>1844</v>
      </c>
    </row>
    <row r="2286" spans="1:7">
      <c r="A2286" s="43" t="s">
        <v>315</v>
      </c>
      <c r="B2286" s="43" t="s">
        <v>1684</v>
      </c>
      <c r="C2286" s="56">
        <v>46002</v>
      </c>
      <c r="D2286" s="155">
        <v>1820</v>
      </c>
      <c r="F2286" s="761" t="s">
        <v>1901</v>
      </c>
      <c r="G2286" t="s">
        <v>1844</v>
      </c>
    </row>
    <row r="2287" spans="1:7">
      <c r="A2287" s="1151" t="s">
        <v>503</v>
      </c>
      <c r="B2287" s="69" t="s">
        <v>137</v>
      </c>
      <c r="C2287" s="56">
        <v>46002</v>
      </c>
      <c r="D2287" s="155">
        <v>3172</v>
      </c>
      <c r="G2287" t="s">
        <v>1844</v>
      </c>
    </row>
    <row r="2288" spans="1:7">
      <c r="A2288" s="1151"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2" t="s">
        <v>352</v>
      </c>
      <c r="B2290" s="115" t="s">
        <v>137</v>
      </c>
      <c r="C2290" s="56">
        <v>46002</v>
      </c>
      <c r="D2290" s="155">
        <v>1090</v>
      </c>
      <c r="G2290" t="s">
        <v>1844</v>
      </c>
    </row>
    <row r="2291" spans="1:7">
      <c r="A2291" s="953" t="s">
        <v>1061</v>
      </c>
      <c r="B2291" s="953" t="s">
        <v>1464</v>
      </c>
      <c r="C2291" s="56">
        <v>46003</v>
      </c>
      <c r="D2291" s="43">
        <v>253</v>
      </c>
      <c r="F2291" s="43" t="s">
        <v>1593</v>
      </c>
      <c r="G2291" t="s">
        <v>1844</v>
      </c>
    </row>
    <row r="2292" spans="1:7">
      <c r="A2292" s="953" t="s">
        <v>1091</v>
      </c>
      <c r="B2292" s="953" t="s">
        <v>1711</v>
      </c>
      <c r="C2292" s="56">
        <v>46003</v>
      </c>
      <c r="F2292" s="1158" t="s">
        <v>1903</v>
      </c>
      <c r="G2292" t="s">
        <v>1844</v>
      </c>
    </row>
    <row r="2293" spans="1:7">
      <c r="A2293" s="953" t="s">
        <v>99</v>
      </c>
      <c r="B2293" s="953" t="s">
        <v>1711</v>
      </c>
      <c r="C2293" s="56">
        <v>46003</v>
      </c>
      <c r="D2293" s="43">
        <v>706</v>
      </c>
      <c r="G2293" t="s">
        <v>1844</v>
      </c>
    </row>
    <row r="2294" spans="1:7">
      <c r="A2294" s="761" t="s">
        <v>99</v>
      </c>
      <c r="B2294" s="761" t="s">
        <v>1736</v>
      </c>
      <c r="C2294" s="56">
        <v>46003</v>
      </c>
      <c r="F2294" s="761" t="s">
        <v>1904</v>
      </c>
      <c r="G2294" t="s">
        <v>1844</v>
      </c>
    </row>
    <row r="2295" spans="1:7">
      <c r="A2295" s="953" t="s">
        <v>99</v>
      </c>
      <c r="B2295" s="953" t="s">
        <v>1550</v>
      </c>
      <c r="C2295" s="56">
        <v>46003</v>
      </c>
      <c r="F2295" s="761" t="s">
        <v>1905</v>
      </c>
      <c r="G2295" t="s">
        <v>1844</v>
      </c>
    </row>
    <row r="2296" spans="1:7">
      <c r="A2296" s="761" t="s">
        <v>1092</v>
      </c>
      <c r="B2296" s="761" t="s">
        <v>233</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1133" t="s">
        <v>495</v>
      </c>
      <c r="B2298" s="1133" t="s">
        <v>137</v>
      </c>
      <c r="C2298" s="56">
        <v>46003</v>
      </c>
      <c r="G2298" t="s">
        <v>1844</v>
      </c>
    </row>
    <row r="2299" spans="1:7">
      <c r="A2299" s="1149" t="s">
        <v>355</v>
      </c>
      <c r="B2299" s="1149" t="s">
        <v>137</v>
      </c>
      <c r="C2299" s="56">
        <v>46003</v>
      </c>
      <c r="D2299" s="155">
        <v>2811</v>
      </c>
      <c r="G2299" t="s">
        <v>1844</v>
      </c>
    </row>
    <row r="2300" spans="1:7">
      <c r="A2300" s="758" t="s">
        <v>352</v>
      </c>
      <c r="B2300" s="761" t="s">
        <v>137</v>
      </c>
      <c r="C2300" s="56">
        <v>46003</v>
      </c>
      <c r="G2300" t="s">
        <v>1844</v>
      </c>
    </row>
    <row r="2301" spans="1:7">
      <c r="A2301" s="148" t="s">
        <v>1061</v>
      </c>
      <c r="B2301" s="115" t="s">
        <v>1464</v>
      </c>
      <c r="C2301" s="56">
        <v>46006</v>
      </c>
      <c r="D2301" s="43">
        <v>365</v>
      </c>
      <c r="F2301" s="43" t="s">
        <v>1908</v>
      </c>
      <c r="G2301" t="s">
        <v>1844</v>
      </c>
    </row>
    <row r="2302" spans="1:7">
      <c r="A2302" s="148" t="s">
        <v>1091</v>
      </c>
      <c r="B2302" s="148" t="s">
        <v>1711</v>
      </c>
      <c r="C2302" s="56">
        <v>46006</v>
      </c>
      <c r="F2302" s="1344" t="s">
        <v>1903</v>
      </c>
      <c r="G2302" t="s">
        <v>1844</v>
      </c>
    </row>
    <row r="2303" spans="1:7">
      <c r="A2303" s="148" t="s">
        <v>99</v>
      </c>
      <c r="B2303" s="148" t="s">
        <v>1711</v>
      </c>
      <c r="C2303" s="56">
        <v>46006</v>
      </c>
      <c r="D2303" s="43">
        <v>735</v>
      </c>
      <c r="G2303" t="s">
        <v>1844</v>
      </c>
    </row>
    <row r="2304" spans="1:7">
      <c r="A2304" s="148" t="s">
        <v>99</v>
      </c>
      <c r="B2304" s="148" t="s">
        <v>1550</v>
      </c>
      <c r="C2304" s="56">
        <v>46006</v>
      </c>
      <c r="G2304" t="s">
        <v>1844</v>
      </c>
    </row>
    <row r="2305" spans="1:7">
      <c r="A2305" s="247" t="s">
        <v>1092</v>
      </c>
      <c r="B2305" s="1146" t="s">
        <v>233</v>
      </c>
      <c r="C2305" s="56">
        <v>46006</v>
      </c>
      <c r="D2305" s="43">
        <v>752</v>
      </c>
      <c r="F2305" s="43" t="s">
        <v>1885</v>
      </c>
      <c r="G2305" t="s">
        <v>1844</v>
      </c>
    </row>
    <row r="2306" spans="1:7">
      <c r="A2306" s="1150" t="s">
        <v>140</v>
      </c>
      <c r="B2306" s="1147" t="s">
        <v>141</v>
      </c>
      <c r="C2306" s="56">
        <v>46006</v>
      </c>
      <c r="D2306" s="43">
        <v>496</v>
      </c>
      <c r="F2306" s="43" t="s">
        <v>1909</v>
      </c>
      <c r="G2306" t="s">
        <v>1844</v>
      </c>
    </row>
    <row r="2307" spans="1:7">
      <c r="A2307" s="1098" t="s">
        <v>136</v>
      </c>
      <c r="B2307" s="247" t="s">
        <v>137</v>
      </c>
      <c r="C2307" s="310">
        <v>46006</v>
      </c>
      <c r="D2307" s="155">
        <v>1095</v>
      </c>
      <c r="G2307" t="s">
        <v>1844</v>
      </c>
    </row>
    <row r="2308" spans="1:7">
      <c r="A2308" s="1354" t="s">
        <v>150</v>
      </c>
      <c r="B2308" s="43" t="s">
        <v>137</v>
      </c>
      <c r="C2308" s="310">
        <v>46006</v>
      </c>
      <c r="D2308" s="155">
        <v>1344</v>
      </c>
      <c r="F2308" s="43" t="s">
        <v>1910</v>
      </c>
      <c r="G2308" t="s">
        <v>1844</v>
      </c>
    </row>
    <row r="2309" spans="1:7">
      <c r="A2309" s="1354" t="s">
        <v>432</v>
      </c>
      <c r="B2309" s="43" t="s">
        <v>137</v>
      </c>
      <c r="C2309" s="310">
        <v>46006</v>
      </c>
      <c r="F2309" s="761" t="s">
        <v>1325</v>
      </c>
      <c r="G2309" t="s">
        <v>1844</v>
      </c>
    </row>
    <row r="2310" spans="1:7">
      <c r="A2310" s="1355" t="s">
        <v>248</v>
      </c>
      <c r="B2310" s="247" t="s">
        <v>249</v>
      </c>
      <c r="C2310" s="310">
        <v>46006</v>
      </c>
      <c r="G2310" t="s">
        <v>1844</v>
      </c>
    </row>
    <row r="2311" spans="1:7">
      <c r="A2311" s="43" t="s">
        <v>324</v>
      </c>
      <c r="B2311" s="322" t="s">
        <v>1464</v>
      </c>
      <c r="C2311" s="56">
        <v>46006</v>
      </c>
      <c r="G2311" t="s">
        <v>1844</v>
      </c>
    </row>
    <row r="2312" spans="1:7">
      <c r="A2312" s="148" t="s">
        <v>333</v>
      </c>
      <c r="B2312" s="43" t="s">
        <v>1684</v>
      </c>
      <c r="C2312" s="56">
        <v>46006</v>
      </c>
      <c r="D2312" s="155">
        <v>1496</v>
      </c>
      <c r="F2312" s="43" t="s">
        <v>1911</v>
      </c>
      <c r="G2312" t="s">
        <v>1844</v>
      </c>
    </row>
    <row r="2313" spans="1:7">
      <c r="A2313" s="1151" t="s">
        <v>503</v>
      </c>
      <c r="B2313" s="69" t="s">
        <v>137</v>
      </c>
      <c r="C2313" s="56">
        <v>46006</v>
      </c>
      <c r="G2313" t="s">
        <v>1844</v>
      </c>
    </row>
    <row r="2314" spans="1:7">
      <c r="A2314" s="1151" t="s">
        <v>470</v>
      </c>
      <c r="B2314" s="69" t="s">
        <v>137</v>
      </c>
      <c r="C2314" s="56">
        <v>46006</v>
      </c>
      <c r="F2314" s="761" t="s">
        <v>1325</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6"/>
      <c r="B1" s="1356"/>
      <c r="C1" s="1356"/>
      <c r="D1" s="1356"/>
      <c r="E1" s="1356"/>
      <c r="F1" s="1356"/>
      <c r="G1" s="1356"/>
      <c r="H1" s="1356"/>
      <c r="I1" s="1356"/>
      <c r="J1" s="1"/>
      <c r="K1" s="1"/>
      <c r="L1" s="1"/>
      <c r="M1" s="1"/>
      <c r="N1" s="1"/>
      <c r="O1" s="1"/>
      <c r="P1" s="1357" t="s">
        <v>34</v>
      </c>
      <c r="Q1" s="1357"/>
      <c r="R1" s="1357"/>
      <c r="S1" s="1357"/>
      <c r="T1" s="1357"/>
      <c r="U1" s="1357"/>
      <c r="V1" s="1357"/>
      <c r="W1" s="1357"/>
      <c r="X1" s="1357"/>
      <c r="Y1" s="1357"/>
      <c r="Z1" s="1357"/>
      <c r="AA1" s="1357"/>
      <c r="AB1" s="66"/>
    </row>
    <row r="2" spans="1:30" ht="15.75" thickBot="1">
      <c r="A2" s="2"/>
      <c r="B2" s="2"/>
      <c r="C2" s="2"/>
      <c r="D2" s="2"/>
      <c r="E2" s="2"/>
      <c r="F2" s="2"/>
      <c r="G2" s="2"/>
      <c r="H2" s="2"/>
      <c r="I2" s="2"/>
      <c r="J2" s="6"/>
      <c r="K2" s="6"/>
      <c r="L2" s="6"/>
      <c r="M2" s="6"/>
      <c r="N2" s="6"/>
      <c r="O2" s="6"/>
      <c r="P2" s="8"/>
      <c r="Q2" s="8"/>
      <c r="R2" s="3"/>
      <c r="S2" s="3"/>
      <c r="T2" s="3"/>
      <c r="U2" s="3"/>
      <c r="V2" s="3" t="s">
        <v>1912</v>
      </c>
      <c r="W2" s="3" t="s">
        <v>1913</v>
      </c>
      <c r="X2" s="3" t="s">
        <v>1913</v>
      </c>
      <c r="Y2" s="3" t="s">
        <v>1913</v>
      </c>
      <c r="Z2" s="3" t="s">
        <v>1913</v>
      </c>
      <c r="AA2" s="8" t="s">
        <v>1914</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1915</v>
      </c>
      <c r="T3" s="19" t="s">
        <v>1916</v>
      </c>
      <c r="U3" s="19" t="s">
        <v>1917</v>
      </c>
      <c r="V3" s="5" t="s">
        <v>1918</v>
      </c>
      <c r="W3" s="5" t="s">
        <v>44</v>
      </c>
      <c r="X3" s="5" t="s">
        <v>43</v>
      </c>
      <c r="Y3" s="5" t="s">
        <v>1919</v>
      </c>
      <c r="Z3" s="5" t="s">
        <v>46</v>
      </c>
      <c r="AA3" s="89" t="s">
        <v>626</v>
      </c>
      <c r="AB3" s="68" t="s">
        <v>48</v>
      </c>
    </row>
    <row r="4" spans="1:30" ht="24.75" customHeight="1" thickBot="1">
      <c r="A4" s="440" t="s">
        <v>1920</v>
      </c>
      <c r="B4" s="440" t="s">
        <v>1921</v>
      </c>
      <c r="C4" s="16">
        <v>45717</v>
      </c>
      <c r="D4" s="63" t="s">
        <v>1922</v>
      </c>
      <c r="E4" s="51">
        <v>45707</v>
      </c>
      <c r="F4" s="51" t="s">
        <v>239</v>
      </c>
      <c r="G4" s="382" t="s">
        <v>1923</v>
      </c>
      <c r="H4" s="97">
        <v>0</v>
      </c>
      <c r="I4" s="105"/>
      <c r="J4" s="76" t="s">
        <v>63</v>
      </c>
      <c r="K4" s="76" t="s">
        <v>1924</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1925</v>
      </c>
    </row>
    <row r="5" spans="1:30" ht="24.75" customHeight="1" thickBot="1">
      <c r="A5" s="440" t="s">
        <v>1926</v>
      </c>
      <c r="B5" s="440" t="s">
        <v>1921</v>
      </c>
      <c r="C5" s="16">
        <v>45717</v>
      </c>
      <c r="D5" s="63" t="s">
        <v>1922</v>
      </c>
      <c r="E5" s="51">
        <v>45707</v>
      </c>
      <c r="F5" s="381" t="s">
        <v>239</v>
      </c>
      <c r="G5" s="382" t="s">
        <v>1927</v>
      </c>
      <c r="H5" s="97">
        <v>0</v>
      </c>
      <c r="I5" s="105"/>
      <c r="J5" s="76" t="s">
        <v>63</v>
      </c>
      <c r="K5" s="76" t="s">
        <v>1924</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1928</v>
      </c>
      <c r="B6" s="440" t="s">
        <v>1921</v>
      </c>
      <c r="C6" s="16">
        <v>45717</v>
      </c>
      <c r="D6" s="63" t="s">
        <v>1922</v>
      </c>
      <c r="E6" s="51">
        <v>45707</v>
      </c>
      <c r="F6" s="381" t="s">
        <v>239</v>
      </c>
      <c r="G6" s="382" t="s">
        <v>1929</v>
      </c>
      <c r="H6" s="97">
        <v>0</v>
      </c>
      <c r="I6" s="105"/>
      <c r="J6" s="76" t="s">
        <v>63</v>
      </c>
      <c r="K6" s="76" t="s">
        <v>1924</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90" t="s">
        <v>72</v>
      </c>
      <c r="E7" s="375"/>
      <c r="F7" s="590" t="s">
        <v>187</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1930</v>
      </c>
      <c r="B8" s="440" t="s">
        <v>1931</v>
      </c>
      <c r="C8" s="16">
        <v>45748</v>
      </c>
      <c r="D8" s="16" t="s">
        <v>1922</v>
      </c>
      <c r="E8" s="94" t="s">
        <v>52</v>
      </c>
      <c r="F8" s="95" t="s">
        <v>52</v>
      </c>
      <c r="G8" s="621" t="s">
        <v>1932</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1933</v>
      </c>
      <c r="AC8" s="435"/>
      <c r="AD8" s="70"/>
    </row>
    <row r="9" spans="1:30" ht="24.75" customHeight="1">
      <c r="A9" s="449" t="s">
        <v>1934</v>
      </c>
      <c r="B9" s="449" t="s">
        <v>1935</v>
      </c>
      <c r="C9" s="23">
        <v>45741</v>
      </c>
      <c r="D9" s="16" t="s">
        <v>1922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1936</v>
      </c>
    </row>
    <row r="10" spans="1:30" ht="24.75" customHeight="1" thickBot="1">
      <c r="A10" s="26" t="s">
        <v>1937</v>
      </c>
      <c r="B10" s="26" t="s">
        <v>1935</v>
      </c>
      <c r="C10" s="27">
        <v>45741</v>
      </c>
      <c r="D10" s="16" t="s">
        <v>1922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1938</v>
      </c>
      <c r="B11" s="36" t="s">
        <v>1935</v>
      </c>
      <c r="C11" s="37">
        <v>45747</v>
      </c>
      <c r="D11" s="16" t="s">
        <v>1922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1939</v>
      </c>
      <c r="B12" s="26" t="s">
        <v>1935</v>
      </c>
      <c r="C12" s="27">
        <v>45741</v>
      </c>
      <c r="D12" s="16" t="s">
        <v>1922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1936</v>
      </c>
    </row>
    <row r="13" spans="1:30" ht="24.75" customHeight="1" thickBot="1">
      <c r="A13" s="26" t="s">
        <v>1940</v>
      </c>
      <c r="B13" s="26" t="s">
        <v>1935</v>
      </c>
      <c r="C13" s="27">
        <v>45741</v>
      </c>
      <c r="D13" s="27" t="s">
        <v>1922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1936</v>
      </c>
    </row>
    <row r="14" spans="1:30" ht="24.75" customHeight="1" thickBot="1">
      <c r="A14" s="26" t="s">
        <v>1941</v>
      </c>
      <c r="B14" s="26" t="s">
        <v>1935</v>
      </c>
      <c r="C14" s="27">
        <v>45747</v>
      </c>
      <c r="D14" s="27" t="s">
        <v>1922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1942</v>
      </c>
      <c r="B15" s="26" t="s">
        <v>1935</v>
      </c>
      <c r="C15" s="27">
        <v>45741</v>
      </c>
      <c r="D15" s="27" t="s">
        <v>1922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1936</v>
      </c>
    </row>
    <row r="16" spans="1:30" ht="24.75" customHeight="1" thickBot="1">
      <c r="A16" s="26" t="s">
        <v>1943</v>
      </c>
      <c r="B16" s="26" t="s">
        <v>1935</v>
      </c>
      <c r="C16" s="27">
        <v>45741</v>
      </c>
      <c r="D16" s="27" t="s">
        <v>1922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1936</v>
      </c>
    </row>
    <row r="17" spans="1:30" ht="24.75" customHeight="1" thickBot="1">
      <c r="A17" s="36" t="s">
        <v>1944</v>
      </c>
      <c r="B17" s="36" t="s">
        <v>1935</v>
      </c>
      <c r="C17" s="37">
        <v>45747</v>
      </c>
      <c r="D17" s="37" t="s">
        <v>1922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1945</v>
      </c>
      <c r="B18" s="374" t="s">
        <v>1935</v>
      </c>
      <c r="C18" s="51">
        <v>45717</v>
      </c>
      <c r="D18" s="27" t="s">
        <v>1922</v>
      </c>
      <c r="E18" s="85">
        <v>45700</v>
      </c>
      <c r="F18" s="51"/>
      <c r="G18" s="51" t="s">
        <v>1946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1936</v>
      </c>
    </row>
    <row r="19" spans="1:30" ht="24.75" customHeight="1" thickBot="1">
      <c r="A19" s="50" t="s">
        <v>1947</v>
      </c>
      <c r="B19" s="26" t="s">
        <v>1935</v>
      </c>
      <c r="C19" s="51">
        <v>45747</v>
      </c>
      <c r="D19" s="27" t="s">
        <v>1922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1948</v>
      </c>
    </row>
    <row r="20" spans="1:30" ht="24.75" customHeight="1" thickBot="1">
      <c r="A20" s="374" t="s">
        <v>1949</v>
      </c>
      <c r="B20" s="374" t="s">
        <v>1935</v>
      </c>
      <c r="C20" s="375">
        <v>45717</v>
      </c>
      <c r="D20" s="27" t="s">
        <v>1922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1936</v>
      </c>
    </row>
    <row r="21" spans="1:30" ht="24.75" customHeight="1" thickBot="1">
      <c r="A21" s="374" t="s">
        <v>1950</v>
      </c>
      <c r="B21" s="112" t="s">
        <v>50</v>
      </c>
      <c r="C21" s="51">
        <v>45717</v>
      </c>
      <c r="D21" s="27" t="s">
        <v>1951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1952</v>
      </c>
      <c r="B22" s="378" t="s">
        <v>50</v>
      </c>
      <c r="C22" s="51">
        <v>45717</v>
      </c>
      <c r="D22" s="51" t="s">
        <v>1951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1953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1954</v>
      </c>
      <c r="B24" s="378" t="s">
        <v>50</v>
      </c>
      <c r="C24" s="381">
        <v>45688</v>
      </c>
      <c r="D24" s="390" t="s">
        <v>1953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1955</v>
      </c>
      <c r="B25" s="113" t="s">
        <v>50</v>
      </c>
      <c r="C25" s="51">
        <v>45747</v>
      </c>
      <c r="D25" s="51" t="s">
        <v>1951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1956</v>
      </c>
    </row>
    <row r="26" spans="1:30" ht="24.75" customHeight="1">
      <c r="A26" s="101" t="s">
        <v>1957</v>
      </c>
      <c r="B26" s="102" t="s">
        <v>50</v>
      </c>
      <c r="C26" s="77">
        <v>45716</v>
      </c>
      <c r="D26" s="26" t="s">
        <v>1953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1958</v>
      </c>
      <c r="B27" s="102" t="s">
        <v>50</v>
      </c>
      <c r="C27" s="77">
        <v>45716</v>
      </c>
      <c r="D27" s="50" t="s">
        <v>1953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1959</v>
      </c>
      <c r="B28" s="1122" t="s">
        <v>50</v>
      </c>
      <c r="C28" s="1115">
        <v>45991</v>
      </c>
      <c r="D28" s="375" t="s">
        <v>72</v>
      </c>
      <c r="E28" s="77">
        <v>45734</v>
      </c>
      <c r="F28" s="1113" t="s">
        <v>61</v>
      </c>
      <c r="G28" s="1124" t="s">
        <v>1960</v>
      </c>
      <c r="H28" s="76">
        <v>85</v>
      </c>
      <c r="I28" s="1125" t="s">
        <v>55</v>
      </c>
      <c r="J28" s="76" t="s">
        <v>63</v>
      </c>
      <c r="K28" s="76"/>
      <c r="L28" s="77">
        <v>45735</v>
      </c>
      <c r="M28" s="76" t="s">
        <v>57</v>
      </c>
      <c r="N28" s="1129">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1961</v>
      </c>
      <c r="B29" s="1122" t="s">
        <v>50</v>
      </c>
      <c r="C29" s="1115">
        <v>46021</v>
      </c>
      <c r="D29" s="375" t="s">
        <v>72</v>
      </c>
      <c r="E29" s="77">
        <v>45743</v>
      </c>
      <c r="F29" s="1113" t="s">
        <v>61</v>
      </c>
      <c r="G29" s="1123" t="s">
        <v>1962</v>
      </c>
      <c r="H29" s="76">
        <v>85</v>
      </c>
      <c r="I29" s="1125" t="s">
        <v>55</v>
      </c>
      <c r="J29" s="105" t="s">
        <v>63</v>
      </c>
      <c r="K29" s="1126"/>
      <c r="L29" s="77">
        <v>45741</v>
      </c>
      <c r="M29" s="105" t="s">
        <v>57</v>
      </c>
      <c r="N29" s="1129">
        <v>84226.5</v>
      </c>
      <c r="O29" s="129" t="s">
        <v>57</v>
      </c>
      <c r="P29" s="445" t="s">
        <v>64</v>
      </c>
      <c r="Q29" s="195">
        <v>45749</v>
      </c>
      <c r="R29" s="75">
        <v>7020</v>
      </c>
      <c r="S29" s="443">
        <v>386</v>
      </c>
      <c r="T29" s="106">
        <f>SUM(R29-S29)</f>
        <v>6634</v>
      </c>
      <c r="U29" s="811">
        <f>IFERROR($W29/$V29, 0)</f>
        <v>0</v>
      </c>
      <c r="V29" s="166">
        <v>45888</v>
      </c>
      <c r="W29" s="343">
        <v>0</v>
      </c>
      <c r="X29" s="343">
        <v>0</v>
      </c>
      <c r="Y29" s="1132">
        <v>0</v>
      </c>
      <c r="Z29" s="343">
        <v>0</v>
      </c>
      <c r="AA29" s="355">
        <v>0</v>
      </c>
      <c r="AB29" s="353" t="s">
        <v>1963</v>
      </c>
      <c r="AC29" s="1119"/>
      <c r="AD29" s="1121"/>
    </row>
    <row r="30" spans="1:30" ht="24.75" customHeight="1">
      <c r="A30" s="374" t="s">
        <v>1964</v>
      </c>
      <c r="B30" s="670" t="s">
        <v>50</v>
      </c>
      <c r="C30" s="375">
        <v>45991</v>
      </c>
      <c r="D30" s="50" t="s">
        <v>72</v>
      </c>
      <c r="E30" s="51">
        <v>45743</v>
      </c>
      <c r="F30" s="50" t="s">
        <v>61</v>
      </c>
      <c r="G30" s="379" t="s">
        <v>1965</v>
      </c>
      <c r="H30" s="52">
        <v>87</v>
      </c>
      <c r="I30" s="668" t="s">
        <v>55</v>
      </c>
      <c r="J30" s="376" t="s">
        <v>63</v>
      </c>
      <c r="K30" s="1127"/>
      <c r="L30" s="77">
        <v>45741</v>
      </c>
      <c r="M30" s="1128" t="s">
        <v>57</v>
      </c>
      <c r="N30" s="1130">
        <v>75191.5</v>
      </c>
      <c r="O30" s="376" t="s">
        <v>57</v>
      </c>
      <c r="P30" s="58" t="s">
        <v>69</v>
      </c>
      <c r="Q30" s="479">
        <v>45748</v>
      </c>
      <c r="R30" s="42">
        <v>6387</v>
      </c>
      <c r="S30" s="997">
        <v>0</v>
      </c>
      <c r="T30" s="330">
        <v>0</v>
      </c>
      <c r="U30" s="22">
        <v>0</v>
      </c>
      <c r="V30" s="30"/>
      <c r="W30" s="34">
        <v>0</v>
      </c>
      <c r="X30" s="34">
        <v>0</v>
      </c>
      <c r="Y30" s="34">
        <v>0</v>
      </c>
      <c r="Z30" s="34">
        <v>0</v>
      </c>
      <c r="AA30" s="34">
        <v>0</v>
      </c>
      <c r="AB30" s="208" t="s">
        <v>1966</v>
      </c>
      <c r="AC30" s="333"/>
      <c r="AD30" s="115"/>
    </row>
    <row r="31" spans="1:30" ht="24.75" customHeight="1">
      <c r="A31" s="374" t="s">
        <v>1043</v>
      </c>
      <c r="B31" s="670" t="s">
        <v>50</v>
      </c>
      <c r="C31" s="375">
        <v>46021</v>
      </c>
      <c r="D31" s="375" t="s">
        <v>72</v>
      </c>
      <c r="E31" s="51">
        <v>45735</v>
      </c>
      <c r="F31" s="50" t="s">
        <v>61</v>
      </c>
      <c r="G31" s="671" t="s">
        <v>1967</v>
      </c>
      <c r="H31" s="52">
        <v>79</v>
      </c>
      <c r="I31" s="668" t="s">
        <v>55</v>
      </c>
      <c r="J31" s="52" t="s">
        <v>63</v>
      </c>
      <c r="K31" s="52"/>
      <c r="L31" s="51">
        <v>45735</v>
      </c>
      <c r="M31" s="52" t="s">
        <v>57</v>
      </c>
      <c r="N31" s="1130">
        <v>67925</v>
      </c>
      <c r="O31" s="52" t="s">
        <v>57</v>
      </c>
      <c r="P31" s="40" t="s">
        <v>64</v>
      </c>
      <c r="Q31" s="356">
        <v>45736</v>
      </c>
      <c r="R31" s="31">
        <v>5825</v>
      </c>
      <c r="S31" s="106">
        <v>1257</v>
      </c>
      <c r="T31" s="1131">
        <f>SUM(R31-S31)</f>
        <v>4568</v>
      </c>
      <c r="U31" s="658">
        <f>IFERROR($W31/$V31, 0)</f>
        <v>0</v>
      </c>
      <c r="V31" s="30" t="s">
        <v>1968</v>
      </c>
      <c r="W31" s="34">
        <v>0</v>
      </c>
      <c r="X31" s="34">
        <v>0</v>
      </c>
      <c r="Y31" s="31">
        <v>0</v>
      </c>
      <c r="Z31" s="34">
        <v>0</v>
      </c>
      <c r="AA31" s="31">
        <v>0</v>
      </c>
      <c r="AB31" s="353" t="s">
        <v>1963</v>
      </c>
    </row>
    <row r="32" spans="1:30" ht="24.75" customHeight="1">
      <c r="A32" s="907" t="s">
        <v>1969</v>
      </c>
      <c r="B32" s="1114" t="s">
        <v>50</v>
      </c>
      <c r="C32" s="989">
        <v>45717</v>
      </c>
      <c r="D32" s="989" t="s">
        <v>1951</v>
      </c>
      <c r="E32" s="989">
        <v>45695</v>
      </c>
      <c r="F32" s="989"/>
      <c r="G32" s="989"/>
      <c r="H32" s="980">
        <v>25</v>
      </c>
      <c r="I32" s="980"/>
      <c r="J32" s="980" t="s">
        <v>56</v>
      </c>
      <c r="K32" s="980"/>
      <c r="L32" s="980"/>
      <c r="M32" s="980" t="s">
        <v>57</v>
      </c>
      <c r="N32" s="1116">
        <v>7844.43</v>
      </c>
      <c r="O32" s="980" t="s">
        <v>57</v>
      </c>
      <c r="P32" s="995" t="s">
        <v>58</v>
      </c>
      <c r="Q32" s="916"/>
      <c r="R32" s="30">
        <v>171</v>
      </c>
      <c r="S32" s="83">
        <v>0</v>
      </c>
      <c r="T32" s="996">
        <v>0</v>
      </c>
      <c r="U32" s="22">
        <v>0</v>
      </c>
      <c r="V32" s="30"/>
      <c r="W32" s="34">
        <v>0</v>
      </c>
      <c r="X32" s="34">
        <v>0</v>
      </c>
      <c r="Y32" s="34">
        <v>0</v>
      </c>
      <c r="Z32" s="34">
        <v>0</v>
      </c>
      <c r="AA32" s="61">
        <v>0</v>
      </c>
      <c r="AB32" s="148"/>
    </row>
    <row r="33" spans="1:30" ht="24.75" customHeight="1">
      <c r="A33" s="907" t="s">
        <v>1970</v>
      </c>
      <c r="B33" s="993" t="s">
        <v>50</v>
      </c>
      <c r="C33" s="909">
        <v>45989</v>
      </c>
      <c r="D33" s="909" t="s">
        <v>1971</v>
      </c>
      <c r="E33" s="989"/>
      <c r="F33" s="913"/>
      <c r="G33" s="994"/>
      <c r="H33" s="980">
        <v>194</v>
      </c>
      <c r="I33" s="912" t="s">
        <v>55</v>
      </c>
      <c r="J33" s="911" t="s">
        <v>56</v>
      </c>
      <c r="K33" s="1068"/>
      <c r="L33" s="989">
        <v>45964</v>
      </c>
      <c r="M33" s="980" t="s">
        <v>57</v>
      </c>
      <c r="N33" s="991">
        <v>39337.5</v>
      </c>
      <c r="O33" s="980" t="s">
        <v>57</v>
      </c>
      <c r="P33" s="992" t="s">
        <v>58</v>
      </c>
      <c r="Q33" s="600">
        <v>45964</v>
      </c>
      <c r="R33" s="106">
        <v>3970</v>
      </c>
      <c r="S33" s="657">
        <v>0</v>
      </c>
      <c r="T33" s="1117">
        <v>0</v>
      </c>
      <c r="U33" s="34">
        <v>0</v>
      </c>
      <c r="V33" s="34"/>
      <c r="W33" s="34">
        <v>0</v>
      </c>
      <c r="X33" s="34">
        <v>0</v>
      </c>
      <c r="Y33" s="34">
        <v>0</v>
      </c>
      <c r="Z33" s="34">
        <v>0</v>
      </c>
      <c r="AA33" s="61">
        <v>0</v>
      </c>
      <c r="AB33" s="902" t="s">
        <v>1972</v>
      </c>
    </row>
    <row r="34" spans="1:30" ht="24.75" customHeight="1">
      <c r="A34" s="907" t="s">
        <v>1973</v>
      </c>
      <c r="B34" s="1114" t="s">
        <v>50</v>
      </c>
      <c r="C34" s="989">
        <v>45717</v>
      </c>
      <c r="D34" s="989" t="s">
        <v>1951</v>
      </c>
      <c r="E34" s="989">
        <v>45695</v>
      </c>
      <c r="F34" s="989"/>
      <c r="G34" s="989"/>
      <c r="H34" s="980">
        <v>52</v>
      </c>
      <c r="I34" s="980"/>
      <c r="J34" s="980" t="s">
        <v>56</v>
      </c>
      <c r="K34" s="980"/>
      <c r="L34" s="980"/>
      <c r="M34" s="980" t="s">
        <v>57</v>
      </c>
      <c r="N34" s="1116">
        <v>17100.2</v>
      </c>
      <c r="O34" s="980" t="s">
        <v>57</v>
      </c>
      <c r="P34" s="992" t="s">
        <v>58</v>
      </c>
      <c r="Q34" s="916"/>
      <c r="R34" s="981">
        <v>1246</v>
      </c>
      <c r="S34" s="604">
        <v>0</v>
      </c>
      <c r="T34" s="605">
        <v>0</v>
      </c>
      <c r="U34" s="605">
        <v>0</v>
      </c>
      <c r="V34" s="916"/>
      <c r="W34" s="602">
        <v>0</v>
      </c>
      <c r="X34" s="34">
        <v>0</v>
      </c>
      <c r="Y34" s="34">
        <v>0</v>
      </c>
      <c r="Z34" s="34">
        <v>0</v>
      </c>
      <c r="AA34" s="61">
        <v>0</v>
      </c>
      <c r="AB34" s="1064"/>
    </row>
    <row r="35" spans="1:30" ht="24.75" customHeight="1">
      <c r="A35" s="907" t="s">
        <v>1974</v>
      </c>
      <c r="B35" s="1114" t="s">
        <v>50</v>
      </c>
      <c r="C35" s="989">
        <v>45717</v>
      </c>
      <c r="D35" s="989" t="s">
        <v>1951</v>
      </c>
      <c r="E35" s="989">
        <v>45695</v>
      </c>
      <c r="F35" s="989"/>
      <c r="G35" s="989"/>
      <c r="H35" s="980">
        <v>305</v>
      </c>
      <c r="I35" s="980"/>
      <c r="J35" s="980" t="s">
        <v>56</v>
      </c>
      <c r="K35" s="980"/>
      <c r="L35" s="980"/>
      <c r="M35" s="980" t="s">
        <v>57</v>
      </c>
      <c r="N35" s="1116">
        <v>91420.91</v>
      </c>
      <c r="O35" s="980" t="s">
        <v>57</v>
      </c>
      <c r="P35" s="995" t="s">
        <v>58</v>
      </c>
      <c r="Q35" s="916"/>
      <c r="R35" s="1112">
        <v>8225</v>
      </c>
      <c r="S35" s="604">
        <v>0</v>
      </c>
      <c r="T35" s="605">
        <v>0</v>
      </c>
      <c r="U35" s="605">
        <v>0</v>
      </c>
      <c r="V35" s="1118"/>
      <c r="W35" s="602">
        <v>0</v>
      </c>
      <c r="X35" s="602">
        <v>0</v>
      </c>
      <c r="Y35" s="602">
        <v>0</v>
      </c>
      <c r="Z35" s="34">
        <v>0</v>
      </c>
      <c r="AA35" s="61">
        <v>0</v>
      </c>
      <c r="AB35" s="1064"/>
      <c r="AC35" s="1120"/>
      <c r="AD35" s="595"/>
    </row>
    <row r="36" spans="1:30" ht="24.75" customHeight="1">
      <c r="A36" s="907" t="s">
        <v>1975</v>
      </c>
      <c r="B36" s="1114" t="s">
        <v>50</v>
      </c>
      <c r="C36" s="989">
        <v>45717</v>
      </c>
      <c r="D36" s="989" t="s">
        <v>1951</v>
      </c>
      <c r="E36" s="989">
        <v>45695</v>
      </c>
      <c r="F36" s="989"/>
      <c r="G36" s="989"/>
      <c r="H36" s="980">
        <v>91</v>
      </c>
      <c r="I36" s="980"/>
      <c r="J36" s="980" t="s">
        <v>56</v>
      </c>
      <c r="K36" s="980"/>
      <c r="L36" s="980"/>
      <c r="M36" s="980" t="s">
        <v>57</v>
      </c>
      <c r="N36" s="1116">
        <v>29508.91</v>
      </c>
      <c r="O36" s="980" t="s">
        <v>57</v>
      </c>
      <c r="P36" s="992" t="s">
        <v>58</v>
      </c>
      <c r="Q36" s="916"/>
      <c r="R36" s="981">
        <v>2856</v>
      </c>
      <c r="S36" s="604">
        <v>0</v>
      </c>
      <c r="T36" s="605">
        <v>0</v>
      </c>
      <c r="U36" s="605">
        <v>0</v>
      </c>
      <c r="V36" s="916"/>
      <c r="W36" s="602">
        <v>0</v>
      </c>
      <c r="X36" s="602">
        <v>0</v>
      </c>
      <c r="Y36" s="602">
        <v>0</v>
      </c>
      <c r="Z36" s="602">
        <v>0</v>
      </c>
      <c r="AA36" s="602">
        <v>0</v>
      </c>
      <c r="AB36" s="106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1976</v>
      </c>
      <c r="Q1" s="159" t="s">
        <v>1977</v>
      </c>
      <c r="R1" s="127" t="s">
        <v>1978</v>
      </c>
      <c r="S1" s="127" t="s">
        <v>1979</v>
      </c>
      <c r="T1" s="159" t="s">
        <v>1980</v>
      </c>
      <c r="U1" s="127" t="s">
        <v>1169</v>
      </c>
      <c r="V1" s="160" t="s">
        <v>1981</v>
      </c>
      <c r="W1" s="160" t="s">
        <v>1982</v>
      </c>
      <c r="X1" s="163" t="s">
        <v>1983</v>
      </c>
      <c r="Y1" s="258" t="e" cm="1">
        <f t="array" ref="Y1">VLOOKUP(#REF!,#REF!, FALSE)</f>
        <v>#REF!</v>
      </c>
    </row>
    <row r="2" spans="1:25">
      <c r="A2" s="178" t="s">
        <v>525</v>
      </c>
      <c r="B2" s="180" t="s">
        <v>238</v>
      </c>
      <c r="C2" s="177">
        <v>45991</v>
      </c>
      <c r="D2" s="625"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1" t="s">
        <v>238</v>
      </c>
      <c r="C3" s="690">
        <v>45742</v>
      </c>
      <c r="D3" s="691" t="s">
        <v>530</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1984</v>
      </c>
      <c r="B4" s="407" t="s">
        <v>238</v>
      </c>
      <c r="C4" s="408">
        <v>45742</v>
      </c>
      <c r="D4" s="697" t="s">
        <v>1985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238</v>
      </c>
      <c r="C5" s="400">
        <v>45991</v>
      </c>
      <c r="D5" s="536"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238</v>
      </c>
      <c r="C6" s="408">
        <v>45747</v>
      </c>
      <c r="D6" s="694" t="s">
        <v>630</v>
      </c>
      <c r="E6" s="190"/>
      <c r="F6" s="137"/>
      <c r="G6" s="137"/>
      <c r="H6" s="185">
        <v>56</v>
      </c>
      <c r="I6" s="181"/>
      <c r="J6" s="188" t="s">
        <v>57</v>
      </c>
      <c r="K6" s="188" t="s">
        <v>57</v>
      </c>
      <c r="L6" s="185" t="s">
        <v>63</v>
      </c>
      <c r="M6" s="195">
        <v>45701</v>
      </c>
      <c r="N6" s="30" t="s">
        <v>319</v>
      </c>
      <c r="O6" s="356">
        <v>45718</v>
      </c>
      <c r="P6" s="30" t="s">
        <v>319</v>
      </c>
      <c r="Q6" s="334" t="s">
        <v>319</v>
      </c>
      <c r="R6" s="43" t="s">
        <v>1986</v>
      </c>
      <c r="S6" s="43" t="s">
        <v>319</v>
      </c>
      <c r="T6" s="43" t="s">
        <v>319</v>
      </c>
      <c r="U6" s="157" t="s">
        <v>319</v>
      </c>
      <c r="V6" s="69" t="s">
        <v>90</v>
      </c>
      <c r="W6" s="79"/>
      <c r="X6" s="69" t="s">
        <v>90</v>
      </c>
      <c r="Y6" t="e">
        <f>VLOOKUP(A6,#REF!,2,FALSE)</f>
        <v>#REF!</v>
      </c>
    </row>
    <row r="7" spans="1:25">
      <c r="A7" s="385" t="s">
        <v>994</v>
      </c>
      <c r="B7" s="687" t="s">
        <v>238</v>
      </c>
      <c r="C7" s="386">
        <v>45742</v>
      </c>
      <c r="D7" s="411" t="s">
        <v>538</v>
      </c>
      <c r="E7" s="523"/>
      <c r="F7" s="524"/>
      <c r="G7" s="524"/>
      <c r="H7" s="179">
        <v>60</v>
      </c>
      <c r="I7" s="181"/>
      <c r="J7" s="185" t="s">
        <v>57</v>
      </c>
      <c r="K7" s="185" t="s">
        <v>57</v>
      </c>
      <c r="L7" s="185" t="s">
        <v>63</v>
      </c>
      <c r="M7" s="193">
        <v>45716</v>
      </c>
      <c r="N7" s="30" t="s">
        <v>319</v>
      </c>
      <c r="O7" s="79" t="s">
        <v>319</v>
      </c>
      <c r="P7" s="30" t="s">
        <v>319</v>
      </c>
      <c r="Q7" s="334" t="s">
        <v>319</v>
      </c>
      <c r="R7" s="43" t="s">
        <v>1986</v>
      </c>
      <c r="S7" s="43" t="s">
        <v>319</v>
      </c>
      <c r="T7" s="43" t="s">
        <v>319</v>
      </c>
      <c r="U7" s="43" t="s">
        <v>319</v>
      </c>
      <c r="V7" s="69" t="s">
        <v>90</v>
      </c>
      <c r="W7" s="30"/>
      <c r="X7" s="69" t="s">
        <v>90</v>
      </c>
      <c r="Y7" t="e">
        <f>VLOOKUP(A7,#REF!,2,FALSE)</f>
        <v>#REF!</v>
      </c>
    </row>
    <row r="8" spans="1:25">
      <c r="A8" s="175" t="s">
        <v>534</v>
      </c>
      <c r="B8" s="180" t="s">
        <v>238</v>
      </c>
      <c r="C8" s="176">
        <v>45742</v>
      </c>
      <c r="D8" s="185" t="s">
        <v>1987</v>
      </c>
      <c r="E8" s="120"/>
      <c r="F8" s="108"/>
      <c r="G8" s="108"/>
      <c r="H8" s="179">
        <v>84</v>
      </c>
      <c r="I8" s="181"/>
      <c r="J8" s="185" t="s">
        <v>57</v>
      </c>
      <c r="K8" s="185" t="s">
        <v>57</v>
      </c>
      <c r="L8" s="185" t="s">
        <v>63</v>
      </c>
      <c r="M8" s="193">
        <v>45716</v>
      </c>
      <c r="N8" s="30" t="s">
        <v>319</v>
      </c>
      <c r="O8" s="30" t="s">
        <v>319</v>
      </c>
      <c r="P8" s="712" t="s">
        <v>319</v>
      </c>
      <c r="Q8" s="69" t="s">
        <v>319</v>
      </c>
      <c r="R8" s="43" t="s">
        <v>1986</v>
      </c>
      <c r="S8" s="43" t="s">
        <v>319</v>
      </c>
      <c r="T8" s="43" t="s">
        <v>319</v>
      </c>
      <c r="U8" s="43" t="s">
        <v>319</v>
      </c>
      <c r="V8" s="69" t="s">
        <v>90</v>
      </c>
      <c r="W8" s="30"/>
      <c r="X8" s="69" t="s">
        <v>90</v>
      </c>
      <c r="Y8" t="e">
        <f>VLOOKUP(A8,#REF!,2,FALSE)</f>
        <v>#REF!</v>
      </c>
    </row>
    <row r="9" spans="1:25">
      <c r="A9" s="175" t="s">
        <v>996</v>
      </c>
      <c r="B9" s="180" t="s">
        <v>238</v>
      </c>
      <c r="C9" s="176">
        <v>45742</v>
      </c>
      <c r="D9" s="520" t="s">
        <v>535</v>
      </c>
      <c r="E9" s="191"/>
      <c r="F9" s="138"/>
      <c r="G9" s="138"/>
      <c r="H9" s="185">
        <v>79</v>
      </c>
      <c r="I9" s="181"/>
      <c r="J9" s="185" t="s">
        <v>57</v>
      </c>
      <c r="K9" s="185" t="s">
        <v>57</v>
      </c>
      <c r="L9" s="185" t="s">
        <v>63</v>
      </c>
      <c r="M9" s="193">
        <v>45716</v>
      </c>
      <c r="N9" s="119" t="s">
        <v>319</v>
      </c>
      <c r="O9" s="54">
        <v>45718</v>
      </c>
      <c r="P9" s="119" t="s">
        <v>319</v>
      </c>
      <c r="Q9" s="69" t="s">
        <v>319</v>
      </c>
      <c r="R9" s="43" t="s">
        <v>1986</v>
      </c>
      <c r="S9" s="43" t="s">
        <v>319</v>
      </c>
      <c r="T9" s="43" t="s">
        <v>319</v>
      </c>
      <c r="U9" s="43" t="s">
        <v>319</v>
      </c>
      <c r="V9" s="69" t="s">
        <v>90</v>
      </c>
      <c r="W9" s="30"/>
      <c r="X9" s="69" t="s">
        <v>90</v>
      </c>
      <c r="Y9" t="e">
        <f>VLOOKUP(A9,#REF!,2,FALSE)</f>
        <v>#REF!</v>
      </c>
    </row>
    <row r="10" spans="1:25">
      <c r="A10" s="175" t="s">
        <v>998</v>
      </c>
      <c r="B10" s="180" t="s">
        <v>238</v>
      </c>
      <c r="C10" s="314">
        <v>45742</v>
      </c>
      <c r="D10" s="410" t="s">
        <v>997</v>
      </c>
      <c r="E10" s="191"/>
      <c r="F10" s="138"/>
      <c r="G10" s="138"/>
      <c r="H10" s="185">
        <v>83</v>
      </c>
      <c r="I10" s="181"/>
      <c r="J10" s="185" t="s">
        <v>57</v>
      </c>
      <c r="K10" s="185" t="s">
        <v>57</v>
      </c>
      <c r="L10" s="185" t="s">
        <v>63</v>
      </c>
      <c r="M10" s="193">
        <v>45716</v>
      </c>
      <c r="N10" s="30" t="s">
        <v>319</v>
      </c>
      <c r="O10" s="30" t="s">
        <v>319</v>
      </c>
      <c r="P10" s="30" t="s">
        <v>319</v>
      </c>
      <c r="Q10" s="43" t="s">
        <v>319</v>
      </c>
      <c r="R10" s="43" t="s">
        <v>1986</v>
      </c>
      <c r="S10" s="43" t="s">
        <v>319</v>
      </c>
      <c r="T10" s="43" t="s">
        <v>319</v>
      </c>
      <c r="U10" s="161" t="s">
        <v>319</v>
      </c>
      <c r="V10" s="334" t="s">
        <v>90</v>
      </c>
      <c r="W10" s="30"/>
      <c r="X10" s="69" t="s">
        <v>90</v>
      </c>
      <c r="Y10" t="e">
        <f>VLOOKUP(A10,#REF!,2,FALSE)</f>
        <v>#REF!</v>
      </c>
    </row>
    <row r="11" spans="1:25">
      <c r="A11" s="181" t="s">
        <v>536</v>
      </c>
      <c r="B11" s="422" t="s">
        <v>238</v>
      </c>
      <c r="C11" s="176">
        <v>45991</v>
      </c>
      <c r="D11" s="535" t="s">
        <v>538</v>
      </c>
      <c r="E11" s="120">
        <v>31</v>
      </c>
      <c r="F11" s="108"/>
      <c r="G11" s="108"/>
      <c r="H11" s="185">
        <v>31</v>
      </c>
      <c r="I11" s="181"/>
      <c r="J11" s="185" t="s">
        <v>57</v>
      </c>
      <c r="K11" s="185" t="s">
        <v>57</v>
      </c>
      <c r="L11" s="185" t="s">
        <v>63</v>
      </c>
      <c r="M11" s="195">
        <v>45716</v>
      </c>
      <c r="N11" s="30" t="s">
        <v>64</v>
      </c>
      <c r="O11" s="54">
        <v>45716</v>
      </c>
      <c r="P11" s="87" t="s">
        <v>319</v>
      </c>
      <c r="Q11" s="69" t="s">
        <v>319</v>
      </c>
      <c r="R11" s="43" t="s">
        <v>1986</v>
      </c>
      <c r="S11" s="43" t="s">
        <v>319</v>
      </c>
      <c r="T11" s="43" t="s">
        <v>319</v>
      </c>
      <c r="U11" s="334" t="s">
        <v>90</v>
      </c>
      <c r="V11" s="69" t="s">
        <v>90</v>
      </c>
      <c r="W11" s="30"/>
      <c r="X11" s="43"/>
    </row>
    <row r="12" spans="1:25">
      <c r="A12" s="175" t="s">
        <v>396</v>
      </c>
      <c r="B12" s="180" t="s">
        <v>238</v>
      </c>
      <c r="C12" s="176">
        <v>45772</v>
      </c>
      <c r="D12" s="199" t="s">
        <v>538</v>
      </c>
      <c r="E12" s="191"/>
      <c r="F12" s="138"/>
      <c r="G12" s="138"/>
      <c r="H12" s="185">
        <v>31</v>
      </c>
      <c r="I12" s="181"/>
      <c r="J12" s="185" t="s">
        <v>57</v>
      </c>
      <c r="K12" s="185" t="s">
        <v>57</v>
      </c>
      <c r="L12" s="185" t="s">
        <v>63</v>
      </c>
      <c r="M12" s="193">
        <v>45716</v>
      </c>
      <c r="N12" s="30" t="s">
        <v>64</v>
      </c>
      <c r="O12" s="54">
        <v>45716</v>
      </c>
      <c r="P12" s="87" t="s">
        <v>319</v>
      </c>
      <c r="Q12" s="69" t="s">
        <v>319</v>
      </c>
      <c r="R12" s="43" t="s">
        <v>1986</v>
      </c>
      <c r="S12" s="43" t="s">
        <v>319</v>
      </c>
      <c r="T12" s="43" t="s">
        <v>319</v>
      </c>
      <c r="U12" s="69" t="s">
        <v>90</v>
      </c>
      <c r="V12" s="69" t="s">
        <v>90</v>
      </c>
      <c r="W12" s="30"/>
      <c r="X12" s="69" t="s">
        <v>90</v>
      </c>
      <c r="Y12" t="e">
        <f>VLOOKUP(A12,#REF!,2,FALSE)</f>
        <v>#REF!</v>
      </c>
    </row>
    <row r="13" spans="1:25">
      <c r="A13" s="178" t="s">
        <v>299</v>
      </c>
      <c r="B13" s="180" t="s">
        <v>238</v>
      </c>
      <c r="C13" s="409">
        <v>45960</v>
      </c>
      <c r="D13" s="418" t="s">
        <v>1988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238</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238</v>
      </c>
      <c r="C15" s="314">
        <v>45711</v>
      </c>
      <c r="D15" s="636" t="s">
        <v>899</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1989</v>
      </c>
      <c r="Y15" t="e">
        <f>VLOOKUP(A15,#REF!,2,FALSE)</f>
        <v>#REF!</v>
      </c>
    </row>
    <row r="16" spans="1:25">
      <c r="A16" s="175" t="s">
        <v>632</v>
      </c>
      <c r="B16" s="180" t="s">
        <v>238</v>
      </c>
      <c r="C16" s="314">
        <v>45742</v>
      </c>
      <c r="D16" s="700" t="s">
        <v>634</v>
      </c>
      <c r="E16" s="191"/>
      <c r="F16" s="138"/>
      <c r="G16" s="138"/>
      <c r="H16" s="185">
        <v>0</v>
      </c>
      <c r="I16" s="181"/>
      <c r="J16" s="185" t="s">
        <v>57</v>
      </c>
      <c r="K16" s="185" t="s">
        <v>57</v>
      </c>
      <c r="L16" s="185" t="s">
        <v>63</v>
      </c>
      <c r="M16" s="195" t="s">
        <v>1990</v>
      </c>
      <c r="N16" s="30" t="s">
        <v>319</v>
      </c>
      <c r="O16" s="54" t="s">
        <v>1990</v>
      </c>
      <c r="P16" s="30" t="s">
        <v>319</v>
      </c>
      <c r="Q16" s="69" t="s">
        <v>319</v>
      </c>
      <c r="R16" s="43" t="s">
        <v>319</v>
      </c>
      <c r="S16" s="43" t="s">
        <v>56</v>
      </c>
      <c r="T16" s="43" t="s">
        <v>319</v>
      </c>
      <c r="U16" s="69" t="s">
        <v>90</v>
      </c>
      <c r="V16" s="69" t="s">
        <v>90</v>
      </c>
      <c r="W16" s="30"/>
      <c r="X16" s="69" t="s">
        <v>90</v>
      </c>
      <c r="Y16" t="e">
        <f>VLOOKUP(A16,#REF!,2,FALSE)</f>
        <v>#REF!</v>
      </c>
    </row>
    <row r="17" spans="1:25">
      <c r="A17" s="178" t="s">
        <v>539</v>
      </c>
      <c r="B17" s="180" t="s">
        <v>238</v>
      </c>
      <c r="C17" s="177">
        <v>45991</v>
      </c>
      <c r="D17" s="715" t="s">
        <v>540</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541</v>
      </c>
      <c r="B18" s="180" t="s">
        <v>238</v>
      </c>
      <c r="C18" s="409">
        <v>45991</v>
      </c>
      <c r="D18" s="410" t="s">
        <v>542</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900</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1989</v>
      </c>
      <c r="Y20" t="e">
        <f>VLOOKUP(A20,#REF!,2,FALSE)</f>
        <v>#REF!</v>
      </c>
    </row>
    <row r="21" spans="1:25">
      <c r="A21" s="178" t="s">
        <v>637</v>
      </c>
      <c r="B21" s="175" t="s">
        <v>117</v>
      </c>
      <c r="C21" s="176">
        <v>45772</v>
      </c>
      <c r="D21" s="620" t="s">
        <v>639</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1989</v>
      </c>
      <c r="Y21" t="e">
        <f>VLOOKUP(A21,#REF!,2,FALSE)</f>
        <v>#REF!</v>
      </c>
    </row>
    <row r="22" spans="1:25">
      <c r="A22" s="175" t="s">
        <v>641</v>
      </c>
      <c r="B22" s="175" t="s">
        <v>117</v>
      </c>
      <c r="C22" s="176">
        <v>45868</v>
      </c>
      <c r="D22" s="620" t="s">
        <v>642</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1989</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1989</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1989</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652</v>
      </c>
      <c r="B29" s="175" t="s">
        <v>117</v>
      </c>
      <c r="C29" s="176">
        <v>45711</v>
      </c>
      <c r="D29" s="199" t="s">
        <v>398</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1989</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1989</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319</v>
      </c>
      <c r="O31" s="54">
        <v>45707</v>
      </c>
      <c r="P31" s="87" t="s">
        <v>319</v>
      </c>
      <c r="Q31" s="43" t="s">
        <v>319</v>
      </c>
      <c r="R31" s="43" t="s">
        <v>1986</v>
      </c>
      <c r="S31" s="43" t="s">
        <v>319</v>
      </c>
      <c r="T31" s="139" t="s">
        <v>319</v>
      </c>
      <c r="U31" s="115" t="s">
        <v>319</v>
      </c>
      <c r="V31" s="69" t="s">
        <v>319</v>
      </c>
      <c r="W31" s="54">
        <v>45779</v>
      </c>
      <c r="X31" s="69" t="s">
        <v>1989</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319</v>
      </c>
      <c r="O32" s="54">
        <v>45756</v>
      </c>
      <c r="P32" s="30" t="s">
        <v>319</v>
      </c>
      <c r="Q32" s="69" t="s">
        <v>319</v>
      </c>
      <c r="R32" s="69" t="s">
        <v>1986</v>
      </c>
      <c r="S32" s="43" t="s">
        <v>319</v>
      </c>
      <c r="T32" s="139" t="s">
        <v>319</v>
      </c>
      <c r="U32" s="43" t="s">
        <v>319</v>
      </c>
      <c r="V32" s="69" t="s">
        <v>319</v>
      </c>
      <c r="W32" s="54">
        <v>45792</v>
      </c>
      <c r="X32" s="69" t="s">
        <v>1989</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319</v>
      </c>
      <c r="O33" s="124">
        <v>45749</v>
      </c>
      <c r="P33" s="30" t="s">
        <v>319</v>
      </c>
      <c r="Q33" s="69" t="s">
        <v>319</v>
      </c>
      <c r="R33" s="69" t="s">
        <v>1986</v>
      </c>
      <c r="S33" s="43" t="s">
        <v>319</v>
      </c>
      <c r="T33" s="139" t="s">
        <v>319</v>
      </c>
      <c r="U33" s="43" t="s">
        <v>319</v>
      </c>
      <c r="V33" s="334" t="s">
        <v>319</v>
      </c>
      <c r="W33" s="54">
        <v>45812</v>
      </c>
      <c r="X33" s="69" t="s">
        <v>1989</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319</v>
      </c>
      <c r="O34" s="124">
        <v>45750</v>
      </c>
      <c r="P34" s="30" t="s">
        <v>319</v>
      </c>
      <c r="Q34" s="69" t="s">
        <v>319</v>
      </c>
      <c r="R34" s="69" t="s">
        <v>1986</v>
      </c>
      <c r="S34" s="43" t="s">
        <v>319</v>
      </c>
      <c r="T34" s="139" t="s">
        <v>319</v>
      </c>
      <c r="U34" s="43" t="s">
        <v>319</v>
      </c>
      <c r="V34" s="404" t="s">
        <v>319</v>
      </c>
      <c r="W34" s="166">
        <v>45797</v>
      </c>
      <c r="X34" s="69" t="s">
        <v>1989</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319</v>
      </c>
      <c r="O35" s="124">
        <v>45659</v>
      </c>
      <c r="P35" s="87" t="s">
        <v>319</v>
      </c>
      <c r="Q35" s="43" t="s">
        <v>319</v>
      </c>
      <c r="R35" s="43" t="s">
        <v>1986</v>
      </c>
      <c r="S35" s="43" t="s">
        <v>319</v>
      </c>
      <c r="T35" s="139" t="s">
        <v>319</v>
      </c>
      <c r="U35" s="169" t="s">
        <v>319</v>
      </c>
      <c r="V35" s="69" t="s">
        <v>319</v>
      </c>
      <c r="W35" s="54">
        <v>45789</v>
      </c>
      <c r="X35" s="334" t="s">
        <v>1989</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319</v>
      </c>
      <c r="O36" s="124">
        <v>45659</v>
      </c>
      <c r="P36" s="87" t="s">
        <v>319</v>
      </c>
      <c r="Q36" s="43" t="s">
        <v>319</v>
      </c>
      <c r="R36" s="43" t="s">
        <v>1986</v>
      </c>
      <c r="S36" s="43" t="s">
        <v>319</v>
      </c>
      <c r="T36" s="139" t="s">
        <v>319</v>
      </c>
      <c r="U36" s="43" t="s">
        <v>319</v>
      </c>
      <c r="V36" s="69" t="s">
        <v>319</v>
      </c>
      <c r="W36" s="54">
        <v>45824</v>
      </c>
      <c r="X36" s="334" t="s">
        <v>1989</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319</v>
      </c>
      <c r="N37" s="30" t="s">
        <v>319</v>
      </c>
      <c r="O37" s="124">
        <v>45672</v>
      </c>
      <c r="P37" s="30" t="s">
        <v>319</v>
      </c>
      <c r="Q37" s="43" t="s">
        <v>319</v>
      </c>
      <c r="R37" s="43" t="s">
        <v>1986</v>
      </c>
      <c r="S37" s="43" t="s">
        <v>319</v>
      </c>
      <c r="T37" s="43" t="s">
        <v>319</v>
      </c>
      <c r="U37" s="169" t="s">
        <v>319</v>
      </c>
      <c r="V37" s="69" t="s">
        <v>319</v>
      </c>
      <c r="W37" s="156">
        <v>45789</v>
      </c>
      <c r="X37" s="69" t="s">
        <v>1989</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319</v>
      </c>
      <c r="O38" s="124">
        <v>45673</v>
      </c>
      <c r="P38" s="30" t="s">
        <v>319</v>
      </c>
      <c r="Q38" s="43" t="s">
        <v>319</v>
      </c>
      <c r="R38" s="43" t="s">
        <v>1986</v>
      </c>
      <c r="S38" s="43" t="s">
        <v>319</v>
      </c>
      <c r="T38" s="43" t="s">
        <v>319</v>
      </c>
      <c r="U38" s="169" t="s">
        <v>319</v>
      </c>
      <c r="V38" s="69" t="s">
        <v>319</v>
      </c>
      <c r="W38" s="54">
        <v>45789</v>
      </c>
      <c r="X38" s="69" t="s">
        <v>1989</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319</v>
      </c>
      <c r="N39" s="30" t="s">
        <v>319</v>
      </c>
      <c r="O39" s="124">
        <v>45672</v>
      </c>
      <c r="P39" s="30" t="s">
        <v>319</v>
      </c>
      <c r="Q39" s="43" t="s">
        <v>319</v>
      </c>
      <c r="R39" s="43" t="s">
        <v>1986</v>
      </c>
      <c r="S39" s="43" t="s">
        <v>319</v>
      </c>
      <c r="T39" s="43" t="s">
        <v>319</v>
      </c>
      <c r="U39" s="169" t="s">
        <v>319</v>
      </c>
      <c r="V39" s="69" t="s">
        <v>319</v>
      </c>
      <c r="W39" s="54">
        <v>45789</v>
      </c>
      <c r="X39" s="69" t="s">
        <v>1989</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1989</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1989</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1989</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1989</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1989</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1989</v>
      </c>
      <c r="Y45" t="e">
        <f>VLOOKUP(A45,#REF!,2,FALSE)</f>
        <v>#REF!</v>
      </c>
    </row>
    <row r="46" spans="1:25">
      <c r="A46" s="178" t="s">
        <v>911</v>
      </c>
      <c r="B46" s="175" t="s">
        <v>117</v>
      </c>
      <c r="C46" s="183">
        <v>45868</v>
      </c>
      <c r="D46" s="179" t="s">
        <v>912</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1989</v>
      </c>
    </row>
    <row r="47" spans="1:25">
      <c r="A47" s="178" t="s">
        <v>914</v>
      </c>
      <c r="B47" s="530" t="s">
        <v>117</v>
      </c>
      <c r="C47" s="177">
        <v>45899</v>
      </c>
      <c r="D47" s="179" t="s">
        <v>915</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917</v>
      </c>
      <c r="B48" s="530" t="s">
        <v>117</v>
      </c>
      <c r="C48" s="177">
        <v>45930</v>
      </c>
      <c r="D48" s="179" t="s">
        <v>918</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1989</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1989</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1989</v>
      </c>
    </row>
    <row r="52" spans="1:56">
      <c r="A52" s="178" t="s">
        <v>696</v>
      </c>
      <c r="B52" s="175" t="s">
        <v>117</v>
      </c>
      <c r="C52" s="177">
        <v>45868</v>
      </c>
      <c r="D52" s="519" t="s">
        <v>697</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1989</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1989</v>
      </c>
    </row>
    <row r="54" spans="1:56">
      <c r="A54" s="178" t="s">
        <v>929</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702</v>
      </c>
      <c r="B57" s="178" t="s">
        <v>117</v>
      </c>
      <c r="C57" s="177">
        <v>45862</v>
      </c>
      <c r="D57" s="620" t="s">
        <v>703</v>
      </c>
      <c r="E57" s="191"/>
      <c r="F57" s="138"/>
      <c r="G57" s="138"/>
      <c r="H57" s="185">
        <v>62</v>
      </c>
      <c r="I57" s="181"/>
      <c r="J57" s="185" t="s">
        <v>57</v>
      </c>
      <c r="K57" s="185" t="s">
        <v>57</v>
      </c>
      <c r="L57" s="185" t="s">
        <v>63</v>
      </c>
      <c r="M57" s="195">
        <v>45762</v>
      </c>
      <c r="N57" s="87" t="s">
        <v>319</v>
      </c>
      <c r="O57" s="124">
        <v>45783</v>
      </c>
      <c r="P57" s="328" t="s">
        <v>319</v>
      </c>
      <c r="Q57" s="43" t="s">
        <v>319</v>
      </c>
      <c r="R57" s="43" t="s">
        <v>1986</v>
      </c>
      <c r="S57" s="43" t="s">
        <v>319</v>
      </c>
      <c r="T57" s="43" t="s">
        <v>319</v>
      </c>
      <c r="U57" s="43" t="s">
        <v>319</v>
      </c>
      <c r="V57" s="69" t="s">
        <v>319</v>
      </c>
      <c r="W57" s="54">
        <v>45813</v>
      </c>
      <c r="X57" s="69" t="s">
        <v>1989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20" t="s">
        <v>705</v>
      </c>
      <c r="E58" s="191"/>
      <c r="F58" s="138"/>
      <c r="G58" s="138"/>
      <c r="H58" s="185">
        <v>89</v>
      </c>
      <c r="I58" s="181"/>
      <c r="J58" s="185" t="s">
        <v>57</v>
      </c>
      <c r="K58" s="185" t="s">
        <v>57</v>
      </c>
      <c r="L58" s="185" t="s">
        <v>63</v>
      </c>
      <c r="M58" s="195">
        <v>45762</v>
      </c>
      <c r="N58" s="87" t="s">
        <v>319</v>
      </c>
      <c r="O58" s="54">
        <v>45776</v>
      </c>
      <c r="P58" s="328" t="s">
        <v>319</v>
      </c>
      <c r="Q58" s="43" t="s">
        <v>319</v>
      </c>
      <c r="R58" s="43" t="s">
        <v>1986</v>
      </c>
      <c r="S58" s="43" t="s">
        <v>319</v>
      </c>
      <c r="T58" s="43" t="s">
        <v>319</v>
      </c>
      <c r="U58" s="43" t="s">
        <v>319</v>
      </c>
      <c r="V58" s="334" t="s">
        <v>319</v>
      </c>
      <c r="W58" s="54">
        <v>45796</v>
      </c>
      <c r="X58" s="69" t="s">
        <v>1989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20" t="s">
        <v>707</v>
      </c>
      <c r="E59" s="191"/>
      <c r="F59" s="138"/>
      <c r="G59" s="138"/>
      <c r="H59" s="185">
        <v>87</v>
      </c>
      <c r="I59" s="181"/>
      <c r="J59" s="185" t="s">
        <v>57</v>
      </c>
      <c r="K59" s="185" t="s">
        <v>57</v>
      </c>
      <c r="L59" s="185" t="s">
        <v>63</v>
      </c>
      <c r="M59" s="195">
        <v>45762</v>
      </c>
      <c r="N59" s="87" t="s">
        <v>319</v>
      </c>
      <c r="O59" s="30" t="s">
        <v>1968</v>
      </c>
      <c r="P59" s="328" t="s">
        <v>319</v>
      </c>
      <c r="Q59" s="43" t="s">
        <v>319</v>
      </c>
      <c r="R59" s="43" t="s">
        <v>1986</v>
      </c>
      <c r="S59" s="43" t="s">
        <v>319</v>
      </c>
      <c r="T59" s="43" t="s">
        <v>319</v>
      </c>
      <c r="U59" s="43" t="s">
        <v>319</v>
      </c>
      <c r="V59" s="334" t="s">
        <v>319</v>
      </c>
      <c r="W59" s="54">
        <v>45796</v>
      </c>
      <c r="X59" s="69" t="s">
        <v>1989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319</v>
      </c>
      <c r="O60" s="54">
        <v>45812</v>
      </c>
      <c r="P60" s="328" t="s">
        <v>319</v>
      </c>
      <c r="Q60" s="43" t="s">
        <v>319</v>
      </c>
      <c r="R60" s="43" t="s">
        <v>1986</v>
      </c>
      <c r="S60" s="43" t="s">
        <v>319</v>
      </c>
      <c r="T60" s="43" t="s">
        <v>319</v>
      </c>
      <c r="U60" s="43" t="s">
        <v>319</v>
      </c>
      <c r="V60" s="334" t="s">
        <v>319</v>
      </c>
      <c r="W60" s="54">
        <v>45824</v>
      </c>
      <c r="X60" s="69" t="s">
        <v>1989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30" t="s">
        <v>117</v>
      </c>
      <c r="C64" s="177">
        <v>45899</v>
      </c>
      <c r="D64" s="699" t="s">
        <v>738</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9" t="s">
        <v>741</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1" t="s">
        <v>948</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30" t="s">
        <v>117</v>
      </c>
      <c r="C69" s="177">
        <v>45899</v>
      </c>
      <c r="D69" s="200" t="s">
        <v>721</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30" t="s">
        <v>117</v>
      </c>
      <c r="C71" s="177">
        <v>45899</v>
      </c>
      <c r="D71" s="200" t="s">
        <v>727</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20" t="s">
        <v>445</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30" t="s">
        <v>117</v>
      </c>
      <c r="C74" s="177">
        <v>45899</v>
      </c>
      <c r="D74" s="200" t="s">
        <v>730</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20" t="s">
        <v>957</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20" t="s">
        <v>747</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1991</v>
      </c>
      <c r="B81" s="530" t="s">
        <v>117</v>
      </c>
      <c r="C81" s="176">
        <v>45688</v>
      </c>
      <c r="D81" s="620" t="s">
        <v>749</v>
      </c>
      <c r="E81" s="172"/>
      <c r="F81" s="129"/>
      <c r="G81" s="129"/>
      <c r="H81" s="179">
        <v>48</v>
      </c>
      <c r="I81" s="181"/>
      <c r="J81" s="179" t="s">
        <v>57</v>
      </c>
      <c r="K81" s="179" t="s">
        <v>57</v>
      </c>
      <c r="L81" s="179" t="s">
        <v>56</v>
      </c>
      <c r="M81" s="100" t="s">
        <v>319</v>
      </c>
      <c r="N81" s="87" t="s">
        <v>319</v>
      </c>
      <c r="O81" s="124">
        <v>45678</v>
      </c>
      <c r="P81" s="87" t="s">
        <v>319</v>
      </c>
      <c r="Q81" s="43" t="s">
        <v>319</v>
      </c>
      <c r="R81" s="43" t="s">
        <v>1986</v>
      </c>
      <c r="S81" s="43" t="s">
        <v>319</v>
      </c>
      <c r="T81" s="43" t="s">
        <v>319</v>
      </c>
      <c r="U81" s="115" t="s">
        <v>319</v>
      </c>
      <c r="V81" s="69" t="s">
        <v>319</v>
      </c>
      <c r="W81" s="54">
        <v>45789</v>
      </c>
      <c r="X81" s="69" t="s">
        <v>1989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1986</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2">
        <v>45716</v>
      </c>
      <c r="D83" s="184" t="s">
        <v>532</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319</v>
      </c>
      <c r="O84" s="54">
        <v>45728</v>
      </c>
      <c r="P84" s="30" t="s">
        <v>319</v>
      </c>
      <c r="Q84" s="169" t="s">
        <v>319</v>
      </c>
      <c r="R84" s="169" t="s">
        <v>1986</v>
      </c>
      <c r="S84" s="169" t="s">
        <v>319</v>
      </c>
      <c r="T84" s="169" t="s">
        <v>319</v>
      </c>
      <c r="U84" s="91" t="s">
        <v>319</v>
      </c>
      <c r="V84" s="69" t="s">
        <v>319</v>
      </c>
      <c r="W84" s="195">
        <v>45875</v>
      </c>
      <c r="X84" s="69" t="s">
        <v>1989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319</v>
      </c>
      <c r="O85" s="54">
        <v>45719</v>
      </c>
      <c r="P85" s="30" t="s">
        <v>319</v>
      </c>
      <c r="Q85" s="43" t="s">
        <v>319</v>
      </c>
      <c r="R85" s="169" t="s">
        <v>1986</v>
      </c>
      <c r="S85" s="169" t="s">
        <v>319</v>
      </c>
      <c r="T85" s="169" t="s">
        <v>319</v>
      </c>
      <c r="U85" s="91" t="s">
        <v>319</v>
      </c>
      <c r="V85" s="91" t="s">
        <v>319</v>
      </c>
      <c r="W85" s="195">
        <v>45874</v>
      </c>
      <c r="X85" s="69" t="s">
        <v>1989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319</v>
      </c>
      <c r="O86" s="195">
        <v>45728</v>
      </c>
      <c r="P86" s="30" t="s">
        <v>319</v>
      </c>
      <c r="Q86" s="43" t="s">
        <v>319</v>
      </c>
      <c r="R86" s="43" t="s">
        <v>1986</v>
      </c>
      <c r="S86" s="43" t="s">
        <v>319</v>
      </c>
      <c r="T86" s="43" t="s">
        <v>319</v>
      </c>
      <c r="U86" s="69" t="s">
        <v>319</v>
      </c>
      <c r="V86" s="69" t="s">
        <v>319</v>
      </c>
      <c r="W86" s="54">
        <v>45824</v>
      </c>
      <c r="X86" s="69" t="s">
        <v>1989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319</v>
      </c>
      <c r="O87" s="30" t="s">
        <v>319</v>
      </c>
      <c r="P87" s="30" t="s">
        <v>319</v>
      </c>
      <c r="Q87" s="43" t="s">
        <v>319</v>
      </c>
      <c r="R87" s="43" t="s">
        <v>1986</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3" t="s">
        <v>760</v>
      </c>
      <c r="E88" s="198"/>
      <c r="F88" s="168"/>
      <c r="G88" s="168"/>
      <c r="H88" s="185">
        <v>80</v>
      </c>
      <c r="I88" s="181"/>
      <c r="J88" s="185" t="s">
        <v>57</v>
      </c>
      <c r="K88" s="185" t="s">
        <v>57</v>
      </c>
      <c r="L88" s="185" t="s">
        <v>63</v>
      </c>
      <c r="M88" s="195">
        <v>45728</v>
      </c>
      <c r="N88" s="30" t="s">
        <v>319</v>
      </c>
      <c r="O88" s="54">
        <v>45728</v>
      </c>
      <c r="P88" s="30" t="s">
        <v>319</v>
      </c>
      <c r="Q88" s="43" t="s">
        <v>319</v>
      </c>
      <c r="R88" s="43" t="s">
        <v>1986</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319</v>
      </c>
      <c r="O89" s="54">
        <v>45722</v>
      </c>
      <c r="P89" s="30" t="s">
        <v>319</v>
      </c>
      <c r="Q89" s="69" t="s">
        <v>319</v>
      </c>
      <c r="R89" s="43" t="s">
        <v>1986</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319</v>
      </c>
      <c r="O90" s="54">
        <v>45727</v>
      </c>
      <c r="P90" s="30" t="s">
        <v>319</v>
      </c>
      <c r="Q90" s="69" t="s">
        <v>319</v>
      </c>
      <c r="R90" s="43" t="s">
        <v>1986</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319</v>
      </c>
      <c r="O91" s="54">
        <v>45723</v>
      </c>
      <c r="P91" s="30" t="s">
        <v>319</v>
      </c>
      <c r="Q91" s="69" t="s">
        <v>319</v>
      </c>
      <c r="R91" s="43" t="s">
        <v>1986</v>
      </c>
      <c r="S91" s="69" t="s">
        <v>319</v>
      </c>
      <c r="T91" s="69" t="s">
        <v>319</v>
      </c>
      <c r="U91" s="69" t="s">
        <v>319</v>
      </c>
      <c r="V91" s="69" t="s">
        <v>319</v>
      </c>
      <c r="W91" s="54">
        <v>45831</v>
      </c>
      <c r="X91" s="69" t="s">
        <v>1989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319</v>
      </c>
      <c r="O92" s="54">
        <v>45726</v>
      </c>
      <c r="P92" s="30" t="s">
        <v>319</v>
      </c>
      <c r="Q92" s="148" t="s">
        <v>319</v>
      </c>
      <c r="R92" s="43" t="s">
        <v>1986</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319</v>
      </c>
      <c r="O93" s="54">
        <v>45727</v>
      </c>
      <c r="P93" s="79" t="s">
        <v>319</v>
      </c>
      <c r="Q93" s="43" t="s">
        <v>319</v>
      </c>
      <c r="R93" s="43" t="s">
        <v>1986</v>
      </c>
      <c r="S93" s="43" t="s">
        <v>319</v>
      </c>
      <c r="T93" s="43" t="s">
        <v>319</v>
      </c>
      <c r="U93" s="334" t="s">
        <v>319</v>
      </c>
      <c r="V93" s="69" t="s">
        <v>319</v>
      </c>
      <c r="W93" s="54">
        <v>45789</v>
      </c>
      <c r="X93" s="69" t="s">
        <v>1989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319</v>
      </c>
      <c r="O94" s="54">
        <v>45693</v>
      </c>
      <c r="P94" s="79" t="s">
        <v>319</v>
      </c>
      <c r="Q94" s="69" t="s">
        <v>319</v>
      </c>
      <c r="R94" s="69" t="s">
        <v>1986</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319</v>
      </c>
      <c r="O95" s="195">
        <v>45694</v>
      </c>
      <c r="P95" s="79" t="s">
        <v>319</v>
      </c>
      <c r="Q95" s="69" t="s">
        <v>319</v>
      </c>
      <c r="R95" s="69" t="s">
        <v>1986</v>
      </c>
      <c r="S95" s="69" t="s">
        <v>319</v>
      </c>
      <c r="T95" s="43" t="s">
        <v>319</v>
      </c>
      <c r="U95" s="69" t="s">
        <v>319</v>
      </c>
      <c r="V95" s="69" t="s">
        <v>319</v>
      </c>
      <c r="W95" s="54">
        <v>45814</v>
      </c>
      <c r="X95" s="69" t="s">
        <v>1989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5" t="s">
        <v>604</v>
      </c>
      <c r="E96" s="192"/>
      <c r="F96" s="136"/>
      <c r="G96" s="136"/>
      <c r="H96" s="188">
        <v>89</v>
      </c>
      <c r="I96" s="181"/>
      <c r="J96" s="188" t="s">
        <v>57</v>
      </c>
      <c r="K96" s="188" t="s">
        <v>57</v>
      </c>
      <c r="L96" s="188" t="s">
        <v>63</v>
      </c>
      <c r="M96" s="194">
        <v>45695</v>
      </c>
      <c r="N96" s="30" t="s">
        <v>319</v>
      </c>
      <c r="O96" s="54">
        <v>45694</v>
      </c>
      <c r="P96" s="30" t="s">
        <v>319</v>
      </c>
      <c r="Q96" s="69" t="s">
        <v>319</v>
      </c>
      <c r="R96" s="91" t="s">
        <v>1986</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6" t="s">
        <v>604</v>
      </c>
      <c r="E97" s="192"/>
      <c r="F97" s="136"/>
      <c r="G97" s="136"/>
      <c r="H97" s="188">
        <v>86</v>
      </c>
      <c r="I97" s="181"/>
      <c r="J97" s="188" t="s">
        <v>57</v>
      </c>
      <c r="K97" s="188" t="s">
        <v>57</v>
      </c>
      <c r="L97" s="188" t="s">
        <v>63</v>
      </c>
      <c r="M97" s="194">
        <v>45698</v>
      </c>
      <c r="N97" s="30" t="s">
        <v>319</v>
      </c>
      <c r="O97" s="54">
        <v>45688</v>
      </c>
      <c r="P97" s="30" t="s">
        <v>319</v>
      </c>
      <c r="Q97" s="69" t="s">
        <v>319</v>
      </c>
      <c r="R97" s="69" t="s">
        <v>1986</v>
      </c>
      <c r="S97" s="69" t="s">
        <v>319</v>
      </c>
      <c r="T97" s="69" t="s">
        <v>319</v>
      </c>
      <c r="U97" s="69" t="s">
        <v>319</v>
      </c>
      <c r="V97" s="43" t="s">
        <v>319</v>
      </c>
      <c r="W97" s="54">
        <v>45824</v>
      </c>
      <c r="X97" s="69" t="s">
        <v>1989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2" t="s">
        <v>607</v>
      </c>
      <c r="E98" s="192"/>
      <c r="F98" s="136"/>
      <c r="G98" s="136"/>
      <c r="H98" s="188">
        <v>77</v>
      </c>
      <c r="I98" s="181"/>
      <c r="J98" s="188" t="s">
        <v>57</v>
      </c>
      <c r="K98" s="188" t="s">
        <v>57</v>
      </c>
      <c r="L98" s="188" t="s">
        <v>63</v>
      </c>
      <c r="M98" s="194">
        <v>45686</v>
      </c>
      <c r="N98" s="30" t="s">
        <v>319</v>
      </c>
      <c r="O98" s="54">
        <v>45692</v>
      </c>
      <c r="P98" s="30" t="s">
        <v>319</v>
      </c>
      <c r="Q98" s="43" t="s">
        <v>319</v>
      </c>
      <c r="R98" s="43" t="s">
        <v>1986</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8"/>
      <c r="F99" s="728"/>
      <c r="G99" s="728"/>
      <c r="H99" s="188">
        <v>81</v>
      </c>
      <c r="I99" s="181"/>
      <c r="J99" s="188" t="s">
        <v>57</v>
      </c>
      <c r="K99" s="188" t="s">
        <v>57</v>
      </c>
      <c r="L99" s="188" t="s">
        <v>63</v>
      </c>
      <c r="M99" s="194">
        <v>45700</v>
      </c>
      <c r="N99" s="30" t="s">
        <v>319</v>
      </c>
      <c r="O99" s="54">
        <v>45692</v>
      </c>
      <c r="P99" s="30" t="s">
        <v>319</v>
      </c>
      <c r="Q99" s="43" t="s">
        <v>319</v>
      </c>
      <c r="R99" s="43" t="s">
        <v>1986</v>
      </c>
      <c r="S99" s="43" t="s">
        <v>319</v>
      </c>
      <c r="T99" s="115" t="s">
        <v>319</v>
      </c>
      <c r="U99" s="148" t="s">
        <v>319</v>
      </c>
      <c r="V99" s="69" t="s">
        <v>319</v>
      </c>
      <c r="W99" s="54">
        <v>45814</v>
      </c>
      <c r="X99" s="69" t="s">
        <v>1989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1986</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8"/>
      <c r="F101" s="728"/>
      <c r="G101" s="728"/>
      <c r="H101" s="188">
        <v>84</v>
      </c>
      <c r="I101" s="181"/>
      <c r="J101" s="188" t="s">
        <v>57</v>
      </c>
      <c r="K101" s="188" t="s">
        <v>57</v>
      </c>
      <c r="L101" s="188" t="s">
        <v>63</v>
      </c>
      <c r="M101" s="194">
        <v>45698</v>
      </c>
      <c r="N101" s="30" t="s">
        <v>319</v>
      </c>
      <c r="O101" s="54">
        <v>45695</v>
      </c>
      <c r="P101" s="30" t="s">
        <v>319</v>
      </c>
      <c r="Q101" s="43" t="s">
        <v>319</v>
      </c>
      <c r="R101" s="43" t="s">
        <v>1986</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8"/>
      <c r="F102" s="728"/>
      <c r="G102" s="728"/>
      <c r="H102" s="188">
        <v>90</v>
      </c>
      <c r="I102" s="181"/>
      <c r="J102" s="188" t="s">
        <v>57</v>
      </c>
      <c r="K102" s="188" t="s">
        <v>57</v>
      </c>
      <c r="L102" s="188" t="s">
        <v>63</v>
      </c>
      <c r="M102" s="100" t="s">
        <v>319</v>
      </c>
      <c r="N102" s="30" t="s">
        <v>319</v>
      </c>
      <c r="O102" s="54">
        <v>45699</v>
      </c>
      <c r="P102" s="87" t="s">
        <v>319</v>
      </c>
      <c r="Q102" s="88" t="s">
        <v>319</v>
      </c>
      <c r="R102" s="43" t="s">
        <v>1986</v>
      </c>
      <c r="S102" s="43" t="s">
        <v>319</v>
      </c>
      <c r="T102" s="43" t="s">
        <v>319</v>
      </c>
      <c r="U102" s="43" t="s">
        <v>319</v>
      </c>
      <c r="V102" s="165" t="s">
        <v>319</v>
      </c>
      <c r="W102" s="54">
        <v>45835</v>
      </c>
      <c r="X102" s="69" t="s">
        <v>1989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8"/>
      <c r="F103" s="728"/>
      <c r="G103" s="728"/>
      <c r="H103" s="185">
        <v>86</v>
      </c>
      <c r="I103" s="181"/>
      <c r="J103" s="188" t="s">
        <v>57</v>
      </c>
      <c r="K103" s="188" t="s">
        <v>57</v>
      </c>
      <c r="L103" s="185" t="s">
        <v>63</v>
      </c>
      <c r="M103" s="195">
        <v>45677</v>
      </c>
      <c r="N103" s="30" t="s">
        <v>319</v>
      </c>
      <c r="O103" s="54">
        <v>45675</v>
      </c>
      <c r="P103" s="87" t="s">
        <v>319</v>
      </c>
      <c r="Q103" s="43" t="s">
        <v>319</v>
      </c>
      <c r="R103" s="43" t="s">
        <v>1986</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1986</v>
      </c>
      <c r="S104" s="43" t="s">
        <v>319</v>
      </c>
      <c r="T104" s="43" t="s">
        <v>319</v>
      </c>
      <c r="U104" s="43" t="s">
        <v>319</v>
      </c>
      <c r="V104" s="139" t="s">
        <v>319</v>
      </c>
      <c r="W104" s="54">
        <v>45820</v>
      </c>
      <c r="X104" s="69" t="s">
        <v>1989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8"/>
      <c r="F105" s="728"/>
      <c r="G105" s="728"/>
      <c r="H105" s="185">
        <v>88</v>
      </c>
      <c r="I105" s="181"/>
      <c r="J105" s="188" t="s">
        <v>57</v>
      </c>
      <c r="K105" s="188" t="s">
        <v>57</v>
      </c>
      <c r="L105" s="188" t="s">
        <v>63</v>
      </c>
      <c r="M105" s="195">
        <v>45742</v>
      </c>
      <c r="N105" s="30" t="s">
        <v>319</v>
      </c>
      <c r="O105" s="54">
        <v>45743</v>
      </c>
      <c r="P105" s="87" t="s">
        <v>319</v>
      </c>
      <c r="Q105" s="157" t="s">
        <v>319</v>
      </c>
      <c r="R105" s="69" t="s">
        <v>1986</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8"/>
      <c r="F106" s="728"/>
      <c r="G106" s="728"/>
      <c r="H106" s="185">
        <v>88</v>
      </c>
      <c r="I106" s="181"/>
      <c r="J106" s="188" t="s">
        <v>57</v>
      </c>
      <c r="K106" s="188" t="s">
        <v>57</v>
      </c>
      <c r="L106" s="185" t="s">
        <v>63</v>
      </c>
      <c r="M106" s="195">
        <v>45706</v>
      </c>
      <c r="N106" s="30" t="s">
        <v>319</v>
      </c>
      <c r="O106" s="54">
        <v>45679</v>
      </c>
      <c r="P106" s="87" t="s">
        <v>319</v>
      </c>
      <c r="Q106" s="43" t="s">
        <v>319</v>
      </c>
      <c r="R106" s="43" t="s">
        <v>1986</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319</v>
      </c>
      <c r="O107" s="54">
        <v>45749</v>
      </c>
      <c r="P107" s="30" t="s">
        <v>319</v>
      </c>
      <c r="Q107" s="43" t="s">
        <v>319</v>
      </c>
      <c r="R107" s="43" t="s">
        <v>1986</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319</v>
      </c>
      <c r="O108" s="54">
        <v>45749</v>
      </c>
      <c r="P108" s="30" t="s">
        <v>319</v>
      </c>
      <c r="Q108" s="43" t="s">
        <v>319</v>
      </c>
      <c r="R108" s="334" t="s">
        <v>1986</v>
      </c>
      <c r="S108" s="43" t="s">
        <v>319</v>
      </c>
      <c r="T108" s="43" t="s">
        <v>319</v>
      </c>
      <c r="U108" s="88" t="s">
        <v>319</v>
      </c>
      <c r="V108" s="481" t="s">
        <v>319</v>
      </c>
      <c r="W108" s="356">
        <v>45798</v>
      </c>
      <c r="X108" s="69" t="s">
        <v>1989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20" t="s">
        <v>801</v>
      </c>
      <c r="E109"/>
      <c r="F109"/>
      <c r="G109"/>
      <c r="H109" s="185">
        <v>57</v>
      </c>
      <c r="I109" s="181"/>
      <c r="J109" s="179" t="s">
        <v>57</v>
      </c>
      <c r="K109" s="179" t="s">
        <v>57</v>
      </c>
      <c r="L109" s="179" t="s">
        <v>63</v>
      </c>
      <c r="M109" s="195">
        <v>45741</v>
      </c>
      <c r="N109" s="30" t="s">
        <v>319</v>
      </c>
      <c r="O109" s="54">
        <v>45744</v>
      </c>
      <c r="P109" s="79" t="s">
        <v>319</v>
      </c>
      <c r="Q109" s="43" t="s">
        <v>319</v>
      </c>
      <c r="R109" s="334" t="s">
        <v>1986</v>
      </c>
      <c r="S109" s="43" t="s">
        <v>319</v>
      </c>
      <c r="T109" s="43" t="s">
        <v>319</v>
      </c>
      <c r="U109" s="43" t="s">
        <v>1992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6" t="s">
        <v>804</v>
      </c>
      <c r="E110" s="728"/>
      <c r="F110" s="728"/>
      <c r="G110" s="728"/>
      <c r="H110" s="185">
        <v>73</v>
      </c>
      <c r="I110" s="181"/>
      <c r="J110" s="188" t="s">
        <v>57</v>
      </c>
      <c r="K110" s="188" t="s">
        <v>57</v>
      </c>
      <c r="L110" s="185" t="s">
        <v>63</v>
      </c>
      <c r="M110" s="195">
        <v>45698</v>
      </c>
      <c r="N110" s="30" t="s">
        <v>319</v>
      </c>
      <c r="O110" s="54">
        <v>45691</v>
      </c>
      <c r="P110" s="79" t="s">
        <v>319</v>
      </c>
      <c r="Q110" s="43" t="s">
        <v>319</v>
      </c>
      <c r="R110" s="334" t="s">
        <v>1986</v>
      </c>
      <c r="S110" s="43" t="s">
        <v>319</v>
      </c>
      <c r="T110" s="43" t="s">
        <v>319</v>
      </c>
      <c r="U110" s="88" t="s">
        <v>319</v>
      </c>
      <c r="V110" s="481" t="s">
        <v>319</v>
      </c>
      <c r="W110" s="356">
        <v>45902</v>
      </c>
      <c r="X110" s="69" t="s">
        <v>1989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2" t="s">
        <v>807</v>
      </c>
      <c r="E111" s="728"/>
      <c r="F111" s="728"/>
      <c r="G111" s="728"/>
      <c r="H111" s="185">
        <v>65</v>
      </c>
      <c r="I111" s="181"/>
      <c r="J111" s="188" t="s">
        <v>57</v>
      </c>
      <c r="K111" s="188" t="s">
        <v>57</v>
      </c>
      <c r="L111" s="185" t="s">
        <v>63</v>
      </c>
      <c r="M111" s="195">
        <v>45698</v>
      </c>
      <c r="N111" s="30" t="s">
        <v>319</v>
      </c>
      <c r="O111" s="54">
        <v>45708</v>
      </c>
      <c r="P111" s="30" t="s">
        <v>319</v>
      </c>
      <c r="Q111" s="169" t="s">
        <v>319</v>
      </c>
      <c r="R111" s="69" t="s">
        <v>1986</v>
      </c>
      <c r="S111" s="43" t="s">
        <v>319</v>
      </c>
      <c r="T111" s="43" t="s">
        <v>319</v>
      </c>
      <c r="U111" s="43" t="s">
        <v>319</v>
      </c>
      <c r="V111" s="201" t="s">
        <v>319</v>
      </c>
      <c r="W111" s="166">
        <v>45790</v>
      </c>
      <c r="X111" s="69" t="s">
        <v>1989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319</v>
      </c>
      <c r="O112" s="166">
        <v>45744</v>
      </c>
      <c r="P112" s="114" t="s">
        <v>319</v>
      </c>
      <c r="Q112" s="115" t="s">
        <v>319</v>
      </c>
      <c r="R112" s="148" t="s">
        <v>1986</v>
      </c>
      <c r="S112" s="43" t="s">
        <v>319</v>
      </c>
      <c r="T112" s="43" t="s">
        <v>319</v>
      </c>
      <c r="U112" s="43" t="s">
        <v>319</v>
      </c>
      <c r="V112" s="201" t="s">
        <v>319</v>
      </c>
      <c r="W112" s="479">
        <v>45791</v>
      </c>
      <c r="X112" s="69" t="s">
        <v>1989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5" t="s">
        <v>811</v>
      </c>
      <c r="H113" s="185">
        <v>84</v>
      </c>
      <c r="I113" s="181"/>
      <c r="J113" s="179" t="s">
        <v>57</v>
      </c>
      <c r="K113" s="179" t="s">
        <v>57</v>
      </c>
      <c r="L113" s="363" t="s">
        <v>63</v>
      </c>
      <c r="M113" s="196">
        <v>45741</v>
      </c>
      <c r="N113" s="114" t="s">
        <v>319</v>
      </c>
      <c r="O113" s="166">
        <v>45755</v>
      </c>
      <c r="P113" s="114" t="s">
        <v>319</v>
      </c>
      <c r="Q113" s="115" t="s">
        <v>319</v>
      </c>
      <c r="R113" s="148" t="s">
        <v>1986</v>
      </c>
      <c r="S113" s="115" t="s">
        <v>319</v>
      </c>
      <c r="T113" s="43" t="s">
        <v>319</v>
      </c>
      <c r="U113" s="43" t="s">
        <v>319</v>
      </c>
      <c r="V113" s="201" t="s">
        <v>319</v>
      </c>
      <c r="W113" s="479">
        <v>45791</v>
      </c>
      <c r="X113" s="148" t="s">
        <v>1989</v>
      </c>
    </row>
    <row r="114" spans="1:25">
      <c r="A114" s="178" t="s">
        <v>812</v>
      </c>
      <c r="B114" s="182" t="s">
        <v>50</v>
      </c>
      <c r="C114" s="314">
        <v>45772</v>
      </c>
      <c r="D114" s="410" t="s">
        <v>813</v>
      </c>
      <c r="H114" s="185">
        <v>75</v>
      </c>
      <c r="I114" s="181"/>
      <c r="J114" s="179" t="s">
        <v>57</v>
      </c>
      <c r="K114" s="420" t="s">
        <v>57</v>
      </c>
      <c r="L114" s="179" t="s">
        <v>63</v>
      </c>
      <c r="M114" s="193">
        <v>45741</v>
      </c>
      <c r="N114" s="114" t="s">
        <v>319</v>
      </c>
      <c r="O114" s="54">
        <v>45747</v>
      </c>
      <c r="P114" s="114" t="s">
        <v>319</v>
      </c>
      <c r="Q114" s="115" t="s">
        <v>319</v>
      </c>
      <c r="R114" s="148" t="s">
        <v>1986</v>
      </c>
      <c r="S114" s="115" t="s">
        <v>319</v>
      </c>
      <c r="T114" s="43" t="s">
        <v>319</v>
      </c>
      <c r="U114" s="157" t="s">
        <v>319</v>
      </c>
      <c r="V114" s="201" t="s">
        <v>319</v>
      </c>
      <c r="W114" s="54">
        <v>45798</v>
      </c>
      <c r="X114" s="69" t="s">
        <v>1989</v>
      </c>
      <c r="Y114" t="e">
        <f>VLOOKUP(A114,#REF!,2,FALSE)</f>
        <v>#REF!</v>
      </c>
    </row>
    <row r="115" spans="1:25">
      <c r="A115" s="178" t="s">
        <v>814</v>
      </c>
      <c r="B115" s="182" t="s">
        <v>50</v>
      </c>
      <c r="C115" s="176">
        <v>45772</v>
      </c>
      <c r="D115" s="718" t="s">
        <v>815</v>
      </c>
      <c r="H115" s="179">
        <v>69</v>
      </c>
      <c r="I115" s="181"/>
      <c r="J115" s="179" t="s">
        <v>57</v>
      </c>
      <c r="K115" s="420" t="s">
        <v>57</v>
      </c>
      <c r="L115" s="179" t="s">
        <v>63</v>
      </c>
      <c r="M115" s="193">
        <v>45757</v>
      </c>
      <c r="N115" s="30" t="s">
        <v>319</v>
      </c>
      <c r="O115" s="124">
        <v>45757</v>
      </c>
      <c r="P115" s="30" t="s">
        <v>319</v>
      </c>
      <c r="Q115" s="43" t="s">
        <v>319</v>
      </c>
      <c r="R115" s="69" t="s">
        <v>1986</v>
      </c>
      <c r="S115" s="43" t="s">
        <v>319</v>
      </c>
      <c r="T115" s="43" t="s">
        <v>319</v>
      </c>
      <c r="U115" s="43" t="s">
        <v>319</v>
      </c>
      <c r="V115" s="88" t="s">
        <v>319</v>
      </c>
      <c r="W115" s="54">
        <v>45814</v>
      </c>
      <c r="X115" s="69" t="s">
        <v>1989</v>
      </c>
    </row>
    <row r="116" spans="1:25">
      <c r="A116" s="178" t="s">
        <v>816</v>
      </c>
      <c r="B116" s="182" t="s">
        <v>50</v>
      </c>
      <c r="C116" s="314">
        <v>45772</v>
      </c>
      <c r="D116" s="717" t="s">
        <v>818</v>
      </c>
      <c r="H116" s="179">
        <v>50</v>
      </c>
      <c r="I116" s="181"/>
      <c r="J116" s="179" t="s">
        <v>57</v>
      </c>
      <c r="K116" s="420" t="s">
        <v>57</v>
      </c>
      <c r="L116" s="179" t="s">
        <v>63</v>
      </c>
      <c r="M116" s="193">
        <v>45757</v>
      </c>
      <c r="N116" s="30" t="s">
        <v>319</v>
      </c>
      <c r="O116" s="124">
        <v>45757</v>
      </c>
      <c r="P116" s="30" t="s">
        <v>319</v>
      </c>
      <c r="Q116" s="43" t="s">
        <v>319</v>
      </c>
      <c r="R116" s="69" t="s">
        <v>1986</v>
      </c>
      <c r="S116" s="43" t="s">
        <v>319</v>
      </c>
      <c r="T116" s="43" t="s">
        <v>319</v>
      </c>
      <c r="U116" s="43" t="s">
        <v>319</v>
      </c>
      <c r="V116" s="481" t="s">
        <v>319</v>
      </c>
      <c r="W116" s="54">
        <v>45807</v>
      </c>
      <c r="X116" s="69" t="s">
        <v>1989</v>
      </c>
    </row>
    <row r="117" spans="1:25">
      <c r="A117" s="178" t="s">
        <v>820</v>
      </c>
      <c r="B117" s="182" t="s">
        <v>50</v>
      </c>
      <c r="C117" s="314">
        <v>45772</v>
      </c>
      <c r="D117" s="519" t="s">
        <v>821</v>
      </c>
      <c r="H117" s="179">
        <v>76</v>
      </c>
      <c r="I117" s="181"/>
      <c r="J117" s="179" t="s">
        <v>57</v>
      </c>
      <c r="K117" s="420" t="s">
        <v>57</v>
      </c>
      <c r="L117" s="179" t="s">
        <v>63</v>
      </c>
      <c r="M117" s="193">
        <v>45757</v>
      </c>
      <c r="N117" s="87" t="s">
        <v>319</v>
      </c>
      <c r="O117" s="124">
        <v>45757</v>
      </c>
      <c r="P117" s="30" t="s">
        <v>319</v>
      </c>
      <c r="Q117" s="43" t="s">
        <v>319</v>
      </c>
      <c r="R117" s="69" t="s">
        <v>1986</v>
      </c>
      <c r="S117" s="43" t="s">
        <v>319</v>
      </c>
      <c r="T117" s="43" t="s">
        <v>319</v>
      </c>
      <c r="U117" s="43" t="s">
        <v>319</v>
      </c>
      <c r="V117" s="88" t="s">
        <v>319</v>
      </c>
      <c r="W117" s="54">
        <v>45811</v>
      </c>
      <c r="X117" s="69" t="s">
        <v>1989</v>
      </c>
    </row>
    <row r="118" spans="1:25">
      <c r="A118" s="178" t="s">
        <v>822</v>
      </c>
      <c r="B118" s="182" t="s">
        <v>50</v>
      </c>
      <c r="C118" s="314">
        <v>45772</v>
      </c>
      <c r="D118" s="179" t="s">
        <v>824</v>
      </c>
      <c r="H118" s="185">
        <v>88</v>
      </c>
      <c r="I118" s="181"/>
      <c r="J118" s="179" t="s">
        <v>57</v>
      </c>
      <c r="K118" s="420" t="s">
        <v>57</v>
      </c>
      <c r="L118" s="179" t="s">
        <v>63</v>
      </c>
      <c r="M118" s="193">
        <v>45757</v>
      </c>
      <c r="N118" s="87" t="s">
        <v>319</v>
      </c>
      <c r="O118" s="124">
        <v>45757</v>
      </c>
      <c r="P118" s="87" t="s">
        <v>319</v>
      </c>
      <c r="Q118" s="43" t="s">
        <v>319</v>
      </c>
      <c r="R118" s="43" t="s">
        <v>1986</v>
      </c>
      <c r="S118" s="43" t="s">
        <v>319</v>
      </c>
      <c r="T118" s="43" t="s">
        <v>319</v>
      </c>
      <c r="U118" s="157" t="s">
        <v>319</v>
      </c>
      <c r="V118" s="88" t="s">
        <v>319</v>
      </c>
      <c r="W118" s="54">
        <v>45810</v>
      </c>
      <c r="X118" s="69" t="s">
        <v>1989</v>
      </c>
    </row>
    <row r="119" spans="1:25">
      <c r="A119" s="178" t="s">
        <v>826</v>
      </c>
      <c r="B119" s="182" t="s">
        <v>50</v>
      </c>
      <c r="C119" s="314">
        <v>45772</v>
      </c>
      <c r="D119" s="179" t="s">
        <v>827</v>
      </c>
      <c r="H119" s="185">
        <v>86</v>
      </c>
      <c r="I119" s="181"/>
      <c r="J119" s="179" t="s">
        <v>57</v>
      </c>
      <c r="K119" s="420" t="s">
        <v>57</v>
      </c>
      <c r="L119" s="179" t="s">
        <v>63</v>
      </c>
      <c r="M119" s="195">
        <v>45756</v>
      </c>
      <c r="N119" s="30" t="s">
        <v>319</v>
      </c>
      <c r="O119" s="124">
        <v>45757</v>
      </c>
      <c r="P119" s="30" t="s">
        <v>319</v>
      </c>
      <c r="Q119" s="69" t="s">
        <v>319</v>
      </c>
      <c r="R119" s="69" t="s">
        <v>1986</v>
      </c>
      <c r="S119" s="43" t="s">
        <v>319</v>
      </c>
      <c r="T119" s="43" t="s">
        <v>319</v>
      </c>
      <c r="U119" s="157" t="s">
        <v>319</v>
      </c>
      <c r="V119" s="88" t="s">
        <v>319</v>
      </c>
      <c r="W119" s="54">
        <v>45813</v>
      </c>
      <c r="X119" s="69" t="s">
        <v>1989</v>
      </c>
    </row>
    <row r="120" spans="1:25">
      <c r="A120" s="178" t="s">
        <v>828</v>
      </c>
      <c r="B120" s="182" t="s">
        <v>50</v>
      </c>
      <c r="C120" s="314">
        <v>45772</v>
      </c>
      <c r="D120" s="520" t="s">
        <v>829</v>
      </c>
      <c r="H120" s="185">
        <v>84</v>
      </c>
      <c r="I120" s="181"/>
      <c r="J120" s="179" t="s">
        <v>57</v>
      </c>
      <c r="K120" s="420" t="s">
        <v>57</v>
      </c>
      <c r="L120" s="179" t="s">
        <v>63</v>
      </c>
      <c r="M120" s="195">
        <v>45741</v>
      </c>
      <c r="N120" s="30" t="s">
        <v>319</v>
      </c>
      <c r="O120" s="54">
        <v>45748</v>
      </c>
      <c r="P120" s="30" t="s">
        <v>319</v>
      </c>
      <c r="Q120" s="43" t="s">
        <v>319</v>
      </c>
      <c r="R120" s="69" t="s">
        <v>1986</v>
      </c>
      <c r="S120" s="43" t="s">
        <v>319</v>
      </c>
      <c r="T120" s="43" t="s">
        <v>319</v>
      </c>
      <c r="U120" s="43" t="s">
        <v>319</v>
      </c>
      <c r="V120" s="88" t="s">
        <v>319</v>
      </c>
      <c r="W120" s="54">
        <v>45811</v>
      </c>
      <c r="X120" s="69" t="s">
        <v>1989</v>
      </c>
    </row>
    <row r="121" spans="1:25">
      <c r="A121" s="366" t="s">
        <v>830</v>
      </c>
      <c r="B121" s="689" t="s">
        <v>50</v>
      </c>
      <c r="C121" s="690">
        <v>45772</v>
      </c>
      <c r="D121" s="363" t="s">
        <v>831</v>
      </c>
      <c r="H121" s="341">
        <v>87</v>
      </c>
      <c r="I121" s="339"/>
      <c r="J121" s="363" t="s">
        <v>57</v>
      </c>
      <c r="K121" s="710" t="s">
        <v>57</v>
      </c>
      <c r="L121" s="179" t="s">
        <v>63</v>
      </c>
      <c r="M121" s="193">
        <v>45757</v>
      </c>
      <c r="N121" s="30" t="s">
        <v>319</v>
      </c>
      <c r="O121" s="124">
        <v>45757</v>
      </c>
      <c r="P121" s="30" t="s">
        <v>319</v>
      </c>
      <c r="Q121" s="69" t="s">
        <v>319</v>
      </c>
      <c r="R121" s="69" t="s">
        <v>1986</v>
      </c>
      <c r="S121" s="43" t="s">
        <v>319</v>
      </c>
      <c r="T121" s="43" t="s">
        <v>319</v>
      </c>
      <c r="U121" s="43" t="s">
        <v>319</v>
      </c>
      <c r="V121" s="69" t="s">
        <v>90</v>
      </c>
      <c r="W121" s="54">
        <v>45838</v>
      </c>
      <c r="X121" s="69" t="s">
        <v>90</v>
      </c>
    </row>
    <row r="122" spans="1:25">
      <c r="A122" s="178" t="s">
        <v>832</v>
      </c>
      <c r="B122" s="182" t="s">
        <v>50</v>
      </c>
      <c r="C122" s="176">
        <v>45772</v>
      </c>
      <c r="D122" s="520" t="s">
        <v>833</v>
      </c>
      <c r="E122" s="181"/>
      <c r="F122" s="181"/>
      <c r="G122" s="181"/>
      <c r="H122" s="185">
        <v>81</v>
      </c>
      <c r="I122" s="181"/>
      <c r="J122" s="179" t="s">
        <v>57</v>
      </c>
      <c r="K122" s="420" t="s">
        <v>57</v>
      </c>
      <c r="L122" s="179" t="s">
        <v>63</v>
      </c>
      <c r="M122" s="193">
        <v>45741</v>
      </c>
      <c r="N122" s="30" t="s">
        <v>319</v>
      </c>
      <c r="O122" s="54">
        <v>45747</v>
      </c>
      <c r="P122" s="30" t="s">
        <v>319</v>
      </c>
      <c r="Q122" s="69" t="s">
        <v>319</v>
      </c>
      <c r="R122" s="69" t="s">
        <v>1986</v>
      </c>
      <c r="S122" s="43" t="s">
        <v>319</v>
      </c>
      <c r="T122" s="43" t="s">
        <v>319</v>
      </c>
      <c r="U122" s="157" t="s">
        <v>319</v>
      </c>
      <c r="V122" s="157" t="s">
        <v>319</v>
      </c>
      <c r="W122" s="54">
        <v>45789</v>
      </c>
      <c r="X122" s="69" t="s">
        <v>1989</v>
      </c>
      <c r="Y122" t="e">
        <f>VLOOKUP(A122,#REF!,2,FALSE)</f>
        <v>#REF!</v>
      </c>
    </row>
    <row r="123" spans="1:25">
      <c r="A123" s="178" t="s">
        <v>834</v>
      </c>
      <c r="B123" s="182" t="s">
        <v>50</v>
      </c>
      <c r="C123" s="314">
        <v>45772</v>
      </c>
      <c r="D123" s="410" t="s">
        <v>835</v>
      </c>
      <c r="E123" s="539"/>
      <c r="F123" s="181"/>
      <c r="G123" s="181"/>
      <c r="H123" s="185">
        <v>80</v>
      </c>
      <c r="I123" s="181"/>
      <c r="J123" s="179" t="s">
        <v>57</v>
      </c>
      <c r="K123" s="420" t="s">
        <v>57</v>
      </c>
      <c r="L123" s="179" t="s">
        <v>63</v>
      </c>
      <c r="M123" s="193">
        <v>45741</v>
      </c>
      <c r="N123" s="100" t="s">
        <v>319</v>
      </c>
      <c r="O123" s="54">
        <v>45744</v>
      </c>
      <c r="P123" s="30" t="s">
        <v>319</v>
      </c>
      <c r="Q123" s="43" t="s">
        <v>319</v>
      </c>
      <c r="R123" s="69" t="s">
        <v>1986</v>
      </c>
      <c r="S123" s="43" t="s">
        <v>319</v>
      </c>
      <c r="T123" s="43" t="s">
        <v>319</v>
      </c>
      <c r="U123" s="43" t="s">
        <v>319</v>
      </c>
      <c r="V123" s="69" t="s">
        <v>319</v>
      </c>
      <c r="W123" s="54">
        <v>45811</v>
      </c>
      <c r="X123" s="69" t="s">
        <v>1989</v>
      </c>
      <c r="Y123" t="e">
        <f>VLOOKUP(A123,#REF!,2,FALSE)</f>
        <v>#REF!</v>
      </c>
    </row>
    <row r="124" spans="1:25">
      <c r="A124" s="178" t="s">
        <v>969</v>
      </c>
      <c r="B124" s="182" t="s">
        <v>50</v>
      </c>
      <c r="C124" s="176">
        <v>45772</v>
      </c>
      <c r="D124" s="535" t="s">
        <v>970</v>
      </c>
      <c r="E124" s="181"/>
      <c r="F124" s="181"/>
      <c r="G124" s="181"/>
      <c r="H124" s="185">
        <v>63</v>
      </c>
      <c r="I124" s="181"/>
      <c r="J124" s="179" t="s">
        <v>57</v>
      </c>
      <c r="K124" s="420" t="s">
        <v>57</v>
      </c>
      <c r="L124" s="179" t="s">
        <v>63</v>
      </c>
      <c r="M124" s="193">
        <v>45741</v>
      </c>
      <c r="N124" s="87" t="s">
        <v>319</v>
      </c>
      <c r="O124" s="54">
        <v>45744</v>
      </c>
      <c r="P124" s="30" t="s">
        <v>319</v>
      </c>
      <c r="Q124" s="43" t="s">
        <v>319</v>
      </c>
      <c r="R124" s="69" t="s">
        <v>1986</v>
      </c>
      <c r="S124" s="43" t="s">
        <v>319</v>
      </c>
      <c r="T124" s="43" t="s">
        <v>319</v>
      </c>
      <c r="U124" s="43" t="s">
        <v>1992</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8" t="s">
        <v>57</v>
      </c>
      <c r="L125" s="185" t="s">
        <v>63</v>
      </c>
      <c r="M125" s="49" t="s">
        <v>319</v>
      </c>
      <c r="N125" s="30" t="s">
        <v>319</v>
      </c>
      <c r="O125" s="54">
        <v>45679</v>
      </c>
      <c r="P125" s="30" t="s">
        <v>319</v>
      </c>
      <c r="Q125" s="69" t="s">
        <v>319</v>
      </c>
      <c r="R125" s="43" t="s">
        <v>1986</v>
      </c>
      <c r="S125" s="43" t="s">
        <v>319</v>
      </c>
      <c r="T125" s="43" t="s">
        <v>319</v>
      </c>
      <c r="U125" s="43" t="s">
        <v>319</v>
      </c>
      <c r="V125" s="43" t="s">
        <v>319</v>
      </c>
      <c r="W125" s="54">
        <v>45814</v>
      </c>
      <c r="X125" s="69" t="s">
        <v>1989</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319</v>
      </c>
      <c r="N126" s="30" t="s">
        <v>319</v>
      </c>
      <c r="O126" s="54">
        <v>45720</v>
      </c>
      <c r="P126" s="30" t="s">
        <v>319</v>
      </c>
      <c r="Q126" s="69" t="s">
        <v>319</v>
      </c>
      <c r="R126" s="43" t="s">
        <v>1986</v>
      </c>
      <c r="S126" s="43" t="s">
        <v>319</v>
      </c>
      <c r="T126" s="43" t="s">
        <v>319</v>
      </c>
      <c r="U126" s="43" t="s">
        <v>319</v>
      </c>
      <c r="V126" s="88" t="s">
        <v>319</v>
      </c>
      <c r="W126" s="54">
        <v>45819</v>
      </c>
      <c r="X126" s="69" t="s">
        <v>1989</v>
      </c>
      <c r="Y126" t="e">
        <f>VLOOKUP(A126,#REF!,2,FALSE)</f>
        <v>#REF!</v>
      </c>
    </row>
    <row r="127" spans="1:25">
      <c r="A127" s="178" t="s">
        <v>840</v>
      </c>
      <c r="B127" s="182" t="s">
        <v>50</v>
      </c>
      <c r="C127" s="183">
        <v>45711</v>
      </c>
      <c r="D127" s="184" t="s">
        <v>841</v>
      </c>
      <c r="E127" s="184"/>
      <c r="F127" s="184"/>
      <c r="G127" s="184"/>
      <c r="H127" s="185">
        <v>90</v>
      </c>
      <c r="I127" s="181"/>
      <c r="J127" s="188" t="s">
        <v>57</v>
      </c>
      <c r="K127" s="708" t="s">
        <v>57</v>
      </c>
      <c r="L127" s="185" t="s">
        <v>63</v>
      </c>
      <c r="M127" s="195">
        <v>45700</v>
      </c>
      <c r="N127" s="30" t="s">
        <v>319</v>
      </c>
      <c r="O127" s="54">
        <v>45679</v>
      </c>
      <c r="P127" s="30" t="s">
        <v>319</v>
      </c>
      <c r="Q127" s="43" t="s">
        <v>319</v>
      </c>
      <c r="R127" s="43" t="s">
        <v>1986</v>
      </c>
      <c r="S127" s="43" t="s">
        <v>319</v>
      </c>
      <c r="T127" s="43" t="s">
        <v>319</v>
      </c>
      <c r="U127" s="43" t="s">
        <v>319</v>
      </c>
      <c r="V127" s="88" t="s">
        <v>319</v>
      </c>
      <c r="W127" s="54">
        <v>45812</v>
      </c>
      <c r="X127" s="69" t="s">
        <v>1989</v>
      </c>
      <c r="Y127" t="e">
        <f>VLOOKUP(A127,#REF!,2,FALSE)</f>
        <v>#REF!</v>
      </c>
    </row>
    <row r="128" spans="1:25">
      <c r="A128" s="338" t="s">
        <v>972</v>
      </c>
      <c r="B128" s="182" t="s">
        <v>50</v>
      </c>
      <c r="C128" s="362">
        <v>45742</v>
      </c>
      <c r="D128" s="370" t="s">
        <v>973</v>
      </c>
      <c r="E128" s="370"/>
      <c r="F128" s="370"/>
      <c r="G128" s="370"/>
      <c r="H128" s="341">
        <v>82</v>
      </c>
      <c r="I128" s="339"/>
      <c r="J128" s="188" t="s">
        <v>57</v>
      </c>
      <c r="K128" s="708" t="s">
        <v>57</v>
      </c>
      <c r="L128" s="185" t="s">
        <v>63</v>
      </c>
      <c r="M128" s="196">
        <v>45698</v>
      </c>
      <c r="N128" s="30" t="s">
        <v>319</v>
      </c>
      <c r="O128" s="347">
        <v>45694</v>
      </c>
      <c r="P128" s="87" t="s">
        <v>319</v>
      </c>
      <c r="Q128" s="43" t="s">
        <v>319</v>
      </c>
      <c r="R128" s="43" t="s">
        <v>1986</v>
      </c>
      <c r="S128" s="43" t="s">
        <v>319</v>
      </c>
      <c r="T128" s="43" t="s">
        <v>319</v>
      </c>
      <c r="U128" s="43" t="s">
        <v>319</v>
      </c>
      <c r="V128" s="88" t="s">
        <v>319</v>
      </c>
      <c r="W128" s="166">
        <v>45883</v>
      </c>
      <c r="X128" s="69" t="s">
        <v>1989</v>
      </c>
      <c r="Y128" t="e">
        <f>VLOOKUP(A128,#REF!,2,FALSE)</f>
        <v>#REF!</v>
      </c>
    </row>
    <row r="129" spans="1:25">
      <c r="A129" s="338" t="s">
        <v>843</v>
      </c>
      <c r="B129" s="689" t="s">
        <v>50</v>
      </c>
      <c r="C129" s="362">
        <v>45772</v>
      </c>
      <c r="D129" s="520" t="s">
        <v>844</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1986</v>
      </c>
      <c r="S129" s="43" t="s">
        <v>319</v>
      </c>
      <c r="T129" s="115" t="s">
        <v>319</v>
      </c>
      <c r="U129" s="115" t="s">
        <v>319</v>
      </c>
      <c r="V129" s="88" t="s">
        <v>319</v>
      </c>
      <c r="W129" s="166">
        <v>45814</v>
      </c>
      <c r="X129" s="69" t="s">
        <v>1989</v>
      </c>
      <c r="Y129" t="e">
        <f>VLOOKUP(A129,#REF!,2,FALSE)</f>
        <v>#REF!</v>
      </c>
    </row>
    <row r="130" spans="1:25">
      <c r="A130" s="358" t="s">
        <v>845</v>
      </c>
      <c r="B130" s="406" t="s">
        <v>50</v>
      </c>
      <c r="C130" s="367">
        <v>45747</v>
      </c>
      <c r="D130" s="359" t="s">
        <v>847</v>
      </c>
      <c r="E130" s="359"/>
      <c r="F130" s="359"/>
      <c r="G130" s="359"/>
      <c r="H130" s="361">
        <v>64</v>
      </c>
      <c r="I130" s="360"/>
      <c r="J130" s="540" t="s">
        <v>57</v>
      </c>
      <c r="K130" s="540" t="s">
        <v>57</v>
      </c>
      <c r="L130" s="361" t="s">
        <v>63</v>
      </c>
      <c r="M130" s="195">
        <v>45701</v>
      </c>
      <c r="N130" s="49" t="s">
        <v>319</v>
      </c>
      <c r="O130" s="54">
        <v>45698</v>
      </c>
      <c r="P130" s="30" t="s">
        <v>319</v>
      </c>
      <c r="Q130" s="69" t="s">
        <v>319</v>
      </c>
      <c r="R130" s="43" t="s">
        <v>1986</v>
      </c>
      <c r="S130" s="43" t="s">
        <v>319</v>
      </c>
      <c r="T130" s="43" t="s">
        <v>319</v>
      </c>
      <c r="U130" s="43" t="s">
        <v>319</v>
      </c>
      <c r="V130" s="88" t="s">
        <v>319</v>
      </c>
      <c r="W130" s="54">
        <v>45798</v>
      </c>
      <c r="X130" s="69" t="s">
        <v>1989</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319</v>
      </c>
      <c r="N131" s="49" t="s">
        <v>319</v>
      </c>
      <c r="O131" s="30" t="s">
        <v>319</v>
      </c>
      <c r="P131" s="30" t="s">
        <v>319</v>
      </c>
      <c r="Q131" s="43" t="s">
        <v>319</v>
      </c>
      <c r="R131" s="43" t="s">
        <v>1986</v>
      </c>
      <c r="S131" s="43" t="s">
        <v>319</v>
      </c>
      <c r="T131" s="157" t="s">
        <v>319</v>
      </c>
      <c r="U131" s="157" t="s">
        <v>319</v>
      </c>
      <c r="V131" s="88" t="s">
        <v>319</v>
      </c>
      <c r="W131" s="30"/>
      <c r="X131" s="69" t="s">
        <v>90</v>
      </c>
      <c r="Y131" t="e">
        <f>VLOOKUP(A131,#REF!,2,FALSE)</f>
        <v>#REF!</v>
      </c>
    </row>
    <row r="132" spans="1:25" ht="15" customHeight="1">
      <c r="A132" s="358" t="s">
        <v>849</v>
      </c>
      <c r="B132" s="406" t="s">
        <v>50</v>
      </c>
      <c r="C132" s="534">
        <v>45711</v>
      </c>
      <c r="D132" s="536" t="s">
        <v>850</v>
      </c>
      <c r="E132" s="536"/>
      <c r="F132" s="536"/>
      <c r="G132" s="536"/>
      <c r="H132" s="361">
        <v>59</v>
      </c>
      <c r="I132" s="360"/>
      <c r="J132" s="540" t="s">
        <v>57</v>
      </c>
      <c r="K132" s="540" t="s">
        <v>57</v>
      </c>
      <c r="L132" s="361" t="s">
        <v>63</v>
      </c>
      <c r="M132" s="195">
        <v>45698</v>
      </c>
      <c r="N132" s="49" t="s">
        <v>319</v>
      </c>
      <c r="O132" s="54">
        <v>45691</v>
      </c>
      <c r="P132" s="87" t="s">
        <v>319</v>
      </c>
      <c r="Q132" s="43" t="s">
        <v>319</v>
      </c>
      <c r="R132" s="43" t="s">
        <v>1986</v>
      </c>
      <c r="S132" s="43" t="s">
        <v>319</v>
      </c>
      <c r="T132" s="43" t="s">
        <v>319</v>
      </c>
      <c r="U132" s="43" t="s">
        <v>319</v>
      </c>
      <c r="V132" s="43" t="s">
        <v>319</v>
      </c>
      <c r="W132" s="54">
        <v>45820</v>
      </c>
      <c r="X132" s="69" t="s">
        <v>1989</v>
      </c>
      <c r="Y132" t="e">
        <f>VLOOKUP(A132,#REF!,2,FALSE)</f>
        <v>#REF!</v>
      </c>
    </row>
    <row r="133" spans="1:25" ht="15" customHeight="1">
      <c r="A133" s="358" t="s">
        <v>849</v>
      </c>
      <c r="B133" s="406" t="s">
        <v>50</v>
      </c>
      <c r="C133" s="367">
        <v>45742</v>
      </c>
      <c r="D133" s="419" t="s">
        <v>1993</v>
      </c>
      <c r="E133" s="361"/>
      <c r="F133" s="361"/>
      <c r="G133" s="361"/>
      <c r="H133" s="361">
        <v>38</v>
      </c>
      <c r="I133" s="360"/>
      <c r="J133" s="361" t="s">
        <v>57</v>
      </c>
      <c r="K133" s="361" t="s">
        <v>57</v>
      </c>
      <c r="L133" s="361" t="s">
        <v>63</v>
      </c>
      <c r="M133" s="49" t="s">
        <v>319</v>
      </c>
      <c r="N133" s="49" t="s">
        <v>319</v>
      </c>
      <c r="O133" s="54">
        <v>45701</v>
      </c>
      <c r="P133" s="30" t="s">
        <v>319</v>
      </c>
      <c r="Q133" s="69" t="s">
        <v>319</v>
      </c>
      <c r="R133" s="43" t="s">
        <v>1986</v>
      </c>
      <c r="S133" s="43" t="s">
        <v>319</v>
      </c>
      <c r="T133" s="43" t="s">
        <v>319</v>
      </c>
      <c r="U133" s="43" t="s">
        <v>319</v>
      </c>
      <c r="V133" s="69" t="s">
        <v>319</v>
      </c>
      <c r="W133" s="54">
        <v>45821</v>
      </c>
      <c r="X133" s="69" t="s">
        <v>1989</v>
      </c>
      <c r="Y133" t="e">
        <f>VLOOKUP(A133,#REF!,2,FALSE)</f>
        <v>#REF!</v>
      </c>
    </row>
    <row r="134" spans="1:25" ht="15" customHeight="1">
      <c r="A134" s="365" t="s">
        <v>851</v>
      </c>
      <c r="B134" s="406" t="s">
        <v>50</v>
      </c>
      <c r="C134" s="532">
        <v>45711</v>
      </c>
      <c r="D134" s="536" t="s">
        <v>852</v>
      </c>
      <c r="E134" s="626"/>
      <c r="F134" s="536"/>
      <c r="G134" s="536"/>
      <c r="H134" s="361">
        <v>85</v>
      </c>
      <c r="I134" s="360"/>
      <c r="J134" s="540" t="s">
        <v>57</v>
      </c>
      <c r="K134" s="540" t="s">
        <v>57</v>
      </c>
      <c r="L134" s="361" t="s">
        <v>63</v>
      </c>
      <c r="M134" s="195">
        <v>45698</v>
      </c>
      <c r="N134" s="49" t="s">
        <v>319</v>
      </c>
      <c r="O134" s="54">
        <v>45709</v>
      </c>
      <c r="P134" s="30" t="s">
        <v>319</v>
      </c>
      <c r="Q134" s="43" t="s">
        <v>319</v>
      </c>
      <c r="R134" s="43" t="s">
        <v>1986</v>
      </c>
      <c r="S134" s="43" t="s">
        <v>319</v>
      </c>
      <c r="T134" s="43" t="s">
        <v>319</v>
      </c>
      <c r="U134" s="69" t="s">
        <v>90</v>
      </c>
      <c r="V134" s="69" t="s">
        <v>90</v>
      </c>
      <c r="W134" s="54">
        <v>45825</v>
      </c>
      <c r="X134" s="69" t="s">
        <v>90</v>
      </c>
      <c r="Y134" t="e">
        <f>VLOOKUP(A134,#REF!,2,FALSE)</f>
        <v>#REF!</v>
      </c>
    </row>
    <row r="135" spans="1:25" ht="15" customHeight="1">
      <c r="A135" s="365" t="s">
        <v>854</v>
      </c>
      <c r="B135" s="406" t="s">
        <v>50</v>
      </c>
      <c r="C135" s="367">
        <v>45772</v>
      </c>
      <c r="D135" s="697" t="s">
        <v>855</v>
      </c>
      <c r="E135" s="360"/>
      <c r="F135" s="360"/>
      <c r="G135" s="360"/>
      <c r="H135" s="361">
        <v>88</v>
      </c>
      <c r="I135" s="360"/>
      <c r="J135" s="361" t="s">
        <v>57</v>
      </c>
      <c r="K135" s="361" t="s">
        <v>57</v>
      </c>
      <c r="L135" s="361" t="s">
        <v>63</v>
      </c>
      <c r="M135" s="49" t="s">
        <v>319</v>
      </c>
      <c r="N135" s="49" t="s">
        <v>319</v>
      </c>
      <c r="O135" s="195">
        <v>45720</v>
      </c>
      <c r="P135" s="49" t="s">
        <v>319</v>
      </c>
      <c r="Q135" s="69" t="s">
        <v>319</v>
      </c>
      <c r="R135" s="43" t="s">
        <v>1986</v>
      </c>
      <c r="S135" s="43" t="s">
        <v>319</v>
      </c>
      <c r="T135" s="43" t="s">
        <v>319</v>
      </c>
      <c r="U135" s="157" t="s">
        <v>319</v>
      </c>
      <c r="V135" s="43" t="s">
        <v>319</v>
      </c>
      <c r="W135" s="54">
        <v>45819</v>
      </c>
      <c r="X135" s="69" t="s">
        <v>1989</v>
      </c>
      <c r="Y135" t="e">
        <f>VLOOKUP(A135,#REF!,2,FALSE)</f>
        <v>#REF!</v>
      </c>
    </row>
    <row r="136" spans="1:25" ht="15" customHeight="1">
      <c r="A136" s="358" t="s">
        <v>856</v>
      </c>
      <c r="B136" s="406" t="s">
        <v>50</v>
      </c>
      <c r="C136" s="532">
        <v>45711</v>
      </c>
      <c r="D136" s="521" t="s">
        <v>858</v>
      </c>
      <c r="E136" s="626"/>
      <c r="F136" s="536"/>
      <c r="G136" s="536"/>
      <c r="H136" s="361">
        <v>86</v>
      </c>
      <c r="I136" s="360"/>
      <c r="J136" s="540" t="s">
        <v>57</v>
      </c>
      <c r="K136" s="540" t="s">
        <v>57</v>
      </c>
      <c r="L136" s="361" t="s">
        <v>63</v>
      </c>
      <c r="M136" s="195">
        <v>45698</v>
      </c>
      <c r="N136" s="49" t="s">
        <v>319</v>
      </c>
      <c r="O136" s="54">
        <v>45691</v>
      </c>
      <c r="P136" s="30" t="s">
        <v>319</v>
      </c>
      <c r="Q136" s="43" t="s">
        <v>319</v>
      </c>
      <c r="R136" s="43" t="s">
        <v>1986</v>
      </c>
      <c r="S136" s="43" t="s">
        <v>319</v>
      </c>
      <c r="T136" s="43" t="s">
        <v>319</v>
      </c>
      <c r="U136" s="43" t="s">
        <v>319</v>
      </c>
      <c r="V136" s="43" t="s">
        <v>319</v>
      </c>
      <c r="W136" s="54">
        <v>45791</v>
      </c>
      <c r="X136" s="69" t="s">
        <v>1989</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319</v>
      </c>
      <c r="O137" s="30" t="s">
        <v>319</v>
      </c>
      <c r="P137" s="49" t="s">
        <v>319</v>
      </c>
      <c r="Q137" s="69" t="s">
        <v>319</v>
      </c>
      <c r="R137" s="43" t="s">
        <v>1986</v>
      </c>
      <c r="S137" s="43" t="s">
        <v>319</v>
      </c>
      <c r="T137" s="43" t="s">
        <v>319</v>
      </c>
      <c r="U137" s="157" t="s">
        <v>319</v>
      </c>
      <c r="V137" s="69" t="s">
        <v>90</v>
      </c>
      <c r="W137" s="30"/>
      <c r="X137" s="69" t="s">
        <v>90</v>
      </c>
      <c r="Y137" t="e">
        <f>VLOOKUP(A137,#REF!,2,FALSE)</f>
        <v>#REF!</v>
      </c>
    </row>
    <row r="138" spans="1:25" ht="15" customHeight="1">
      <c r="A138" s="365" t="s">
        <v>859</v>
      </c>
      <c r="B138" s="406" t="s">
        <v>50</v>
      </c>
      <c r="C138" s="532">
        <v>45711</v>
      </c>
      <c r="D138" s="696" t="s">
        <v>860</v>
      </c>
      <c r="E138" s="537"/>
      <c r="F138" s="359"/>
      <c r="G138" s="359"/>
      <c r="H138" s="361">
        <v>85</v>
      </c>
      <c r="I138" s="360"/>
      <c r="J138" s="361" t="s">
        <v>57</v>
      </c>
      <c r="K138" s="361" t="s">
        <v>57</v>
      </c>
      <c r="L138" s="361" t="s">
        <v>63</v>
      </c>
      <c r="M138" s="195">
        <v>45707</v>
      </c>
      <c r="N138" s="30" t="s">
        <v>319</v>
      </c>
      <c r="O138" s="124">
        <v>45707</v>
      </c>
      <c r="P138" s="30" t="s">
        <v>319</v>
      </c>
      <c r="Q138" s="43" t="s">
        <v>319</v>
      </c>
      <c r="R138" s="43" t="s">
        <v>1986</v>
      </c>
      <c r="S138" s="43" t="s">
        <v>319</v>
      </c>
      <c r="T138" s="43" t="s">
        <v>319</v>
      </c>
      <c r="U138" s="43" t="s">
        <v>319</v>
      </c>
      <c r="V138" s="43" t="s">
        <v>319</v>
      </c>
      <c r="W138" s="54">
        <v>45790</v>
      </c>
      <c r="X138" s="69" t="s">
        <v>1989</v>
      </c>
      <c r="Y138" t="e">
        <f>VLOOKUP(A138,#REF!,2,FALSE)</f>
        <v>#REF!</v>
      </c>
    </row>
    <row r="139" spans="1:25" ht="15" customHeight="1">
      <c r="A139" s="358" t="s">
        <v>1994</v>
      </c>
      <c r="B139" s="182" t="s">
        <v>50</v>
      </c>
      <c r="C139" s="408">
        <v>45742</v>
      </c>
      <c r="D139" s="361" t="s">
        <v>1995</v>
      </c>
      <c r="E139" s="522"/>
      <c r="F139" s="361"/>
      <c r="G139" s="361"/>
      <c r="H139" s="361">
        <v>87</v>
      </c>
      <c r="I139" s="360"/>
      <c r="J139" s="361" t="s">
        <v>57</v>
      </c>
      <c r="K139" s="361" t="s">
        <v>57</v>
      </c>
      <c r="L139" s="361" t="s">
        <v>63</v>
      </c>
      <c r="M139" s="49" t="s">
        <v>319</v>
      </c>
      <c r="N139" s="30" t="s">
        <v>319</v>
      </c>
      <c r="O139" s="30" t="s">
        <v>319</v>
      </c>
      <c r="P139" s="30" t="s">
        <v>319</v>
      </c>
      <c r="Q139" s="43" t="s">
        <v>319</v>
      </c>
      <c r="R139" s="43" t="s">
        <v>1986</v>
      </c>
      <c r="S139" s="43" t="s">
        <v>319</v>
      </c>
      <c r="T139" s="43" t="s">
        <v>319</v>
      </c>
      <c r="U139" s="157" t="s">
        <v>319</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319</v>
      </c>
      <c r="O140" s="54">
        <v>45743</v>
      </c>
      <c r="P140" s="87" t="s">
        <v>319</v>
      </c>
      <c r="Q140" s="88" t="s">
        <v>319</v>
      </c>
      <c r="R140" s="43" t="s">
        <v>1986</v>
      </c>
      <c r="S140" s="43" t="s">
        <v>319</v>
      </c>
      <c r="T140" s="43" t="s">
        <v>319</v>
      </c>
      <c r="U140" s="88" t="s">
        <v>319</v>
      </c>
      <c r="V140" s="69" t="s">
        <v>319</v>
      </c>
      <c r="W140" s="54">
        <v>45819</v>
      </c>
      <c r="X140" s="69" t="s">
        <v>1989</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1986</v>
      </c>
      <c r="S141" s="43" t="s">
        <v>319</v>
      </c>
      <c r="T141" s="43" t="s">
        <v>319</v>
      </c>
      <c r="U141" s="88" t="s">
        <v>319</v>
      </c>
      <c r="V141" s="88" t="s">
        <v>319</v>
      </c>
      <c r="W141" s="54">
        <v>45811</v>
      </c>
      <c r="X141" s="69" t="s">
        <v>1989</v>
      </c>
      <c r="Y141" t="e">
        <f>VLOOKUP(A141,#REF!,2,FALSE)</f>
        <v>#REF!</v>
      </c>
    </row>
    <row r="142" spans="1:25" ht="15" customHeight="1">
      <c r="A142" s="358" t="s">
        <v>1996</v>
      </c>
      <c r="B142" s="406" t="s">
        <v>50</v>
      </c>
      <c r="C142" s="408">
        <v>45742</v>
      </c>
      <c r="D142" s="361" t="s">
        <v>1997</v>
      </c>
      <c r="E142" s="522"/>
      <c r="F142" s="361"/>
      <c r="G142" s="361"/>
      <c r="H142" s="361">
        <v>87</v>
      </c>
      <c r="I142" s="360"/>
      <c r="J142" s="361" t="s">
        <v>57</v>
      </c>
      <c r="K142" s="361" t="s">
        <v>57</v>
      </c>
      <c r="L142" s="361" t="s">
        <v>63</v>
      </c>
      <c r="M142" s="49" t="s">
        <v>319</v>
      </c>
      <c r="N142" s="49" t="s">
        <v>319</v>
      </c>
      <c r="O142" s="195">
        <v>45691</v>
      </c>
      <c r="P142" s="30" t="s">
        <v>319</v>
      </c>
      <c r="Q142" s="69" t="s">
        <v>319</v>
      </c>
      <c r="R142" s="43" t="s">
        <v>1986</v>
      </c>
      <c r="S142" s="43" t="s">
        <v>319</v>
      </c>
      <c r="T142" s="43" t="s">
        <v>319</v>
      </c>
      <c r="U142" s="157" t="s">
        <v>319</v>
      </c>
      <c r="V142" s="69" t="s">
        <v>90</v>
      </c>
      <c r="W142" s="30"/>
      <c r="X142" s="69" t="s">
        <v>90</v>
      </c>
      <c r="Y142" t="e">
        <f>VLOOKUP(A142,#REF!,2,FALSE)</f>
        <v>#REF!</v>
      </c>
    </row>
    <row r="143" spans="1:25" ht="15" customHeight="1">
      <c r="A143" s="358" t="s">
        <v>613</v>
      </c>
      <c r="B143" s="406" t="s">
        <v>50</v>
      </c>
      <c r="C143" s="724">
        <v>45688</v>
      </c>
      <c r="D143" s="521" t="s">
        <v>615</v>
      </c>
      <c r="E143" s="521"/>
      <c r="F143" s="521"/>
      <c r="G143" s="521"/>
      <c r="H143" s="419">
        <v>79</v>
      </c>
      <c r="I143" s="360"/>
      <c r="J143" s="540" t="s">
        <v>57</v>
      </c>
      <c r="K143" s="540" t="s">
        <v>57</v>
      </c>
      <c r="L143" s="361" t="s">
        <v>63</v>
      </c>
      <c r="M143" s="49" t="s">
        <v>319</v>
      </c>
      <c r="N143" s="49" t="s">
        <v>319</v>
      </c>
      <c r="O143" s="195">
        <v>45675</v>
      </c>
      <c r="P143" s="30" t="s">
        <v>319</v>
      </c>
      <c r="Q143" s="69" t="s">
        <v>319</v>
      </c>
      <c r="R143" s="43" t="s">
        <v>1986</v>
      </c>
      <c r="S143" s="43" t="s">
        <v>319</v>
      </c>
      <c r="T143" s="43" t="s">
        <v>319</v>
      </c>
      <c r="U143" s="157" t="s">
        <v>319</v>
      </c>
      <c r="V143" s="69" t="s">
        <v>90</v>
      </c>
      <c r="W143" s="30"/>
      <c r="X143" s="69" t="s">
        <v>90</v>
      </c>
      <c r="Y143" t="e">
        <f>VLOOKUP(A143,#REF!,2,FALSE)</f>
        <v>#REF!</v>
      </c>
    </row>
    <row r="144" spans="1:25" ht="15" customHeight="1">
      <c r="A144" s="421" t="s">
        <v>1046</v>
      </c>
      <c r="B144" s="633" t="s">
        <v>50</v>
      </c>
      <c r="C144" s="533">
        <v>45862</v>
      </c>
      <c r="D144" s="418" t="s">
        <v>975</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1989</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1959</v>
      </c>
      <c r="B146" s="406" t="s">
        <v>50</v>
      </c>
      <c r="C146" s="359">
        <v>45991</v>
      </c>
      <c r="D146" s="418" t="s">
        <v>1960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1962</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1998</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1986</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889</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1986</v>
      </c>
      <c r="S150" s="43" t="s">
        <v>319</v>
      </c>
      <c r="T150" s="43" t="s">
        <v>319</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1986</v>
      </c>
      <c r="S151" s="43" t="s">
        <v>319</v>
      </c>
      <c r="T151" s="43" t="s">
        <v>319</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3" t="s">
        <v>871</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1986</v>
      </c>
      <c r="S153" s="43" t="s">
        <v>319</v>
      </c>
      <c r="T153" s="157" t="s">
        <v>319</v>
      </c>
      <c r="U153" s="157" t="s">
        <v>319</v>
      </c>
      <c r="V153" s="43" t="s">
        <v>319</v>
      </c>
      <c r="W153" s="54">
        <v>45807</v>
      </c>
      <c r="X153" s="69" t="s">
        <v>1989</v>
      </c>
      <c r="Y153" t="e">
        <f>VLOOKUP(A153,#REF!,2,FALSE)</f>
        <v>#REF!</v>
      </c>
    </row>
    <row r="154" spans="1:25" ht="15" customHeight="1">
      <c r="A154" s="421" t="s">
        <v>872</v>
      </c>
      <c r="B154" s="406" t="s">
        <v>50</v>
      </c>
      <c r="C154" s="400">
        <v>45991</v>
      </c>
      <c r="D154" s="533" t="s">
        <v>873</v>
      </c>
      <c r="E154" s="704"/>
      <c r="F154" s="533"/>
      <c r="G154" s="533"/>
      <c r="H154" s="419">
        <v>87</v>
      </c>
      <c r="I154" s="402"/>
      <c r="J154" s="540" t="s">
        <v>57</v>
      </c>
      <c r="K154" s="540" t="s">
        <v>57</v>
      </c>
      <c r="L154" s="419" t="s">
        <v>63</v>
      </c>
      <c r="M154" s="196">
        <v>45708</v>
      </c>
      <c r="N154" s="87" t="s">
        <v>319</v>
      </c>
      <c r="O154" s="347">
        <v>45696</v>
      </c>
      <c r="P154" s="30" t="s">
        <v>319</v>
      </c>
      <c r="Q154" s="69" t="s">
        <v>319</v>
      </c>
      <c r="R154" s="43" t="s">
        <v>1986</v>
      </c>
      <c r="S154" s="43" t="s">
        <v>319</v>
      </c>
      <c r="T154" s="157" t="s">
        <v>319</v>
      </c>
      <c r="U154" s="157" t="s">
        <v>319</v>
      </c>
      <c r="V154" s="43" t="s">
        <v>319</v>
      </c>
      <c r="W154" s="166">
        <v>45792</v>
      </c>
      <c r="X154" s="148" t="s">
        <v>1989</v>
      </c>
      <c r="Y154" t="e">
        <f>VLOOKUP(A154,#REF!,2,FALSE)</f>
        <v>#REF!</v>
      </c>
    </row>
    <row r="155" spans="1:25" ht="15" customHeight="1">
      <c r="A155" s="365" t="s">
        <v>874</v>
      </c>
      <c r="B155" s="406" t="s">
        <v>50</v>
      </c>
      <c r="C155" s="400">
        <v>45991</v>
      </c>
      <c r="D155" s="533" t="s">
        <v>875</v>
      </c>
      <c r="E155" s="537"/>
      <c r="F155" s="359"/>
      <c r="G155" s="359"/>
      <c r="H155" s="361">
        <v>60</v>
      </c>
      <c r="I155" s="360"/>
      <c r="J155" s="540" t="s">
        <v>57</v>
      </c>
      <c r="K155" s="709" t="s">
        <v>57</v>
      </c>
      <c r="L155" s="361" t="s">
        <v>63</v>
      </c>
      <c r="M155" s="195">
        <v>45698</v>
      </c>
      <c r="N155" s="87" t="s">
        <v>319</v>
      </c>
      <c r="O155" s="54">
        <v>45699</v>
      </c>
      <c r="P155" s="49" t="s">
        <v>319</v>
      </c>
      <c r="Q155" s="69" t="s">
        <v>319</v>
      </c>
      <c r="R155" s="43" t="s">
        <v>1986</v>
      </c>
      <c r="S155" s="43" t="s">
        <v>319</v>
      </c>
      <c r="T155" s="43" t="s">
        <v>319</v>
      </c>
      <c r="U155" s="157" t="s">
        <v>319</v>
      </c>
      <c r="V155" s="43" t="s">
        <v>319</v>
      </c>
      <c r="W155" s="356">
        <v>45821</v>
      </c>
      <c r="X155" s="69" t="s">
        <v>1989</v>
      </c>
      <c r="Y155" t="e">
        <f>VLOOKUP(A155,#REF!,2,FALSE)</f>
        <v>#REF!</v>
      </c>
    </row>
    <row r="156" spans="1:25" ht="15" customHeight="1">
      <c r="A156" s="365" t="s">
        <v>976</v>
      </c>
      <c r="B156" s="406" t="s">
        <v>50</v>
      </c>
      <c r="C156" s="400">
        <v>45991</v>
      </c>
      <c r="D156" s="533" t="s">
        <v>977</v>
      </c>
      <c r="E156" s="537"/>
      <c r="F156" s="359"/>
      <c r="G156" s="359"/>
      <c r="H156" s="361">
        <v>87</v>
      </c>
      <c r="I156" s="360"/>
      <c r="J156" s="540" t="s">
        <v>57</v>
      </c>
      <c r="K156" s="709" t="s">
        <v>57</v>
      </c>
      <c r="L156" s="361" t="s">
        <v>63</v>
      </c>
      <c r="M156" s="195">
        <v>45699</v>
      </c>
      <c r="N156" s="87" t="s">
        <v>319</v>
      </c>
      <c r="O156" s="54">
        <v>45699</v>
      </c>
      <c r="P156" s="49" t="s">
        <v>319</v>
      </c>
      <c r="Q156" s="69" t="s">
        <v>319</v>
      </c>
      <c r="R156" s="43" t="s">
        <v>1986</v>
      </c>
      <c r="S156" s="43" t="s">
        <v>319</v>
      </c>
      <c r="T156" s="43" t="s">
        <v>319</v>
      </c>
      <c r="U156" s="69" t="s">
        <v>319</v>
      </c>
      <c r="V156" s="69" t="s">
        <v>90</v>
      </c>
      <c r="W156" s="356">
        <v>45747</v>
      </c>
      <c r="X156" s="69" t="s">
        <v>90</v>
      </c>
      <c r="Y156" t="e">
        <f>VLOOKUP(A156,#REF!,2,FALSE)</f>
        <v>#REF!</v>
      </c>
    </row>
    <row r="157" spans="1:25" ht="15" customHeight="1">
      <c r="A157" s="365" t="s">
        <v>1043</v>
      </c>
      <c r="B157" s="406" t="s">
        <v>50</v>
      </c>
      <c r="C157" s="400">
        <v>45991</v>
      </c>
      <c r="D157" s="418" t="s">
        <v>1967</v>
      </c>
      <c r="E157" s="705"/>
      <c r="F157" s="419"/>
      <c r="G157" s="419"/>
      <c r="H157" s="419">
        <v>79</v>
      </c>
      <c r="I157" s="360"/>
      <c r="J157" s="361" t="s">
        <v>57</v>
      </c>
      <c r="K157" s="554" t="s">
        <v>57</v>
      </c>
      <c r="L157" s="361" t="s">
        <v>63</v>
      </c>
      <c r="M157" s="195">
        <v>45735</v>
      </c>
      <c r="N157" s="30" t="s">
        <v>64</v>
      </c>
      <c r="O157" s="54">
        <v>45737</v>
      </c>
      <c r="P157" s="49" t="s">
        <v>64</v>
      </c>
      <c r="Q157" s="69" t="s">
        <v>64</v>
      </c>
      <c r="R157" s="69" t="s">
        <v>1986</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4" t="s">
        <v>57</v>
      </c>
      <c r="L158" s="361" t="s">
        <v>63</v>
      </c>
      <c r="M158" s="195">
        <v>45735</v>
      </c>
      <c r="N158" s="30" t="s">
        <v>319</v>
      </c>
      <c r="O158" s="54">
        <v>45736</v>
      </c>
      <c r="P158" s="49" t="s">
        <v>319</v>
      </c>
      <c r="Q158" s="69" t="s">
        <v>319</v>
      </c>
      <c r="R158" s="43" t="s">
        <v>1986</v>
      </c>
      <c r="S158" s="43" t="s">
        <v>319</v>
      </c>
      <c r="T158" s="43" t="s">
        <v>319</v>
      </c>
      <c r="U158" s="157" t="s">
        <v>319</v>
      </c>
      <c r="V158" s="157" t="s">
        <v>319</v>
      </c>
      <c r="W158" s="356">
        <v>45817</v>
      </c>
      <c r="X158" s="69" t="s">
        <v>1989</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979</v>
      </c>
      <c r="B160" s="406" t="s">
        <v>50</v>
      </c>
      <c r="C160" s="408">
        <v>45742</v>
      </c>
      <c r="D160" s="361" t="s">
        <v>980</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1989</v>
      </c>
      <c r="Y160" t="e">
        <f>VLOOKUP(A160,#REF!,2,FALSE)</f>
        <v>#REF!</v>
      </c>
    </row>
    <row r="161" spans="1:25" ht="15" customHeight="1">
      <c r="A161" s="365" t="s">
        <v>878</v>
      </c>
      <c r="B161" s="406" t="s">
        <v>50</v>
      </c>
      <c r="C161" s="585">
        <v>45742</v>
      </c>
      <c r="D161" s="361" t="s">
        <v>879</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1989</v>
      </c>
      <c r="Y161" t="e">
        <f>VLOOKUP(A161,#REF!,2,FALSE)</f>
        <v>#REF!</v>
      </c>
    </row>
    <row r="162" spans="1:25" ht="15" customHeight="1">
      <c r="A162" s="358" t="s">
        <v>881</v>
      </c>
      <c r="B162" s="406" t="s">
        <v>50</v>
      </c>
      <c r="C162" s="585">
        <v>45711</v>
      </c>
      <c r="D162" s="696" t="s">
        <v>882</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1989</v>
      </c>
      <c r="Y162" t="e">
        <f>VLOOKUP(A162,#REF!,2,FALSE)</f>
        <v>#REF!</v>
      </c>
    </row>
    <row r="163" spans="1:25" ht="15" customHeight="1">
      <c r="A163" s="358" t="s">
        <v>981</v>
      </c>
      <c r="B163" s="406" t="s">
        <v>50</v>
      </c>
      <c r="C163" s="408">
        <v>45711</v>
      </c>
      <c r="D163" s="533" t="s">
        <v>982</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891</v>
      </c>
      <c r="B165" s="406" t="s">
        <v>50</v>
      </c>
      <c r="C165" s="634">
        <v>45838</v>
      </c>
      <c r="D165" s="719" t="s">
        <v>892</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1989</v>
      </c>
    </row>
    <row r="166" spans="1:25" ht="15" customHeight="1">
      <c r="A166" s="529" t="s">
        <v>883</v>
      </c>
      <c r="B166" s="406" t="s">
        <v>50</v>
      </c>
      <c r="C166" s="634">
        <v>45716</v>
      </c>
      <c r="D166" s="726" t="s">
        <v>885</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984</v>
      </c>
      <c r="B167" s="406" t="s">
        <v>50</v>
      </c>
      <c r="C167" s="585">
        <v>45742</v>
      </c>
      <c r="D167" s="361" t="s">
        <v>985</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1989</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80">
        <v>45991</v>
      </c>
      <c r="D169" s="410" t="s">
        <v>519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6" t="s">
        <v>987</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8" t="s">
        <v>1999</v>
      </c>
      <c r="C1" s="1358"/>
      <c r="D1" s="559"/>
      <c r="E1" s="1358" t="s">
        <v>2000</v>
      </c>
      <c r="F1" s="1358"/>
    </row>
    <row r="2" spans="1:25">
      <c r="B2" s="44" t="s">
        <v>2001</v>
      </c>
      <c r="E2" s="44" t="s">
        <v>22</v>
      </c>
      <c r="F2" t="s">
        <v>1014</v>
      </c>
      <c r="P2" s="44" t="s">
        <v>27</v>
      </c>
      <c r="Q2" t="s">
        <v>2002</v>
      </c>
    </row>
    <row r="3" spans="1:25">
      <c r="B3" s="44" t="s">
        <v>22</v>
      </c>
      <c r="C3" t="s">
        <v>1020</v>
      </c>
      <c r="K3" s="44" t="s">
        <v>2003</v>
      </c>
      <c r="L3" t="s">
        <v>2004</v>
      </c>
      <c r="P3" s="44" t="s">
        <v>2003</v>
      </c>
      <c r="Q3" t="s">
        <v>2004</v>
      </c>
    </row>
    <row r="4" spans="1:25">
      <c r="B4" t="s">
        <v>137</v>
      </c>
      <c r="C4">
        <v>113260</v>
      </c>
      <c r="E4" s="44" t="s">
        <v>2001</v>
      </c>
      <c r="F4" t="s">
        <v>1020</v>
      </c>
      <c r="W4" t="s">
        <v>2005</v>
      </c>
      <c r="X4">
        <v>22</v>
      </c>
    </row>
    <row r="5" spans="1:25">
      <c r="B5" t="s">
        <v>72</v>
      </c>
      <c r="C5">
        <v>32741</v>
      </c>
      <c r="E5" t="s">
        <v>1020</v>
      </c>
      <c r="F5">
        <v>176043</v>
      </c>
      <c r="K5" s="44" t="s">
        <v>2006</v>
      </c>
      <c r="P5" s="44" t="s">
        <v>2006</v>
      </c>
      <c r="W5" t="s">
        <v>2007</v>
      </c>
      <c r="X5">
        <v>13</v>
      </c>
    </row>
    <row r="6" spans="1:25">
      <c r="B6" t="s">
        <v>100</v>
      </c>
      <c r="C6">
        <v>22387</v>
      </c>
      <c r="K6" s="44" t="s">
        <v>27</v>
      </c>
      <c r="L6" s="44" t="s">
        <v>2008</v>
      </c>
      <c r="M6" t="s">
        <v>1020</v>
      </c>
      <c r="P6" s="44" t="s">
        <v>2009</v>
      </c>
      <c r="Q6" s="44" t="s">
        <v>2008</v>
      </c>
      <c r="R6" t="s">
        <v>1020</v>
      </c>
    </row>
    <row r="7" spans="1:25">
      <c r="B7" t="s">
        <v>1047</v>
      </c>
      <c r="C7">
        <v>212091</v>
      </c>
      <c r="K7" t="s">
        <v>2002</v>
      </c>
      <c r="L7" t="s">
        <v>635</v>
      </c>
      <c r="M7">
        <v>1</v>
      </c>
      <c r="P7" t="s">
        <v>2010</v>
      </c>
      <c r="R7">
        <v>1</v>
      </c>
      <c r="X7" t="s">
        <v>2011</v>
      </c>
      <c r="Y7" t="s">
        <v>2012</v>
      </c>
    </row>
    <row r="8" spans="1:25">
      <c r="B8" t="s">
        <v>51</v>
      </c>
      <c r="C8">
        <v>446</v>
      </c>
      <c r="L8" t="s">
        <v>637</v>
      </c>
      <c r="M8">
        <v>1</v>
      </c>
      <c r="P8" t="s">
        <v>2013</v>
      </c>
      <c r="R8">
        <v>1</v>
      </c>
      <c r="V8" t="s">
        <v>2014</v>
      </c>
      <c r="W8" s="257">
        <v>203521</v>
      </c>
      <c r="X8" s="313">
        <f>X5/X4</f>
        <v>0.59090909090909094</v>
      </c>
      <c r="Y8" s="313">
        <f>W9/W8</f>
        <v>0.31446386367991508</v>
      </c>
    </row>
    <row r="9" spans="1:25">
      <c r="B9" t="s">
        <v>22</v>
      </c>
      <c r="C9">
        <v>0</v>
      </c>
      <c r="L9" t="s">
        <v>2015</v>
      </c>
      <c r="M9">
        <v>1</v>
      </c>
      <c r="P9" t="s">
        <v>2016</v>
      </c>
      <c r="Q9" t="s">
        <v>2015</v>
      </c>
      <c r="R9">
        <v>1</v>
      </c>
      <c r="V9" t="s">
        <v>2017</v>
      </c>
      <c r="W9">
        <v>64000</v>
      </c>
    </row>
    <row r="10" spans="1:25">
      <c r="B10" t="s">
        <v>249</v>
      </c>
      <c r="C10">
        <v>7128</v>
      </c>
      <c r="L10" t="s">
        <v>793</v>
      </c>
      <c r="M10">
        <v>1</v>
      </c>
      <c r="Q10" t="s">
        <v>797</v>
      </c>
      <c r="R10">
        <v>1</v>
      </c>
    </row>
    <row r="11" spans="1:25">
      <c r="B11" t="s">
        <v>259</v>
      </c>
      <c r="C11">
        <v>25821</v>
      </c>
      <c r="L11" t="s">
        <v>797</v>
      </c>
      <c r="M11">
        <v>1</v>
      </c>
      <c r="Q11" t="s">
        <v>800</v>
      </c>
      <c r="R11">
        <v>1</v>
      </c>
    </row>
    <row r="12" spans="1:25">
      <c r="B12" t="s">
        <v>229</v>
      </c>
      <c r="C12">
        <v>103</v>
      </c>
      <c r="L12" t="s">
        <v>800</v>
      </c>
      <c r="M12">
        <v>1</v>
      </c>
      <c r="Q12" t="s">
        <v>2018</v>
      </c>
      <c r="R12">
        <v>1</v>
      </c>
    </row>
    <row r="13" spans="1:25">
      <c r="B13" t="s">
        <v>233</v>
      </c>
      <c r="C13">
        <v>8065</v>
      </c>
      <c r="L13" t="s">
        <v>2019</v>
      </c>
      <c r="M13">
        <v>1</v>
      </c>
      <c r="Q13" t="s">
        <v>969</v>
      </c>
      <c r="R13">
        <v>1</v>
      </c>
    </row>
    <row r="14" spans="1:25">
      <c r="B14" t="s">
        <v>141</v>
      </c>
      <c r="C14">
        <v>7655</v>
      </c>
      <c r="L14" t="s">
        <v>814</v>
      </c>
      <c r="M14">
        <v>1</v>
      </c>
      <c r="P14" t="s">
        <v>2020</v>
      </c>
      <c r="R14">
        <v>5</v>
      </c>
    </row>
    <row r="15" spans="1:25">
      <c r="B15" t="s">
        <v>201</v>
      </c>
      <c r="C15">
        <v>3</v>
      </c>
      <c r="L15" t="s">
        <v>2018</v>
      </c>
      <c r="M15">
        <v>1</v>
      </c>
      <c r="P15" t="s">
        <v>1047</v>
      </c>
      <c r="R15">
        <v>12</v>
      </c>
    </row>
    <row r="16" spans="1:25">
      <c r="B16" t="s">
        <v>67</v>
      </c>
      <c r="C16">
        <v>3796</v>
      </c>
      <c r="L16" t="s">
        <v>816</v>
      </c>
      <c r="M16">
        <v>1</v>
      </c>
      <c r="P16" t="s">
        <v>1017</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1017</v>
      </c>
      <c r="C21">
        <v>452338</v>
      </c>
      <c r="L21" t="s">
        <v>2021</v>
      </c>
      <c r="M21">
        <v>1</v>
      </c>
    </row>
    <row r="22" spans="2:13">
      <c r="L22" t="s">
        <v>969</v>
      </c>
      <c r="M22">
        <v>1</v>
      </c>
    </row>
    <row r="23" spans="2:13">
      <c r="L23" t="s">
        <v>862</v>
      </c>
      <c r="M23">
        <v>1</v>
      </c>
    </row>
    <row r="24" spans="2:13">
      <c r="L24" t="s">
        <v>883</v>
      </c>
      <c r="M24">
        <v>1</v>
      </c>
    </row>
    <row r="25" spans="2:13">
      <c r="L25" t="s">
        <v>195</v>
      </c>
      <c r="M25">
        <v>1</v>
      </c>
    </row>
    <row r="26" spans="2:13">
      <c r="K26" t="s">
        <v>2022</v>
      </c>
      <c r="M26">
        <v>19</v>
      </c>
    </row>
    <row r="27" spans="2:13">
      <c r="K27" t="s">
        <v>2023</v>
      </c>
      <c r="L27" t="s">
        <v>808</v>
      </c>
      <c r="M27">
        <v>1</v>
      </c>
    </row>
    <row r="28" spans="2:13">
      <c r="L28" t="s">
        <v>810</v>
      </c>
      <c r="M28">
        <v>1</v>
      </c>
    </row>
    <row r="29" spans="2:13">
      <c r="L29" t="s">
        <v>812</v>
      </c>
      <c r="M29">
        <v>1</v>
      </c>
    </row>
    <row r="30" spans="2:13">
      <c r="L30" t="s">
        <v>828</v>
      </c>
      <c r="M30">
        <v>1</v>
      </c>
    </row>
    <row r="31" spans="2:13">
      <c r="L31" t="s">
        <v>832</v>
      </c>
      <c r="M31">
        <v>1</v>
      </c>
    </row>
    <row r="32" spans="2:13">
      <c r="L32" t="s">
        <v>2024</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2025</v>
      </c>
      <c r="M39">
        <v>12</v>
      </c>
    </row>
    <row r="40" spans="11:13">
      <c r="K40" t="s">
        <v>1017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9"/>
      <c r="B1" s="1359"/>
      <c r="C1" s="1359"/>
      <c r="D1" s="1359"/>
      <c r="E1" s="1359"/>
      <c r="F1" s="1359"/>
      <c r="G1" s="1359"/>
      <c r="H1" s="1360" t="s">
        <v>2026</v>
      </c>
      <c r="I1" s="1360"/>
      <c r="J1" s="1360"/>
      <c r="K1" s="1360"/>
      <c r="L1" s="1360"/>
      <c r="M1" s="1360"/>
      <c r="N1" s="1360"/>
      <c r="O1" s="1360"/>
      <c r="P1" s="260"/>
      <c r="Q1" s="1361" t="s">
        <v>34</v>
      </c>
      <c r="R1" s="1361"/>
      <c r="S1" s="1357"/>
      <c r="T1" s="1361"/>
      <c r="U1" s="1361"/>
      <c r="V1" s="1361"/>
      <c r="W1" s="1361"/>
      <c r="X1" s="1361"/>
      <c r="Y1" s="264"/>
    </row>
    <row r="2" spans="1:26" ht="15.75" thickBot="1">
      <c r="A2" s="265"/>
      <c r="B2" s="266"/>
      <c r="C2" s="266"/>
      <c r="D2" s="266"/>
      <c r="E2" s="266"/>
      <c r="F2" s="266"/>
      <c r="G2" s="266"/>
      <c r="H2" s="267"/>
      <c r="I2" s="267"/>
      <c r="J2" s="267"/>
      <c r="K2" s="267"/>
      <c r="L2" s="267"/>
      <c r="M2" s="267"/>
      <c r="N2" s="267"/>
      <c r="O2" s="267"/>
      <c r="P2" s="260"/>
      <c r="Q2" s="264"/>
      <c r="R2" s="264" t="s">
        <v>2027</v>
      </c>
      <c r="S2" s="3" t="s">
        <v>1912</v>
      </c>
      <c r="T2" s="264" t="s">
        <v>1913</v>
      </c>
      <c r="U2" s="264" t="s">
        <v>1913</v>
      </c>
      <c r="V2" s="264" t="s">
        <v>1913</v>
      </c>
      <c r="W2" s="264" t="s">
        <v>1913</v>
      </c>
      <c r="X2" s="264" t="s">
        <v>1914</v>
      </c>
      <c r="Y2" s="264" t="s">
        <v>2028</v>
      </c>
    </row>
    <row r="3" spans="1:26" ht="15.75" thickBot="1">
      <c r="A3" s="263" t="s">
        <v>2008</v>
      </c>
      <c r="B3" s="259" t="s">
        <v>20</v>
      </c>
      <c r="C3" s="259" t="s">
        <v>2029</v>
      </c>
      <c r="D3" s="259" t="s">
        <v>26</v>
      </c>
      <c r="E3" s="259" t="s">
        <v>2003</v>
      </c>
      <c r="F3" s="259" t="s">
        <v>2030</v>
      </c>
      <c r="G3" s="259" t="s">
        <v>27</v>
      </c>
      <c r="H3" s="207" t="s">
        <v>28</v>
      </c>
      <c r="I3" s="207" t="s">
        <v>2031</v>
      </c>
      <c r="J3" s="207" t="s">
        <v>2032</v>
      </c>
      <c r="K3" s="207" t="s">
        <v>2033</v>
      </c>
      <c r="L3" s="207" t="s">
        <v>1989</v>
      </c>
      <c r="M3" s="207" t="s">
        <v>2034</v>
      </c>
      <c r="N3" s="207" t="s">
        <v>2035</v>
      </c>
      <c r="O3" s="206" t="s">
        <v>1917</v>
      </c>
      <c r="P3" s="260" t="s">
        <v>2009</v>
      </c>
      <c r="Q3" s="261" t="s">
        <v>34</v>
      </c>
      <c r="R3" s="261" t="s">
        <v>2031</v>
      </c>
      <c r="S3" s="5" t="s">
        <v>1918</v>
      </c>
      <c r="T3" s="261" t="s">
        <v>2036</v>
      </c>
      <c r="U3" s="261" t="s">
        <v>43</v>
      </c>
      <c r="V3" s="261" t="s">
        <v>1919</v>
      </c>
      <c r="W3" s="261" t="s">
        <v>46</v>
      </c>
      <c r="X3" s="261" t="s">
        <v>626</v>
      </c>
      <c r="Y3" s="261" t="s">
        <v>2037</v>
      </c>
      <c r="Z3" s="312" t="s">
        <v>2038</v>
      </c>
    </row>
    <row r="4" spans="1:26" ht="15.75" thickBot="1">
      <c r="A4" s="121" t="s">
        <v>78</v>
      </c>
      <c r="B4" s="102" t="s">
        <v>50</v>
      </c>
      <c r="C4" s="77">
        <v>45807</v>
      </c>
      <c r="D4" s="268"/>
      <c r="E4" s="269" t="s">
        <v>2039</v>
      </c>
      <c r="F4" s="268"/>
      <c r="G4" s="270" t="s">
        <v>2002</v>
      </c>
      <c r="H4" s="268"/>
      <c r="I4" s="268"/>
      <c r="J4" s="271"/>
      <c r="K4" s="205"/>
      <c r="L4" s="205"/>
      <c r="M4" s="205"/>
      <c r="N4" s="272"/>
      <c r="O4" s="273"/>
      <c r="P4" s="274" t="s">
        <v>2040</v>
      </c>
      <c r="Q4" s="275" t="s">
        <v>69</v>
      </c>
      <c r="R4" s="131" t="s">
        <v>2041</v>
      </c>
      <c r="S4" s="131"/>
      <c r="T4" s="276"/>
      <c r="U4" s="277"/>
      <c r="V4" s="277"/>
      <c r="W4" s="277"/>
      <c r="X4" s="277"/>
      <c r="Y4" s="277"/>
      <c r="Z4" t="e">
        <f>VLOOKUP(A4,#REF!,9,FALSE)</f>
        <v>#REF!</v>
      </c>
    </row>
    <row r="5" spans="1:26" ht="15.75" thickBot="1">
      <c r="A5" s="278" t="s">
        <v>1959</v>
      </c>
      <c r="B5" s="102" t="s">
        <v>50</v>
      </c>
      <c r="C5" s="215">
        <v>45807</v>
      </c>
      <c r="D5" s="268"/>
      <c r="E5" s="269" t="s">
        <v>2039</v>
      </c>
      <c r="F5" s="268"/>
      <c r="G5" s="270" t="s">
        <v>2002</v>
      </c>
      <c r="H5" s="268"/>
      <c r="I5" s="268"/>
      <c r="J5" s="279"/>
      <c r="K5" s="205"/>
      <c r="L5" s="205"/>
      <c r="M5" s="205"/>
      <c r="N5" s="272"/>
      <c r="O5" s="273"/>
      <c r="P5" s="274" t="s">
        <v>2040</v>
      </c>
      <c r="Q5" s="275" t="s">
        <v>69</v>
      </c>
      <c r="R5" s="131" t="s">
        <v>2041</v>
      </c>
      <c r="S5" s="131"/>
      <c r="T5" s="276"/>
      <c r="U5" s="277"/>
      <c r="V5" s="277"/>
      <c r="W5" s="277"/>
      <c r="X5" s="277"/>
      <c r="Y5" s="277"/>
      <c r="Z5" t="e">
        <f>VLOOKUP(A5,#REF!,9,FALSE)</f>
        <v>#REF!</v>
      </c>
    </row>
    <row r="6" spans="1:26" ht="15.75" thickBot="1">
      <c r="A6" s="121" t="s">
        <v>1044</v>
      </c>
      <c r="B6" s="102" t="s">
        <v>50</v>
      </c>
      <c r="C6" s="215">
        <v>45807</v>
      </c>
      <c r="D6" s="268"/>
      <c r="E6" s="269" t="s">
        <v>2039</v>
      </c>
      <c r="F6" s="268"/>
      <c r="G6" s="270" t="s">
        <v>2002</v>
      </c>
      <c r="H6" s="268"/>
      <c r="I6" s="268"/>
      <c r="J6" s="279"/>
      <c r="K6" s="205"/>
      <c r="L6" s="205"/>
      <c r="M6" s="205"/>
      <c r="N6" s="272"/>
      <c r="O6" s="273"/>
      <c r="P6" s="274" t="s">
        <v>2040</v>
      </c>
      <c r="Q6" s="275" t="s">
        <v>69</v>
      </c>
      <c r="R6" s="131" t="s">
        <v>2041</v>
      </c>
      <c r="S6" s="131"/>
      <c r="T6" s="276"/>
      <c r="U6" s="277"/>
      <c r="V6" s="277"/>
      <c r="W6" s="277"/>
      <c r="X6" s="277"/>
      <c r="Y6" s="277"/>
      <c r="Z6" t="e">
        <f>VLOOKUP(A6,#REF!,9,FALSE)</f>
        <v>#REF!</v>
      </c>
    </row>
    <row r="7" spans="1:26" ht="15.75" thickBot="1">
      <c r="A7" s="121" t="s">
        <v>1061</v>
      </c>
      <c r="B7" s="102" t="s">
        <v>50</v>
      </c>
      <c r="C7" s="215">
        <v>45807</v>
      </c>
      <c r="D7" s="268"/>
      <c r="E7" s="269" t="s">
        <v>2039</v>
      </c>
      <c r="F7" s="268"/>
      <c r="G7" s="270" t="s">
        <v>2002</v>
      </c>
      <c r="H7" s="268"/>
      <c r="I7" s="268"/>
      <c r="J7" s="279"/>
      <c r="K7" s="205"/>
      <c r="L7" s="205"/>
      <c r="M7" s="205"/>
      <c r="N7" s="272"/>
      <c r="O7" s="273"/>
      <c r="P7" s="274" t="s">
        <v>2040</v>
      </c>
      <c r="Q7" s="275" t="s">
        <v>69</v>
      </c>
      <c r="R7" s="131" t="s">
        <v>2041</v>
      </c>
      <c r="S7" s="131"/>
      <c r="T7" s="276"/>
      <c r="U7" s="277"/>
      <c r="V7" s="277"/>
      <c r="W7" s="277"/>
      <c r="X7" s="277"/>
      <c r="Y7" s="277"/>
      <c r="Z7" t="e">
        <f>VLOOKUP(A7,#REF!,9,FALSE)</f>
        <v>#REF!</v>
      </c>
    </row>
    <row r="8" spans="1:26" ht="15.75" thickBot="1">
      <c r="A8" s="278" t="s">
        <v>2042</v>
      </c>
      <c r="B8" s="102" t="s">
        <v>50</v>
      </c>
      <c r="C8" s="215">
        <v>45807</v>
      </c>
      <c r="D8" s="268"/>
      <c r="E8" s="269" t="s">
        <v>2039</v>
      </c>
      <c r="F8" s="268"/>
      <c r="G8" s="270" t="s">
        <v>2002</v>
      </c>
      <c r="H8" s="268"/>
      <c r="I8" s="268"/>
      <c r="J8" s="279"/>
      <c r="K8" s="205"/>
      <c r="L8" s="205"/>
      <c r="M8" s="205"/>
      <c r="N8" s="272"/>
      <c r="O8" s="273"/>
      <c r="P8" s="274" t="s">
        <v>2013</v>
      </c>
      <c r="Q8" s="275" t="s">
        <v>2043</v>
      </c>
      <c r="R8" s="131" t="s">
        <v>2044</v>
      </c>
      <c r="S8" s="131"/>
      <c r="T8" s="276"/>
      <c r="U8" s="277"/>
      <c r="V8" s="277"/>
      <c r="W8" s="277"/>
      <c r="X8" s="277"/>
      <c r="Y8" s="277"/>
      <c r="Z8" t="e">
        <f>VLOOKUP(A8,#REF!,9,FALSE)</f>
        <v>#REF!</v>
      </c>
    </row>
    <row r="9" spans="1:26" ht="15.75" thickBot="1">
      <c r="A9" s="121" t="s">
        <v>1069</v>
      </c>
      <c r="B9" s="102" t="s">
        <v>50</v>
      </c>
      <c r="C9" s="215">
        <v>45807</v>
      </c>
      <c r="D9" s="280"/>
      <c r="E9" s="269" t="s">
        <v>2039</v>
      </c>
      <c r="F9" s="280"/>
      <c r="G9" s="281" t="s">
        <v>2002</v>
      </c>
      <c r="H9" s="268"/>
      <c r="I9" s="268"/>
      <c r="J9" s="279"/>
      <c r="K9" s="205"/>
      <c r="L9" s="205"/>
      <c r="M9" s="205"/>
      <c r="N9" s="272"/>
      <c r="O9" s="273"/>
      <c r="P9" s="274" t="s">
        <v>2040</v>
      </c>
      <c r="Q9" s="275" t="s">
        <v>69</v>
      </c>
      <c r="R9" s="131" t="s">
        <v>2041</v>
      </c>
      <c r="S9" s="131"/>
      <c r="T9" s="276"/>
      <c r="U9" s="277"/>
      <c r="V9" s="277"/>
      <c r="W9" s="277"/>
      <c r="X9" s="277"/>
      <c r="Y9" s="277"/>
      <c r="Z9" t="e">
        <f>VLOOKUP(A9,#REF!,9,FALSE)</f>
        <v>#REF!</v>
      </c>
    </row>
    <row r="10" spans="1:26" ht="15.75" thickBot="1">
      <c r="A10" s="121" t="s">
        <v>1046</v>
      </c>
      <c r="B10" s="102" t="s">
        <v>50</v>
      </c>
      <c r="C10" s="215" t="e">
        <v>#N/A</v>
      </c>
      <c r="D10" s="282"/>
      <c r="E10" s="269" t="s">
        <v>2039</v>
      </c>
      <c r="F10" s="282"/>
      <c r="G10" s="283" t="s">
        <v>2002</v>
      </c>
      <c r="H10" s="230"/>
      <c r="I10" s="230"/>
      <c r="J10" s="45"/>
      <c r="K10" s="204"/>
      <c r="L10" s="204"/>
      <c r="M10" s="204"/>
      <c r="N10" s="284"/>
      <c r="O10" s="285"/>
      <c r="P10" s="274" t="s">
        <v>2040</v>
      </c>
      <c r="Q10" s="275" t="s">
        <v>58</v>
      </c>
      <c r="R10" s="131" t="s">
        <v>2041</v>
      </c>
      <c r="S10" s="131"/>
      <c r="T10" s="276"/>
      <c r="U10" s="277"/>
      <c r="V10" s="277"/>
      <c r="W10" s="277"/>
      <c r="X10" s="277"/>
      <c r="Y10" s="277"/>
      <c r="Z10" t="e">
        <f>VLOOKUP(A10,#REF!,9,FALSE)</f>
        <v>#REF!</v>
      </c>
    </row>
    <row r="11" spans="1:26" ht="15.75" thickBot="1">
      <c r="A11" s="121" t="s">
        <v>515</v>
      </c>
      <c r="B11" s="102" t="s">
        <v>50</v>
      </c>
      <c r="C11" s="215">
        <v>45807</v>
      </c>
      <c r="D11" s="282"/>
      <c r="E11" s="269" t="s">
        <v>2039</v>
      </c>
      <c r="F11" s="282"/>
      <c r="G11" s="283" t="s">
        <v>2002</v>
      </c>
      <c r="H11" s="230"/>
      <c r="I11" s="230"/>
      <c r="J11" s="45"/>
      <c r="K11" s="204"/>
      <c r="L11" s="204"/>
      <c r="M11" s="204"/>
      <c r="N11" s="284"/>
      <c r="O11" s="285"/>
      <c r="P11" s="274" t="s">
        <v>2040</v>
      </c>
      <c r="Q11" s="275" t="s">
        <v>69</v>
      </c>
      <c r="R11" s="131" t="s">
        <v>2041</v>
      </c>
      <c r="S11" s="131"/>
      <c r="T11" s="276"/>
      <c r="U11" s="277"/>
      <c r="V11" s="277"/>
      <c r="W11" s="277"/>
      <c r="X11" s="277"/>
      <c r="Y11" s="277"/>
      <c r="Z11" t="e">
        <f>VLOOKUP(A11,#REF!,9,FALSE)</f>
        <v>#REF!</v>
      </c>
    </row>
    <row r="12" spans="1:26" ht="15.75" thickBot="1">
      <c r="A12" s="121" t="s">
        <v>1041</v>
      </c>
      <c r="B12" s="102" t="s">
        <v>50</v>
      </c>
      <c r="C12" s="215" t="e">
        <v>#N/A</v>
      </c>
      <c r="D12" s="282"/>
      <c r="E12" s="269" t="s">
        <v>2039</v>
      </c>
      <c r="F12" s="282"/>
      <c r="G12" s="283" t="s">
        <v>2002</v>
      </c>
      <c r="H12" s="230"/>
      <c r="I12" s="230"/>
      <c r="J12" s="45"/>
      <c r="K12" s="204"/>
      <c r="L12" s="204"/>
      <c r="M12" s="204"/>
      <c r="N12" s="284"/>
      <c r="O12" s="285"/>
      <c r="P12" s="274" t="s">
        <v>2040</v>
      </c>
      <c r="Q12" s="275" t="s">
        <v>69</v>
      </c>
      <c r="R12" s="131" t="s">
        <v>2041</v>
      </c>
      <c r="S12" s="131"/>
      <c r="T12" s="276"/>
      <c r="U12" s="277"/>
      <c r="V12" s="277"/>
      <c r="W12" s="277"/>
      <c r="X12" s="277"/>
      <c r="Y12" s="277"/>
      <c r="Z12" t="e">
        <f>VLOOKUP(A12,#REF!,9,FALSE)</f>
        <v>#REF!</v>
      </c>
    </row>
    <row r="13" spans="1:26" ht="15.75" thickBot="1">
      <c r="A13" s="121" t="s">
        <v>1067</v>
      </c>
      <c r="B13" s="102" t="s">
        <v>50</v>
      </c>
      <c r="C13" s="215" t="e">
        <v>#N/A</v>
      </c>
      <c r="D13" s="282"/>
      <c r="E13" s="269" t="s">
        <v>2039</v>
      </c>
      <c r="F13" s="282"/>
      <c r="G13" s="283" t="s">
        <v>2002</v>
      </c>
      <c r="H13" s="230"/>
      <c r="I13" s="230"/>
      <c r="J13" s="45"/>
      <c r="K13" s="204"/>
      <c r="L13" s="204"/>
      <c r="M13" s="204"/>
      <c r="N13" s="284"/>
      <c r="O13" s="285"/>
      <c r="P13" s="274" t="s">
        <v>2040</v>
      </c>
      <c r="Q13" s="275" t="s">
        <v>69</v>
      </c>
      <c r="R13" s="131" t="s">
        <v>2041</v>
      </c>
      <c r="S13" s="131"/>
      <c r="T13" s="276"/>
      <c r="U13" s="277"/>
      <c r="V13" s="277"/>
      <c r="W13" s="277"/>
      <c r="X13" s="277"/>
      <c r="Y13" s="277"/>
      <c r="Z13" t="e">
        <f>VLOOKUP(A13,#REF!,9,FALSE)</f>
        <v>#REF!</v>
      </c>
    </row>
    <row r="14" spans="1:26" ht="15.75" thickBot="1">
      <c r="A14" s="278" t="s">
        <v>511</v>
      </c>
      <c r="B14" s="102" t="s">
        <v>50</v>
      </c>
      <c r="C14" s="215">
        <v>45807</v>
      </c>
      <c r="D14" s="282"/>
      <c r="E14" s="269" t="s">
        <v>2039</v>
      </c>
      <c r="F14" s="282"/>
      <c r="G14" s="283" t="s">
        <v>2002</v>
      </c>
      <c r="H14" s="230"/>
      <c r="I14" s="230"/>
      <c r="J14" s="45"/>
      <c r="K14" s="204"/>
      <c r="L14" s="204"/>
      <c r="M14" s="204"/>
      <c r="N14" s="284"/>
      <c r="O14" s="285"/>
      <c r="P14" s="274" t="s">
        <v>2040</v>
      </c>
      <c r="Q14" s="275" t="s">
        <v>69</v>
      </c>
      <c r="R14" s="131" t="s">
        <v>2041</v>
      </c>
      <c r="S14" s="131"/>
      <c r="T14" s="276"/>
      <c r="U14" s="277"/>
      <c r="V14" s="277"/>
      <c r="W14" s="277"/>
      <c r="X14" s="277"/>
      <c r="Y14" s="277"/>
      <c r="Z14" t="e">
        <f>VLOOKUP(A14,#REF!,9,FALSE)</f>
        <v>#REF!</v>
      </c>
    </row>
    <row r="15" spans="1:26" ht="15.75" thickBot="1">
      <c r="A15" s="121" t="s">
        <v>1045</v>
      </c>
      <c r="B15" s="102" t="s">
        <v>50</v>
      </c>
      <c r="C15" s="215" t="e">
        <v>#N/A</v>
      </c>
      <c r="D15" s="282"/>
      <c r="E15" s="269" t="s">
        <v>2039</v>
      </c>
      <c r="F15" s="282"/>
      <c r="G15" s="283" t="s">
        <v>2002</v>
      </c>
      <c r="H15" s="230"/>
      <c r="I15" s="230"/>
      <c r="J15" s="45"/>
      <c r="K15" s="204"/>
      <c r="L15" s="204"/>
      <c r="M15" s="204"/>
      <c r="N15" s="284"/>
      <c r="O15" s="285"/>
      <c r="P15" s="274" t="s">
        <v>2040</v>
      </c>
      <c r="Q15" s="275" t="s">
        <v>69</v>
      </c>
      <c r="R15" s="131" t="s">
        <v>2041</v>
      </c>
      <c r="S15" s="131"/>
      <c r="T15" s="276"/>
      <c r="U15" s="277"/>
      <c r="V15" s="277"/>
      <c r="W15" s="277"/>
      <c r="X15" s="277"/>
      <c r="Y15" s="277"/>
      <c r="Z15" t="e">
        <f>VLOOKUP(A15,#REF!,9,FALSE)</f>
        <v>#REF!</v>
      </c>
    </row>
    <row r="16" spans="1:26" ht="15.75" thickBot="1">
      <c r="A16" s="286" t="s">
        <v>2045</v>
      </c>
      <c r="B16" s="102" t="s">
        <v>50</v>
      </c>
      <c r="C16" s="215" t="e">
        <v>#N/A</v>
      </c>
      <c r="D16" s="282"/>
      <c r="E16" s="269" t="s">
        <v>2039</v>
      </c>
      <c r="F16" s="282"/>
      <c r="G16" s="283" t="s">
        <v>2002</v>
      </c>
      <c r="H16" s="230"/>
      <c r="I16" s="230"/>
      <c r="J16" s="45"/>
      <c r="K16" s="204"/>
      <c r="L16" s="204"/>
      <c r="M16" s="204"/>
      <c r="N16" s="284"/>
      <c r="O16" s="285"/>
      <c r="P16" s="274" t="s">
        <v>2040</v>
      </c>
      <c r="Q16" s="275" t="s">
        <v>69</v>
      </c>
      <c r="R16" s="131" t="s">
        <v>2041</v>
      </c>
      <c r="S16" s="131"/>
      <c r="T16" s="276"/>
      <c r="U16" s="277"/>
      <c r="V16" s="277"/>
      <c r="W16" s="277"/>
      <c r="X16" s="277"/>
      <c r="Y16" s="277"/>
      <c r="Z16" t="e">
        <f>VLOOKUP(A16,#REF!,9,FALSE)</f>
        <v>#REF!</v>
      </c>
    </row>
    <row r="17" spans="1:26" ht="15.75" thickBot="1">
      <c r="A17" s="275" t="s">
        <v>883</v>
      </c>
      <c r="B17" s="102" t="s">
        <v>50</v>
      </c>
      <c r="C17" s="215" t="e">
        <v>#N/A</v>
      </c>
      <c r="D17" s="282"/>
      <c r="E17" s="269" t="s">
        <v>2004</v>
      </c>
      <c r="F17" s="282"/>
      <c r="G17" s="283" t="s">
        <v>2002</v>
      </c>
      <c r="H17" s="230"/>
      <c r="I17" s="230"/>
      <c r="J17" s="45"/>
      <c r="K17" s="204"/>
      <c r="L17" s="204"/>
      <c r="M17" s="204"/>
      <c r="N17" s="284"/>
      <c r="O17" s="285"/>
      <c r="P17" s="274"/>
      <c r="Q17" s="275" t="s">
        <v>69</v>
      </c>
      <c r="R17" s="131" t="s">
        <v>2041</v>
      </c>
      <c r="S17" s="131"/>
      <c r="T17" s="276"/>
      <c r="U17" s="277"/>
      <c r="V17" s="277"/>
      <c r="W17" s="277"/>
      <c r="X17" s="277"/>
      <c r="Y17" s="277"/>
      <c r="Z17" t="e">
        <f>VLOOKUP(A17,#REF!,9,FALSE)</f>
        <v>#REF!</v>
      </c>
    </row>
    <row r="18" spans="1:26" ht="15.75" thickBot="1">
      <c r="A18" s="275" t="s">
        <v>862</v>
      </c>
      <c r="B18" s="102" t="s">
        <v>50</v>
      </c>
      <c r="C18" s="215">
        <v>45807</v>
      </c>
      <c r="D18" s="282"/>
      <c r="E18" s="269" t="s">
        <v>2004</v>
      </c>
      <c r="F18" s="282"/>
      <c r="G18" s="283" t="s">
        <v>2002</v>
      </c>
      <c r="H18" s="230"/>
      <c r="I18" s="230"/>
      <c r="J18" s="45"/>
      <c r="K18" s="204"/>
      <c r="L18" s="204"/>
      <c r="M18" s="204"/>
      <c r="N18" s="284"/>
      <c r="O18" s="285"/>
      <c r="P18" s="274" t="s">
        <v>2010</v>
      </c>
      <c r="Q18" s="275"/>
      <c r="R18" s="131" t="s">
        <v>2041</v>
      </c>
      <c r="S18" s="131"/>
      <c r="T18" s="276"/>
      <c r="U18" s="277"/>
      <c r="V18" s="277"/>
      <c r="W18" s="277"/>
      <c r="X18" s="277"/>
      <c r="Y18" s="277"/>
      <c r="Z18" t="e">
        <f>VLOOKUP(A18,#REF!,9,FALSE)</f>
        <v>#REF!</v>
      </c>
    </row>
    <row r="19" spans="1:26" ht="15.75" thickBot="1">
      <c r="A19" s="275" t="s">
        <v>865</v>
      </c>
      <c r="B19" s="102" t="s">
        <v>50</v>
      </c>
      <c r="C19" s="215" t="e">
        <v>#N/A</v>
      </c>
      <c r="D19" s="282"/>
      <c r="E19" s="269" t="s">
        <v>2004</v>
      </c>
      <c r="F19" s="282"/>
      <c r="G19" s="283" t="s">
        <v>2023</v>
      </c>
      <c r="H19" s="230"/>
      <c r="I19" s="230"/>
      <c r="J19" s="45"/>
      <c r="K19" s="204"/>
      <c r="L19" s="204"/>
      <c r="M19" s="204"/>
      <c r="N19" s="284"/>
      <c r="O19" s="285"/>
      <c r="P19" s="274"/>
      <c r="Q19" s="275" t="s">
        <v>2023</v>
      </c>
      <c r="R19" s="131" t="s">
        <v>2041</v>
      </c>
      <c r="S19" s="131"/>
      <c r="T19" s="276"/>
      <c r="U19" s="277"/>
      <c r="V19" s="277"/>
      <c r="W19" s="277"/>
      <c r="X19" s="277"/>
      <c r="Y19" s="277"/>
      <c r="Z19" t="e">
        <f>VLOOKUP(A19,#REF!,9,FALSE)</f>
        <v>#REF!</v>
      </c>
    </row>
    <row r="20" spans="1:26" ht="15.75" thickBot="1">
      <c r="A20" s="275" t="s">
        <v>808</v>
      </c>
      <c r="B20" s="102" t="s">
        <v>50</v>
      </c>
      <c r="C20" s="215" t="e">
        <v>#N/A</v>
      </c>
      <c r="D20" s="282"/>
      <c r="E20" s="269" t="s">
        <v>2004</v>
      </c>
      <c r="F20" s="282"/>
      <c r="G20" s="283" t="s">
        <v>2023</v>
      </c>
      <c r="H20" s="230"/>
      <c r="I20" s="230"/>
      <c r="J20" s="45"/>
      <c r="K20" s="204"/>
      <c r="L20" s="204"/>
      <c r="M20" s="204"/>
      <c r="N20" s="284"/>
      <c r="O20" s="285"/>
      <c r="P20" s="274"/>
      <c r="Q20" s="275" t="s">
        <v>2023</v>
      </c>
      <c r="R20" s="131" t="s">
        <v>2041</v>
      </c>
      <c r="S20" s="131"/>
      <c r="T20" s="276"/>
      <c r="U20" s="277"/>
      <c r="V20" s="277"/>
      <c r="W20" s="277"/>
      <c r="X20" s="277"/>
      <c r="Y20" s="277"/>
      <c r="Z20" t="e">
        <f>VLOOKUP(A20,#REF!,9,FALSE)</f>
        <v>#REF!</v>
      </c>
    </row>
    <row r="21" spans="1:26" s="214" customFormat="1" ht="15.75" thickBot="1">
      <c r="A21" s="262" t="s">
        <v>2019</v>
      </c>
      <c r="B21" s="102" t="e">
        <v>#N/A</v>
      </c>
      <c r="C21" s="231">
        <v>45807</v>
      </c>
      <c r="D21" s="282"/>
      <c r="E21" s="269" t="s">
        <v>2004</v>
      </c>
      <c r="F21" s="282"/>
      <c r="G21" s="283" t="s">
        <v>2002</v>
      </c>
      <c r="H21" s="230"/>
      <c r="I21" s="230"/>
      <c r="J21" s="230"/>
      <c r="K21" s="229"/>
      <c r="L21" s="229"/>
      <c r="M21" s="229"/>
      <c r="N21" s="284"/>
      <c r="O21" s="285"/>
      <c r="P21" s="274"/>
      <c r="Q21" s="225" t="s">
        <v>64</v>
      </c>
      <c r="R21" s="131" t="s">
        <v>2041</v>
      </c>
      <c r="S21" s="228"/>
      <c r="T21" s="227"/>
      <c r="U21" s="226"/>
      <c r="V21" s="226"/>
      <c r="W21" s="226"/>
      <c r="X21" s="226"/>
      <c r="Y21" s="226" t="s">
        <v>2046</v>
      </c>
      <c r="Z21" t="e">
        <f>VLOOKUP(A21,#REF!,9,FALSE)</f>
        <v>#REF!</v>
      </c>
    </row>
    <row r="22" spans="1:26" ht="15.75" thickBot="1">
      <c r="A22" s="275" t="s">
        <v>810</v>
      </c>
      <c r="B22" s="102" t="s">
        <v>50</v>
      </c>
      <c r="C22" s="215" t="e">
        <v>#N/A</v>
      </c>
      <c r="D22" s="282"/>
      <c r="E22" s="269" t="s">
        <v>2004</v>
      </c>
      <c r="F22" s="282"/>
      <c r="G22" s="283" t="s">
        <v>2023</v>
      </c>
      <c r="H22" s="230"/>
      <c r="I22" s="230"/>
      <c r="J22" s="45"/>
      <c r="K22" s="204"/>
      <c r="L22" s="204"/>
      <c r="M22" s="204"/>
      <c r="N22" s="284"/>
      <c r="O22" s="285"/>
      <c r="P22" s="274"/>
      <c r="Q22" s="275" t="s">
        <v>2023</v>
      </c>
      <c r="R22" s="131" t="s">
        <v>2041</v>
      </c>
      <c r="S22" s="131"/>
      <c r="T22" s="276"/>
      <c r="U22" s="277"/>
      <c r="V22" s="277"/>
      <c r="W22" s="277"/>
      <c r="X22" s="277"/>
      <c r="Y22" s="277"/>
      <c r="Z22" t="e">
        <f>VLOOKUP(A22,#REF!,9,FALSE)</f>
        <v>#REF!</v>
      </c>
    </row>
    <row r="23" spans="1:26" ht="15.75" thickBot="1">
      <c r="A23" s="275" t="s">
        <v>793</v>
      </c>
      <c r="B23" s="102" t="s">
        <v>50</v>
      </c>
      <c r="C23" s="215" t="e">
        <v>#N/A</v>
      </c>
      <c r="D23" s="282"/>
      <c r="E23" s="269" t="s">
        <v>2004</v>
      </c>
      <c r="F23" s="282"/>
      <c r="G23" s="283" t="s">
        <v>2002</v>
      </c>
      <c r="H23" s="230"/>
      <c r="I23" s="230"/>
      <c r="J23" s="45"/>
      <c r="K23" s="204"/>
      <c r="L23" s="204"/>
      <c r="M23" s="204"/>
      <c r="N23" s="284"/>
      <c r="O23" s="285"/>
      <c r="P23" s="274"/>
      <c r="Q23" s="275" t="s">
        <v>64</v>
      </c>
      <c r="R23" s="131" t="s">
        <v>2041</v>
      </c>
      <c r="S23" s="131"/>
      <c r="T23" s="276"/>
      <c r="U23" s="277"/>
      <c r="V23" s="277"/>
      <c r="W23" s="277"/>
      <c r="X23" s="277"/>
      <c r="Y23" s="277" t="s">
        <v>2047</v>
      </c>
      <c r="Z23" t="e">
        <f>VLOOKUP(A23,#REF!,9,FALSE)</f>
        <v>#REF!</v>
      </c>
    </row>
    <row r="24" spans="1:26" s="214" customFormat="1" ht="69.599999999999994" customHeight="1" thickBot="1">
      <c r="A24" s="225" t="s">
        <v>2015</v>
      </c>
      <c r="B24" s="232" t="e">
        <v>#N/A</v>
      </c>
      <c r="C24" s="231">
        <v>45716</v>
      </c>
      <c r="D24" s="282"/>
      <c r="E24" s="269" t="s">
        <v>2004</v>
      </c>
      <c r="F24" s="282"/>
      <c r="G24" s="283" t="s">
        <v>2002</v>
      </c>
      <c r="H24" s="230"/>
      <c r="I24" s="230"/>
      <c r="J24" s="230"/>
      <c r="K24" s="229"/>
      <c r="L24" s="229"/>
      <c r="M24" s="229"/>
      <c r="N24" s="284"/>
      <c r="O24" s="285"/>
      <c r="P24" s="274" t="s">
        <v>2016</v>
      </c>
      <c r="Q24" s="225" t="s">
        <v>64</v>
      </c>
      <c r="R24" s="131" t="s">
        <v>2041</v>
      </c>
      <c r="S24" s="228"/>
      <c r="T24" s="227"/>
      <c r="U24" s="226"/>
      <c r="V24" s="226"/>
      <c r="W24" s="226"/>
      <c r="X24" s="226"/>
      <c r="Y24" s="226" t="s">
        <v>2047</v>
      </c>
      <c r="Z24" t="e">
        <f>VLOOKUP(A24,#REF!,9,FALSE)</f>
        <v>#REF!</v>
      </c>
    </row>
    <row r="25" spans="1:26" ht="15.75" thickBot="1">
      <c r="A25" s="275" t="s">
        <v>797</v>
      </c>
      <c r="B25" s="102" t="s">
        <v>50</v>
      </c>
      <c r="C25" s="215">
        <v>45772</v>
      </c>
      <c r="D25" s="282"/>
      <c r="E25" s="269" t="s">
        <v>2004</v>
      </c>
      <c r="F25" s="282"/>
      <c r="G25" s="283" t="s">
        <v>2002</v>
      </c>
      <c r="H25" s="230"/>
      <c r="I25" s="230"/>
      <c r="J25" s="45"/>
      <c r="K25" s="204"/>
      <c r="L25" s="204"/>
      <c r="M25" s="204"/>
      <c r="N25" s="284"/>
      <c r="O25" s="285"/>
      <c r="P25" s="274" t="s">
        <v>2016</v>
      </c>
      <c r="Q25" s="275" t="s">
        <v>64</v>
      </c>
      <c r="R25" s="131" t="s">
        <v>2041</v>
      </c>
      <c r="S25" s="131"/>
      <c r="T25" s="276"/>
      <c r="U25" s="277"/>
      <c r="V25" s="277"/>
      <c r="W25" s="277"/>
      <c r="X25" s="277"/>
      <c r="Y25" s="277"/>
      <c r="Z25" t="e">
        <f>VLOOKUP(A25,#REF!,9,FALSE)</f>
        <v>#REF!</v>
      </c>
    </row>
    <row r="26" spans="1:26" ht="15.75" thickBot="1">
      <c r="A26" s="275" t="s">
        <v>800</v>
      </c>
      <c r="B26" s="102" t="s">
        <v>50</v>
      </c>
      <c r="C26" s="215">
        <v>45772</v>
      </c>
      <c r="D26" s="282"/>
      <c r="E26" s="269" t="s">
        <v>2004</v>
      </c>
      <c r="F26" s="282"/>
      <c r="G26" s="283" t="s">
        <v>2002</v>
      </c>
      <c r="H26" s="230"/>
      <c r="I26" s="230"/>
      <c r="J26" s="45"/>
      <c r="K26" s="204"/>
      <c r="L26" s="204"/>
      <c r="M26" s="204"/>
      <c r="N26" s="284"/>
      <c r="O26" s="285"/>
      <c r="P26" s="274" t="s">
        <v>2016</v>
      </c>
      <c r="Q26" s="275" t="s">
        <v>64</v>
      </c>
      <c r="R26" s="131" t="s">
        <v>2041</v>
      </c>
      <c r="S26" s="131"/>
      <c r="T26" s="276"/>
      <c r="U26" s="277"/>
      <c r="V26" s="277"/>
      <c r="W26" s="277"/>
      <c r="X26" s="277"/>
      <c r="Y26" s="277"/>
      <c r="Z26" t="e">
        <f>VLOOKUP(A26,#REF!,9,FALSE)</f>
        <v>#REF!</v>
      </c>
    </row>
    <row r="27" spans="1:26" ht="15.75" thickBot="1">
      <c r="A27" s="275" t="s">
        <v>969</v>
      </c>
      <c r="B27" s="102" t="s">
        <v>50</v>
      </c>
      <c r="C27" s="215">
        <v>45772</v>
      </c>
      <c r="D27" s="282"/>
      <c r="E27" s="269" t="s">
        <v>2004</v>
      </c>
      <c r="F27" s="282"/>
      <c r="G27" s="283" t="s">
        <v>2002</v>
      </c>
      <c r="H27" s="230"/>
      <c r="I27" s="230"/>
      <c r="J27" s="45"/>
      <c r="K27" s="204"/>
      <c r="L27" s="204"/>
      <c r="M27" s="204"/>
      <c r="N27" s="284"/>
      <c r="O27" s="285"/>
      <c r="P27" s="274" t="s">
        <v>2016</v>
      </c>
      <c r="Q27" s="275" t="s">
        <v>64</v>
      </c>
      <c r="R27" s="131" t="s">
        <v>2041</v>
      </c>
      <c r="S27" s="131"/>
      <c r="T27" s="276"/>
      <c r="U27" s="277"/>
      <c r="V27" s="277"/>
      <c r="W27" s="277"/>
      <c r="X27" s="277"/>
      <c r="Y27" s="277"/>
      <c r="Z27" t="e">
        <f>VLOOKUP(A27,#REF!,9,FALSE)</f>
        <v>#REF!</v>
      </c>
    </row>
    <row r="28" spans="1:26" ht="70.150000000000006" customHeight="1" thickBot="1">
      <c r="A28" s="225" t="s">
        <v>2018</v>
      </c>
      <c r="B28" s="232"/>
      <c r="C28" s="231"/>
      <c r="D28" s="282"/>
      <c r="E28" s="269" t="s">
        <v>2004</v>
      </c>
      <c r="F28" s="282"/>
      <c r="G28" s="283" t="s">
        <v>2002</v>
      </c>
      <c r="H28" s="230"/>
      <c r="I28" s="230"/>
      <c r="J28" s="230"/>
      <c r="K28" s="229"/>
      <c r="L28" s="229"/>
      <c r="M28" s="229"/>
      <c r="N28" s="284"/>
      <c r="O28" s="285"/>
      <c r="P28" s="274" t="s">
        <v>2016</v>
      </c>
      <c r="Q28" s="225" t="s">
        <v>64</v>
      </c>
      <c r="R28" s="131" t="s">
        <v>2041</v>
      </c>
      <c r="S28" s="228"/>
      <c r="T28" s="227"/>
      <c r="U28" s="226"/>
      <c r="V28" s="226"/>
      <c r="W28" s="226"/>
      <c r="X28" s="226"/>
      <c r="Y28" s="288" t="s">
        <v>2048</v>
      </c>
      <c r="Z28" t="e">
        <f>VLOOKUP(A28,#REF!,9,FALSE)</f>
        <v>#REF!</v>
      </c>
    </row>
    <row r="29" spans="1:26" s="214" customFormat="1" ht="69.599999999999994" customHeight="1" thickBot="1">
      <c r="A29" s="225" t="s">
        <v>2021</v>
      </c>
      <c r="B29" s="232" t="e">
        <v>#N/A</v>
      </c>
      <c r="C29" s="231" t="e">
        <v>#N/A</v>
      </c>
      <c r="D29" s="282"/>
      <c r="E29" s="269" t="s">
        <v>2004</v>
      </c>
      <c r="F29" s="282"/>
      <c r="G29" s="283" t="s">
        <v>2002</v>
      </c>
      <c r="H29" s="230"/>
      <c r="I29" s="230"/>
      <c r="J29" s="230"/>
      <c r="K29" s="229"/>
      <c r="L29" s="229"/>
      <c r="M29" s="229"/>
      <c r="N29" s="284"/>
      <c r="O29" s="285"/>
      <c r="P29" s="274"/>
      <c r="Q29" s="220" t="s">
        <v>64</v>
      </c>
      <c r="R29" s="131" t="s">
        <v>2041</v>
      </c>
      <c r="S29" s="228"/>
      <c r="T29" s="227"/>
      <c r="U29" s="226"/>
      <c r="V29" s="226"/>
      <c r="W29" s="226"/>
      <c r="X29" s="226"/>
      <c r="Y29" s="226" t="s">
        <v>2048</v>
      </c>
      <c r="Z29" t="e">
        <f>VLOOKUP(A29,#REF!,9,FALSE)</f>
        <v>#REF!</v>
      </c>
    </row>
    <row r="30" spans="1:26" ht="15.75" thickBot="1">
      <c r="A30" s="275" t="s">
        <v>828</v>
      </c>
      <c r="B30" s="102" t="s">
        <v>50</v>
      </c>
      <c r="C30" s="215">
        <v>45772</v>
      </c>
      <c r="D30" s="282"/>
      <c r="E30" s="269" t="s">
        <v>2004</v>
      </c>
      <c r="F30" s="282"/>
      <c r="G30" s="283" t="s">
        <v>2023</v>
      </c>
      <c r="H30" s="230"/>
      <c r="I30" s="230"/>
      <c r="J30" s="45"/>
      <c r="K30" s="204"/>
      <c r="L30" s="204"/>
      <c r="M30" s="204"/>
      <c r="N30" s="284"/>
      <c r="O30" s="285"/>
      <c r="P30" s="274"/>
      <c r="Q30" s="275" t="s">
        <v>2023</v>
      </c>
      <c r="R30" s="131" t="s">
        <v>2041</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2004</v>
      </c>
      <c r="F31" s="289"/>
      <c r="G31" s="290" t="s">
        <v>2023</v>
      </c>
      <c r="H31" s="222"/>
      <c r="I31" s="222"/>
      <c r="J31" s="236"/>
      <c r="K31" s="237"/>
      <c r="L31" s="237"/>
      <c r="M31" s="237"/>
      <c r="N31" s="222"/>
      <c r="O31" s="291"/>
      <c r="P31" s="274"/>
      <c r="Q31" s="233" t="s">
        <v>2023</v>
      </c>
      <c r="R31" s="131" t="s">
        <v>2041</v>
      </c>
      <c r="S31" s="238"/>
      <c r="T31" s="239"/>
      <c r="U31" s="240"/>
      <c r="V31" s="240"/>
      <c r="W31" s="240"/>
      <c r="X31" s="240"/>
      <c r="Y31" s="240" t="s">
        <v>2049</v>
      </c>
      <c r="Z31" t="e">
        <f>VLOOKUP(A31,#REF!,9,FALSE)</f>
        <v>#REF!</v>
      </c>
    </row>
    <row r="32" spans="1:26" ht="15.75" thickBot="1">
      <c r="A32" s="275" t="s">
        <v>832</v>
      </c>
      <c r="B32" s="102" t="s">
        <v>50</v>
      </c>
      <c r="C32" s="215">
        <v>45772</v>
      </c>
      <c r="D32" s="282"/>
      <c r="E32" s="269" t="s">
        <v>2004</v>
      </c>
      <c r="F32" s="282"/>
      <c r="G32" s="283" t="s">
        <v>2023</v>
      </c>
      <c r="H32" s="230"/>
      <c r="I32" s="230"/>
      <c r="J32" s="45"/>
      <c r="K32" s="204"/>
      <c r="L32" s="204"/>
      <c r="M32" s="204"/>
      <c r="N32" s="284"/>
      <c r="O32" s="285"/>
      <c r="P32" s="274"/>
      <c r="Q32" s="275" t="s">
        <v>2023</v>
      </c>
      <c r="R32" s="131" t="s">
        <v>2041</v>
      </c>
      <c r="S32" s="131"/>
      <c r="T32" s="276"/>
      <c r="U32" s="277"/>
      <c r="V32" s="277"/>
      <c r="W32" s="277"/>
      <c r="X32" s="277"/>
      <c r="Y32" s="277"/>
      <c r="Z32" t="e">
        <f>VLOOKUP(A32,#REF!,9,FALSE)</f>
        <v>#REF!</v>
      </c>
    </row>
    <row r="33" spans="1:26" ht="15.75" thickBot="1">
      <c r="A33" s="275" t="s">
        <v>820</v>
      </c>
      <c r="B33" s="102" t="s">
        <v>50</v>
      </c>
      <c r="C33" s="215">
        <v>45831</v>
      </c>
      <c r="D33" s="282"/>
      <c r="E33" s="269" t="s">
        <v>2004</v>
      </c>
      <c r="F33" s="282"/>
      <c r="G33" s="283" t="s">
        <v>2002</v>
      </c>
      <c r="H33" s="230"/>
      <c r="I33" s="230"/>
      <c r="J33" s="45"/>
      <c r="K33" s="204"/>
      <c r="L33" s="204"/>
      <c r="M33" s="204"/>
      <c r="N33" s="284"/>
      <c r="O33" s="285"/>
      <c r="P33" s="274"/>
      <c r="Q33" s="225" t="s">
        <v>64</v>
      </c>
      <c r="R33" s="131" t="s">
        <v>2041</v>
      </c>
      <c r="S33" s="131"/>
      <c r="T33" s="276"/>
      <c r="U33" s="277"/>
      <c r="V33" s="277"/>
      <c r="W33" s="277"/>
      <c r="X33" s="277"/>
      <c r="Y33" s="277"/>
      <c r="Z33" t="e">
        <f>VLOOKUP(A33,#REF!,9,FALSE)</f>
        <v>#REF!</v>
      </c>
    </row>
    <row r="34" spans="1:26" ht="15.75" thickBot="1">
      <c r="A34" s="275" t="s">
        <v>814</v>
      </c>
      <c r="B34" s="102" t="s">
        <v>50</v>
      </c>
      <c r="C34" s="215">
        <v>45831</v>
      </c>
      <c r="D34" s="282"/>
      <c r="E34" s="269" t="s">
        <v>2004</v>
      </c>
      <c r="F34" s="282"/>
      <c r="G34" s="283" t="s">
        <v>2002</v>
      </c>
      <c r="H34" s="230"/>
      <c r="I34" s="230"/>
      <c r="J34" s="45"/>
      <c r="K34" s="204"/>
      <c r="L34" s="204"/>
      <c r="M34" s="204"/>
      <c r="N34" s="284"/>
      <c r="O34" s="285"/>
      <c r="P34" s="274"/>
      <c r="Q34" s="275" t="s">
        <v>64</v>
      </c>
      <c r="R34" s="131" t="s">
        <v>2041</v>
      </c>
      <c r="S34" s="131"/>
      <c r="T34" s="276"/>
      <c r="U34" s="277"/>
      <c r="V34" s="277"/>
      <c r="W34" s="277"/>
      <c r="X34" s="277"/>
      <c r="Y34" s="277"/>
      <c r="Z34" t="e">
        <f>VLOOKUP(A34,#REF!,9,FALSE)</f>
        <v>#REF!</v>
      </c>
    </row>
    <row r="35" spans="1:26" ht="15.75" thickBot="1">
      <c r="A35" s="275" t="s">
        <v>816</v>
      </c>
      <c r="B35" s="102" t="s">
        <v>50</v>
      </c>
      <c r="C35" s="215">
        <v>45831</v>
      </c>
      <c r="D35" s="282"/>
      <c r="E35" s="269" t="s">
        <v>2004</v>
      </c>
      <c r="F35" s="282"/>
      <c r="G35" s="283" t="s">
        <v>2002</v>
      </c>
      <c r="H35" s="230"/>
      <c r="I35" s="230"/>
      <c r="J35" s="45"/>
      <c r="K35" s="204"/>
      <c r="L35" s="204"/>
      <c r="M35" s="204"/>
      <c r="N35" s="284"/>
      <c r="O35" s="285"/>
      <c r="P35" s="274"/>
      <c r="Q35" s="275" t="s">
        <v>64</v>
      </c>
      <c r="R35" s="131" t="s">
        <v>2041</v>
      </c>
      <c r="S35" s="131"/>
      <c r="T35" s="276"/>
      <c r="U35" s="277"/>
      <c r="V35" s="277"/>
      <c r="W35" s="277"/>
      <c r="X35" s="277"/>
      <c r="Y35" s="277"/>
      <c r="Z35" t="e">
        <f>VLOOKUP(A35,#REF!,9,FALSE)</f>
        <v>#REF!</v>
      </c>
    </row>
    <row r="36" spans="1:26" ht="15.75" thickBot="1">
      <c r="A36" s="275" t="s">
        <v>812</v>
      </c>
      <c r="B36" s="102" t="s">
        <v>50</v>
      </c>
      <c r="C36" s="215">
        <v>45772</v>
      </c>
      <c r="D36" s="282"/>
      <c r="E36" s="269" t="s">
        <v>2004</v>
      </c>
      <c r="F36" s="282"/>
      <c r="G36" s="283" t="s">
        <v>2023</v>
      </c>
      <c r="H36" s="230"/>
      <c r="I36" s="230"/>
      <c r="J36" s="45"/>
      <c r="K36" s="204"/>
      <c r="L36" s="204"/>
      <c r="M36" s="204"/>
      <c r="N36" s="284"/>
      <c r="O36" s="285"/>
      <c r="P36" s="274"/>
      <c r="Q36" s="275" t="s">
        <v>2023</v>
      </c>
      <c r="R36" s="131" t="s">
        <v>2041</v>
      </c>
      <c r="S36" s="131"/>
      <c r="T36" s="276"/>
      <c r="U36" s="277"/>
      <c r="V36" s="277"/>
      <c r="W36" s="277"/>
      <c r="X36" s="277"/>
      <c r="Y36" s="277"/>
      <c r="Z36" t="e">
        <f>VLOOKUP(A36,#REF!,9,FALSE)</f>
        <v>#REF!</v>
      </c>
    </row>
    <row r="37" spans="1:26" ht="15.75" thickBot="1">
      <c r="A37" s="275" t="s">
        <v>822</v>
      </c>
      <c r="B37" s="102" t="s">
        <v>50</v>
      </c>
      <c r="C37" s="215">
        <v>45831</v>
      </c>
      <c r="D37" s="282"/>
      <c r="E37" s="269" t="s">
        <v>2004</v>
      </c>
      <c r="F37" s="282"/>
      <c r="G37" s="283" t="s">
        <v>2002</v>
      </c>
      <c r="H37" s="230"/>
      <c r="I37" s="230"/>
      <c r="J37" s="45"/>
      <c r="K37" s="204"/>
      <c r="L37" s="204"/>
      <c r="M37" s="204"/>
      <c r="N37" s="284"/>
      <c r="O37" s="285"/>
      <c r="P37" s="274"/>
      <c r="Q37" s="275" t="s">
        <v>64</v>
      </c>
      <c r="R37" s="131" t="s">
        <v>2041</v>
      </c>
      <c r="S37" s="131"/>
      <c r="T37" s="276"/>
      <c r="U37" s="277"/>
      <c r="V37" s="277"/>
      <c r="W37" s="277"/>
      <c r="X37" s="277"/>
      <c r="Y37" s="277"/>
      <c r="Z37" t="e">
        <f>VLOOKUP(A37,#REF!,9,FALSE)</f>
        <v>#REF!</v>
      </c>
    </row>
    <row r="38" spans="1:26" ht="15.75" thickBot="1">
      <c r="A38" s="275" t="s">
        <v>826</v>
      </c>
      <c r="B38" s="102" t="s">
        <v>50</v>
      </c>
      <c r="C38" s="215">
        <v>45831</v>
      </c>
      <c r="D38" s="282"/>
      <c r="E38" s="269" t="s">
        <v>2004</v>
      </c>
      <c r="F38" s="282"/>
      <c r="G38" s="283" t="s">
        <v>2002</v>
      </c>
      <c r="H38" s="230"/>
      <c r="I38" s="230"/>
      <c r="J38" s="45"/>
      <c r="K38" s="204"/>
      <c r="L38" s="204"/>
      <c r="M38" s="204"/>
      <c r="N38" s="284"/>
      <c r="O38" s="285"/>
      <c r="P38" s="274"/>
      <c r="Q38" s="275" t="s">
        <v>64</v>
      </c>
      <c r="R38" s="131" t="s">
        <v>2041</v>
      </c>
      <c r="S38" s="131"/>
      <c r="T38" s="276"/>
      <c r="U38" s="277"/>
      <c r="V38" s="277"/>
      <c r="W38" s="277"/>
      <c r="X38" s="277"/>
      <c r="Y38" s="277"/>
      <c r="Z38" t="e">
        <f>VLOOKUP(A38,#REF!,9,FALSE)</f>
        <v>#REF!</v>
      </c>
    </row>
    <row r="39" spans="1:26" s="216" customFormat="1" ht="70.150000000000006" customHeight="1" thickBot="1">
      <c r="A39" s="220" t="s">
        <v>2024</v>
      </c>
      <c r="B39" s="224" t="e">
        <v>#N/A</v>
      </c>
      <c r="C39" s="223" t="e">
        <v>#N/A</v>
      </c>
      <c r="D39" s="289"/>
      <c r="E39" s="269" t="s">
        <v>2004</v>
      </c>
      <c r="F39" s="289"/>
      <c r="G39" s="290" t="s">
        <v>2023</v>
      </c>
      <c r="H39" s="222"/>
      <c r="I39" s="222"/>
      <c r="J39" s="222"/>
      <c r="K39" s="221"/>
      <c r="L39" s="221"/>
      <c r="M39" s="221"/>
      <c r="N39" s="222"/>
      <c r="O39" s="291"/>
      <c r="P39" s="274"/>
      <c r="Q39" s="220" t="s">
        <v>2023</v>
      </c>
      <c r="R39" s="131" t="s">
        <v>2041</v>
      </c>
      <c r="S39" s="219"/>
      <c r="T39" s="218"/>
      <c r="U39" s="217"/>
      <c r="V39" s="217"/>
      <c r="W39" s="217"/>
      <c r="X39" s="217"/>
      <c r="Y39" s="217" t="s">
        <v>2048</v>
      </c>
      <c r="Z39" t="e">
        <f>VLOOKUP(A39,#REF!,9,FALSE)</f>
        <v>#REF!</v>
      </c>
    </row>
    <row r="40" spans="1:26" ht="15.75" thickBot="1">
      <c r="A40" s="275" t="s">
        <v>830</v>
      </c>
      <c r="B40" s="102" t="s">
        <v>50</v>
      </c>
      <c r="C40" s="215">
        <v>45831</v>
      </c>
      <c r="D40" s="282"/>
      <c r="E40" s="269" t="s">
        <v>2004</v>
      </c>
      <c r="F40" s="282"/>
      <c r="G40" s="283" t="s">
        <v>2002</v>
      </c>
      <c r="H40" s="230"/>
      <c r="I40" s="230"/>
      <c r="J40" s="45"/>
      <c r="K40" s="204"/>
      <c r="L40" s="204"/>
      <c r="M40" s="204"/>
      <c r="N40" s="284"/>
      <c r="O40" s="285"/>
      <c r="P40" s="274"/>
      <c r="Q40" s="275" t="s">
        <v>64</v>
      </c>
      <c r="R40" s="131" t="s">
        <v>2041</v>
      </c>
      <c r="S40" s="131"/>
      <c r="T40" s="276"/>
      <c r="U40" s="277"/>
      <c r="V40" s="277"/>
      <c r="W40" s="277"/>
      <c r="X40" s="277"/>
      <c r="Y40" s="277"/>
      <c r="Z40" t="e">
        <f>VLOOKUP(A40,#REF!,9,FALSE)</f>
        <v>#REF!</v>
      </c>
    </row>
    <row r="41" spans="1:26" ht="15.75" thickBot="1">
      <c r="A41" s="275" t="s">
        <v>87</v>
      </c>
      <c r="B41" s="102" t="s">
        <v>50</v>
      </c>
      <c r="C41" s="215">
        <v>45807</v>
      </c>
      <c r="D41" s="282"/>
      <c r="E41" s="269" t="s">
        <v>2039</v>
      </c>
      <c r="F41" s="282"/>
      <c r="G41" s="283" t="s">
        <v>2002</v>
      </c>
      <c r="H41" s="230"/>
      <c r="I41" s="230"/>
      <c r="J41" s="45"/>
      <c r="K41" s="204"/>
      <c r="L41" s="204"/>
      <c r="M41" s="204"/>
      <c r="N41" s="284"/>
      <c r="O41" s="285"/>
      <c r="P41" s="274" t="s">
        <v>2040</v>
      </c>
      <c r="Q41" s="275" t="s">
        <v>58</v>
      </c>
      <c r="R41" s="131" t="s">
        <v>2041</v>
      </c>
      <c r="S41" s="131"/>
      <c r="T41" s="276"/>
      <c r="U41" s="277"/>
      <c r="V41" s="277"/>
      <c r="W41" s="277"/>
      <c r="X41" s="277"/>
      <c r="Y41" s="277"/>
      <c r="Z41" t="e">
        <f>VLOOKUP(A41,#REF!,9,FALSE)</f>
        <v>#REF!</v>
      </c>
    </row>
    <row r="42" spans="1:26" ht="15.75" thickBot="1">
      <c r="A42" s="275" t="s">
        <v>85</v>
      </c>
      <c r="B42" s="102" t="s">
        <v>50</v>
      </c>
      <c r="C42" s="215">
        <v>45807</v>
      </c>
      <c r="D42" s="282"/>
      <c r="E42" s="269" t="s">
        <v>2039</v>
      </c>
      <c r="F42" s="282"/>
      <c r="G42" s="283" t="s">
        <v>2002</v>
      </c>
      <c r="H42" s="230"/>
      <c r="I42" s="230"/>
      <c r="J42" s="45"/>
      <c r="K42" s="204"/>
      <c r="L42" s="204"/>
      <c r="M42" s="204"/>
      <c r="N42" s="284"/>
      <c r="O42" s="285"/>
      <c r="P42" s="274" t="s">
        <v>2040</v>
      </c>
      <c r="Q42" s="275" t="s">
        <v>64</v>
      </c>
      <c r="R42" s="131" t="s">
        <v>2041</v>
      </c>
      <c r="S42" s="131"/>
      <c r="T42" s="276"/>
      <c r="U42" s="277"/>
      <c r="V42" s="277"/>
      <c r="W42" s="277"/>
      <c r="X42" s="277"/>
      <c r="Y42" s="277"/>
      <c r="Z42" t="e">
        <f>VLOOKUP(A42,#REF!,9,FALSE)</f>
        <v>#REF!</v>
      </c>
    </row>
    <row r="43" spans="1:26" ht="15.75" thickBot="1">
      <c r="A43" s="275" t="s">
        <v>518</v>
      </c>
      <c r="B43" s="102" t="s">
        <v>50</v>
      </c>
      <c r="C43" s="215">
        <v>45807</v>
      </c>
      <c r="D43" s="282"/>
      <c r="E43" s="269" t="s">
        <v>2039</v>
      </c>
      <c r="F43" s="282"/>
      <c r="G43" s="283" t="s">
        <v>2002</v>
      </c>
      <c r="H43" s="230"/>
      <c r="I43" s="230"/>
      <c r="J43" s="45"/>
      <c r="K43" s="204"/>
      <c r="L43" s="204"/>
      <c r="M43" s="204"/>
      <c r="N43" s="284"/>
      <c r="O43" s="285"/>
      <c r="P43" s="274" t="s">
        <v>2040</v>
      </c>
      <c r="Q43" s="275" t="s">
        <v>58</v>
      </c>
      <c r="R43" s="131" t="s">
        <v>2041</v>
      </c>
      <c r="S43" s="131"/>
      <c r="T43" s="276"/>
      <c r="U43" s="277"/>
      <c r="V43" s="277"/>
      <c r="W43" s="277"/>
      <c r="X43" s="277"/>
      <c r="Y43" s="277"/>
      <c r="Z43" t="e">
        <f>VLOOKUP(A43,#REF!,9,FALSE)</f>
        <v>#REF!</v>
      </c>
    </row>
    <row r="44" spans="1:26" ht="15.75" thickBot="1">
      <c r="A44" s="275" t="s">
        <v>82</v>
      </c>
      <c r="B44" s="102" t="s">
        <v>50</v>
      </c>
      <c r="C44" s="215">
        <v>45807</v>
      </c>
      <c r="D44" s="282"/>
      <c r="E44" s="269" t="s">
        <v>2039</v>
      </c>
      <c r="F44" s="282"/>
      <c r="G44" s="283" t="s">
        <v>2002</v>
      </c>
      <c r="H44" s="230"/>
      <c r="I44" s="230"/>
      <c r="J44" s="45"/>
      <c r="K44" s="204"/>
      <c r="L44" s="204"/>
      <c r="M44" s="204"/>
      <c r="N44" s="284"/>
      <c r="O44" s="285"/>
      <c r="P44" s="274" t="s">
        <v>2010</v>
      </c>
      <c r="Q44" s="275" t="s">
        <v>64</v>
      </c>
      <c r="R44" s="131" t="s">
        <v>2041</v>
      </c>
      <c r="S44" s="131"/>
      <c r="T44" s="276"/>
      <c r="U44" s="277"/>
      <c r="V44" s="277"/>
      <c r="W44" s="277"/>
      <c r="X44" s="277"/>
      <c r="Y44" s="277"/>
      <c r="Z44" t="e">
        <f>VLOOKUP(A44,#REF!,9,FALSE)</f>
        <v>#REF!</v>
      </c>
    </row>
    <row r="45" spans="1:26" ht="15.75" thickBot="1">
      <c r="A45" s="335" t="s">
        <v>635</v>
      </c>
      <c r="B45" s="102" t="s">
        <v>50</v>
      </c>
      <c r="C45" s="215">
        <v>45807</v>
      </c>
      <c r="D45" s="282"/>
      <c r="E45" s="269" t="s">
        <v>2004</v>
      </c>
      <c r="F45" s="282"/>
      <c r="G45" s="283" t="s">
        <v>2002</v>
      </c>
      <c r="H45" s="230"/>
      <c r="I45" s="230"/>
      <c r="J45" s="45"/>
      <c r="K45" s="204"/>
      <c r="L45" s="204"/>
      <c r="M45" s="204"/>
      <c r="N45" s="284"/>
      <c r="O45" s="285"/>
      <c r="P45" s="274"/>
      <c r="Q45" s="275" t="s">
        <v>58</v>
      </c>
      <c r="R45" s="131" t="s">
        <v>2041</v>
      </c>
      <c r="S45" s="131"/>
      <c r="T45" s="276"/>
      <c r="U45" s="277"/>
      <c r="V45" s="277"/>
      <c r="W45" s="277"/>
      <c r="X45" s="277"/>
      <c r="Y45" s="277"/>
      <c r="Z45" t="e">
        <f>VLOOKUP(A45,#REF!,9,FALSE)</f>
        <v>#REF!</v>
      </c>
    </row>
    <row r="46" spans="1:26" ht="15.75" thickBot="1">
      <c r="A46" s="292" t="s">
        <v>637</v>
      </c>
      <c r="B46" s="102" t="s">
        <v>50</v>
      </c>
      <c r="C46" s="215">
        <v>45807</v>
      </c>
      <c r="D46" s="282"/>
      <c r="E46" s="269" t="s">
        <v>2004</v>
      </c>
      <c r="F46" s="282"/>
      <c r="G46" s="290" t="s">
        <v>2002</v>
      </c>
      <c r="H46" s="230"/>
      <c r="I46" s="230"/>
      <c r="J46" s="45"/>
      <c r="K46" s="204"/>
      <c r="L46" s="204"/>
      <c r="M46" s="204"/>
      <c r="N46" s="284"/>
      <c r="O46" s="285"/>
      <c r="P46" s="274"/>
      <c r="Q46" s="275" t="s">
        <v>58</v>
      </c>
      <c r="R46" s="131" t="s">
        <v>2041</v>
      </c>
      <c r="S46" s="131"/>
      <c r="T46" s="276"/>
      <c r="U46" s="277"/>
      <c r="V46" s="277"/>
      <c r="W46" s="277"/>
      <c r="X46" s="277"/>
      <c r="Y46" s="277"/>
      <c r="Z46" t="e">
        <f>VLOOKUP(A46,#REF!,9,FALSE)</f>
        <v>#REF!</v>
      </c>
    </row>
    <row r="47" spans="1:26" ht="15.75" thickBot="1">
      <c r="A47" s="293" t="s">
        <v>195</v>
      </c>
      <c r="B47" s="102" t="s">
        <v>50</v>
      </c>
      <c r="C47" s="215">
        <v>45807</v>
      </c>
      <c r="D47" s="282"/>
      <c r="E47" s="269" t="s">
        <v>2004</v>
      </c>
      <c r="F47" s="282"/>
      <c r="G47" s="283" t="s">
        <v>2002</v>
      </c>
      <c r="H47" s="230"/>
      <c r="I47" s="230"/>
      <c r="J47" s="45"/>
      <c r="K47" s="204"/>
      <c r="L47" s="204"/>
      <c r="M47" s="204"/>
      <c r="N47" s="284"/>
      <c r="O47" s="285"/>
      <c r="P47" s="274" t="s">
        <v>2013</v>
      </c>
      <c r="Q47" s="275" t="s">
        <v>58</v>
      </c>
      <c r="R47" s="131" t="s">
        <v>2044</v>
      </c>
      <c r="S47" s="131"/>
      <c r="T47" s="276"/>
      <c r="U47" s="277"/>
      <c r="V47" s="277"/>
      <c r="W47" s="277"/>
      <c r="X47" s="277"/>
      <c r="Y47" s="277"/>
      <c r="Z47" t="e">
        <f>VLOOKUP(A47,#REF!,9,FALSE)</f>
        <v>#REF!</v>
      </c>
    </row>
    <row r="48" spans="1:26" ht="15.75" thickBot="1">
      <c r="A48" s="292" t="s">
        <v>686</v>
      </c>
      <c r="B48" s="102" t="s">
        <v>50</v>
      </c>
      <c r="C48" s="215">
        <v>45807</v>
      </c>
      <c r="D48" s="282"/>
      <c r="E48" s="269" t="s">
        <v>2004</v>
      </c>
      <c r="F48" s="282"/>
      <c r="G48" s="290" t="s">
        <v>2023</v>
      </c>
      <c r="H48" s="230"/>
      <c r="I48" s="230"/>
      <c r="J48" s="45"/>
      <c r="K48" s="204"/>
      <c r="L48" s="204"/>
      <c r="M48" s="204"/>
      <c r="N48" s="284"/>
      <c r="O48" s="285"/>
      <c r="P48" s="274" t="s">
        <v>2050</v>
      </c>
      <c r="Q48" s="275" t="s">
        <v>2023</v>
      </c>
      <c r="R48" s="131" t="s">
        <v>2041</v>
      </c>
      <c r="S48" s="131"/>
      <c r="T48" s="276"/>
      <c r="U48" s="277"/>
      <c r="V48" s="277"/>
      <c r="W48" s="277"/>
      <c r="X48" s="277"/>
      <c r="Y48" s="277"/>
      <c r="Z48" t="e">
        <f>VLOOKUP(A48,#REF!,9,FALSE)</f>
        <v>#REF!</v>
      </c>
    </row>
    <row r="49" spans="1:26" ht="15.75" thickBot="1">
      <c r="A49" s="292" t="s">
        <v>680</v>
      </c>
      <c r="B49" s="102" t="s">
        <v>117</v>
      </c>
      <c r="C49" s="215">
        <v>45772</v>
      </c>
      <c r="D49" s="282"/>
      <c r="E49" s="269" t="s">
        <v>2004</v>
      </c>
      <c r="F49" s="282"/>
      <c r="G49" s="290" t="s">
        <v>2023</v>
      </c>
      <c r="H49" s="230"/>
      <c r="I49" s="230"/>
      <c r="J49" s="45"/>
      <c r="K49" s="204"/>
      <c r="L49" s="204"/>
      <c r="M49" s="204"/>
      <c r="N49" s="284"/>
      <c r="O49" s="285"/>
      <c r="P49" s="274" t="s">
        <v>2050</v>
      </c>
      <c r="Q49" s="275" t="s">
        <v>2023</v>
      </c>
      <c r="R49" s="131" t="s">
        <v>2041</v>
      </c>
      <c r="S49" s="131"/>
      <c r="T49" s="276"/>
      <c r="U49" s="277"/>
      <c r="V49" s="277"/>
      <c r="W49" s="277"/>
      <c r="X49" s="277"/>
      <c r="Y49" s="277"/>
      <c r="Z49" t="e">
        <f>VLOOKUP(A49,#REF!,9,FALSE)</f>
        <v>#REF!</v>
      </c>
    </row>
    <row r="50" spans="1:26" ht="15.75" thickBot="1">
      <c r="A50" s="292" t="s">
        <v>678</v>
      </c>
      <c r="B50" s="102" t="s">
        <v>117</v>
      </c>
      <c r="C50" s="215">
        <v>45772</v>
      </c>
      <c r="D50" s="282"/>
      <c r="E50" s="269" t="s">
        <v>2004</v>
      </c>
      <c r="F50" s="282"/>
      <c r="G50" s="290" t="s">
        <v>2023</v>
      </c>
      <c r="H50" s="230"/>
      <c r="I50" s="230"/>
      <c r="J50" s="45"/>
      <c r="K50" s="204"/>
      <c r="L50" s="204"/>
      <c r="M50" s="204"/>
      <c r="N50" s="284"/>
      <c r="O50" s="285"/>
      <c r="P50" s="274" t="s">
        <v>2050</v>
      </c>
      <c r="Q50" s="275" t="s">
        <v>2023</v>
      </c>
      <c r="R50" s="131" t="s">
        <v>2041</v>
      </c>
      <c r="S50" s="131"/>
      <c r="T50" s="276"/>
      <c r="U50" s="277"/>
      <c r="V50" s="277"/>
      <c r="W50" s="277"/>
      <c r="X50" s="277"/>
      <c r="Y50" s="277"/>
      <c r="Z50" t="e">
        <f>VLOOKUP(A50,#REF!,9,FALSE)</f>
        <v>#REF!</v>
      </c>
    </row>
    <row r="51" spans="1:26" ht="15.75" thickBot="1">
      <c r="A51" s="292" t="s">
        <v>684</v>
      </c>
      <c r="B51" s="102" t="e">
        <v>#N/A</v>
      </c>
      <c r="C51" s="215" t="e">
        <v>#N/A</v>
      </c>
      <c r="D51" s="282"/>
      <c r="E51" s="269" t="s">
        <v>2004</v>
      </c>
      <c r="F51" s="282"/>
      <c r="G51" s="290" t="s">
        <v>2023</v>
      </c>
      <c r="H51" s="230"/>
      <c r="I51" s="230"/>
      <c r="J51" s="45"/>
      <c r="K51" s="204"/>
      <c r="L51" s="204"/>
      <c r="M51" s="204"/>
      <c r="N51" s="284"/>
      <c r="O51" s="285"/>
      <c r="P51" s="274" t="s">
        <v>2050</v>
      </c>
      <c r="Q51" s="275" t="s">
        <v>2023</v>
      </c>
      <c r="R51" s="131" t="s">
        <v>2041</v>
      </c>
      <c r="S51" s="131"/>
      <c r="T51" s="276"/>
      <c r="U51" s="277"/>
      <c r="V51" s="277"/>
      <c r="W51" s="277"/>
      <c r="X51" s="277"/>
      <c r="Y51" s="277"/>
      <c r="Z51" t="e">
        <f>VLOOKUP(A51,#REF!,9,FALSE)</f>
        <v>#REF!</v>
      </c>
    </row>
    <row r="52" spans="1:26" ht="13.9" customHeight="1" thickBot="1">
      <c r="A52" s="292" t="s">
        <v>660</v>
      </c>
      <c r="B52" s="102" t="s">
        <v>117</v>
      </c>
      <c r="C52" s="215">
        <v>45925</v>
      </c>
      <c r="D52" s="282"/>
      <c r="E52" s="269" t="s">
        <v>2039</v>
      </c>
      <c r="F52" s="282"/>
      <c r="G52" s="283" t="s">
        <v>2002</v>
      </c>
      <c r="H52" s="230"/>
      <c r="I52" s="230"/>
      <c r="J52" s="45"/>
      <c r="K52" s="204"/>
      <c r="L52" s="204"/>
      <c r="M52" s="204"/>
      <c r="N52" s="284"/>
      <c r="O52" s="285"/>
      <c r="P52" s="274" t="s">
        <v>2040</v>
      </c>
      <c r="Q52" s="275" t="s">
        <v>64</v>
      </c>
      <c r="R52" s="131" t="s">
        <v>2041</v>
      </c>
      <c r="S52" s="131"/>
      <c r="T52" s="276"/>
      <c r="U52" s="277"/>
      <c r="V52" s="277"/>
      <c r="W52" s="277"/>
      <c r="X52" s="277"/>
      <c r="Y52" s="277"/>
      <c r="Z52" t="e">
        <f>VLOOKUP(A52,#REF!,9,FALSE)</f>
        <v>#REF!</v>
      </c>
    </row>
    <row r="53" spans="1:26" ht="15.75" thickBot="1">
      <c r="A53" s="292" t="s">
        <v>662</v>
      </c>
      <c r="B53" s="102" t="s">
        <v>117</v>
      </c>
      <c r="C53" s="215">
        <v>45925</v>
      </c>
      <c r="D53" s="282"/>
      <c r="E53" s="269" t="s">
        <v>2039</v>
      </c>
      <c r="F53" s="282"/>
      <c r="G53" s="283" t="s">
        <v>2002</v>
      </c>
      <c r="H53" s="230"/>
      <c r="I53" s="230"/>
      <c r="J53" s="45"/>
      <c r="K53" s="204"/>
      <c r="L53" s="204"/>
      <c r="M53" s="204"/>
      <c r="N53" s="284"/>
      <c r="O53" s="285"/>
      <c r="P53" s="274" t="s">
        <v>2040</v>
      </c>
      <c r="Q53" s="275" t="s">
        <v>64</v>
      </c>
      <c r="R53" s="131" t="s">
        <v>2041</v>
      </c>
      <c r="S53" s="131"/>
      <c r="T53" s="276"/>
      <c r="U53" s="277"/>
      <c r="V53" s="277"/>
      <c r="W53" s="277"/>
      <c r="X53" s="277"/>
      <c r="Y53" s="277"/>
      <c r="Z53" t="e">
        <f>VLOOKUP(A53,#REF!,9,FALSE)</f>
        <v>#REF!</v>
      </c>
    </row>
    <row r="54" spans="1:26" ht="15.75" thickBot="1">
      <c r="A54" s="292" t="s">
        <v>658</v>
      </c>
      <c r="B54" s="102" t="s">
        <v>117</v>
      </c>
      <c r="C54" s="215">
        <v>45925</v>
      </c>
      <c r="D54" s="282"/>
      <c r="E54" s="269" t="s">
        <v>2039</v>
      </c>
      <c r="F54" s="282"/>
      <c r="G54" s="283" t="s">
        <v>2002</v>
      </c>
      <c r="H54" s="230"/>
      <c r="I54" s="230"/>
      <c r="J54" s="45"/>
      <c r="K54" s="204"/>
      <c r="L54" s="204"/>
      <c r="M54" s="204"/>
      <c r="N54" s="284"/>
      <c r="O54" s="285"/>
      <c r="P54" s="274" t="s">
        <v>2040</v>
      </c>
      <c r="Q54" s="275" t="s">
        <v>64</v>
      </c>
      <c r="R54" s="131" t="s">
        <v>2041</v>
      </c>
      <c r="S54" s="131"/>
      <c r="T54" s="276"/>
      <c r="U54" s="277"/>
      <c r="V54" s="277"/>
      <c r="W54" s="277"/>
      <c r="X54" s="277"/>
      <c r="Y54" s="277"/>
      <c r="Z54" t="e">
        <f>VLOOKUP(A54,#REF!,9,FALSE)</f>
        <v>#REF!</v>
      </c>
    </row>
    <row r="55" spans="1:26" ht="15.75" thickBot="1">
      <c r="A55" s="292" t="s">
        <v>708</v>
      </c>
      <c r="B55" s="102" t="s">
        <v>117</v>
      </c>
      <c r="C55" s="215">
        <v>45862</v>
      </c>
      <c r="D55" s="282"/>
      <c r="E55" s="269" t="s">
        <v>2039</v>
      </c>
      <c r="F55" s="282"/>
      <c r="G55" s="283" t="s">
        <v>2002</v>
      </c>
      <c r="H55" s="230"/>
      <c r="I55" s="230"/>
      <c r="J55" s="45"/>
      <c r="K55" s="204"/>
      <c r="L55" s="204"/>
      <c r="M55" s="204"/>
      <c r="N55" s="284"/>
      <c r="O55" s="285"/>
      <c r="P55" s="274" t="s">
        <v>2013</v>
      </c>
      <c r="Q55" s="275" t="s">
        <v>58</v>
      </c>
      <c r="R55" s="131" t="s">
        <v>2044</v>
      </c>
      <c r="S55" s="131"/>
      <c r="T55" s="276"/>
      <c r="U55" s="277"/>
      <c r="V55" s="277"/>
      <c r="W55" s="277"/>
      <c r="X55" s="277"/>
      <c r="Y55" s="277"/>
      <c r="Z55" t="e">
        <f>VLOOKUP(A55,#REF!,9,FALSE)</f>
        <v>#REF!</v>
      </c>
    </row>
    <row r="56" spans="1:26" ht="15.75" thickBot="1">
      <c r="A56" s="292" t="s">
        <v>134</v>
      </c>
      <c r="B56" s="102"/>
      <c r="C56" s="215" t="e">
        <v>#N/A</v>
      </c>
      <c r="D56" s="282"/>
      <c r="E56" s="269" t="s">
        <v>2039</v>
      </c>
      <c r="F56" s="282"/>
      <c r="G56" s="283" t="s">
        <v>2002</v>
      </c>
      <c r="H56" s="230"/>
      <c r="I56" s="230"/>
      <c r="J56" s="45"/>
      <c r="K56" s="204"/>
      <c r="L56" s="204"/>
      <c r="M56" s="204"/>
      <c r="N56" s="284"/>
      <c r="O56" s="285"/>
      <c r="P56" s="274" t="s">
        <v>2051</v>
      </c>
      <c r="Q56" s="275" t="s">
        <v>58</v>
      </c>
      <c r="R56" s="131" t="s">
        <v>2044</v>
      </c>
      <c r="S56" s="131"/>
      <c r="T56" s="276"/>
      <c r="U56" s="277"/>
      <c r="V56" s="277"/>
      <c r="W56" s="277"/>
      <c r="X56" s="277"/>
      <c r="Y56" s="277"/>
      <c r="Z56" t="e">
        <f>VLOOKUP(A56,#REF!,9,FALSE)</f>
        <v>#REF!</v>
      </c>
    </row>
    <row r="57" spans="1:26" ht="15.75" thickBot="1">
      <c r="A57" s="162" t="s">
        <v>2052</v>
      </c>
      <c r="B57" s="102" t="s">
        <v>117</v>
      </c>
      <c r="C57" s="294">
        <v>45787</v>
      </c>
      <c r="D57" s="282"/>
      <c r="E57" s="269" t="s">
        <v>2039</v>
      </c>
      <c r="F57" s="282"/>
      <c r="G57" s="283" t="s">
        <v>2002</v>
      </c>
      <c r="H57" s="230"/>
      <c r="I57" s="230"/>
      <c r="J57" s="45"/>
      <c r="K57" s="204"/>
      <c r="L57" s="204"/>
      <c r="M57" s="204"/>
      <c r="N57" s="284"/>
      <c r="O57" s="285"/>
      <c r="P57" s="274" t="s">
        <v>2013</v>
      </c>
      <c r="Q57" s="275" t="s">
        <v>2053</v>
      </c>
      <c r="R57" s="131" t="s">
        <v>2044</v>
      </c>
      <c r="S57" s="131"/>
      <c r="T57" s="276"/>
      <c r="U57" s="277"/>
      <c r="V57" s="277"/>
      <c r="W57" s="277"/>
      <c r="X57" s="277"/>
      <c r="Y57" s="277"/>
      <c r="Z57" t="e">
        <f>VLOOKUP(A57,#REF!,9,FALSE)</f>
        <v>#REF!</v>
      </c>
    </row>
    <row r="58" spans="1:26" ht="15.75" thickBot="1">
      <c r="A58" s="623" t="s">
        <v>658</v>
      </c>
      <c r="B58" s="102" t="s">
        <v>50</v>
      </c>
      <c r="C58" s="296">
        <v>45807</v>
      </c>
      <c r="D58" s="282"/>
      <c r="E58" s="269" t="s">
        <v>2004</v>
      </c>
      <c r="F58" s="282"/>
      <c r="G58" s="283" t="s">
        <v>2002</v>
      </c>
      <c r="H58" s="230"/>
      <c r="I58" s="230"/>
      <c r="J58" s="45"/>
      <c r="K58" s="204"/>
      <c r="L58" s="204"/>
      <c r="M58" s="204"/>
      <c r="N58" s="284"/>
      <c r="O58" s="285"/>
      <c r="P58" s="287"/>
      <c r="Q58" s="275" t="s">
        <v>64</v>
      </c>
      <c r="R58" s="131" t="s">
        <v>2041</v>
      </c>
      <c r="S58" s="131"/>
      <c r="T58" s="276"/>
      <c r="U58" s="277"/>
      <c r="V58" s="277"/>
      <c r="W58" s="277"/>
      <c r="X58" s="277"/>
      <c r="Y58" s="277"/>
    </row>
    <row r="59" spans="1:26" ht="15.75" thickBot="1">
      <c r="A59" s="623" t="s">
        <v>660</v>
      </c>
      <c r="B59" s="102" t="s">
        <v>117</v>
      </c>
      <c r="C59" s="296">
        <v>45772</v>
      </c>
      <c r="D59" s="282"/>
      <c r="E59" s="269" t="s">
        <v>2004</v>
      </c>
      <c r="F59" s="282"/>
      <c r="G59" s="283" t="s">
        <v>2002</v>
      </c>
      <c r="H59" s="230"/>
      <c r="I59" s="230"/>
      <c r="J59" s="45"/>
      <c r="K59" s="204"/>
      <c r="L59" s="204"/>
      <c r="M59" s="204"/>
      <c r="N59" s="284"/>
      <c r="O59" s="285"/>
      <c r="P59" s="287"/>
      <c r="Q59" s="275" t="s">
        <v>64</v>
      </c>
      <c r="R59" s="131" t="s">
        <v>2041</v>
      </c>
      <c r="S59" s="131"/>
      <c r="T59" s="276"/>
      <c r="U59" s="277"/>
      <c r="V59" s="277"/>
      <c r="W59" s="277"/>
      <c r="X59" s="277"/>
      <c r="Y59" s="277"/>
    </row>
    <row r="60" spans="1:26" ht="15.75" thickBot="1">
      <c r="A60" s="624" t="s">
        <v>662</v>
      </c>
      <c r="B60" s="102" t="s">
        <v>117</v>
      </c>
      <c r="C60" s="296">
        <v>45772</v>
      </c>
      <c r="D60" s="282"/>
      <c r="E60" s="269" t="s">
        <v>2004</v>
      </c>
      <c r="F60" s="282"/>
      <c r="G60" s="283" t="s">
        <v>2002</v>
      </c>
      <c r="H60" s="230"/>
      <c r="I60" s="230"/>
      <c r="J60" s="45"/>
      <c r="K60" s="204"/>
      <c r="L60" s="204"/>
      <c r="M60" s="204"/>
      <c r="N60" s="284"/>
      <c r="O60" s="285"/>
      <c r="P60" s="287"/>
      <c r="Q60" s="275" t="s">
        <v>64</v>
      </c>
      <c r="R60" s="131" t="s">
        <v>2041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2033</v>
      </c>
      <c r="B70" s="301">
        <f>SUM(K4:K9)</f>
        <v>0</v>
      </c>
      <c r="C70" s="302" t="e">
        <f>B70/B73</f>
        <v>#DIV/0!</v>
      </c>
    </row>
    <row r="71" spans="1:25">
      <c r="A71" s="300" t="s">
        <v>1989</v>
      </c>
      <c r="B71" s="301">
        <f>SUM(L4:L9)</f>
        <v>0</v>
      </c>
      <c r="C71" s="302" t="e">
        <f>B71/B73</f>
        <v>#DIV/0!</v>
      </c>
    </row>
    <row r="72" spans="1:25">
      <c r="A72" s="300" t="s">
        <v>2034</v>
      </c>
      <c r="B72" s="301">
        <f>SUM(M4:M9)</f>
        <v>0</v>
      </c>
      <c r="C72" s="302" t="e">
        <f>B72/B73</f>
        <v>#DIV/0!</v>
      </c>
    </row>
    <row r="73" spans="1:25">
      <c r="A73" s="300" t="s">
        <v>1020</v>
      </c>
      <c r="B73" s="301">
        <f>SUM(B70:B72)</f>
        <v>0</v>
      </c>
      <c r="C73" s="279"/>
    </row>
    <row r="80" spans="1:25">
      <c r="A80" t="s">
        <v>2054</v>
      </c>
    </row>
    <row r="81" spans="1:1">
      <c r="A81" t="s">
        <v>2055</v>
      </c>
    </row>
    <row r="82" spans="1:1">
      <c r="A82" t="s">
        <v>2040</v>
      </c>
    </row>
    <row r="83" spans="1:1">
      <c r="A83" t="s">
        <v>2056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2E27BF1-BC88-454A-8B99-837E7CA968F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2025-12-15T23:22:29Z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