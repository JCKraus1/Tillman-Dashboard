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61" documentId="8_{E14B221E-02E2-46A3-8CEC-C736815F2DD5}" xr6:coauthVersionLast="47" xr6:coauthVersionMax="47" xr10:uidLastSave="{DBE0152B-B4FB-48EA-AFB0-0CA4B6789328}"/>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443" r:id="rId12"/>
    <pivotCache cacheId="3444" r:id="rId13"/>
    <pivotCache cacheId="3445" r:id="rId14"/>
    <pivotCache cacheId="3446" r:id="rId15"/>
    <pivotCache cacheId="34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<sst xmlns="http://schemas.openxmlformats.org/spreadsheetml/2006/main" count="16661" uniqueCount="2150">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</sst>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P1" activePane="topRight" state="frozen"/>
      <selection pane="topRight" activeCell="R108" sqref="R10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19" activePane="topRight" state="frozen"/>
      <selection pane="topRight" activeCell="A26" sqref="A26:XFD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2"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926" t="s">
        <v>411</v>
      </c>
      <c r="B23" s="465" t="s">
        <v>107</v>
      </c>
      <c r="C23" s="476">
        <v>45976</v>
      </c>
      <c r="D23" s="467" t="s">
        <v>127</v>
      </c>
      <c r="E23" s="467">
        <v>45959</v>
      </c>
      <c r="F23" s="465" t="s">
        <v>412</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413</v>
      </c>
    </row>
    <row r="24" spans="1:30" ht="39.75" customHeight="1">
      <c r="A24" s="926" t="s">
        <v>414</v>
      </c>
      <c r="B24" s="465" t="s">
        <v>107</v>
      </c>
      <c r="C24" s="467">
        <v>45991</v>
      </c>
      <c r="D24" s="467" t="s">
        <v>127</v>
      </c>
      <c r="E24" s="467">
        <v>45966</v>
      </c>
      <c r="F24" s="465" t="s">
        <v>108</v>
      </c>
      <c r="G24" s="682" t="s">
        <v>415</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416</v>
      </c>
    </row>
    <row r="25" spans="1:30" ht="39.75" customHeight="1">
      <c r="A25" s="926" t="s">
        <v>417</v>
      </c>
      <c r="B25" s="465" t="s">
        <v>107</v>
      </c>
      <c r="C25" s="467">
        <v>46001</v>
      </c>
      <c r="D25" s="467" t="s">
        <v>127</v>
      </c>
      <c r="E25" s="467">
        <v>45966</v>
      </c>
      <c r="F25" s="465" t="s">
        <v>108</v>
      </c>
      <c r="G25" s="682" t="s">
        <v>418</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419</v>
      </c>
    </row>
    <row r="26" spans="1:30" ht="39.75" customHeight="1">
      <c r="A26" s="926" t="s">
        <v>420</v>
      </c>
      <c r="B26" s="465" t="s">
        <v>107</v>
      </c>
      <c r="C26" s="467">
        <v>45975</v>
      </c>
      <c r="D26" s="467" t="s">
        <v>421</v>
      </c>
      <c r="E26" s="467">
        <v>45982</v>
      </c>
      <c r="F26" s="642" t="s">
        <v>108</v>
      </c>
      <c r="G26" s="682" t="s">
        <v>422</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423</v>
      </c>
    </row>
    <row r="27" spans="1:30" ht="39.75" customHeight="1">
      <c r="A27" s="926" t="s">
        <v>424</v>
      </c>
      <c r="B27" s="465" t="s">
        <v>107</v>
      </c>
      <c r="C27" s="488">
        <v>45838</v>
      </c>
      <c r="D27" s="488" t="s">
        <v>127</v>
      </c>
      <c r="E27" s="476">
        <v>45786</v>
      </c>
      <c r="F27" s="488" t="s">
        <v>158</v>
      </c>
      <c r="G27" s="937" t="s">
        <v>425</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426</v>
      </c>
    </row>
    <row r="28" spans="1:30" ht="39.75" customHeight="1">
      <c r="A28" s="926" t="s">
        <v>427</v>
      </c>
      <c r="B28" s="465" t="s">
        <v>107</v>
      </c>
      <c r="C28" s="467">
        <v>46021</v>
      </c>
      <c r="D28" s="465" t="s">
        <v>51</v>
      </c>
      <c r="E28" s="467" t="s">
        <v>52</v>
      </c>
      <c r="F28" s="465" t="s">
        <v>140</v>
      </c>
      <c r="G28" s="468" t="s">
        <v>428</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429</v>
      </c>
    </row>
    <row r="29" spans="1:30" ht="39.75" customHeight="1">
      <c r="A29" s="926" t="s">
        <v>430</v>
      </c>
      <c r="B29" s="681" t="s">
        <v>107</v>
      </c>
      <c r="C29" s="476">
        <v>45991</v>
      </c>
      <c r="D29" s="465" t="s">
        <v>431</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432</v>
      </c>
    </row>
    <row r="30" spans="1:30" ht="39.75" customHeight="1">
      <c r="A30" s="926" t="s">
        <v>433</v>
      </c>
      <c r="B30" s="465" t="s">
        <v>107</v>
      </c>
      <c r="C30" s="476">
        <v>45960</v>
      </c>
      <c r="D30" s="467" t="s">
        <v>434</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435</v>
      </c>
    </row>
    <row r="31" spans="1:30" ht="39.75" customHeight="1">
      <c r="A31" s="1277" t="s">
        <v>436</v>
      </c>
      <c r="B31" s="681" t="s">
        <v>107</v>
      </c>
      <c r="C31" s="1204">
        <v>46020</v>
      </c>
      <c r="D31" s="1204" t="s">
        <v>437</v>
      </c>
      <c r="E31" s="1204">
        <v>45978</v>
      </c>
      <c r="F31" s="1205" t="s">
        <v>140</v>
      </c>
      <c r="G31" s="1205" t="s">
        <v>438</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439</v>
      </c>
    </row>
    <row r="32" spans="1:30" ht="39.75" customHeight="1">
      <c r="A32" s="926" t="s">
        <v>440</v>
      </c>
      <c r="B32" s="465" t="s">
        <v>107</v>
      </c>
      <c r="C32" s="467">
        <v>46017</v>
      </c>
      <c r="D32" s="467" t="s">
        <v>437</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441</v>
      </c>
    </row>
    <row r="33" spans="1:30" ht="39.75" customHeight="1">
      <c r="A33" s="1149" t="s">
        <v>442</v>
      </c>
      <c r="B33" s="1150" t="s">
        <v>308</v>
      </c>
      <c r="C33" s="375">
        <v>46019</v>
      </c>
      <c r="D33" s="975" t="s">
        <v>127</v>
      </c>
      <c r="E33" s="375">
        <v>45959</v>
      </c>
      <c r="F33" s="374" t="s">
        <v>309</v>
      </c>
      <c r="G33" s="671" t="s">
        <v>443</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444</v>
      </c>
    </row>
    <row r="34" spans="1:30" ht="39.75" customHeight="1">
      <c r="A34" s="1084" t="s">
        <v>445</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446</v>
      </c>
    </row>
    <row r="35" spans="1:30" ht="39.75" customHeight="1">
      <c r="A35" s="1070" t="s">
        <v>447</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448</v>
      </c>
    </row>
    <row r="36" spans="1:30" ht="39.75" customHeight="1">
      <c r="A36" s="1085" t="s">
        <v>449</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450</v>
      </c>
    </row>
    <row r="37" spans="1:30" ht="39.75" customHeight="1">
      <c r="A37" s="1070" t="s">
        <v>451</v>
      </c>
      <c r="B37" s="979" t="s">
        <v>308</v>
      </c>
      <c r="C37" s="467">
        <v>46045</v>
      </c>
      <c r="D37" s="642" t="s">
        <v>127</v>
      </c>
      <c r="E37" s="467">
        <v>45959</v>
      </c>
      <c r="F37" s="465" t="s">
        <v>309</v>
      </c>
      <c r="G37" s="468" t="s">
        <v>452</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453</v>
      </c>
    </row>
    <row r="38" spans="1:30" ht="39.75" customHeight="1">
      <c r="A38" s="1069" t="s">
        <v>454</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450</v>
      </c>
    </row>
    <row r="39" spans="1:30" ht="39.75" customHeight="1">
      <c r="A39" s="1069" t="s">
        <v>455</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456</v>
      </c>
    </row>
    <row r="40" spans="1:30" ht="39.75" customHeight="1">
      <c r="A40" s="1069" t="s">
        <v>457</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458</v>
      </c>
    </row>
    <row r="41" spans="1:30" ht="39.75" customHeight="1">
      <c r="A41" s="1069" t="s">
        <v>459</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450</v>
      </c>
    </row>
    <row r="42" spans="1:30" ht="39.75" customHeight="1">
      <c r="A42" s="1069" t="s">
        <v>460</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450</v>
      </c>
    </row>
    <row r="43" spans="1:30" ht="39.75" customHeight="1">
      <c r="A43" s="1069" t="s">
        <v>461</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0</v>
      </c>
      <c r="AB43" s="355">
        <v>0</v>
      </c>
      <c r="AC43" s="41">
        <v>0</v>
      </c>
      <c r="AD43" s="436" t="s">
        <v>462</v>
      </c>
    </row>
    <row r="44" spans="1:30" ht="39.75" customHeight="1">
      <c r="A44" s="1069" t="s">
        <v>463</v>
      </c>
      <c r="B44" s="450" t="s">
        <v>308</v>
      </c>
      <c r="C44" s="375">
        <v>45989</v>
      </c>
      <c r="D44" s="975" t="s">
        <v>127</v>
      </c>
      <c r="E44" s="375">
        <v>45959</v>
      </c>
      <c r="F44" s="374" t="s">
        <v>158</v>
      </c>
      <c r="G44" s="637" t="s">
        <v>464</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601">
        <v>0</v>
      </c>
      <c r="AB44" s="601">
        <v>0</v>
      </c>
      <c r="AC44" s="978">
        <v>0</v>
      </c>
      <c r="AD44" s="436" t="s">
        <v>465</v>
      </c>
    </row>
    <row r="45" spans="1:30" ht="39.75" customHeight="1">
      <c r="A45" s="1069" t="s">
        <v>466</v>
      </c>
      <c r="B45" s="450" t="s">
        <v>308</v>
      </c>
      <c r="C45" s="375">
        <v>46010</v>
      </c>
      <c r="D45" s="975" t="s">
        <v>127</v>
      </c>
      <c r="E45" s="375">
        <v>45959</v>
      </c>
      <c r="F45" s="374" t="s">
        <v>158</v>
      </c>
      <c r="G45" s="637" t="s">
        <v>467</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601">
        <v>0</v>
      </c>
      <c r="AB45" s="601">
        <v>0</v>
      </c>
      <c r="AC45" s="978">
        <v>0</v>
      </c>
      <c r="AD45" s="436" t="s">
        <v>468</v>
      </c>
    </row>
    <row r="46" spans="1:30" ht="39.75" customHeight="1">
      <c r="A46" s="1069" t="s">
        <v>469</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447">
        <v>46024</v>
      </c>
      <c r="V46" s="106">
        <v>7274</v>
      </c>
      <c r="W46" s="1010">
        <v>7274</v>
      </c>
      <c r="X46" s="106">
        <f t="shared" si="14"/>
        <v>0</v>
      </c>
      <c r="Y46" s="870">
        <f t="shared" si="15"/>
        <v>1</v>
      </c>
      <c r="Z46" s="124">
        <v>45968</v>
      </c>
      <c r="AA46" s="355">
        <v>1</v>
      </c>
      <c r="AB46" s="355">
        <v>0</v>
      </c>
      <c r="AC46" s="41">
        <v>0</v>
      </c>
      <c r="AD46" s="436" t="s">
        <v>470</v>
      </c>
    </row>
    <row r="47" spans="1:30" ht="39.75" customHeight="1">
      <c r="A47" s="1069" t="s">
        <v>471</v>
      </c>
      <c r="B47" s="450" t="s">
        <v>308</v>
      </c>
      <c r="C47" s="375">
        <v>45989</v>
      </c>
      <c r="D47" s="975" t="s">
        <v>127</v>
      </c>
      <c r="E47" s="375">
        <v>45959</v>
      </c>
      <c r="F47" s="374" t="s">
        <v>158</v>
      </c>
      <c r="G47" s="637" t="s">
        <v>472</v>
      </c>
      <c r="H47" s="376">
        <v>87</v>
      </c>
      <c r="I47" s="976" t="s">
        <v>363</v>
      </c>
      <c r="J47" s="977" t="s">
        <v>63</v>
      </c>
      <c r="K47" s="650"/>
      <c r="L47" s="51">
        <v>45964</v>
      </c>
      <c r="M47" s="977" t="s">
        <v>57</v>
      </c>
      <c r="N47" s="838">
        <v>93578</v>
      </c>
      <c r="O47" s="52" t="s">
        <v>57</v>
      </c>
      <c r="P47" s="1068" t="s">
        <v>364</v>
      </c>
      <c r="Q47" s="54">
        <v>45964</v>
      </c>
      <c r="R47" s="1000"/>
      <c r="S47" s="651"/>
      <c r="T47" s="651"/>
      <c r="U47" s="1447">
        <v>46024</v>
      </c>
      <c r="V47" s="106">
        <v>7782</v>
      </c>
      <c r="W47" s="1010">
        <v>7782</v>
      </c>
      <c r="X47" s="472">
        <f t="shared" si="14"/>
        <v>0</v>
      </c>
      <c r="Y47" s="870">
        <f t="shared" si="15"/>
        <v>1</v>
      </c>
      <c r="Z47" s="124">
        <v>45975</v>
      </c>
      <c r="AA47" s="601">
        <v>1</v>
      </c>
      <c r="AB47" s="601">
        <v>0</v>
      </c>
      <c r="AC47" s="978">
        <v>0</v>
      </c>
      <c r="AD47" s="436" t="s">
        <v>473</v>
      </c>
    </row>
    <row r="48" spans="1:30" ht="39.75" customHeight="1">
      <c r="A48" s="1069" t="s">
        <v>474</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447">
        <v>46024</v>
      </c>
      <c r="V48" s="106">
        <v>7060</v>
      </c>
      <c r="W48" s="1010">
        <v>7060</v>
      </c>
      <c r="X48" s="106">
        <f t="shared" si="14"/>
        <v>0</v>
      </c>
      <c r="Y48" s="870">
        <f t="shared" si="15"/>
        <v>1</v>
      </c>
      <c r="Z48" s="124">
        <v>45973</v>
      </c>
      <c r="AA48" s="355">
        <v>0</v>
      </c>
      <c r="AB48" s="355">
        <v>0</v>
      </c>
      <c r="AC48" s="41">
        <v>0</v>
      </c>
      <c r="AD48" s="436" t="s">
        <v>475</v>
      </c>
    </row>
    <row r="49" spans="1:30" ht="39.75" customHeight="1">
      <c r="A49" s="1324" t="s">
        <v>476</v>
      </c>
      <c r="B49" s="1150" t="s">
        <v>308</v>
      </c>
      <c r="C49" s="1295">
        <v>46019</v>
      </c>
      <c r="D49" s="975" t="s">
        <v>127</v>
      </c>
      <c r="E49" s="1295">
        <v>45959</v>
      </c>
      <c r="F49" s="1296" t="s">
        <v>158</v>
      </c>
      <c r="G49" s="1296" t="s">
        <v>477</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1288">
        <v>0</v>
      </c>
      <c r="AB49" s="1288">
        <v>0</v>
      </c>
      <c r="AC49" s="1287">
        <v>0</v>
      </c>
      <c r="AD49" s="1259" t="s">
        <v>478</v>
      </c>
    </row>
    <row r="50" spans="1:30" ht="39.75" customHeight="1">
      <c r="A50" s="1069" t="s">
        <v>479</v>
      </c>
      <c r="B50" s="450" t="s">
        <v>308</v>
      </c>
      <c r="C50" s="375">
        <v>45989</v>
      </c>
      <c r="D50" s="975" t="s">
        <v>127</v>
      </c>
      <c r="E50" s="375">
        <v>45959</v>
      </c>
      <c r="F50" s="374" t="s">
        <v>158</v>
      </c>
      <c r="G50" s="637" t="s">
        <v>480</v>
      </c>
      <c r="H50" s="376">
        <v>90</v>
      </c>
      <c r="I50" s="976" t="s">
        <v>363</v>
      </c>
      <c r="J50" s="977" t="s">
        <v>63</v>
      </c>
      <c r="K50" s="650"/>
      <c r="L50" s="51">
        <v>45964</v>
      </c>
      <c r="M50" s="977" t="s">
        <v>57</v>
      </c>
      <c r="N50" s="838">
        <v>96685</v>
      </c>
      <c r="O50" s="52" t="s">
        <v>57</v>
      </c>
      <c r="P50" s="1068" t="s">
        <v>364</v>
      </c>
      <c r="Q50" s="54">
        <v>45964</v>
      </c>
      <c r="R50" s="1000"/>
      <c r="S50" s="651"/>
      <c r="T50" s="651"/>
      <c r="U50" s="1447">
        <v>46024</v>
      </c>
      <c r="V50" s="106">
        <v>7926</v>
      </c>
      <c r="W50" s="1010">
        <v>7926</v>
      </c>
      <c r="X50" s="472">
        <f t="shared" si="14"/>
        <v>0</v>
      </c>
      <c r="Y50" s="870">
        <f t="shared" si="15"/>
        <v>1</v>
      </c>
      <c r="Z50" s="124">
        <v>45981</v>
      </c>
      <c r="AA50" s="601">
        <v>1</v>
      </c>
      <c r="AB50" s="601">
        <v>0</v>
      </c>
      <c r="AC50" s="978">
        <v>0</v>
      </c>
      <c r="AD50" s="436" t="s">
        <v>481</v>
      </c>
    </row>
    <row r="51" spans="1:30" ht="39.75" customHeight="1">
      <c r="A51" s="1324" t="s">
        <v>482</v>
      </c>
      <c r="B51" s="1150" t="s">
        <v>308</v>
      </c>
      <c r="C51" s="1295">
        <v>46019</v>
      </c>
      <c r="D51" s="975" t="s">
        <v>127</v>
      </c>
      <c r="E51" s="1295">
        <v>45959</v>
      </c>
      <c r="F51" s="1296" t="s">
        <v>158</v>
      </c>
      <c r="G51" s="1296" t="s">
        <v>483</v>
      </c>
      <c r="H51" s="1297">
        <v>90</v>
      </c>
      <c r="I51" s="976" t="s">
        <v>363</v>
      </c>
      <c r="J51" s="1282" t="s">
        <v>63</v>
      </c>
      <c r="K51" s="1298"/>
      <c r="L51" s="1299">
        <v>45964</v>
      </c>
      <c r="M51" s="1282" t="s">
        <v>57</v>
      </c>
      <c r="N51" s="1325">
        <v>85815</v>
      </c>
      <c r="O51" s="1301" t="s">
        <v>57</v>
      </c>
      <c r="P51" s="1326" t="s">
        <v>364</v>
      </c>
      <c r="Q51" s="1327">
        <v>45964</v>
      </c>
      <c r="R51" s="1328"/>
      <c r="S51" s="1303"/>
      <c r="T51" s="1303"/>
      <c r="U51" s="1447">
        <v>46024</v>
      </c>
      <c r="V51" s="1268">
        <v>6981</v>
      </c>
      <c r="W51" s="1329">
        <v>6991</v>
      </c>
      <c r="X51" s="1210">
        <f>SUM(V51-W51)</f>
        <v>-10</v>
      </c>
      <c r="Y51" s="1151">
        <f t="shared" si="15"/>
        <v>1.0014324595330182</v>
      </c>
      <c r="Z51" s="1257">
        <v>45981</v>
      </c>
      <c r="AA51" s="1288">
        <v>1</v>
      </c>
      <c r="AB51" s="1288">
        <v>0</v>
      </c>
      <c r="AC51" s="1287">
        <v>0</v>
      </c>
      <c r="AD51" s="1259" t="s">
        <v>484</v>
      </c>
    </row>
    <row r="52" spans="1:30" ht="39.75" customHeight="1">
      <c r="A52" s="1069" t="s">
        <v>485</v>
      </c>
      <c r="B52" s="450" t="s">
        <v>308</v>
      </c>
      <c r="C52" s="375">
        <v>46021</v>
      </c>
      <c r="D52" s="975" t="s">
        <v>127</v>
      </c>
      <c r="E52" s="375">
        <v>45959</v>
      </c>
      <c r="F52" s="374" t="s">
        <v>158</v>
      </c>
      <c r="G52" s="637" t="s">
        <v>486</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487</v>
      </c>
    </row>
    <row r="53" spans="1:30" ht="39.75" customHeight="1">
      <c r="A53" s="1324" t="s">
        <v>488</v>
      </c>
      <c r="B53" s="1150" t="s">
        <v>308</v>
      </c>
      <c r="C53" s="1295">
        <v>46021</v>
      </c>
      <c r="D53" s="975" t="s">
        <v>127</v>
      </c>
      <c r="E53" s="1295">
        <v>45959</v>
      </c>
      <c r="F53" s="1296" t="s">
        <v>158</v>
      </c>
      <c r="G53" s="1296" t="s">
        <v>489</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490</v>
      </c>
    </row>
    <row r="54" spans="1:30" ht="39.75" customHeight="1">
      <c r="A54" s="1324" t="s">
        <v>491</v>
      </c>
      <c r="B54" s="1150" t="s">
        <v>308</v>
      </c>
      <c r="C54" s="1295">
        <v>46021</v>
      </c>
      <c r="D54" s="975" t="s">
        <v>127</v>
      </c>
      <c r="E54" s="1295">
        <v>45959</v>
      </c>
      <c r="F54" s="1296" t="s">
        <v>158</v>
      </c>
      <c r="G54" s="1296" t="s">
        <v>492</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493</v>
      </c>
    </row>
    <row r="55" spans="1:30" ht="39.75" customHeight="1">
      <c r="A55" s="1324" t="s">
        <v>494</v>
      </c>
      <c r="B55" s="1150" t="s">
        <v>308</v>
      </c>
      <c r="C55" s="1295">
        <v>46021</v>
      </c>
      <c r="D55" s="975" t="s">
        <v>127</v>
      </c>
      <c r="E55" s="1295">
        <v>45959</v>
      </c>
      <c r="F55" s="1296" t="s">
        <v>158</v>
      </c>
      <c r="G55" s="1296" t="s">
        <v>495</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496</v>
      </c>
    </row>
    <row r="56" spans="1:30" ht="39.75" customHeight="1">
      <c r="A56" s="1324" t="s">
        <v>497</v>
      </c>
      <c r="B56" s="1150" t="s">
        <v>308</v>
      </c>
      <c r="C56" s="1295">
        <v>46019</v>
      </c>
      <c r="D56" s="975" t="s">
        <v>127</v>
      </c>
      <c r="E56" s="1295">
        <v>45959</v>
      </c>
      <c r="F56" s="1296" t="s">
        <v>158</v>
      </c>
      <c r="G56" s="1296" t="s">
        <v>498</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499</v>
      </c>
    </row>
    <row r="57" spans="1:30" ht="39.75" customHeight="1">
      <c r="A57" s="1324" t="s">
        <v>500</v>
      </c>
      <c r="B57" s="1150" t="s">
        <v>308</v>
      </c>
      <c r="C57" s="1295">
        <v>46019</v>
      </c>
      <c r="D57" s="975" t="s">
        <v>127</v>
      </c>
      <c r="E57" s="1295">
        <v>45959</v>
      </c>
      <c r="F57" s="1296" t="s">
        <v>158</v>
      </c>
      <c r="G57" s="1296" t="s">
        <v>501</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502</v>
      </c>
    </row>
    <row r="58" spans="1:30" ht="39.75" customHeight="1">
      <c r="A58" s="1324" t="s">
        <v>503</v>
      </c>
      <c r="B58" s="1150" t="s">
        <v>308</v>
      </c>
      <c r="C58" s="1295">
        <v>46019</v>
      </c>
      <c r="D58" s="975" t="s">
        <v>127</v>
      </c>
      <c r="E58" s="1295">
        <v>45959</v>
      </c>
      <c r="F58" s="1296" t="s">
        <v>158</v>
      </c>
      <c r="G58" s="1296" t="s">
        <v>504</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505</v>
      </c>
    </row>
    <row r="59" spans="1:30" ht="39.75" customHeight="1">
      <c r="A59" s="1071" t="s">
        <v>506</v>
      </c>
      <c r="B59" s="788" t="s">
        <v>50</v>
      </c>
      <c r="C59" s="887">
        <v>45991</v>
      </c>
      <c r="D59" s="1087" t="s">
        <v>71</v>
      </c>
      <c r="E59" s="57">
        <v>45743</v>
      </c>
      <c r="F59" s="771" t="s">
        <v>61</v>
      </c>
      <c r="G59" s="789" t="s">
        <v>507</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508</v>
      </c>
    </row>
    <row r="60" spans="1:30" ht="39.75" customHeight="1">
      <c r="A60" s="1071" t="s">
        <v>509</v>
      </c>
      <c r="B60" s="770" t="s">
        <v>50</v>
      </c>
      <c r="C60" s="887">
        <v>45991</v>
      </c>
      <c r="D60" s="1072" t="s">
        <v>510</v>
      </c>
      <c r="E60" s="772">
        <v>45735</v>
      </c>
      <c r="F60" s="771" t="s">
        <v>61</v>
      </c>
      <c r="G60" s="774" t="s">
        <v>511</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512</v>
      </c>
    </row>
    <row r="61" spans="1:30" ht="39.75" customHeight="1">
      <c r="A61" s="926" t="s">
        <v>513</v>
      </c>
      <c r="B61" s="823" t="s">
        <v>50</v>
      </c>
      <c r="C61" s="467">
        <v>45991</v>
      </c>
      <c r="D61" s="467" t="s">
        <v>71</v>
      </c>
      <c r="E61" s="476">
        <v>45748</v>
      </c>
      <c r="F61" s="475" t="s">
        <v>61</v>
      </c>
      <c r="G61" s="824" t="s">
        <v>514</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515</v>
      </c>
    </row>
    <row r="62" spans="1:30" ht="39.75" customHeight="1">
      <c r="A62" s="1071" t="s">
        <v>516</v>
      </c>
      <c r="B62" s="788" t="s">
        <v>50</v>
      </c>
      <c r="C62" s="887">
        <v>45991</v>
      </c>
      <c r="D62" s="1087" t="s">
        <v>71</v>
      </c>
      <c r="E62" s="57">
        <v>45779</v>
      </c>
      <c r="F62" s="771" t="s">
        <v>61</v>
      </c>
      <c r="G62" s="789" t="s">
        <v>517</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518</v>
      </c>
    </row>
    <row r="63" spans="1:30" ht="39.75" customHeight="1">
      <c r="A63" s="1071" t="s">
        <v>519</v>
      </c>
      <c r="B63" s="788" t="s">
        <v>50</v>
      </c>
      <c r="C63" s="887">
        <v>46008</v>
      </c>
      <c r="D63" s="1087" t="s">
        <v>520</v>
      </c>
      <c r="E63" s="57">
        <v>45938</v>
      </c>
      <c r="F63" s="771" t="s">
        <v>521</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522</v>
      </c>
      <c r="B64" s="823" t="s">
        <v>50</v>
      </c>
      <c r="C64" s="1204">
        <v>46008</v>
      </c>
      <c r="D64" s="1204" t="s">
        <v>523</v>
      </c>
      <c r="E64" s="1224">
        <v>45958</v>
      </c>
      <c r="F64" s="1225" t="s">
        <v>521</v>
      </c>
      <c r="G64" s="1225" t="s">
        <v>524</v>
      </c>
      <c r="H64" s="1226">
        <v>517</v>
      </c>
      <c r="I64" s="661" t="s">
        <v>525</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526</v>
      </c>
    </row>
    <row r="65" spans="1:30" ht="39.75" customHeight="1">
      <c r="A65" s="1277" t="s">
        <v>527</v>
      </c>
      <c r="B65" s="823" t="s">
        <v>50</v>
      </c>
      <c r="C65" s="1204">
        <v>46218</v>
      </c>
      <c r="D65" s="1204" t="s">
        <v>528</v>
      </c>
      <c r="E65" s="51" t="s">
        <v>52</v>
      </c>
      <c r="F65" s="1225" t="s">
        <v>61</v>
      </c>
      <c r="G65" s="1225" t="s">
        <v>529</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530</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tabSelected="1"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200</v>
      </c>
      <c r="C2" s="467">
        <v>45960</v>
      </c>
      <c r="D2" s="467" t="s">
        <v>214</v>
      </c>
      <c r="E2" s="467">
        <v>45852</v>
      </c>
      <c r="F2" s="642" t="s">
        <v>215</v>
      </c>
      <c r="G2" s="682" t="s">
        <v>532</v>
      </c>
      <c r="H2" s="469">
        <v>0</v>
      </c>
      <c r="I2" s="469" t="s">
        <v>363</v>
      </c>
      <c r="J2" s="469" t="s">
        <v>63</v>
      </c>
      <c r="K2" s="469"/>
      <c r="L2" s="467">
        <v>45852</v>
      </c>
      <c r="M2" s="469" t="s">
        <v>57</v>
      </c>
      <c r="N2" s="542">
        <v>42837.2</v>
      </c>
      <c r="O2" s="469" t="s">
        <v>57</v>
      </c>
      <c r="P2" s="806" t="s">
        <v>364</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200</v>
      </c>
      <c r="C3" s="467">
        <v>45868</v>
      </c>
      <c r="D3" s="475" t="s">
        <v>535</v>
      </c>
      <c r="E3" s="476">
        <v>45716</v>
      </c>
      <c r="F3" s="475" t="s">
        <v>215</v>
      </c>
      <c r="G3" s="597" t="s">
        <v>536</v>
      </c>
      <c r="H3" s="478">
        <v>0</v>
      </c>
      <c r="I3" s="483" t="s">
        <v>363</v>
      </c>
      <c r="J3" s="478" t="s">
        <v>63</v>
      </c>
      <c r="K3" s="487"/>
      <c r="L3" s="467">
        <v>45716</v>
      </c>
      <c r="M3" s="478" t="s">
        <v>57</v>
      </c>
      <c r="N3" s="543">
        <v>64932.55</v>
      </c>
      <c r="O3" s="478" t="s">
        <v>57</v>
      </c>
      <c r="P3" s="806" t="s">
        <v>364</v>
      </c>
      <c r="Q3" s="479">
        <v>45721</v>
      </c>
      <c r="R3" s="54"/>
      <c r="S3" s="54"/>
      <c r="T3" s="54"/>
      <c r="U3" s="87" t="s">
        <v>533</v>
      </c>
      <c r="V3" s="1101">
        <v>5151</v>
      </c>
      <c r="W3" s="742">
        <v>5207</v>
      </c>
      <c r="X3" s="106">
        <f>SUM(V3-W3)</f>
        <v>-56</v>
      </c>
      <c r="Y3" s="22">
        <f>IFERROR($W3/$V3, 0)</f>
        <v>1.0108716754028344</v>
      </c>
      <c r="Z3" s="678">
        <v>45748</v>
      </c>
      <c r="AA3" s="355">
        <v>1</v>
      </c>
      <c r="AB3" s="355">
        <v>1</v>
      </c>
      <c r="AC3" s="41">
        <v>0</v>
      </c>
      <c r="AD3" s="871"/>
    </row>
    <row r="4" spans="1:30" ht="39.75" customHeight="1">
      <c r="A4" s="878" t="s">
        <v>537</v>
      </c>
      <c r="B4" s="491" t="s">
        <v>200</v>
      </c>
      <c r="C4" s="467">
        <v>45991</v>
      </c>
      <c r="D4" s="476" t="s">
        <v>384</v>
      </c>
      <c r="E4" s="428">
        <v>45707</v>
      </c>
      <c r="F4" s="475" t="s">
        <v>215</v>
      </c>
      <c r="G4" s="492" t="s">
        <v>538</v>
      </c>
      <c r="H4" s="483">
        <v>0</v>
      </c>
      <c r="I4" s="483" t="s">
        <v>363</v>
      </c>
      <c r="J4" s="483" t="s">
        <v>63</v>
      </c>
      <c r="K4" s="483"/>
      <c r="L4" s="476">
        <v>45708</v>
      </c>
      <c r="M4" s="483" t="s">
        <v>57</v>
      </c>
      <c r="N4" s="544">
        <v>87944.4</v>
      </c>
      <c r="O4" s="483" t="s">
        <v>57</v>
      </c>
      <c r="P4" s="806" t="s">
        <v>364</v>
      </c>
      <c r="Q4" s="479">
        <v>45709</v>
      </c>
      <c r="R4" s="1102"/>
      <c r="S4" s="1102"/>
      <c r="T4" s="1102"/>
      <c r="U4" s="1103" t="s">
        <v>533</v>
      </c>
      <c r="V4" s="493">
        <v>7008</v>
      </c>
      <c r="W4" s="741">
        <v>7258</v>
      </c>
      <c r="X4" s="106">
        <f t="shared" ref="X4" si="0">SUM(V4-W4)</f>
        <v>-250</v>
      </c>
      <c r="Y4" s="22">
        <f t="shared" ref="Y4" si="1">IFERROR($W4/$V4, 0)</f>
        <v>1.0356735159817352</v>
      </c>
      <c r="Z4" s="678">
        <v>45747</v>
      </c>
      <c r="AA4" s="473">
        <v>1</v>
      </c>
      <c r="AB4" s="473">
        <v>1</v>
      </c>
      <c r="AC4" s="815">
        <v>0</v>
      </c>
      <c r="AD4" s="872" t="s">
        <v>539</v>
      </c>
    </row>
    <row r="5" spans="1:30" ht="39.75" customHeight="1">
      <c r="A5" s="842" t="s">
        <v>540</v>
      </c>
      <c r="B5" s="830" t="s">
        <v>200</v>
      </c>
      <c r="C5" s="476">
        <v>45807</v>
      </c>
      <c r="D5" s="465" t="s">
        <v>535</v>
      </c>
      <c r="E5" s="475" t="s">
        <v>52</v>
      </c>
      <c r="F5" s="465" t="s">
        <v>215</v>
      </c>
      <c r="G5" s="824" t="s">
        <v>541</v>
      </c>
      <c r="H5" s="469">
        <v>84</v>
      </c>
      <c r="I5" s="828" t="s">
        <v>363</v>
      </c>
      <c r="J5" s="478" t="s">
        <v>63</v>
      </c>
      <c r="K5" s="843"/>
      <c r="L5" s="467">
        <v>45716</v>
      </c>
      <c r="M5" s="478" t="s">
        <v>57</v>
      </c>
      <c r="N5" s="542">
        <v>2812.95</v>
      </c>
      <c r="O5" s="478" t="s">
        <v>57</v>
      </c>
      <c r="P5" s="806" t="s">
        <v>364</v>
      </c>
      <c r="Q5" s="479">
        <v>45792</v>
      </c>
      <c r="R5" s="479">
        <v>45947</v>
      </c>
      <c r="S5" s="352"/>
      <c r="T5" s="352"/>
      <c r="U5" s="486" t="s">
        <v>533</v>
      </c>
      <c r="V5" s="41">
        <v>285</v>
      </c>
      <c r="W5" s="844">
        <v>285</v>
      </c>
      <c r="X5" s="472">
        <f>SUM(V5-W5)</f>
        <v>0</v>
      </c>
      <c r="Y5" s="662">
        <f>IFERROR($W5/$V5, 0)</f>
        <v>1</v>
      </c>
      <c r="Z5" s="479">
        <v>45798</v>
      </c>
      <c r="AA5" s="662">
        <v>1</v>
      </c>
      <c r="AB5" s="662">
        <v>1</v>
      </c>
      <c r="AC5" s="472">
        <v>3451</v>
      </c>
      <c r="AD5" s="664"/>
    </row>
    <row r="6" spans="1:30" ht="39.75" customHeight="1">
      <c r="A6" s="929" t="s">
        <v>542</v>
      </c>
      <c r="B6" s="491" t="s">
        <v>200</v>
      </c>
      <c r="C6" s="467">
        <v>45991</v>
      </c>
      <c r="D6" s="475" t="s">
        <v>543</v>
      </c>
      <c r="E6" s="476">
        <v>45716</v>
      </c>
      <c r="F6" s="475" t="s">
        <v>201</v>
      </c>
      <c r="G6" s="477" t="s">
        <v>544</v>
      </c>
      <c r="H6" s="478">
        <v>31</v>
      </c>
      <c r="I6" s="483" t="s">
        <v>363</v>
      </c>
      <c r="J6" s="478" t="s">
        <v>63</v>
      </c>
      <c r="K6" s="487"/>
      <c r="L6" s="467">
        <v>45716</v>
      </c>
      <c r="M6" s="478" t="s">
        <v>57</v>
      </c>
      <c r="N6" s="543">
        <v>28777</v>
      </c>
      <c r="O6" s="478" t="s">
        <v>57</v>
      </c>
      <c r="P6" s="806" t="s">
        <v>364</v>
      </c>
      <c r="Q6" s="479">
        <v>45716</v>
      </c>
      <c r="R6" s="479">
        <v>45992</v>
      </c>
      <c r="S6" s="479"/>
      <c r="T6" s="479"/>
      <c r="U6" s="486" t="s">
        <v>533</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545</v>
      </c>
      <c r="B7" s="491" t="s">
        <v>200</v>
      </c>
      <c r="C7" s="467">
        <v>45991</v>
      </c>
      <c r="D7" s="475" t="s">
        <v>384</v>
      </c>
      <c r="E7" s="476">
        <v>45866</v>
      </c>
      <c r="F7" s="475" t="s">
        <v>215</v>
      </c>
      <c r="G7" s="477" t="s">
        <v>546</v>
      </c>
      <c r="H7" s="478">
        <v>0</v>
      </c>
      <c r="I7" s="483" t="s">
        <v>363</v>
      </c>
      <c r="J7" s="478" t="s">
        <v>63</v>
      </c>
      <c r="K7" s="487"/>
      <c r="L7" s="476">
        <v>45863</v>
      </c>
      <c r="M7" s="478" t="s">
        <v>57</v>
      </c>
      <c r="N7" s="543">
        <v>143407.25</v>
      </c>
      <c r="O7" s="478" t="s">
        <v>57</v>
      </c>
      <c r="P7" s="806" t="s">
        <v>364</v>
      </c>
      <c r="Q7" s="479">
        <v>45863</v>
      </c>
      <c r="R7" s="479"/>
      <c r="S7" s="479"/>
      <c r="T7" s="479"/>
      <c r="U7" s="486" t="s">
        <v>533</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547</v>
      </c>
      <c r="B8" s="491" t="s">
        <v>200</v>
      </c>
      <c r="C8" s="467">
        <v>45991</v>
      </c>
      <c r="D8" s="475" t="s">
        <v>71</v>
      </c>
      <c r="E8" s="476">
        <v>45880</v>
      </c>
      <c r="F8" s="475" t="s">
        <v>201</v>
      </c>
      <c r="G8" s="477" t="s">
        <v>548</v>
      </c>
      <c r="H8" s="478">
        <v>0</v>
      </c>
      <c r="I8" s="483" t="s">
        <v>363</v>
      </c>
      <c r="J8" s="478" t="s">
        <v>63</v>
      </c>
      <c r="K8" s="487"/>
      <c r="L8" s="476">
        <v>45881</v>
      </c>
      <c r="M8" s="478" t="s">
        <v>57</v>
      </c>
      <c r="N8" s="543">
        <v>4815.6499999999996</v>
      </c>
      <c r="O8" s="478" t="s">
        <v>57</v>
      </c>
      <c r="P8" s="806" t="s">
        <v>364</v>
      </c>
      <c r="Q8" s="479">
        <v>45881</v>
      </c>
      <c r="R8" s="479">
        <v>45947</v>
      </c>
      <c r="S8" s="479"/>
      <c r="T8" s="479"/>
      <c r="U8" s="486" t="s">
        <v>533</v>
      </c>
      <c r="V8" s="41">
        <v>321</v>
      </c>
      <c r="W8" s="742">
        <v>367</v>
      </c>
      <c r="X8" s="106">
        <f>SUM(V8-W8)</f>
        <v>-46</v>
      </c>
      <c r="Y8" s="22">
        <f>IFERROR($W8/$V8, 0)</f>
        <v>1.1433021806853583</v>
      </c>
      <c r="Z8" s="678">
        <v>45905</v>
      </c>
      <c r="AA8" s="355">
        <v>0</v>
      </c>
      <c r="AB8" s="355">
        <v>0</v>
      </c>
      <c r="AC8" s="41">
        <v>0</v>
      </c>
      <c r="AD8" s="515"/>
    </row>
    <row r="9" spans="1:30" ht="39.75" customHeight="1">
      <c r="A9" s="939" t="s">
        <v>549</v>
      </c>
      <c r="B9" s="833" t="s">
        <v>200</v>
      </c>
      <c r="C9" s="834">
        <v>45955</v>
      </c>
      <c r="D9" s="835" t="s">
        <v>127</v>
      </c>
      <c r="E9" s="835">
        <v>45919</v>
      </c>
      <c r="F9" s="835" t="s">
        <v>226</v>
      </c>
      <c r="G9" s="836" t="s">
        <v>550</v>
      </c>
      <c r="H9" s="393">
        <v>0</v>
      </c>
      <c r="I9" s="837" t="s">
        <v>363</v>
      </c>
      <c r="J9" s="393" t="s">
        <v>63</v>
      </c>
      <c r="K9" s="393"/>
      <c r="L9" s="835" t="s">
        <v>52</v>
      </c>
      <c r="M9" s="393" t="s">
        <v>57</v>
      </c>
      <c r="N9" s="838">
        <v>4646.75</v>
      </c>
      <c r="O9" s="393" t="s">
        <v>91</v>
      </c>
      <c r="P9" s="913" t="s">
        <v>364</v>
      </c>
      <c r="Q9" s="598"/>
      <c r="R9" s="598">
        <v>45947</v>
      </c>
      <c r="S9" s="598"/>
      <c r="T9" s="598"/>
      <c r="U9" s="486" t="s">
        <v>533</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551</v>
      </c>
      <c r="B10" s="465" t="s">
        <v>107</v>
      </c>
      <c r="C10" s="476">
        <v>45960</v>
      </c>
      <c r="D10" s="467" t="s">
        <v>71</v>
      </c>
      <c r="E10" s="476">
        <v>45918</v>
      </c>
      <c r="F10" s="465" t="s">
        <v>108</v>
      </c>
      <c r="G10" s="50" t="s">
        <v>552</v>
      </c>
      <c r="H10" s="996">
        <v>0</v>
      </c>
      <c r="I10" s="661" t="s">
        <v>363</v>
      </c>
      <c r="J10" s="469" t="s">
        <v>63</v>
      </c>
      <c r="K10" s="469"/>
      <c r="L10" s="476">
        <v>45918</v>
      </c>
      <c r="M10" s="478" t="s">
        <v>57</v>
      </c>
      <c r="N10" s="543">
        <v>9611.9500000000007</v>
      </c>
      <c r="O10" s="478" t="s">
        <v>57</v>
      </c>
      <c r="P10" s="806" t="s">
        <v>364</v>
      </c>
      <c r="Q10" s="479">
        <v>45918</v>
      </c>
      <c r="R10" s="479"/>
      <c r="S10" s="479"/>
      <c r="T10" s="479"/>
      <c r="U10" s="486" t="s">
        <v>533</v>
      </c>
      <c r="V10" s="41">
        <v>807</v>
      </c>
      <c r="W10" s="742">
        <v>896</v>
      </c>
      <c r="X10" s="106">
        <f t="shared" si="6"/>
        <v>-89</v>
      </c>
      <c r="Y10" s="657">
        <f t="shared" si="7"/>
        <v>1.110285006195787</v>
      </c>
      <c r="Z10" s="678">
        <v>45938</v>
      </c>
      <c r="AA10" s="662">
        <v>1</v>
      </c>
      <c r="AB10" s="662">
        <v>1</v>
      </c>
      <c r="AC10" s="645">
        <v>0</v>
      </c>
      <c r="AD10" s="474" t="s">
        <v>553</v>
      </c>
    </row>
    <row r="11" spans="1:30" ht="39.75" customHeight="1">
      <c r="A11" s="1374" t="s">
        <v>554</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533</v>
      </c>
      <c r="V11" s="787">
        <v>3885</v>
      </c>
      <c r="W11" s="1373">
        <v>3910</v>
      </c>
      <c r="X11" s="1210">
        <f>SUM(V11-W11)</f>
        <v>-25</v>
      </c>
      <c r="Y11" s="662">
        <f t="shared" si="7"/>
        <v>1.0064350064350065</v>
      </c>
      <c r="Z11" s="1229">
        <v>46006</v>
      </c>
      <c r="AA11" s="1212">
        <v>1</v>
      </c>
      <c r="AB11" s="355">
        <v>1</v>
      </c>
      <c r="AC11" s="645">
        <v>0</v>
      </c>
      <c r="AD11" s="1213" t="s">
        <v>555</v>
      </c>
    </row>
    <row r="12" spans="1:30" ht="39.75" customHeight="1">
      <c r="A12" s="845" t="s">
        <v>556</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533</v>
      </c>
      <c r="V12" s="41">
        <v>3566</v>
      </c>
      <c r="W12" s="742">
        <v>3704</v>
      </c>
      <c r="X12" s="106">
        <f t="shared" si="6"/>
        <v>-138</v>
      </c>
      <c r="Y12" s="22">
        <f t="shared" si="7"/>
        <v>1.0386988222097588</v>
      </c>
      <c r="Z12" s="678">
        <v>45904</v>
      </c>
      <c r="AA12" s="355">
        <v>1</v>
      </c>
      <c r="AB12" s="355">
        <v>1</v>
      </c>
      <c r="AC12" s="645">
        <v>0</v>
      </c>
      <c r="AD12" s="515" t="s">
        <v>557</v>
      </c>
    </row>
    <row r="13" spans="1:30" ht="39.75" customHeight="1">
      <c r="A13" s="845" t="s">
        <v>558</v>
      </c>
      <c r="B13" s="465" t="s">
        <v>107</v>
      </c>
      <c r="C13" s="476">
        <v>45930</v>
      </c>
      <c r="D13" s="467" t="s">
        <v>127</v>
      </c>
      <c r="E13" s="467">
        <v>45896</v>
      </c>
      <c r="F13" s="465" t="s">
        <v>158</v>
      </c>
      <c r="G13" s="465" t="s">
        <v>559</v>
      </c>
      <c r="H13" s="469">
        <v>66</v>
      </c>
      <c r="I13" s="469" t="s">
        <v>363</v>
      </c>
      <c r="J13" s="469" t="s">
        <v>63</v>
      </c>
      <c r="K13" s="469"/>
      <c r="L13" s="467">
        <v>45897</v>
      </c>
      <c r="M13" s="469" t="s">
        <v>57</v>
      </c>
      <c r="N13" s="542">
        <v>44896.1</v>
      </c>
      <c r="O13" s="469" t="s">
        <v>57</v>
      </c>
      <c r="P13" s="806" t="s">
        <v>364</v>
      </c>
      <c r="Q13" s="471">
        <v>45897</v>
      </c>
      <c r="R13" s="482"/>
      <c r="S13" s="482"/>
      <c r="T13" s="482"/>
      <c r="U13" s="486" t="s">
        <v>533</v>
      </c>
      <c r="V13" s="472">
        <v>2385</v>
      </c>
      <c r="W13" s="742">
        <v>2385</v>
      </c>
      <c r="X13" s="106">
        <f t="shared" si="6"/>
        <v>0</v>
      </c>
      <c r="Y13" s="22">
        <f t="shared" si="7"/>
        <v>1</v>
      </c>
      <c r="Z13" s="678">
        <v>45918</v>
      </c>
      <c r="AA13" s="355">
        <v>1</v>
      </c>
      <c r="AB13" s="355">
        <v>1</v>
      </c>
      <c r="AC13" s="645">
        <v>0</v>
      </c>
      <c r="AD13" s="413" t="s">
        <v>560</v>
      </c>
    </row>
    <row r="14" spans="1:30" ht="39.75" customHeight="1">
      <c r="A14" s="845" t="s">
        <v>561</v>
      </c>
      <c r="B14" s="465" t="s">
        <v>107</v>
      </c>
      <c r="C14" s="476">
        <v>45930</v>
      </c>
      <c r="D14" s="467" t="s">
        <v>127</v>
      </c>
      <c r="E14" s="642">
        <v>45910</v>
      </c>
      <c r="F14" s="465" t="s">
        <v>108</v>
      </c>
      <c r="G14" s="465" t="s">
        <v>562</v>
      </c>
      <c r="H14" s="469">
        <v>80</v>
      </c>
      <c r="I14" s="469" t="s">
        <v>363</v>
      </c>
      <c r="J14" s="469" t="s">
        <v>63</v>
      </c>
      <c r="K14" s="469"/>
      <c r="L14" s="467">
        <v>45903</v>
      </c>
      <c r="M14" s="469" t="s">
        <v>57</v>
      </c>
      <c r="N14" s="542">
        <v>59116.7</v>
      </c>
      <c r="O14" s="469" t="s">
        <v>57</v>
      </c>
      <c r="P14" s="806" t="s">
        <v>364</v>
      </c>
      <c r="Q14" s="471">
        <v>45903</v>
      </c>
      <c r="R14" s="482"/>
      <c r="S14" s="482"/>
      <c r="T14" s="471"/>
      <c r="U14" s="486" t="s">
        <v>533</v>
      </c>
      <c r="V14" s="472">
        <v>4833</v>
      </c>
      <c r="W14" s="742">
        <v>4446</v>
      </c>
      <c r="X14" s="106">
        <f t="shared" si="6"/>
        <v>387</v>
      </c>
      <c r="Y14" s="22">
        <f t="shared" si="7"/>
        <v>0.91992551210428308</v>
      </c>
      <c r="Z14" s="678">
        <v>45923</v>
      </c>
      <c r="AA14" s="355">
        <v>1</v>
      </c>
      <c r="AB14" s="355">
        <v>1</v>
      </c>
      <c r="AC14" s="645">
        <v>0</v>
      </c>
      <c r="AD14" s="413" t="s">
        <v>563</v>
      </c>
    </row>
    <row r="15" spans="1:30" ht="39.75" customHeight="1">
      <c r="A15" s="1374" t="s">
        <v>564</v>
      </c>
      <c r="B15" s="1205" t="s">
        <v>107</v>
      </c>
      <c r="C15" s="1204">
        <v>46010</v>
      </c>
      <c r="D15" s="1204" t="s">
        <v>139</v>
      </c>
      <c r="E15" s="1204">
        <v>45974</v>
      </c>
      <c r="F15" s="1205" t="s">
        <v>108</v>
      </c>
      <c r="G15" s="1205" t="s">
        <v>565</v>
      </c>
      <c r="H15" s="1206">
        <v>67</v>
      </c>
      <c r="I15" s="661" t="s">
        <v>363</v>
      </c>
      <c r="J15" s="1206" t="s">
        <v>63</v>
      </c>
      <c r="K15" s="1206"/>
      <c r="L15" s="1204">
        <v>45936</v>
      </c>
      <c r="M15" s="1206" t="s">
        <v>57</v>
      </c>
      <c r="N15" s="1207">
        <v>38192</v>
      </c>
      <c r="O15" s="1206" t="s">
        <v>57</v>
      </c>
      <c r="P15" s="1375" t="s">
        <v>364</v>
      </c>
      <c r="Q15" s="1209">
        <v>45936</v>
      </c>
      <c r="R15" s="1256"/>
      <c r="S15" s="1256"/>
      <c r="T15" s="1256"/>
      <c r="U15" s="486" t="s">
        <v>533</v>
      </c>
      <c r="V15" s="1210">
        <v>2845</v>
      </c>
      <c r="W15" s="1373">
        <v>2825</v>
      </c>
      <c r="X15" s="1210">
        <f t="shared" si="6"/>
        <v>20</v>
      </c>
      <c r="Y15" s="662">
        <f t="shared" si="7"/>
        <v>0.99297012302284715</v>
      </c>
      <c r="Z15" s="1229">
        <v>46002</v>
      </c>
      <c r="AA15" s="1212">
        <v>1</v>
      </c>
      <c r="AB15" s="355">
        <v>1</v>
      </c>
      <c r="AC15" s="645">
        <v>0</v>
      </c>
      <c r="AD15" s="1213" t="s">
        <v>566</v>
      </c>
    </row>
    <row r="16" spans="1:30" ht="39.75" customHeight="1">
      <c r="A16" s="842" t="s">
        <v>567</v>
      </c>
      <c r="B16" s="465" t="s">
        <v>107</v>
      </c>
      <c r="C16" s="476">
        <v>45930</v>
      </c>
      <c r="D16" s="467" t="s">
        <v>127</v>
      </c>
      <c r="E16" s="642">
        <v>45910</v>
      </c>
      <c r="F16" s="642" t="s">
        <v>158</v>
      </c>
      <c r="G16" s="682" t="s">
        <v>568</v>
      </c>
      <c r="H16" s="469">
        <v>67</v>
      </c>
      <c r="I16" s="661" t="s">
        <v>363</v>
      </c>
      <c r="J16" s="469" t="s">
        <v>63</v>
      </c>
      <c r="K16" s="469"/>
      <c r="L16" s="467">
        <v>45903</v>
      </c>
      <c r="M16" s="469" t="s">
        <v>57</v>
      </c>
      <c r="N16" s="542">
        <v>40406</v>
      </c>
      <c r="O16" s="469" t="s">
        <v>57</v>
      </c>
      <c r="P16" s="806" t="s">
        <v>364</v>
      </c>
      <c r="Q16" s="471">
        <v>45903</v>
      </c>
      <c r="R16" s="552"/>
      <c r="S16" s="552"/>
      <c r="T16" s="552"/>
      <c r="U16" s="486" t="s">
        <v>533</v>
      </c>
      <c r="V16" s="472">
        <v>3895</v>
      </c>
      <c r="W16" s="742">
        <v>3809</v>
      </c>
      <c r="X16" s="106">
        <f t="shared" si="6"/>
        <v>86</v>
      </c>
      <c r="Y16" s="657">
        <f t="shared" si="7"/>
        <v>0.97792041078305525</v>
      </c>
      <c r="Z16" s="678">
        <v>45924</v>
      </c>
      <c r="AA16" s="355">
        <v>1</v>
      </c>
      <c r="AB16" s="355">
        <v>1</v>
      </c>
      <c r="AC16" s="645">
        <v>0</v>
      </c>
      <c r="AD16" s="873" t="s">
        <v>569</v>
      </c>
    </row>
    <row r="17" spans="1:30" ht="39.75" customHeight="1">
      <c r="A17" s="1374" t="s">
        <v>570</v>
      </c>
      <c r="B17" s="1205" t="s">
        <v>107</v>
      </c>
      <c r="C17" s="1204">
        <v>46010</v>
      </c>
      <c r="D17" s="1204" t="s">
        <v>139</v>
      </c>
      <c r="E17" s="1204">
        <v>45974</v>
      </c>
      <c r="F17" s="1205" t="s">
        <v>108</v>
      </c>
      <c r="G17" s="1205" t="s">
        <v>571</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533</v>
      </c>
      <c r="V17" s="1210">
        <v>2584</v>
      </c>
      <c r="W17" s="1373">
        <v>2584</v>
      </c>
      <c r="X17" s="1210">
        <f t="shared" si="6"/>
        <v>0</v>
      </c>
      <c r="Y17" s="662">
        <f t="shared" si="7"/>
        <v>1</v>
      </c>
      <c r="Z17" s="1229">
        <v>46000</v>
      </c>
      <c r="AA17" s="1212">
        <v>1</v>
      </c>
      <c r="AB17" s="355">
        <v>1</v>
      </c>
      <c r="AC17" s="645">
        <v>0</v>
      </c>
      <c r="AD17" s="1213" t="s">
        <v>572</v>
      </c>
    </row>
    <row r="18" spans="1:30" ht="39.75" customHeight="1">
      <c r="A18" s="1374" t="s">
        <v>573</v>
      </c>
      <c r="B18" s="1205" t="s">
        <v>107</v>
      </c>
      <c r="C18" s="1204">
        <v>46010</v>
      </c>
      <c r="D18" s="1204" t="s">
        <v>139</v>
      </c>
      <c r="E18" s="1204">
        <v>45974</v>
      </c>
      <c r="F18" s="1205" t="s">
        <v>108</v>
      </c>
      <c r="G18" s="1205" t="s">
        <v>574</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533</v>
      </c>
      <c r="V18" s="1210">
        <v>2027</v>
      </c>
      <c r="W18" s="1373">
        <v>2146</v>
      </c>
      <c r="X18" s="1210">
        <f t="shared" si="6"/>
        <v>-119</v>
      </c>
      <c r="Y18" s="862">
        <f t="shared" si="7"/>
        <v>1.0587074494326592</v>
      </c>
      <c r="Z18" s="1209">
        <v>45994</v>
      </c>
      <c r="AA18" s="1212">
        <v>1</v>
      </c>
      <c r="AB18" s="355">
        <v>1</v>
      </c>
      <c r="AC18" s="645">
        <v>0</v>
      </c>
      <c r="AD18" s="1213" t="s">
        <v>575</v>
      </c>
    </row>
    <row r="19" spans="1:30" ht="39.75" customHeight="1">
      <c r="A19" s="1374" t="s">
        <v>576</v>
      </c>
      <c r="B19" s="1205" t="s">
        <v>107</v>
      </c>
      <c r="C19" s="1204">
        <v>46006</v>
      </c>
      <c r="D19" s="1204" t="s">
        <v>127</v>
      </c>
      <c r="E19" s="1204">
        <v>45999</v>
      </c>
      <c r="F19" s="1205" t="s">
        <v>108</v>
      </c>
      <c r="G19" s="1205" t="s">
        <v>577</v>
      </c>
      <c r="H19" s="1206">
        <v>87</v>
      </c>
      <c r="I19" s="661" t="s">
        <v>363</v>
      </c>
      <c r="J19" s="1206" t="s">
        <v>63</v>
      </c>
      <c r="K19" s="469"/>
      <c r="L19" s="1204">
        <v>45999</v>
      </c>
      <c r="M19" s="1206" t="s">
        <v>57</v>
      </c>
      <c r="N19" s="1207">
        <v>74384</v>
      </c>
      <c r="O19" s="1206" t="s">
        <v>57</v>
      </c>
      <c r="P19" s="1375" t="s">
        <v>364</v>
      </c>
      <c r="Q19" s="1257">
        <v>45999</v>
      </c>
      <c r="R19" s="552"/>
      <c r="S19" s="552"/>
      <c r="T19" s="552"/>
      <c r="U19" s="486" t="s">
        <v>533</v>
      </c>
      <c r="V19" s="1210">
        <v>6130</v>
      </c>
      <c r="W19" s="1373">
        <v>5915</v>
      </c>
      <c r="X19" s="1210">
        <f t="shared" si="6"/>
        <v>215</v>
      </c>
      <c r="Y19" s="662">
        <f t="shared" si="7"/>
        <v>0.96492659053833607</v>
      </c>
      <c r="Z19" s="1229">
        <v>46006</v>
      </c>
      <c r="AA19" s="1212">
        <v>1</v>
      </c>
      <c r="AB19" s="1212">
        <v>1</v>
      </c>
      <c r="AC19" s="645">
        <v>0</v>
      </c>
      <c r="AD19" s="1213" t="s">
        <v>578</v>
      </c>
    </row>
    <row r="20" spans="1:30" ht="39.75" customHeight="1">
      <c r="A20" s="929" t="s">
        <v>579</v>
      </c>
      <c r="B20" s="465" t="s">
        <v>107</v>
      </c>
      <c r="C20" s="467">
        <v>46006</v>
      </c>
      <c r="D20" s="467" t="s">
        <v>127</v>
      </c>
      <c r="E20" s="467">
        <v>45979</v>
      </c>
      <c r="F20" s="465" t="s">
        <v>158</v>
      </c>
      <c r="G20" s="682" t="s">
        <v>580</v>
      </c>
      <c r="H20" s="469">
        <v>28</v>
      </c>
      <c r="I20" s="661" t="s">
        <v>363</v>
      </c>
      <c r="J20" s="469" t="s">
        <v>63</v>
      </c>
      <c r="K20" s="469"/>
      <c r="L20" s="467">
        <v>45979</v>
      </c>
      <c r="M20" s="469" t="s">
        <v>57</v>
      </c>
      <c r="N20" s="542">
        <v>29683</v>
      </c>
      <c r="O20" s="469" t="s">
        <v>57</v>
      </c>
      <c r="P20" s="806" t="s">
        <v>364</v>
      </c>
      <c r="Q20" s="1001">
        <v>45979</v>
      </c>
      <c r="R20" s="552"/>
      <c r="S20" s="552"/>
      <c r="T20" s="552"/>
      <c r="U20" s="486" t="s">
        <v>533</v>
      </c>
      <c r="V20" s="472">
        <v>2416</v>
      </c>
      <c r="W20" s="742">
        <v>2533</v>
      </c>
      <c r="X20" s="472">
        <f t="shared" si="6"/>
        <v>-117</v>
      </c>
      <c r="Y20" s="862">
        <f t="shared" si="7"/>
        <v>1.0484271523178808</v>
      </c>
      <c r="Z20" s="471">
        <v>45994</v>
      </c>
      <c r="AA20" s="355">
        <v>1</v>
      </c>
      <c r="AB20" s="355">
        <v>1</v>
      </c>
      <c r="AC20" s="645">
        <v>0</v>
      </c>
      <c r="AD20" s="474" t="s">
        <v>581</v>
      </c>
    </row>
    <row r="21" spans="1:30" ht="39.75" customHeight="1">
      <c r="A21" s="929" t="s">
        <v>582</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533</v>
      </c>
      <c r="V21" s="472">
        <v>2071</v>
      </c>
      <c r="W21" s="742">
        <v>2072</v>
      </c>
      <c r="X21" s="472">
        <f>SUM(V21-W21)</f>
        <v>-1</v>
      </c>
      <c r="Y21" s="662">
        <f t="shared" ref="Y21" si="8">IFERROR($W21/$V21, 0)</f>
        <v>1.000482858522453</v>
      </c>
      <c r="Z21" s="479">
        <v>45958</v>
      </c>
      <c r="AA21" s="355">
        <v>1</v>
      </c>
      <c r="AB21" s="355">
        <v>1</v>
      </c>
      <c r="AC21" s="787">
        <v>0</v>
      </c>
      <c r="AD21" s="474" t="s">
        <v>583</v>
      </c>
    </row>
    <row r="22" spans="1:30" ht="39.75" customHeight="1">
      <c r="A22" s="845" t="s">
        <v>584</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533</v>
      </c>
      <c r="V22" s="472">
        <v>5653</v>
      </c>
      <c r="W22" s="742">
        <v>5653</v>
      </c>
      <c r="X22" s="106">
        <f t="shared" si="6"/>
        <v>0</v>
      </c>
      <c r="Y22" s="657">
        <f t="shared" si="7"/>
        <v>1</v>
      </c>
      <c r="Z22" s="678">
        <v>45932</v>
      </c>
      <c r="AA22" s="355">
        <v>1</v>
      </c>
      <c r="AB22" s="355">
        <v>1</v>
      </c>
      <c r="AC22" s="787">
        <v>0</v>
      </c>
      <c r="AD22" s="873" t="s">
        <v>585</v>
      </c>
    </row>
    <row r="23" spans="1:30" ht="39.75" customHeight="1">
      <c r="A23" s="842" t="s">
        <v>586</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533</v>
      </c>
      <c r="V23" s="472">
        <v>2188</v>
      </c>
      <c r="W23" s="742">
        <v>2278</v>
      </c>
      <c r="X23" s="106">
        <f>SUM(V23-W23)</f>
        <v>-90</v>
      </c>
      <c r="Y23" s="657">
        <f>IFERROR($W23/$V23, 0)</f>
        <v>1.0411334552102376</v>
      </c>
      <c r="Z23" s="678">
        <v>45931</v>
      </c>
      <c r="AA23" s="355">
        <v>1</v>
      </c>
      <c r="AB23" s="355">
        <v>1</v>
      </c>
      <c r="AC23" s="787">
        <v>0</v>
      </c>
      <c r="AD23" s="873" t="s">
        <v>587</v>
      </c>
    </row>
    <row r="24" spans="1:30" ht="39.75" customHeight="1">
      <c r="A24" s="929" t="s">
        <v>588</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533</v>
      </c>
      <c r="V24" s="472">
        <v>3378</v>
      </c>
      <c r="W24" s="742">
        <v>3372</v>
      </c>
      <c r="X24" s="472">
        <f>SUM(V24-W24)</f>
        <v>6</v>
      </c>
      <c r="Y24" s="662">
        <f t="shared" ref="Y24" si="9">IFERROR($W24/$V24, 0)</f>
        <v>0.9982238010657194</v>
      </c>
      <c r="Z24" s="479">
        <v>45958</v>
      </c>
      <c r="AA24" s="355">
        <v>1</v>
      </c>
      <c r="AB24" s="355">
        <v>1</v>
      </c>
      <c r="AC24" s="787">
        <v>0</v>
      </c>
      <c r="AD24" s="952" t="s">
        <v>589</v>
      </c>
    </row>
    <row r="25" spans="1:30" ht="39.75" customHeight="1">
      <c r="A25" s="929" t="s">
        <v>590</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533</v>
      </c>
      <c r="V25" s="416">
        <v>2874</v>
      </c>
      <c r="W25" s="951">
        <v>2875</v>
      </c>
      <c r="X25" s="106">
        <f t="shared" ref="X25:X30" si="10">SUM(V25-W25)</f>
        <v>-1</v>
      </c>
      <c r="Y25" s="657">
        <f t="shared" ref="Y25:Y30" si="11">IFERROR($W25/$V25, 0)</f>
        <v>1.0003479471120389</v>
      </c>
      <c r="Z25" s="678">
        <v>45944</v>
      </c>
      <c r="AA25" s="355">
        <v>1</v>
      </c>
      <c r="AB25" s="355">
        <v>1</v>
      </c>
      <c r="AC25" s="472">
        <v>0</v>
      </c>
      <c r="AD25" s="170" t="s">
        <v>591</v>
      </c>
    </row>
    <row r="26" spans="1:30" ht="39.75" customHeight="1">
      <c r="A26" s="929" t="s">
        <v>592</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533</v>
      </c>
      <c r="V26" s="472">
        <v>2527</v>
      </c>
      <c r="W26" s="742">
        <v>2647</v>
      </c>
      <c r="X26" s="472">
        <f t="shared" si="10"/>
        <v>-120</v>
      </c>
      <c r="Y26" s="662">
        <f t="shared" si="11"/>
        <v>1.0474871388998812</v>
      </c>
      <c r="Z26" s="479">
        <v>45973</v>
      </c>
      <c r="AA26" s="355">
        <v>1</v>
      </c>
      <c r="AB26" s="355">
        <v>1</v>
      </c>
      <c r="AC26" s="787">
        <v>0</v>
      </c>
      <c r="AD26" s="436" t="s">
        <v>593</v>
      </c>
    </row>
    <row r="27" spans="1:30" ht="39.75" customHeight="1">
      <c r="A27" s="929" t="s">
        <v>594</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533</v>
      </c>
      <c r="V27" s="472">
        <v>4141</v>
      </c>
      <c r="W27" s="742">
        <v>4316</v>
      </c>
      <c r="X27" s="472">
        <f t="shared" si="10"/>
        <v>-175</v>
      </c>
      <c r="Y27" s="662">
        <f t="shared" si="11"/>
        <v>1.042260323593335</v>
      </c>
      <c r="Z27" s="479">
        <v>45964</v>
      </c>
      <c r="AA27" s="355">
        <v>1</v>
      </c>
      <c r="AB27" s="355">
        <v>1</v>
      </c>
      <c r="AC27" s="787">
        <v>0</v>
      </c>
      <c r="AD27" s="436" t="s">
        <v>595</v>
      </c>
    </row>
    <row r="28" spans="1:30" ht="39.75" customHeight="1">
      <c r="A28" s="929" t="s">
        <v>596</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533</v>
      </c>
      <c r="V28" s="472">
        <v>6240</v>
      </c>
      <c r="W28" s="742">
        <v>6203</v>
      </c>
      <c r="X28" s="472">
        <f t="shared" si="10"/>
        <v>37</v>
      </c>
      <c r="Y28" s="662">
        <f t="shared" si="11"/>
        <v>0.99407051282051284</v>
      </c>
      <c r="Z28" s="479">
        <v>45951</v>
      </c>
      <c r="AA28" s="355">
        <v>1</v>
      </c>
      <c r="AB28" s="355">
        <v>1</v>
      </c>
      <c r="AC28" s="645">
        <v>0</v>
      </c>
      <c r="AD28" s="1067" t="s">
        <v>597</v>
      </c>
    </row>
    <row r="29" spans="1:30" ht="39.75" customHeight="1">
      <c r="A29" s="929" t="s">
        <v>598</v>
      </c>
      <c r="B29" s="465" t="s">
        <v>107</v>
      </c>
      <c r="C29" s="467">
        <v>45991</v>
      </c>
      <c r="D29" s="467" t="s">
        <v>127</v>
      </c>
      <c r="E29" s="467">
        <v>45966</v>
      </c>
      <c r="F29" s="465" t="s">
        <v>108</v>
      </c>
      <c r="G29" s="468" t="s">
        <v>599</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533</v>
      </c>
      <c r="V29" s="472">
        <v>5654</v>
      </c>
      <c r="W29" s="742">
        <v>5646</v>
      </c>
      <c r="X29" s="472">
        <f t="shared" si="10"/>
        <v>8</v>
      </c>
      <c r="Y29" s="662">
        <f t="shared" si="11"/>
        <v>0.99858507251503359</v>
      </c>
      <c r="Z29" s="479">
        <v>45978</v>
      </c>
      <c r="AA29" s="355">
        <v>1</v>
      </c>
      <c r="AB29" s="355">
        <v>1</v>
      </c>
      <c r="AC29" s="787">
        <v>0</v>
      </c>
      <c r="AD29" s="474" t="s">
        <v>600</v>
      </c>
    </row>
    <row r="30" spans="1:30" ht="39.75" customHeight="1">
      <c r="A30" s="929" t="s">
        <v>601</v>
      </c>
      <c r="B30" s="465" t="s">
        <v>107</v>
      </c>
      <c r="C30" s="467">
        <v>46001</v>
      </c>
      <c r="D30" s="467" t="s">
        <v>127</v>
      </c>
      <c r="E30" s="467">
        <v>45966</v>
      </c>
      <c r="F30" s="465" t="s">
        <v>108</v>
      </c>
      <c r="G30" s="682" t="s">
        <v>602</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533</v>
      </c>
      <c r="V30" s="472">
        <v>6025</v>
      </c>
      <c r="W30" s="742">
        <v>6130</v>
      </c>
      <c r="X30" s="472">
        <f t="shared" si="10"/>
        <v>-105</v>
      </c>
      <c r="Y30" s="662">
        <f t="shared" si="11"/>
        <v>1.0174273858921161</v>
      </c>
      <c r="Z30" s="479">
        <v>45985</v>
      </c>
      <c r="AA30" s="355">
        <v>1</v>
      </c>
      <c r="AB30" s="355">
        <v>1</v>
      </c>
      <c r="AC30" s="787">
        <v>0</v>
      </c>
      <c r="AD30" s="474" t="s">
        <v>603</v>
      </c>
    </row>
    <row r="31" spans="1:30" ht="39.75" customHeight="1">
      <c r="A31" s="929" t="s">
        <v>604</v>
      </c>
      <c r="B31" s="465" t="s">
        <v>107</v>
      </c>
      <c r="C31" s="467">
        <v>45991</v>
      </c>
      <c r="D31" s="467" t="s">
        <v>127</v>
      </c>
      <c r="E31" s="467">
        <v>45966</v>
      </c>
      <c r="F31" s="465" t="s">
        <v>140</v>
      </c>
      <c r="G31" s="682" t="s">
        <v>605</v>
      </c>
      <c r="H31" s="469">
        <v>75</v>
      </c>
      <c r="I31" s="661" t="s">
        <v>363</v>
      </c>
      <c r="J31" s="469" t="s">
        <v>63</v>
      </c>
      <c r="K31" s="469"/>
      <c r="L31" s="467">
        <v>45967</v>
      </c>
      <c r="M31" s="469" t="s">
        <v>57</v>
      </c>
      <c r="N31" s="542">
        <v>60620</v>
      </c>
      <c r="O31" s="469" t="s">
        <v>57</v>
      </c>
      <c r="P31" s="1428" t="s">
        <v>364</v>
      </c>
      <c r="Q31" s="347">
        <v>45967</v>
      </c>
      <c r="R31" s="1343"/>
      <c r="S31" s="1004"/>
      <c r="T31" s="552"/>
      <c r="U31" s="486" t="s">
        <v>533</v>
      </c>
      <c r="V31" s="472">
        <v>4814</v>
      </c>
      <c r="W31" s="742">
        <v>4708</v>
      </c>
      <c r="X31" s="472">
        <f>SUM(V31-W31)</f>
        <v>106</v>
      </c>
      <c r="Y31" s="862">
        <f>IFERROR($W31/$V31, 0)</f>
        <v>0.97798088907353553</v>
      </c>
      <c r="Z31" s="479">
        <v>45986</v>
      </c>
      <c r="AA31" s="355">
        <v>1</v>
      </c>
      <c r="AB31" s="355">
        <v>1</v>
      </c>
      <c r="AC31" s="787">
        <v>0</v>
      </c>
      <c r="AD31" s="757" t="s">
        <v>606</v>
      </c>
    </row>
    <row r="32" spans="1:30" ht="39.75" customHeight="1">
      <c r="A32" s="1374" t="s">
        <v>607</v>
      </c>
      <c r="B32" s="1205" t="s">
        <v>107</v>
      </c>
      <c r="C32" s="1204">
        <v>46001</v>
      </c>
      <c r="D32" s="1204" t="s">
        <v>127</v>
      </c>
      <c r="E32" s="1204">
        <v>46009</v>
      </c>
      <c r="F32" s="1205" t="s">
        <v>108</v>
      </c>
      <c r="G32" s="1205" t="s">
        <v>608</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533</v>
      </c>
      <c r="V32" s="1210">
        <v>1111</v>
      </c>
      <c r="W32" s="1373">
        <v>1188</v>
      </c>
      <c r="X32" s="1210">
        <f t="shared" ref="X32:X33" si="12">SUM(V32-W32)</f>
        <v>-77</v>
      </c>
      <c r="Y32" s="662">
        <f t="shared" ref="Y32:Y33" si="13">IFERROR($W32/$V32, 0)</f>
        <v>1.0693069306930694</v>
      </c>
      <c r="Z32" s="1229">
        <v>46020</v>
      </c>
      <c r="AA32" s="355">
        <v>1</v>
      </c>
      <c r="AB32" s="355">
        <v>1</v>
      </c>
      <c r="AC32" s="645">
        <v>0</v>
      </c>
      <c r="AD32" s="1213" t="s">
        <v>609</v>
      </c>
    </row>
    <row r="33" spans="1:30" ht="39.75" customHeight="1">
      <c r="A33" s="1374" t="s">
        <v>610</v>
      </c>
      <c r="B33" s="1205" t="s">
        <v>107</v>
      </c>
      <c r="C33" s="1204">
        <v>46001</v>
      </c>
      <c r="D33" s="1204" t="s">
        <v>127</v>
      </c>
      <c r="E33" s="1204">
        <v>46009</v>
      </c>
      <c r="F33" s="1205" t="s">
        <v>108</v>
      </c>
      <c r="G33" s="1205" t="s">
        <v>611</v>
      </c>
      <c r="H33" s="1206">
        <v>56</v>
      </c>
      <c r="I33" s="661" t="s">
        <v>363</v>
      </c>
      <c r="J33" s="1206" t="s">
        <v>63</v>
      </c>
      <c r="K33" s="1206"/>
      <c r="L33" s="1204">
        <v>45965</v>
      </c>
      <c r="M33" s="1206" t="s">
        <v>57</v>
      </c>
      <c r="N33" s="1207">
        <v>20705</v>
      </c>
      <c r="O33" s="1206" t="s">
        <v>57</v>
      </c>
      <c r="P33" s="1375" t="s">
        <v>364</v>
      </c>
      <c r="Q33" s="1209">
        <v>45965</v>
      </c>
      <c r="R33" s="1256"/>
      <c r="S33" s="1256"/>
      <c r="T33" s="1256"/>
      <c r="U33" s="486" t="s">
        <v>533</v>
      </c>
      <c r="V33" s="1210">
        <v>900</v>
      </c>
      <c r="W33" s="1373">
        <v>900</v>
      </c>
      <c r="X33" s="1210">
        <f t="shared" si="12"/>
        <v>0</v>
      </c>
      <c r="Y33" s="662">
        <f t="shared" si="13"/>
        <v>1</v>
      </c>
      <c r="Z33" s="1229">
        <v>46020</v>
      </c>
      <c r="AA33" s="1212">
        <v>1</v>
      </c>
      <c r="AB33" s="355">
        <v>1</v>
      </c>
      <c r="AC33" s="645">
        <v>0</v>
      </c>
      <c r="AD33" s="1213" t="s">
        <v>612</v>
      </c>
    </row>
    <row r="34" spans="1:30" ht="39.75" customHeight="1">
      <c r="A34" s="842" t="s">
        <v>613</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533</v>
      </c>
      <c r="V34" s="646">
        <v>328</v>
      </c>
      <c r="W34" s="742">
        <v>335</v>
      </c>
      <c r="X34" s="472">
        <f t="shared" si="6"/>
        <v>-7</v>
      </c>
      <c r="Y34" s="473">
        <f t="shared" si="7"/>
        <v>1.0213414634146341</v>
      </c>
      <c r="Z34" s="479">
        <v>45922</v>
      </c>
      <c r="AA34" s="355">
        <v>1</v>
      </c>
      <c r="AB34" s="355">
        <v>1</v>
      </c>
      <c r="AC34" s="472">
        <v>0</v>
      </c>
      <c r="AD34" s="757" t="s">
        <v>614</v>
      </c>
    </row>
    <row r="35" spans="1:30" ht="39.75" customHeight="1">
      <c r="A35" s="1374" t="s">
        <v>615</v>
      </c>
      <c r="B35" s="1205" t="s">
        <v>107</v>
      </c>
      <c r="C35" s="1204">
        <v>46031</v>
      </c>
      <c r="D35" s="1204" t="s">
        <v>127</v>
      </c>
      <c r="E35" s="1204">
        <v>46002</v>
      </c>
      <c r="F35" s="1205" t="s">
        <v>140</v>
      </c>
      <c r="G35" s="1205" t="s">
        <v>616</v>
      </c>
      <c r="H35" s="1206">
        <v>0</v>
      </c>
      <c r="I35" s="1206" t="s">
        <v>363</v>
      </c>
      <c r="J35" s="1206" t="s">
        <v>63</v>
      </c>
      <c r="K35" s="469"/>
      <c r="L35" s="1204" t="s">
        <v>155</v>
      </c>
      <c r="M35" s="1206" t="s">
        <v>57</v>
      </c>
      <c r="N35" s="1207">
        <v>23475.5</v>
      </c>
      <c r="O35" s="1272" t="s">
        <v>57</v>
      </c>
      <c r="P35" s="1434" t="s">
        <v>364</v>
      </c>
      <c r="Q35" s="1257">
        <v>45999</v>
      </c>
      <c r="R35" s="124"/>
      <c r="S35" s="124"/>
      <c r="T35" s="193"/>
      <c r="U35" s="87" t="s">
        <v>533</v>
      </c>
      <c r="V35" s="1431">
        <v>1890</v>
      </c>
      <c r="W35" s="1427">
        <v>2048</v>
      </c>
      <c r="X35" s="1268">
        <f>SUM(V35-W35)</f>
        <v>-158</v>
      </c>
      <c r="Y35" s="1366">
        <f t="shared" si="7"/>
        <v>1.0835978835978837</v>
      </c>
      <c r="Z35" s="1229">
        <v>46009</v>
      </c>
      <c r="AA35" s="1212">
        <v>1</v>
      </c>
      <c r="AB35" s="355">
        <v>1</v>
      </c>
      <c r="AC35" s="645">
        <v>0</v>
      </c>
      <c r="AD35" s="1213" t="s">
        <v>617</v>
      </c>
    </row>
    <row r="36" spans="1:30" ht="39.75" customHeight="1">
      <c r="A36" s="1374" t="s">
        <v>618</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533</v>
      </c>
      <c r="V36" s="1133">
        <v>908</v>
      </c>
      <c r="W36" s="1432">
        <v>925</v>
      </c>
      <c r="X36" s="1367">
        <f>SUM(V36-W36)</f>
        <v>-17</v>
      </c>
      <c r="Y36" s="662">
        <f t="shared" si="7"/>
        <v>1.0187224669603525</v>
      </c>
      <c r="Z36" s="1229">
        <v>46013</v>
      </c>
      <c r="AA36" s="1212">
        <v>1</v>
      </c>
      <c r="AB36" s="355">
        <v>1</v>
      </c>
      <c r="AC36" s="645">
        <v>0</v>
      </c>
      <c r="AD36" s="1213" t="s">
        <v>619</v>
      </c>
    </row>
    <row r="37" spans="1:30" ht="39.75" customHeight="1">
      <c r="A37" s="929" t="s">
        <v>620</v>
      </c>
      <c r="B37" s="465" t="s">
        <v>107</v>
      </c>
      <c r="C37" s="476">
        <v>45991</v>
      </c>
      <c r="D37" s="467" t="s">
        <v>195</v>
      </c>
      <c r="E37" s="467">
        <v>45953</v>
      </c>
      <c r="F37" s="465" t="s">
        <v>140</v>
      </c>
      <c r="G37" s="682" t="s">
        <v>621</v>
      </c>
      <c r="H37" s="469">
        <v>0</v>
      </c>
      <c r="I37" s="469" t="s">
        <v>363</v>
      </c>
      <c r="J37" s="469" t="s">
        <v>63</v>
      </c>
      <c r="K37" s="469"/>
      <c r="L37" s="467" t="s">
        <v>155</v>
      </c>
      <c r="M37" s="469" t="s">
        <v>57</v>
      </c>
      <c r="N37" s="542">
        <v>51970</v>
      </c>
      <c r="O37" s="87" t="s">
        <v>57</v>
      </c>
      <c r="P37" s="1435" t="s">
        <v>364</v>
      </c>
      <c r="Q37" s="124">
        <v>45953</v>
      </c>
      <c r="R37" s="124"/>
      <c r="S37" s="124"/>
      <c r="T37" s="652"/>
      <c r="U37" s="486" t="s">
        <v>533</v>
      </c>
      <c r="V37" s="963">
        <v>4544</v>
      </c>
      <c r="W37" s="852">
        <v>4569</v>
      </c>
      <c r="X37" s="472">
        <f>SUM(V37-W37)</f>
        <v>-25</v>
      </c>
      <c r="Y37" s="662">
        <f>IFERROR($W37/$V37, 0)</f>
        <v>1.0055017605633803</v>
      </c>
      <c r="Z37" s="479">
        <v>45960</v>
      </c>
      <c r="AA37" s="355">
        <v>1</v>
      </c>
      <c r="AB37" s="355">
        <v>0</v>
      </c>
      <c r="AC37" s="472">
        <v>0</v>
      </c>
      <c r="AD37" s="1153" t="s">
        <v>622</v>
      </c>
    </row>
    <row r="38" spans="1:30" ht="39.75" customHeight="1">
      <c r="A38" s="929" t="s">
        <v>623</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533</v>
      </c>
      <c r="V38" s="416">
        <v>3078</v>
      </c>
      <c r="W38" s="951">
        <v>3272</v>
      </c>
      <c r="X38" s="472">
        <f t="shared" si="6"/>
        <v>-194</v>
      </c>
      <c r="Y38" s="662">
        <f t="shared" si="7"/>
        <v>1.0630279402209226</v>
      </c>
      <c r="Z38" s="479">
        <v>45966</v>
      </c>
      <c r="AA38" s="355">
        <v>1</v>
      </c>
      <c r="AB38" s="355">
        <v>1</v>
      </c>
      <c r="AC38" s="472">
        <v>0</v>
      </c>
      <c r="AD38" s="170" t="s">
        <v>624</v>
      </c>
    </row>
    <row r="39" spans="1:30" ht="39.75" customHeight="1">
      <c r="A39" s="929" t="s">
        <v>625</v>
      </c>
      <c r="B39" s="465" t="s">
        <v>107</v>
      </c>
      <c r="C39" s="467">
        <v>45996</v>
      </c>
      <c r="D39" s="467" t="s">
        <v>434</v>
      </c>
      <c r="E39" s="467">
        <v>45958</v>
      </c>
      <c r="F39" s="465" t="s">
        <v>140</v>
      </c>
      <c r="G39" s="468" t="s">
        <v>626</v>
      </c>
      <c r="H39" s="469">
        <v>303</v>
      </c>
      <c r="I39" s="661" t="s">
        <v>363</v>
      </c>
      <c r="J39" s="469" t="s">
        <v>56</v>
      </c>
      <c r="K39" s="469"/>
      <c r="L39" s="467">
        <v>45953</v>
      </c>
      <c r="M39" s="469" t="s">
        <v>57</v>
      </c>
      <c r="N39" s="542">
        <v>168480.8</v>
      </c>
      <c r="O39" s="469" t="s">
        <v>57</v>
      </c>
      <c r="P39" s="806" t="s">
        <v>364</v>
      </c>
      <c r="Q39" s="471">
        <v>45953</v>
      </c>
      <c r="R39" s="471"/>
      <c r="S39" s="471"/>
      <c r="T39" s="471"/>
      <c r="U39" s="486" t="s">
        <v>533</v>
      </c>
      <c r="V39" s="472">
        <v>13760</v>
      </c>
      <c r="W39" s="742">
        <v>13760</v>
      </c>
      <c r="X39" s="106">
        <f t="shared" si="6"/>
        <v>0</v>
      </c>
      <c r="Y39" s="657">
        <f t="shared" si="7"/>
        <v>1</v>
      </c>
      <c r="Z39" s="678">
        <v>45978</v>
      </c>
      <c r="AA39" s="355">
        <v>1</v>
      </c>
      <c r="AB39" s="355">
        <v>1</v>
      </c>
      <c r="AC39" s="472">
        <v>0</v>
      </c>
      <c r="AD39" s="757" t="s">
        <v>627</v>
      </c>
    </row>
    <row r="40" spans="1:30" ht="39.75" customHeight="1">
      <c r="A40" s="842" t="s">
        <v>628</v>
      </c>
      <c r="B40" s="465" t="s">
        <v>107</v>
      </c>
      <c r="C40" s="476">
        <v>45960</v>
      </c>
      <c r="D40" s="467" t="s">
        <v>629</v>
      </c>
      <c r="E40" s="467">
        <v>45915</v>
      </c>
      <c r="F40" s="465" t="s">
        <v>630</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533</v>
      </c>
      <c r="V40" s="787">
        <v>14150</v>
      </c>
      <c r="W40" s="879">
        <v>15469</v>
      </c>
      <c r="X40" s="106">
        <f t="shared" si="6"/>
        <v>-1319</v>
      </c>
      <c r="Y40" s="657">
        <f t="shared" si="7"/>
        <v>1.0932155477031802</v>
      </c>
      <c r="Z40" s="678">
        <v>45926</v>
      </c>
      <c r="AA40" s="355">
        <v>1</v>
      </c>
      <c r="AB40" s="355">
        <v>1</v>
      </c>
      <c r="AC40" s="472">
        <v>0</v>
      </c>
      <c r="AD40" s="871" t="s">
        <v>631</v>
      </c>
    </row>
    <row r="41" spans="1:30" ht="39.75" customHeight="1">
      <c r="A41" s="929" t="s">
        <v>632</v>
      </c>
      <c r="B41" s="465" t="s">
        <v>107</v>
      </c>
      <c r="C41" s="476">
        <v>45930</v>
      </c>
      <c r="D41" s="467" t="s">
        <v>633</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533</v>
      </c>
      <c r="V41" s="787">
        <v>2811</v>
      </c>
      <c r="W41" s="879">
        <v>2732</v>
      </c>
      <c r="X41" s="106">
        <f>SUM(V41-W41)</f>
        <v>79</v>
      </c>
      <c r="Y41" s="22">
        <f>IFERROR($W41/$V41, 0)</f>
        <v>0.97189612237637857</v>
      </c>
      <c r="Z41" s="678">
        <v>45922</v>
      </c>
      <c r="AA41" s="355">
        <v>1</v>
      </c>
      <c r="AB41" s="355">
        <v>1</v>
      </c>
      <c r="AC41" s="472">
        <v>0</v>
      </c>
      <c r="AD41" s="664" t="s">
        <v>634</v>
      </c>
    </row>
    <row r="42" spans="1:30" ht="39.75" customHeight="1">
      <c r="A42" s="842" t="s">
        <v>635</v>
      </c>
      <c r="B42" s="823" t="s">
        <v>50</v>
      </c>
      <c r="C42" s="642">
        <v>45838</v>
      </c>
      <c r="D42" s="475" t="s">
        <v>636</v>
      </c>
      <c r="E42" s="476">
        <v>45727</v>
      </c>
      <c r="F42" s="475" t="s">
        <v>61</v>
      </c>
      <c r="G42" s="846" t="s">
        <v>637</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533</v>
      </c>
      <c r="V42" s="847">
        <v>4979</v>
      </c>
      <c r="W42" s="742">
        <v>5020</v>
      </c>
      <c r="X42" s="472">
        <f t="shared" si="6"/>
        <v>-41</v>
      </c>
      <c r="Y42" s="662">
        <f t="shared" si="7"/>
        <v>1.0082345852580838</v>
      </c>
      <c r="Z42" s="479">
        <v>45741</v>
      </c>
      <c r="AA42" s="662">
        <v>1</v>
      </c>
      <c r="AB42" s="662">
        <v>1</v>
      </c>
      <c r="AC42" s="352">
        <v>0</v>
      </c>
      <c r="AD42" s="664" t="s">
        <v>638</v>
      </c>
    </row>
    <row r="43" spans="1:30" ht="39.75" customHeight="1">
      <c r="A43" s="927" t="s">
        <v>639</v>
      </c>
      <c r="B43" s="510" t="s">
        <v>50</v>
      </c>
      <c r="C43" s="496">
        <v>45772</v>
      </c>
      <c r="D43" s="511" t="s">
        <v>640</v>
      </c>
      <c r="E43" s="511">
        <v>45693</v>
      </c>
      <c r="F43" s="501" t="s">
        <v>61</v>
      </c>
      <c r="G43" s="512" t="s">
        <v>641</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533</v>
      </c>
      <c r="V43" s="493">
        <v>7980</v>
      </c>
      <c r="W43" s="741">
        <v>7901</v>
      </c>
      <c r="X43" s="106">
        <f t="shared" si="6"/>
        <v>79</v>
      </c>
      <c r="Y43" s="22">
        <f t="shared" si="7"/>
        <v>0.99010025062656637</v>
      </c>
      <c r="Z43" s="678">
        <v>45713</v>
      </c>
      <c r="AA43" s="473">
        <v>1</v>
      </c>
      <c r="AB43" s="473">
        <v>1</v>
      </c>
      <c r="AC43" s="815">
        <v>0</v>
      </c>
      <c r="AD43" s="173" t="s">
        <v>642</v>
      </c>
    </row>
    <row r="44" spans="1:30" ht="39.75" customHeight="1">
      <c r="A44" s="927" t="s">
        <v>643</v>
      </c>
      <c r="B44" s="510" t="s">
        <v>50</v>
      </c>
      <c r="C44" s="496">
        <v>45772</v>
      </c>
      <c r="D44" s="511" t="s">
        <v>640</v>
      </c>
      <c r="E44" s="511">
        <v>45698</v>
      </c>
      <c r="F44" s="496" t="s">
        <v>61</v>
      </c>
      <c r="G44" s="512" t="s">
        <v>644</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533</v>
      </c>
      <c r="V44" s="493">
        <v>7562</v>
      </c>
      <c r="W44" s="741">
        <v>7556</v>
      </c>
      <c r="X44" s="106">
        <f t="shared" si="6"/>
        <v>6</v>
      </c>
      <c r="Y44" s="22">
        <f t="shared" si="7"/>
        <v>0.99920655911134626</v>
      </c>
      <c r="Z44" s="678">
        <v>45709</v>
      </c>
      <c r="AA44" s="473">
        <v>1</v>
      </c>
      <c r="AB44" s="473">
        <v>1</v>
      </c>
      <c r="AC44" s="815">
        <v>0</v>
      </c>
      <c r="AD44" s="201" t="s">
        <v>645</v>
      </c>
    </row>
    <row r="45" spans="1:30" ht="39.75" customHeight="1">
      <c r="A45" s="848" t="s">
        <v>646</v>
      </c>
      <c r="B45" s="823" t="s">
        <v>50</v>
      </c>
      <c r="C45" s="476">
        <v>45772</v>
      </c>
      <c r="D45" s="476" t="s">
        <v>636</v>
      </c>
      <c r="E45" s="826">
        <v>45686</v>
      </c>
      <c r="F45" s="475" t="s">
        <v>61</v>
      </c>
      <c r="G45" s="849" t="s">
        <v>647</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533</v>
      </c>
      <c r="V45" s="851">
        <v>5005</v>
      </c>
      <c r="W45" s="852">
        <v>4996</v>
      </c>
      <c r="X45" s="472">
        <f t="shared" si="6"/>
        <v>9</v>
      </c>
      <c r="Y45" s="662">
        <f t="shared" si="7"/>
        <v>0.99820179820179822</v>
      </c>
      <c r="Z45" s="479">
        <v>45708</v>
      </c>
      <c r="AA45" s="662">
        <v>1</v>
      </c>
      <c r="AB45" s="662">
        <v>1</v>
      </c>
      <c r="AC45" s="815">
        <v>0</v>
      </c>
      <c r="AD45" s="853" t="s">
        <v>648</v>
      </c>
    </row>
    <row r="46" spans="1:30" ht="39.75" customHeight="1">
      <c r="A46" s="848" t="s">
        <v>649</v>
      </c>
      <c r="B46" s="823" t="s">
        <v>50</v>
      </c>
      <c r="C46" s="476">
        <v>45772</v>
      </c>
      <c r="D46" s="826" t="s">
        <v>650</v>
      </c>
      <c r="E46" s="826">
        <v>45694</v>
      </c>
      <c r="F46" s="826" t="s">
        <v>61</v>
      </c>
      <c r="G46" s="849" t="s">
        <v>651</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533</v>
      </c>
      <c r="V46" s="847">
        <v>4979</v>
      </c>
      <c r="W46" s="852">
        <v>4984</v>
      </c>
      <c r="X46" s="472">
        <f t="shared" si="6"/>
        <v>-5</v>
      </c>
      <c r="Y46" s="662">
        <f t="shared" si="7"/>
        <v>1.0010042177144005</v>
      </c>
      <c r="Z46" s="479">
        <v>45714</v>
      </c>
      <c r="AA46" s="662">
        <v>1</v>
      </c>
      <c r="AB46" s="662">
        <v>1</v>
      </c>
      <c r="AC46" s="815">
        <v>0</v>
      </c>
      <c r="AD46" s="148" t="s">
        <v>652</v>
      </c>
    </row>
    <row r="47" spans="1:30" ht="39.75" customHeight="1">
      <c r="A47" s="1098" t="s">
        <v>653</v>
      </c>
      <c r="B47" s="378" t="s">
        <v>50</v>
      </c>
      <c r="C47" s="51">
        <v>45742</v>
      </c>
      <c r="D47" s="1086" t="s">
        <v>654</v>
      </c>
      <c r="E47" s="381">
        <v>45680</v>
      </c>
      <c r="F47" s="50" t="s">
        <v>61</v>
      </c>
      <c r="G47" s="572" t="s">
        <v>655</v>
      </c>
      <c r="H47" s="52">
        <v>79</v>
      </c>
      <c r="I47" s="1088" t="s">
        <v>525</v>
      </c>
      <c r="J47" s="977" t="s">
        <v>63</v>
      </c>
      <c r="K47" s="52"/>
      <c r="L47" s="374" t="s">
        <v>364</v>
      </c>
      <c r="M47" s="380" t="s">
        <v>57</v>
      </c>
      <c r="N47" s="1076">
        <v>64790.5</v>
      </c>
      <c r="O47" s="380" t="s">
        <v>57</v>
      </c>
      <c r="P47" s="1099" t="s">
        <v>364</v>
      </c>
      <c r="Q47" s="54">
        <v>45675</v>
      </c>
      <c r="R47" s="54">
        <v>45917</v>
      </c>
      <c r="S47" s="54">
        <v>45931</v>
      </c>
      <c r="T47" s="54"/>
      <c r="U47" s="486" t="s">
        <v>533</v>
      </c>
      <c r="V47" s="31">
        <v>4975</v>
      </c>
      <c r="W47" s="1100">
        <v>4975</v>
      </c>
      <c r="X47" s="106">
        <f t="shared" si="6"/>
        <v>0</v>
      </c>
      <c r="Y47" s="22">
        <f t="shared" si="7"/>
        <v>1</v>
      </c>
      <c r="Z47" s="195">
        <v>45680</v>
      </c>
      <c r="AA47" s="355">
        <v>0</v>
      </c>
      <c r="AB47" s="355">
        <v>0</v>
      </c>
      <c r="AC47" s="815">
        <v>0</v>
      </c>
      <c r="AD47" s="69" t="s">
        <v>656</v>
      </c>
    </row>
    <row r="48" spans="1:30" ht="39.75" customHeight="1">
      <c r="A48" s="842" t="s">
        <v>657</v>
      </c>
      <c r="B48" s="823" t="s">
        <v>50</v>
      </c>
      <c r="C48" s="467">
        <v>45960</v>
      </c>
      <c r="D48" s="465" t="s">
        <v>225</v>
      </c>
      <c r="E48" s="467">
        <v>45927</v>
      </c>
      <c r="F48" s="465" t="s">
        <v>521</v>
      </c>
      <c r="G48" s="682" t="s">
        <v>658</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533</v>
      </c>
      <c r="V48" s="472">
        <v>3242</v>
      </c>
      <c r="W48" s="742">
        <v>3228</v>
      </c>
      <c r="X48" s="981">
        <f t="shared" si="6"/>
        <v>14</v>
      </c>
      <c r="Y48" s="982">
        <f t="shared" si="7"/>
        <v>0.99568167797655771</v>
      </c>
      <c r="Z48" s="678">
        <v>45930</v>
      </c>
      <c r="AA48" s="355">
        <v>0</v>
      </c>
      <c r="AB48" s="355">
        <v>0</v>
      </c>
      <c r="AC48" s="787">
        <v>0</v>
      </c>
      <c r="AD48" s="880"/>
    </row>
    <row r="49" spans="1:30" ht="39.75" customHeight="1">
      <c r="A49" s="929" t="s">
        <v>659</v>
      </c>
      <c r="B49" s="823" t="s">
        <v>50</v>
      </c>
      <c r="C49" s="467">
        <v>45991</v>
      </c>
      <c r="D49" s="467" t="s">
        <v>71</v>
      </c>
      <c r="E49" s="476">
        <v>45743</v>
      </c>
      <c r="F49" s="475" t="s">
        <v>61</v>
      </c>
      <c r="G49" s="824" t="s">
        <v>660</v>
      </c>
      <c r="H49" s="478">
        <v>70</v>
      </c>
      <c r="I49" s="661" t="s">
        <v>363</v>
      </c>
      <c r="J49" s="469" t="s">
        <v>63</v>
      </c>
      <c r="K49" s="825"/>
      <c r="L49" s="476">
        <v>45741</v>
      </c>
      <c r="M49" s="469" t="s">
        <v>57</v>
      </c>
      <c r="N49" s="543">
        <v>67735.5</v>
      </c>
      <c r="O49" s="469" t="s">
        <v>57</v>
      </c>
      <c r="P49" s="806" t="s">
        <v>364</v>
      </c>
      <c r="Q49" s="479">
        <v>45779</v>
      </c>
      <c r="R49" s="479"/>
      <c r="S49" s="479"/>
      <c r="T49" s="479"/>
      <c r="U49" s="486" t="s">
        <v>533</v>
      </c>
      <c r="V49" s="41">
        <v>6152</v>
      </c>
      <c r="W49" s="742">
        <v>5723</v>
      </c>
      <c r="X49" s="106">
        <f>SUM(V49-W49)</f>
        <v>429</v>
      </c>
      <c r="Y49" s="657">
        <f>IFERROR($W49/$V49, 0)</f>
        <v>0.9302665799739922</v>
      </c>
      <c r="Z49" s="678">
        <v>45792</v>
      </c>
      <c r="AA49" s="355">
        <v>0</v>
      </c>
      <c r="AB49" s="355">
        <v>0</v>
      </c>
      <c r="AC49" s="645">
        <v>0</v>
      </c>
      <c r="AD49" s="353" t="s">
        <v>661</v>
      </c>
    </row>
    <row r="50" spans="1:30" ht="39.75" customHeight="1">
      <c r="A50" s="878" t="s">
        <v>662</v>
      </c>
      <c r="B50" s="823" t="s">
        <v>50</v>
      </c>
      <c r="C50" s="826">
        <v>45716</v>
      </c>
      <c r="D50" s="826" t="s">
        <v>71</v>
      </c>
      <c r="E50" s="826">
        <v>45701</v>
      </c>
      <c r="F50" s="475" t="s">
        <v>61</v>
      </c>
      <c r="G50" s="849" t="s">
        <v>538</v>
      </c>
      <c r="H50" s="828">
        <v>0</v>
      </c>
      <c r="I50" s="828" t="s">
        <v>364</v>
      </c>
      <c r="J50" s="828" t="s">
        <v>63</v>
      </c>
      <c r="K50" s="828"/>
      <c r="L50" s="826">
        <v>45705</v>
      </c>
      <c r="M50" s="828" t="s">
        <v>57</v>
      </c>
      <c r="N50" s="850">
        <v>1295</v>
      </c>
      <c r="O50" s="828" t="s">
        <v>57</v>
      </c>
      <c r="P50" s="806" t="s">
        <v>364</v>
      </c>
      <c r="Q50" s="513">
        <v>45706</v>
      </c>
      <c r="R50" s="513">
        <v>45826</v>
      </c>
      <c r="S50" s="513"/>
      <c r="T50" s="513"/>
      <c r="U50" s="486" t="s">
        <v>533</v>
      </c>
      <c r="V50" s="851">
        <v>153</v>
      </c>
      <c r="W50" s="741">
        <v>153</v>
      </c>
      <c r="X50" s="106">
        <f t="shared" si="6"/>
        <v>0</v>
      </c>
      <c r="Y50" s="657">
        <f t="shared" si="7"/>
        <v>1</v>
      </c>
      <c r="Z50" s="678">
        <v>45754</v>
      </c>
      <c r="AA50" s="473">
        <v>1</v>
      </c>
      <c r="AB50" s="473">
        <v>1</v>
      </c>
      <c r="AC50" s="815">
        <v>0</v>
      </c>
      <c r="AD50" s="173" t="s">
        <v>663</v>
      </c>
    </row>
    <row r="51" spans="1:30" ht="39.75" customHeight="1">
      <c r="A51" s="842" t="s">
        <v>664</v>
      </c>
      <c r="B51" s="788" t="s">
        <v>50</v>
      </c>
      <c r="C51" s="887">
        <v>46008</v>
      </c>
      <c r="D51" s="1087" t="s">
        <v>665</v>
      </c>
      <c r="E51" s="57">
        <v>45952</v>
      </c>
      <c r="F51" s="771" t="s">
        <v>521</v>
      </c>
      <c r="G51" s="789"/>
      <c r="H51" s="775">
        <v>139</v>
      </c>
      <c r="I51" s="661" t="s">
        <v>363</v>
      </c>
      <c r="J51" s="469" t="s">
        <v>56</v>
      </c>
      <c r="K51" s="775"/>
      <c r="L51" s="57" t="s">
        <v>52</v>
      </c>
      <c r="M51" s="977" t="s">
        <v>57</v>
      </c>
      <c r="N51" s="1076">
        <v>42766.5</v>
      </c>
      <c r="O51" s="52" t="s">
        <v>57</v>
      </c>
      <c r="P51" s="1099" t="s">
        <v>364</v>
      </c>
      <c r="Q51" s="54">
        <v>45939</v>
      </c>
      <c r="R51" s="195"/>
      <c r="S51" s="54"/>
      <c r="T51" s="54"/>
      <c r="U51" s="486" t="s">
        <v>533</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525</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525</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525</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525</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525</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525</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525</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525</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525</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525</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535</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525</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525</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525</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525</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525</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525</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525</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525</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525</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525</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525</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525</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523</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535</v>
      </c>
      <c r="E146" s="57">
        <v>45694</v>
      </c>
      <c r="F146" s="57" t="s">
        <v>800</v>
      </c>
      <c r="G146" s="794" t="s">
        <v>1028</v>
      </c>
      <c r="H146" s="775">
        <v>0</v>
      </c>
      <c r="I146" s="790" t="s">
        <v>525</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544</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535</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537</v>
      </c>
      <c r="B284">
        <v>2227</v>
      </c>
      <c r="G284">
        <v>2227</v>
      </c>
    </row>
    <row r="285" spans="1:7">
      <c r="A285" t="s">
        <v>830</v>
      </c>
      <c r="C285">
        <v>0</v>
      </c>
      <c r="D285">
        <v>0</v>
      </c>
      <c r="E285">
        <v>344</v>
      </c>
      <c r="G285">
        <v>344</v>
      </c>
    </row>
    <row r="286" spans="1:7">
      <c r="A286" t="s">
        <v>534</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542</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534</v>
      </c>
    </row>
    <row r="311" spans="1:7">
      <c r="A311" t="s">
        <v>908</v>
      </c>
    </row>
    <row r="312" spans="1:7">
      <c r="A312" t="s">
        <v>727</v>
      </c>
      <c r="B312">
        <v>618</v>
      </c>
      <c r="C312">
        <v>700</v>
      </c>
      <c r="G312">
        <v>1318</v>
      </c>
    </row>
    <row r="313" spans="1:7">
      <c r="A313" t="s">
        <v>719</v>
      </c>
    </row>
    <row r="314" spans="1:7">
      <c r="A314" t="s">
        <v>542</v>
      </c>
    </row>
    <row r="315" spans="1:7">
      <c r="A315" t="s">
        <v>905</v>
      </c>
      <c r="B315">
        <v>990</v>
      </c>
      <c r="C315">
        <v>1871</v>
      </c>
      <c r="D315">
        <v>1307</v>
      </c>
      <c r="G315">
        <v>4168</v>
      </c>
    </row>
    <row r="316" spans="1:7">
      <c r="A316" t="s">
        <v>509</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509</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513</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516</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424</v>
      </c>
      <c r="B470">
        <v>644</v>
      </c>
      <c r="C470">
        <v>1430</v>
      </c>
      <c r="D470">
        <v>970</v>
      </c>
      <c r="G470">
        <v>3044</v>
      </c>
    </row>
    <row r="471" spans="1:7">
      <c r="A471" t="s">
        <v>540</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424</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509</v>
      </c>
      <c r="E501">
        <v>341</v>
      </c>
      <c r="G501">
        <v>341</v>
      </c>
    </row>
    <row r="502" spans="1:7">
      <c r="A502" t="s">
        <v>1097</v>
      </c>
    </row>
    <row r="503" spans="1:7">
      <c r="A503" t="s">
        <v>424</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534</v>
      </c>
      <c r="E534">
        <v>977</v>
      </c>
      <c r="G534">
        <v>977</v>
      </c>
    </row>
    <row r="535" spans="1:7">
      <c r="A535" t="s">
        <v>1096</v>
      </c>
      <c r="D535">
        <v>81</v>
      </c>
      <c r="F535">
        <v>114</v>
      </c>
      <c r="G535">
        <v>195</v>
      </c>
    </row>
    <row r="536" spans="1:7">
      <c r="A536" t="s">
        <v>685</v>
      </c>
    </row>
    <row r="537" spans="1:7">
      <c r="A537" t="s">
        <v>424</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534</v>
      </c>
      <c r="E549">
        <v>676</v>
      </c>
      <c r="F549">
        <v>430</v>
      </c>
      <c r="G549">
        <v>1106</v>
      </c>
    </row>
    <row r="550" spans="1:7">
      <c r="A550" t="s">
        <v>509</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534</v>
      </c>
      <c r="B565">
        <v>885</v>
      </c>
      <c r="C565">
        <v>478</v>
      </c>
      <c r="D565">
        <v>490</v>
      </c>
      <c r="E565">
        <v>372</v>
      </c>
      <c r="G565">
        <v>2225</v>
      </c>
    </row>
    <row r="566" spans="1:7">
      <c r="A566" t="s">
        <v>1089</v>
      </c>
    </row>
    <row r="567" spans="1:7">
      <c r="A567" t="s">
        <v>1096</v>
      </c>
      <c r="B567">
        <v>360</v>
      </c>
      <c r="G567">
        <v>360</v>
      </c>
    </row>
    <row r="568" spans="1:7">
      <c r="A568" t="s">
        <v>424</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537</v>
      </c>
      <c r="F578">
        <v>198</v>
      </c>
      <c r="G578">
        <v>198</v>
      </c>
    </row>
    <row r="579" spans="1:7">
      <c r="A579" t="s">
        <v>534</v>
      </c>
    </row>
    <row r="580" spans="1:7">
      <c r="A580" t="s">
        <v>542</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537</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537</v>
      </c>
      <c r="D605">
        <v>461</v>
      </c>
      <c r="E605">
        <v>880</v>
      </c>
      <c r="F605">
        <v>585</v>
      </c>
      <c r="G605">
        <v>1926</v>
      </c>
    </row>
    <row r="606" spans="1:7">
      <c r="A606" t="s">
        <v>542</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537</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531</v>
      </c>
      <c r="D632">
        <v>314</v>
      </c>
      <c r="G632">
        <v>314</v>
      </c>
    </row>
    <row r="633" spans="1:7">
      <c r="A633" t="s">
        <v>545</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531</v>
      </c>
    </row>
    <row r="642" spans="1:7">
      <c r="A642" t="s">
        <v>545</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545</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542</v>
      </c>
      <c r="D665">
        <v>499</v>
      </c>
      <c r="E665">
        <v>231</v>
      </c>
      <c r="F665">
        <v>316</v>
      </c>
      <c r="G665">
        <v>1046</v>
      </c>
    </row>
    <row r="666" spans="1:7">
      <c r="A666" t="s">
        <v>509</v>
      </c>
    </row>
    <row r="667" spans="1:7">
      <c r="A667" t="s">
        <v>1091</v>
      </c>
      <c r="B667">
        <v>141</v>
      </c>
      <c r="D667">
        <v>181</v>
      </c>
      <c r="E667">
        <v>82</v>
      </c>
      <c r="F667">
        <v>96</v>
      </c>
      <c r="G667">
        <v>500</v>
      </c>
    </row>
    <row r="668" spans="1:7">
      <c r="A668" t="s">
        <v>783</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537</v>
      </c>
      <c r="D685">
        <v>1241</v>
      </c>
      <c r="G685">
        <v>1241</v>
      </c>
    </row>
    <row r="686" spans="1:7">
      <c r="A686" t="s">
        <v>542</v>
      </c>
      <c r="B686">
        <v>503</v>
      </c>
      <c r="C686">
        <v>295</v>
      </c>
      <c r="F686">
        <v>6</v>
      </c>
      <c r="G686">
        <v>804</v>
      </c>
    </row>
    <row r="687" spans="1:7">
      <c r="A687" t="s">
        <v>509</v>
      </c>
      <c r="C687">
        <v>1009</v>
      </c>
      <c r="G687">
        <v>1009</v>
      </c>
    </row>
    <row r="688" spans="1:7">
      <c r="A688" t="s">
        <v>1091</v>
      </c>
      <c r="B688">
        <v>20</v>
      </c>
      <c r="E688">
        <v>250</v>
      </c>
      <c r="F688">
        <v>177</v>
      </c>
      <c r="G688">
        <v>447</v>
      </c>
    </row>
    <row r="689" spans="1:7">
      <c r="A689" t="s">
        <v>545</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537</v>
      </c>
    </row>
    <row r="708" spans="1:7">
      <c r="A708" t="s">
        <v>908</v>
      </c>
    </row>
    <row r="709" spans="1:7">
      <c r="A709" t="s">
        <v>542</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556</v>
      </c>
      <c r="E719">
        <v>903</v>
      </c>
      <c r="G719">
        <v>903</v>
      </c>
    </row>
    <row r="720" spans="1:7">
      <c r="A720" t="s">
        <v>547</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509</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556</v>
      </c>
      <c r="B731">
        <v>254</v>
      </c>
      <c r="C731">
        <v>1686</v>
      </c>
      <c r="D731">
        <v>611</v>
      </c>
      <c r="G731">
        <v>2551</v>
      </c>
    </row>
    <row r="732" spans="1:7">
      <c r="A732" t="s">
        <v>547</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537</v>
      </c>
      <c r="D743">
        <v>139</v>
      </c>
      <c r="G743">
        <v>139</v>
      </c>
    </row>
    <row r="744" spans="1:7">
      <c r="A744" t="s">
        <v>542</v>
      </c>
    </row>
    <row r="745" spans="1:7">
      <c r="A745" t="s">
        <v>516</v>
      </c>
      <c r="E745">
        <v>97</v>
      </c>
      <c r="G745">
        <v>97</v>
      </c>
    </row>
    <row r="746" spans="1:7">
      <c r="A746" t="s">
        <v>1096</v>
      </c>
      <c r="B746">
        <v>42</v>
      </c>
      <c r="C746">
        <v>219</v>
      </c>
      <c r="F746">
        <v>70</v>
      </c>
      <c r="G746">
        <v>331</v>
      </c>
    </row>
    <row r="747" spans="1:7">
      <c r="A747" t="s">
        <v>1114</v>
      </c>
    </row>
    <row r="748" spans="1:7">
      <c r="A748" t="s">
        <v>556</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558</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537</v>
      </c>
      <c r="B763">
        <v>60</v>
      </c>
      <c r="G763">
        <v>60</v>
      </c>
    </row>
    <row r="764" spans="1:7">
      <c r="A764" t="s">
        <v>513</v>
      </c>
      <c r="E764">
        <v>175</v>
      </c>
      <c r="G764">
        <v>175</v>
      </c>
    </row>
    <row r="765" spans="1:7">
      <c r="A765" t="s">
        <v>1096</v>
      </c>
      <c r="C765">
        <v>224</v>
      </c>
      <c r="G765">
        <v>224</v>
      </c>
    </row>
    <row r="766" spans="1:7">
      <c r="A766" t="s">
        <v>531</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558</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613</v>
      </c>
      <c r="B776">
        <v>335</v>
      </c>
      <c r="G776">
        <v>335</v>
      </c>
    </row>
    <row r="777" spans="1:7">
      <c r="A777" t="s">
        <v>1120</v>
      </c>
      <c r="B777">
        <v>415</v>
      </c>
      <c r="C777">
        <v>291</v>
      </c>
      <c r="F777">
        <v>755</v>
      </c>
      <c r="G777">
        <v>1461</v>
      </c>
    </row>
    <row r="778" spans="1:7">
      <c r="A778" t="s">
        <v>561</v>
      </c>
      <c r="C778">
        <v>1231</v>
      </c>
      <c r="D778">
        <v>1538</v>
      </c>
      <c r="E778">
        <v>1377</v>
      </c>
      <c r="G778">
        <v>4146</v>
      </c>
    </row>
    <row r="779" spans="1:7">
      <c r="A779" t="s">
        <v>567</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513</v>
      </c>
      <c r="B790">
        <v>229</v>
      </c>
      <c r="G790">
        <v>229</v>
      </c>
    </row>
    <row r="791" spans="1:7">
      <c r="A791" t="s">
        <v>516</v>
      </c>
      <c r="C791">
        <v>134</v>
      </c>
      <c r="E791">
        <v>450</v>
      </c>
      <c r="F791">
        <v>352</v>
      </c>
      <c r="G791">
        <v>936</v>
      </c>
    </row>
    <row r="792" spans="1:7">
      <c r="A792" t="s">
        <v>1096</v>
      </c>
      <c r="D792">
        <v>201</v>
      </c>
      <c r="F792">
        <v>352</v>
      </c>
      <c r="G792">
        <v>553</v>
      </c>
    </row>
    <row r="793" spans="1:7">
      <c r="A793" t="s">
        <v>531</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561</v>
      </c>
      <c r="B798">
        <v>600</v>
      </c>
      <c r="G798">
        <v>600</v>
      </c>
    </row>
    <row r="799" spans="1:7">
      <c r="A799" t="s">
        <v>567</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584</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513</v>
      </c>
      <c r="E813">
        <v>270</v>
      </c>
      <c r="F813">
        <v>268</v>
      </c>
      <c r="G813">
        <v>538</v>
      </c>
    </row>
    <row r="814" spans="1:7">
      <c r="A814" t="s">
        <v>1090</v>
      </c>
      <c r="D814">
        <v>126</v>
      </c>
      <c r="E814">
        <v>229</v>
      </c>
      <c r="G814">
        <v>355</v>
      </c>
    </row>
    <row r="815" spans="1:7">
      <c r="A815" t="s">
        <v>516</v>
      </c>
      <c r="B815">
        <v>175</v>
      </c>
      <c r="C815">
        <v>270</v>
      </c>
      <c r="G815">
        <v>445</v>
      </c>
    </row>
    <row r="816" spans="1:7">
      <c r="A816" t="s">
        <v>1096</v>
      </c>
      <c r="B816">
        <v>65</v>
      </c>
      <c r="C816">
        <v>55</v>
      </c>
      <c r="G816">
        <v>120</v>
      </c>
    </row>
    <row r="817" spans="1:7">
      <c r="A817" t="s">
        <v>531</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567</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584</v>
      </c>
      <c r="B825">
        <v>1174</v>
      </c>
      <c r="C825">
        <v>1597</v>
      </c>
      <c r="D825">
        <v>308</v>
      </c>
      <c r="G825">
        <v>3079</v>
      </c>
    </row>
    <row r="826" spans="1:7">
      <c r="A826" t="s">
        <v>988</v>
      </c>
      <c r="B826">
        <v>1545</v>
      </c>
      <c r="C826">
        <v>995</v>
      </c>
      <c r="G826">
        <v>2540</v>
      </c>
    </row>
    <row r="827" spans="1:7">
      <c r="A827" t="s">
        <v>551</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584</v>
      </c>
    </row>
    <row r="842" spans="1:7">
      <c r="A842" t="s">
        <v>988</v>
      </c>
    </row>
    <row r="843" spans="1:7">
      <c r="A843" t="s">
        <v>153</v>
      </c>
      <c r="B843">
        <v>828</v>
      </c>
      <c r="C843">
        <v>150</v>
      </c>
      <c r="E843">
        <v>688</v>
      </c>
      <c r="G843">
        <v>1666</v>
      </c>
    </row>
    <row r="844" spans="1:7">
      <c r="A844" t="s">
        <v>1124</v>
      </c>
      <c r="B844">
        <v>233</v>
      </c>
      <c r="G844">
        <v>233</v>
      </c>
    </row>
    <row r="845" spans="1:7">
      <c r="A845" t="s">
        <v>586</v>
      </c>
      <c r="B845">
        <v>1768</v>
      </c>
      <c r="C845">
        <v>510</v>
      </c>
      <c r="G845">
        <v>2278</v>
      </c>
    </row>
    <row r="846" spans="1:7">
      <c r="A846" t="s">
        <v>519</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590</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516</v>
      </c>
      <c r="B860">
        <v>153</v>
      </c>
      <c r="C860">
        <v>244</v>
      </c>
      <c r="E860">
        <v>237</v>
      </c>
      <c r="G860">
        <v>634</v>
      </c>
    </row>
    <row r="861" spans="1:7">
      <c r="A861" t="s">
        <v>1096</v>
      </c>
      <c r="B861">
        <v>455</v>
      </c>
      <c r="G861">
        <v>455</v>
      </c>
    </row>
    <row r="862" spans="1:7">
      <c r="A862" t="s">
        <v>531</v>
      </c>
      <c r="B862">
        <v>151</v>
      </c>
      <c r="C862">
        <v>149</v>
      </c>
      <c r="G862">
        <v>300</v>
      </c>
    </row>
    <row r="863" spans="1:7">
      <c r="A863" t="s">
        <v>77</v>
      </c>
      <c r="D863">
        <v>168</v>
      </c>
      <c r="F863">
        <v>34</v>
      </c>
      <c r="G863">
        <v>202</v>
      </c>
    </row>
    <row r="864" spans="1:7">
      <c r="A864" t="s">
        <v>551</v>
      </c>
    </row>
    <row r="865" spans="1:7">
      <c r="A865" t="s">
        <v>519</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590</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596</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513</v>
      </c>
      <c r="D880">
        <v>171</v>
      </c>
      <c r="G880">
        <v>171</v>
      </c>
    </row>
    <row r="881" spans="1:7">
      <c r="A881" t="s">
        <v>1090</v>
      </c>
      <c r="B881">
        <v>567</v>
      </c>
      <c r="G881">
        <v>567</v>
      </c>
    </row>
    <row r="882" spans="1:7">
      <c r="A882" t="s">
        <v>531</v>
      </c>
    </row>
    <row r="883" spans="1:7">
      <c r="A883" t="s">
        <v>545</v>
      </c>
      <c r="F883">
        <v>60</v>
      </c>
      <c r="G883">
        <v>60</v>
      </c>
    </row>
    <row r="884" spans="1:7">
      <c r="A884" t="s">
        <v>266</v>
      </c>
    </row>
    <row r="885" spans="1:7">
      <c r="A885" t="s">
        <v>361</v>
      </c>
    </row>
    <row r="886" spans="1:7">
      <c r="A886" t="s">
        <v>77</v>
      </c>
      <c r="B886">
        <v>188</v>
      </c>
      <c r="C886">
        <v>140</v>
      </c>
      <c r="G886">
        <v>328</v>
      </c>
    </row>
    <row r="887" spans="1:7">
      <c r="A887" t="s">
        <v>551</v>
      </c>
      <c r="B887">
        <v>270</v>
      </c>
      <c r="C887">
        <v>60</v>
      </c>
      <c r="G887">
        <v>330</v>
      </c>
    </row>
    <row r="888" spans="1:7">
      <c r="A888" t="s">
        <v>586</v>
      </c>
    </row>
    <row r="889" spans="1:7">
      <c r="A889" t="s">
        <v>519</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588</v>
      </c>
      <c r="C893">
        <v>1509</v>
      </c>
      <c r="D893">
        <v>1087</v>
      </c>
      <c r="E893">
        <v>777</v>
      </c>
      <c r="G893">
        <v>3373</v>
      </c>
    </row>
    <row r="894" spans="1:7">
      <c r="A894" t="s">
        <v>596</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582</v>
      </c>
      <c r="C898">
        <v>1678</v>
      </c>
      <c r="E898">
        <v>394</v>
      </c>
      <c r="G898">
        <v>2072</v>
      </c>
    </row>
    <row r="899" spans="1:7">
      <c r="A899" t="s">
        <v>375</v>
      </c>
      <c r="D899">
        <v>3179</v>
      </c>
      <c r="G899">
        <v>3179</v>
      </c>
    </row>
    <row r="900" spans="1:7">
      <c r="A900" t="s">
        <v>620</v>
      </c>
      <c r="E900">
        <v>978</v>
      </c>
      <c r="G900">
        <v>978</v>
      </c>
    </row>
    <row r="901" spans="1:7">
      <c r="A901" t="s">
        <v>430</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547</v>
      </c>
    </row>
    <row r="910" spans="1:7">
      <c r="A910" t="s">
        <v>361</v>
      </c>
    </row>
    <row r="911" spans="1:7">
      <c r="A911" t="s">
        <v>389</v>
      </c>
      <c r="F911">
        <v>569</v>
      </c>
      <c r="G911">
        <v>569</v>
      </c>
    </row>
    <row r="912" spans="1:7">
      <c r="A912" t="s">
        <v>519</v>
      </c>
    </row>
    <row r="913" spans="1:7">
      <c r="A913" t="s">
        <v>369</v>
      </c>
      <c r="D913">
        <v>150</v>
      </c>
      <c r="G913">
        <v>150</v>
      </c>
    </row>
    <row r="914" spans="1:7">
      <c r="A914" t="s">
        <v>382</v>
      </c>
    </row>
    <row r="915" spans="1:7">
      <c r="A915" t="s">
        <v>596</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620</v>
      </c>
      <c r="B919">
        <v>1420</v>
      </c>
      <c r="C919">
        <v>990</v>
      </c>
      <c r="D919">
        <v>549</v>
      </c>
      <c r="G919">
        <v>2959</v>
      </c>
    </row>
    <row r="920" spans="1:7">
      <c r="A920" t="s">
        <v>430</v>
      </c>
      <c r="B920">
        <v>259</v>
      </c>
      <c r="C920">
        <v>1087</v>
      </c>
      <c r="D920">
        <v>2206</v>
      </c>
      <c r="E920">
        <v>453</v>
      </c>
      <c r="G920">
        <v>4005</v>
      </c>
    </row>
    <row r="921" spans="1:7">
      <c r="A921" t="s">
        <v>221</v>
      </c>
      <c r="C921">
        <v>379</v>
      </c>
      <c r="D921">
        <v>208</v>
      </c>
      <c r="G921">
        <v>587</v>
      </c>
    </row>
    <row r="922" spans="1:7">
      <c r="A922" t="s">
        <v>594</v>
      </c>
      <c r="B922">
        <v>579</v>
      </c>
      <c r="C922">
        <v>1120</v>
      </c>
      <c r="D922">
        <v>1488</v>
      </c>
      <c r="E922">
        <v>954</v>
      </c>
      <c r="G922">
        <v>4141</v>
      </c>
    </row>
    <row r="923" spans="1:7">
      <c r="A923" t="s">
        <v>1127</v>
      </c>
      <c r="B923">
        <v>365</v>
      </c>
      <c r="G923">
        <v>365</v>
      </c>
    </row>
    <row r="924" spans="1:7">
      <c r="A924" t="s">
        <v>392</v>
      </c>
      <c r="B924">
        <v>207</v>
      </c>
      <c r="G924">
        <v>207</v>
      </c>
    </row>
    <row r="925" spans="1:7">
      <c r="A925" t="s">
        <v>522</v>
      </c>
      <c r="C925">
        <v>1691</v>
      </c>
      <c r="D925">
        <v>1998</v>
      </c>
      <c r="E925">
        <v>760</v>
      </c>
      <c r="F925">
        <v>3975</v>
      </c>
      <c r="G925">
        <v>8424</v>
      </c>
    </row>
    <row r="926" spans="1:7">
      <c r="A926" t="s">
        <v>623</v>
      </c>
      <c r="D926">
        <v>1031</v>
      </c>
      <c r="G926">
        <v>1031</v>
      </c>
    </row>
    <row r="927" spans="1:7">
      <c r="A927" t="s">
        <v>391</v>
      </c>
      <c r="E927">
        <v>1063</v>
      </c>
      <c r="F927">
        <v>1263</v>
      </c>
      <c r="G927">
        <v>2326</v>
      </c>
    </row>
    <row r="928" spans="1:7">
      <c r="A928" t="s">
        <v>664</v>
      </c>
      <c r="F928">
        <v>451</v>
      </c>
      <c r="G928">
        <v>451</v>
      </c>
    </row>
    <row r="929" spans="1:7">
      <c r="A929" t="s">
        <v>451</v>
      </c>
      <c r="B929">
        <v>3266</v>
      </c>
      <c r="C929">
        <v>3910</v>
      </c>
      <c r="D929">
        <v>346</v>
      </c>
      <c r="G929">
        <v>7522</v>
      </c>
    </row>
    <row r="930" spans="1:7">
      <c r="A930" t="s">
        <v>307</v>
      </c>
      <c r="C930">
        <v>372</v>
      </c>
      <c r="D930">
        <v>656</v>
      </c>
      <c r="G930">
        <v>1028</v>
      </c>
    </row>
    <row r="931" spans="1:7">
      <c r="A931" t="s">
        <v>442</v>
      </c>
      <c r="D931">
        <v>2985</v>
      </c>
      <c r="E931">
        <v>2373</v>
      </c>
      <c r="G931">
        <v>5358</v>
      </c>
    </row>
    <row r="932" spans="1:7">
      <c r="A932" t="s">
        <v>469</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519</v>
      </c>
      <c r="B940">
        <v>560</v>
      </c>
      <c r="G940">
        <v>560</v>
      </c>
    </row>
    <row r="941" spans="1:7">
      <c r="A941" t="s">
        <v>382</v>
      </c>
    </row>
    <row r="942" spans="1:7">
      <c r="A942" t="s">
        <v>596</v>
      </c>
      <c r="B942">
        <v>138</v>
      </c>
      <c r="G942">
        <v>138</v>
      </c>
    </row>
    <row r="943" spans="1:7">
      <c r="A943" t="s">
        <v>380</v>
      </c>
    </row>
    <row r="944" spans="1:7">
      <c r="A944" t="s">
        <v>375</v>
      </c>
      <c r="B944">
        <v>96</v>
      </c>
      <c r="G944">
        <v>96</v>
      </c>
    </row>
    <row r="945" spans="1:7">
      <c r="A945" t="s">
        <v>620</v>
      </c>
      <c r="B945">
        <v>632</v>
      </c>
      <c r="G945">
        <v>632</v>
      </c>
    </row>
    <row r="946" spans="1:7">
      <c r="A946" t="s">
        <v>430</v>
      </c>
      <c r="B946">
        <v>558</v>
      </c>
      <c r="G946">
        <v>558</v>
      </c>
    </row>
    <row r="947" spans="1:7">
      <c r="A947" t="s">
        <v>221</v>
      </c>
      <c r="B947">
        <v>562</v>
      </c>
      <c r="D947">
        <v>474</v>
      </c>
      <c r="E947">
        <v>606</v>
      </c>
      <c r="F947">
        <v>322</v>
      </c>
      <c r="G947">
        <v>1964</v>
      </c>
    </row>
    <row r="948" spans="1:7">
      <c r="A948" t="s">
        <v>623</v>
      </c>
      <c r="B948">
        <v>1351</v>
      </c>
      <c r="D948">
        <v>890</v>
      </c>
      <c r="G948">
        <v>2241</v>
      </c>
    </row>
    <row r="949" spans="1:7">
      <c r="A949" t="s">
        <v>469</v>
      </c>
      <c r="B949">
        <v>4084</v>
      </c>
      <c r="D949">
        <v>242</v>
      </c>
      <c r="G949">
        <v>4326</v>
      </c>
    </row>
    <row r="950" spans="1:7">
      <c r="A950" t="s">
        <v>1128</v>
      </c>
      <c r="B950">
        <v>748</v>
      </c>
      <c r="C950">
        <v>1062</v>
      </c>
      <c r="G950">
        <v>1810</v>
      </c>
    </row>
    <row r="951" spans="1:7">
      <c r="A951" t="s">
        <v>377</v>
      </c>
      <c r="B951">
        <v>435</v>
      </c>
      <c r="E951">
        <v>1123</v>
      </c>
      <c r="G951">
        <v>1558</v>
      </c>
    </row>
    <row r="952" spans="1:7">
      <c r="A952" t="s">
        <v>411</v>
      </c>
      <c r="D952">
        <v>1580</v>
      </c>
      <c r="E952">
        <v>1258</v>
      </c>
      <c r="G952">
        <v>2838</v>
      </c>
    </row>
    <row r="953" spans="1:7">
      <c r="A953" t="s">
        <v>592</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461</v>
      </c>
      <c r="D956">
        <v>1264</v>
      </c>
      <c r="E956">
        <v>1281</v>
      </c>
      <c r="G956">
        <v>2545</v>
      </c>
    </row>
    <row r="957" spans="1:7">
      <c r="A957" t="s">
        <v>1129</v>
      </c>
    </row>
    <row r="958" spans="1:7">
      <c r="A958" t="s">
        <v>474</v>
      </c>
      <c r="D958">
        <v>3678</v>
      </c>
      <c r="E958">
        <v>3382</v>
      </c>
      <c r="G958">
        <v>7060</v>
      </c>
    </row>
    <row r="959" spans="1:7">
      <c r="A959" t="s">
        <v>1130</v>
      </c>
      <c r="F959">
        <v>1505</v>
      </c>
      <c r="G959">
        <v>1505</v>
      </c>
    </row>
    <row r="960" spans="1:7">
      <c r="A960" t="s">
        <v>503</v>
      </c>
      <c r="E960">
        <v>424</v>
      </c>
      <c r="G960">
        <v>424</v>
      </c>
    </row>
    <row r="961" spans="1:7">
      <c r="A961" t="s">
        <v>476</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519</v>
      </c>
      <c r="C970">
        <v>17</v>
      </c>
      <c r="G970">
        <v>17</v>
      </c>
    </row>
    <row r="971" spans="1:7">
      <c r="A971" t="s">
        <v>596</v>
      </c>
    </row>
    <row r="972" spans="1:7">
      <c r="A972" t="s">
        <v>430</v>
      </c>
      <c r="B972">
        <v>127</v>
      </c>
      <c r="G972">
        <v>127</v>
      </c>
    </row>
    <row r="973" spans="1:7">
      <c r="A973" t="s">
        <v>221</v>
      </c>
      <c r="B973">
        <v>420</v>
      </c>
      <c r="G973">
        <v>420</v>
      </c>
    </row>
    <row r="974" spans="1:7">
      <c r="A974" t="s">
        <v>623</v>
      </c>
    </row>
    <row r="975" spans="1:7">
      <c r="A975" t="s">
        <v>377</v>
      </c>
      <c r="C975">
        <v>1917</v>
      </c>
      <c r="E975">
        <v>272</v>
      </c>
      <c r="G975">
        <v>2189</v>
      </c>
    </row>
    <row r="976" spans="1:7">
      <c r="A976" t="s">
        <v>592</v>
      </c>
      <c r="B976">
        <v>956</v>
      </c>
      <c r="G976">
        <v>956</v>
      </c>
    </row>
    <row r="977" spans="1:7">
      <c r="A977" t="s">
        <v>204</v>
      </c>
      <c r="E977">
        <v>195</v>
      </c>
      <c r="G977">
        <v>195</v>
      </c>
    </row>
    <row r="978" spans="1:7">
      <c r="A978" t="s">
        <v>404</v>
      </c>
      <c r="B978">
        <v>1449</v>
      </c>
      <c r="G978">
        <v>1449</v>
      </c>
    </row>
    <row r="979" spans="1:7">
      <c r="A979" t="s">
        <v>461</v>
      </c>
      <c r="B979">
        <v>1662</v>
      </c>
      <c r="C979">
        <v>2684</v>
      </c>
      <c r="F979">
        <v>51</v>
      </c>
      <c r="G979">
        <v>4397</v>
      </c>
    </row>
    <row r="980" spans="1:7">
      <c r="A980" t="s">
        <v>471</v>
      </c>
      <c r="B980">
        <v>5466</v>
      </c>
      <c r="E980">
        <v>2252</v>
      </c>
      <c r="G980">
        <v>7718</v>
      </c>
    </row>
    <row r="981" spans="1:7">
      <c r="A981" t="s">
        <v>1130</v>
      </c>
      <c r="B981">
        <v>907</v>
      </c>
      <c r="G981">
        <v>907</v>
      </c>
    </row>
    <row r="982" spans="1:7">
      <c r="A982" t="s">
        <v>503</v>
      </c>
      <c r="E982">
        <v>313</v>
      </c>
      <c r="F982">
        <v>3007</v>
      </c>
      <c r="G982">
        <v>3320</v>
      </c>
    </row>
    <row r="983" spans="1:7">
      <c r="A983" t="s">
        <v>476</v>
      </c>
      <c r="B983">
        <v>1498</v>
      </c>
      <c r="C983">
        <v>3613</v>
      </c>
      <c r="E983">
        <v>1027</v>
      </c>
      <c r="F983">
        <v>490</v>
      </c>
      <c r="G983">
        <v>6628</v>
      </c>
    </row>
    <row r="984" spans="1:7">
      <c r="A984" t="s">
        <v>1131</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414</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513</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451</v>
      </c>
    </row>
    <row r="1014" spans="1:7">
      <c r="A1014" t="s">
        <v>307</v>
      </c>
      <c r="C1014">
        <v>1175</v>
      </c>
      <c r="G1014">
        <v>1175</v>
      </c>
    </row>
    <row r="1015" spans="1:7">
      <c r="A1015" t="s">
        <v>442</v>
      </c>
      <c r="C1015">
        <v>996</v>
      </c>
      <c r="G1015">
        <v>996</v>
      </c>
    </row>
    <row r="1016" spans="1:7">
      <c r="A1016" t="s">
        <v>377</v>
      </c>
      <c r="B1016">
        <v>900</v>
      </c>
      <c r="G1016">
        <v>900</v>
      </c>
    </row>
    <row r="1017" spans="1:7">
      <c r="A1017" t="s">
        <v>411</v>
      </c>
    </row>
    <row r="1018" spans="1:7">
      <c r="A1018" t="s">
        <v>592</v>
      </c>
    </row>
    <row r="1019" spans="1:7">
      <c r="A1019" t="s">
        <v>1131</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414</v>
      </c>
      <c r="B1022">
        <v>572</v>
      </c>
      <c r="G1022">
        <v>572</v>
      </c>
    </row>
    <row r="1023" spans="1:7">
      <c r="A1023" t="s">
        <v>1133</v>
      </c>
      <c r="B1023">
        <v>1718</v>
      </c>
      <c r="C1023">
        <v>2478</v>
      </c>
      <c r="D1023">
        <v>1567</v>
      </c>
      <c r="G1023">
        <v>5763</v>
      </c>
    </row>
    <row r="1024" spans="1:7">
      <c r="A1024" t="s">
        <v>479</v>
      </c>
      <c r="C1024">
        <v>3411</v>
      </c>
      <c r="G1024">
        <v>3411</v>
      </c>
    </row>
    <row r="1025" spans="1:7">
      <c r="A1025" t="s">
        <v>194</v>
      </c>
      <c r="B1025">
        <v>82</v>
      </c>
      <c r="G1025">
        <v>82</v>
      </c>
    </row>
    <row r="1026" spans="1:7">
      <c r="A1026" t="s">
        <v>482</v>
      </c>
      <c r="C1026">
        <v>3311</v>
      </c>
      <c r="G1026">
        <v>3311</v>
      </c>
    </row>
    <row r="1027" spans="1:7">
      <c r="A1027" t="s">
        <v>445</v>
      </c>
    </row>
    <row r="1028" spans="1:7">
      <c r="A1028" t="s">
        <v>407</v>
      </c>
      <c r="C1028">
        <v>2568</v>
      </c>
      <c r="G1028">
        <v>2568</v>
      </c>
    </row>
    <row r="1029" spans="1:7">
      <c r="A1029" t="s">
        <v>420</v>
      </c>
      <c r="B1029">
        <v>286</v>
      </c>
      <c r="C1029">
        <v>357</v>
      </c>
      <c r="D1029">
        <v>331</v>
      </c>
      <c r="G1029">
        <v>974</v>
      </c>
    </row>
    <row r="1030" spans="1:7">
      <c r="A1030" t="s">
        <v>401</v>
      </c>
      <c r="B1030">
        <v>1655</v>
      </c>
      <c r="C1030">
        <v>2537</v>
      </c>
      <c r="G1030">
        <v>4192</v>
      </c>
    </row>
    <row r="1031" spans="1:7">
      <c r="A1031" t="s">
        <v>463</v>
      </c>
      <c r="C1031">
        <v>2382</v>
      </c>
      <c r="G1031">
        <v>2382</v>
      </c>
    </row>
    <row r="1032" spans="1:7">
      <c r="A1032" t="s">
        <v>604</v>
      </c>
      <c r="C1032">
        <v>1100</v>
      </c>
      <c r="D1032">
        <v>855</v>
      </c>
      <c r="G1032">
        <v>1955</v>
      </c>
    </row>
    <row r="1033" spans="1:7">
      <c r="A1033" t="s">
        <v>1134</v>
      </c>
      <c r="C1033">
        <v>486</v>
      </c>
      <c r="G1033">
        <v>486</v>
      </c>
    </row>
    <row r="1034" spans="1:7">
      <c r="A1034" t="s">
        <v>485</v>
      </c>
      <c r="C1034">
        <v>3634</v>
      </c>
      <c r="G1034">
        <v>3634</v>
      </c>
    </row>
    <row r="1035" spans="1:7">
      <c r="A1035" t="s">
        <v>1135</v>
      </c>
      <c r="D1035">
        <v>955</v>
      </c>
      <c r="G1035">
        <v>955</v>
      </c>
    </row>
    <row r="1036" spans="1:7">
      <c r="A1036" t="s">
        <v>1136</v>
      </c>
    </row>
    <row r="1037" spans="1:7">
      <c r="A1037" t="s">
        <v>455</v>
      </c>
    </row>
    <row r="1038" spans="1:7">
      <c r="A1038" t="s">
        <v>447</v>
      </c>
    </row>
    <row r="1039" spans="1:7">
      <c r="A1039" t="s">
        <v>449</v>
      </c>
    </row>
    <row r="1040" spans="1:7">
      <c r="A1040" t="s">
        <v>454</v>
      </c>
    </row>
    <row r="1041" spans="1:7">
      <c r="A1041" t="s">
        <v>457</v>
      </c>
    </row>
    <row r="1042" spans="1:7">
      <c r="A1042" t="s">
        <v>459</v>
      </c>
    </row>
    <row r="1043" spans="1:7">
      <c r="A1043" t="s">
        <v>460</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594</v>
      </c>
      <c r="C1051">
        <v>175</v>
      </c>
      <c r="G1051">
        <v>175</v>
      </c>
    </row>
    <row r="1052" spans="1:7">
      <c r="A1052" t="s">
        <v>522</v>
      </c>
      <c r="B1052">
        <v>602</v>
      </c>
      <c r="C1052">
        <v>1069</v>
      </c>
      <c r="D1052">
        <v>1129</v>
      </c>
      <c r="E1052">
        <v>1041</v>
      </c>
      <c r="F1052">
        <v>1824</v>
      </c>
      <c r="G1052">
        <v>5665</v>
      </c>
    </row>
    <row r="1053" spans="1:7">
      <c r="A1053" t="s">
        <v>307</v>
      </c>
      <c r="B1053">
        <v>1515</v>
      </c>
      <c r="G1053">
        <v>1515</v>
      </c>
    </row>
    <row r="1054" spans="1:7">
      <c r="A1054" t="s">
        <v>471</v>
      </c>
      <c r="E1054">
        <v>64</v>
      </c>
      <c r="G1054">
        <v>64</v>
      </c>
    </row>
    <row r="1055" spans="1:7">
      <c r="A1055" t="s">
        <v>474</v>
      </c>
    </row>
    <row r="1056" spans="1:7">
      <c r="A1056" t="s">
        <v>601</v>
      </c>
      <c r="B1056">
        <v>1610</v>
      </c>
      <c r="G1056">
        <v>1610</v>
      </c>
    </row>
    <row r="1057" spans="1:7">
      <c r="A1057" t="s">
        <v>598</v>
      </c>
    </row>
    <row r="1058" spans="1:7">
      <c r="A1058" t="s">
        <v>479</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463</v>
      </c>
      <c r="B1061">
        <v>3084</v>
      </c>
      <c r="G1061">
        <v>3084</v>
      </c>
    </row>
    <row r="1062" spans="1:7">
      <c r="A1062" t="s">
        <v>604</v>
      </c>
      <c r="B1062">
        <v>1622</v>
      </c>
      <c r="C1062">
        <v>1131</v>
      </c>
      <c r="G1062">
        <v>2753</v>
      </c>
    </row>
    <row r="1063" spans="1:7">
      <c r="A1063" t="s">
        <v>1134</v>
      </c>
      <c r="B1063">
        <v>600</v>
      </c>
      <c r="C1063">
        <v>610</v>
      </c>
      <c r="D1063">
        <v>974</v>
      </c>
      <c r="G1063">
        <v>2184</v>
      </c>
    </row>
    <row r="1064" spans="1:7">
      <c r="A1064" t="s">
        <v>485</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500</v>
      </c>
      <c r="B1067">
        <v>1829</v>
      </c>
      <c r="C1067">
        <v>2302</v>
      </c>
      <c r="D1067">
        <v>694</v>
      </c>
      <c r="G1067">
        <v>4825</v>
      </c>
    </row>
    <row r="1068" spans="1:7">
      <c r="A1068" t="s">
        <v>466</v>
      </c>
      <c r="B1068">
        <v>1391</v>
      </c>
      <c r="C1068">
        <v>2916</v>
      </c>
      <c r="D1068">
        <v>2430</v>
      </c>
      <c r="G1068">
        <v>6737</v>
      </c>
    </row>
    <row r="1069" spans="1:7">
      <c r="A1069" t="s">
        <v>573</v>
      </c>
      <c r="D1069">
        <v>466</v>
      </c>
      <c r="E1069">
        <v>345</v>
      </c>
      <c r="G1069">
        <v>811</v>
      </c>
    </row>
    <row r="1070" spans="1:7">
      <c r="A1070" t="s">
        <v>417</v>
      </c>
      <c r="E1070">
        <v>1431</v>
      </c>
      <c r="G1070">
        <v>1431</v>
      </c>
    </row>
    <row r="1071" spans="1:7">
      <c r="A1071" t="s">
        <v>579</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522</v>
      </c>
      <c r="B1081">
        <v>1283</v>
      </c>
      <c r="C1081">
        <v>442</v>
      </c>
      <c r="F1081">
        <v>706</v>
      </c>
      <c r="G1081">
        <v>2431</v>
      </c>
    </row>
    <row r="1082" spans="1:7">
      <c r="A1082" t="s">
        <v>442</v>
      </c>
      <c r="C1082">
        <v>2203</v>
      </c>
      <c r="G1082">
        <v>2203</v>
      </c>
    </row>
    <row r="1083" spans="1:7">
      <c r="A1083" t="s">
        <v>476</v>
      </c>
      <c r="E1083">
        <v>242</v>
      </c>
      <c r="G1083">
        <v>242</v>
      </c>
    </row>
    <row r="1084" spans="1:7">
      <c r="A1084" t="s">
        <v>601</v>
      </c>
    </row>
    <row r="1085" spans="1:7">
      <c r="A1085" t="s">
        <v>407</v>
      </c>
      <c r="B1085">
        <v>428</v>
      </c>
      <c r="G1085">
        <v>428</v>
      </c>
    </row>
    <row r="1086" spans="1:7">
      <c r="A1086" t="s">
        <v>1135</v>
      </c>
    </row>
    <row r="1087" spans="1:7">
      <c r="A1087" t="s">
        <v>1137</v>
      </c>
      <c r="C1087">
        <v>265</v>
      </c>
      <c r="D1087">
        <v>542</v>
      </c>
      <c r="E1087">
        <v>739</v>
      </c>
      <c r="G1087">
        <v>1546</v>
      </c>
    </row>
    <row r="1088" spans="1:7">
      <c r="A1088" t="s">
        <v>500</v>
      </c>
      <c r="D1088">
        <v>91</v>
      </c>
      <c r="G1088">
        <v>91</v>
      </c>
    </row>
    <row r="1089" spans="1:7">
      <c r="A1089" t="s">
        <v>573</v>
      </c>
      <c r="B1089">
        <v>1172</v>
      </c>
      <c r="G1089">
        <v>1172</v>
      </c>
    </row>
    <row r="1090" spans="1:7">
      <c r="A1090" t="s">
        <v>417</v>
      </c>
      <c r="B1090">
        <v>1583</v>
      </c>
      <c r="C1090">
        <v>1325</v>
      </c>
      <c r="D1090">
        <v>621</v>
      </c>
      <c r="G1090">
        <v>3529</v>
      </c>
    </row>
    <row r="1091" spans="1:7">
      <c r="A1091" t="s">
        <v>579</v>
      </c>
    </row>
    <row r="1092" spans="1:7">
      <c r="A1092" t="s">
        <v>1138</v>
      </c>
      <c r="B1092">
        <v>640</v>
      </c>
      <c r="C1092">
        <v>541</v>
      </c>
      <c r="D1092">
        <v>330</v>
      </c>
      <c r="E1092">
        <v>520</v>
      </c>
      <c r="F1092">
        <v>550</v>
      </c>
      <c r="G1092">
        <v>2581</v>
      </c>
    </row>
    <row r="1093" spans="1:7">
      <c r="A1093" t="s">
        <v>494</v>
      </c>
      <c r="B1093">
        <v>2855</v>
      </c>
      <c r="C1093">
        <v>3343</v>
      </c>
      <c r="D1093">
        <v>931</v>
      </c>
      <c r="G1093">
        <v>7129</v>
      </c>
    </row>
    <row r="1094" spans="1:7">
      <c r="A1094" t="s">
        <v>497</v>
      </c>
      <c r="C1094">
        <v>1743</v>
      </c>
      <c r="D1094">
        <v>522</v>
      </c>
      <c r="E1094">
        <v>1194</v>
      </c>
      <c r="F1094">
        <v>2811</v>
      </c>
      <c r="G1094">
        <v>6270</v>
      </c>
    </row>
    <row r="1095" spans="1:7">
      <c r="A1095" t="s">
        <v>1140</v>
      </c>
    </row>
    <row r="1096" spans="1:7">
      <c r="A1096" t="s">
        <v>395</v>
      </c>
      <c r="C1096">
        <v>1640</v>
      </c>
      <c r="D1096">
        <v>1177</v>
      </c>
      <c r="G1096">
        <v>2817</v>
      </c>
    </row>
    <row r="1097" spans="1:7">
      <c r="A1097" t="s">
        <v>488</v>
      </c>
      <c r="C1097">
        <v>1980</v>
      </c>
      <c r="D1097">
        <v>1251</v>
      </c>
      <c r="E1097">
        <v>3172</v>
      </c>
      <c r="G1097">
        <v>6403</v>
      </c>
    </row>
    <row r="1098" spans="1:7">
      <c r="A1098" t="s">
        <v>315</v>
      </c>
      <c r="C1098">
        <v>1111</v>
      </c>
      <c r="D1098">
        <v>1373</v>
      </c>
      <c r="E1098">
        <v>1090</v>
      </c>
      <c r="F1098">
        <v>1204</v>
      </c>
      <c r="G1098">
        <v>4778</v>
      </c>
    </row>
    <row r="1099" spans="1:7">
      <c r="A1099" t="s">
        <v>570</v>
      </c>
      <c r="C1099">
        <v>1500</v>
      </c>
      <c r="D1099">
        <v>1084</v>
      </c>
      <c r="G1099">
        <v>2584</v>
      </c>
    </row>
    <row r="1100" spans="1:7">
      <c r="A1100" t="s">
        <v>398</v>
      </c>
      <c r="D1100">
        <v>817</v>
      </c>
      <c r="E1100">
        <v>1820</v>
      </c>
      <c r="G1100">
        <v>2637</v>
      </c>
    </row>
    <row r="1101" spans="1:7">
      <c r="A1101" t="s">
        <v>564</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522</v>
      </c>
      <c r="B1109">
        <v>735</v>
      </c>
      <c r="G1109">
        <v>735</v>
      </c>
    </row>
    <row r="1110" spans="1:7">
      <c r="A1110" t="s">
        <v>451</v>
      </c>
    </row>
    <row r="1111" spans="1:7">
      <c r="A1111" t="s">
        <v>474</v>
      </c>
    </row>
    <row r="1112" spans="1:7">
      <c r="A1112" t="s">
        <v>503</v>
      </c>
      <c r="E1112">
        <v>396</v>
      </c>
      <c r="G1112">
        <v>396</v>
      </c>
    </row>
    <row r="1113" spans="1:7">
      <c r="A1113" t="s">
        <v>476</v>
      </c>
    </row>
    <row r="1114" spans="1:7">
      <c r="A1114" t="s">
        <v>601</v>
      </c>
    </row>
    <row r="1115" spans="1:7">
      <c r="A1115" t="s">
        <v>482</v>
      </c>
      <c r="B1115">
        <v>87</v>
      </c>
      <c r="G1115">
        <v>87</v>
      </c>
    </row>
    <row r="1116" spans="1:7">
      <c r="A1116" t="s">
        <v>1137</v>
      </c>
      <c r="B1116">
        <v>671</v>
      </c>
      <c r="C1116">
        <v>1204</v>
      </c>
      <c r="D1116">
        <v>1210</v>
      </c>
      <c r="E1116">
        <v>292</v>
      </c>
      <c r="G1116">
        <v>3377</v>
      </c>
    </row>
    <row r="1117" spans="1:7">
      <c r="A1117" t="s">
        <v>500</v>
      </c>
      <c r="D1117">
        <v>320</v>
      </c>
      <c r="E1117">
        <v>652</v>
      </c>
      <c r="F1117">
        <v>780</v>
      </c>
      <c r="G1117">
        <v>1752</v>
      </c>
    </row>
    <row r="1118" spans="1:7">
      <c r="A1118" t="s">
        <v>573</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497</v>
      </c>
      <c r="D1121">
        <v>1049</v>
      </c>
      <c r="G1121">
        <v>1049</v>
      </c>
    </row>
    <row r="1122" spans="1:7">
      <c r="A1122" t="s">
        <v>488</v>
      </c>
      <c r="B1122">
        <v>29</v>
      </c>
      <c r="G1122">
        <v>29</v>
      </c>
    </row>
    <row r="1123" spans="1:7">
      <c r="A1123" t="s">
        <v>315</v>
      </c>
      <c r="F1123">
        <v>1235</v>
      </c>
      <c r="G1123">
        <v>1235</v>
      </c>
    </row>
    <row r="1124" spans="1:7">
      <c r="A1124" t="s">
        <v>570</v>
      </c>
    </row>
    <row r="1125" spans="1:7">
      <c r="A1125" t="s">
        <v>564</v>
      </c>
      <c r="B1125">
        <v>689</v>
      </c>
      <c r="C1125">
        <v>586</v>
      </c>
      <c r="D1125">
        <v>199</v>
      </c>
      <c r="G1125">
        <v>1474</v>
      </c>
    </row>
    <row r="1126" spans="1:7">
      <c r="A1126" t="s">
        <v>289</v>
      </c>
      <c r="C1126">
        <v>1164</v>
      </c>
      <c r="D1126">
        <v>308</v>
      </c>
      <c r="E1126">
        <v>892</v>
      </c>
      <c r="F1126">
        <v>366</v>
      </c>
      <c r="G1126">
        <v>2730</v>
      </c>
    </row>
    <row r="1127" spans="1:7">
      <c r="A1127" t="s">
        <v>554</v>
      </c>
      <c r="B1127">
        <v>1095</v>
      </c>
      <c r="C1127">
        <v>1676</v>
      </c>
      <c r="D1127">
        <v>1139</v>
      </c>
      <c r="G1127">
        <v>3910</v>
      </c>
    </row>
    <row r="1128" spans="1:7">
      <c r="A1128" t="s">
        <v>576</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491</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615</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500</v>
      </c>
      <c r="B1144">
        <v>870</v>
      </c>
      <c r="G1144">
        <v>870</v>
      </c>
    </row>
    <row r="1145" spans="1:7">
      <c r="A1145" t="s">
        <v>312</v>
      </c>
      <c r="B1145">
        <v>551</v>
      </c>
      <c r="G1145">
        <v>551</v>
      </c>
    </row>
    <row r="1146" spans="1:7">
      <c r="A1146" t="s">
        <v>1138</v>
      </c>
    </row>
    <row r="1147" spans="1:7">
      <c r="A1147" t="s">
        <v>289</v>
      </c>
      <c r="B1147">
        <v>154</v>
      </c>
      <c r="G1147">
        <v>154</v>
      </c>
    </row>
    <row r="1148" spans="1:7">
      <c r="A1148" t="s">
        <v>576</v>
      </c>
      <c r="B1148">
        <v>342</v>
      </c>
      <c r="G1148">
        <v>342</v>
      </c>
    </row>
    <row r="1149" spans="1:7">
      <c r="A1149" t="s">
        <v>491</v>
      </c>
    </row>
    <row r="1150" spans="1:7">
      <c r="A1150" t="s">
        <v>324</v>
      </c>
      <c r="B1150">
        <v>3523</v>
      </c>
      <c r="C1150">
        <v>2384</v>
      </c>
      <c r="G1150">
        <v>5907</v>
      </c>
    </row>
    <row r="1151" spans="1:7">
      <c r="A1151" t="s">
        <v>318</v>
      </c>
      <c r="B1151">
        <v>362</v>
      </c>
      <c r="G1151">
        <v>362</v>
      </c>
    </row>
    <row r="1152" spans="1:7">
      <c r="A1152" t="s">
        <v>615</v>
      </c>
      <c r="B1152">
        <v>380</v>
      </c>
      <c r="G1152">
        <v>380</v>
      </c>
    </row>
    <row r="1153" spans="1:7">
      <c r="A1153" t="s">
        <v>618</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row>
    <row r="1160" spans="1:7">
      <c r="A1160" t="s">
        <v>1107</v>
      </c>
      <c r="B1160">
        <v>108</v>
      </c>
      <c r="C1160">
        <v>353</v>
      </c>
      <c r="G1160">
        <v>461</v>
      </c>
    </row>
    <row r="1161" spans="1:7">
      <c r="A1161" t="s">
        <v>461</v>
      </c>
    </row>
    <row r="1162" spans="1:7">
      <c r="A1162" t="s">
        <v>463</v>
      </c>
    </row>
    <row r="1163" spans="1:7">
      <c r="A1163" t="s">
        <v>466</v>
      </c>
    </row>
    <row r="1164" spans="1:7">
      <c r="A1164" t="s">
        <v>417</v>
      </c>
    </row>
    <row r="1165" spans="1:7">
      <c r="A1165" t="s">
        <v>312</v>
      </c>
      <c r="B1165">
        <v>738</v>
      </c>
      <c r="C1165">
        <v>466</v>
      </c>
      <c r="G1165">
        <v>1204</v>
      </c>
    </row>
    <row r="1166" spans="1:7">
      <c r="A1166" t="s">
        <v>497</v>
      </c>
    </row>
    <row r="1167" spans="1:7">
      <c r="A1167" t="s">
        <v>289</v>
      </c>
      <c r="D1167">
        <v>173</v>
      </c>
      <c r="G1167">
        <v>173</v>
      </c>
    </row>
    <row r="1168" spans="1:7">
      <c r="A1168" t="s">
        <v>318</v>
      </c>
      <c r="B1168">
        <v>1297</v>
      </c>
      <c r="G1168">
        <v>1297</v>
      </c>
    </row>
    <row r="1169" spans="1:7">
      <c r="A1169" t="s">
        <v>615</v>
      </c>
      <c r="B1169">
        <v>100</v>
      </c>
      <c r="G1169">
        <v>100</v>
      </c>
    </row>
    <row r="1170" spans="1:7">
      <c r="A1170" t="s">
        <v>321</v>
      </c>
      <c r="B1170">
        <v>2583</v>
      </c>
      <c r="C1170">
        <v>3099</v>
      </c>
      <c r="G1170">
        <v>5682</v>
      </c>
    </row>
    <row r="1171" spans="1:7">
      <c r="A1171" t="s">
        <v>607</v>
      </c>
      <c r="B1171">
        <v>1188</v>
      </c>
      <c r="G1171">
        <v>1188</v>
      </c>
    </row>
    <row r="1172" spans="1:7">
      <c r="A1172" t="s">
        <v>610</v>
      </c>
      <c r="B1172">
        <v>900</v>
      </c>
      <c r="G1172">
        <v>900</v>
      </c>
    </row>
    <row r="1173" spans="1:7">
      <c r="A1173" t="s">
        <v>1063</v>
      </c>
      <c r="B1173">
        <v>6914</v>
      </c>
      <c r="C1173">
        <v>3918</v>
      </c>
      <c r="D1173">
        <v>173</v>
      </c>
      <c r="G1173">
        <v>11005</v>
      </c>
    </row>
    <row r="1176" spans="1:7">
      <c r="A1176" s="44" t="s">
        <v>1061</v>
      </c>
      <c r="B1176" s="44" t="s">
        <v>1059</v>
      </c>
    </row>
    <row r="1177" spans="1:7">
      <c r="A1177" s="44" t="s">
        <v>1062</v>
      </c>
      <c r="B1177" s="111">
        <v>46027</v>
      </c>
      <c r="C1177" t="s">
        <v>1063</v>
      </c>
    </row>
    <row r="1178" spans="1:7">
      <c r="A1178" t="s">
        <v>1093</v>
      </c>
    </row>
    <row r="1179" spans="1:7">
      <c r="A1179" t="s">
        <v>1063</v>
      </c>
    </row>
    <row r="1182" spans="1:7">
      <c r="A1182" s="44" t="s">
        <v>1061</v>
      </c>
      <c r="B1182" s="44" t="s">
        <v>1059</v>
      </c>
    </row>
    <row r="1183" spans="1:7">
      <c r="A1183" s="44" t="s">
        <v>1062</v>
      </c>
      <c r="B1183" s="111">
        <v>46034</v>
      </c>
      <c r="C1183" t="s">
        <v>1063</v>
      </c>
    </row>
    <row r="1184" spans="1:7">
      <c r="A1184" t="s">
        <v>1093</v>
      </c>
    </row>
    <row r="1185" spans="1:1">
      <c r="A1185" t="s">
        <v>1063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523</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537</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534</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534</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542</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534</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542</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534</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509</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509</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542</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534</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542</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534</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535</v>
      </c>
      <c r="C882" s="56">
        <v>45758</v>
      </c>
      <c r="E882" s="43"/>
      <c r="F882" s="141" t="s">
        <v>1342</v>
      </c>
      <c r="G882" t="str">
        <f t="shared" si="13"/>
        <v>April</v>
      </c>
    </row>
    <row r="883" spans="1:7">
      <c r="A883" s="141" t="s">
        <v>919</v>
      </c>
      <c r="B883" s="141" t="s">
        <v>535</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535</v>
      </c>
      <c r="C894" s="56">
        <v>45761</v>
      </c>
      <c r="E894" s="43"/>
      <c r="G894" t="str">
        <f t="shared" si="13"/>
        <v>April</v>
      </c>
    </row>
    <row r="895" spans="1:7">
      <c r="A895" s="141" t="s">
        <v>919</v>
      </c>
      <c r="B895" s="141" t="s">
        <v>535</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535</v>
      </c>
      <c r="C905" s="56">
        <v>45762</v>
      </c>
      <c r="E905" s="43"/>
      <c r="F905" s="141" t="s">
        <v>1354</v>
      </c>
      <c r="G905" t="str">
        <f t="shared" si="14"/>
        <v>April</v>
      </c>
    </row>
    <row r="906" spans="1:7">
      <c r="A906" s="141" t="s">
        <v>919</v>
      </c>
      <c r="B906" s="141" t="s">
        <v>535</v>
      </c>
      <c r="C906" s="56">
        <v>45762</v>
      </c>
      <c r="E906" s="43"/>
      <c r="F906" s="141" t="s">
        <v>1354</v>
      </c>
      <c r="G906" t="str">
        <f t="shared" si="14"/>
        <v>April</v>
      </c>
    </row>
    <row r="907" spans="1:7">
      <c r="A907" s="141" t="s">
        <v>892</v>
      </c>
      <c r="B907" s="141" t="s">
        <v>535</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535</v>
      </c>
      <c r="C920" s="56">
        <v>45763</v>
      </c>
      <c r="E920" s="43"/>
      <c r="F920" s="141" t="s">
        <v>1216</v>
      </c>
      <c r="G920" t="str">
        <f t="shared" si="14"/>
        <v>April</v>
      </c>
    </row>
    <row r="921" spans="1:7">
      <c r="A921" s="141" t="s">
        <v>892</v>
      </c>
      <c r="B921" s="141" t="s">
        <v>535</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535</v>
      </c>
      <c r="C946" s="56">
        <v>45765</v>
      </c>
      <c r="E946" s="43"/>
      <c r="F946" s="306" t="s">
        <v>1376</v>
      </c>
      <c r="G946" t="str">
        <f t="shared" si="14"/>
        <v>April</v>
      </c>
    </row>
    <row r="947" spans="1:7">
      <c r="A947" s="311" t="s">
        <v>892</v>
      </c>
      <c r="B947" s="311" t="s">
        <v>535</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535</v>
      </c>
      <c r="C959" s="56">
        <v>45768</v>
      </c>
      <c r="E959" s="43"/>
      <c r="F959" s="311" t="s">
        <v>1376</v>
      </c>
      <c r="G959" t="str">
        <f t="shared" si="15"/>
        <v>April</v>
      </c>
    </row>
    <row r="960" spans="1:7">
      <c r="A960" s="315" t="s">
        <v>919</v>
      </c>
      <c r="B960" s="141" t="s">
        <v>535</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513</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513</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509</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509</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516</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424</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424</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424</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540</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540</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424</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424</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424</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509</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424</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509</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534</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424</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509</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534</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534</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534</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424</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534</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534</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534</v>
      </c>
      <c r="B1316" s="317" t="s">
        <v>640</v>
      </c>
      <c r="C1316" s="56">
        <v>45841</v>
      </c>
      <c r="D1316" s="43">
        <v>372</v>
      </c>
      <c r="F1316" s="115" t="s">
        <v>1199</v>
      </c>
      <c r="G1316" t="s">
        <v>1553</v>
      </c>
    </row>
    <row r="1317" spans="1:7" ht="15.75">
      <c r="A1317" s="141" t="s">
        <v>534</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534</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542</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537</v>
      </c>
      <c r="B1331" s="157" t="s">
        <v>384</v>
      </c>
      <c r="C1331" s="56">
        <v>45849</v>
      </c>
      <c r="D1331" s="43">
        <v>198</v>
      </c>
      <c r="G1331" t="s">
        <v>1553</v>
      </c>
    </row>
    <row r="1332" spans="1:7">
      <c r="A1332" s="247" t="s">
        <v>1007</v>
      </c>
      <c r="B1332" s="398" t="s">
        <v>1072</v>
      </c>
      <c r="C1332" s="56">
        <v>45852</v>
      </c>
      <c r="F1332" s="43" t="s">
        <v>1216</v>
      </c>
      <c r="G1332" t="s">
        <v>1553</v>
      </c>
    </row>
    <row r="1333" spans="1:7">
      <c r="A1333" s="617" t="s">
        <v>537</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537</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537</v>
      </c>
      <c r="B1378" s="318" t="s">
        <v>384</v>
      </c>
      <c r="C1378" s="56">
        <v>45862</v>
      </c>
      <c r="D1378" s="43">
        <v>880</v>
      </c>
      <c r="G1378" t="s">
        <v>1553</v>
      </c>
    </row>
    <row r="1379" spans="1:7">
      <c r="A1379" s="324" t="s">
        <v>542</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537</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537</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531</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545</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545</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545</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545</v>
      </c>
      <c r="B1418" s="311" t="s">
        <v>384</v>
      </c>
      <c r="C1418" s="56">
        <v>45875</v>
      </c>
      <c r="D1418" s="43">
        <v>840</v>
      </c>
      <c r="G1418" t="s">
        <v>1592</v>
      </c>
    </row>
    <row r="1419" spans="1:7">
      <c r="A1419" s="141" t="s">
        <v>531</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545</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545</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545</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545</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545</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545</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545</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545</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545</v>
      </c>
      <c r="B1466" s="311" t="s">
        <v>384</v>
      </c>
      <c r="C1466" s="56">
        <v>45888</v>
      </c>
      <c r="D1466" s="43">
        <v>408</v>
      </c>
      <c r="F1466" s="115"/>
      <c r="G1466" t="s">
        <v>1592</v>
      </c>
    </row>
    <row r="1467" spans="1:7">
      <c r="A1467" s="583" t="s">
        <v>542</v>
      </c>
      <c r="B1467" s="318" t="s">
        <v>1072</v>
      </c>
      <c r="C1467" s="56">
        <v>45888</v>
      </c>
      <c r="F1467" s="141" t="s">
        <v>1607</v>
      </c>
      <c r="G1467" t="s">
        <v>1592</v>
      </c>
    </row>
    <row r="1468" spans="1:7">
      <c r="A1468" s="247" t="s">
        <v>531</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509</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545</v>
      </c>
      <c r="B1474" s="311" t="s">
        <v>384</v>
      </c>
      <c r="C1474" s="56">
        <v>45889</v>
      </c>
      <c r="D1474" s="43">
        <v>607</v>
      </c>
      <c r="F1474" s="43" t="s">
        <v>1608</v>
      </c>
      <c r="G1474" t="s">
        <v>1592</v>
      </c>
    </row>
    <row r="1475" spans="1:7">
      <c r="A1475" s="583" t="s">
        <v>542</v>
      </c>
      <c r="B1475" s="318" t="s">
        <v>1072</v>
      </c>
      <c r="C1475" s="56">
        <v>45889</v>
      </c>
      <c r="D1475" s="43">
        <v>499</v>
      </c>
      <c r="G1475" t="s">
        <v>1592</v>
      </c>
    </row>
    <row r="1476" spans="1:7">
      <c r="A1476" s="88" t="s">
        <v>1091</v>
      </c>
      <c r="B1476" s="398" t="s">
        <v>1072</v>
      </c>
      <c r="C1476" s="56">
        <v>45890</v>
      </c>
      <c r="D1476" s="43">
        <v>82</v>
      </c>
      <c r="G1476" t="s">
        <v>1592</v>
      </c>
    </row>
    <row r="1477" spans="1:7">
      <c r="A1477" s="88" t="s">
        <v>509</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545</v>
      </c>
      <c r="B1482" s="311" t="s">
        <v>384</v>
      </c>
      <c r="C1482" s="56">
        <v>45890</v>
      </c>
      <c r="D1482" s="155">
        <v>1022</v>
      </c>
      <c r="G1482" t="s">
        <v>1592</v>
      </c>
    </row>
    <row r="1483" spans="1:7">
      <c r="A1483" s="583" t="s">
        <v>542</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545</v>
      </c>
      <c r="B1488" s="311" t="s">
        <v>384</v>
      </c>
      <c r="C1488" s="56">
        <v>45891</v>
      </c>
      <c r="E1488" s="321">
        <v>6090</v>
      </c>
      <c r="F1488" s="43" t="s">
        <v>1612</v>
      </c>
      <c r="G1488" t="s">
        <v>1592</v>
      </c>
    </row>
    <row r="1489" spans="1:7">
      <c r="A1489" s="583" t="s">
        <v>542</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545</v>
      </c>
      <c r="B1495" s="311" t="s">
        <v>384</v>
      </c>
      <c r="C1495" s="56">
        <v>45894</v>
      </c>
      <c r="D1495" s="43">
        <v>639</v>
      </c>
      <c r="G1495" t="s">
        <v>1592</v>
      </c>
    </row>
    <row r="1496" spans="1:7">
      <c r="A1496" s="583" t="s">
        <v>542</v>
      </c>
      <c r="B1496" s="318" t="s">
        <v>1072</v>
      </c>
      <c r="C1496" s="56">
        <v>45894</v>
      </c>
      <c r="D1496" s="43">
        <v>503</v>
      </c>
      <c r="G1496" t="s">
        <v>1592</v>
      </c>
    </row>
    <row r="1497" spans="1:7">
      <c r="A1497" s="88" t="s">
        <v>1091</v>
      </c>
      <c r="B1497" s="398" t="s">
        <v>1072</v>
      </c>
      <c r="C1497" s="56">
        <v>45895</v>
      </c>
      <c r="F1497" s="43" t="s">
        <v>1349</v>
      </c>
      <c r="G1497" t="s">
        <v>1592</v>
      </c>
    </row>
    <row r="1498" spans="1:7">
      <c r="A1498" s="88" t="s">
        <v>509</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542</v>
      </c>
      <c r="B1504" s="631" t="s">
        <v>1072</v>
      </c>
      <c r="C1504" s="56">
        <v>45895</v>
      </c>
      <c r="D1504" s="43">
        <v>295</v>
      </c>
      <c r="G1504" t="s">
        <v>1592</v>
      </c>
    </row>
    <row r="1505" spans="1:7">
      <c r="A1505" s="628" t="s">
        <v>537</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537</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545</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537</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537</v>
      </c>
      <c r="B1524" s="311" t="s">
        <v>384</v>
      </c>
      <c r="C1524" s="56">
        <v>45898</v>
      </c>
      <c r="F1524" s="141" t="s">
        <v>1199</v>
      </c>
      <c r="G1524" t="s">
        <v>1592</v>
      </c>
    </row>
    <row r="1525" spans="1:7">
      <c r="A1525" s="326" t="s">
        <v>542</v>
      </c>
      <c r="B1525" s="315" t="s">
        <v>1072</v>
      </c>
      <c r="C1525" s="56">
        <v>45898</v>
      </c>
      <c r="D1525" s="43">
        <v>6</v>
      </c>
      <c r="F1525" s="43" t="s">
        <v>1627</v>
      </c>
      <c r="G1525" t="s">
        <v>1592</v>
      </c>
    </row>
    <row r="1526" spans="1:7">
      <c r="A1526" s="337" t="s">
        <v>545</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542</v>
      </c>
      <c r="B1531" s="315" t="s">
        <v>1072</v>
      </c>
      <c r="C1531" s="56">
        <v>45902</v>
      </c>
      <c r="D1531" s="43">
        <v>15</v>
      </c>
      <c r="F1531" s="43" t="s">
        <v>1633</v>
      </c>
      <c r="G1531" t="s">
        <v>1630</v>
      </c>
    </row>
    <row r="1532" spans="1:7">
      <c r="A1532" s="247" t="s">
        <v>537</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542</v>
      </c>
      <c r="B1539" s="318" t="s">
        <v>1072</v>
      </c>
      <c r="C1539" s="56">
        <v>45903</v>
      </c>
      <c r="D1539" s="43">
        <v>65</v>
      </c>
      <c r="F1539" s="141" t="s">
        <v>1640</v>
      </c>
      <c r="G1539" t="s">
        <v>1630</v>
      </c>
    </row>
    <row r="1540" spans="1:7">
      <c r="A1540" s="648" t="s">
        <v>537</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556</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542</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547</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556</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556</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556</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547</v>
      </c>
      <c r="B1564" s="684" t="s">
        <v>1511</v>
      </c>
      <c r="C1564" s="56">
        <v>45910</v>
      </c>
      <c r="F1564" s="43" t="s">
        <v>1349</v>
      </c>
      <c r="G1564" t="s">
        <v>1630</v>
      </c>
    </row>
    <row r="1565" spans="1:7">
      <c r="A1565" s="88" t="s">
        <v>1096</v>
      </c>
      <c r="B1565" s="398" t="s">
        <v>1072</v>
      </c>
      <c r="C1565" s="56">
        <v>45911</v>
      </c>
      <c r="D1565" s="43">
        <v>302</v>
      </c>
      <c r="G1565" t="s">
        <v>1630</v>
      </c>
    </row>
    <row r="1566" spans="1:7">
      <c r="A1566" s="88" t="s">
        <v>509</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547</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547</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542</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542</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556</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537</v>
      </c>
      <c r="B1596" s="311" t="s">
        <v>1072</v>
      </c>
      <c r="C1596" s="56">
        <v>45917</v>
      </c>
      <c r="D1596" s="43">
        <v>139</v>
      </c>
      <c r="F1596" s="734"/>
      <c r="G1596" t="s">
        <v>1630</v>
      </c>
    </row>
    <row r="1597" spans="1:7">
      <c r="A1597" s="88" t="s">
        <v>516</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558</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437</v>
      </c>
      <c r="C1612" s="56">
        <v>45922</v>
      </c>
      <c r="D1612" s="43">
        <v>329</v>
      </c>
      <c r="F1612" s="734"/>
      <c r="G1612" t="s">
        <v>1630</v>
      </c>
    </row>
    <row r="1613" spans="1:7">
      <c r="A1613" s="304" t="s">
        <v>558</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613</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537</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437</v>
      </c>
      <c r="C1621" s="56">
        <v>45923</v>
      </c>
      <c r="D1621" s="43">
        <v>427</v>
      </c>
      <c r="F1621" s="69"/>
      <c r="G1621" t="s">
        <v>1630</v>
      </c>
    </row>
    <row r="1622" spans="1:7">
      <c r="A1622" s="69" t="s">
        <v>558</v>
      </c>
      <c r="B1622" s="751" t="s">
        <v>127</v>
      </c>
      <c r="C1622" s="56">
        <v>45923</v>
      </c>
      <c r="D1622" s="43">
        <v>675</v>
      </c>
      <c r="F1622" s="69"/>
      <c r="G1622" t="s">
        <v>1630</v>
      </c>
    </row>
    <row r="1623" spans="1:7">
      <c r="A1623" s="69" t="s">
        <v>561</v>
      </c>
      <c r="B1623" s="752" t="s">
        <v>127</v>
      </c>
      <c r="C1623" s="56">
        <v>45923</v>
      </c>
      <c r="D1623" s="155">
        <v>1231</v>
      </c>
      <c r="F1623" s="69" t="s">
        <v>1673</v>
      </c>
      <c r="G1623" t="s">
        <v>1630</v>
      </c>
    </row>
    <row r="1624" spans="1:7">
      <c r="A1624" s="750" t="s">
        <v>613</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437</v>
      </c>
      <c r="C1630" s="56">
        <v>45924</v>
      </c>
      <c r="D1630" s="43">
        <v>537</v>
      </c>
      <c r="F1630" s="69"/>
      <c r="G1630" t="s">
        <v>1630</v>
      </c>
    </row>
    <row r="1631" spans="1:7">
      <c r="A1631" s="148" t="s">
        <v>567</v>
      </c>
      <c r="B1631" s="761" t="s">
        <v>127</v>
      </c>
      <c r="C1631" s="336">
        <v>45924</v>
      </c>
      <c r="D1631" s="155">
        <v>1205</v>
      </c>
      <c r="F1631" s="69" t="s">
        <v>1676</v>
      </c>
      <c r="G1631" t="s">
        <v>1630</v>
      </c>
    </row>
    <row r="1632" spans="1:7">
      <c r="A1632" s="69" t="s">
        <v>561</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558</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531</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558</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513</v>
      </c>
      <c r="B1645" s="398" t="s">
        <v>1072</v>
      </c>
      <c r="C1645" s="56">
        <v>45925</v>
      </c>
      <c r="D1645" s="43">
        <v>175</v>
      </c>
      <c r="F1645" s="30"/>
      <c r="G1645" t="s">
        <v>1630</v>
      </c>
    </row>
    <row r="1646" spans="1:7">
      <c r="A1646" s="743" t="s">
        <v>1119</v>
      </c>
      <c r="B1646" s="141" t="s">
        <v>437</v>
      </c>
      <c r="C1646" s="56">
        <v>45925</v>
      </c>
      <c r="D1646" s="43">
        <v>646</v>
      </c>
      <c r="F1646" s="69" t="s">
        <v>1302</v>
      </c>
      <c r="G1646" t="s">
        <v>1630</v>
      </c>
    </row>
    <row r="1647" spans="1:7">
      <c r="A1647" s="69" t="s">
        <v>567</v>
      </c>
      <c r="B1647" s="751" t="s">
        <v>127</v>
      </c>
      <c r="C1647" s="56">
        <v>45925</v>
      </c>
      <c r="D1647" s="155">
        <v>1000</v>
      </c>
      <c r="F1647" s="30"/>
      <c r="G1647" t="s">
        <v>1630</v>
      </c>
    </row>
    <row r="1648" spans="1:7">
      <c r="A1648" s="69" t="s">
        <v>561</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437</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513</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561</v>
      </c>
      <c r="B1667" s="737" t="s">
        <v>127</v>
      </c>
      <c r="C1667" s="56">
        <v>45929</v>
      </c>
      <c r="D1667" s="43">
        <v>600</v>
      </c>
      <c r="F1667" s="43" t="s">
        <v>1690</v>
      </c>
      <c r="G1667" t="s">
        <v>1630</v>
      </c>
    </row>
    <row r="1668" spans="1:7">
      <c r="A1668" s="311" t="s">
        <v>567</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567</v>
      </c>
      <c r="B1674" s="311" t="s">
        <v>127</v>
      </c>
      <c r="C1674" s="56">
        <v>45930</v>
      </c>
      <c r="D1674" s="43">
        <v>268</v>
      </c>
      <c r="E1674" s="139">
        <v>413</v>
      </c>
      <c r="F1674" s="43" t="s">
        <v>1692</v>
      </c>
      <c r="G1674" t="s">
        <v>1630</v>
      </c>
    </row>
    <row r="1675" spans="1:7">
      <c r="A1675" s="88" t="s">
        <v>516</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561</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531</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584</v>
      </c>
      <c r="B1692" s="737" t="s">
        <v>127</v>
      </c>
      <c r="C1692" s="56">
        <v>45931</v>
      </c>
      <c r="D1692" s="155">
        <v>1118</v>
      </c>
      <c r="G1692" t="s">
        <v>1696</v>
      </c>
    </row>
    <row r="1693" spans="1:7">
      <c r="A1693" s="134" t="s">
        <v>361</v>
      </c>
      <c r="B1693" s="141" t="s">
        <v>362</v>
      </c>
      <c r="C1693" s="56">
        <v>45931</v>
      </c>
      <c r="D1693" s="43">
        <v>312</v>
      </c>
      <c r="G1693" t="s">
        <v>1696</v>
      </c>
    </row>
    <row r="1694" spans="1:7">
      <c r="A1694" s="551" t="s">
        <v>531</v>
      </c>
      <c r="B1694" s="141" t="s">
        <v>214</v>
      </c>
      <c r="C1694" s="56">
        <v>45931</v>
      </c>
      <c r="D1694" s="43">
        <v>753</v>
      </c>
      <c r="G1694" t="s">
        <v>1696</v>
      </c>
    </row>
    <row r="1695" spans="1:7">
      <c r="A1695" s="305" t="s">
        <v>389</v>
      </c>
      <c r="B1695" s="348" t="s">
        <v>214</v>
      </c>
      <c r="C1695" s="56">
        <v>45931</v>
      </c>
      <c r="D1695" s="43">
        <v>224</v>
      </c>
      <c r="G1695" t="s">
        <v>1696</v>
      </c>
    </row>
    <row r="1696" spans="1:7">
      <c r="A1696" s="134" t="s">
        <v>516</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584</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531</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516</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516</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584</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531</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516</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584</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584</v>
      </c>
      <c r="B1743" s="141" t="s">
        <v>127</v>
      </c>
      <c r="C1743" s="56">
        <v>45938</v>
      </c>
      <c r="D1743" s="43">
        <v>308</v>
      </c>
      <c r="F1743" s="43" t="s">
        <v>1712</v>
      </c>
      <c r="G1743" t="s">
        <v>1696</v>
      </c>
    </row>
    <row r="1744" spans="1:7">
      <c r="A1744" s="647" t="s">
        <v>567</v>
      </c>
      <c r="B1744" s="141" t="s">
        <v>127</v>
      </c>
      <c r="C1744" s="56">
        <v>45938</v>
      </c>
      <c r="D1744" s="43">
        <v>334</v>
      </c>
      <c r="F1744" s="43" t="s">
        <v>1647</v>
      </c>
      <c r="G1744" t="s">
        <v>1696</v>
      </c>
    </row>
    <row r="1745" spans="1:7">
      <c r="A1745" s="304" t="s">
        <v>551</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513</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584</v>
      </c>
      <c r="B1753" s="395" t="s">
        <v>127</v>
      </c>
      <c r="C1753" s="56">
        <v>45939</v>
      </c>
      <c r="F1753" s="618" t="s">
        <v>1216</v>
      </c>
      <c r="G1753" t="s">
        <v>1696</v>
      </c>
    </row>
    <row r="1754" spans="1:7">
      <c r="A1754" s="148" t="s">
        <v>551</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513</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584</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531</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519</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586</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519</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586</v>
      </c>
      <c r="B1782" s="141" t="s">
        <v>127</v>
      </c>
      <c r="C1782" s="310">
        <v>45944</v>
      </c>
      <c r="D1782" s="43">
        <v>510</v>
      </c>
      <c r="F1782" s="43" t="s">
        <v>1723</v>
      </c>
      <c r="G1782" t="s">
        <v>1696</v>
      </c>
    </row>
    <row r="1783" spans="1:7">
      <c r="A1783" s="805" t="s">
        <v>590</v>
      </c>
      <c r="B1783" s="141" t="s">
        <v>127</v>
      </c>
      <c r="C1783" s="310">
        <v>45944</v>
      </c>
      <c r="D1783" s="43">
        <v>974</v>
      </c>
      <c r="F1783" s="43" t="s">
        <v>1724</v>
      </c>
      <c r="G1783" t="s">
        <v>1696</v>
      </c>
    </row>
    <row r="1784" spans="1:7">
      <c r="A1784" s="315" t="s">
        <v>1125</v>
      </c>
      <c r="B1784" s="315" t="s">
        <v>434</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519</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590</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434</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519</v>
      </c>
      <c r="B1799" s="141" t="s">
        <v>1687</v>
      </c>
      <c r="C1799" s="310">
        <v>45946</v>
      </c>
      <c r="D1799" s="43">
        <v>487</v>
      </c>
      <c r="F1799" s="43" t="s">
        <v>1734</v>
      </c>
      <c r="G1799" t="s">
        <v>1696</v>
      </c>
    </row>
    <row r="1800" spans="1:7">
      <c r="A1800" s="934" t="s">
        <v>590</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434</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519</v>
      </c>
      <c r="B1809" s="141" t="s">
        <v>1687</v>
      </c>
      <c r="C1809" s="56">
        <v>45947</v>
      </c>
      <c r="D1809" s="43">
        <v>123</v>
      </c>
      <c r="F1809" s="43" t="s">
        <v>1652</v>
      </c>
      <c r="G1809" t="s">
        <v>1696</v>
      </c>
    </row>
    <row r="1810" spans="1:7">
      <c r="A1810" s="683" t="s">
        <v>584</v>
      </c>
      <c r="B1810" s="683" t="s">
        <v>1072</v>
      </c>
      <c r="C1810" s="56">
        <v>45947</v>
      </c>
      <c r="F1810" s="43" t="s">
        <v>1740</v>
      </c>
      <c r="G1810" t="s">
        <v>1696</v>
      </c>
    </row>
    <row r="1811" spans="1:7">
      <c r="A1811" s="148" t="s">
        <v>1125</v>
      </c>
      <c r="B1811" s="115" t="s">
        <v>434</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516</v>
      </c>
      <c r="B1814" s="759" t="s">
        <v>1072</v>
      </c>
      <c r="C1814" s="56">
        <v>45950</v>
      </c>
      <c r="D1814" s="43">
        <v>153</v>
      </c>
      <c r="F1814" s="948"/>
      <c r="G1814" t="s">
        <v>1696</v>
      </c>
    </row>
    <row r="1815" spans="1:7">
      <c r="A1815" s="946" t="s">
        <v>519</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434</v>
      </c>
      <c r="C1818" s="56">
        <v>45950</v>
      </c>
      <c r="D1818" s="155">
        <v>3343</v>
      </c>
      <c r="F1818" s="43" t="s">
        <v>1745</v>
      </c>
      <c r="G1818" t="s">
        <v>1696</v>
      </c>
    </row>
    <row r="1819" spans="1:7">
      <c r="A1819" s="949" t="s">
        <v>531</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516</v>
      </c>
      <c r="B1822" s="958" t="s">
        <v>1072</v>
      </c>
      <c r="C1822" s="56">
        <v>45951</v>
      </c>
      <c r="D1822" s="155">
        <v>244</v>
      </c>
      <c r="G1822" t="s">
        <v>1696</v>
      </c>
    </row>
    <row r="1823" spans="1:7">
      <c r="A1823" s="88" t="s">
        <v>519</v>
      </c>
      <c r="B1823" s="953" t="s">
        <v>1687</v>
      </c>
      <c r="C1823" s="56">
        <v>45951</v>
      </c>
      <c r="D1823" s="43">
        <v>413</v>
      </c>
      <c r="F1823" s="43" t="s">
        <v>1165</v>
      </c>
      <c r="G1823" t="s">
        <v>1696</v>
      </c>
    </row>
    <row r="1824" spans="1:7">
      <c r="A1824" s="954" t="s">
        <v>590</v>
      </c>
      <c r="B1824" s="683" t="s">
        <v>127</v>
      </c>
      <c r="C1824" s="56">
        <v>45951</v>
      </c>
      <c r="D1824" s="43">
        <v>230</v>
      </c>
      <c r="F1824" s="43" t="s">
        <v>1746</v>
      </c>
      <c r="G1824" t="s">
        <v>1696</v>
      </c>
    </row>
    <row r="1825" spans="1:7">
      <c r="A1825" s="115" t="s">
        <v>1125</v>
      </c>
      <c r="B1825" s="115" t="s">
        <v>434</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596</v>
      </c>
      <c r="B1827" s="43" t="s">
        <v>127</v>
      </c>
      <c r="C1827" s="56">
        <v>45951</v>
      </c>
      <c r="D1827" s="155">
        <v>1182</v>
      </c>
      <c r="F1827" s="43" t="s">
        <v>1748</v>
      </c>
      <c r="G1827" t="s">
        <v>1696</v>
      </c>
    </row>
    <row r="1828" spans="1:7">
      <c r="A1828" s="322" t="s">
        <v>531</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519</v>
      </c>
      <c r="B1833" s="953" t="s">
        <v>1687</v>
      </c>
      <c r="C1833" s="56">
        <v>45952</v>
      </c>
      <c r="D1833" s="43">
        <v>190</v>
      </c>
      <c r="G1833" t="s">
        <v>1696</v>
      </c>
    </row>
    <row r="1834" spans="1:7">
      <c r="A1834" s="805" t="s">
        <v>1125</v>
      </c>
      <c r="B1834" s="805" t="s">
        <v>434</v>
      </c>
      <c r="C1834" s="56">
        <v>45952</v>
      </c>
      <c r="D1834" s="155">
        <v>2013</v>
      </c>
      <c r="F1834" s="320" t="s">
        <v>1751</v>
      </c>
      <c r="G1834" t="s">
        <v>1696</v>
      </c>
    </row>
    <row r="1835" spans="1:7">
      <c r="A1835" s="805" t="s">
        <v>596</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531</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516</v>
      </c>
      <c r="B1842" s="973" t="s">
        <v>1072</v>
      </c>
      <c r="C1842" s="56">
        <v>45953</v>
      </c>
      <c r="D1842" s="43">
        <v>237</v>
      </c>
      <c r="G1842" t="s">
        <v>1696</v>
      </c>
    </row>
    <row r="1843" spans="1:7">
      <c r="A1843" s="331" t="s">
        <v>519</v>
      </c>
      <c r="B1843" s="247" t="s">
        <v>1687</v>
      </c>
      <c r="C1843" s="310">
        <v>45953</v>
      </c>
      <c r="D1843" s="43">
        <v>844</v>
      </c>
      <c r="F1843" s="43" t="s">
        <v>1757</v>
      </c>
      <c r="G1843" t="s">
        <v>1696</v>
      </c>
    </row>
    <row r="1844" spans="1:7">
      <c r="A1844" s="331" t="s">
        <v>519</v>
      </c>
      <c r="B1844" s="247" t="s">
        <v>1758</v>
      </c>
      <c r="C1844" s="310">
        <v>45953</v>
      </c>
      <c r="D1844" s="43">
        <v>350</v>
      </c>
      <c r="G1844" t="s">
        <v>1696</v>
      </c>
    </row>
    <row r="1845" spans="1:7">
      <c r="A1845" s="141" t="s">
        <v>1125</v>
      </c>
      <c r="B1845" s="304" t="s">
        <v>434</v>
      </c>
      <c r="C1845" s="56">
        <v>45953</v>
      </c>
      <c r="D1845" s="155">
        <v>1500</v>
      </c>
      <c r="F1845" s="43" t="s">
        <v>1759</v>
      </c>
      <c r="G1845" t="s">
        <v>1696</v>
      </c>
    </row>
    <row r="1846" spans="1:7">
      <c r="A1846" s="141" t="s">
        <v>596</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551</v>
      </c>
      <c r="B1848" s="398" t="s">
        <v>1072</v>
      </c>
      <c r="C1848" s="56">
        <v>45953</v>
      </c>
      <c r="F1848" s="311" t="s">
        <v>1568</v>
      </c>
      <c r="G1848" t="s">
        <v>1696</v>
      </c>
    </row>
    <row r="1849" spans="1:7">
      <c r="A1849" s="931" t="s">
        <v>531</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519</v>
      </c>
      <c r="B1854" s="247" t="s">
        <v>1687</v>
      </c>
      <c r="C1854" s="56">
        <v>45954</v>
      </c>
      <c r="D1854" s="43">
        <v>142</v>
      </c>
      <c r="F1854" s="43" t="s">
        <v>1764</v>
      </c>
      <c r="G1854" t="s">
        <v>1696</v>
      </c>
    </row>
    <row r="1855" spans="1:7">
      <c r="A1855" s="88" t="s">
        <v>519</v>
      </c>
      <c r="B1855" s="247" t="s">
        <v>1758</v>
      </c>
      <c r="C1855" s="56">
        <v>45954</v>
      </c>
      <c r="D1855" s="43">
        <v>164</v>
      </c>
      <c r="F1855" s="43" t="s">
        <v>1765</v>
      </c>
      <c r="G1855" t="s">
        <v>1696</v>
      </c>
    </row>
    <row r="1856" spans="1:7">
      <c r="A1856" s="141" t="s">
        <v>1125</v>
      </c>
      <c r="B1856" s="304" t="s">
        <v>434</v>
      </c>
      <c r="C1856" s="56">
        <v>45954</v>
      </c>
      <c r="D1856" s="155">
        <v>1933</v>
      </c>
      <c r="G1856" t="s">
        <v>1696</v>
      </c>
    </row>
    <row r="1857" spans="1:7">
      <c r="A1857" s="931" t="s">
        <v>531</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519</v>
      </c>
      <c r="B1861" s="247" t="s">
        <v>1687</v>
      </c>
      <c r="C1861" s="56">
        <v>45957</v>
      </c>
      <c r="F1861" s="43" t="s">
        <v>1165</v>
      </c>
      <c r="G1861" t="s">
        <v>1696</v>
      </c>
    </row>
    <row r="1862" spans="1:7">
      <c r="A1862" s="88" t="s">
        <v>519</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434</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596</v>
      </c>
      <c r="B1867" s="395" t="s">
        <v>127</v>
      </c>
      <c r="C1867" s="56">
        <v>45957</v>
      </c>
      <c r="D1867" s="155">
        <v>1310</v>
      </c>
      <c r="F1867" s="43" t="s">
        <v>1773</v>
      </c>
      <c r="G1867" t="s">
        <v>1696</v>
      </c>
    </row>
    <row r="1868" spans="1:7">
      <c r="A1868" s="169" t="s">
        <v>551</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519</v>
      </c>
      <c r="B1874" s="247" t="s">
        <v>1687</v>
      </c>
      <c r="C1874" s="56">
        <v>45958</v>
      </c>
      <c r="F1874" s="320" t="s">
        <v>1349</v>
      </c>
      <c r="G1874" t="s">
        <v>1696</v>
      </c>
    </row>
    <row r="1875" spans="1:7">
      <c r="A1875" s="88" t="s">
        <v>519</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434</v>
      </c>
      <c r="C1878" s="56">
        <v>45958</v>
      </c>
      <c r="D1878" s="155">
        <v>2077</v>
      </c>
      <c r="G1878" t="s">
        <v>1696</v>
      </c>
    </row>
    <row r="1879" spans="1:7">
      <c r="A1879" s="141" t="s">
        <v>588</v>
      </c>
      <c r="B1879" s="141" t="s">
        <v>127</v>
      </c>
      <c r="C1879" s="56">
        <v>45958</v>
      </c>
      <c r="D1879" s="155">
        <v>1509</v>
      </c>
      <c r="F1879" s="43" t="s">
        <v>1778</v>
      </c>
      <c r="G1879" t="s">
        <v>1696</v>
      </c>
    </row>
    <row r="1880" spans="1:7">
      <c r="A1880" s="967" t="s">
        <v>582</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551</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513</v>
      </c>
      <c r="B1886" s="398" t="s">
        <v>1072</v>
      </c>
      <c r="C1886" s="56">
        <v>45959</v>
      </c>
      <c r="D1886" s="43">
        <v>171</v>
      </c>
      <c r="G1886" t="s">
        <v>1696</v>
      </c>
    </row>
    <row r="1887" spans="1:7">
      <c r="A1887" s="88" t="s">
        <v>519</v>
      </c>
      <c r="B1887" s="247" t="s">
        <v>1687</v>
      </c>
      <c r="C1887" s="56">
        <v>45959</v>
      </c>
      <c r="F1887" s="43" t="s">
        <v>1782</v>
      </c>
      <c r="G1887" t="s">
        <v>1696</v>
      </c>
    </row>
    <row r="1888" spans="1:7">
      <c r="A1888" s="88" t="s">
        <v>519</v>
      </c>
      <c r="B1888" s="247" t="s">
        <v>1783</v>
      </c>
      <c r="C1888" s="56">
        <v>45959</v>
      </c>
      <c r="D1888" s="155">
        <v>1147</v>
      </c>
      <c r="F1888" s="43" t="s">
        <v>1784</v>
      </c>
      <c r="G1888" t="s">
        <v>1696</v>
      </c>
    </row>
    <row r="1889" spans="1:7">
      <c r="A1889" s="88" t="s">
        <v>519</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434</v>
      </c>
      <c r="C1892" s="56">
        <v>45959</v>
      </c>
      <c r="D1892" s="155">
        <v>1096</v>
      </c>
      <c r="F1892" s="43" t="s">
        <v>1786</v>
      </c>
      <c r="G1892" t="s">
        <v>1696</v>
      </c>
    </row>
    <row r="1893" spans="1:7">
      <c r="A1893" s="756" t="s">
        <v>588</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531</v>
      </c>
      <c r="B1898" s="315" t="s">
        <v>1072</v>
      </c>
      <c r="C1898" s="56">
        <v>45959</v>
      </c>
      <c r="E1898" s="321">
        <v>5475</v>
      </c>
      <c r="F1898" s="43" t="s">
        <v>1790</v>
      </c>
      <c r="G1898" t="s">
        <v>1696</v>
      </c>
    </row>
    <row r="1899" spans="1:7">
      <c r="A1899" s="88" t="s">
        <v>519</v>
      </c>
      <c r="B1899" s="247" t="s">
        <v>1687</v>
      </c>
      <c r="C1899" s="56">
        <v>45960</v>
      </c>
      <c r="F1899" s="320" t="s">
        <v>1791</v>
      </c>
      <c r="G1899" t="s">
        <v>1696</v>
      </c>
    </row>
    <row r="1900" spans="1:7">
      <c r="A1900" s="88" t="s">
        <v>519</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434</v>
      </c>
      <c r="C1903" s="56">
        <v>45960</v>
      </c>
      <c r="F1903" s="141" t="s">
        <v>1795</v>
      </c>
      <c r="G1903" t="s">
        <v>1696</v>
      </c>
    </row>
    <row r="1904" spans="1:7">
      <c r="A1904" s="306" t="s">
        <v>588</v>
      </c>
      <c r="B1904" s="318" t="s">
        <v>127</v>
      </c>
      <c r="C1904" s="56">
        <v>45960</v>
      </c>
      <c r="D1904" s="43">
        <v>777</v>
      </c>
      <c r="F1904" s="43" t="s">
        <v>1796</v>
      </c>
      <c r="G1904" t="s">
        <v>1696</v>
      </c>
    </row>
    <row r="1905" spans="1:7">
      <c r="A1905" s="43" t="s">
        <v>582</v>
      </c>
      <c r="B1905" s="994" t="s">
        <v>127</v>
      </c>
      <c r="C1905" s="56">
        <v>45960</v>
      </c>
      <c r="D1905" s="43">
        <v>394</v>
      </c>
      <c r="E1905" s="321">
        <v>1275</v>
      </c>
      <c r="F1905" s="43" t="s">
        <v>1797</v>
      </c>
      <c r="G1905" t="s">
        <v>1696</v>
      </c>
    </row>
    <row r="1906" spans="1:7">
      <c r="A1906" s="995" t="s">
        <v>620</v>
      </c>
      <c r="B1906" s="169" t="s">
        <v>127</v>
      </c>
      <c r="C1906" s="56">
        <v>45960</v>
      </c>
      <c r="D1906" s="43">
        <v>978</v>
      </c>
      <c r="G1906" t="s">
        <v>1696</v>
      </c>
    </row>
    <row r="1907" spans="1:7">
      <c r="A1907" s="169" t="s">
        <v>430</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586</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519</v>
      </c>
      <c r="B1915" s="247" t="s">
        <v>1687</v>
      </c>
      <c r="C1915" s="56">
        <v>45961</v>
      </c>
      <c r="F1915" s="320" t="s">
        <v>1372</v>
      </c>
      <c r="G1915" t="s">
        <v>1696</v>
      </c>
    </row>
    <row r="1916" spans="1:7">
      <c r="A1916" s="88" t="s">
        <v>519</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434</v>
      </c>
      <c r="C1919" s="56">
        <v>45961</v>
      </c>
      <c r="E1919" s="321">
        <v>1428</v>
      </c>
      <c r="F1919" s="69"/>
      <c r="G1919" t="s">
        <v>1696</v>
      </c>
    </row>
    <row r="1920" spans="1:7">
      <c r="A1920" s="141" t="s">
        <v>588</v>
      </c>
      <c r="B1920" s="141" t="s">
        <v>127</v>
      </c>
      <c r="C1920" s="56">
        <v>45961</v>
      </c>
      <c r="F1920" s="69" t="s">
        <v>1803</v>
      </c>
      <c r="G1920" t="s">
        <v>1696</v>
      </c>
    </row>
    <row r="1921" spans="1:7">
      <c r="A1921" s="43" t="s">
        <v>588</v>
      </c>
      <c r="B1921" s="395" t="s">
        <v>1072</v>
      </c>
      <c r="C1921" s="56">
        <v>45961</v>
      </c>
      <c r="E1921" s="321">
        <v>1862</v>
      </c>
      <c r="F1921" s="618" t="s">
        <v>1519</v>
      </c>
      <c r="G1921" t="s">
        <v>1696</v>
      </c>
    </row>
    <row r="1922" spans="1:7">
      <c r="A1922" s="43" t="s">
        <v>545</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519</v>
      </c>
      <c r="B1927" s="315" t="s">
        <v>1783</v>
      </c>
      <c r="C1927" s="56">
        <v>45964</v>
      </c>
      <c r="F1927" s="320" t="s">
        <v>1456</v>
      </c>
      <c r="G1927" t="s">
        <v>1806</v>
      </c>
    </row>
    <row r="1928" spans="1:7">
      <c r="A1928" s="304" t="s">
        <v>620</v>
      </c>
      <c r="B1928" s="349" t="s">
        <v>127</v>
      </c>
      <c r="C1928" s="56">
        <v>45964</v>
      </c>
      <c r="D1928" s="155">
        <v>1420</v>
      </c>
      <c r="F1928" s="43" t="s">
        <v>1518</v>
      </c>
      <c r="G1928" t="s">
        <v>1806</v>
      </c>
    </row>
    <row r="1929" spans="1:7">
      <c r="A1929" s="346" t="s">
        <v>596</v>
      </c>
      <c r="B1929" s="349" t="s">
        <v>127</v>
      </c>
      <c r="C1929" s="56">
        <v>45964</v>
      </c>
      <c r="D1929" s="43">
        <v>701</v>
      </c>
      <c r="F1929" s="43" t="s">
        <v>1639</v>
      </c>
      <c r="G1929" t="s">
        <v>1806</v>
      </c>
    </row>
    <row r="1930" spans="1:7">
      <c r="A1930" s="141" t="s">
        <v>594</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430</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451</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519</v>
      </c>
      <c r="B1941" s="953" t="s">
        <v>1783</v>
      </c>
      <c r="C1941" s="56">
        <v>45965</v>
      </c>
      <c r="F1941" s="925" t="s">
        <v>1456</v>
      </c>
      <c r="G1941" t="s">
        <v>1806</v>
      </c>
    </row>
    <row r="1942" spans="1:7">
      <c r="A1942" s="148" t="s">
        <v>522</v>
      </c>
      <c r="B1942" s="148" t="s">
        <v>1597</v>
      </c>
      <c r="C1942" s="56">
        <v>45965</v>
      </c>
      <c r="D1942" s="43">
        <v>363</v>
      </c>
      <c r="G1942" t="s">
        <v>1806</v>
      </c>
    </row>
    <row r="1943" spans="1:7">
      <c r="A1943" s="148" t="s">
        <v>522</v>
      </c>
      <c r="B1943" s="148" t="s">
        <v>225</v>
      </c>
      <c r="C1943" s="56">
        <v>45965</v>
      </c>
      <c r="D1943" s="43">
        <v>778</v>
      </c>
      <c r="G1943" t="s">
        <v>1806</v>
      </c>
    </row>
    <row r="1944" spans="1:7">
      <c r="A1944" s="148" t="s">
        <v>522</v>
      </c>
      <c r="B1944" s="43" t="s">
        <v>1687</v>
      </c>
      <c r="C1944" s="56">
        <v>45965</v>
      </c>
      <c r="D1944" s="43">
        <v>550</v>
      </c>
      <c r="G1944" t="s">
        <v>1806</v>
      </c>
    </row>
    <row r="1945" spans="1:7">
      <c r="A1945" s="967" t="s">
        <v>594</v>
      </c>
      <c r="B1945" s="43" t="s">
        <v>127</v>
      </c>
      <c r="C1945" s="56">
        <v>45965</v>
      </c>
      <c r="D1945" s="155">
        <v>1120</v>
      </c>
      <c r="F1945" s="43" t="s">
        <v>1814</v>
      </c>
      <c r="G1945" t="s">
        <v>1806</v>
      </c>
    </row>
    <row r="1946" spans="1:7">
      <c r="A1946" s="141" t="s">
        <v>620</v>
      </c>
      <c r="B1946" s="141" t="s">
        <v>127</v>
      </c>
      <c r="C1946" s="56">
        <v>45965</v>
      </c>
      <c r="D1946" s="43">
        <v>990</v>
      </c>
      <c r="F1946" s="43" t="s">
        <v>1211</v>
      </c>
      <c r="G1946" t="s">
        <v>1806</v>
      </c>
    </row>
    <row r="1947" spans="1:7">
      <c r="A1947" s="43" t="s">
        <v>430</v>
      </c>
      <c r="B1947" s="43" t="s">
        <v>1815</v>
      </c>
      <c r="C1947" s="56">
        <v>45965</v>
      </c>
      <c r="D1947" s="43">
        <v>817</v>
      </c>
      <c r="G1947" t="s">
        <v>1806</v>
      </c>
    </row>
    <row r="1948" spans="1:7">
      <c r="A1948" s="43" t="s">
        <v>430</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547</v>
      </c>
      <c r="B1953" s="115" t="s">
        <v>1072</v>
      </c>
      <c r="C1953" s="56">
        <v>45965</v>
      </c>
      <c r="E1953" s="201"/>
      <c r="F1953" s="923" t="s">
        <v>1513</v>
      </c>
      <c r="G1953" t="s">
        <v>1806</v>
      </c>
    </row>
    <row r="1954" spans="1:7">
      <c r="A1954" s="247" t="s">
        <v>451</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522</v>
      </c>
      <c r="B1956" s="305" t="s">
        <v>1597</v>
      </c>
      <c r="C1956" s="56">
        <v>45966</v>
      </c>
      <c r="D1956" s="155">
        <v>1113</v>
      </c>
      <c r="E1956" s="253"/>
      <c r="F1956" s="169"/>
      <c r="G1956" t="s">
        <v>1806</v>
      </c>
    </row>
    <row r="1957" spans="1:7">
      <c r="A1957" s="311" t="s">
        <v>522</v>
      </c>
      <c r="B1957" s="311" t="s">
        <v>225</v>
      </c>
      <c r="C1957" s="56">
        <v>45966</v>
      </c>
      <c r="D1957" s="43">
        <v>885</v>
      </c>
      <c r="G1957" t="s">
        <v>1806</v>
      </c>
    </row>
    <row r="1958" spans="1:7">
      <c r="A1958" s="141" t="s">
        <v>594</v>
      </c>
      <c r="B1958" s="141" t="s">
        <v>127</v>
      </c>
      <c r="C1958" s="56">
        <v>45966</v>
      </c>
      <c r="D1958" s="155">
        <v>1488</v>
      </c>
      <c r="F1958" s="43" t="s">
        <v>1819</v>
      </c>
      <c r="G1958" t="s">
        <v>1806</v>
      </c>
    </row>
    <row r="1959" spans="1:7">
      <c r="A1959" s="304" t="s">
        <v>620</v>
      </c>
      <c r="B1959" s="304" t="s">
        <v>127</v>
      </c>
      <c r="C1959" s="56">
        <v>45966</v>
      </c>
      <c r="D1959" s="43">
        <v>549</v>
      </c>
      <c r="F1959" s="43" t="s">
        <v>1233</v>
      </c>
      <c r="G1959" t="s">
        <v>1806</v>
      </c>
    </row>
    <row r="1960" spans="1:7">
      <c r="A1960" s="304" t="s">
        <v>430</v>
      </c>
      <c r="B1960" s="304" t="s">
        <v>1815</v>
      </c>
      <c r="C1960" s="56">
        <v>45966</v>
      </c>
      <c r="D1960" s="155">
        <v>1377</v>
      </c>
      <c r="G1960" t="s">
        <v>1806</v>
      </c>
    </row>
    <row r="1961" spans="1:7">
      <c r="A1961" s="304" t="s">
        <v>430</v>
      </c>
      <c r="B1961" s="304" t="s">
        <v>1072</v>
      </c>
      <c r="C1961" s="56">
        <v>45966</v>
      </c>
      <c r="D1961" s="43">
        <v>829</v>
      </c>
      <c r="G1961" t="s">
        <v>1806</v>
      </c>
    </row>
    <row r="1962" spans="1:7">
      <c r="A1962" s="304" t="s">
        <v>623</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451</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442</v>
      </c>
      <c r="B1970" s="304" t="s">
        <v>127</v>
      </c>
      <c r="C1970" s="56">
        <v>45966</v>
      </c>
      <c r="D1970" s="321">
        <v>2985</v>
      </c>
      <c r="E1970" s="155"/>
      <c r="F1970" s="43" t="s">
        <v>1821</v>
      </c>
      <c r="G1970" t="s">
        <v>1806</v>
      </c>
    </row>
    <row r="1971" spans="1:7">
      <c r="A1971" s="148" t="s">
        <v>522</v>
      </c>
      <c r="B1971" s="148" t="s">
        <v>1597</v>
      </c>
      <c r="C1971" s="56">
        <v>45967</v>
      </c>
      <c r="D1971" s="139"/>
      <c r="E1971" s="43"/>
      <c r="F1971" s="141" t="s">
        <v>1822</v>
      </c>
      <c r="G1971" t="s">
        <v>1806</v>
      </c>
    </row>
    <row r="1972" spans="1:7">
      <c r="A1972" s="148" t="s">
        <v>522</v>
      </c>
      <c r="B1972" s="148" t="s">
        <v>1823</v>
      </c>
      <c r="C1972" s="56">
        <v>45967</v>
      </c>
      <c r="D1972" s="43">
        <v>760</v>
      </c>
      <c r="E1972" s="253"/>
      <c r="F1972" s="169"/>
      <c r="G1972" t="s">
        <v>1806</v>
      </c>
    </row>
    <row r="1973" spans="1:7">
      <c r="A1973" s="967" t="s">
        <v>594</v>
      </c>
      <c r="B1973" s="43" t="s">
        <v>127</v>
      </c>
      <c r="C1973" s="56">
        <v>45967</v>
      </c>
      <c r="D1973" s="43">
        <v>954</v>
      </c>
      <c r="F1973" s="43" t="s">
        <v>1824</v>
      </c>
      <c r="G1973" t="s">
        <v>1806</v>
      </c>
    </row>
    <row r="1974" spans="1:7">
      <c r="A1974" s="43" t="s">
        <v>430</v>
      </c>
      <c r="B1974" s="43" t="s">
        <v>1815</v>
      </c>
      <c r="C1974" s="56">
        <v>45967</v>
      </c>
      <c r="D1974" s="43">
        <v>183</v>
      </c>
      <c r="G1974" t="s">
        <v>1806</v>
      </c>
    </row>
    <row r="1975" spans="1:7">
      <c r="A1975" s="43" t="s">
        <v>430</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442</v>
      </c>
      <c r="B1980" s="43" t="s">
        <v>127</v>
      </c>
      <c r="C1980" s="56">
        <v>45967</v>
      </c>
      <c r="D1980" s="155">
        <v>2373</v>
      </c>
      <c r="F1980" s="43" t="s">
        <v>1827</v>
      </c>
      <c r="G1980" t="s">
        <v>1806</v>
      </c>
    </row>
    <row r="1981" spans="1:7">
      <c r="A1981" s="306" t="s">
        <v>522</v>
      </c>
      <c r="B1981" s="306" t="s">
        <v>1597</v>
      </c>
      <c r="C1981" s="56">
        <v>45968</v>
      </c>
      <c r="D1981" s="43">
        <v>923</v>
      </c>
      <c r="G1981" t="s">
        <v>1806</v>
      </c>
    </row>
    <row r="1982" spans="1:7">
      <c r="A1982" s="141" t="s">
        <v>522</v>
      </c>
      <c r="B1982" s="551" t="s">
        <v>1783</v>
      </c>
      <c r="C1982" s="56">
        <v>45968</v>
      </c>
      <c r="D1982" s="155">
        <v>3052</v>
      </c>
      <c r="G1982" t="s">
        <v>1806</v>
      </c>
    </row>
    <row r="1983" spans="1:7">
      <c r="A1983" s="141" t="s">
        <v>664</v>
      </c>
      <c r="B1983" s="346" t="s">
        <v>1758</v>
      </c>
      <c r="C1983" s="56">
        <v>45968</v>
      </c>
      <c r="D1983" s="43">
        <v>451</v>
      </c>
      <c r="G1983" t="s">
        <v>1806</v>
      </c>
    </row>
    <row r="1984" spans="1:7">
      <c r="A1984" s="304" t="s">
        <v>430</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469</v>
      </c>
      <c r="B1990" s="43" t="s">
        <v>127</v>
      </c>
      <c r="C1990" s="56">
        <v>45968</v>
      </c>
      <c r="D1990" s="155">
        <v>2948</v>
      </c>
      <c r="G1990" t="s">
        <v>1806</v>
      </c>
    </row>
    <row r="1991" spans="1:7">
      <c r="A1991" s="953" t="s">
        <v>519</v>
      </c>
      <c r="B1991" s="346" t="s">
        <v>1758</v>
      </c>
      <c r="C1991" s="56">
        <v>45971</v>
      </c>
      <c r="D1991" s="155">
        <v>560</v>
      </c>
      <c r="G1991" t="s">
        <v>1806</v>
      </c>
    </row>
    <row r="1992" spans="1:7">
      <c r="A1992" s="311" t="s">
        <v>430</v>
      </c>
      <c r="B1992" s="311" t="s">
        <v>1072</v>
      </c>
      <c r="C1992" s="56">
        <v>45971</v>
      </c>
      <c r="D1992" s="43">
        <v>558</v>
      </c>
      <c r="G1992" t="s">
        <v>1806</v>
      </c>
    </row>
    <row r="1993" spans="1:7">
      <c r="A1993" s="311" t="s">
        <v>430</v>
      </c>
      <c r="B1993" s="311" t="s">
        <v>434</v>
      </c>
      <c r="C1993" s="56">
        <v>45971</v>
      </c>
      <c r="F1993" s="43" t="s">
        <v>1521</v>
      </c>
      <c r="G1993" t="s">
        <v>1806</v>
      </c>
    </row>
    <row r="1994" spans="1:7">
      <c r="A1994" s="315" t="s">
        <v>623</v>
      </c>
      <c r="B1994" s="315" t="s">
        <v>127</v>
      </c>
      <c r="C1994" s="56">
        <v>45971</v>
      </c>
      <c r="D1994" s="155">
        <v>1351</v>
      </c>
      <c r="G1994" t="s">
        <v>1806</v>
      </c>
    </row>
    <row r="1995" spans="1:7">
      <c r="A1995" s="315" t="s">
        <v>596</v>
      </c>
      <c r="B1995" s="315" t="s">
        <v>127</v>
      </c>
      <c r="C1995" s="56">
        <v>45971</v>
      </c>
      <c r="D1995" s="43">
        <v>138</v>
      </c>
      <c r="F1995" s="43" t="s">
        <v>1828</v>
      </c>
      <c r="G1995" t="s">
        <v>1806</v>
      </c>
    </row>
    <row r="1996" spans="1:7">
      <c r="A1996" s="315" t="s">
        <v>620</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469</v>
      </c>
      <c r="B2001" s="311" t="s">
        <v>127</v>
      </c>
      <c r="C2001" s="56">
        <v>45971</v>
      </c>
      <c r="D2001" s="155">
        <v>4084</v>
      </c>
      <c r="G2001" t="s">
        <v>1806</v>
      </c>
    </row>
    <row r="2002" spans="1:7">
      <c r="A2002" s="141" t="s">
        <v>620</v>
      </c>
      <c r="B2002" s="306" t="s">
        <v>1511</v>
      </c>
      <c r="C2002" s="56">
        <v>45972</v>
      </c>
      <c r="E2002" s="321">
        <v>5569</v>
      </c>
      <c r="F2002" s="43" t="s">
        <v>1831</v>
      </c>
      <c r="G2002" t="s">
        <v>1806</v>
      </c>
    </row>
    <row r="2003" spans="1:7">
      <c r="A2003" s="304" t="s">
        <v>1128</v>
      </c>
      <c r="B2003" s="311" t="s">
        <v>437</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430</v>
      </c>
      <c r="B2007" s="43" t="s">
        <v>1511</v>
      </c>
      <c r="C2007" s="56">
        <v>45973</v>
      </c>
      <c r="F2007" s="311" t="s">
        <v>1518</v>
      </c>
      <c r="G2007" t="s">
        <v>1806</v>
      </c>
    </row>
    <row r="2008" spans="1:7">
      <c r="A2008" s="43" t="s">
        <v>411</v>
      </c>
      <c r="B2008" s="43" t="s">
        <v>127</v>
      </c>
      <c r="C2008" s="56">
        <v>45973</v>
      </c>
      <c r="D2008" s="155">
        <v>1580</v>
      </c>
      <c r="F2008" s="43" t="s">
        <v>1651</v>
      </c>
      <c r="G2008" t="s">
        <v>1806</v>
      </c>
    </row>
    <row r="2009" spans="1:7">
      <c r="A2009" s="43" t="s">
        <v>623</v>
      </c>
      <c r="B2009" s="115" t="s">
        <v>127</v>
      </c>
      <c r="C2009" s="56">
        <v>45973</v>
      </c>
      <c r="D2009" s="43">
        <v>890</v>
      </c>
      <c r="G2009" t="s">
        <v>1806</v>
      </c>
    </row>
    <row r="2010" spans="1:7">
      <c r="A2010" s="43" t="s">
        <v>623</v>
      </c>
      <c r="B2010" s="115" t="s">
        <v>434</v>
      </c>
      <c r="C2010" s="56">
        <v>45973</v>
      </c>
      <c r="F2010" s="43" t="s">
        <v>1513</v>
      </c>
      <c r="G2010" t="s">
        <v>1806</v>
      </c>
    </row>
    <row r="2011" spans="1:7">
      <c r="A2011" s="43" t="s">
        <v>592</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469</v>
      </c>
      <c r="B2017" s="43" t="s">
        <v>127</v>
      </c>
      <c r="C2017" s="56">
        <v>45973</v>
      </c>
      <c r="D2017" s="43">
        <v>242</v>
      </c>
      <c r="G2017" t="s">
        <v>1806</v>
      </c>
    </row>
    <row r="2018" spans="1:7">
      <c r="A2018" s="43" t="s">
        <v>461</v>
      </c>
      <c r="B2018" s="43" t="s">
        <v>127</v>
      </c>
      <c r="C2018" s="56">
        <v>45973</v>
      </c>
      <c r="D2018" s="155">
        <v>1264</v>
      </c>
      <c r="G2018" t="s">
        <v>1806</v>
      </c>
    </row>
    <row r="2019" spans="1:7">
      <c r="A2019" s="43" t="s">
        <v>474</v>
      </c>
      <c r="B2019" s="43" t="s">
        <v>127</v>
      </c>
      <c r="C2019" s="56">
        <v>45973</v>
      </c>
      <c r="D2019" s="155">
        <v>3678</v>
      </c>
      <c r="G2019" t="s">
        <v>1806</v>
      </c>
    </row>
    <row r="2020" spans="1:7">
      <c r="A2020" s="43" t="s">
        <v>430</v>
      </c>
      <c r="B2020" s="43" t="s">
        <v>1511</v>
      </c>
      <c r="C2020" s="56">
        <v>45974</v>
      </c>
      <c r="F2020" s="43" t="s">
        <v>1579</v>
      </c>
      <c r="G2020" t="s">
        <v>1806</v>
      </c>
    </row>
    <row r="2021" spans="1:7">
      <c r="A2021" s="43" t="s">
        <v>411</v>
      </c>
      <c r="B2021" s="43" t="s">
        <v>127</v>
      </c>
      <c r="C2021" s="56">
        <v>45974</v>
      </c>
      <c r="D2021" s="155">
        <v>1258</v>
      </c>
      <c r="F2021" s="43" t="s">
        <v>1839</v>
      </c>
      <c r="G2021" t="s">
        <v>1806</v>
      </c>
    </row>
    <row r="2022" spans="1:7">
      <c r="A2022" s="43" t="s">
        <v>592</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474</v>
      </c>
      <c r="B2029" s="43" t="s">
        <v>127</v>
      </c>
      <c r="C2029" s="56">
        <v>45974</v>
      </c>
      <c r="D2029" s="155">
        <v>3382</v>
      </c>
      <c r="G2029" t="s">
        <v>1806</v>
      </c>
    </row>
    <row r="2030" spans="1:7">
      <c r="A2030" s="43" t="s">
        <v>461</v>
      </c>
      <c r="B2030" s="43" t="s">
        <v>127</v>
      </c>
      <c r="C2030" s="56">
        <v>45974</v>
      </c>
      <c r="D2030" s="155">
        <v>1281</v>
      </c>
      <c r="G2030" t="s">
        <v>1806</v>
      </c>
    </row>
    <row r="2031" spans="1:7">
      <c r="A2031" s="247" t="s">
        <v>503</v>
      </c>
      <c r="B2031" s="43" t="s">
        <v>127</v>
      </c>
      <c r="C2031" s="56">
        <v>45974</v>
      </c>
      <c r="D2031" s="43">
        <v>424</v>
      </c>
      <c r="G2031" t="s">
        <v>1806</v>
      </c>
    </row>
    <row r="2032" spans="1:7">
      <c r="A2032" s="247" t="s">
        <v>476</v>
      </c>
      <c r="B2032" s="43" t="s">
        <v>127</v>
      </c>
      <c r="C2032" s="56">
        <v>45974</v>
      </c>
      <c r="D2032" s="43">
        <v>598</v>
      </c>
      <c r="G2032" t="s">
        <v>1806</v>
      </c>
    </row>
    <row r="2033" spans="1:7">
      <c r="A2033" s="141" t="s">
        <v>430</v>
      </c>
      <c r="B2033" s="141" t="s">
        <v>1511</v>
      </c>
      <c r="C2033" s="56">
        <v>45975</v>
      </c>
      <c r="E2033" s="1011">
        <v>5647</v>
      </c>
      <c r="F2033" s="306" t="s">
        <v>1843</v>
      </c>
      <c r="G2033" t="s">
        <v>1806</v>
      </c>
    </row>
    <row r="2034" spans="1:7">
      <c r="A2034" s="304" t="s">
        <v>596</v>
      </c>
      <c r="B2034" s="304" t="s">
        <v>1511</v>
      </c>
      <c r="C2034" s="56">
        <v>45975</v>
      </c>
      <c r="D2034" s="139"/>
      <c r="E2034" s="43">
        <v>565</v>
      </c>
      <c r="F2034" s="141"/>
      <c r="G2034" t="s">
        <v>1806</v>
      </c>
    </row>
    <row r="2035" spans="1:7">
      <c r="A2035" s="304" t="s">
        <v>1130</v>
      </c>
      <c r="B2035" s="304" t="s">
        <v>437</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430</v>
      </c>
      <c r="B2039" s="141" t="s">
        <v>1511</v>
      </c>
      <c r="C2039" s="56">
        <v>45978</v>
      </c>
      <c r="D2039" s="43">
        <v>127</v>
      </c>
      <c r="G2039" t="s">
        <v>1806</v>
      </c>
    </row>
    <row r="2040" spans="1:7">
      <c r="A2040" s="141" t="s">
        <v>430</v>
      </c>
      <c r="B2040" s="141" t="s">
        <v>1511</v>
      </c>
      <c r="C2040" s="56">
        <v>45978</v>
      </c>
      <c r="E2040" s="139">
        <v>300</v>
      </c>
      <c r="F2040" s="43" t="s">
        <v>1845</v>
      </c>
      <c r="G2040" t="s">
        <v>1806</v>
      </c>
    </row>
    <row r="2041" spans="1:7">
      <c r="A2041" s="304" t="s">
        <v>1131</v>
      </c>
      <c r="B2041" s="304" t="s">
        <v>434</v>
      </c>
      <c r="C2041" s="56">
        <v>45978</v>
      </c>
      <c r="D2041" s="155">
        <v>1505</v>
      </c>
      <c r="G2041" t="s">
        <v>1806</v>
      </c>
    </row>
    <row r="2042" spans="1:7">
      <c r="A2042" s="304" t="s">
        <v>601</v>
      </c>
      <c r="B2042" s="304" t="s">
        <v>127</v>
      </c>
      <c r="C2042" s="56">
        <v>45978</v>
      </c>
      <c r="D2042" s="155">
        <v>1471</v>
      </c>
      <c r="F2042" s="43" t="s">
        <v>1155</v>
      </c>
      <c r="G2042" t="s">
        <v>1806</v>
      </c>
    </row>
    <row r="2043" spans="1:7">
      <c r="A2043" s="305" t="s">
        <v>1130</v>
      </c>
      <c r="B2043" s="304" t="s">
        <v>437</v>
      </c>
      <c r="C2043" s="56">
        <v>45978</v>
      </c>
      <c r="D2043" s="43">
        <v>907</v>
      </c>
      <c r="F2043" s="43" t="s">
        <v>1199</v>
      </c>
      <c r="G2043" t="s">
        <v>1806</v>
      </c>
    </row>
    <row r="2044" spans="1:7">
      <c r="A2044" s="141" t="s">
        <v>598</v>
      </c>
      <c r="B2044" s="349" t="s">
        <v>127</v>
      </c>
      <c r="C2044" s="56">
        <v>45978</v>
      </c>
      <c r="D2044" s="43">
        <v>762</v>
      </c>
      <c r="G2044" t="s">
        <v>1806</v>
      </c>
    </row>
    <row r="2045" spans="1:7">
      <c r="A2045" s="141" t="s">
        <v>592</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471</v>
      </c>
      <c r="B2050" s="141" t="s">
        <v>127</v>
      </c>
      <c r="C2050" s="56">
        <v>45978</v>
      </c>
      <c r="D2050" s="155">
        <v>5466</v>
      </c>
      <c r="G2050" t="s">
        <v>1806</v>
      </c>
    </row>
    <row r="2051" spans="1:7">
      <c r="A2051" s="304" t="s">
        <v>461</v>
      </c>
      <c r="B2051" s="304" t="s">
        <v>127</v>
      </c>
      <c r="C2051" s="56">
        <v>45978</v>
      </c>
      <c r="D2051" s="155">
        <v>1662</v>
      </c>
      <c r="G2051" t="s">
        <v>1806</v>
      </c>
    </row>
    <row r="2052" spans="1:7">
      <c r="A2052" s="304" t="s">
        <v>476</v>
      </c>
      <c r="B2052" s="304" t="s">
        <v>127</v>
      </c>
      <c r="C2052" s="56">
        <v>45978</v>
      </c>
      <c r="D2052" s="155">
        <v>1498</v>
      </c>
      <c r="G2052" t="s">
        <v>1806</v>
      </c>
    </row>
    <row r="2053" spans="1:7">
      <c r="A2053" s="304" t="s">
        <v>519</v>
      </c>
      <c r="B2053" s="304" t="s">
        <v>1758</v>
      </c>
      <c r="C2053" s="56">
        <v>45979</v>
      </c>
      <c r="D2053" s="155">
        <v>17</v>
      </c>
      <c r="G2053" t="s">
        <v>1806</v>
      </c>
    </row>
    <row r="2054" spans="1:7">
      <c r="A2054" s="304" t="s">
        <v>1132</v>
      </c>
      <c r="B2054" s="304" t="s">
        <v>1758</v>
      </c>
      <c r="C2054" s="56">
        <v>45979</v>
      </c>
      <c r="D2054" s="155">
        <v>12</v>
      </c>
      <c r="G2054" t="s">
        <v>1806</v>
      </c>
    </row>
    <row r="2055" spans="1:7">
      <c r="A2055" s="43" t="s">
        <v>623</v>
      </c>
      <c r="B2055" s="43" t="s">
        <v>1511</v>
      </c>
      <c r="C2055" s="56">
        <v>45979</v>
      </c>
      <c r="E2055" s="321">
        <v>3272</v>
      </c>
      <c r="F2055" s="43" t="s">
        <v>1847</v>
      </c>
      <c r="G2055" t="s">
        <v>1806</v>
      </c>
    </row>
    <row r="2056" spans="1:7">
      <c r="A2056" s="43" t="s">
        <v>1131</v>
      </c>
      <c r="B2056" s="43" t="s">
        <v>434</v>
      </c>
      <c r="C2056" s="56">
        <v>45979</v>
      </c>
      <c r="D2056" s="155">
        <v>1518</v>
      </c>
      <c r="G2056" t="s">
        <v>1806</v>
      </c>
    </row>
    <row r="2057" spans="1:7">
      <c r="A2057" s="43" t="s">
        <v>414</v>
      </c>
      <c r="B2057" s="43" t="s">
        <v>127</v>
      </c>
      <c r="C2057" s="56">
        <v>45979</v>
      </c>
      <c r="D2057" s="155">
        <v>1679</v>
      </c>
      <c r="F2057" s="43" t="s">
        <v>1848</v>
      </c>
      <c r="G2057" t="s">
        <v>1806</v>
      </c>
    </row>
    <row r="2058" spans="1:7">
      <c r="A2058" s="43" t="s">
        <v>1130</v>
      </c>
      <c r="B2058" s="43" t="s">
        <v>437</v>
      </c>
      <c r="C2058" s="56">
        <v>45979</v>
      </c>
      <c r="F2058" s="43" t="s">
        <v>1849</v>
      </c>
      <c r="G2058" t="s">
        <v>1806</v>
      </c>
    </row>
    <row r="2059" spans="1:7">
      <c r="A2059" t="s">
        <v>598</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461</v>
      </c>
      <c r="B2064" s="43" t="s">
        <v>127</v>
      </c>
      <c r="C2064" s="56">
        <v>45979</v>
      </c>
      <c r="D2064" s="155">
        <v>2684</v>
      </c>
      <c r="F2064" s="69"/>
      <c r="G2064" t="s">
        <v>1806</v>
      </c>
    </row>
    <row r="2065" spans="1:7">
      <c r="A2065" s="148" t="s">
        <v>476</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596</v>
      </c>
      <c r="B2067" s="141" t="s">
        <v>1511</v>
      </c>
      <c r="C2067" s="56">
        <v>45980</v>
      </c>
      <c r="E2067" s="321">
        <v>2996</v>
      </c>
      <c r="F2067" s="69" t="s">
        <v>1852</v>
      </c>
      <c r="G2067" t="s">
        <v>1806</v>
      </c>
    </row>
    <row r="2068" spans="1:7">
      <c r="A2068" s="304" t="s">
        <v>1131</v>
      </c>
      <c r="B2068" s="304" t="s">
        <v>434</v>
      </c>
      <c r="C2068" s="56">
        <v>45980</v>
      </c>
      <c r="D2068" s="155">
        <v>1968</v>
      </c>
      <c r="E2068" s="201"/>
      <c r="F2068" s="148" t="s">
        <v>1853</v>
      </c>
      <c r="G2068" t="s">
        <v>1806</v>
      </c>
    </row>
    <row r="2069" spans="1:7">
      <c r="A2069" s="304" t="s">
        <v>414</v>
      </c>
      <c r="B2069" s="304" t="s">
        <v>127</v>
      </c>
      <c r="C2069" s="56">
        <v>45980</v>
      </c>
      <c r="D2069" s="321">
        <v>1429</v>
      </c>
      <c r="E2069" s="43"/>
      <c r="F2069" s="69" t="s">
        <v>1854</v>
      </c>
      <c r="G2069" t="s">
        <v>1806</v>
      </c>
    </row>
    <row r="2070" spans="1:7">
      <c r="A2070" s="305" t="s">
        <v>1130</v>
      </c>
      <c r="B2070" s="304" t="s">
        <v>437</v>
      </c>
      <c r="C2070" s="56">
        <v>45980</v>
      </c>
      <c r="D2070" s="139"/>
      <c r="E2070" s="43"/>
      <c r="F2070" s="69" t="s">
        <v>1803</v>
      </c>
      <c r="G2070" t="s">
        <v>1806</v>
      </c>
    </row>
    <row r="2071" spans="1:7">
      <c r="A2071" s="311" t="s">
        <v>598</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598</v>
      </c>
      <c r="B2077" s="141" t="s">
        <v>127</v>
      </c>
      <c r="C2077" s="56">
        <v>45981</v>
      </c>
      <c r="D2077" s="155">
        <v>1603</v>
      </c>
      <c r="F2077" s="91" t="s">
        <v>1857</v>
      </c>
      <c r="G2077" t="s">
        <v>1806</v>
      </c>
    </row>
    <row r="2078" spans="1:7">
      <c r="A2078" s="304" t="s">
        <v>1131</v>
      </c>
      <c r="B2078" s="304" t="s">
        <v>434</v>
      </c>
      <c r="C2078" s="56">
        <v>45981</v>
      </c>
      <c r="D2078" s="43">
        <v>345</v>
      </c>
      <c r="F2078" s="69" t="s">
        <v>1858</v>
      </c>
      <c r="G2078" t="s">
        <v>1806</v>
      </c>
    </row>
    <row r="2079" spans="1:7">
      <c r="A2079" s="304" t="s">
        <v>414</v>
      </c>
      <c r="B2079" s="304" t="s">
        <v>127</v>
      </c>
      <c r="C2079" s="56">
        <v>45981</v>
      </c>
      <c r="D2079" s="155">
        <v>1624</v>
      </c>
      <c r="F2079" s="69" t="s">
        <v>1859</v>
      </c>
      <c r="G2079" t="s">
        <v>1806</v>
      </c>
    </row>
    <row r="2080" spans="1:7">
      <c r="A2080" s="305" t="s">
        <v>596</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471</v>
      </c>
      <c r="B2086" s="357" t="s">
        <v>127</v>
      </c>
      <c r="C2086" s="56">
        <v>45981</v>
      </c>
      <c r="D2086" s="155">
        <v>2252</v>
      </c>
      <c r="F2086" s="69"/>
      <c r="G2086" t="s">
        <v>1806</v>
      </c>
    </row>
    <row r="2087" spans="1:7">
      <c r="A2087" s="318" t="s">
        <v>476</v>
      </c>
      <c r="B2087" s="387" t="s">
        <v>127</v>
      </c>
      <c r="C2087" s="56">
        <v>45981</v>
      </c>
      <c r="D2087" s="1083">
        <v>1027</v>
      </c>
      <c r="F2087" s="69"/>
      <c r="G2087" t="s">
        <v>1806</v>
      </c>
    </row>
    <row r="2088" spans="1:7">
      <c r="A2088" s="348" t="s">
        <v>479</v>
      </c>
      <c r="B2088" s="357" t="s">
        <v>127</v>
      </c>
      <c r="C2088" s="56">
        <v>45981</v>
      </c>
      <c r="D2088" s="155">
        <v>1420</v>
      </c>
      <c r="F2088" s="69"/>
      <c r="G2088" t="s">
        <v>1806</v>
      </c>
    </row>
    <row r="2089" spans="1:7">
      <c r="A2089" s="318" t="s">
        <v>482</v>
      </c>
      <c r="B2089" s="387" t="s">
        <v>127</v>
      </c>
      <c r="C2089" s="56">
        <v>45981</v>
      </c>
      <c r="D2089" s="155">
        <v>2376</v>
      </c>
      <c r="F2089" s="69"/>
      <c r="G2089" t="s">
        <v>1806</v>
      </c>
    </row>
    <row r="2090" spans="1:7">
      <c r="A2090" s="348" t="s">
        <v>503</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434</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461</v>
      </c>
      <c r="B2097" s="165" t="s">
        <v>127</v>
      </c>
      <c r="C2097" s="56">
        <v>45982</v>
      </c>
      <c r="D2097" s="43">
        <v>51</v>
      </c>
      <c r="F2097" s="69"/>
      <c r="G2097" t="s">
        <v>1806</v>
      </c>
    </row>
    <row r="2098" spans="1:7">
      <c r="A2098" s="404" t="s">
        <v>503</v>
      </c>
      <c r="B2098" s="173" t="s">
        <v>127</v>
      </c>
      <c r="C2098" s="56">
        <v>45982</v>
      </c>
      <c r="D2098" s="155">
        <v>3007</v>
      </c>
      <c r="F2098" s="69"/>
      <c r="G2098" t="s">
        <v>1806</v>
      </c>
    </row>
    <row r="2099" spans="1:7">
      <c r="A2099" s="404" t="s">
        <v>476</v>
      </c>
      <c r="B2099" s="173" t="s">
        <v>127</v>
      </c>
      <c r="C2099" s="56">
        <v>45982</v>
      </c>
      <c r="D2099" s="43">
        <v>490</v>
      </c>
      <c r="F2099" s="69"/>
      <c r="G2099" t="s">
        <v>1806</v>
      </c>
    </row>
    <row r="2100" spans="1:7">
      <c r="A2100" s="404" t="s">
        <v>479</v>
      </c>
      <c r="B2100" s="173" t="s">
        <v>127</v>
      </c>
      <c r="C2100" s="56">
        <v>45982</v>
      </c>
      <c r="D2100" s="155">
        <v>3043</v>
      </c>
      <c r="F2100" s="69"/>
      <c r="G2100" t="s">
        <v>1806</v>
      </c>
    </row>
    <row r="2101" spans="1:7">
      <c r="A2101" s="404" t="s">
        <v>482</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513</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434</v>
      </c>
      <c r="C2110" s="310">
        <v>45985</v>
      </c>
      <c r="D2110" s="155">
        <v>2805</v>
      </c>
      <c r="F2110" s="69"/>
      <c r="G2110" t="s">
        <v>1806</v>
      </c>
    </row>
    <row r="2111" spans="1:7">
      <c r="A2111" s="43" t="s">
        <v>598</v>
      </c>
      <c r="B2111" s="1093" t="s">
        <v>127</v>
      </c>
      <c r="C2111" s="56">
        <v>45985</v>
      </c>
      <c r="D2111" s="43">
        <v>805</v>
      </c>
      <c r="F2111" s="69" t="s">
        <v>1870</v>
      </c>
      <c r="G2111" t="s">
        <v>1806</v>
      </c>
    </row>
    <row r="2112" spans="1:7">
      <c r="A2112" s="43" t="s">
        <v>601</v>
      </c>
      <c r="B2112" s="1093" t="s">
        <v>127</v>
      </c>
      <c r="C2112" s="56">
        <v>45985</v>
      </c>
      <c r="D2112" s="43">
        <v>665</v>
      </c>
      <c r="F2112" s="69"/>
      <c r="G2112" t="s">
        <v>1806</v>
      </c>
    </row>
    <row r="2113" spans="1:7">
      <c r="A2113" s="43" t="s">
        <v>414</v>
      </c>
      <c r="B2113" s="1093" t="s">
        <v>127</v>
      </c>
      <c r="C2113" s="56">
        <v>45985</v>
      </c>
      <c r="D2113" s="43">
        <v>572</v>
      </c>
      <c r="F2113" s="69" t="s">
        <v>1871</v>
      </c>
      <c r="G2113" t="s">
        <v>1806</v>
      </c>
    </row>
    <row r="2114" spans="1:7">
      <c r="A2114" s="169" t="s">
        <v>420</v>
      </c>
      <c r="B2114" s="169" t="s">
        <v>1072</v>
      </c>
      <c r="C2114" s="56">
        <v>45985</v>
      </c>
      <c r="D2114" s="43">
        <v>286</v>
      </c>
      <c r="E2114" s="201"/>
      <c r="F2114" s="148"/>
      <c r="G2114" t="s">
        <v>1806</v>
      </c>
    </row>
    <row r="2115" spans="1:7">
      <c r="A2115" s="43" t="s">
        <v>592</v>
      </c>
      <c r="B2115" s="43" t="s">
        <v>1072</v>
      </c>
      <c r="C2115" s="56">
        <v>45985</v>
      </c>
      <c r="D2115" s="139"/>
      <c r="E2115" s="43">
        <v>734</v>
      </c>
      <c r="F2115" s="69"/>
      <c r="G2115" t="s">
        <v>1806</v>
      </c>
    </row>
    <row r="2116" spans="1:7">
      <c r="A2116" s="43" t="s">
        <v>411</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513</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420</v>
      </c>
      <c r="B2126" s="805" t="s">
        <v>1072</v>
      </c>
      <c r="C2126" s="56">
        <v>45986</v>
      </c>
      <c r="D2126" s="43">
        <v>357</v>
      </c>
      <c r="F2126" s="43" t="s">
        <v>1199</v>
      </c>
      <c r="G2126" t="s">
        <v>1806</v>
      </c>
    </row>
    <row r="2127" spans="1:7">
      <c r="A2127" s="43" t="s">
        <v>1131</v>
      </c>
      <c r="B2127" s="43" t="s">
        <v>434</v>
      </c>
      <c r="C2127" s="56">
        <v>45986</v>
      </c>
      <c r="D2127" s="155">
        <v>1397</v>
      </c>
      <c r="G2127" t="s">
        <v>1806</v>
      </c>
    </row>
    <row r="2128" spans="1:7">
      <c r="A2128" s="43" t="s">
        <v>604</v>
      </c>
      <c r="B2128" s="43" t="s">
        <v>127</v>
      </c>
      <c r="C2128" s="56">
        <v>45986</v>
      </c>
      <c r="D2128" s="155">
        <v>1100</v>
      </c>
      <c r="G2128" t="s">
        <v>1806</v>
      </c>
    </row>
    <row r="2129" spans="1:7">
      <c r="A2129" s="43" t="s">
        <v>601</v>
      </c>
      <c r="B2129" s="43" t="s">
        <v>127</v>
      </c>
      <c r="C2129" s="56">
        <v>45986</v>
      </c>
      <c r="D2129" s="155">
        <v>1360</v>
      </c>
      <c r="F2129" s="43" t="s">
        <v>1878</v>
      </c>
      <c r="G2129" t="s">
        <v>1806</v>
      </c>
    </row>
    <row r="2130" spans="1:7">
      <c r="A2130" s="43" t="s">
        <v>1134</v>
      </c>
      <c r="B2130" s="43" t="s">
        <v>437</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463</v>
      </c>
      <c r="B2136" s="165" t="s">
        <v>127</v>
      </c>
      <c r="C2136" s="56">
        <v>45986</v>
      </c>
      <c r="D2136" s="155">
        <v>2382</v>
      </c>
      <c r="G2136" t="s">
        <v>1806</v>
      </c>
    </row>
    <row r="2137" spans="1:7">
      <c r="A2137" s="404" t="s">
        <v>442</v>
      </c>
      <c r="B2137" s="173" t="s">
        <v>127</v>
      </c>
      <c r="C2137" s="56">
        <v>45986</v>
      </c>
      <c r="D2137" s="43">
        <v>996</v>
      </c>
      <c r="G2137" t="s">
        <v>1806</v>
      </c>
    </row>
    <row r="2138" spans="1:7">
      <c r="A2138" s="404" t="s">
        <v>485</v>
      </c>
      <c r="B2138" s="173" t="s">
        <v>127</v>
      </c>
      <c r="C2138" s="56">
        <v>45986</v>
      </c>
      <c r="D2138" s="155">
        <v>3634</v>
      </c>
      <c r="G2138" t="s">
        <v>1806</v>
      </c>
    </row>
    <row r="2139" spans="1:7">
      <c r="A2139" s="69" t="s">
        <v>482</v>
      </c>
      <c r="B2139" s="173" t="s">
        <v>127</v>
      </c>
      <c r="C2139" s="56">
        <v>45986</v>
      </c>
      <c r="D2139" s="155">
        <v>3311</v>
      </c>
      <c r="G2139" t="s">
        <v>1806</v>
      </c>
    </row>
    <row r="2140" spans="1:7">
      <c r="A2140" s="69" t="s">
        <v>307</v>
      </c>
      <c r="B2140" s="173" t="s">
        <v>127</v>
      </c>
      <c r="C2140" s="56">
        <v>45986</v>
      </c>
      <c r="D2140" s="155">
        <v>1175</v>
      </c>
      <c r="G2140" t="s">
        <v>1806</v>
      </c>
    </row>
    <row r="2141" spans="1:7">
      <c r="A2141" s="247" t="s">
        <v>479</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513</v>
      </c>
      <c r="B2145" s="311" t="s">
        <v>1072</v>
      </c>
      <c r="C2145" s="56">
        <v>45987</v>
      </c>
      <c r="F2145" s="782" t="s">
        <v>1349</v>
      </c>
      <c r="G2145" t="s">
        <v>1806</v>
      </c>
    </row>
    <row r="2146" spans="1:7">
      <c r="A2146" s="805" t="s">
        <v>420</v>
      </c>
      <c r="B2146" s="805" t="s">
        <v>1072</v>
      </c>
      <c r="C2146" s="56">
        <v>45987</v>
      </c>
      <c r="D2146" s="43">
        <v>331</v>
      </c>
      <c r="E2146" s="321">
        <v>1063</v>
      </c>
      <c r="F2146" s="43" t="s">
        <v>1880</v>
      </c>
      <c r="G2146" t="s">
        <v>1806</v>
      </c>
    </row>
    <row r="2147" spans="1:7">
      <c r="A2147" s="1094" t="s">
        <v>601</v>
      </c>
      <c r="B2147" s="304" t="s">
        <v>127</v>
      </c>
      <c r="C2147" s="56">
        <v>45987</v>
      </c>
      <c r="D2147" s="155">
        <v>1024</v>
      </c>
      <c r="F2147" s="43" t="s">
        <v>1881</v>
      </c>
      <c r="G2147" t="s">
        <v>1806</v>
      </c>
    </row>
    <row r="2148" spans="1:7">
      <c r="A2148" s="306" t="s">
        <v>604</v>
      </c>
      <c r="B2148" s="305" t="s">
        <v>127</v>
      </c>
      <c r="C2148" s="56">
        <v>45987</v>
      </c>
      <c r="D2148" s="43">
        <v>855</v>
      </c>
      <c r="F2148" s="43" t="s">
        <v>1882</v>
      </c>
      <c r="G2148" t="s">
        <v>1806</v>
      </c>
    </row>
    <row r="2149" spans="1:7">
      <c r="A2149" s="311" t="s">
        <v>1135</v>
      </c>
      <c r="B2149" s="311" t="s">
        <v>434</v>
      </c>
      <c r="C2149" s="56">
        <v>45987</v>
      </c>
      <c r="D2149" s="43">
        <v>955</v>
      </c>
      <c r="E2149" s="201"/>
      <c r="F2149" s="115" t="s">
        <v>1883</v>
      </c>
      <c r="G2149" t="s">
        <v>1806</v>
      </c>
    </row>
    <row r="2150" spans="1:7">
      <c r="A2150" s="315" t="s">
        <v>1136</v>
      </c>
      <c r="B2150" s="315" t="s">
        <v>437</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451</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445</v>
      </c>
      <c r="B2160" s="311" t="s">
        <v>1072</v>
      </c>
      <c r="C2160" s="56">
        <v>45987</v>
      </c>
      <c r="E2160" s="139">
        <v>175</v>
      </c>
      <c r="G2160" t="s">
        <v>1806</v>
      </c>
    </row>
    <row r="2161" spans="1:7">
      <c r="A2161" s="306" t="s">
        <v>445</v>
      </c>
      <c r="B2161" s="315" t="s">
        <v>127</v>
      </c>
      <c r="C2161" s="56">
        <v>45987</v>
      </c>
      <c r="E2161" s="321">
        <v>2455</v>
      </c>
      <c r="F2161" s="43" t="s">
        <v>1888</v>
      </c>
      <c r="G2161" t="s">
        <v>1806</v>
      </c>
    </row>
    <row r="2162" spans="1:7">
      <c r="A2162" s="306" t="s">
        <v>447</v>
      </c>
      <c r="B2162" s="315" t="s">
        <v>1072</v>
      </c>
      <c r="C2162" s="56">
        <v>45987</v>
      </c>
      <c r="E2162" s="139">
        <v>376</v>
      </c>
      <c r="G2162" t="s">
        <v>1806</v>
      </c>
    </row>
    <row r="2163" spans="1:7">
      <c r="A2163" s="306" t="s">
        <v>447</v>
      </c>
      <c r="B2163" s="737" t="s">
        <v>127</v>
      </c>
      <c r="C2163" s="56">
        <v>45987</v>
      </c>
      <c r="E2163" s="139">
        <v>404</v>
      </c>
      <c r="F2163" s="43" t="s">
        <v>1889</v>
      </c>
      <c r="G2163" t="s">
        <v>1806</v>
      </c>
    </row>
    <row r="2164" spans="1:7">
      <c r="A2164" s="311" t="s">
        <v>449</v>
      </c>
      <c r="B2164" s="311" t="s">
        <v>1072</v>
      </c>
      <c r="C2164" s="56">
        <v>45987</v>
      </c>
      <c r="E2164" s="321">
        <v>1264</v>
      </c>
      <c r="G2164" t="s">
        <v>1806</v>
      </c>
    </row>
    <row r="2165" spans="1:7">
      <c r="A2165" s="315" t="s">
        <v>454</v>
      </c>
      <c r="B2165" s="315" t="s">
        <v>1072</v>
      </c>
      <c r="C2165" s="56">
        <v>45987</v>
      </c>
      <c r="E2165" s="321">
        <v>1520</v>
      </c>
      <c r="G2165" t="s">
        <v>1806</v>
      </c>
    </row>
    <row r="2166" spans="1:7">
      <c r="A2166" s="315" t="s">
        <v>455</v>
      </c>
      <c r="B2166" s="315" t="s">
        <v>1511</v>
      </c>
      <c r="C2166" s="56">
        <v>45987</v>
      </c>
      <c r="E2166" s="321">
        <v>1739</v>
      </c>
      <c r="G2166" t="s">
        <v>1806</v>
      </c>
    </row>
    <row r="2167" spans="1:7">
      <c r="A2167" s="315" t="s">
        <v>457</v>
      </c>
      <c r="B2167" s="315" t="s">
        <v>1072</v>
      </c>
      <c r="C2167" s="56">
        <v>45987</v>
      </c>
      <c r="E2167" s="321">
        <v>1584</v>
      </c>
      <c r="G2167" t="s">
        <v>1806</v>
      </c>
    </row>
    <row r="2168" spans="1:7">
      <c r="A2168" s="315" t="s">
        <v>459</v>
      </c>
      <c r="B2168" s="315" t="s">
        <v>1072</v>
      </c>
      <c r="C2168" s="56">
        <v>45987</v>
      </c>
      <c r="E2168" s="321">
        <v>1140</v>
      </c>
      <c r="G2168" t="s">
        <v>1806</v>
      </c>
    </row>
    <row r="2169" spans="1:7">
      <c r="A2169" s="315" t="s">
        <v>460</v>
      </c>
      <c r="B2169" s="315" t="s">
        <v>1072</v>
      </c>
      <c r="C2169" s="56">
        <v>45987</v>
      </c>
      <c r="E2169" s="139">
        <v>692</v>
      </c>
      <c r="G2169" t="s">
        <v>1806</v>
      </c>
    </row>
    <row r="2170" spans="1:7">
      <c r="C2170" s="56">
        <v>45988</v>
      </c>
      <c r="G2170" t="s">
        <v>1806</v>
      </c>
    </row>
    <row r="2171" spans="1:7">
      <c r="A2171" s="247" t="s">
        <v>598</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522</v>
      </c>
      <c r="B2174" s="306" t="s">
        <v>1597</v>
      </c>
      <c r="C2174" s="56">
        <v>45992</v>
      </c>
      <c r="D2174" s="43">
        <v>602</v>
      </c>
      <c r="F2174" s="43" t="s">
        <v>1892</v>
      </c>
      <c r="G2174" t="s">
        <v>1891</v>
      </c>
    </row>
    <row r="2175" spans="1:7">
      <c r="A2175" s="306" t="s">
        <v>522</v>
      </c>
      <c r="B2175" s="306" t="s">
        <v>1687</v>
      </c>
      <c r="C2175" s="56">
        <v>45992</v>
      </c>
      <c r="F2175" s="337" t="s">
        <v>1893</v>
      </c>
      <c r="G2175" t="s">
        <v>1891</v>
      </c>
    </row>
    <row r="2176" spans="1:7">
      <c r="A2176" s="805" t="s">
        <v>601</v>
      </c>
      <c r="B2176" s="805" t="s">
        <v>127</v>
      </c>
      <c r="C2176" s="56">
        <v>45992</v>
      </c>
      <c r="D2176" s="155">
        <v>1610</v>
      </c>
      <c r="F2176" s="43" t="s">
        <v>1894</v>
      </c>
      <c r="G2176" t="s">
        <v>1891</v>
      </c>
    </row>
    <row r="2177" spans="1:7">
      <c r="A2177" s="1094" t="s">
        <v>604</v>
      </c>
      <c r="B2177" s="304" t="s">
        <v>127</v>
      </c>
      <c r="C2177" s="56">
        <v>45992</v>
      </c>
      <c r="D2177" s="155">
        <v>1622</v>
      </c>
      <c r="F2177" s="43" t="s">
        <v>1895</v>
      </c>
      <c r="G2177" t="s">
        <v>1891</v>
      </c>
    </row>
    <row r="2178" spans="1:7">
      <c r="A2178" s="141" t="s">
        <v>1135</v>
      </c>
      <c r="B2178" s="304" t="s">
        <v>434</v>
      </c>
      <c r="C2178" s="56">
        <v>45992</v>
      </c>
      <c r="D2178" s="155">
        <v>1765</v>
      </c>
      <c r="G2178" t="s">
        <v>1891</v>
      </c>
    </row>
    <row r="2179" spans="1:7">
      <c r="A2179" s="304" t="s">
        <v>1134</v>
      </c>
      <c r="B2179" s="304" t="s">
        <v>437</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485</v>
      </c>
      <c r="B2182" s="357" t="s">
        <v>127</v>
      </c>
      <c r="C2182" s="56">
        <v>45992</v>
      </c>
      <c r="D2182" s="155">
        <v>3376</v>
      </c>
      <c r="G2182" t="s">
        <v>1891</v>
      </c>
    </row>
    <row r="2183" spans="1:7">
      <c r="A2183" s="317" t="s">
        <v>463</v>
      </c>
      <c r="B2183" s="308" t="s">
        <v>127</v>
      </c>
      <c r="C2183" s="56">
        <v>45992</v>
      </c>
      <c r="D2183" s="155">
        <v>3084</v>
      </c>
      <c r="G2183" t="s">
        <v>1891</v>
      </c>
    </row>
    <row r="2184" spans="1:7">
      <c r="A2184" s="311" t="s">
        <v>500</v>
      </c>
      <c r="B2184" s="311" t="s">
        <v>127</v>
      </c>
      <c r="C2184" s="56">
        <v>45992</v>
      </c>
      <c r="D2184" s="155">
        <v>1829</v>
      </c>
      <c r="G2184" t="s">
        <v>1891</v>
      </c>
    </row>
    <row r="2185" spans="1:7">
      <c r="A2185" s="247" t="s">
        <v>466</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522</v>
      </c>
      <c r="B2188" s="306" t="s">
        <v>1597</v>
      </c>
      <c r="C2188" s="56">
        <v>45993</v>
      </c>
      <c r="D2188" s="43">
        <v>581</v>
      </c>
      <c r="G2188" t="s">
        <v>1891</v>
      </c>
    </row>
    <row r="2189" spans="1:7">
      <c r="A2189" s="311" t="s">
        <v>522</v>
      </c>
      <c r="B2189" s="311" t="s">
        <v>1687</v>
      </c>
      <c r="C2189" s="56">
        <v>45993</v>
      </c>
      <c r="D2189" s="43">
        <v>488</v>
      </c>
      <c r="F2189" s="43" t="s">
        <v>1898</v>
      </c>
      <c r="G2189" t="s">
        <v>1891</v>
      </c>
    </row>
    <row r="2190" spans="1:7">
      <c r="A2190" s="141" t="s">
        <v>1134</v>
      </c>
      <c r="B2190" s="141" t="s">
        <v>437</v>
      </c>
      <c r="C2190" s="56">
        <v>45993</v>
      </c>
      <c r="D2190" s="43">
        <v>610</v>
      </c>
      <c r="F2190" s="43" t="s">
        <v>1899</v>
      </c>
      <c r="G2190" t="s">
        <v>1891</v>
      </c>
    </row>
    <row r="2191" spans="1:7">
      <c r="A2191" s="1094" t="s">
        <v>604</v>
      </c>
      <c r="B2191" s="304" t="s">
        <v>127</v>
      </c>
      <c r="C2191" s="56">
        <v>45993</v>
      </c>
      <c r="D2191" s="155">
        <v>1131</v>
      </c>
      <c r="F2191" s="43" t="s">
        <v>1900</v>
      </c>
      <c r="G2191" t="s">
        <v>1891</v>
      </c>
    </row>
    <row r="2192" spans="1:7">
      <c r="A2192" s="141" t="s">
        <v>1135</v>
      </c>
      <c r="B2192" s="304" t="s">
        <v>434</v>
      </c>
      <c r="C2192" s="56">
        <v>45993</v>
      </c>
      <c r="D2192" s="155">
        <v>1153</v>
      </c>
      <c r="F2192" s="43" t="s">
        <v>1901</v>
      </c>
      <c r="G2192" t="s">
        <v>1891</v>
      </c>
    </row>
    <row r="2193" spans="1:7">
      <c r="A2193" s="304" t="s">
        <v>594</v>
      </c>
      <c r="B2193" s="304" t="s">
        <v>1072</v>
      </c>
      <c r="C2193" s="56">
        <v>45993</v>
      </c>
      <c r="D2193" s="43">
        <v>175</v>
      </c>
      <c r="G2193" t="s">
        <v>1891</v>
      </c>
    </row>
    <row r="2194" spans="1:7">
      <c r="A2194" s="311" t="s">
        <v>466</v>
      </c>
      <c r="B2194" s="311" t="s">
        <v>127</v>
      </c>
      <c r="C2194" s="56">
        <v>45993</v>
      </c>
      <c r="D2194" s="155">
        <v>2916</v>
      </c>
      <c r="G2194" t="s">
        <v>1891</v>
      </c>
    </row>
    <row r="2195" spans="1:7">
      <c r="A2195" s="315" t="s">
        <v>500</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522</v>
      </c>
      <c r="B2198" s="950" t="s">
        <v>1597</v>
      </c>
      <c r="C2198" s="56">
        <v>45994</v>
      </c>
      <c r="D2198" s="155">
        <v>1029</v>
      </c>
      <c r="F2198" s="43" t="s">
        <v>1903</v>
      </c>
      <c r="G2198" t="s">
        <v>1891</v>
      </c>
    </row>
    <row r="2199" spans="1:7">
      <c r="A2199" s="950" t="s">
        <v>522</v>
      </c>
      <c r="B2199" s="950" t="s">
        <v>1687</v>
      </c>
      <c r="C2199" s="56">
        <v>45994</v>
      </c>
      <c r="F2199" s="337" t="s">
        <v>1904</v>
      </c>
      <c r="G2199" t="s">
        <v>1891</v>
      </c>
    </row>
    <row r="2200" spans="1:7">
      <c r="A2200" s="759" t="s">
        <v>522</v>
      </c>
      <c r="B2200" s="759" t="s">
        <v>1823</v>
      </c>
      <c r="C2200" s="56">
        <v>45994</v>
      </c>
      <c r="D2200" s="43">
        <v>100</v>
      </c>
      <c r="G2200" t="s">
        <v>1891</v>
      </c>
    </row>
    <row r="2201" spans="1:7">
      <c r="A2201" s="756" t="s">
        <v>1134</v>
      </c>
      <c r="B2201" s="756" t="s">
        <v>437</v>
      </c>
      <c r="C2201" s="56">
        <v>45994</v>
      </c>
      <c r="D2201" s="43">
        <v>974</v>
      </c>
      <c r="G2201" t="s">
        <v>1891</v>
      </c>
    </row>
    <row r="2202" spans="1:7">
      <c r="A2202" s="1094" t="s">
        <v>573</v>
      </c>
      <c r="B2202" s="1129" t="s">
        <v>139</v>
      </c>
      <c r="C2202" s="56">
        <v>45994</v>
      </c>
      <c r="D2202" s="43">
        <v>466</v>
      </c>
      <c r="F2202" s="43" t="s">
        <v>1905</v>
      </c>
      <c r="G2202" t="s">
        <v>1891</v>
      </c>
    </row>
    <row r="2203" spans="1:7">
      <c r="A2203" s="756" t="s">
        <v>1135</v>
      </c>
      <c r="B2203" s="1129" t="s">
        <v>434</v>
      </c>
      <c r="C2203" s="56">
        <v>45994</v>
      </c>
      <c r="D2203" s="43">
        <v>383</v>
      </c>
      <c r="G2203" t="s">
        <v>1891</v>
      </c>
    </row>
    <row r="2204" spans="1:7">
      <c r="A2204" s="756" t="s">
        <v>579</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466</v>
      </c>
      <c r="B2206" s="1131" t="s">
        <v>127</v>
      </c>
      <c r="C2206" s="56">
        <v>45994</v>
      </c>
      <c r="D2206" s="155">
        <v>2430</v>
      </c>
      <c r="G2206" t="s">
        <v>1891</v>
      </c>
    </row>
    <row r="2207" spans="1:7">
      <c r="A2207" s="759" t="s">
        <v>500</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522</v>
      </c>
      <c r="B2210" s="306" t="s">
        <v>1758</v>
      </c>
      <c r="C2210" s="56">
        <v>45995</v>
      </c>
      <c r="D2210" s="43">
        <v>285</v>
      </c>
      <c r="G2210" t="s">
        <v>1891</v>
      </c>
    </row>
    <row r="2211" spans="1:7">
      <c r="A2211" s="311" t="s">
        <v>522</v>
      </c>
      <c r="B2211" s="311" t="s">
        <v>1597</v>
      </c>
      <c r="C2211" s="56">
        <v>45995</v>
      </c>
      <c r="D2211" s="43">
        <v>756</v>
      </c>
      <c r="G2211" t="s">
        <v>1891</v>
      </c>
    </row>
    <row r="2212" spans="1:7">
      <c r="A2212" s="315" t="s">
        <v>522</v>
      </c>
      <c r="B2212" s="315" t="s">
        <v>1687</v>
      </c>
      <c r="C2212" s="56">
        <v>45995</v>
      </c>
      <c r="F2212" s="311" t="s">
        <v>1908</v>
      </c>
      <c r="G2212" t="s">
        <v>1891</v>
      </c>
    </row>
    <row r="2213" spans="1:7">
      <c r="A2213" s="306" t="s">
        <v>417</v>
      </c>
      <c r="B2213" s="306" t="s">
        <v>127</v>
      </c>
      <c r="C2213" s="56">
        <v>45995</v>
      </c>
      <c r="D2213" s="155">
        <v>1431</v>
      </c>
      <c r="F2213" s="43" t="s">
        <v>1909</v>
      </c>
      <c r="G2213" t="s">
        <v>1891</v>
      </c>
    </row>
    <row r="2214" spans="1:7">
      <c r="A2214" s="311" t="s">
        <v>573</v>
      </c>
      <c r="B2214" s="311" t="s">
        <v>139</v>
      </c>
      <c r="C2214" s="56">
        <v>45995</v>
      </c>
      <c r="D2214" s="43">
        <v>195</v>
      </c>
      <c r="F2214" s="43" t="s">
        <v>1910</v>
      </c>
      <c r="G2214" t="s">
        <v>1891</v>
      </c>
    </row>
    <row r="2215" spans="1:7">
      <c r="A2215" s="315" t="s">
        <v>1135</v>
      </c>
      <c r="B2215" s="315" t="s">
        <v>434</v>
      </c>
      <c r="C2215" s="56">
        <v>45995</v>
      </c>
      <c r="D2215" s="43">
        <v>490</v>
      </c>
      <c r="F2215" s="43" t="s">
        <v>1911</v>
      </c>
      <c r="G2215" t="s">
        <v>1891</v>
      </c>
    </row>
    <row r="2216" spans="1:7">
      <c r="A2216" s="315" t="s">
        <v>579</v>
      </c>
      <c r="B2216" s="315" t="s">
        <v>1912</v>
      </c>
      <c r="C2216" s="56">
        <v>45995</v>
      </c>
      <c r="D2216" s="155">
        <v>1154</v>
      </c>
      <c r="F2216" s="43" t="s">
        <v>1913</v>
      </c>
      <c r="G2216" t="s">
        <v>1891</v>
      </c>
    </row>
    <row r="2217" spans="1:7">
      <c r="A2217" s="1094" t="s">
        <v>573</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471</v>
      </c>
      <c r="B2221" s="311" t="s">
        <v>1072</v>
      </c>
      <c r="C2221" s="56">
        <v>45995</v>
      </c>
      <c r="D2221" s="43">
        <v>64</v>
      </c>
      <c r="F2221" s="43" t="s">
        <v>1916</v>
      </c>
      <c r="G2221" t="s">
        <v>1891</v>
      </c>
    </row>
    <row r="2222" spans="1:7">
      <c r="A2222" s="247" t="s">
        <v>479</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522</v>
      </c>
      <c r="B2224" s="950" t="s">
        <v>1758</v>
      </c>
      <c r="C2224" s="56">
        <v>45996</v>
      </c>
      <c r="D2224" s="43">
        <v>710</v>
      </c>
      <c r="G2224" t="s">
        <v>1891</v>
      </c>
    </row>
    <row r="2225" spans="1:7">
      <c r="A2225" s="950" t="s">
        <v>522</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437</v>
      </c>
      <c r="C2227" s="56">
        <v>45996</v>
      </c>
      <c r="D2227" s="43">
        <v>385</v>
      </c>
      <c r="F2227" s="43" t="s">
        <v>1919</v>
      </c>
      <c r="G2227" t="s">
        <v>1891</v>
      </c>
    </row>
    <row r="2228" spans="1:7">
      <c r="A2228" s="647" t="s">
        <v>598</v>
      </c>
      <c r="B2228" s="1135" t="s">
        <v>1511</v>
      </c>
      <c r="C2228" s="56">
        <v>45996</v>
      </c>
      <c r="E2228" s="139">
        <v>446</v>
      </c>
      <c r="F2228" s="756"/>
      <c r="G2228" t="s">
        <v>1891</v>
      </c>
    </row>
    <row r="2229" spans="1:7">
      <c r="A2229" s="647" t="s">
        <v>604</v>
      </c>
      <c r="B2229" s="1135" t="s">
        <v>1511</v>
      </c>
      <c r="C2229" s="56">
        <v>45996</v>
      </c>
      <c r="E2229" s="139">
        <v>422</v>
      </c>
      <c r="F2229" s="1129"/>
      <c r="G2229" t="s">
        <v>1891</v>
      </c>
    </row>
    <row r="2230" spans="1:7">
      <c r="A2230" s="647" t="s">
        <v>604</v>
      </c>
      <c r="B2230" s="1135" t="s">
        <v>1511</v>
      </c>
      <c r="C2230" s="56">
        <v>45996</v>
      </c>
      <c r="F2230" s="311" t="s">
        <v>1372</v>
      </c>
      <c r="G2230" t="s">
        <v>1891</v>
      </c>
    </row>
    <row r="2231" spans="1:7">
      <c r="A2231" s="1129" t="s">
        <v>1135</v>
      </c>
      <c r="B2231" s="1135" t="s">
        <v>434</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474</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522</v>
      </c>
      <c r="B2236" s="148" t="s">
        <v>1758</v>
      </c>
      <c r="C2236" s="56">
        <v>45999</v>
      </c>
      <c r="F2236" s="759" t="s">
        <v>1349</v>
      </c>
      <c r="G2236" t="s">
        <v>1891</v>
      </c>
    </row>
    <row r="2237" spans="1:7">
      <c r="A2237" s="148" t="s">
        <v>522</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437</v>
      </c>
      <c r="C2239" s="56">
        <v>45999</v>
      </c>
      <c r="D2239" s="43">
        <v>640</v>
      </c>
      <c r="F2239" s="43" t="s">
        <v>1923</v>
      </c>
      <c r="G2239" t="s">
        <v>1891</v>
      </c>
    </row>
    <row r="2240" spans="1:7">
      <c r="A2240" s="1141" t="s">
        <v>601</v>
      </c>
      <c r="B2240" s="1142" t="s">
        <v>1511</v>
      </c>
      <c r="C2240" s="56">
        <v>45999</v>
      </c>
      <c r="F2240" s="311" t="s">
        <v>1924</v>
      </c>
      <c r="G2240" t="s">
        <v>1891</v>
      </c>
    </row>
    <row r="2241" spans="1:7">
      <c r="A2241" s="1094" t="s">
        <v>573</v>
      </c>
      <c r="B2241" s="1142" t="s">
        <v>139</v>
      </c>
      <c r="C2241" s="56">
        <v>45999</v>
      </c>
      <c r="D2241" s="155">
        <v>1172</v>
      </c>
      <c r="E2241" s="201"/>
      <c r="F2241" s="115" t="s">
        <v>1925</v>
      </c>
      <c r="G2241" t="s">
        <v>1891</v>
      </c>
    </row>
    <row r="2242" spans="1:7">
      <c r="A2242" s="1141" t="s">
        <v>417</v>
      </c>
      <c r="B2242" s="1142" t="s">
        <v>127</v>
      </c>
      <c r="C2242" s="56">
        <v>45999</v>
      </c>
      <c r="D2242" s="321">
        <v>1583</v>
      </c>
      <c r="E2242" s="43"/>
      <c r="F2242" s="43" t="s">
        <v>1926</v>
      </c>
      <c r="G2242" t="s">
        <v>1891</v>
      </c>
    </row>
    <row r="2243" spans="1:7">
      <c r="A2243" s="247" t="s">
        <v>579</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494</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522</v>
      </c>
      <c r="B2248" s="148" t="s">
        <v>1758</v>
      </c>
      <c r="C2248" s="56">
        <v>46000</v>
      </c>
      <c r="F2248" s="311" t="s">
        <v>1349</v>
      </c>
      <c r="G2248" t="s">
        <v>1891</v>
      </c>
    </row>
    <row r="2249" spans="1:7">
      <c r="A2249" s="148" t="s">
        <v>522</v>
      </c>
      <c r="B2249" s="148" t="s">
        <v>1597</v>
      </c>
      <c r="C2249" s="56">
        <v>46000</v>
      </c>
      <c r="D2249" s="43">
        <v>442</v>
      </c>
      <c r="F2249" s="43" t="s">
        <v>1930</v>
      </c>
      <c r="G2249" t="s">
        <v>1891</v>
      </c>
    </row>
    <row r="2250" spans="1:7">
      <c r="A2250" s="148" t="s">
        <v>522</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437</v>
      </c>
      <c r="C2252" s="56">
        <v>46000</v>
      </c>
      <c r="D2252" s="43">
        <v>541</v>
      </c>
      <c r="F2252" s="43" t="s">
        <v>1932</v>
      </c>
      <c r="G2252" t="s">
        <v>1891</v>
      </c>
    </row>
    <row r="2253" spans="1:7">
      <c r="A2253" s="1141" t="s">
        <v>417</v>
      </c>
      <c r="B2253" s="247" t="s">
        <v>127</v>
      </c>
      <c r="C2253" s="310">
        <v>46000</v>
      </c>
      <c r="D2253" s="155">
        <v>1325</v>
      </c>
      <c r="F2253" s="43" t="s">
        <v>1882</v>
      </c>
      <c r="G2253" t="s">
        <v>1891</v>
      </c>
    </row>
    <row r="2254" spans="1:7">
      <c r="A2254" s="1141" t="s">
        <v>579</v>
      </c>
      <c r="B2254" s="43" t="s">
        <v>1511</v>
      </c>
      <c r="C2254" s="310">
        <v>46000</v>
      </c>
      <c r="E2254" s="139">
        <v>540</v>
      </c>
      <c r="G2254" t="s">
        <v>1891</v>
      </c>
    </row>
    <row r="2255" spans="1:7">
      <c r="A2255" s="805" t="s">
        <v>570</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488</v>
      </c>
      <c r="B2258" s="173" t="s">
        <v>127</v>
      </c>
      <c r="C2258" s="56">
        <v>46000</v>
      </c>
      <c r="D2258" s="155">
        <v>1980</v>
      </c>
      <c r="F2258" s="43" t="s">
        <v>1935</v>
      </c>
      <c r="G2258" t="s">
        <v>1891</v>
      </c>
    </row>
    <row r="2259" spans="1:7">
      <c r="A2259" s="404" t="s">
        <v>494</v>
      </c>
      <c r="B2259" s="173" t="s">
        <v>127</v>
      </c>
      <c r="C2259" s="56">
        <v>46000</v>
      </c>
      <c r="D2259" s="155">
        <v>3343</v>
      </c>
      <c r="G2259" t="s">
        <v>1891</v>
      </c>
    </row>
    <row r="2260" spans="1:7">
      <c r="A2260" s="161" t="s">
        <v>442</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497</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522</v>
      </c>
      <c r="B2264" s="950" t="s">
        <v>1758</v>
      </c>
      <c r="C2264" s="56">
        <v>46001</v>
      </c>
      <c r="F2264" s="782" t="s">
        <v>1349</v>
      </c>
      <c r="G2264" t="s">
        <v>1891</v>
      </c>
    </row>
    <row r="2265" spans="1:7">
      <c r="A2265" s="759" t="s">
        <v>522</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437</v>
      </c>
      <c r="C2267" s="56">
        <v>46001</v>
      </c>
      <c r="D2267" s="43">
        <v>330</v>
      </c>
      <c r="F2267" s="43" t="s">
        <v>1738</v>
      </c>
      <c r="G2267" t="s">
        <v>1891</v>
      </c>
    </row>
    <row r="2268" spans="1:7">
      <c r="A2268" s="786" t="s">
        <v>417</v>
      </c>
      <c r="B2268" s="1144" t="s">
        <v>127</v>
      </c>
      <c r="C2268" s="56">
        <v>46001</v>
      </c>
      <c r="D2268" s="43">
        <v>621</v>
      </c>
      <c r="F2268" s="43" t="s">
        <v>1938</v>
      </c>
      <c r="G2268" t="s">
        <v>1891</v>
      </c>
    </row>
    <row r="2269" spans="1:7">
      <c r="A2269" s="744" t="s">
        <v>570</v>
      </c>
      <c r="B2269" s="759" t="s">
        <v>139</v>
      </c>
      <c r="C2269" s="56">
        <v>46001</v>
      </c>
      <c r="D2269" s="155">
        <v>1084</v>
      </c>
      <c r="F2269" s="43" t="s">
        <v>1939</v>
      </c>
      <c r="G2269" t="s">
        <v>1891</v>
      </c>
    </row>
    <row r="2270" spans="1:7">
      <c r="A2270" s="930" t="s">
        <v>601</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488</v>
      </c>
      <c r="B2273" s="756" t="s">
        <v>127</v>
      </c>
      <c r="C2273" s="56">
        <v>46001</v>
      </c>
      <c r="D2273" s="155">
        <v>1251</v>
      </c>
      <c r="G2273" t="s">
        <v>1891</v>
      </c>
    </row>
    <row r="2274" spans="1:7">
      <c r="A2274" s="1145" t="s">
        <v>494</v>
      </c>
      <c r="B2274" s="1129" t="s">
        <v>127</v>
      </c>
      <c r="C2274" s="56">
        <v>46001</v>
      </c>
      <c r="D2274" s="43">
        <v>931</v>
      </c>
      <c r="G2274" t="s">
        <v>1891</v>
      </c>
    </row>
    <row r="2275" spans="1:7">
      <c r="A2275" s="756" t="s">
        <v>497</v>
      </c>
      <c r="B2275" s="1003" t="s">
        <v>127</v>
      </c>
      <c r="C2275" s="56">
        <v>46001</v>
      </c>
      <c r="D2275" s="43">
        <v>522</v>
      </c>
      <c r="G2275" t="s">
        <v>1891</v>
      </c>
    </row>
    <row r="2276" spans="1:7">
      <c r="A2276" s="756" t="s">
        <v>500</v>
      </c>
      <c r="B2276" s="731" t="s">
        <v>127</v>
      </c>
      <c r="C2276" s="56">
        <v>46001</v>
      </c>
      <c r="D2276" s="43">
        <v>91</v>
      </c>
      <c r="G2276" t="s">
        <v>1891</v>
      </c>
    </row>
    <row r="2277" spans="1:7">
      <c r="A2277" s="756" t="s">
        <v>442</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522</v>
      </c>
      <c r="B2281" s="148" t="s">
        <v>1758</v>
      </c>
      <c r="C2281" s="56">
        <v>46002</v>
      </c>
      <c r="F2281" s="782" t="s">
        <v>1349</v>
      </c>
      <c r="G2281" t="s">
        <v>1891</v>
      </c>
    </row>
    <row r="2282" spans="1:7">
      <c r="A2282" s="148" t="s">
        <v>522</v>
      </c>
      <c r="B2282" s="148" t="s">
        <v>1597</v>
      </c>
      <c r="C2282" s="56">
        <v>46002</v>
      </c>
      <c r="F2282" s="311" t="s">
        <v>1945</v>
      </c>
      <c r="G2282" t="s">
        <v>1891</v>
      </c>
    </row>
    <row r="2283" spans="1:7">
      <c r="A2283" s="148" t="s">
        <v>522</v>
      </c>
      <c r="B2283" s="173" t="s">
        <v>1783</v>
      </c>
      <c r="C2283" s="56">
        <v>46002</v>
      </c>
      <c r="F2283" s="311" t="s">
        <v>1946</v>
      </c>
      <c r="G2283" t="s">
        <v>1891</v>
      </c>
    </row>
    <row r="2284" spans="1:7">
      <c r="A2284" s="247" t="s">
        <v>1138</v>
      </c>
      <c r="B2284" s="1142" t="s">
        <v>437</v>
      </c>
      <c r="C2284" s="56">
        <v>46002</v>
      </c>
      <c r="D2284" s="43">
        <v>520</v>
      </c>
      <c r="G2284" t="s">
        <v>1891</v>
      </c>
    </row>
    <row r="2285" spans="1:7">
      <c r="A2285" s="1146" t="s">
        <v>564</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488</v>
      </c>
      <c r="B2287" s="69" t="s">
        <v>127</v>
      </c>
      <c r="C2287" s="56">
        <v>46002</v>
      </c>
      <c r="D2287" s="155">
        <v>3172</v>
      </c>
      <c r="G2287" t="s">
        <v>1891</v>
      </c>
    </row>
    <row r="2288" spans="1:7">
      <c r="A2288" s="1147" t="s">
        <v>476</v>
      </c>
      <c r="B2288" s="69" t="s">
        <v>127</v>
      </c>
      <c r="C2288" s="56">
        <v>46002</v>
      </c>
      <c r="D2288" s="43">
        <v>242</v>
      </c>
      <c r="F2288" s="43" t="s">
        <v>1949</v>
      </c>
      <c r="G2288" t="s">
        <v>1891</v>
      </c>
    </row>
    <row r="2289" spans="1:7">
      <c r="A2289" s="395" t="s">
        <v>497</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522</v>
      </c>
      <c r="B2293" s="950" t="s">
        <v>1758</v>
      </c>
      <c r="C2293" s="56">
        <v>46003</v>
      </c>
      <c r="D2293" s="43">
        <v>706</v>
      </c>
      <c r="G2293" t="s">
        <v>1891</v>
      </c>
    </row>
    <row r="2294" spans="1:7">
      <c r="A2294" s="759" t="s">
        <v>522</v>
      </c>
      <c r="B2294" s="759" t="s">
        <v>1783</v>
      </c>
      <c r="C2294" s="56">
        <v>46003</v>
      </c>
      <c r="F2294" s="759" t="s">
        <v>1951</v>
      </c>
      <c r="G2294" t="s">
        <v>1891</v>
      </c>
    </row>
    <row r="2295" spans="1:7">
      <c r="A2295" s="950" t="s">
        <v>522</v>
      </c>
      <c r="B2295" s="950" t="s">
        <v>1597</v>
      </c>
      <c r="C2295" s="56">
        <v>46003</v>
      </c>
      <c r="F2295" s="759" t="s">
        <v>1952</v>
      </c>
      <c r="G2295" t="s">
        <v>1891</v>
      </c>
    </row>
    <row r="2296" spans="1:7">
      <c r="A2296" s="759" t="s">
        <v>1138</v>
      </c>
      <c r="B2296" s="759" t="s">
        <v>437</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476</v>
      </c>
      <c r="B2298" s="1129" t="s">
        <v>127</v>
      </c>
      <c r="C2298" s="56">
        <v>46003</v>
      </c>
      <c r="F2298" s="337" t="s">
        <v>1955</v>
      </c>
      <c r="G2298" t="s">
        <v>1891</v>
      </c>
    </row>
    <row r="2299" spans="1:7">
      <c r="A2299" s="1145" t="s">
        <v>497</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522</v>
      </c>
      <c r="B2303" s="148" t="s">
        <v>1758</v>
      </c>
      <c r="C2303" s="56">
        <v>46006</v>
      </c>
      <c r="D2303" s="43">
        <v>735</v>
      </c>
      <c r="G2303" t="s">
        <v>1891</v>
      </c>
    </row>
    <row r="2304" spans="1:7">
      <c r="A2304" s="148" t="s">
        <v>522</v>
      </c>
      <c r="B2304" s="148" t="s">
        <v>1597</v>
      </c>
      <c r="C2304" s="56">
        <v>46006</v>
      </c>
      <c r="F2304" s="759" t="s">
        <v>1372</v>
      </c>
      <c r="G2304" t="s">
        <v>1891</v>
      </c>
    </row>
    <row r="2305" spans="1:7">
      <c r="A2305" s="247" t="s">
        <v>1138</v>
      </c>
      <c r="B2305" s="1142" t="s">
        <v>437</v>
      </c>
      <c r="C2305" s="56">
        <v>46006</v>
      </c>
      <c r="D2305" s="43">
        <v>752</v>
      </c>
      <c r="F2305" s="43" t="s">
        <v>1932</v>
      </c>
      <c r="G2305" t="s">
        <v>1891</v>
      </c>
    </row>
    <row r="2306" spans="1:7">
      <c r="A2306" s="1146" t="s">
        <v>564</v>
      </c>
      <c r="B2306" s="1143" t="s">
        <v>139</v>
      </c>
      <c r="C2306" s="56">
        <v>46006</v>
      </c>
      <c r="D2306" s="43">
        <v>689</v>
      </c>
      <c r="F2306" s="43" t="s">
        <v>1959</v>
      </c>
      <c r="G2306" t="s">
        <v>1891</v>
      </c>
    </row>
    <row r="2307" spans="1:7">
      <c r="A2307" s="1094" t="s">
        <v>554</v>
      </c>
      <c r="B2307" s="247" t="s">
        <v>127</v>
      </c>
      <c r="C2307" s="310">
        <v>46006</v>
      </c>
      <c r="D2307" s="155">
        <v>1095</v>
      </c>
      <c r="G2307" t="s">
        <v>1891</v>
      </c>
    </row>
    <row r="2308" spans="1:7">
      <c r="A2308" s="1341" t="s">
        <v>576</v>
      </c>
      <c r="B2308" s="43" t="s">
        <v>127</v>
      </c>
      <c r="C2308" s="310">
        <v>46006</v>
      </c>
      <c r="D2308" s="155">
        <v>1344</v>
      </c>
      <c r="F2308" s="43" t="s">
        <v>1960</v>
      </c>
      <c r="G2308" t="s">
        <v>1891</v>
      </c>
    </row>
    <row r="2309" spans="1:7">
      <c r="A2309" s="1341" t="s">
        <v>601</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488</v>
      </c>
      <c r="B2311" s="69" t="s">
        <v>127</v>
      </c>
      <c r="C2311" s="56">
        <v>46006</v>
      </c>
      <c r="D2311" s="43">
        <v>29</v>
      </c>
      <c r="E2311" s="201"/>
      <c r="F2311" s="115"/>
      <c r="G2311" t="s">
        <v>1891</v>
      </c>
    </row>
    <row r="2312" spans="1:7">
      <c r="A2312" s="1147" t="s">
        <v>451</v>
      </c>
      <c r="B2312" s="69" t="s">
        <v>127</v>
      </c>
      <c r="C2312" s="56">
        <v>46006</v>
      </c>
      <c r="D2312" s="139"/>
      <c r="E2312" s="43"/>
      <c r="F2312" s="756" t="s">
        <v>1372</v>
      </c>
      <c r="G2312" t="s">
        <v>1891</v>
      </c>
    </row>
    <row r="2313" spans="1:7">
      <c r="A2313" s="1147" t="s">
        <v>482</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522</v>
      </c>
      <c r="B2316" s="148" t="s">
        <v>1758</v>
      </c>
      <c r="C2316" s="56">
        <v>46007</v>
      </c>
      <c r="F2316" s="759" t="s">
        <v>1964</v>
      </c>
      <c r="G2316" t="s">
        <v>1891</v>
      </c>
    </row>
    <row r="2317" spans="1:7">
      <c r="A2317" s="247" t="s">
        <v>1138</v>
      </c>
      <c r="B2317" s="1142" t="s">
        <v>437</v>
      </c>
      <c r="C2317" s="56">
        <v>46007</v>
      </c>
      <c r="D2317" s="155">
        <v>1249</v>
      </c>
      <c r="F2317" s="43" t="s">
        <v>1965</v>
      </c>
      <c r="G2317" t="s">
        <v>1891</v>
      </c>
    </row>
    <row r="2318" spans="1:7">
      <c r="A2318" s="1141" t="s">
        <v>564</v>
      </c>
      <c r="B2318" s="1142" t="s">
        <v>139</v>
      </c>
      <c r="C2318" s="56">
        <v>46007</v>
      </c>
      <c r="D2318" s="43">
        <v>586</v>
      </c>
      <c r="F2318" s="43" t="s">
        <v>1966</v>
      </c>
      <c r="G2318" t="s">
        <v>1891</v>
      </c>
    </row>
    <row r="2319" spans="1:7">
      <c r="A2319" s="1094" t="s">
        <v>554</v>
      </c>
      <c r="B2319" s="1142" t="s">
        <v>127</v>
      </c>
      <c r="C2319" s="56">
        <v>46007</v>
      </c>
      <c r="D2319" s="155">
        <v>1676</v>
      </c>
      <c r="F2319" s="43" t="s">
        <v>1967</v>
      </c>
      <c r="G2319" t="s">
        <v>1891</v>
      </c>
    </row>
    <row r="2320" spans="1:7">
      <c r="A2320" s="1141" t="s">
        <v>576</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488</v>
      </c>
      <c r="B2324" s="69" t="s">
        <v>127</v>
      </c>
      <c r="C2324" s="56">
        <v>46007</v>
      </c>
      <c r="F2324" s="337" t="s">
        <v>1971</v>
      </c>
      <c r="G2324" t="s">
        <v>1891</v>
      </c>
    </row>
    <row r="2325" spans="1:7">
      <c r="A2325" s="69" t="s">
        <v>491</v>
      </c>
      <c r="B2325" s="69" t="s">
        <v>127</v>
      </c>
      <c r="C2325" s="56">
        <v>46007</v>
      </c>
      <c r="D2325" s="155">
        <v>1617</v>
      </c>
      <c r="G2325" t="s">
        <v>1891</v>
      </c>
    </row>
    <row r="2326" spans="1:7">
      <c r="A2326" s="148" t="s">
        <v>1137</v>
      </c>
      <c r="B2326" s="148" t="s">
        <v>1758</v>
      </c>
      <c r="C2326" s="56">
        <v>46008</v>
      </c>
      <c r="D2326" s="43">
        <v>743</v>
      </c>
      <c r="G2326" t="s">
        <v>1891</v>
      </c>
    </row>
    <row r="2327" spans="1:7">
      <c r="A2327" s="148" t="s">
        <v>522</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522</v>
      </c>
      <c r="B2329" s="115" t="s">
        <v>1687</v>
      </c>
      <c r="C2329" s="56">
        <v>46008</v>
      </c>
      <c r="F2329" s="925" t="s">
        <v>1973</v>
      </c>
      <c r="G2329" t="s">
        <v>1891</v>
      </c>
    </row>
    <row r="2330" spans="1:7">
      <c r="A2330" s="148" t="s">
        <v>522</v>
      </c>
      <c r="B2330" s="148" t="s">
        <v>1597</v>
      </c>
      <c r="C2330" s="56">
        <v>46008</v>
      </c>
      <c r="F2330" s="1350" t="s">
        <v>1951</v>
      </c>
      <c r="G2330" t="s">
        <v>1891</v>
      </c>
    </row>
    <row r="2331" spans="1:7">
      <c r="A2331" s="247" t="s">
        <v>1138</v>
      </c>
      <c r="B2331" s="1142" t="s">
        <v>437</v>
      </c>
      <c r="C2331" s="56">
        <v>46008</v>
      </c>
      <c r="D2331" s="43">
        <v>235</v>
      </c>
      <c r="F2331" s="43" t="s">
        <v>1965</v>
      </c>
      <c r="G2331" t="s">
        <v>1891</v>
      </c>
    </row>
    <row r="2332" spans="1:7">
      <c r="A2332" s="1141" t="s">
        <v>564</v>
      </c>
      <c r="B2332" s="1142" t="s">
        <v>139</v>
      </c>
      <c r="C2332" s="56">
        <v>46008</v>
      </c>
      <c r="D2332" s="43">
        <v>199</v>
      </c>
      <c r="F2332" s="43" t="s">
        <v>1974</v>
      </c>
      <c r="G2332" t="s">
        <v>1891</v>
      </c>
    </row>
    <row r="2333" spans="1:7">
      <c r="A2333" s="1094" t="s">
        <v>554</v>
      </c>
      <c r="B2333" s="1142" t="s">
        <v>127</v>
      </c>
      <c r="C2333" s="56">
        <v>46008</v>
      </c>
      <c r="D2333" s="155">
        <v>1139</v>
      </c>
      <c r="F2333" s="43" t="s">
        <v>1975</v>
      </c>
      <c r="G2333" t="s">
        <v>1891</v>
      </c>
    </row>
    <row r="2334" spans="1:7">
      <c r="A2334" s="1141" t="s">
        <v>576</v>
      </c>
      <c r="B2334" t="s">
        <v>127</v>
      </c>
      <c r="C2334" s="56">
        <v>46008</v>
      </c>
      <c r="D2334" s="155">
        <v>1027</v>
      </c>
      <c r="F2334" s="43" t="s">
        <v>1976</v>
      </c>
      <c r="G2334" t="s">
        <v>1891</v>
      </c>
    </row>
    <row r="2335" spans="1:7">
      <c r="A2335" s="1349" t="s">
        <v>573</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500</v>
      </c>
      <c r="B2339" s="69" t="s">
        <v>127</v>
      </c>
      <c r="C2339" s="56">
        <v>46008</v>
      </c>
      <c r="D2339" s="43">
        <v>320</v>
      </c>
      <c r="G2339" t="s">
        <v>1891</v>
      </c>
    </row>
    <row r="2340" spans="1:7">
      <c r="A2340" s="148" t="s">
        <v>491</v>
      </c>
      <c r="B2340" s="148" t="s">
        <v>127</v>
      </c>
      <c r="C2340" s="56">
        <v>46008</v>
      </c>
      <c r="D2340" s="155">
        <v>1083</v>
      </c>
      <c r="G2340" t="s">
        <v>1891</v>
      </c>
    </row>
    <row r="2341" spans="1:7">
      <c r="A2341" s="148" t="s">
        <v>476</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497</v>
      </c>
      <c r="B2344" s="69" t="s">
        <v>127</v>
      </c>
      <c r="C2344" s="56">
        <v>46008</v>
      </c>
      <c r="D2344" s="155">
        <v>1049</v>
      </c>
      <c r="G2344" t="s">
        <v>1891</v>
      </c>
    </row>
    <row r="2345" spans="1:7">
      <c r="A2345" s="148" t="s">
        <v>474</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522</v>
      </c>
      <c r="B2349" s="306" t="s">
        <v>1687</v>
      </c>
      <c r="C2349" s="56">
        <v>46009</v>
      </c>
      <c r="D2349" s="139"/>
      <c r="E2349" s="43"/>
      <c r="F2349" s="154" t="s">
        <v>1879</v>
      </c>
      <c r="G2349" t="s">
        <v>1891</v>
      </c>
    </row>
    <row r="2350" spans="1:7">
      <c r="A2350" s="317" t="s">
        <v>522</v>
      </c>
      <c r="B2350" s="141" t="s">
        <v>1597</v>
      </c>
      <c r="C2350" s="56">
        <v>46009</v>
      </c>
      <c r="D2350" s="139"/>
      <c r="E2350" s="43"/>
      <c r="F2350" s="154" t="s">
        <v>1879</v>
      </c>
      <c r="G2350" t="s">
        <v>1891</v>
      </c>
    </row>
    <row r="2351" spans="1:7">
      <c r="A2351" s="317" t="s">
        <v>522</v>
      </c>
      <c r="B2351" s="305" t="s">
        <v>1758</v>
      </c>
      <c r="C2351" s="56">
        <v>46009</v>
      </c>
      <c r="D2351" s="139"/>
      <c r="E2351" s="43"/>
      <c r="F2351" s="154" t="s">
        <v>1879</v>
      </c>
      <c r="G2351" t="s">
        <v>1891</v>
      </c>
    </row>
    <row r="2352" spans="1:7">
      <c r="A2352" s="318" t="s">
        <v>1138</v>
      </c>
      <c r="B2352" s="387" t="s">
        <v>437</v>
      </c>
      <c r="C2352" s="56">
        <v>46009</v>
      </c>
      <c r="D2352" s="43">
        <v>563</v>
      </c>
      <c r="E2352" s="253"/>
      <c r="F2352" s="169" t="s">
        <v>1953</v>
      </c>
      <c r="G2352" t="s">
        <v>1891</v>
      </c>
    </row>
    <row r="2353" spans="1:7">
      <c r="A2353" s="1351" t="s">
        <v>564</v>
      </c>
      <c r="B2353" s="307" t="s">
        <v>139</v>
      </c>
      <c r="C2353" s="56">
        <v>46009</v>
      </c>
      <c r="F2353" s="304" t="s">
        <v>1803</v>
      </c>
      <c r="G2353" t="s">
        <v>1891</v>
      </c>
    </row>
    <row r="2354" spans="1:7">
      <c r="A2354" s="802" t="s">
        <v>576</v>
      </c>
      <c r="B2354" s="346" t="s">
        <v>127</v>
      </c>
      <c r="C2354" s="56">
        <v>46009</v>
      </c>
      <c r="D2354" s="155">
        <v>1596</v>
      </c>
      <c r="F2354" s="43" t="s">
        <v>1982</v>
      </c>
      <c r="G2354" t="s">
        <v>1891</v>
      </c>
    </row>
    <row r="2355" spans="1:7">
      <c r="A2355" s="349" t="s">
        <v>570</v>
      </c>
      <c r="B2355" s="387" t="s">
        <v>139</v>
      </c>
      <c r="C2355" s="56">
        <v>46009</v>
      </c>
      <c r="F2355" s="304" t="s">
        <v>1803</v>
      </c>
      <c r="G2355" t="s">
        <v>1891</v>
      </c>
    </row>
    <row r="2356" spans="1:7">
      <c r="A2356" s="349" t="s">
        <v>573</v>
      </c>
      <c r="B2356" s="307" t="s">
        <v>139</v>
      </c>
      <c r="C2356" s="56">
        <v>46009</v>
      </c>
      <c r="F2356" s="304" t="s">
        <v>1803</v>
      </c>
      <c r="G2356" t="s">
        <v>1891</v>
      </c>
    </row>
    <row r="2357" spans="1:7">
      <c r="A2357" s="348" t="s">
        <v>615</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500</v>
      </c>
      <c r="B2361" s="141" t="s">
        <v>127</v>
      </c>
      <c r="C2361" s="310">
        <v>46009</v>
      </c>
      <c r="D2361" s="43">
        <v>652</v>
      </c>
      <c r="G2361" t="s">
        <v>1891</v>
      </c>
    </row>
    <row r="2362" spans="1:7">
      <c r="A2362" s="304" t="s">
        <v>503</v>
      </c>
      <c r="B2362" s="304" t="s">
        <v>127</v>
      </c>
      <c r="C2362" s="56">
        <v>46009</v>
      </c>
      <c r="D2362" s="43">
        <v>396</v>
      </c>
      <c r="G2362" t="s">
        <v>1891</v>
      </c>
    </row>
    <row r="2363" spans="1:7">
      <c r="A2363" s="305" t="s">
        <v>491</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474</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522</v>
      </c>
      <c r="B2370" s="141" t="s">
        <v>1687</v>
      </c>
      <c r="C2370" s="310">
        <v>46010</v>
      </c>
      <c r="D2370" s="139"/>
      <c r="E2370" s="43"/>
      <c r="F2370" s="154" t="s">
        <v>1879</v>
      </c>
      <c r="G2370" t="s">
        <v>1891</v>
      </c>
    </row>
    <row r="2371" spans="1:7">
      <c r="A2371" s="348" t="s">
        <v>522</v>
      </c>
      <c r="B2371" s="304" t="s">
        <v>1597</v>
      </c>
      <c r="C2371" s="56">
        <v>46010</v>
      </c>
      <c r="D2371" s="139"/>
      <c r="E2371" s="43"/>
      <c r="F2371" s="154" t="s">
        <v>1879</v>
      </c>
      <c r="G2371" t="s">
        <v>1891</v>
      </c>
    </row>
    <row r="2372" spans="1:7">
      <c r="A2372" s="317" t="s">
        <v>522</v>
      </c>
      <c r="B2372" s="305" t="s">
        <v>1758</v>
      </c>
      <c r="C2372" s="56">
        <v>46010</v>
      </c>
      <c r="D2372" s="139"/>
      <c r="E2372" s="43"/>
      <c r="F2372" s="154" t="s">
        <v>1879</v>
      </c>
      <c r="G2372" t="s">
        <v>1891</v>
      </c>
    </row>
    <row r="2373" spans="1:7">
      <c r="A2373" s="317" t="s">
        <v>1138</v>
      </c>
      <c r="B2373" s="308" t="s">
        <v>437</v>
      </c>
      <c r="C2373" s="56">
        <v>46010</v>
      </c>
      <c r="D2373" s="43">
        <v>483</v>
      </c>
      <c r="E2373" s="253"/>
      <c r="F2373" s="169"/>
      <c r="G2373" t="s">
        <v>1891</v>
      </c>
    </row>
    <row r="2374" spans="1:7">
      <c r="A2374" s="805" t="s">
        <v>564</v>
      </c>
      <c r="B2374" s="141" t="s">
        <v>139</v>
      </c>
      <c r="C2374" s="310">
        <v>46010</v>
      </c>
      <c r="E2374" s="139">
        <v>765</v>
      </c>
      <c r="G2374" t="s">
        <v>1891</v>
      </c>
    </row>
    <row r="2375" spans="1:7">
      <c r="A2375" s="805" t="s">
        <v>554</v>
      </c>
      <c r="B2375" s="141" t="s">
        <v>127</v>
      </c>
      <c r="C2375" s="310">
        <v>46010</v>
      </c>
      <c r="E2375" s="139">
        <v>883</v>
      </c>
      <c r="F2375" s="311" t="s">
        <v>1990</v>
      </c>
      <c r="G2375" t="s">
        <v>1891</v>
      </c>
    </row>
    <row r="2376" spans="1:7">
      <c r="A2376" s="141" t="s">
        <v>570</v>
      </c>
      <c r="B2376" s="141" t="s">
        <v>139</v>
      </c>
      <c r="C2376" s="310">
        <v>46010</v>
      </c>
      <c r="E2376" s="139">
        <v>765</v>
      </c>
      <c r="G2376" t="s">
        <v>1891</v>
      </c>
    </row>
    <row r="2377" spans="1:7">
      <c r="A2377" s="141" t="s">
        <v>573</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491</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488</v>
      </c>
      <c r="B2384" s="1354" t="s">
        <v>127</v>
      </c>
      <c r="C2384" s="56">
        <v>46010</v>
      </c>
      <c r="F2384" s="43" t="s">
        <v>1993</v>
      </c>
      <c r="G2384" t="s">
        <v>1891</v>
      </c>
    </row>
    <row r="2385" spans="1:7">
      <c r="A2385" s="1353" t="s">
        <v>500</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437</v>
      </c>
      <c r="C2389" s="56">
        <v>46013</v>
      </c>
      <c r="E2389" s="253"/>
      <c r="F2389" s="311" t="s">
        <v>1995</v>
      </c>
      <c r="G2389" t="s">
        <v>1891</v>
      </c>
    </row>
    <row r="2390" spans="1:7">
      <c r="A2390" s="315" t="s">
        <v>615</v>
      </c>
      <c r="B2390" s="315" t="s">
        <v>127</v>
      </c>
      <c r="C2390" s="56">
        <v>46013</v>
      </c>
      <c r="D2390" s="43">
        <v>380</v>
      </c>
      <c r="G2390" t="s">
        <v>1891</v>
      </c>
    </row>
    <row r="2391" spans="1:7">
      <c r="A2391" s="315" t="s">
        <v>618</v>
      </c>
      <c r="B2391" s="315" t="s">
        <v>127</v>
      </c>
      <c r="C2391" s="56">
        <v>46013</v>
      </c>
      <c r="D2391" s="43">
        <v>523</v>
      </c>
      <c r="G2391" t="s">
        <v>1891</v>
      </c>
    </row>
    <row r="2392" spans="1:7">
      <c r="A2392" s="315" t="s">
        <v>576</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491</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500</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437</v>
      </c>
      <c r="C2400" s="56">
        <v>46014</v>
      </c>
      <c r="F2400" s="43" t="s">
        <v>1667</v>
      </c>
      <c r="G2400" t="s">
        <v>1891</v>
      </c>
    </row>
    <row r="2401" spans="1:7">
      <c r="A2401" s="805" t="s">
        <v>615</v>
      </c>
      <c r="B2401" s="1006" t="s">
        <v>127</v>
      </c>
      <c r="C2401" s="56">
        <v>46014</v>
      </c>
      <c r="F2401" s="337" t="s">
        <v>1537</v>
      </c>
      <c r="G2401" t="s">
        <v>1891</v>
      </c>
    </row>
    <row r="2402" spans="1:7">
      <c r="A2402" s="805" t="s">
        <v>618</v>
      </c>
      <c r="B2402" s="1006" t="s">
        <v>127</v>
      </c>
      <c r="C2402" s="56">
        <v>46014</v>
      </c>
      <c r="D2402" s="43">
        <v>405</v>
      </c>
      <c r="F2402" s="43" t="s">
        <v>1211</v>
      </c>
      <c r="G2402" t="s">
        <v>1891</v>
      </c>
    </row>
    <row r="2403" spans="1:7">
      <c r="A2403" s="805" t="s">
        <v>576</v>
      </c>
      <c r="B2403" s="161" t="s">
        <v>1072</v>
      </c>
      <c r="C2403" s="56">
        <v>46014</v>
      </c>
      <c r="E2403" s="139">
        <v>405</v>
      </c>
      <c r="G2403" t="s">
        <v>1891</v>
      </c>
    </row>
    <row r="2404" spans="1:7">
      <c r="A2404" s="247" t="s">
        <v>500</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615</v>
      </c>
      <c r="B2406" s="387" t="s">
        <v>1072</v>
      </c>
      <c r="C2406" s="56">
        <v>46015</v>
      </c>
      <c r="E2406" s="321">
        <v>2448</v>
      </c>
      <c r="F2406" s="43" t="s">
        <v>1999</v>
      </c>
      <c r="G2406" t="s">
        <v>1891</v>
      </c>
    </row>
    <row r="2407" spans="1:7">
      <c r="A2407" s="1351" t="s">
        <v>618</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607</v>
      </c>
      <c r="B2411" s="1134" t="s">
        <v>127</v>
      </c>
      <c r="C2411" s="56">
        <v>46020</v>
      </c>
      <c r="D2411" s="155">
        <v>1188</v>
      </c>
      <c r="F2411" s="43" t="s">
        <v>2001</v>
      </c>
      <c r="G2411" t="s">
        <v>1891</v>
      </c>
    </row>
    <row r="2412" spans="1:7">
      <c r="A2412" s="1376" t="s">
        <v>610</v>
      </c>
      <c r="B2412" s="1144" t="s">
        <v>127</v>
      </c>
      <c r="C2412" s="56">
        <v>46020</v>
      </c>
      <c r="D2412" s="43">
        <v>900</v>
      </c>
      <c r="F2412" s="43" t="s">
        <v>2002</v>
      </c>
      <c r="G2412" t="s">
        <v>1891</v>
      </c>
    </row>
    <row r="2413" spans="1:7">
      <c r="A2413" s="744" t="s">
        <v>615</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461</v>
      </c>
      <c r="B2417" s="1129" t="s">
        <v>127</v>
      </c>
      <c r="C2417" s="56">
        <v>46020</v>
      </c>
      <c r="F2417" s="311" t="s">
        <v>2003</v>
      </c>
      <c r="G2417" t="s">
        <v>1891</v>
      </c>
    </row>
    <row r="2418" spans="1:7">
      <c r="A2418" s="1129" t="s">
        <v>466</v>
      </c>
      <c r="B2418" s="1129" t="s">
        <v>127</v>
      </c>
      <c r="C2418" s="56">
        <v>46020</v>
      </c>
      <c r="F2418" s="311" t="s">
        <v>2003</v>
      </c>
      <c r="G2418" t="s">
        <v>1891</v>
      </c>
    </row>
    <row r="2419" spans="1:7">
      <c r="A2419" s="1129" t="s">
        <v>497</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417</v>
      </c>
      <c r="B2421" s="387" t="s">
        <v>1072</v>
      </c>
      <c r="C2421" s="56">
        <v>46021</v>
      </c>
      <c r="E2421" s="139">
        <v>766</v>
      </c>
      <c r="F2421" s="805"/>
      <c r="G2421" t="s">
        <v>1891</v>
      </c>
    </row>
    <row r="2422" spans="1:7">
      <c r="A2422" s="1376" t="s">
        <v>610</v>
      </c>
      <c r="B2422" s="307" t="s">
        <v>1072</v>
      </c>
      <c r="C2422" s="56">
        <v>46021</v>
      </c>
      <c r="E2422" s="139">
        <v>343</v>
      </c>
      <c r="F2422" s="304"/>
      <c r="G2422" t="s">
        <v>1891</v>
      </c>
    </row>
    <row r="2423" spans="1:7">
      <c r="A2423" s="744" t="s">
        <v>607</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463</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531</v>
      </c>
      <c r="B2" s="180" t="s">
        <v>200</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534</v>
      </c>
      <c r="B3" s="530" t="s">
        <v>200</v>
      </c>
      <c r="C3" s="689">
        <v>45742</v>
      </c>
      <c r="D3" s="690" t="s">
        <v>536</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537</v>
      </c>
      <c r="B5" s="407" t="s">
        <v>200</v>
      </c>
      <c r="C5" s="400">
        <v>45991</v>
      </c>
      <c r="D5" s="535" t="s">
        <v>538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544</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540</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541</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542</v>
      </c>
      <c r="B11" s="422" t="s">
        <v>200</v>
      </c>
      <c r="C11" s="176">
        <v>45991</v>
      </c>
      <c r="D11" s="534" t="s">
        <v>544</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544</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545</v>
      </c>
      <c r="B17" s="180" t="s">
        <v>200</v>
      </c>
      <c r="C17" s="177">
        <v>45991</v>
      </c>
      <c r="D17" s="714" t="s">
        <v>546</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547</v>
      </c>
      <c r="B18" s="180" t="s">
        <v>200</v>
      </c>
      <c r="C18" s="409">
        <v>45991</v>
      </c>
      <c r="D18" s="410" t="s">
        <v>548</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538</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2092</v>
      </c>
      <c r="C1" s="1443"/>
      <c r="D1" s="558"/>
      <c r="E1" s="1443" t="s">
        <v>2093</v>
      </c>
      <c r="F1" s="1443"/>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v>69424</v>
      </c>
      <c r="E4" s="44" t="s">
        <v>2094</v>
      </c>
      <c r="F4" t="s">
        <v>1066</v>
      </c>
      <c r="W4" t="s">
        <v>2098</v>
      </c>
      <c r="X4">
        <v>22</v>
      </c>
    </row>
    <row r="5" spans="1:25">
      <c r="B5" t="s">
        <v>71</v>
      </c>
      <c r="C5">
        <v>28636</v>
      </c>
      <c r="E5" t="s">
        <v>1066</v>
      </c>
      <c r="F5">
        <v>111826</v>
      </c>
      <c r="K5" s="44" t="s">
        <v>2099</v>
      </c>
      <c r="P5" s="44" t="s">
        <v>2099</v>
      </c>
      <c r="W5" t="s">
        <v>2100</v>
      </c>
      <c r="X5">
        <v>13</v>
      </c>
    </row>
    <row r="6" spans="1:25">
      <c r="B6" t="s">
        <v>1093</v>
      </c>
      <c r="C6">
        <v>208773</v>
      </c>
      <c r="K6" s="44" t="s">
        <v>27</v>
      </c>
      <c r="L6" s="44" t="s">
        <v>2101</v>
      </c>
      <c r="M6" t="s">
        <v>1066</v>
      </c>
      <c r="P6" s="44" t="s">
        <v>2102</v>
      </c>
      <c r="Q6" s="44" t="s">
        <v>2101</v>
      </c>
      <c r="R6" t="s">
        <v>1066</v>
      </c>
    </row>
    <row r="7" spans="1:25">
      <c r="B7" t="s">
        <v>51</v>
      </c>
      <c r="C7">
        <v>446</v>
      </c>
      <c r="K7" t="s">
        <v>2095</v>
      </c>
      <c r="L7" t="s">
        <v>676</v>
      </c>
      <c r="M7">
        <v>1</v>
      </c>
      <c r="P7" t="s">
        <v>2103</v>
      </c>
      <c r="R7">
        <v>1</v>
      </c>
      <c r="X7" t="s">
        <v>2104</v>
      </c>
      <c r="Y7" t="s">
        <v>2105</v>
      </c>
    </row>
    <row r="8" spans="1:25">
      <c r="B8" t="s">
        <v>22</v>
      </c>
      <c r="C8">
        <v>0</v>
      </c>
      <c r="L8" t="s">
        <v>678</v>
      </c>
      <c r="M8">
        <v>1</v>
      </c>
      <c r="P8" t="s">
        <v>2106</v>
      </c>
      <c r="R8">
        <v>1</v>
      </c>
      <c r="V8" t="s">
        <v>2107</v>
      </c>
      <c r="W8" s="257">
        <v>203521</v>
      </c>
      <c r="X8" s="313">
        <f>X5/X4</f>
        <v>0.59090909090909094</v>
      </c>
      <c r="Y8" s="313">
        <f>W9/W8</f>
        <v>0.31446386367991508</v>
      </c>
    </row>
    <row r="9" spans="1:25">
      <c r="B9" t="s">
        <v>214</v>
      </c>
      <c r="C9">
        <v>7128</v>
      </c>
      <c r="L9" t="s">
        <v>2108</v>
      </c>
      <c r="M9">
        <v>1</v>
      </c>
      <c r="P9" t="s">
        <v>2109</v>
      </c>
      <c r="Q9" t="s">
        <v>2108</v>
      </c>
      <c r="R9">
        <v>1</v>
      </c>
      <c r="V9" t="s">
        <v>2110</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2111</v>
      </c>
      <c r="R12">
        <v>1</v>
      </c>
    </row>
    <row r="13" spans="1:25">
      <c r="B13" t="s">
        <v>171</v>
      </c>
      <c r="C13">
        <v>3</v>
      </c>
      <c r="L13" t="s">
        <v>2112</v>
      </c>
      <c r="M13">
        <v>1</v>
      </c>
      <c r="Q13" t="s">
        <v>1017</v>
      </c>
      <c r="R13">
        <v>1</v>
      </c>
    </row>
    <row r="14" spans="1:25">
      <c r="B14" t="s">
        <v>67</v>
      </c>
      <c r="C14">
        <v>3796</v>
      </c>
      <c r="L14" t="s">
        <v>857</v>
      </c>
      <c r="M14">
        <v>1</v>
      </c>
      <c r="P14" t="s">
        <v>2113</v>
      </c>
      <c r="R14">
        <v>5</v>
      </c>
    </row>
    <row r="15" spans="1:25">
      <c r="B15" t="s">
        <v>60</v>
      </c>
      <c r="C15">
        <v>6182</v>
      </c>
      <c r="L15" t="s">
        <v>2111</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267</v>
      </c>
      <c r="C18">
        <v>8622</v>
      </c>
      <c r="L18" t="s">
        <v>865</v>
      </c>
      <c r="M18">
        <v>1</v>
      </c>
    </row>
    <row r="19" spans="2:13">
      <c r="B19" t="s">
        <v>211</v>
      </c>
      <c r="C19">
        <v>0</v>
      </c>
      <c r="L19" t="s">
        <v>869</v>
      </c>
      <c r="M19">
        <v>1</v>
      </c>
    </row>
    <row r="20" spans="2:13">
      <c r="B20" t="s">
        <v>1063</v>
      </c>
      <c r="C20">
        <v>380903</v>
      </c>
      <c r="L20" t="s">
        <v>873</v>
      </c>
      <c r="M20">
        <v>1</v>
      </c>
    </row>
    <row r="21" spans="2:13">
      <c r="L21" t="s">
        <v>2114</v>
      </c>
      <c r="M21">
        <v>1</v>
      </c>
    </row>
    <row r="22" spans="2:13">
      <c r="L22" t="s">
        <v>1017</v>
      </c>
      <c r="M22">
        <v>1</v>
      </c>
    </row>
    <row r="23" spans="2:13">
      <c r="L23" t="s">
        <v>905</v>
      </c>
      <c r="M23">
        <v>1</v>
      </c>
    </row>
    <row r="24" spans="2:13">
      <c r="L24" t="s">
        <v>928</v>
      </c>
      <c r="M24">
        <v>1</v>
      </c>
    </row>
    <row r="25" spans="2:13">
      <c r="L25" t="s">
        <v>168</v>
      </c>
      <c r="M25">
        <v>1</v>
      </c>
    </row>
    <row r="26" spans="2:13">
      <c r="K26" t="s">
        <v>2115</v>
      </c>
      <c r="M26">
        <v>19</v>
      </c>
    </row>
    <row r="27" spans="2:13">
      <c r="K27" t="s">
        <v>2116</v>
      </c>
      <c r="L27" t="s">
        <v>851</v>
      </c>
      <c r="M27">
        <v>1</v>
      </c>
    </row>
    <row r="28" spans="2:13">
      <c r="L28" t="s">
        <v>853</v>
      </c>
      <c r="M28">
        <v>1</v>
      </c>
    </row>
    <row r="29" spans="2:13">
      <c r="L29" t="s">
        <v>855</v>
      </c>
      <c r="M29">
        <v>1</v>
      </c>
    </row>
    <row r="30" spans="2:13">
      <c r="L30" t="s">
        <v>871</v>
      </c>
      <c r="M30">
        <v>1</v>
      </c>
    </row>
    <row r="31" spans="2:13">
      <c r="L31" t="s">
        <v>875</v>
      </c>
      <c r="M31">
        <v>1</v>
      </c>
    </row>
    <row r="32" spans="2:13">
      <c r="L32" t="s">
        <v>2117</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2118</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2119</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513</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509</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516</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6CB0C00-3AA9-450E-859C-A6111DEDED7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2026-01-02T18:48:37Z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