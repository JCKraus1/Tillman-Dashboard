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93" documentId="8_{E14B221E-02E2-46A3-8CEC-C736815F2DD5}" xr6:coauthVersionLast="47" xr6:coauthVersionMax="47" xr10:uidLastSave="{3C7E3854-E695-4C21-A233-78664FA37414}"/>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216" r:id="rId12"/>
    <pivotCache cacheId="1217" r:id="rId13"/>
    <pivotCache cacheId="1218" r:id="rId14"/>
    <pivotCache cacheId="1219" r:id="rId15"/>
    <pivotCache cacheId="12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<sst xmlns="http://schemas.openxmlformats.org/spreadsheetml/2006/main" count="16870" uniqueCount="2175">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</sst>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3"/>
      <c r="K57" s="1453"/>
      <c r="L57" s="1345"/>
      <c r="M57" s="1225" t="s">
        <v>57</v>
      </c>
      <c r="N57" s="1454">
        <v>1035</v>
      </c>
      <c r="O57" s="1225" t="s">
        <v>57</v>
      </c>
      <c r="P57" s="1238" t="s">
        <v>58</v>
      </c>
      <c r="Q57" s="1455"/>
      <c r="R57" s="1455"/>
      <c r="S57" s="1455"/>
      <c r="T57" s="1455"/>
      <c r="U57" s="1455"/>
      <c r="V57" s="1456">
        <v>0</v>
      </c>
      <c r="W57" s="1457"/>
      <c r="X57" s="1457">
        <f>SUM(V57-W57)</f>
        <v>0</v>
      </c>
      <c r="Y57" s="662">
        <f>IFERROR($W57/$V57, 0)</f>
        <v>0</v>
      </c>
      <c r="Z57" s="1458"/>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9"/>
      <c r="I71" s="828" t="s">
        <v>55</v>
      </c>
      <c r="J71" s="831" t="s">
        <v>63</v>
      </c>
      <c r="K71" s="1453"/>
      <c r="L71" s="1347"/>
      <c r="M71" s="828" t="s">
        <v>57</v>
      </c>
      <c r="N71" s="1454">
        <v>36998.550000000003</v>
      </c>
      <c r="O71" s="828" t="s">
        <v>57</v>
      </c>
      <c r="P71" s="1238" t="s">
        <v>58</v>
      </c>
      <c r="Q71" s="1455"/>
      <c r="R71" s="1455"/>
      <c r="S71" s="1455"/>
      <c r="T71" s="1455"/>
      <c r="U71" s="1455"/>
      <c r="V71" s="1456">
        <v>2944</v>
      </c>
      <c r="W71" s="1457"/>
      <c r="X71" s="1457">
        <f>SUM(V71-W71)</f>
        <v>2944</v>
      </c>
      <c r="Y71" s="662">
        <f>IFERROR($W71/$V71, 0)</f>
        <v>0</v>
      </c>
      <c r="Z71" s="1458"/>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3"/>
      <c r="L80" s="1347"/>
      <c r="M80" s="1225" t="s">
        <v>57</v>
      </c>
      <c r="N80" s="1454">
        <v>118710.8</v>
      </c>
      <c r="O80" s="1225" t="s">
        <v>57</v>
      </c>
      <c r="P80" s="1207" t="s">
        <v>58</v>
      </c>
      <c r="Q80" s="1455"/>
      <c r="R80" s="1455"/>
      <c r="S80" s="1455"/>
      <c r="T80" s="1455"/>
      <c r="U80" s="1455"/>
      <c r="V80" s="1456">
        <v>9628</v>
      </c>
      <c r="W80" s="1457"/>
      <c r="X80" s="1457">
        <f>SUM(V80-W80)</f>
        <v>9628</v>
      </c>
      <c r="Y80" s="662">
        <f>IFERROR($W80/$V80, 0)</f>
        <v>0</v>
      </c>
      <c r="Z80" s="1455"/>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9">
        <v>109</v>
      </c>
      <c r="I87" s="828" t="s">
        <v>55</v>
      </c>
      <c r="J87" s="831" t="s">
        <v>63</v>
      </c>
      <c r="K87" s="1453"/>
      <c r="L87" s="1347">
        <v>45663</v>
      </c>
      <c r="M87" s="1459" t="s">
        <v>91</v>
      </c>
      <c r="N87" s="1454"/>
      <c r="O87" s="1459" t="s">
        <v>57</v>
      </c>
      <c r="P87" s="1460" t="s">
        <v>58</v>
      </c>
      <c r="Q87" s="1455">
        <v>46008</v>
      </c>
      <c r="R87" s="1455"/>
      <c r="S87" s="1455"/>
      <c r="T87" s="1455"/>
      <c r="U87" s="1455"/>
      <c r="V87" s="1456">
        <v>6825</v>
      </c>
      <c r="W87" s="1457"/>
      <c r="X87" s="1457">
        <f>SUM(V87-W87)</f>
        <v>6825</v>
      </c>
      <c r="Y87" s="662">
        <f>IFERROR($W87/$V87, 0)</f>
        <v>0</v>
      </c>
      <c r="Z87" s="1455">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9">
        <v>0</v>
      </c>
      <c r="I94" s="828" t="s">
        <v>55</v>
      </c>
      <c r="J94" s="1205" t="s">
        <v>90</v>
      </c>
      <c r="K94" s="1205" t="s">
        <v>76</v>
      </c>
      <c r="L94" s="1347"/>
      <c r="M94" s="1225" t="s">
        <v>91</v>
      </c>
      <c r="N94" s="1236"/>
      <c r="O94" s="1225" t="s">
        <v>91</v>
      </c>
      <c r="P94" s="1238" t="s">
        <v>58</v>
      </c>
      <c r="Q94" s="1455"/>
      <c r="R94" s="1455"/>
      <c r="S94" s="1455"/>
      <c r="T94" s="1455"/>
      <c r="U94" s="1455"/>
      <c r="V94" s="1456">
        <v>6202</v>
      </c>
      <c r="W94" s="1457"/>
      <c r="X94" s="1457">
        <f>SUM(V94-W94)</f>
        <v>6202</v>
      </c>
      <c r="Y94" s="662">
        <f>IFERROR($W94/$V94, 0)</f>
        <v>0</v>
      </c>
      <c r="Z94" s="1458"/>
      <c r="AA94" s="1287">
        <v>0</v>
      </c>
      <c r="AB94" s="1287">
        <v>0</v>
      </c>
      <c r="AC94" s="1286">
        <v>0</v>
      </c>
      <c r="AD94" s="1212" t="s">
        <v>307</v>
      </c>
      <c r="AE94" s="1273"/>
    </row>
    <row r="95" spans="1:31" ht="24.75" customHeight="1">
      <c r="A95" s="1435" t="s">
        <v>308</v>
      </c>
      <c r="B95" s="1016" t="s">
        <v>291</v>
      </c>
      <c r="C95" s="1420">
        <v>46051</v>
      </c>
      <c r="D95" s="1346"/>
      <c r="E95" s="1347"/>
      <c r="F95" s="1346"/>
      <c r="G95" s="1224"/>
      <c r="H95" s="1459">
        <v>0</v>
      </c>
      <c r="I95" s="828" t="s">
        <v>55</v>
      </c>
      <c r="J95" s="1205" t="s">
        <v>90</v>
      </c>
      <c r="K95" s="1205" t="s">
        <v>76</v>
      </c>
      <c r="L95" s="1347"/>
      <c r="M95" s="1225" t="s">
        <v>91</v>
      </c>
      <c r="N95" s="1236"/>
      <c r="O95" s="1225" t="s">
        <v>91</v>
      </c>
      <c r="P95" s="1238" t="s">
        <v>58</v>
      </c>
      <c r="Q95" s="1455"/>
      <c r="R95" s="1455"/>
      <c r="S95" s="1455"/>
      <c r="T95" s="1455"/>
      <c r="U95" s="1455"/>
      <c r="V95" s="1461">
        <v>545</v>
      </c>
      <c r="W95" s="1462"/>
      <c r="X95" s="1462">
        <f>SUM(V95-W95)</f>
        <v>545</v>
      </c>
      <c r="Y95" s="657">
        <f>IFERROR($W95/$V95, 0)</f>
        <v>0</v>
      </c>
      <c r="Z95" s="1463"/>
      <c r="AA95" s="1287">
        <v>0</v>
      </c>
      <c r="AB95" s="1287">
        <v>0</v>
      </c>
      <c r="AC95" s="1286">
        <v>0</v>
      </c>
      <c r="AD95" s="1212" t="s">
        <v>307</v>
      </c>
      <c r="AE95" s="1273"/>
    </row>
    <row r="96" spans="1:31" ht="24.75" customHeight="1">
      <c r="A96" s="1435" t="s">
        <v>309</v>
      </c>
      <c r="B96" s="1016" t="s">
        <v>291</v>
      </c>
      <c r="C96" s="1420">
        <v>46051</v>
      </c>
      <c r="D96" s="1346"/>
      <c r="E96" s="1347"/>
      <c r="F96" s="1346"/>
      <c r="G96" s="1224"/>
      <c r="H96" s="1459">
        <v>0</v>
      </c>
      <c r="I96" s="828" t="s">
        <v>55</v>
      </c>
      <c r="J96" s="1205" t="s">
        <v>90</v>
      </c>
      <c r="K96" s="1205" t="s">
        <v>76</v>
      </c>
      <c r="L96" s="1347"/>
      <c r="M96" s="1225" t="s">
        <v>91</v>
      </c>
      <c r="N96" s="1236"/>
      <c r="O96" s="1225" t="s">
        <v>91</v>
      </c>
      <c r="P96" s="1238" t="s">
        <v>58</v>
      </c>
      <c r="Q96" s="1455"/>
      <c r="R96" s="1455"/>
      <c r="S96" s="1455"/>
      <c r="T96" s="1455"/>
      <c r="U96" s="1455"/>
      <c r="V96" s="1461">
        <v>1172</v>
      </c>
      <c r="W96" s="1462"/>
      <c r="X96" s="1462">
        <f>SUM(V96-W96)</f>
        <v>1172</v>
      </c>
      <c r="Y96" s="657">
        <f>IFERROR($W96/$V96, 0)</f>
        <v>0</v>
      </c>
      <c r="Z96" s="1463"/>
      <c r="AA96" s="1287">
        <v>0</v>
      </c>
      <c r="AB96" s="1287">
        <v>0</v>
      </c>
      <c r="AC96" s="1286">
        <v>0</v>
      </c>
      <c r="AD96" s="1212" t="s">
        <v>307</v>
      </c>
      <c r="AE96" s="1273"/>
    </row>
    <row r="97" spans="1:31" ht="24.75" customHeight="1">
      <c r="A97" s="1435" t="s">
        <v>310</v>
      </c>
      <c r="B97" s="1016" t="s">
        <v>291</v>
      </c>
      <c r="C97" s="1420">
        <v>46051</v>
      </c>
      <c r="D97" s="1346"/>
      <c r="E97" s="1347"/>
      <c r="F97" s="1346"/>
      <c r="G97" s="1224"/>
      <c r="H97" s="1459">
        <v>0</v>
      </c>
      <c r="I97" s="828" t="s">
        <v>55</v>
      </c>
      <c r="J97" s="1205" t="s">
        <v>90</v>
      </c>
      <c r="K97" s="1205" t="s">
        <v>76</v>
      </c>
      <c r="L97" s="1347"/>
      <c r="M97" s="1225" t="s">
        <v>91</v>
      </c>
      <c r="N97" s="1236"/>
      <c r="O97" s="1225" t="s">
        <v>91</v>
      </c>
      <c r="P97" s="1238" t="s">
        <v>58</v>
      </c>
      <c r="Q97" s="1455"/>
      <c r="R97" s="1455"/>
      <c r="S97" s="1455"/>
      <c r="T97" s="1455"/>
      <c r="U97" s="1455"/>
      <c r="V97" s="1461">
        <v>4184</v>
      </c>
      <c r="W97" s="1462"/>
      <c r="X97" s="1462">
        <f>SUM(V97-W97)</f>
        <v>4184</v>
      </c>
      <c r="Y97" s="657">
        <f>IFERROR($W97/$V97, 0)</f>
        <v>0</v>
      </c>
      <c r="Z97" s="1463"/>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2"/>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2"/>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2"/>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2"/>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2"/>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2"/>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2"/>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2"/>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2"/>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4"/>
      <c r="R130" s="1367"/>
      <c r="S130" s="1367"/>
      <c r="T130" s="1367"/>
      <c r="U130" s="1367"/>
      <c r="V130" s="1267">
        <v>8641</v>
      </c>
      <c r="W130" s="1462"/>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5"/>
      <c r="R131" s="1369"/>
      <c r="S131" s="1369"/>
      <c r="T131" s="1369"/>
      <c r="U131" s="1369"/>
      <c r="V131" s="1371">
        <v>7502</v>
      </c>
      <c r="W131" s="1466"/>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6"/>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T10" activePane="topRight" state="frozen"/>
      <selection pane="topRight" activeCell="V14" sqref="V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2706</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G43" activePane="topRight" state="frozen"/>
      <selection pane="topRight" activeCell="N44" sqref="N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t="s">
        <v>498</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401</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518</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514</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521</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04B15AA-799E-465C-A9FF-32BE9B2F055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2026-01-08T22:20:46Z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