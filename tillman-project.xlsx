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24" documentId="8_{E14B221E-02E2-46A3-8CEC-C736815F2DD5}" xr6:coauthVersionLast="47" xr6:coauthVersionMax="47" xr10:uidLastSave="{4F90D2DB-DACB-4ECF-9FE0-5FC0F5F3455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0081" r:id="rId12"/>
    <pivotCache cacheId="10082" r:id="rId13"/>
    <pivotCache cacheId="10083" r:id="rId14"/>
    <pivotCache cacheId="10084" r:id="rId15"/>
    <pivotCache cacheId="100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<sst xmlns="http://schemas.openxmlformats.org/spreadsheetml/2006/main" count="17245" uniqueCount="2213">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</sst>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opLeftCell="A118" zoomScale="90" zoomScaleNormal="90" workbookViewId="0">
      <pane xSplit="1" topLeftCell="U1"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4">
        <v>4765</v>
      </c>
      <c r="X79" s="1494">
        <f>SUM(V79-W79)</f>
        <v>2060</v>
      </c>
      <c r="Y79" s="658">
        <f>IFERROR($W79/$V79, 0)</f>
        <v>0.69816849816849813</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7">
        <v>3893</v>
      </c>
      <c r="X93" s="1378">
        <f t="shared" ref="X93:X95" si="10">SUM(V93-W93)</f>
        <v>1806</v>
      </c>
      <c r="Y93" s="1130">
        <f t="shared" ref="Y93:Y95" si="11">IFERROR($W93/$V93, 0)</f>
        <v>0.68310229864888572</v>
      </c>
      <c r="Z93" s="1498">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7">
        <v>3433</v>
      </c>
      <c r="X94" s="1378">
        <f t="shared" si="10"/>
        <v>2999</v>
      </c>
      <c r="Y94" s="1130">
        <f t="shared" si="11"/>
        <v>0.53373756218905477</v>
      </c>
      <c r="Z94" s="1498">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499">
        <v>4339</v>
      </c>
      <c r="X95" s="1236">
        <f t="shared" si="10"/>
        <v>2806</v>
      </c>
      <c r="Y95" s="868">
        <f t="shared" si="11"/>
        <v>0.60727781665500347</v>
      </c>
      <c r="Z95" s="1498">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7">
        <v>3201</v>
      </c>
      <c r="X96" s="1437">
        <f t="shared" ref="X96" si="12">SUM(V96-W96)</f>
        <v>821</v>
      </c>
      <c r="Y96" s="1365">
        <f t="shared" ref="Y96" si="13">IFERROR($W96/$V96, 0)</f>
        <v>0.79587270014917955</v>
      </c>
      <c r="Z96" s="1500">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8"/>
      <c r="R109" s="1335"/>
      <c r="S109" s="1335"/>
      <c r="T109" s="1335"/>
      <c r="U109" s="1335"/>
      <c r="V109" s="1236">
        <v>8641</v>
      </c>
      <c r="W109" s="1497"/>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1"/>
      <c r="R110" s="1337"/>
      <c r="S110" s="1337"/>
      <c r="T110" s="1337"/>
      <c r="U110" s="1337"/>
      <c r="V110" s="1339">
        <v>7502</v>
      </c>
      <c r="W110" s="1502"/>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2"/>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T49" activePane="topRight" state="frozen"/>
      <selection pane="topRight" activeCell="U57" sqref="U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0" t="s">
        <v>63</v>
      </c>
      <c r="K15" s="1490"/>
      <c r="L15" s="476" t="s">
        <v>52</v>
      </c>
      <c r="M15" s="478" t="s">
        <v>57</v>
      </c>
      <c r="N15" s="1491">
        <v>1035</v>
      </c>
      <c r="O15" s="1197" t="s">
        <v>57</v>
      </c>
      <c r="P15" s="1246" t="s">
        <v>334</v>
      </c>
      <c r="Q15" s="1492">
        <v>46030</v>
      </c>
      <c r="R15" s="1309"/>
      <c r="S15" s="1309"/>
      <c r="T15" s="1309"/>
      <c r="U15" s="1309"/>
      <c r="V15" s="1493">
        <v>0</v>
      </c>
      <c r="W15" s="1503">
        <v>0</v>
      </c>
      <c r="X15" s="1494">
        <f>SUM(V15-W15)</f>
        <v>0</v>
      </c>
      <c r="Y15" s="658">
        <v>1</v>
      </c>
      <c r="Z15" s="1492">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0">
        <v>0</v>
      </c>
      <c r="I28" s="657" t="s">
        <v>333</v>
      </c>
      <c r="J28" s="1490" t="s">
        <v>63</v>
      </c>
      <c r="K28" s="1490"/>
      <c r="L28" s="1313" t="s">
        <v>137</v>
      </c>
      <c r="M28" s="1490" t="s">
        <v>57</v>
      </c>
      <c r="N28" s="1504">
        <v>15670.45</v>
      </c>
      <c r="O28" s="1490" t="s">
        <v>57</v>
      </c>
      <c r="P28" s="1505" t="s">
        <v>334</v>
      </c>
      <c r="Q28" s="1506">
        <v>46031</v>
      </c>
      <c r="R28" s="1506"/>
      <c r="S28" s="1506"/>
      <c r="T28" s="1506"/>
      <c r="U28" s="1506"/>
      <c r="V28" s="782">
        <v>1202</v>
      </c>
      <c r="W28" s="1247">
        <v>1208</v>
      </c>
      <c r="X28" s="1494">
        <f>SUM(V28-W28)</f>
        <v>-6</v>
      </c>
      <c r="Y28" s="658">
        <v>1</v>
      </c>
      <c r="Z28" s="1200">
        <v>46035</v>
      </c>
      <c r="AA28" s="355">
        <v>1</v>
      </c>
      <c r="AB28" s="1507">
        <v>0</v>
      </c>
      <c r="AC28" s="1494">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8">
        <v>5829</v>
      </c>
      <c r="X34" s="1378">
        <f t="shared" ref="X34:X38" si="15">SUM(V34-W34)</f>
        <v>31</v>
      </c>
      <c r="Y34" s="1130">
        <f t="shared" si="13"/>
        <v>0.99470989761092155</v>
      </c>
      <c r="Z34" s="1498">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8">
        <v>6080</v>
      </c>
      <c r="X35" s="1378">
        <f t="shared" si="15"/>
        <v>-59</v>
      </c>
      <c r="Y35" s="1130">
        <f t="shared" si="13"/>
        <v>1.0097990367048664</v>
      </c>
      <c r="Z35" s="1498">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8">
        <v>4810</v>
      </c>
      <c r="X36" s="1379">
        <f t="shared" si="15"/>
        <v>26</v>
      </c>
      <c r="Y36" s="1365">
        <f t="shared" si="13"/>
        <v>0.9946236559139785</v>
      </c>
      <c r="Z36" s="1501">
        <v>46036</v>
      </c>
      <c r="AA36" s="1256">
        <v>0</v>
      </c>
      <c r="AB36" s="1256">
        <v>0</v>
      </c>
      <c r="AC36" s="1255">
        <v>0</v>
      </c>
      <c r="AD36" s="1228" t="s">
        <v>420</v>
      </c>
    </row>
    <row r="37" spans="1:30" ht="39.75" customHeight="1">
      <c r="A37" s="1478"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0"/>
      <c r="V37" s="31">
        <v>7341</v>
      </c>
      <c r="W37" s="1509">
        <v>7151</v>
      </c>
      <c r="X37" s="1236">
        <f t="shared" si="15"/>
        <v>190</v>
      </c>
      <c r="Y37" s="868">
        <f t="shared" si="13"/>
        <v>0.97411796757934888</v>
      </c>
      <c r="Z37" s="1498">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09">
        <v>1277</v>
      </c>
      <c r="X38" s="1236">
        <f t="shared" si="15"/>
        <v>7</v>
      </c>
      <c r="Y38" s="868">
        <f t="shared" si="13"/>
        <v>0.99454828660436134</v>
      </c>
      <c r="Z38" s="1498">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26">
        <v>46048</v>
      </c>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1226">
        <v>46048</v>
      </c>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26">
        <v>46048</v>
      </c>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26">
        <v>46048</v>
      </c>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79"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R34:U38 L40:L43 D42:D63 L1:L33 L66:L70 D65 Q64:U64 Q68:U70 Q40:Q43 L51:L62 Q59:U62 D34:D39 Q1:U33 U5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135</v>
      </c>
      <c r="K6">
        <v>22274</v>
      </c>
      <c r="N6" t="s">
        <v>135</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123</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123</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351</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351</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499</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499</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503</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499</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499</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236</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499</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236</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D684">
        <v>358</v>
      </c>
      <c r="G684">
        <v>358</v>
      </c>
    </row>
    <row r="685" spans="1:7">
      <c r="A685" t="s">
        <v>528</v>
      </c>
      <c r="D685">
        <v>1241</v>
      </c>
      <c r="G685">
        <v>1241</v>
      </c>
    </row>
    <row r="686" spans="1:7">
      <c r="A686" t="s">
        <v>652</v>
      </c>
      <c r="B686">
        <v>503</v>
      </c>
      <c r="C686">
        <v>295</v>
      </c>
      <c r="F686">
        <v>6</v>
      </c>
      <c r="G686">
        <v>804</v>
      </c>
    </row>
    <row r="687" spans="1:7">
      <c r="A687" t="s">
        <v>499</v>
      </c>
      <c r="C687">
        <v>1009</v>
      </c>
      <c r="G687">
        <v>1009</v>
      </c>
    </row>
    <row r="688" spans="1:7">
      <c r="A688" t="s">
        <v>1110</v>
      </c>
      <c r="B688">
        <v>20</v>
      </c>
      <c r="E688">
        <v>250</v>
      </c>
      <c r="F688">
        <v>177</v>
      </c>
      <c r="G688">
        <v>447</v>
      </c>
    </row>
    <row r="689" spans="1:7">
      <c r="A689" t="s">
        <v>533</v>
      </c>
      <c r="B689">
        <v>639</v>
      </c>
      <c r="G689">
        <v>639</v>
      </c>
    </row>
    <row r="690" spans="1:7">
      <c r="A690" t="s">
        <v>236</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351</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331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354</v>
      </c>
      <c r="C753">
        <v>251</v>
      </c>
      <c r="D753">
        <v>253</v>
      </c>
      <c r="E753">
        <v>1076</v>
      </c>
      <c r="G753">
        <v>1580</v>
      </c>
    </row>
    <row r="754" spans="1:7">
      <c r="A754" t="s">
        <v>331</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row>
    <row r="763" spans="1:7">
      <c r="A763" t="s">
        <v>528</v>
      </c>
      <c r="B763">
        <v>60</v>
      </c>
      <c r="G763">
        <v>60</v>
      </c>
    </row>
    <row r="764" spans="1:7">
      <c r="A764" t="s">
        <v>503</v>
      </c>
      <c r="E764">
        <v>175</v>
      </c>
      <c r="G764">
        <v>175</v>
      </c>
    </row>
    <row r="765" spans="1:7">
      <c r="A765" t="s">
        <v>1115</v>
      </c>
      <c r="C765">
        <v>224</v>
      </c>
      <c r="G765">
        <v>224</v>
      </c>
    </row>
    <row r="766" spans="1:7">
      <c r="A766" t="s">
        <v>519</v>
      </c>
      <c r="D766">
        <v>406</v>
      </c>
      <c r="G766">
        <v>406</v>
      </c>
    </row>
    <row r="767" spans="1:7">
      <c r="A767" t="s">
        <v>236</v>
      </c>
      <c r="D767">
        <v>362</v>
      </c>
      <c r="E767">
        <v>399</v>
      </c>
      <c r="G767">
        <v>761</v>
      </c>
    </row>
    <row r="768" spans="1:7">
      <c r="A768" t="s">
        <v>1008</v>
      </c>
    </row>
    <row r="769" spans="1:7">
      <c r="A769" t="s">
        <v>998</v>
      </c>
    </row>
    <row r="770" spans="1:7">
      <c r="A770" t="s">
        <v>354</v>
      </c>
      <c r="C770">
        <v>120</v>
      </c>
      <c r="D770">
        <v>190</v>
      </c>
      <c r="G770">
        <v>310</v>
      </c>
    </row>
    <row r="771" spans="1:7">
      <c r="A771" t="s">
        <v>331</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357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row>
    <row r="790" spans="1:7">
      <c r="A790" t="s">
        <v>503</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354</v>
      </c>
      <c r="B794">
        <v>479</v>
      </c>
      <c r="E794">
        <v>170</v>
      </c>
      <c r="G794">
        <v>649</v>
      </c>
    </row>
    <row r="795" spans="1:7">
      <c r="A795" t="s">
        <v>331</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357</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354</v>
      </c>
      <c r="E818">
        <v>725</v>
      </c>
      <c r="G818">
        <v>725</v>
      </c>
    </row>
    <row r="819" spans="1:7">
      <c r="A819" t="s">
        <v>331</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357</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134</v>
      </c>
      <c r="D829">
        <v>1282</v>
      </c>
      <c r="E829">
        <v>980</v>
      </c>
      <c r="G829">
        <v>2262</v>
      </c>
    </row>
    <row r="830" spans="1:7">
      <c r="A830" t="s">
        <v>336</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236</v>
      </c>
      <c r="E838">
        <v>170</v>
      </c>
      <c r="G838">
        <v>170</v>
      </c>
    </row>
    <row r="839" spans="1:7">
      <c r="A839" t="s">
        <v>331</v>
      </c>
      <c r="D839">
        <v>986</v>
      </c>
      <c r="G839">
        <v>986</v>
      </c>
    </row>
    <row r="840" spans="1:7">
      <c r="A840" t="s">
        <v>1139</v>
      </c>
      <c r="B840">
        <v>916</v>
      </c>
      <c r="C840">
        <v>144</v>
      </c>
      <c r="G840">
        <v>1060</v>
      </c>
    </row>
    <row r="841" spans="1:7">
      <c r="A841" t="s">
        <v>573</v>
      </c>
    </row>
    <row r="842" spans="1:7">
      <c r="A842" t="s">
        <v>1013</v>
      </c>
    </row>
    <row r="843" spans="1:7">
      <c r="A843" t="s">
        <v>134</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339</v>
      </c>
      <c r="B847">
        <v>60</v>
      </c>
      <c r="C847">
        <v>219</v>
      </c>
      <c r="G847">
        <v>279</v>
      </c>
    </row>
    <row r="848" spans="1:7">
      <c r="A848" t="s">
        <v>1032</v>
      </c>
      <c r="D848">
        <v>240</v>
      </c>
      <c r="G848">
        <v>240</v>
      </c>
    </row>
    <row r="849" spans="1:7">
      <c r="A849" t="s">
        <v>1144</v>
      </c>
      <c r="C849">
        <v>1603</v>
      </c>
      <c r="D849">
        <v>791</v>
      </c>
      <c r="E849">
        <v>2803</v>
      </c>
      <c r="G849">
        <v>5197</v>
      </c>
    </row>
    <row r="850" spans="1:7">
      <c r="A850" t="s">
        <v>347</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350</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347</v>
      </c>
      <c r="B867">
        <v>1100</v>
      </c>
      <c r="C867">
        <v>527</v>
      </c>
      <c r="D867">
        <v>553</v>
      </c>
      <c r="G867">
        <v>2180</v>
      </c>
    </row>
    <row r="868" spans="1:7">
      <c r="A868" t="s">
        <v>579</v>
      </c>
      <c r="C868">
        <v>230</v>
      </c>
      <c r="G868">
        <v>230</v>
      </c>
    </row>
    <row r="869" spans="1:7">
      <c r="A869" t="s">
        <v>1015</v>
      </c>
      <c r="B869">
        <v>853</v>
      </c>
      <c r="G869">
        <v>853</v>
      </c>
    </row>
    <row r="870" spans="1:7">
      <c r="A870" t="s">
        <v>350</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348</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D880">
        <v>171</v>
      </c>
      <c r="G880">
        <v>171</v>
      </c>
    </row>
    <row r="881" spans="1:7">
      <c r="A881" t="s">
        <v>1109</v>
      </c>
      <c r="B881">
        <v>567</v>
      </c>
      <c r="G881">
        <v>567</v>
      </c>
    </row>
    <row r="882" spans="1:7">
      <c r="A882" t="s">
        <v>519</v>
      </c>
    </row>
    <row r="883" spans="1:7">
      <c r="A883" t="s">
        <v>533</v>
      </c>
      <c r="F883">
        <v>60</v>
      </c>
      <c r="G883">
        <v>60</v>
      </c>
    </row>
    <row r="884" spans="1:7">
      <c r="A884" t="s">
        <v>236</v>
      </c>
    </row>
    <row r="885" spans="1:7">
      <c r="A885" t="s">
        <v>331</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347</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348</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342</v>
      </c>
      <c r="D899">
        <v>3179</v>
      </c>
      <c r="G899">
        <v>3179</v>
      </c>
    </row>
    <row r="900" spans="1:7">
      <c r="A900" t="s">
        <v>610</v>
      </c>
      <c r="E900">
        <v>978</v>
      </c>
      <c r="G900">
        <v>978</v>
      </c>
    </row>
    <row r="901" spans="1:7">
      <c r="A901" t="s">
        <v>405</v>
      </c>
      <c r="E901">
        <v>502</v>
      </c>
      <c r="G901">
        <v>502</v>
      </c>
    </row>
    <row r="902" spans="1:7">
      <c r="A902" t="s">
        <v>200</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331</v>
      </c>
    </row>
    <row r="911" spans="1:7">
      <c r="A911" t="s">
        <v>357</v>
      </c>
      <c r="F911">
        <v>569</v>
      </c>
      <c r="G911">
        <v>569</v>
      </c>
    </row>
    <row r="912" spans="1:7">
      <c r="A912" t="s">
        <v>638</v>
      </c>
    </row>
    <row r="913" spans="1:7">
      <c r="A913" t="s">
        <v>339</v>
      </c>
      <c r="D913">
        <v>150</v>
      </c>
      <c r="G913">
        <v>150</v>
      </c>
    </row>
    <row r="914" spans="1:7">
      <c r="A914" t="s">
        <v>350</v>
      </c>
    </row>
    <row r="915" spans="1:7">
      <c r="A915" t="s">
        <v>585</v>
      </c>
      <c r="B915">
        <v>701</v>
      </c>
      <c r="G915">
        <v>701</v>
      </c>
    </row>
    <row r="916" spans="1:7">
      <c r="A916" t="s">
        <v>973</v>
      </c>
      <c r="B916">
        <v>463</v>
      </c>
      <c r="C916">
        <v>633</v>
      </c>
      <c r="D916">
        <v>625</v>
      </c>
      <c r="G916">
        <v>1721</v>
      </c>
    </row>
    <row r="917" spans="1:7">
      <c r="A917" t="s">
        <v>348</v>
      </c>
    </row>
    <row r="918" spans="1:7">
      <c r="A918" t="s">
        <v>342</v>
      </c>
      <c r="B918">
        <v>882</v>
      </c>
      <c r="C918">
        <v>1072</v>
      </c>
      <c r="D918">
        <v>1034</v>
      </c>
      <c r="E918">
        <v>209</v>
      </c>
      <c r="G918">
        <v>3197</v>
      </c>
    </row>
    <row r="919" spans="1:7">
      <c r="A919" t="s">
        <v>610</v>
      </c>
      <c r="B919">
        <v>1420</v>
      </c>
      <c r="C919">
        <v>990</v>
      </c>
      <c r="D919">
        <v>549</v>
      </c>
      <c r="G919">
        <v>2959</v>
      </c>
    </row>
    <row r="920" spans="1:7">
      <c r="A920" t="s">
        <v>405</v>
      </c>
      <c r="B920">
        <v>259</v>
      </c>
      <c r="C920">
        <v>1087</v>
      </c>
      <c r="D920">
        <v>2206</v>
      </c>
      <c r="E920">
        <v>453</v>
      </c>
      <c r="G920">
        <v>4005</v>
      </c>
    </row>
    <row r="921" spans="1:7">
      <c r="A921" t="s">
        <v>200</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361</v>
      </c>
      <c r="B924">
        <v>207</v>
      </c>
      <c r="G924">
        <v>207</v>
      </c>
    </row>
    <row r="925" spans="1:7">
      <c r="A925" t="s">
        <v>642</v>
      </c>
      <c r="C925">
        <v>1691</v>
      </c>
      <c r="D925">
        <v>1998</v>
      </c>
      <c r="E925">
        <v>760</v>
      </c>
      <c r="F925">
        <v>3975</v>
      </c>
      <c r="G925">
        <v>8424</v>
      </c>
    </row>
    <row r="926" spans="1:7">
      <c r="A926" t="s">
        <v>613</v>
      </c>
      <c r="D926">
        <v>1031</v>
      </c>
      <c r="G926">
        <v>1031</v>
      </c>
    </row>
    <row r="927" spans="1:7">
      <c r="A927" t="s">
        <v>359</v>
      </c>
      <c r="E927">
        <v>1063</v>
      </c>
      <c r="F927">
        <v>1263</v>
      </c>
      <c r="G927">
        <v>2326</v>
      </c>
    </row>
    <row r="928" spans="1:7">
      <c r="A928" t="s">
        <v>640</v>
      </c>
      <c r="F928">
        <v>451</v>
      </c>
      <c r="G928">
        <v>451</v>
      </c>
    </row>
    <row r="929" spans="1:7">
      <c r="A929" t="s">
        <v>430</v>
      </c>
      <c r="B929">
        <v>3266</v>
      </c>
      <c r="C929">
        <v>3910</v>
      </c>
      <c r="D929">
        <v>346</v>
      </c>
      <c r="G929">
        <v>7522</v>
      </c>
    </row>
    <row r="930" spans="1:7">
      <c r="A930" t="s">
        <v>283</v>
      </c>
      <c r="C930">
        <v>372</v>
      </c>
      <c r="D930">
        <v>656</v>
      </c>
      <c r="G930">
        <v>1028</v>
      </c>
    </row>
    <row r="931" spans="1:7">
      <c r="A931" t="s">
        <v>425</v>
      </c>
      <c r="D931">
        <v>2985</v>
      </c>
      <c r="E931">
        <v>2373</v>
      </c>
      <c r="G931">
        <v>5358</v>
      </c>
    </row>
    <row r="932" spans="1:7">
      <c r="A932" t="s">
        <v>447</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336</v>
      </c>
    </row>
    <row r="940" spans="1:7">
      <c r="A940" t="s">
        <v>638</v>
      </c>
      <c r="B940">
        <v>560</v>
      </c>
      <c r="G940">
        <v>560</v>
      </c>
    </row>
    <row r="941" spans="1:7">
      <c r="A941" t="s">
        <v>350</v>
      </c>
    </row>
    <row r="942" spans="1:7">
      <c r="A942" t="s">
        <v>585</v>
      </c>
      <c r="B942">
        <v>138</v>
      </c>
      <c r="G942">
        <v>138</v>
      </c>
    </row>
    <row r="943" spans="1:7">
      <c r="A943" t="s">
        <v>348</v>
      </c>
    </row>
    <row r="944" spans="1:7">
      <c r="A944" t="s">
        <v>342</v>
      </c>
      <c r="B944">
        <v>96</v>
      </c>
      <c r="G944">
        <v>96</v>
      </c>
    </row>
    <row r="945" spans="1:7">
      <c r="A945" t="s">
        <v>610</v>
      </c>
      <c r="B945">
        <v>632</v>
      </c>
      <c r="G945">
        <v>632</v>
      </c>
    </row>
    <row r="946" spans="1:7">
      <c r="A946" t="s">
        <v>405</v>
      </c>
      <c r="B946">
        <v>558</v>
      </c>
      <c r="G946">
        <v>558</v>
      </c>
    </row>
    <row r="947" spans="1:7">
      <c r="A947" t="s">
        <v>200</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1147</v>
      </c>
      <c r="B950">
        <v>748</v>
      </c>
      <c r="C950">
        <v>1062</v>
      </c>
      <c r="G950">
        <v>1810</v>
      </c>
    </row>
    <row r="951" spans="1:7">
      <c r="A951" t="s">
        <v>344</v>
      </c>
      <c r="B951">
        <v>435</v>
      </c>
      <c r="E951">
        <v>1123</v>
      </c>
      <c r="G951">
        <v>1558</v>
      </c>
    </row>
    <row r="952" spans="1:7">
      <c r="A952" t="s">
        <v>387</v>
      </c>
      <c r="D952">
        <v>1580</v>
      </c>
      <c r="E952">
        <v>1258</v>
      </c>
      <c r="G952">
        <v>2838</v>
      </c>
    </row>
    <row r="953" spans="1:7">
      <c r="A953" t="s">
        <v>581</v>
      </c>
      <c r="D953">
        <v>877</v>
      </c>
      <c r="E953">
        <v>814</v>
      </c>
      <c r="G953">
        <v>1691</v>
      </c>
    </row>
    <row r="954" spans="1:7">
      <c r="A954" t="s">
        <v>186</v>
      </c>
      <c r="D954">
        <v>711</v>
      </c>
      <c r="E954">
        <v>325</v>
      </c>
      <c r="F954">
        <v>430</v>
      </c>
      <c r="G954">
        <v>1466</v>
      </c>
    </row>
    <row r="955" spans="1:7">
      <c r="A955" t="s">
        <v>380</v>
      </c>
      <c r="D955">
        <v>1486</v>
      </c>
      <c r="E955">
        <v>2912</v>
      </c>
      <c r="F955">
        <v>2125</v>
      </c>
      <c r="G955">
        <v>6523</v>
      </c>
    </row>
    <row r="956" spans="1:7">
      <c r="A956" t="s">
        <v>439</v>
      </c>
      <c r="D956">
        <v>1264</v>
      </c>
      <c r="E956">
        <v>1281</v>
      </c>
      <c r="G956">
        <v>2545</v>
      </c>
    </row>
    <row r="957" spans="1:7">
      <c r="A957" t="s">
        <v>1148</v>
      </c>
    </row>
    <row r="958" spans="1:7">
      <c r="A958" t="s">
        <v>452</v>
      </c>
      <c r="D958">
        <v>3678</v>
      </c>
      <c r="E958">
        <v>3382</v>
      </c>
      <c r="G958">
        <v>7060</v>
      </c>
    </row>
    <row r="959" spans="1:7">
      <c r="A959" t="s">
        <v>1149</v>
      </c>
      <c r="F959">
        <v>1505</v>
      </c>
      <c r="G959">
        <v>1505</v>
      </c>
    </row>
    <row r="960" spans="1:7">
      <c r="A960" t="s">
        <v>488</v>
      </c>
      <c r="E960">
        <v>424</v>
      </c>
      <c r="G960">
        <v>424</v>
      </c>
    </row>
    <row r="961" spans="1:7">
      <c r="A961" t="s">
        <v>454</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236</v>
      </c>
      <c r="B969">
        <v>446</v>
      </c>
      <c r="C969">
        <v>120</v>
      </c>
      <c r="D969">
        <v>550</v>
      </c>
      <c r="G969">
        <v>1116</v>
      </c>
    </row>
    <row r="970" spans="1:7">
      <c r="A970" t="s">
        <v>638</v>
      </c>
      <c r="C970">
        <v>17</v>
      </c>
      <c r="G970">
        <v>17</v>
      </c>
    </row>
    <row r="971" spans="1:7">
      <c r="A971" t="s">
        <v>585</v>
      </c>
    </row>
    <row r="972" spans="1:7">
      <c r="A972" t="s">
        <v>405</v>
      </c>
      <c r="B972">
        <v>127</v>
      </c>
      <c r="G972">
        <v>127</v>
      </c>
    </row>
    <row r="973" spans="1:7">
      <c r="A973" t="s">
        <v>200</v>
      </c>
      <c r="B973">
        <v>420</v>
      </c>
      <c r="G973">
        <v>420</v>
      </c>
    </row>
    <row r="974" spans="1:7">
      <c r="A974" t="s">
        <v>613</v>
      </c>
    </row>
    <row r="975" spans="1:7">
      <c r="A975" t="s">
        <v>344</v>
      </c>
      <c r="C975">
        <v>1917</v>
      </c>
      <c r="E975">
        <v>272</v>
      </c>
      <c r="G975">
        <v>2189</v>
      </c>
    </row>
    <row r="976" spans="1:7">
      <c r="A976" t="s">
        <v>581</v>
      </c>
      <c r="B976">
        <v>956</v>
      </c>
      <c r="G976">
        <v>956</v>
      </c>
    </row>
    <row r="977" spans="1:7">
      <c r="A977" t="s">
        <v>186</v>
      </c>
      <c r="E977">
        <v>195</v>
      </c>
      <c r="G977">
        <v>195</v>
      </c>
    </row>
    <row r="978" spans="1:7">
      <c r="A978" t="s">
        <v>380</v>
      </c>
      <c r="B978">
        <v>1449</v>
      </c>
      <c r="G978">
        <v>1449</v>
      </c>
    </row>
    <row r="979" spans="1:7">
      <c r="A979" t="s">
        <v>439</v>
      </c>
      <c r="B979">
        <v>1662</v>
      </c>
      <c r="C979">
        <v>2684</v>
      </c>
      <c r="F979">
        <v>51</v>
      </c>
      <c r="G979">
        <v>4397</v>
      </c>
    </row>
    <row r="980" spans="1:7">
      <c r="A980" t="s">
        <v>449</v>
      </c>
      <c r="B980">
        <v>5466</v>
      </c>
      <c r="E980">
        <v>2252</v>
      </c>
      <c r="G980">
        <v>7718</v>
      </c>
    </row>
    <row r="981" spans="1:7">
      <c r="A981" t="s">
        <v>1149</v>
      </c>
      <c r="B981">
        <v>907</v>
      </c>
      <c r="G981">
        <v>907</v>
      </c>
    </row>
    <row r="982" spans="1:7">
      <c r="A982" t="s">
        <v>488</v>
      </c>
      <c r="E982">
        <v>313</v>
      </c>
      <c r="F982">
        <v>3007</v>
      </c>
      <c r="G982">
        <v>3320</v>
      </c>
    </row>
    <row r="983" spans="1:7">
      <c r="A983" t="s">
        <v>454</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392</v>
      </c>
      <c r="C987">
        <v>1679</v>
      </c>
      <c r="D987">
        <v>1429</v>
      </c>
      <c r="E987">
        <v>1624</v>
      </c>
      <c r="G987">
        <v>4732</v>
      </c>
    </row>
    <row r="988" spans="1:7">
      <c r="A988" t="s">
        <v>381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503</v>
      </c>
      <c r="C1005">
        <v>68</v>
      </c>
      <c r="G1005">
        <v>68</v>
      </c>
    </row>
    <row r="1006" spans="1:7">
      <c r="A1006" t="s">
        <v>1134</v>
      </c>
    </row>
    <row r="1007" spans="1:7">
      <c r="A1007" t="s">
        <v>336</v>
      </c>
    </row>
    <row r="1008" spans="1:7">
      <c r="A1008" t="s">
        <v>973</v>
      </c>
    </row>
    <row r="1009" spans="1:7">
      <c r="A1009" t="s">
        <v>348</v>
      </c>
    </row>
    <row r="1010" spans="1:7">
      <c r="A1010" t="s">
        <v>342</v>
      </c>
    </row>
    <row r="1011" spans="1:7">
      <c r="A1011" t="s">
        <v>200</v>
      </c>
      <c r="D1011">
        <v>426</v>
      </c>
      <c r="G1011">
        <v>426</v>
      </c>
    </row>
    <row r="1012" spans="1:7">
      <c r="A1012" t="s">
        <v>359</v>
      </c>
    </row>
    <row r="1013" spans="1:7">
      <c r="A1013" t="s">
        <v>430</v>
      </c>
    </row>
    <row r="1014" spans="1:7">
      <c r="A1014" t="s">
        <v>283</v>
      </c>
      <c r="C1014">
        <v>1175</v>
      </c>
      <c r="G1014">
        <v>1175</v>
      </c>
    </row>
    <row r="1015" spans="1:7">
      <c r="A1015" t="s">
        <v>425</v>
      </c>
      <c r="C1015">
        <v>996</v>
      </c>
      <c r="G1015">
        <v>996</v>
      </c>
    </row>
    <row r="1016" spans="1:7">
      <c r="A1016" t="s">
        <v>344</v>
      </c>
      <c r="B1016">
        <v>900</v>
      </c>
      <c r="G1016">
        <v>900</v>
      </c>
    </row>
    <row r="1017" spans="1:7">
      <c r="A1017" t="s">
        <v>387</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392</v>
      </c>
      <c r="B1022">
        <v>572</v>
      </c>
      <c r="G1022">
        <v>572</v>
      </c>
    </row>
    <row r="1023" spans="1:7">
      <c r="A1023" t="s">
        <v>1152</v>
      </c>
      <c r="B1023">
        <v>1718</v>
      </c>
      <c r="C1023">
        <v>2478</v>
      </c>
      <c r="D1023">
        <v>1567</v>
      </c>
      <c r="G1023">
        <v>5763</v>
      </c>
    </row>
    <row r="1024" spans="1:7">
      <c r="A1024" t="s">
        <v>457</v>
      </c>
      <c r="C1024">
        <v>3411</v>
      </c>
      <c r="G1024">
        <v>3411</v>
      </c>
    </row>
    <row r="1025" spans="1:7">
      <c r="A1025" t="s">
        <v>176</v>
      </c>
      <c r="B1025">
        <v>82</v>
      </c>
      <c r="G1025">
        <v>82</v>
      </c>
    </row>
    <row r="1026" spans="1:7">
      <c r="A1026" t="s">
        <v>460</v>
      </c>
      <c r="C1026">
        <v>3311</v>
      </c>
      <c r="G1026">
        <v>3311</v>
      </c>
    </row>
    <row r="1027" spans="1:7">
      <c r="A1027" t="s">
        <v>428</v>
      </c>
    </row>
    <row r="1028" spans="1:7">
      <c r="A1028" t="s">
        <v>383</v>
      </c>
      <c r="C1028">
        <v>2568</v>
      </c>
      <c r="G1028">
        <v>2568</v>
      </c>
    </row>
    <row r="1029" spans="1:7">
      <c r="A1029" t="s">
        <v>602</v>
      </c>
      <c r="B1029">
        <v>286</v>
      </c>
      <c r="C1029">
        <v>357</v>
      </c>
      <c r="D1029">
        <v>331</v>
      </c>
      <c r="G1029">
        <v>974</v>
      </c>
    </row>
    <row r="1030" spans="1:7">
      <c r="A1030" t="s">
        <v>374</v>
      </c>
      <c r="B1030">
        <v>1655</v>
      </c>
      <c r="C1030">
        <v>2537</v>
      </c>
      <c r="G1030">
        <v>4192</v>
      </c>
    </row>
    <row r="1031" spans="1:7">
      <c r="A1031" t="s">
        <v>441</v>
      </c>
      <c r="C1031">
        <v>2382</v>
      </c>
      <c r="G1031">
        <v>2382</v>
      </c>
    </row>
    <row r="1032" spans="1:7">
      <c r="A1032" t="s">
        <v>593</v>
      </c>
      <c r="C1032">
        <v>1100</v>
      </c>
      <c r="D1032">
        <v>855</v>
      </c>
      <c r="G1032">
        <v>1955</v>
      </c>
    </row>
    <row r="1033" spans="1:7">
      <c r="A1033" t="s">
        <v>1153</v>
      </c>
      <c r="C1033">
        <v>486</v>
      </c>
      <c r="G1033">
        <v>486</v>
      </c>
    </row>
    <row r="1034" spans="1:7">
      <c r="A1034" t="s">
        <v>463</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433</v>
      </c>
    </row>
    <row r="1043" spans="1:7">
      <c r="A1043" t="s">
        <v>435</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283</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383</v>
      </c>
      <c r="E1059">
        <v>489</v>
      </c>
      <c r="F1059">
        <v>2020</v>
      </c>
      <c r="G1059">
        <v>2509</v>
      </c>
    </row>
    <row r="1060" spans="1:7">
      <c r="A1060" t="s">
        <v>374</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463</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485</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395</v>
      </c>
      <c r="E1070">
        <v>1431</v>
      </c>
      <c r="G1070">
        <v>1431</v>
      </c>
    </row>
    <row r="1071" spans="1:7">
      <c r="A1071" t="s">
        <v>568</v>
      </c>
      <c r="D1071">
        <v>1379</v>
      </c>
      <c r="E1071">
        <v>1154</v>
      </c>
      <c r="G1071">
        <v>2533</v>
      </c>
    </row>
    <row r="1072" spans="1:7">
      <c r="A1072" t="s">
        <v>436</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425</v>
      </c>
      <c r="C1082">
        <v>2203</v>
      </c>
      <c r="G1082">
        <v>2203</v>
      </c>
    </row>
    <row r="1083" spans="1:7">
      <c r="A1083" t="s">
        <v>454</v>
      </c>
      <c r="E1083">
        <v>242</v>
      </c>
      <c r="G1083">
        <v>242</v>
      </c>
    </row>
    <row r="1084" spans="1:7">
      <c r="A1084" t="s">
        <v>590</v>
      </c>
    </row>
    <row r="1085" spans="1:7">
      <c r="A1085" t="s">
        <v>383</v>
      </c>
      <c r="B1085">
        <v>428</v>
      </c>
      <c r="G1085">
        <v>428</v>
      </c>
    </row>
    <row r="1086" spans="1:7">
      <c r="A1086" t="s">
        <v>1154</v>
      </c>
    </row>
    <row r="1087" spans="1:7">
      <c r="A1087" t="s">
        <v>1156</v>
      </c>
      <c r="C1087">
        <v>265</v>
      </c>
      <c r="D1087">
        <v>542</v>
      </c>
      <c r="E1087">
        <v>739</v>
      </c>
      <c r="G1087">
        <v>1546</v>
      </c>
    </row>
    <row r="1088" spans="1:7">
      <c r="A1088" t="s">
        <v>485</v>
      </c>
      <c r="D1088">
        <v>91</v>
      </c>
      <c r="G1088">
        <v>91</v>
      </c>
    </row>
    <row r="1089" spans="1:7">
      <c r="A1089" t="s">
        <v>562</v>
      </c>
      <c r="B1089">
        <v>1172</v>
      </c>
      <c r="G1089">
        <v>1172</v>
      </c>
    </row>
    <row r="1090" spans="1:7">
      <c r="A1090" t="s">
        <v>395</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1159</v>
      </c>
    </row>
    <row r="1096" spans="1:7">
      <c r="A1096" t="s">
        <v>368</v>
      </c>
      <c r="C1096">
        <v>1640</v>
      </c>
      <c r="D1096">
        <v>1177</v>
      </c>
      <c r="G1096">
        <v>2817</v>
      </c>
    </row>
    <row r="1097" spans="1:7">
      <c r="A1097" t="s">
        <v>466</v>
      </c>
      <c r="C1097">
        <v>1980</v>
      </c>
      <c r="D1097">
        <v>1251</v>
      </c>
      <c r="E1097">
        <v>3172</v>
      </c>
      <c r="G1097">
        <v>6403</v>
      </c>
    </row>
    <row r="1098" spans="1:7">
      <c r="A1098" t="s">
        <v>288</v>
      </c>
      <c r="C1098">
        <v>1111</v>
      </c>
      <c r="D1098">
        <v>1373</v>
      </c>
      <c r="E1098">
        <v>1090</v>
      </c>
      <c r="F1098">
        <v>1204</v>
      </c>
      <c r="G1098">
        <v>4778</v>
      </c>
    </row>
    <row r="1099" spans="1:7">
      <c r="A1099" t="s">
        <v>559</v>
      </c>
      <c r="C1099">
        <v>1500</v>
      </c>
      <c r="D1099">
        <v>1084</v>
      </c>
      <c r="G1099">
        <v>2584</v>
      </c>
    </row>
    <row r="1100" spans="1:7">
      <c r="A1100" t="s">
        <v>371</v>
      </c>
      <c r="D1100">
        <v>817</v>
      </c>
      <c r="E1100">
        <v>1820</v>
      </c>
      <c r="G1100">
        <v>2637</v>
      </c>
    </row>
    <row r="1101" spans="1:7">
      <c r="A1101" t="s">
        <v>553</v>
      </c>
      <c r="E1101">
        <v>1351</v>
      </c>
      <c r="G1101">
        <v>1351</v>
      </c>
    </row>
    <row r="1102" spans="1:7">
      <c r="A1102" t="s">
        <v>268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430</v>
      </c>
    </row>
    <row r="1111" spans="1:7">
      <c r="A1111" t="s">
        <v>452</v>
      </c>
    </row>
    <row r="1112" spans="1:7">
      <c r="A1112" t="s">
        <v>488</v>
      </c>
      <c r="E1112">
        <v>396</v>
      </c>
      <c r="G1112">
        <v>396</v>
      </c>
    </row>
    <row r="1113" spans="1:7">
      <c r="A1113" t="s">
        <v>454</v>
      </c>
    </row>
    <row r="1114" spans="1:7">
      <c r="A1114" t="s">
        <v>590</v>
      </c>
    </row>
    <row r="1115" spans="1:7">
      <c r="A1115" t="s">
        <v>460</v>
      </c>
      <c r="B1115">
        <v>87</v>
      </c>
      <c r="G1115">
        <v>87</v>
      </c>
    </row>
    <row r="1116" spans="1:7">
      <c r="A1116" t="s">
        <v>1156</v>
      </c>
      <c r="B1116">
        <v>671</v>
      </c>
      <c r="C1116">
        <v>1204</v>
      </c>
      <c r="D1116">
        <v>1210</v>
      </c>
      <c r="E1116">
        <v>292</v>
      </c>
      <c r="G1116">
        <v>3377</v>
      </c>
    </row>
    <row r="1117" spans="1:7">
      <c r="A1117" t="s">
        <v>485</v>
      </c>
      <c r="D1117">
        <v>320</v>
      </c>
      <c r="E1117">
        <v>652</v>
      </c>
      <c r="F1117">
        <v>780</v>
      </c>
      <c r="G1117">
        <v>1752</v>
      </c>
    </row>
    <row r="1118" spans="1:7">
      <c r="A1118" t="s">
        <v>562</v>
      </c>
      <c r="D1118">
        <v>163</v>
      </c>
      <c r="G1118">
        <v>163</v>
      </c>
    </row>
    <row r="1119" spans="1:7">
      <c r="A1119" t="s">
        <v>436</v>
      </c>
      <c r="D1119">
        <v>372</v>
      </c>
      <c r="F1119">
        <v>582</v>
      </c>
      <c r="G1119">
        <v>954</v>
      </c>
    </row>
    <row r="1120" spans="1:7">
      <c r="A1120" t="s">
        <v>1157</v>
      </c>
      <c r="B1120">
        <v>752</v>
      </c>
      <c r="C1120">
        <v>1249</v>
      </c>
      <c r="D1120">
        <v>235</v>
      </c>
      <c r="E1120">
        <v>563</v>
      </c>
      <c r="F1120">
        <v>483</v>
      </c>
      <c r="G1120">
        <v>3282</v>
      </c>
    </row>
    <row r="1121" spans="1:7">
      <c r="A1121" t="s">
        <v>475</v>
      </c>
      <c r="D1121">
        <v>1049</v>
      </c>
      <c r="G1121">
        <v>1049</v>
      </c>
    </row>
    <row r="1122" spans="1:7">
      <c r="A1122" t="s">
        <v>466</v>
      </c>
      <c r="B1122">
        <v>29</v>
      </c>
      <c r="G1122">
        <v>29</v>
      </c>
    </row>
    <row r="1123" spans="1:7">
      <c r="A1123" t="s">
        <v>288</v>
      </c>
      <c r="F1123">
        <v>1235</v>
      </c>
      <c r="G1123">
        <v>1235</v>
      </c>
    </row>
    <row r="1124" spans="1:7">
      <c r="A1124" t="s">
        <v>559</v>
      </c>
    </row>
    <row r="1125" spans="1:7">
      <c r="A1125" t="s">
        <v>553</v>
      </c>
      <c r="B1125">
        <v>689</v>
      </c>
      <c r="C1125">
        <v>586</v>
      </c>
      <c r="D1125">
        <v>199</v>
      </c>
      <c r="G1125">
        <v>1474</v>
      </c>
    </row>
    <row r="1126" spans="1:7">
      <c r="A1126" t="s">
        <v>268</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192</v>
      </c>
      <c r="C1129">
        <v>890</v>
      </c>
      <c r="D1129">
        <v>1810</v>
      </c>
      <c r="E1129">
        <v>967</v>
      </c>
      <c r="G1129">
        <v>3667</v>
      </c>
    </row>
    <row r="1130" spans="1:7">
      <c r="A1130" t="s">
        <v>385</v>
      </c>
      <c r="B1130">
        <v>1511</v>
      </c>
      <c r="C1130">
        <v>1887</v>
      </c>
      <c r="D1130">
        <v>916</v>
      </c>
      <c r="E1130">
        <v>1704</v>
      </c>
      <c r="F1130">
        <v>974</v>
      </c>
      <c r="G1130">
        <v>6992</v>
      </c>
    </row>
    <row r="1131" spans="1:7">
      <c r="A1131" t="s">
        <v>469</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485</v>
      </c>
      <c r="B1144">
        <v>870</v>
      </c>
      <c r="G1144">
        <v>870</v>
      </c>
    </row>
    <row r="1145" spans="1:7">
      <c r="A1145" t="s">
        <v>436</v>
      </c>
      <c r="B1145">
        <v>551</v>
      </c>
      <c r="G1145">
        <v>551</v>
      </c>
    </row>
    <row r="1146" spans="1:7">
      <c r="A1146" t="s">
        <v>1157</v>
      </c>
    </row>
    <row r="1147" spans="1:7">
      <c r="A1147" t="s">
        <v>268</v>
      </c>
      <c r="B1147">
        <v>154</v>
      </c>
      <c r="G1147">
        <v>154</v>
      </c>
    </row>
    <row r="1148" spans="1:7">
      <c r="A1148" t="s">
        <v>565</v>
      </c>
      <c r="B1148">
        <v>342</v>
      </c>
      <c r="G1148">
        <v>342</v>
      </c>
    </row>
    <row r="1149" spans="1:7">
      <c r="A1149" t="s">
        <v>469</v>
      </c>
    </row>
    <row r="1150" spans="1:7">
      <c r="A1150" t="s">
        <v>294</v>
      </c>
      <c r="B1150">
        <v>3523</v>
      </c>
      <c r="C1150">
        <v>2384</v>
      </c>
      <c r="G1150">
        <v>5907</v>
      </c>
    </row>
    <row r="1151" spans="1:7">
      <c r="A1151" t="s">
        <v>291</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395</v>
      </c>
    </row>
    <row r="1166" spans="1:7">
      <c r="A1166" t="s">
        <v>436</v>
      </c>
      <c r="B1166">
        <v>738</v>
      </c>
      <c r="C1166">
        <v>466</v>
      </c>
      <c r="G1166">
        <v>1204</v>
      </c>
    </row>
    <row r="1167" spans="1:7">
      <c r="A1167" t="s">
        <v>475</v>
      </c>
      <c r="B1167">
        <v>0</v>
      </c>
      <c r="G1167">
        <v>0</v>
      </c>
    </row>
    <row r="1168" spans="1:7">
      <c r="A1168" t="s">
        <v>268</v>
      </c>
      <c r="D1168">
        <v>173</v>
      </c>
      <c r="G1168">
        <v>173</v>
      </c>
    </row>
    <row r="1169" spans="1:7">
      <c r="A1169" t="s">
        <v>291</v>
      </c>
      <c r="B1169">
        <v>1297</v>
      </c>
      <c r="G1169">
        <v>1297</v>
      </c>
    </row>
    <row r="1170" spans="1:7">
      <c r="A1170" t="s">
        <v>605</v>
      </c>
      <c r="B1170">
        <v>100</v>
      </c>
      <c r="G1170">
        <v>100</v>
      </c>
    </row>
    <row r="1171" spans="1:7">
      <c r="A1171" t="s">
        <v>479</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359</v>
      </c>
      <c r="F1181">
        <v>0</v>
      </c>
      <c r="G1181">
        <v>0</v>
      </c>
    </row>
    <row r="1182" spans="1:7">
      <c r="A1182" t="s">
        <v>425</v>
      </c>
      <c r="C1182">
        <v>0</v>
      </c>
      <c r="G1182">
        <v>0</v>
      </c>
    </row>
    <row r="1183" spans="1:7">
      <c r="A1183" t="s">
        <v>463</v>
      </c>
    </row>
    <row r="1184" spans="1:7">
      <c r="A1184" t="s">
        <v>436</v>
      </c>
      <c r="B1184">
        <v>3728</v>
      </c>
      <c r="C1184">
        <v>1789</v>
      </c>
      <c r="G1184">
        <v>5517</v>
      </c>
    </row>
    <row r="1185" spans="1:7">
      <c r="A1185" t="s">
        <v>472</v>
      </c>
      <c r="D1185">
        <v>0</v>
      </c>
      <c r="G1185">
        <v>0</v>
      </c>
    </row>
    <row r="1186" spans="1:7">
      <c r="A1186" t="s">
        <v>288</v>
      </c>
    </row>
    <row r="1187" spans="1:7">
      <c r="A1187" t="s">
        <v>469</v>
      </c>
      <c r="D1187">
        <v>0</v>
      </c>
      <c r="F1187">
        <v>104</v>
      </c>
      <c r="G1187">
        <v>104</v>
      </c>
    </row>
    <row r="1188" spans="1:7">
      <c r="A1188" t="s">
        <v>479</v>
      </c>
      <c r="B1188">
        <v>568</v>
      </c>
      <c r="G1188">
        <v>568</v>
      </c>
    </row>
    <row r="1189" spans="1:7">
      <c r="A1189" t="s">
        <v>240</v>
      </c>
      <c r="B1189">
        <v>1105</v>
      </c>
      <c r="C1189">
        <v>942</v>
      </c>
      <c r="D1189">
        <v>2151</v>
      </c>
      <c r="E1189">
        <v>1926</v>
      </c>
      <c r="F1189">
        <v>1000</v>
      </c>
      <c r="G1189">
        <v>7124</v>
      </c>
    </row>
    <row r="1190" spans="1:7">
      <c r="A1190" t="s">
        <v>400</v>
      </c>
      <c r="B1190">
        <v>1353</v>
      </c>
      <c r="C1190">
        <v>1153</v>
      </c>
      <c r="G1190">
        <v>2506</v>
      </c>
    </row>
    <row r="1191" spans="1:7">
      <c r="A1191" t="s">
        <v>482</v>
      </c>
      <c r="C1191">
        <v>2362</v>
      </c>
      <c r="D1191">
        <v>3079</v>
      </c>
      <c r="G1191">
        <v>5441</v>
      </c>
    </row>
    <row r="1192" spans="1:7">
      <c r="A1192" t="s">
        <v>1010</v>
      </c>
      <c r="C1192">
        <v>1534</v>
      </c>
      <c r="D1192">
        <v>180</v>
      </c>
      <c r="G1192">
        <v>1714</v>
      </c>
    </row>
    <row r="1193" spans="1:7">
      <c r="A1193" t="s">
        <v>389</v>
      </c>
      <c r="D1193">
        <v>1687</v>
      </c>
      <c r="E1193">
        <v>1053</v>
      </c>
      <c r="G1193">
        <v>2740</v>
      </c>
    </row>
    <row r="1194" spans="1:7">
      <c r="A1194" t="s">
        <v>1019</v>
      </c>
      <c r="D1194">
        <v>1056</v>
      </c>
      <c r="G1194">
        <v>1056</v>
      </c>
    </row>
    <row r="1195" spans="1:7">
      <c r="A1195" t="s">
        <v>297</v>
      </c>
      <c r="E1195">
        <v>2367</v>
      </c>
      <c r="F1195">
        <v>447</v>
      </c>
      <c r="G1195">
        <v>2814</v>
      </c>
    </row>
    <row r="1196" spans="1:7">
      <c r="A1196" t="s">
        <v>255</v>
      </c>
      <c r="F1196">
        <v>0</v>
      </c>
      <c r="G1196">
        <v>0</v>
      </c>
    </row>
    <row r="1197" spans="1:7">
      <c r="A1197" t="s">
        <v>377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236</v>
      </c>
      <c r="D1206">
        <v>1200</v>
      </c>
      <c r="E1206">
        <v>445</v>
      </c>
      <c r="F1206">
        <v>686</v>
      </c>
      <c r="G1206">
        <v>2331</v>
      </c>
    </row>
    <row r="1207" spans="1:7">
      <c r="A1207" t="s">
        <v>535</v>
      </c>
    </row>
    <row r="1208" spans="1:7">
      <c r="A1208" t="s">
        <v>336</v>
      </c>
    </row>
    <row r="1209" spans="1:7">
      <c r="A1209" t="s">
        <v>361</v>
      </c>
    </row>
    <row r="1210" spans="1:7">
      <c r="A1210" t="s">
        <v>288</v>
      </c>
    </row>
    <row r="1211" spans="1:7">
      <c r="A1211" t="s">
        <v>240</v>
      </c>
      <c r="B1211">
        <v>1812</v>
      </c>
      <c r="C1211">
        <v>1838</v>
      </c>
      <c r="E1211">
        <v>0</v>
      </c>
      <c r="G1211">
        <v>3650</v>
      </c>
    </row>
    <row r="1212" spans="1:7">
      <c r="A1212" t="s">
        <v>400</v>
      </c>
      <c r="B1212">
        <v>1314</v>
      </c>
      <c r="G1212">
        <v>1314</v>
      </c>
    </row>
    <row r="1213" spans="1:7">
      <c r="A1213" t="s">
        <v>1010</v>
      </c>
      <c r="D1213">
        <v>0</v>
      </c>
      <c r="G1213">
        <v>0</v>
      </c>
    </row>
    <row r="1214" spans="1:7">
      <c r="A1214" t="s">
        <v>389</v>
      </c>
      <c r="B1214">
        <v>0</v>
      </c>
      <c r="G1214">
        <v>0</v>
      </c>
    </row>
    <row r="1215" spans="1:7">
      <c r="A1215" t="s">
        <v>1019</v>
      </c>
      <c r="B1215">
        <v>1356</v>
      </c>
      <c r="C1215">
        <v>1435</v>
      </c>
      <c r="D1215">
        <v>1295</v>
      </c>
      <c r="G1215">
        <v>4086</v>
      </c>
    </row>
    <row r="1216" spans="1:7">
      <c r="A1216" t="s">
        <v>297</v>
      </c>
      <c r="B1216">
        <v>858</v>
      </c>
      <c r="G1216">
        <v>858</v>
      </c>
    </row>
    <row r="1217" spans="1:7">
      <c r="A1217" t="s">
        <v>377</v>
      </c>
      <c r="B1217">
        <v>926</v>
      </c>
      <c r="C1217">
        <v>1128</v>
      </c>
      <c r="D1217">
        <v>1082</v>
      </c>
      <c r="E1217">
        <v>1325</v>
      </c>
      <c r="F1217">
        <v>441</v>
      </c>
      <c r="G1217">
        <v>4902</v>
      </c>
    </row>
    <row r="1218" spans="1:7">
      <c r="A1218" t="s">
        <v>506</v>
      </c>
      <c r="B1218">
        <v>205</v>
      </c>
      <c r="F1218">
        <v>107</v>
      </c>
      <c r="G1218">
        <v>312</v>
      </c>
    </row>
    <row r="1219" spans="1:7">
      <c r="A1219" t="s">
        <v>415</v>
      </c>
      <c r="B1219">
        <v>4915</v>
      </c>
      <c r="C1219">
        <v>914</v>
      </c>
      <c r="D1219">
        <v>0</v>
      </c>
      <c r="G1219">
        <v>5829</v>
      </c>
    </row>
    <row r="1220" spans="1:7">
      <c r="A1220" t="s">
        <v>300</v>
      </c>
      <c r="B1220">
        <v>813</v>
      </c>
      <c r="C1220">
        <v>1491</v>
      </c>
      <c r="D1220">
        <v>1062</v>
      </c>
      <c r="E1220">
        <v>527</v>
      </c>
      <c r="G1220">
        <v>3893</v>
      </c>
    </row>
    <row r="1221" spans="1:7">
      <c r="A1221" t="s">
        <v>411</v>
      </c>
    </row>
    <row r="1222" spans="1:7">
      <c r="A1222" t="s">
        <v>398</v>
      </c>
    </row>
    <row r="1223" spans="1:7">
      <c r="A1223" t="s">
        <v>417</v>
      </c>
      <c r="C1223">
        <v>6092</v>
      </c>
      <c r="D1223">
        <v>0</v>
      </c>
      <c r="E1223">
        <v>0</v>
      </c>
      <c r="G1223">
        <v>6092</v>
      </c>
    </row>
    <row r="1224" spans="1:7">
      <c r="A1224" t="s">
        <v>303</v>
      </c>
      <c r="C1224">
        <v>822</v>
      </c>
      <c r="D1224">
        <v>2611</v>
      </c>
      <c r="G1224">
        <v>3433</v>
      </c>
    </row>
    <row r="1225" spans="1:7">
      <c r="A1225" t="s">
        <v>305</v>
      </c>
      <c r="D1225">
        <v>544</v>
      </c>
      <c r="E1225">
        <v>2832</v>
      </c>
      <c r="F1225">
        <v>457</v>
      </c>
      <c r="G1225">
        <v>3833</v>
      </c>
    </row>
    <row r="1226" spans="1:7">
      <c r="A1226" t="s">
        <v>419</v>
      </c>
      <c r="D1226">
        <v>1728</v>
      </c>
      <c r="F1226">
        <v>3082</v>
      </c>
      <c r="G1226">
        <v>4810</v>
      </c>
    </row>
    <row r="1227" spans="1:7">
      <c r="A1227" t="s">
        <v>421</v>
      </c>
      <c r="E1227">
        <v>1562</v>
      </c>
      <c r="F1227">
        <v>673</v>
      </c>
      <c r="G1227">
        <v>2235</v>
      </c>
    </row>
    <row r="1228" spans="1:7">
      <c r="A1228" t="s">
        <v>307</v>
      </c>
      <c r="E1228">
        <v>1639</v>
      </c>
      <c r="F1228">
        <v>987</v>
      </c>
      <c r="G1228">
        <v>2626</v>
      </c>
    </row>
    <row r="1229" spans="1:7">
      <c r="A1229" t="s">
        <v>266</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236</v>
      </c>
      <c r="C1237">
        <v>0</v>
      </c>
      <c r="G1237">
        <v>0</v>
      </c>
    </row>
    <row r="1238" spans="1:7">
      <c r="A1238" t="s">
        <v>1134</v>
      </c>
      <c r="D1238">
        <v>150</v>
      </c>
      <c r="E1238">
        <v>0</v>
      </c>
      <c r="F1238">
        <v>274</v>
      </c>
      <c r="G1238">
        <v>424</v>
      </c>
    </row>
    <row r="1239" spans="1:7">
      <c r="A1239" t="s">
        <v>469</v>
      </c>
    </row>
    <row r="1240" spans="1:7">
      <c r="A1240" t="s">
        <v>294</v>
      </c>
    </row>
    <row r="1241" spans="1:7">
      <c r="A1241" t="s">
        <v>291</v>
      </c>
    </row>
    <row r="1242" spans="1:7">
      <c r="A1242" t="s">
        <v>479</v>
      </c>
    </row>
    <row r="1243" spans="1:7">
      <c r="A1243" t="s">
        <v>400</v>
      </c>
    </row>
    <row r="1244" spans="1:7">
      <c r="A1244" t="s">
        <v>482</v>
      </c>
    </row>
    <row r="1245" spans="1:7">
      <c r="A1245" t="s">
        <v>1019</v>
      </c>
      <c r="C1245">
        <v>0</v>
      </c>
      <c r="G1245">
        <v>0</v>
      </c>
    </row>
    <row r="1246" spans="1:7">
      <c r="A1246" t="s">
        <v>297</v>
      </c>
    </row>
    <row r="1247" spans="1:7">
      <c r="A1247" t="s">
        <v>506</v>
      </c>
      <c r="C1247">
        <v>183</v>
      </c>
      <c r="D1247">
        <v>182</v>
      </c>
      <c r="E1247">
        <v>186</v>
      </c>
      <c r="G1247">
        <v>551</v>
      </c>
    </row>
    <row r="1248" spans="1:7">
      <c r="A1248" t="s">
        <v>305</v>
      </c>
      <c r="C1248">
        <v>506</v>
      </c>
      <c r="G1248">
        <v>506</v>
      </c>
    </row>
    <row r="1249" spans="1:7">
      <c r="A1249" t="s">
        <v>421</v>
      </c>
      <c r="D1249">
        <v>2265</v>
      </c>
      <c r="F1249">
        <v>2651</v>
      </c>
      <c r="G1249">
        <v>4916</v>
      </c>
    </row>
    <row r="1250" spans="1:7">
      <c r="A1250" t="s">
        <v>307</v>
      </c>
      <c r="C1250">
        <v>0</v>
      </c>
      <c r="D1250">
        <v>575</v>
      </c>
      <c r="G1250">
        <v>575</v>
      </c>
    </row>
    <row r="1251" spans="1:7">
      <c r="A1251" t="s">
        <v>171</v>
      </c>
      <c r="C1251">
        <v>1344</v>
      </c>
      <c r="G1251">
        <v>1344</v>
      </c>
    </row>
    <row r="1252" spans="1:7">
      <c r="A1252" t="s">
        <v>1161</v>
      </c>
      <c r="C1252">
        <v>660</v>
      </c>
      <c r="D1252">
        <v>754</v>
      </c>
      <c r="E1252">
        <v>520</v>
      </c>
      <c r="G1252">
        <v>1934</v>
      </c>
    </row>
    <row r="1253" spans="1:7">
      <c r="A1253" t="s">
        <v>1162</v>
      </c>
      <c r="C1253">
        <v>1382</v>
      </c>
      <c r="D1253">
        <v>993</v>
      </c>
      <c r="E1253">
        <v>1462</v>
      </c>
      <c r="G1253">
        <v>3837</v>
      </c>
    </row>
    <row r="1254" spans="1:7">
      <c r="A1254" t="s">
        <v>272</v>
      </c>
      <c r="C1254">
        <v>2719</v>
      </c>
      <c r="D1254">
        <v>408</v>
      </c>
      <c r="G1254">
        <v>3127</v>
      </c>
    </row>
    <row r="1255" spans="1:7">
      <c r="A1255" t="s">
        <v>423</v>
      </c>
      <c r="C1255">
        <v>1277</v>
      </c>
      <c r="G1255">
        <v>1277</v>
      </c>
    </row>
    <row r="1256" spans="1:7">
      <c r="A1256" t="s">
        <v>122</v>
      </c>
      <c r="D1256">
        <v>686</v>
      </c>
      <c r="E1256">
        <v>736</v>
      </c>
      <c r="G1256">
        <v>1422</v>
      </c>
    </row>
    <row r="1257" spans="1:7">
      <c r="A1257" t="s">
        <v>117</v>
      </c>
      <c r="D1257">
        <v>867</v>
      </c>
      <c r="E1257">
        <v>1539</v>
      </c>
      <c r="G1257">
        <v>2406</v>
      </c>
    </row>
    <row r="1258" spans="1:7">
      <c r="A1258" t="s">
        <v>279</v>
      </c>
      <c r="D1258">
        <v>2000</v>
      </c>
      <c r="E1258">
        <v>970</v>
      </c>
      <c r="G1258">
        <v>2970</v>
      </c>
    </row>
    <row r="1259" spans="1:7">
      <c r="A1259" t="s">
        <v>203</v>
      </c>
      <c r="E1259">
        <v>2031</v>
      </c>
      <c r="F1259">
        <v>845</v>
      </c>
      <c r="G1259">
        <v>2876</v>
      </c>
    </row>
    <row r="1260" spans="1:7">
      <c r="A1260" t="s">
        <v>1082</v>
      </c>
      <c r="C1260">
        <v>8071</v>
      </c>
      <c r="D1260">
        <v>8880</v>
      </c>
      <c r="E1260">
        <v>7444</v>
      </c>
      <c r="F1260">
        <v>3827</v>
      </c>
      <c r="G1260">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2155</v>
      </c>
      <c r="C1" s="1485"/>
      <c r="D1" s="554"/>
      <c r="E1" s="1485" t="s">
        <v>2156</v>
      </c>
      <c r="F1" s="1485"/>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v>36706</v>
      </c>
      <c r="E4" s="44" t="s">
        <v>2157</v>
      </c>
      <c r="F4" t="s">
        <v>1085</v>
      </c>
      <c r="W4" t="s">
        <v>2161</v>
      </c>
      <c r="X4">
        <v>22</v>
      </c>
    </row>
    <row r="5" spans="1:25">
      <c r="B5" t="s">
        <v>182</v>
      </c>
      <c r="C5">
        <v>17860</v>
      </c>
      <c r="E5" t="s">
        <v>1085</v>
      </c>
      <c r="F5">
        <v>85305</v>
      </c>
      <c r="K5" s="44" t="s">
        <v>2162</v>
      </c>
      <c r="P5" s="44" t="s">
        <v>2162</v>
      </c>
      <c r="W5" t="s">
        <v>2163</v>
      </c>
      <c r="X5">
        <v>13</v>
      </c>
    </row>
    <row r="6" spans="1:25">
      <c r="B6" t="s">
        <v>1112</v>
      </c>
      <c r="C6">
        <v>175361</v>
      </c>
      <c r="K6" s="44" t="s">
        <v>27</v>
      </c>
      <c r="L6" s="44" t="s">
        <v>2164</v>
      </c>
      <c r="M6" t="s">
        <v>1085</v>
      </c>
      <c r="P6" s="44" t="s">
        <v>2165</v>
      </c>
      <c r="Q6" s="44" t="s">
        <v>2164</v>
      </c>
      <c r="R6" t="s">
        <v>1085</v>
      </c>
    </row>
    <row r="7" spans="1:25">
      <c r="B7" t="s">
        <v>51</v>
      </c>
      <c r="C7">
        <v>446</v>
      </c>
      <c r="K7" t="s">
        <v>2158</v>
      </c>
      <c r="L7" t="s">
        <v>659</v>
      </c>
      <c r="M7">
        <v>1</v>
      </c>
      <c r="P7" t="s">
        <v>2166</v>
      </c>
      <c r="R7">
        <v>1</v>
      </c>
      <c r="X7" t="s">
        <v>2167</v>
      </c>
      <c r="Y7" t="s">
        <v>2168</v>
      </c>
    </row>
    <row r="8" spans="1:25">
      <c r="B8" t="s">
        <v>22</v>
      </c>
      <c r="C8">
        <v>0</v>
      </c>
      <c r="L8" t="s">
        <v>661</v>
      </c>
      <c r="M8">
        <v>1</v>
      </c>
      <c r="P8" t="s">
        <v>2169</v>
      </c>
      <c r="R8">
        <v>1</v>
      </c>
      <c r="V8" t="s">
        <v>2170</v>
      </c>
      <c r="W8" s="257">
        <v>203521</v>
      </c>
      <c r="X8" s="313">
        <f>X5/X4</f>
        <v>0.59090909090909094</v>
      </c>
      <c r="Y8" s="313">
        <f>W9/W8</f>
        <v>0.31446386367991508</v>
      </c>
    </row>
    <row r="9" spans="1:25">
      <c r="B9" t="s">
        <v>193</v>
      </c>
      <c r="C9">
        <v>10811</v>
      </c>
      <c r="L9" t="s">
        <v>2171</v>
      </c>
      <c r="M9">
        <v>1</v>
      </c>
      <c r="P9" t="s">
        <v>2172</v>
      </c>
      <c r="Q9" t="s">
        <v>2171</v>
      </c>
      <c r="R9">
        <v>1</v>
      </c>
      <c r="V9" t="s">
        <v>2173</v>
      </c>
      <c r="W9">
        <v>64000</v>
      </c>
    </row>
    <row r="10" spans="1:25">
      <c r="B10" t="s">
        <v>204</v>
      </c>
      <c r="C10">
        <v>30887</v>
      </c>
      <c r="L10" t="s">
        <v>853</v>
      </c>
      <c r="M10">
        <v>1</v>
      </c>
      <c r="Q10" t="s">
        <v>857</v>
      </c>
      <c r="R10">
        <v>1</v>
      </c>
    </row>
    <row r="11" spans="1:25">
      <c r="B11" t="s">
        <v>118</v>
      </c>
      <c r="C11">
        <v>6428</v>
      </c>
      <c r="L11" t="s">
        <v>857</v>
      </c>
      <c r="M11">
        <v>1</v>
      </c>
      <c r="Q11" t="s">
        <v>860</v>
      </c>
      <c r="R11">
        <v>1</v>
      </c>
    </row>
    <row r="12" spans="1:25">
      <c r="B12" t="s">
        <v>123</v>
      </c>
      <c r="C12">
        <v>7441</v>
      </c>
      <c r="L12" t="s">
        <v>860</v>
      </c>
      <c r="M12">
        <v>1</v>
      </c>
      <c r="Q12" t="s">
        <v>2174</v>
      </c>
      <c r="R12">
        <v>1</v>
      </c>
    </row>
    <row r="13" spans="1:25">
      <c r="B13" t="s">
        <v>153</v>
      </c>
      <c r="C13">
        <v>3</v>
      </c>
      <c r="L13" t="s">
        <v>2175</v>
      </c>
      <c r="M13">
        <v>1</v>
      </c>
      <c r="Q13" t="s">
        <v>1039</v>
      </c>
      <c r="R13">
        <v>1</v>
      </c>
    </row>
    <row r="14" spans="1:25">
      <c r="B14" t="s">
        <v>237</v>
      </c>
      <c r="C14">
        <v>8622</v>
      </c>
      <c r="L14" t="s">
        <v>874</v>
      </c>
      <c r="M14">
        <v>1</v>
      </c>
      <c r="P14" t="s">
        <v>2176</v>
      </c>
      <c r="R14">
        <v>5</v>
      </c>
    </row>
    <row r="15" spans="1:25">
      <c r="B15" t="s">
        <v>264</v>
      </c>
      <c r="C15">
        <v>6160</v>
      </c>
      <c r="L15" t="s">
        <v>2174</v>
      </c>
      <c r="M15">
        <v>1</v>
      </c>
      <c r="P15" t="s">
        <v>1112</v>
      </c>
      <c r="R15">
        <v>12</v>
      </c>
    </row>
    <row r="16" spans="1:25">
      <c r="B16" t="s">
        <v>60</v>
      </c>
      <c r="C16">
        <v>22933</v>
      </c>
      <c r="L16" t="s">
        <v>876</v>
      </c>
      <c r="M16">
        <v>1</v>
      </c>
      <c r="P16" t="s">
        <v>1082</v>
      </c>
      <c r="R16">
        <v>19</v>
      </c>
    </row>
    <row r="17" spans="2:13">
      <c r="B17" t="s">
        <v>1082</v>
      </c>
      <c r="C17">
        <v>323658</v>
      </c>
      <c r="L17" t="s">
        <v>880</v>
      </c>
      <c r="M17">
        <v>1</v>
      </c>
    </row>
    <row r="18" spans="2:13">
      <c r="L18" t="s">
        <v>882</v>
      </c>
      <c r="M18">
        <v>1</v>
      </c>
    </row>
    <row r="19" spans="2:13">
      <c r="L19" t="s">
        <v>886</v>
      </c>
      <c r="M19">
        <v>1</v>
      </c>
    </row>
    <row r="20" spans="2:13">
      <c r="L20" t="s">
        <v>890</v>
      </c>
      <c r="M20">
        <v>1</v>
      </c>
    </row>
    <row r="21" spans="2:13">
      <c r="L21" t="s">
        <v>2177</v>
      </c>
      <c r="M21">
        <v>1</v>
      </c>
    </row>
    <row r="22" spans="2:13">
      <c r="L22" t="s">
        <v>1039</v>
      </c>
      <c r="M22">
        <v>1</v>
      </c>
    </row>
    <row r="23" spans="2:13">
      <c r="L23" t="s">
        <v>922</v>
      </c>
      <c r="M23">
        <v>1</v>
      </c>
    </row>
    <row r="24" spans="2:13">
      <c r="L24" t="s">
        <v>951</v>
      </c>
      <c r="M24">
        <v>1</v>
      </c>
    </row>
    <row r="25" spans="2:13">
      <c r="L25" t="s">
        <v>149</v>
      </c>
      <c r="M25">
        <v>1</v>
      </c>
    </row>
    <row r="26" spans="2:13">
      <c r="K26" t="s">
        <v>2178</v>
      </c>
      <c r="M26">
        <v>19</v>
      </c>
    </row>
    <row r="27" spans="2:13">
      <c r="K27" t="s">
        <v>2179</v>
      </c>
      <c r="L27" t="s">
        <v>868</v>
      </c>
      <c r="M27">
        <v>1</v>
      </c>
    </row>
    <row r="28" spans="2:13">
      <c r="L28" t="s">
        <v>870</v>
      </c>
      <c r="M28">
        <v>1</v>
      </c>
    </row>
    <row r="29" spans="2:13">
      <c r="L29" t="s">
        <v>872</v>
      </c>
      <c r="M29">
        <v>1</v>
      </c>
    </row>
    <row r="30" spans="2:13">
      <c r="L30" t="s">
        <v>888</v>
      </c>
      <c r="M30">
        <v>1</v>
      </c>
    </row>
    <row r="31" spans="2:13">
      <c r="L31" t="s">
        <v>892</v>
      </c>
      <c r="M31">
        <v>1</v>
      </c>
    </row>
    <row r="32" spans="2:13">
      <c r="L32" t="s">
        <v>2180</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2181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2182</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C8E7173-0F5A-4CE4-9CFF-9D7749B8281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2026-01-26T12:38:39Z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