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30" documentId="8_{E14B221E-02E2-46A3-8CEC-C736815F2DD5}" xr6:coauthVersionLast="47" xr6:coauthVersionMax="47" xr10:uidLastSave="{CD67DE0D-EAD5-40F6-8315-04B3498F288C}"/>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7" r:id="rId12"/>
    <pivotCache cacheId="338" r:id="rId13"/>
    <pivotCache cacheId="339" r:id="rId14"/>
    <pivotCache cacheId="340" r:id="rId15"/>
    <pivotCache cacheId="3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<sst xmlns="http://schemas.openxmlformats.org/spreadsheetml/2006/main" count="15698" uniqueCount="2027">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</sst>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22"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346</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355</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311</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v>126643</v>
      </c>
      <c r="E4" s="44" t="s">
        <v>1971</v>
      </c>
      <c r="F4" t="s">
        <v>1012</v>
      </c>
      <c r="W4" t="s">
        <v>1975</v>
      </c>
      <c r="X4">
        <v>22</v>
      </c>
    </row>
    <row r="5" spans="1:25">
      <c r="B5" t="s">
        <v>71</v>
      </c>
      <c r="C5">
        <v>32354</v>
      </c>
      <c r="E5" t="s">
        <v>1012</v>
      </c>
      <c r="F5">
        <v>189039</v>
      </c>
      <c r="K5" s="44" t="s">
        <v>1976</v>
      </c>
      <c r="P5" s="44" t="s">
        <v>1976</v>
      </c>
      <c r="W5" t="s">
        <v>1977</v>
      </c>
      <c r="X5">
        <v>13</v>
      </c>
    </row>
    <row r="6" spans="1:25">
      <c r="B6" t="s">
        <v>97</v>
      </c>
      <c r="C6">
        <v>22387</v>
      </c>
      <c r="K6" s="44" t="s">
        <v>27</v>
      </c>
      <c r="L6" s="44" t="s">
        <v>1978</v>
      </c>
      <c r="M6" t="s">
        <v>1012</v>
      </c>
      <c r="P6" s="44" t="s">
        <v>1979</v>
      </c>
      <c r="Q6" s="44" t="s">
        <v>1978</v>
      </c>
      <c r="R6" t="s">
        <v>1012</v>
      </c>
    </row>
    <row r="7" spans="1:25">
      <c r="B7" t="s">
        <v>1039</v>
      </c>
      <c r="C7">
        <v>231059</v>
      </c>
      <c r="K7" t="s">
        <v>1972</v>
      </c>
      <c r="L7" t="s">
        <v>633</v>
      </c>
      <c r="M7">
        <v>1</v>
      </c>
      <c r="P7" t="s">
        <v>1980</v>
      </c>
      <c r="R7">
        <v>1</v>
      </c>
      <c r="X7" t="s">
        <v>1981</v>
      </c>
      <c r="Y7" t="s">
        <v>1982</v>
      </c>
    </row>
    <row r="8" spans="1:25">
      <c r="B8" t="s">
        <v>51</v>
      </c>
      <c r="C8">
        <v>446</v>
      </c>
      <c r="L8" t="s">
        <v>635</v>
      </c>
      <c r="M8">
        <v>1</v>
      </c>
      <c r="P8" t="s">
        <v>1983</v>
      </c>
      <c r="R8">
        <v>1</v>
      </c>
      <c r="V8" t="s">
        <v>1984</v>
      </c>
      <c r="W8" s="261">
        <v>203521</v>
      </c>
      <c r="X8" s="317">
        <f>X5/X4</f>
        <v>0.59090909090909094</v>
      </c>
      <c r="Y8" s="317">
        <f>W9/W8</f>
        <v>0.31446386367991508</v>
      </c>
    </row>
    <row r="9" spans="1:25">
      <c r="B9" t="s">
        <v>22</v>
      </c>
      <c r="C9">
        <v>0</v>
      </c>
      <c r="L9" t="s">
        <v>1985</v>
      </c>
      <c r="M9">
        <v>1</v>
      </c>
      <c r="P9" t="s">
        <v>1986</v>
      </c>
      <c r="Q9" t="s">
        <v>1985</v>
      </c>
      <c r="R9">
        <v>1</v>
      </c>
      <c r="V9" t="s">
        <v>1987</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1988</v>
      </c>
      <c r="R12">
        <v>1</v>
      </c>
    </row>
    <row r="13" spans="1:25">
      <c r="B13" t="s">
        <v>230</v>
      </c>
      <c r="C13">
        <v>8065</v>
      </c>
      <c r="L13" t="s">
        <v>1989</v>
      </c>
      <c r="M13">
        <v>1</v>
      </c>
      <c r="Q13" t="s">
        <v>962</v>
      </c>
      <c r="R13">
        <v>1</v>
      </c>
    </row>
    <row r="14" spans="1:25">
      <c r="B14" t="s">
        <v>133</v>
      </c>
      <c r="C14">
        <v>7655</v>
      </c>
      <c r="L14" t="s">
        <v>756</v>
      </c>
      <c r="M14">
        <v>1</v>
      </c>
      <c r="P14" t="s">
        <v>1990</v>
      </c>
      <c r="R14">
        <v>5</v>
      </c>
    </row>
    <row r="15" spans="1:25">
      <c r="B15" t="s">
        <v>196</v>
      </c>
      <c r="C15">
        <v>3</v>
      </c>
      <c r="L15" t="s">
        <v>1988</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1991</v>
      </c>
      <c r="M21">
        <v>1</v>
      </c>
    </row>
    <row r="22" spans="2:13">
      <c r="L22" t="s">
        <v>962</v>
      </c>
      <c r="M22">
        <v>1</v>
      </c>
    </row>
    <row r="23" spans="2:13">
      <c r="L23" t="s">
        <v>799</v>
      </c>
      <c r="M23">
        <v>1</v>
      </c>
    </row>
    <row r="24" spans="2:13">
      <c r="L24" t="s">
        <v>817</v>
      </c>
      <c r="M24">
        <v>1</v>
      </c>
    </row>
    <row r="25" spans="2:13">
      <c r="L25" t="s">
        <v>190</v>
      </c>
      <c r="M25">
        <v>1</v>
      </c>
    </row>
    <row r="26" spans="2:13">
      <c r="K26" t="s">
        <v>1992</v>
      </c>
      <c r="M26">
        <v>19</v>
      </c>
    </row>
    <row r="27" spans="2:13">
      <c r="K27" t="s">
        <v>1993</v>
      </c>
      <c r="L27" t="s">
        <v>750</v>
      </c>
      <c r="M27">
        <v>1</v>
      </c>
    </row>
    <row r="28" spans="2:13">
      <c r="L28" t="s">
        <v>752</v>
      </c>
      <c r="M28">
        <v>1</v>
      </c>
    </row>
    <row r="29" spans="2:13">
      <c r="L29" t="s">
        <v>754</v>
      </c>
      <c r="M29">
        <v>1</v>
      </c>
    </row>
    <row r="30" spans="2:13">
      <c r="L30" t="s">
        <v>770</v>
      </c>
      <c r="M30">
        <v>1</v>
      </c>
    </row>
    <row r="31" spans="2:13">
      <c r="L31" t="s">
        <v>772</v>
      </c>
      <c r="M31">
        <v>1</v>
      </c>
    </row>
    <row r="32" spans="2:13">
      <c r="L32" t="s">
        <v>1994</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1995</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AC1C59-98A4-437F-9BAB-B1A549928A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2025-12-11T12:17:05Z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