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41" documentId="8_{E14B221E-02E2-46A3-8CEC-C736815F2DD5}" xr6:coauthVersionLast="47" xr6:coauthVersionMax="47" xr10:uidLastSave="{241BFCDA-6080-4D9D-81DC-2DAE5C6C58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3206" r:id="rId12"/>
    <pivotCache cacheId="23210" r:id="rId13"/>
    <pivotCache cacheId="23215" r:id="rId14"/>
    <pivotCache cacheId="23222" r:id="rId15"/>
    <pivotCache cacheId="23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<sst xmlns="http://schemas.openxmlformats.org/spreadsheetml/2006/main" count="14298" uniqueCount="1760">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</sst>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S28" activePane="topRight" state="frozen"/>
      <selection pane="topRight" activeCell="W38" sqref="W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20">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84">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371</v>
      </c>
      <c r="B943" s="1127"/>
      <c r="C943" s="1127"/>
      <c r="D943" s="1127"/>
      <c r="E943" s="1127"/>
    </row>
    <row r="944" spans="1:7">
      <c r="A944" t="s">
        <v>241</v>
      </c>
      <c r="B944" s="1127">
        <v>96</v>
      </c>
      <c r="C944" s="1127"/>
      <c r="D944" s="1127"/>
      <c r="E944" s="1127">
        <v>96</v>
      </c>
    </row>
    <row r="945" spans="1:5">
      <c r="A945" t="s">
        <v>196</v>
      </c>
      <c r="B945" s="1127">
        <v>632</v>
      </c>
      <c r="C945" s="1127"/>
      <c r="D945" s="1127"/>
      <c r="E945" s="1127">
        <v>632</v>
      </c>
    </row>
    <row r="946" spans="1:5">
      <c r="A946" t="s">
        <v>207</v>
      </c>
      <c r="B946" s="1127">
        <v>558</v>
      </c>
      <c r="C946" s="1127"/>
      <c r="D946" s="1127"/>
      <c r="E946" s="1127">
        <v>558</v>
      </c>
    </row>
    <row r="947" spans="1:5">
      <c r="A947" t="s">
        <v>244</v>
      </c>
      <c r="B947" s="1127">
        <v>562</v>
      </c>
      <c r="C947" s="1127"/>
      <c r="D947" s="1127"/>
      <c r="E947" s="1127">
        <v>562</v>
      </c>
    </row>
    <row r="948" spans="1:5">
      <c r="A948" t="s">
        <v>210</v>
      </c>
      <c r="B948" s="1127">
        <v>1351</v>
      </c>
      <c r="C948" s="1127"/>
      <c r="D948" s="1127">
        <v>890</v>
      </c>
      <c r="E948" s="1127">
        <v>2241</v>
      </c>
    </row>
    <row r="949" spans="1:5">
      <c r="A949" t="s">
        <v>329</v>
      </c>
      <c r="B949" s="1127">
        <v>4084</v>
      </c>
      <c r="C949" s="1127"/>
      <c r="D949" s="1127"/>
      <c r="E949" s="1127">
        <v>4084</v>
      </c>
    </row>
    <row r="950" spans="1:5">
      <c r="A950" t="s">
        <v>929</v>
      </c>
      <c r="B950" s="1127">
        <v>748</v>
      </c>
      <c r="C950" s="1127">
        <v>1062</v>
      </c>
      <c r="D950" s="1127"/>
      <c r="E950" s="1127">
        <v>1810</v>
      </c>
    </row>
    <row r="951" spans="1:5">
      <c r="A951" t="s">
        <v>248</v>
      </c>
      <c r="B951" s="1127">
        <v>435</v>
      </c>
      <c r="C951" s="1127"/>
      <c r="D951" s="1127"/>
      <c r="E951" s="1127">
        <v>435</v>
      </c>
    </row>
    <row r="952" spans="1:5">
      <c r="A952" t="s">
        <v>142</v>
      </c>
      <c r="B952" s="1127"/>
      <c r="C952" s="1127"/>
      <c r="D952" s="1127"/>
      <c r="E952" s="1127"/>
    </row>
    <row r="953" spans="1:5">
      <c r="A953" t="s">
        <v>138</v>
      </c>
      <c r="B953" s="1127"/>
      <c r="C953" s="1127"/>
      <c r="D953" s="1127"/>
      <c r="E953" s="1127"/>
    </row>
    <row r="954" spans="1:5">
      <c r="A954" t="s">
        <v>225</v>
      </c>
      <c r="B954" s="1127"/>
      <c r="C954" s="1127"/>
      <c r="D954" s="1127"/>
      <c r="E954" s="1127"/>
    </row>
    <row r="955" spans="1:5">
      <c r="A955" t="s">
        <v>297</v>
      </c>
      <c r="B955" s="1127"/>
      <c r="C955" s="1127"/>
      <c r="D955" s="1127"/>
      <c r="E955" s="1127"/>
    </row>
    <row r="956" spans="1:5">
      <c r="A956" t="s">
        <v>325</v>
      </c>
      <c r="B956" s="1127"/>
      <c r="C956" s="1127"/>
      <c r="D956" s="1127"/>
      <c r="E956" s="1127"/>
    </row>
    <row r="957" spans="1:5">
      <c r="A957" t="s">
        <v>331</v>
      </c>
      <c r="B957" s="1127"/>
      <c r="C957" s="1127"/>
      <c r="D957" s="1127"/>
      <c r="E957" s="1127"/>
    </row>
    <row r="958" spans="1:5">
      <c r="A958" t="s">
        <v>930</v>
      </c>
      <c r="B958" s="1127"/>
      <c r="C958" s="1127"/>
      <c r="D958" s="1127"/>
      <c r="E958" s="1127"/>
    </row>
    <row r="959" spans="1:5">
      <c r="A959" t="s">
        <v>864</v>
      </c>
      <c r="B959" s="1127">
        <v>9164</v>
      </c>
      <c r="C959" s="1127">
        <v>1062</v>
      </c>
      <c r="D959" s="1127">
        <v>890</v>
      </c>
      <c r="E959" s="1127">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workbookViewId="0">
      <pane ySplit="1" topLeftCell="A1994" activePane="bottomLeft" state="frozen"/>
      <selection pane="bottomLeft" activeCell="I2012" sqref="I201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118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1702</v>
      </c>
      <c r="C1" s="1123"/>
      <c r="D1" s="576"/>
      <c r="E1" s="1123" t="s">
        <v>1703</v>
      </c>
      <c r="F1" s="1123"/>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s="1127">
        <v>196563</v>
      </c>
      <c r="E4" s="44" t="s">
        <v>1704</v>
      </c>
      <c r="F4" t="s">
        <v>867</v>
      </c>
      <c r="W4" t="s">
        <v>1708</v>
      </c>
      <c r="X4">
        <v>22</v>
      </c>
    </row>
    <row r="5" spans="1:25">
      <c r="B5" t="s">
        <v>60</v>
      </c>
      <c r="C5" s="1127">
        <v>55547</v>
      </c>
      <c r="E5" t="s">
        <v>867</v>
      </c>
      <c r="F5" s="1127">
        <v>274497</v>
      </c>
      <c r="K5" s="44" t="s">
        <v>1709</v>
      </c>
      <c r="P5" s="44" t="s">
        <v>1709</v>
      </c>
      <c r="W5" t="s">
        <v>1710</v>
      </c>
      <c r="X5">
        <v>13</v>
      </c>
    </row>
    <row r="6" spans="1:25">
      <c r="B6" t="s">
        <v>100</v>
      </c>
      <c r="C6" s="1127">
        <v>22387</v>
      </c>
      <c r="K6" s="44" t="s">
        <v>27</v>
      </c>
      <c r="L6" s="44" t="s">
        <v>1711</v>
      </c>
      <c r="M6" t="s">
        <v>867</v>
      </c>
      <c r="P6" s="44" t="s">
        <v>1712</v>
      </c>
      <c r="Q6" s="44" t="s">
        <v>1711</v>
      </c>
      <c r="R6" t="s">
        <v>867</v>
      </c>
    </row>
    <row r="7" spans="1:25">
      <c r="B7" t="s">
        <v>893</v>
      </c>
      <c r="C7" s="1127">
        <v>280982</v>
      </c>
      <c r="K7" t="s">
        <v>1705</v>
      </c>
      <c r="L7" t="s">
        <v>498</v>
      </c>
      <c r="M7" s="1127">
        <v>1</v>
      </c>
      <c r="P7" t="s">
        <v>1713</v>
      </c>
      <c r="R7" s="1127">
        <v>1</v>
      </c>
      <c r="X7" t="s">
        <v>1714</v>
      </c>
      <c r="Y7" t="s">
        <v>1715</v>
      </c>
    </row>
    <row r="8" spans="1:25">
      <c r="B8" t="s">
        <v>51</v>
      </c>
      <c r="C8" s="1127">
        <v>0</v>
      </c>
      <c r="L8" t="s">
        <v>500</v>
      </c>
      <c r="M8" s="1127">
        <v>1</v>
      </c>
      <c r="P8" t="s">
        <v>1716</v>
      </c>
      <c r="R8" s="1127">
        <v>1</v>
      </c>
      <c r="V8" t="s">
        <v>1717</v>
      </c>
      <c r="W8" s="261">
        <v>203521</v>
      </c>
      <c r="X8" s="317">
        <f>X5/X4</f>
        <v>0.59090909090909094</v>
      </c>
      <c r="Y8" s="317">
        <f>W9/W8</f>
        <v>0.31446386367991508</v>
      </c>
    </row>
    <row r="9" spans="1:25">
      <c r="B9" t="s">
        <v>22</v>
      </c>
      <c r="C9" s="1127">
        <v>0</v>
      </c>
      <c r="L9" t="s">
        <v>1718</v>
      </c>
      <c r="M9" s="1127">
        <v>1</v>
      </c>
      <c r="P9" t="s">
        <v>1719</v>
      </c>
      <c r="Q9" t="s">
        <v>1718</v>
      </c>
      <c r="R9" s="1127">
        <v>1</v>
      </c>
      <c r="V9" t="s">
        <v>1720</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1721</v>
      </c>
      <c r="R12" s="1127">
        <v>1</v>
      </c>
    </row>
    <row r="13" spans="1:25">
      <c r="B13" t="s">
        <v>215</v>
      </c>
      <c r="C13" s="1127">
        <v>16290</v>
      </c>
      <c r="L13" t="s">
        <v>1722</v>
      </c>
      <c r="M13" s="1127">
        <v>1</v>
      </c>
      <c r="Q13" t="s">
        <v>817</v>
      </c>
      <c r="R13" s="1127">
        <v>1</v>
      </c>
    </row>
    <row r="14" spans="1:25">
      <c r="B14" t="s">
        <v>208</v>
      </c>
      <c r="C14" s="1127">
        <v>5613</v>
      </c>
      <c r="L14" t="s">
        <v>617</v>
      </c>
      <c r="M14" s="1127">
        <v>1</v>
      </c>
      <c r="P14" t="s">
        <v>1723</v>
      </c>
      <c r="R14" s="1127">
        <v>5</v>
      </c>
    </row>
    <row r="15" spans="1:25">
      <c r="B15" t="s">
        <v>245</v>
      </c>
      <c r="C15" s="1127">
        <v>3997</v>
      </c>
      <c r="L15" t="s">
        <v>1721</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1724</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1725</v>
      </c>
      <c r="M26" s="1127">
        <v>19</v>
      </c>
    </row>
    <row r="27" spans="2:13">
      <c r="K27" t="s">
        <v>1726</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1727</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1728</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1729</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2C3C19-6AD9-4A6A-B378-7A2C69CA79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2025-11-12T21:30:01Z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