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54" documentId="8_{E14B221E-02E2-46A3-8CEC-C736815F2DD5}" xr6:coauthVersionLast="47" xr6:coauthVersionMax="47" xr10:uidLastSave="{5874E559-9D4F-4B47-AD1E-FB0B7135D3C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708" r:id="rId12"/>
    <pivotCache cacheId="4712" r:id="rId13"/>
    <pivotCache cacheId="4717" r:id="rId14"/>
    <pivotCache cacheId="4724" r:id="rId15"/>
    <pivotCache cacheId="4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<sst xmlns="http://schemas.openxmlformats.org/spreadsheetml/2006/main" count="14724" uniqueCount="1805">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</sst>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xf numFmtId="3" fontId="0" fillId="18" borderId="9" xfId="0" applyNumberFormat="1" applyFill="1" applyBorder="1" applyAlignment="1">
      <alignment horizontal="center"/>
    </xf>
    <xf numFmtId="0" fontId="7" fillId="0" borderId="2" xfId="0" applyFont="1" applyFill="1" applyBorder="1" applyAlignmen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032404"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37962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50087349537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55"/>
    <x v="1"/>
    <x v="202"/>
    <n v="195"/>
    <m/>
    <s v="1 HH / 2 Ground Rods"/>
  </r>
  <r>
    <x v="174"/>
    <x v="27"/>
    <x v="202"/>
    <m/>
    <m/>
    <s v="1 HH  "/>
  </r>
  <r>
    <x v="251"/>
    <x v="35"/>
    <x v="202"/>
    <n v="272"/>
    <m/>
    <m/>
  </r>
  <r>
    <x v="256"/>
    <x v="45"/>
    <x v="203"/>
    <m/>
    <m/>
    <s v="1 HH / 1 FDH / 1 Swing Arm / 1 Ground Rod"/>
  </r>
  <r>
    <x v="269"/>
    <x v="45"/>
    <x v="202"/>
    <n v="2139"/>
    <m/>
    <m/>
  </r>
  <r>
    <x v="257"/>
    <x v="5"/>
    <x v="202"/>
    <m/>
    <m/>
    <m/>
  </r>
  <r>
    <x v="260"/>
    <x v="5"/>
    <x v="202"/>
    <m/>
    <m/>
    <m/>
  </r>
  <r>
    <x v="258"/>
    <x v="5"/>
    <x v="202"/>
    <m/>
    <m/>
    <m/>
  </r>
  <r>
    <x v="271"/>
    <x v="5"/>
    <x v="202"/>
    <m/>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4"/>
    </i>
    <i>
      <x v="265"/>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70" activePane="topRight" state="frozen"/>
      <selection pane="topRight" activeCell="W76" sqref="W7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83">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83">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81">
        <v>737</v>
      </c>
      <c r="X134" s="486">
        <f t="shared" si="9"/>
        <v>3403</v>
      </c>
      <c r="Y134" s="903">
        <f t="shared" si="10"/>
        <v>0.17801932367149759</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v>272</v>
      </c>
      <c r="F976" s="1180"/>
      <c r="G976" s="1180">
        <v>2189</v>
      </c>
    </row>
    <row r="977" spans="1:7">
      <c r="A977" t="s">
        <v>359</v>
      </c>
      <c r="B977" s="1180">
        <v>956</v>
      </c>
      <c r="C977" s="1180"/>
      <c r="D977" s="1180"/>
      <c r="E977" s="1180"/>
      <c r="F977" s="1180"/>
      <c r="G977" s="1180">
        <v>956</v>
      </c>
    </row>
    <row r="978" spans="1:7">
      <c r="A978" t="s">
        <v>218</v>
      </c>
      <c r="B978" s="1180"/>
      <c r="C978" s="1180"/>
      <c r="D978" s="1180"/>
      <c r="E978" s="1180">
        <v>195</v>
      </c>
      <c r="F978" s="1180"/>
      <c r="G978" s="1180">
        <v>195</v>
      </c>
    </row>
    <row r="979" spans="1:7">
      <c r="A979" t="s">
        <v>354</v>
      </c>
      <c r="B979" s="1180">
        <v>1449</v>
      </c>
      <c r="C979" s="1180"/>
      <c r="D979" s="1180"/>
      <c r="E979" s="1180"/>
      <c r="F979" s="1180"/>
      <c r="G979" s="1180">
        <v>1449</v>
      </c>
    </row>
    <row r="980" spans="1:7">
      <c r="A980" t="s">
        <v>415</v>
      </c>
      <c r="B980" s="1180">
        <v>1662</v>
      </c>
      <c r="C980" s="1180">
        <v>2684</v>
      </c>
      <c r="D980" s="1180"/>
      <c r="E980" s="1180"/>
      <c r="F980" s="1180"/>
      <c r="G980" s="1180">
        <v>4346</v>
      </c>
    </row>
    <row r="981" spans="1:7">
      <c r="A981" t="s">
        <v>301</v>
      </c>
      <c r="B981" s="1180">
        <v>5466</v>
      </c>
      <c r="C981" s="1180"/>
      <c r="D981" s="1180"/>
      <c r="E981" s="1180"/>
      <c r="F981" s="1180"/>
      <c r="G981" s="1180">
        <v>5466</v>
      </c>
    </row>
    <row r="982" spans="1:7">
      <c r="A982" t="s">
        <v>419</v>
      </c>
      <c r="B982" s="1180"/>
      <c r="C982" s="1180"/>
      <c r="D982" s="1180"/>
      <c r="E982" s="1180"/>
      <c r="F982" s="1180"/>
      <c r="G982" s="1180"/>
    </row>
    <row r="983" spans="1:7">
      <c r="A983" t="s">
        <v>943</v>
      </c>
      <c r="B983" s="1180">
        <v>907</v>
      </c>
      <c r="C983" s="1180"/>
      <c r="D983" s="1180"/>
      <c r="E983" s="1180"/>
      <c r="F983" s="1180"/>
      <c r="G983" s="1180">
        <v>907</v>
      </c>
    </row>
    <row r="984" spans="1:7">
      <c r="A984" t="s">
        <v>303</v>
      </c>
      <c r="B984" s="1180">
        <v>1498</v>
      </c>
      <c r="C984" s="1180">
        <v>3613</v>
      </c>
      <c r="D984" s="1180"/>
      <c r="E984" s="1180"/>
      <c r="F984" s="1180"/>
      <c r="G984" s="1180">
        <v>5111</v>
      </c>
    </row>
    <row r="985" spans="1:7">
      <c r="A985" t="s">
        <v>944</v>
      </c>
      <c r="B985" s="1180">
        <v>1505</v>
      </c>
      <c r="C985" s="1180">
        <v>1518</v>
      </c>
      <c r="D985" s="1180">
        <v>1968</v>
      </c>
      <c r="E985" s="1180">
        <v>345</v>
      </c>
      <c r="F985" s="1180"/>
      <c r="G985" s="1180">
        <v>5336</v>
      </c>
    </row>
    <row r="986" spans="1:7">
      <c r="A986" t="s">
        <v>156</v>
      </c>
      <c r="B986" s="1180">
        <v>1471</v>
      </c>
      <c r="C986" s="1180"/>
      <c r="D986" s="1180"/>
      <c r="E986" s="1180"/>
      <c r="F986" s="1180"/>
      <c r="G986" s="1180">
        <v>1471</v>
      </c>
    </row>
    <row r="987" spans="1:7">
      <c r="A987" t="s">
        <v>151</v>
      </c>
      <c r="B987" s="1180">
        <v>762</v>
      </c>
      <c r="C987" s="1180">
        <v>1530</v>
      </c>
      <c r="D987" s="1180">
        <v>954</v>
      </c>
      <c r="E987" s="1180">
        <v>1603</v>
      </c>
      <c r="F987" s="1180"/>
      <c r="G987" s="1180">
        <v>4849</v>
      </c>
    </row>
    <row r="988" spans="1:7">
      <c r="A988" t="s">
        <v>154</v>
      </c>
      <c r="B988" s="1180"/>
      <c r="C988" s="1180">
        <v>1679</v>
      </c>
      <c r="D988" s="1180">
        <v>1429</v>
      </c>
      <c r="E988" s="1180"/>
      <c r="F988" s="1180"/>
      <c r="G988" s="1180">
        <v>3108</v>
      </c>
    </row>
    <row r="989" spans="1:7">
      <c r="A989" t="s">
        <v>284</v>
      </c>
      <c r="B989" s="1180"/>
      <c r="C989" s="1180">
        <v>2351</v>
      </c>
      <c r="D989" s="1180">
        <v>1835</v>
      </c>
      <c r="E989" s="1180">
        <v>2139</v>
      </c>
      <c r="F989" s="1180"/>
      <c r="G989" s="1180">
        <v>6325</v>
      </c>
    </row>
    <row r="990" spans="1:7">
      <c r="A990" t="s">
        <v>945</v>
      </c>
      <c r="B990" s="1180"/>
      <c r="C990" s="1180">
        <v>12</v>
      </c>
      <c r="D990" s="1180"/>
      <c r="E990" s="1180"/>
      <c r="F990" s="1180"/>
      <c r="G990" s="1180">
        <v>12</v>
      </c>
    </row>
    <row r="991" spans="1:7">
      <c r="A991" t="s">
        <v>946</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307</v>
      </c>
      <c r="B996" s="1180"/>
      <c r="C996" s="1180"/>
      <c r="D996" s="1180"/>
      <c r="E996" s="1180"/>
      <c r="F996" s="1180"/>
      <c r="G996" s="1180"/>
    </row>
    <row r="997" spans="1:7">
      <c r="A997" t="s">
        <v>349</v>
      </c>
      <c r="B997" s="1180"/>
      <c r="C997" s="1180"/>
      <c r="D997" s="1180"/>
      <c r="E997" s="1180"/>
      <c r="F997" s="1180"/>
      <c r="G997" s="1180"/>
    </row>
    <row r="998" spans="1:7">
      <c r="A998" t="s">
        <v>876</v>
      </c>
      <c r="B998" s="1180">
        <v>16669</v>
      </c>
      <c r="C998" s="1180">
        <v>15577</v>
      </c>
      <c r="D998" s="1180">
        <v>7386</v>
      </c>
      <c r="E998" s="1180">
        <v>4724</v>
      </c>
      <c r="F998" s="1180"/>
      <c r="G998" s="1180">
        <v>44356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workbookViewId="0">
      <pane ySplit="1" topLeftCell="A2078" activePane="bottomLeft" state="frozen"/>
      <selection pane="bottomLeft" activeCell="A2092" sqref="A2092:XFD209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952</v>
      </c>
      <c r="G22" t="str">
        <f t="shared" si="0"/>
        <v>February</v>
      </c>
    </row>
    <row r="23" spans="1:7">
      <c r="A23" s="118" t="s">
        <v>540</v>
      </c>
      <c r="B23" s="249" t="s">
        <v>541</v>
      </c>
      <c r="C23" s="154">
        <v>45706</v>
      </c>
      <c r="D23" s="119">
        <v>1017</v>
      </c>
      <c r="E23" s="119"/>
      <c r="F23" s="119"/>
      <c r="G23" t="str">
        <f t="shared" si="0"/>
        <v>February</v>
      </c>
    </row>
    <row r="24" spans="1:7">
      <c r="A24" s="118" t="s">
        <v>666</v>
      </c>
      <c r="B24" s="159" t="s">
        <v>951</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951</v>
      </c>
      <c r="C31" s="154">
        <v>45707</v>
      </c>
      <c r="D31" s="118">
        <v>696</v>
      </c>
      <c r="E31" s="118"/>
      <c r="F31" s="119"/>
      <c r="G31" t="str">
        <f t="shared" si="0"/>
        <v>February</v>
      </c>
    </row>
    <row r="32" spans="1:7">
      <c r="A32" s="118" t="s">
        <v>618</v>
      </c>
      <c r="B32" s="247" t="s">
        <v>384</v>
      </c>
      <c r="C32" s="154">
        <v>45707</v>
      </c>
      <c r="D32" s="118">
        <v>1978</v>
      </c>
      <c r="E32" s="118"/>
      <c r="F32" s="119" t="s">
        <v>955</v>
      </c>
      <c r="G32" t="str">
        <f t="shared" si="0"/>
        <v>February</v>
      </c>
    </row>
    <row r="33" spans="1:7">
      <c r="A33" s="118" t="s">
        <v>662</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958</v>
      </c>
      <c r="G37" t="str">
        <f t="shared" si="0"/>
        <v>February</v>
      </c>
    </row>
    <row r="38" spans="1:7">
      <c r="A38" s="118" t="s">
        <v>666</v>
      </c>
      <c r="B38" s="159" t="s">
        <v>951</v>
      </c>
      <c r="C38" s="154">
        <v>45708</v>
      </c>
      <c r="D38" s="118">
        <v>227</v>
      </c>
      <c r="E38" s="118"/>
      <c r="F38" s="119"/>
      <c r="G38" t="str">
        <f t="shared" si="0"/>
        <v>February</v>
      </c>
    </row>
    <row r="39" spans="1:7">
      <c r="A39" s="118" t="s">
        <v>618</v>
      </c>
      <c r="B39" s="247" t="s">
        <v>384</v>
      </c>
      <c r="C39" s="154">
        <v>45708</v>
      </c>
      <c r="D39" s="118">
        <v>851</v>
      </c>
      <c r="E39" s="118"/>
      <c r="F39" s="119" t="s">
        <v>959</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536</v>
      </c>
      <c r="B46" s="246" t="s">
        <v>885</v>
      </c>
      <c r="C46" s="154">
        <v>45709</v>
      </c>
      <c r="D46" s="118">
        <v>21</v>
      </c>
      <c r="E46" s="118"/>
      <c r="F46" s="119" t="s">
        <v>958</v>
      </c>
      <c r="G46" t="str">
        <f t="shared" si="0"/>
        <v>February</v>
      </c>
    </row>
    <row r="47" spans="1:7">
      <c r="A47" s="118" t="s">
        <v>540</v>
      </c>
      <c r="B47" s="249" t="s">
        <v>541</v>
      </c>
      <c r="C47" s="154">
        <v>45709</v>
      </c>
      <c r="D47" s="118">
        <v>19</v>
      </c>
      <c r="E47" s="118"/>
      <c r="F47" s="119" t="s">
        <v>962</v>
      </c>
      <c r="G47" t="str">
        <f t="shared" si="0"/>
        <v>February</v>
      </c>
    </row>
    <row r="48" spans="1:7" ht="15.75">
      <c r="A48" s="118" t="s">
        <v>602</v>
      </c>
      <c r="B48" s="246" t="s">
        <v>152</v>
      </c>
      <c r="C48" s="154">
        <v>45709</v>
      </c>
      <c r="D48" s="118">
        <v>823</v>
      </c>
      <c r="E48" s="118"/>
      <c r="F48" s="119" t="s">
        <v>958</v>
      </c>
      <c r="G48" t="str">
        <f t="shared" si="0"/>
        <v>February</v>
      </c>
    </row>
    <row r="49" spans="1:7">
      <c r="A49" s="118" t="s">
        <v>599</v>
      </c>
      <c r="B49" s="247" t="s">
        <v>130</v>
      </c>
      <c r="C49" s="154">
        <v>45709</v>
      </c>
      <c r="D49" s="118">
        <v>792</v>
      </c>
      <c r="E49" s="118"/>
      <c r="F49" s="119" t="s">
        <v>958</v>
      </c>
      <c r="G49" t="str">
        <f t="shared" si="0"/>
        <v>February</v>
      </c>
    </row>
    <row r="50" spans="1:7">
      <c r="A50" s="118" t="s">
        <v>666</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958</v>
      </c>
      <c r="G53" t="str">
        <f t="shared" si="0"/>
        <v>February</v>
      </c>
    </row>
    <row r="54" spans="1:7">
      <c r="A54" s="118" t="s">
        <v>598</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963</v>
      </c>
      <c r="G57" t="str">
        <f t="shared" si="0"/>
        <v>February</v>
      </c>
    </row>
    <row r="58" spans="1:7">
      <c r="A58" s="118" t="s">
        <v>658</v>
      </c>
      <c r="B58" s="247" t="s">
        <v>659</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965</v>
      </c>
      <c r="C68" s="154">
        <v>45713</v>
      </c>
      <c r="D68" s="118">
        <v>236</v>
      </c>
      <c r="E68" s="118"/>
      <c r="F68" s="119" t="s">
        <v>966</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967</v>
      </c>
      <c r="G72" t="str">
        <f t="shared" si="1"/>
        <v>February</v>
      </c>
    </row>
    <row r="73" spans="1:7">
      <c r="A73" s="118" t="s">
        <v>666</v>
      </c>
      <c r="B73" s="159" t="s">
        <v>951</v>
      </c>
      <c r="C73" s="154">
        <v>45713</v>
      </c>
      <c r="D73" s="118">
        <v>800</v>
      </c>
      <c r="E73" s="118"/>
      <c r="F73" s="119" t="s">
        <v>957</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965</v>
      </c>
      <c r="C93" s="154">
        <v>45714</v>
      </c>
      <c r="D93" s="118"/>
      <c r="E93" s="118"/>
      <c r="F93" s="119" t="s">
        <v>970</v>
      </c>
      <c r="G93" t="str">
        <f t="shared" si="1"/>
        <v>February</v>
      </c>
    </row>
    <row r="94" spans="1:7" ht="15.75">
      <c r="A94" s="118" t="s">
        <v>543</v>
      </c>
      <c r="B94" s="246" t="s">
        <v>152</v>
      </c>
      <c r="C94" s="154">
        <v>45714</v>
      </c>
      <c r="D94" s="118"/>
      <c r="E94" s="118"/>
      <c r="F94" s="119" t="s">
        <v>970</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971</v>
      </c>
      <c r="G97" t="str">
        <f t="shared" si="1"/>
        <v>February</v>
      </c>
    </row>
    <row r="98" spans="1:7">
      <c r="A98" s="118" t="s">
        <v>666</v>
      </c>
      <c r="B98" s="159" t="s">
        <v>951</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653</v>
      </c>
      <c r="B112" s="142" t="s">
        <v>484</v>
      </c>
      <c r="C112" s="154">
        <v>45714</v>
      </c>
      <c r="D112" s="118">
        <v>399</v>
      </c>
      <c r="E112" s="118"/>
      <c r="F112" s="119" t="s">
        <v>973</v>
      </c>
      <c r="G112" t="str">
        <f t="shared" si="1"/>
        <v>February</v>
      </c>
    </row>
    <row r="113" spans="1:7">
      <c r="A113" s="118" t="s">
        <v>680</v>
      </c>
      <c r="B113" s="214" t="s">
        <v>616</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649</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976</v>
      </c>
      <c r="G122" t="str">
        <f t="shared" si="1"/>
        <v>February</v>
      </c>
    </row>
    <row r="123" spans="1:7" ht="15.75">
      <c r="A123" s="118" t="s">
        <v>538</v>
      </c>
      <c r="B123" s="246" t="s">
        <v>152</v>
      </c>
      <c r="C123" s="123">
        <v>45715</v>
      </c>
      <c r="D123" s="119"/>
      <c r="E123" s="119"/>
      <c r="F123" s="135" t="s">
        <v>977</v>
      </c>
      <c r="G123" t="str">
        <f t="shared" si="1"/>
        <v>February</v>
      </c>
    </row>
    <row r="124" spans="1:7">
      <c r="A124" s="118" t="s">
        <v>540</v>
      </c>
      <c r="B124" s="248" t="s">
        <v>965</v>
      </c>
      <c r="C124" s="123">
        <v>45715</v>
      </c>
      <c r="D124" s="119"/>
      <c r="E124" s="119"/>
      <c r="F124" s="135" t="s">
        <v>976</v>
      </c>
      <c r="G124" t="str">
        <f t="shared" si="1"/>
        <v>February</v>
      </c>
    </row>
    <row r="125" spans="1:7" ht="15.75">
      <c r="A125" s="118" t="s">
        <v>543</v>
      </c>
      <c r="B125" s="246" t="s">
        <v>152</v>
      </c>
      <c r="C125" s="123">
        <v>45715</v>
      </c>
      <c r="D125" s="119"/>
      <c r="E125" s="119"/>
      <c r="F125" s="135" t="s">
        <v>976</v>
      </c>
      <c r="G125" t="str">
        <f t="shared" si="1"/>
        <v>February</v>
      </c>
    </row>
    <row r="126" spans="1:7">
      <c r="A126" s="118" t="s">
        <v>568</v>
      </c>
      <c r="B126" s="248" t="s">
        <v>474</v>
      </c>
      <c r="C126" s="123">
        <v>45715</v>
      </c>
      <c r="D126" s="119"/>
      <c r="E126" s="119"/>
      <c r="F126" s="135" t="s">
        <v>977</v>
      </c>
      <c r="G126" t="str">
        <f t="shared" si="1"/>
        <v>February</v>
      </c>
    </row>
    <row r="127" spans="1:7" ht="15.75">
      <c r="A127" s="118" t="s">
        <v>602</v>
      </c>
      <c r="B127" s="246" t="s">
        <v>152</v>
      </c>
      <c r="C127" s="123">
        <v>45715</v>
      </c>
      <c r="D127" s="119">
        <v>1422</v>
      </c>
      <c r="E127" s="119"/>
      <c r="F127" s="135" t="s">
        <v>966</v>
      </c>
      <c r="G127" t="str">
        <f t="shared" si="1"/>
        <v>February</v>
      </c>
    </row>
    <row r="128" spans="1:7">
      <c r="A128" s="118" t="s">
        <v>599</v>
      </c>
      <c r="B128" s="247" t="s">
        <v>130</v>
      </c>
      <c r="C128" s="123">
        <v>45715</v>
      </c>
      <c r="D128" s="119">
        <v>670</v>
      </c>
      <c r="E128" s="119"/>
      <c r="F128" s="135" t="s">
        <v>950</v>
      </c>
      <c r="G128" t="str">
        <f t="shared" si="1"/>
        <v>February</v>
      </c>
    </row>
    <row r="129" spans="1:7">
      <c r="A129" s="118" t="s">
        <v>666</v>
      </c>
      <c r="B129" s="159" t="s">
        <v>951</v>
      </c>
      <c r="C129" s="123">
        <v>45715</v>
      </c>
      <c r="D129" s="119">
        <v>529</v>
      </c>
      <c r="E129" s="119"/>
      <c r="F129" s="135"/>
      <c r="G129" t="str">
        <f t="shared" si="1"/>
        <v>February</v>
      </c>
    </row>
    <row r="130" spans="1:7">
      <c r="A130" s="118" t="s">
        <v>618</v>
      </c>
      <c r="B130" s="248" t="s">
        <v>384</v>
      </c>
      <c r="C130" s="123">
        <v>45715</v>
      </c>
      <c r="D130" s="119"/>
      <c r="E130" s="119"/>
      <c r="F130" s="135" t="s">
        <v>977</v>
      </c>
      <c r="G130" t="str">
        <f t="shared" si="1"/>
        <v>February</v>
      </c>
    </row>
    <row r="131" spans="1:7" ht="15.75">
      <c r="A131" s="118" t="s">
        <v>557</v>
      </c>
      <c r="B131" s="246" t="s">
        <v>152</v>
      </c>
      <c r="C131" s="123">
        <v>45715</v>
      </c>
      <c r="D131" s="119"/>
      <c r="E131" s="119"/>
      <c r="F131" s="135" t="s">
        <v>977</v>
      </c>
      <c r="G131" t="str">
        <f t="shared" ref="G131:G194" si="2">TEXT(C131,"mmmm")</f>
        <v>February</v>
      </c>
    </row>
    <row r="132" spans="1:7">
      <c r="A132" s="118" t="s">
        <v>662</v>
      </c>
      <c r="B132" s="248" t="s">
        <v>474</v>
      </c>
      <c r="C132" s="123">
        <v>45715</v>
      </c>
      <c r="D132" s="119">
        <v>513</v>
      </c>
      <c r="E132" s="119"/>
      <c r="F132" s="135" t="s">
        <v>950</v>
      </c>
      <c r="G132" t="str">
        <f t="shared" si="2"/>
        <v>February</v>
      </c>
    </row>
    <row r="133" spans="1:7">
      <c r="A133" s="118" t="s">
        <v>598</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521</v>
      </c>
      <c r="B135" s="214" t="s">
        <v>474</v>
      </c>
      <c r="C135" s="123">
        <v>45715</v>
      </c>
      <c r="D135" s="119"/>
      <c r="E135" s="119"/>
      <c r="F135" s="135" t="s">
        <v>977</v>
      </c>
      <c r="G135" t="str">
        <f t="shared" si="2"/>
        <v>February</v>
      </c>
    </row>
    <row r="136" spans="1:7" ht="15.75">
      <c r="A136" s="118" t="s">
        <v>595</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658</v>
      </c>
      <c r="B138" s="214" t="s">
        <v>659</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653</v>
      </c>
      <c r="B143" s="142" t="s">
        <v>484</v>
      </c>
      <c r="C143" s="123">
        <v>45715</v>
      </c>
      <c r="D143" s="119">
        <v>335</v>
      </c>
      <c r="E143" s="119"/>
      <c r="F143" s="135" t="s">
        <v>957</v>
      </c>
      <c r="G143" t="str">
        <f t="shared" si="2"/>
        <v>February</v>
      </c>
    </row>
    <row r="144" spans="1:7">
      <c r="A144" s="118" t="s">
        <v>680</v>
      </c>
      <c r="B144" s="214" t="s">
        <v>616</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608</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649</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691</v>
      </c>
      <c r="B150" s="246" t="s">
        <v>885</v>
      </c>
      <c r="C150" s="123">
        <v>45716</v>
      </c>
      <c r="D150" s="124" t="s">
        <v>977</v>
      </c>
      <c r="E150" s="124"/>
      <c r="F150" s="119"/>
      <c r="G150" t="str">
        <f t="shared" si="2"/>
        <v>February</v>
      </c>
    </row>
    <row r="151" spans="1:7">
      <c r="A151" s="118" t="s">
        <v>578</v>
      </c>
      <c r="B151" s="248" t="s">
        <v>534</v>
      </c>
      <c r="C151" s="123">
        <v>45716</v>
      </c>
      <c r="D151" s="124" t="s">
        <v>977</v>
      </c>
      <c r="E151" s="124"/>
      <c r="F151" s="119"/>
      <c r="G151" t="str">
        <f t="shared" si="2"/>
        <v>February</v>
      </c>
    </row>
    <row r="152" spans="1:7">
      <c r="A152" s="118" t="s">
        <v>533</v>
      </c>
      <c r="B152" s="248" t="s">
        <v>534</v>
      </c>
      <c r="C152" s="123">
        <v>45716</v>
      </c>
      <c r="D152" s="124" t="s">
        <v>977</v>
      </c>
      <c r="E152" s="124"/>
      <c r="F152" s="119"/>
      <c r="G152" t="str">
        <f t="shared" si="2"/>
        <v>February</v>
      </c>
    </row>
    <row r="153" spans="1:7" ht="15.75">
      <c r="A153" s="118" t="s">
        <v>536</v>
      </c>
      <c r="B153" s="246" t="s">
        <v>885</v>
      </c>
      <c r="C153" s="123">
        <v>45716</v>
      </c>
      <c r="D153" s="124">
        <v>3</v>
      </c>
      <c r="E153" s="124"/>
      <c r="F153" s="110" t="s">
        <v>979</v>
      </c>
      <c r="G153" t="str">
        <f t="shared" si="2"/>
        <v>February</v>
      </c>
    </row>
    <row r="154" spans="1:7" ht="15.75">
      <c r="A154" s="118" t="s">
        <v>538</v>
      </c>
      <c r="B154" s="246" t="s">
        <v>152</v>
      </c>
      <c r="C154" s="123">
        <v>45716</v>
      </c>
      <c r="D154" s="124" t="s">
        <v>977</v>
      </c>
      <c r="E154" s="124"/>
      <c r="F154" s="119"/>
      <c r="G154" t="str">
        <f t="shared" si="2"/>
        <v>February</v>
      </c>
    </row>
    <row r="155" spans="1:7">
      <c r="A155" s="118" t="s">
        <v>540</v>
      </c>
      <c r="B155" s="248" t="s">
        <v>965</v>
      </c>
      <c r="C155" s="123">
        <v>45716</v>
      </c>
      <c r="D155" s="124" t="s">
        <v>977</v>
      </c>
      <c r="E155" s="124"/>
      <c r="F155" s="119"/>
      <c r="G155" t="str">
        <f t="shared" si="2"/>
        <v>February</v>
      </c>
    </row>
    <row r="156" spans="1:7" ht="15.75">
      <c r="A156" s="118" t="s">
        <v>543</v>
      </c>
      <c r="B156" s="246" t="s">
        <v>152</v>
      </c>
      <c r="C156" s="123">
        <v>45716</v>
      </c>
      <c r="D156" s="124" t="s">
        <v>977</v>
      </c>
      <c r="E156" s="124"/>
      <c r="F156" s="119"/>
      <c r="G156" t="str">
        <f t="shared" si="2"/>
        <v>February</v>
      </c>
    </row>
    <row r="157" spans="1:7">
      <c r="A157" s="118" t="s">
        <v>568</v>
      </c>
      <c r="B157" s="248" t="s">
        <v>474</v>
      </c>
      <c r="C157" s="123">
        <v>45716</v>
      </c>
      <c r="D157" s="124" t="s">
        <v>977</v>
      </c>
      <c r="E157" s="124"/>
      <c r="F157" s="119"/>
      <c r="G157" t="str">
        <f t="shared" si="2"/>
        <v>February</v>
      </c>
    </row>
    <row r="158" spans="1:7" ht="15.75">
      <c r="A158" s="118" t="s">
        <v>602</v>
      </c>
      <c r="B158" s="246" t="s">
        <v>152</v>
      </c>
      <c r="C158" s="123">
        <v>45716</v>
      </c>
      <c r="D158" s="124">
        <v>946</v>
      </c>
      <c r="E158" s="124"/>
      <c r="F158" s="110" t="s">
        <v>958</v>
      </c>
      <c r="G158" t="str">
        <f t="shared" si="2"/>
        <v>February</v>
      </c>
    </row>
    <row r="159" spans="1:7">
      <c r="A159" s="118" t="s">
        <v>599</v>
      </c>
      <c r="B159" s="247" t="s">
        <v>130</v>
      </c>
      <c r="C159" s="123">
        <v>45716</v>
      </c>
      <c r="D159" s="124" t="s">
        <v>977</v>
      </c>
      <c r="E159" s="124"/>
      <c r="F159" s="119"/>
      <c r="G159" t="str">
        <f t="shared" si="2"/>
        <v>February</v>
      </c>
    </row>
    <row r="160" spans="1:7">
      <c r="A160" s="118" t="s">
        <v>666</v>
      </c>
      <c r="B160" s="159" t="s">
        <v>951</v>
      </c>
      <c r="C160" s="123">
        <v>45716</v>
      </c>
      <c r="D160" s="124">
        <v>327</v>
      </c>
      <c r="E160" s="124"/>
      <c r="F160" s="119"/>
      <c r="G160" t="str">
        <f t="shared" si="2"/>
        <v>February</v>
      </c>
    </row>
    <row r="161" spans="1:7">
      <c r="A161" s="118" t="s">
        <v>618</v>
      </c>
      <c r="B161" s="248" t="s">
        <v>384</v>
      </c>
      <c r="C161" s="123">
        <v>45716</v>
      </c>
      <c r="D161" s="124">
        <v>54</v>
      </c>
      <c r="E161" s="124"/>
      <c r="F161" s="110" t="s">
        <v>980</v>
      </c>
      <c r="G161" t="str">
        <f t="shared" si="2"/>
        <v>February</v>
      </c>
    </row>
    <row r="162" spans="1:7" ht="15.75">
      <c r="A162" s="118" t="s">
        <v>557</v>
      </c>
      <c r="B162" s="246" t="s">
        <v>152</v>
      </c>
      <c r="C162" s="123">
        <v>45716</v>
      </c>
      <c r="D162" s="124" t="s">
        <v>977</v>
      </c>
      <c r="E162" s="124"/>
      <c r="F162" s="119"/>
      <c r="G162" t="str">
        <f t="shared" si="2"/>
        <v>February</v>
      </c>
    </row>
    <row r="163" spans="1:7">
      <c r="A163" s="118" t="s">
        <v>662</v>
      </c>
      <c r="B163" s="248" t="s">
        <v>474</v>
      </c>
      <c r="C163" s="123">
        <v>45716</v>
      </c>
      <c r="D163" s="124" t="s">
        <v>977</v>
      </c>
      <c r="E163" s="124"/>
      <c r="F163" s="119"/>
      <c r="G163" t="str">
        <f t="shared" si="2"/>
        <v>February</v>
      </c>
    </row>
    <row r="164" spans="1:7">
      <c r="A164" s="118" t="s">
        <v>598</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521</v>
      </c>
      <c r="B166" s="214" t="s">
        <v>474</v>
      </c>
      <c r="C166" s="123">
        <v>45716</v>
      </c>
      <c r="D166" s="124" t="s">
        <v>977</v>
      </c>
      <c r="E166" s="124"/>
      <c r="F166" s="119"/>
      <c r="G166" t="str">
        <f t="shared" si="2"/>
        <v>February</v>
      </c>
    </row>
    <row r="167" spans="1:7" ht="15.75">
      <c r="A167" s="118" t="s">
        <v>595</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653</v>
      </c>
      <c r="B174" s="142" t="s">
        <v>484</v>
      </c>
      <c r="C174" s="123">
        <v>45716</v>
      </c>
      <c r="D174" s="151">
        <v>1339</v>
      </c>
      <c r="E174" s="151"/>
      <c r="F174" s="110" t="s">
        <v>981</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608</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649</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977</v>
      </c>
      <c r="E182" s="124"/>
      <c r="F182" s="119"/>
      <c r="G182" t="str">
        <f t="shared" si="2"/>
        <v>March</v>
      </c>
    </row>
    <row r="183" spans="1:7">
      <c r="A183" s="118" t="s">
        <v>533</v>
      </c>
      <c r="B183" s="248" t="s">
        <v>534</v>
      </c>
      <c r="C183" s="123">
        <v>45719</v>
      </c>
      <c r="D183" s="124" t="s">
        <v>977</v>
      </c>
      <c r="E183" s="124"/>
      <c r="F183" s="119"/>
      <c r="G183" t="str">
        <f t="shared" si="2"/>
        <v>March</v>
      </c>
    </row>
    <row r="184" spans="1:7" ht="15.75">
      <c r="A184" s="118" t="s">
        <v>536</v>
      </c>
      <c r="B184" s="246" t="s">
        <v>885</v>
      </c>
      <c r="C184" s="123">
        <v>45719</v>
      </c>
      <c r="D184" s="124" t="s">
        <v>977</v>
      </c>
      <c r="E184" s="124"/>
      <c r="F184" s="119"/>
      <c r="G184" t="str">
        <f t="shared" si="2"/>
        <v>March</v>
      </c>
    </row>
    <row r="185" spans="1:7" ht="15.75">
      <c r="A185" s="118" t="s">
        <v>538</v>
      </c>
      <c r="B185" s="246" t="s">
        <v>152</v>
      </c>
      <c r="C185" s="123">
        <v>45719</v>
      </c>
      <c r="D185" s="124" t="s">
        <v>977</v>
      </c>
      <c r="E185" s="124"/>
      <c r="F185" s="119"/>
      <c r="G185" t="str">
        <f t="shared" si="2"/>
        <v>March</v>
      </c>
    </row>
    <row r="186" spans="1:7">
      <c r="A186" s="118" t="s">
        <v>540</v>
      </c>
      <c r="B186" s="248" t="s">
        <v>965</v>
      </c>
      <c r="C186" s="123">
        <v>45719</v>
      </c>
      <c r="D186" s="124" t="s">
        <v>977</v>
      </c>
      <c r="E186" s="124"/>
      <c r="F186" s="119"/>
      <c r="G186" t="str">
        <f t="shared" si="2"/>
        <v>March</v>
      </c>
    </row>
    <row r="187" spans="1:7" ht="15.75">
      <c r="A187" s="118" t="s">
        <v>543</v>
      </c>
      <c r="B187" s="246" t="s">
        <v>152</v>
      </c>
      <c r="C187" s="123">
        <v>45719</v>
      </c>
      <c r="D187" s="124" t="s">
        <v>977</v>
      </c>
      <c r="E187" s="124"/>
      <c r="F187" s="119"/>
      <c r="G187" t="str">
        <f t="shared" si="2"/>
        <v>March</v>
      </c>
    </row>
    <row r="188" spans="1:7">
      <c r="A188" s="118" t="s">
        <v>568</v>
      </c>
      <c r="B188" s="248" t="s">
        <v>474</v>
      </c>
      <c r="C188" s="123">
        <v>45719</v>
      </c>
      <c r="D188" s="124" t="s">
        <v>977</v>
      </c>
      <c r="E188" s="124"/>
      <c r="F188" s="119"/>
      <c r="G188" t="str">
        <f t="shared" si="2"/>
        <v>March</v>
      </c>
    </row>
    <row r="189" spans="1:7" ht="15.75">
      <c r="A189" s="118" t="s">
        <v>602</v>
      </c>
      <c r="B189" s="246" t="s">
        <v>152</v>
      </c>
      <c r="C189" s="123">
        <v>45719</v>
      </c>
      <c r="D189" s="124" t="s">
        <v>977</v>
      </c>
      <c r="E189" s="124"/>
      <c r="F189" s="119"/>
      <c r="G189" t="str">
        <f t="shared" si="2"/>
        <v>March</v>
      </c>
    </row>
    <row r="190" spans="1:7">
      <c r="A190" s="118" t="s">
        <v>599</v>
      </c>
      <c r="B190" s="247" t="s">
        <v>130</v>
      </c>
      <c r="C190" s="123">
        <v>45719</v>
      </c>
      <c r="D190" s="124" t="s">
        <v>977</v>
      </c>
      <c r="E190" s="124"/>
      <c r="F190" s="119"/>
      <c r="G190" t="str">
        <f t="shared" si="2"/>
        <v>March</v>
      </c>
    </row>
    <row r="191" spans="1:7">
      <c r="A191" s="118" t="s">
        <v>666</v>
      </c>
      <c r="B191" s="159" t="s">
        <v>951</v>
      </c>
      <c r="C191" s="123">
        <v>45719</v>
      </c>
      <c r="D191" s="124">
        <v>286</v>
      </c>
      <c r="E191" s="124"/>
      <c r="F191" s="119"/>
      <c r="G191" t="str">
        <f t="shared" si="2"/>
        <v>March</v>
      </c>
    </row>
    <row r="192" spans="1:7">
      <c r="A192" s="118" t="s">
        <v>618</v>
      </c>
      <c r="B192" s="248" t="s">
        <v>384</v>
      </c>
      <c r="C192" s="123">
        <v>45719</v>
      </c>
      <c r="D192" s="124" t="s">
        <v>977</v>
      </c>
      <c r="E192" s="124"/>
      <c r="F192" s="119"/>
      <c r="G192" t="str">
        <f t="shared" si="2"/>
        <v>March</v>
      </c>
    </row>
    <row r="193" spans="1:7" ht="15.75">
      <c r="A193" s="118" t="s">
        <v>557</v>
      </c>
      <c r="B193" s="246" t="s">
        <v>152</v>
      </c>
      <c r="C193" s="123">
        <v>45719</v>
      </c>
      <c r="D193" s="124" t="s">
        <v>977</v>
      </c>
      <c r="E193" s="124"/>
      <c r="F193" s="119"/>
      <c r="G193" t="str">
        <f t="shared" si="2"/>
        <v>March</v>
      </c>
    </row>
    <row r="194" spans="1:7">
      <c r="A194" s="118" t="s">
        <v>662</v>
      </c>
      <c r="B194" s="248" t="s">
        <v>474</v>
      </c>
      <c r="C194" s="123">
        <v>45719</v>
      </c>
      <c r="D194" s="124" t="s">
        <v>977</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521</v>
      </c>
      <c r="B197" s="214" t="s">
        <v>474</v>
      </c>
      <c r="C197" s="123">
        <v>45719</v>
      </c>
      <c r="D197" s="124" t="s">
        <v>977</v>
      </c>
      <c r="E197" s="124"/>
      <c r="F197" s="119"/>
      <c r="G197" t="str">
        <f t="shared" si="3"/>
        <v>March</v>
      </c>
    </row>
    <row r="198" spans="1:7" ht="15.75">
      <c r="A198" s="118" t="s">
        <v>595</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653</v>
      </c>
      <c r="B205" s="142" t="s">
        <v>484</v>
      </c>
      <c r="C205" s="123">
        <v>45719</v>
      </c>
      <c r="D205" s="151">
        <v>1292</v>
      </c>
      <c r="E205" s="151"/>
      <c r="F205" s="110" t="s">
        <v>962</v>
      </c>
      <c r="G205" t="str">
        <f t="shared" si="3"/>
        <v>March</v>
      </c>
    </row>
    <row r="206" spans="1:7">
      <c r="A206" s="118" t="s">
        <v>680</v>
      </c>
      <c r="B206" s="214" t="s">
        <v>616</v>
      </c>
      <c r="C206" s="123">
        <v>45719</v>
      </c>
      <c r="D206" s="124" t="s">
        <v>977</v>
      </c>
      <c r="E206" s="124"/>
      <c r="F206" s="119"/>
      <c r="G206" t="str">
        <f t="shared" si="3"/>
        <v>March</v>
      </c>
    </row>
    <row r="207" spans="1:7">
      <c r="A207" s="118" t="s">
        <v>678</v>
      </c>
      <c r="B207" s="214" t="s">
        <v>616</v>
      </c>
      <c r="C207" s="123">
        <v>45719</v>
      </c>
      <c r="D207" s="124" t="s">
        <v>977</v>
      </c>
      <c r="E207" s="124"/>
      <c r="F207" s="119"/>
      <c r="G207" t="str">
        <f t="shared" si="3"/>
        <v>March</v>
      </c>
    </row>
    <row r="208" spans="1:7" ht="15.75">
      <c r="A208" s="118" t="s">
        <v>525</v>
      </c>
      <c r="B208" s="246" t="s">
        <v>152</v>
      </c>
      <c r="C208" s="123">
        <v>45719</v>
      </c>
      <c r="D208" s="151">
        <v>1454</v>
      </c>
      <c r="E208" s="151"/>
      <c r="F208" s="110" t="s">
        <v>982</v>
      </c>
      <c r="G208" t="str">
        <f t="shared" si="3"/>
        <v>March</v>
      </c>
    </row>
    <row r="209" spans="1:8">
      <c r="A209" s="118" t="s">
        <v>699</v>
      </c>
      <c r="B209" s="214" t="s">
        <v>659</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965</v>
      </c>
      <c r="C213" s="123">
        <v>45720</v>
      </c>
      <c r="D213" s="124"/>
      <c r="E213" s="124"/>
      <c r="F213" s="124" t="s">
        <v>984</v>
      </c>
      <c r="G213" t="str">
        <f t="shared" si="3"/>
        <v>March</v>
      </c>
    </row>
    <row r="214" spans="1:8">
      <c r="A214" s="118" t="s">
        <v>599</v>
      </c>
      <c r="B214" s="247" t="s">
        <v>130</v>
      </c>
      <c r="C214" s="123">
        <v>45720</v>
      </c>
      <c r="D214" s="124"/>
      <c r="E214" s="124"/>
      <c r="F214" s="135" t="s">
        <v>985</v>
      </c>
      <c r="G214" t="str">
        <f t="shared" si="3"/>
        <v>March</v>
      </c>
    </row>
    <row r="215" spans="1:8">
      <c r="A215" s="118" t="s">
        <v>666</v>
      </c>
      <c r="B215" s="159" t="s">
        <v>951</v>
      </c>
      <c r="C215" s="123">
        <v>45720</v>
      </c>
      <c r="D215" s="124">
        <v>358</v>
      </c>
      <c r="E215" s="124"/>
      <c r="F215" s="119"/>
      <c r="G215" t="str">
        <f t="shared" si="3"/>
        <v>March</v>
      </c>
    </row>
    <row r="216" spans="1:8">
      <c r="A216" s="118" t="s">
        <v>598</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595</v>
      </c>
      <c r="B218" s="246" t="s">
        <v>152</v>
      </c>
      <c r="C218" s="123">
        <v>45720</v>
      </c>
      <c r="D218" s="124">
        <v>970</v>
      </c>
      <c r="E218" s="124"/>
      <c r="F218" s="110" t="s">
        <v>958</v>
      </c>
      <c r="G218" t="str">
        <f t="shared" si="3"/>
        <v>March</v>
      </c>
    </row>
    <row r="219" spans="1:8">
      <c r="A219" s="118" t="s">
        <v>653</v>
      </c>
      <c r="B219" s="142" t="s">
        <v>484</v>
      </c>
      <c r="C219" s="123">
        <v>45720</v>
      </c>
      <c r="D219" s="151">
        <v>1022</v>
      </c>
      <c r="E219" s="151"/>
      <c r="F219" s="110" t="s">
        <v>962</v>
      </c>
      <c r="G219" t="str">
        <f t="shared" si="3"/>
        <v>March</v>
      </c>
    </row>
    <row r="220" spans="1:8">
      <c r="A220" s="118" t="s">
        <v>680</v>
      </c>
      <c r="B220" s="214" t="s">
        <v>616</v>
      </c>
      <c r="C220" s="123">
        <v>45720</v>
      </c>
      <c r="D220" s="124" t="s">
        <v>977</v>
      </c>
      <c r="E220" s="124"/>
      <c r="F220" s="119"/>
      <c r="G220" t="str">
        <f t="shared" si="3"/>
        <v>March</v>
      </c>
    </row>
    <row r="221" spans="1:8">
      <c r="A221" s="118" t="s">
        <v>678</v>
      </c>
      <c r="B221" s="214" t="s">
        <v>616</v>
      </c>
      <c r="C221" s="123">
        <v>45720</v>
      </c>
      <c r="D221" s="151">
        <v>1570</v>
      </c>
      <c r="E221" s="151"/>
      <c r="F221" s="119" t="s">
        <v>956</v>
      </c>
      <c r="G221" t="str">
        <f t="shared" si="3"/>
        <v>March</v>
      </c>
    </row>
    <row r="222" spans="1:8" ht="15.75">
      <c r="A222" s="118" t="s">
        <v>525</v>
      </c>
      <c r="B222" s="246" t="s">
        <v>152</v>
      </c>
      <c r="C222" s="123">
        <v>45720</v>
      </c>
      <c r="D222" s="151">
        <v>1360</v>
      </c>
      <c r="E222" s="151"/>
      <c r="F222" s="110" t="s">
        <v>987</v>
      </c>
      <c r="G222" t="str">
        <f t="shared" si="3"/>
        <v>March</v>
      </c>
    </row>
    <row r="223" spans="1:8">
      <c r="A223" s="118" t="s">
        <v>699</v>
      </c>
      <c r="B223" s="214" t="s">
        <v>659</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988</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965</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951</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653</v>
      </c>
      <c r="B254" s="142" t="s">
        <v>484</v>
      </c>
      <c r="C254" s="123">
        <v>45721</v>
      </c>
      <c r="D254" s="151">
        <v>1246</v>
      </c>
      <c r="E254" s="151"/>
      <c r="F254" s="134" t="s">
        <v>992</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993</v>
      </c>
      <c r="G256" t="str">
        <f t="shared" si="3"/>
        <v>March</v>
      </c>
    </row>
    <row r="257" spans="1:7" ht="15.75">
      <c r="A257" s="118" t="s">
        <v>525</v>
      </c>
      <c r="B257" s="246" t="s">
        <v>152</v>
      </c>
      <c r="C257" s="123">
        <v>45721</v>
      </c>
      <c r="D257" s="151">
        <v>1263</v>
      </c>
      <c r="E257" s="151"/>
      <c r="F257" s="134" t="s">
        <v>994</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995</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965</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951</v>
      </c>
      <c r="C277" s="123">
        <v>45722</v>
      </c>
      <c r="D277" s="135">
        <v>32</v>
      </c>
      <c r="E277" s="135"/>
      <c r="F277" s="135" t="s">
        <v>967</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996</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571</v>
      </c>
      <c r="B298" s="246" t="s">
        <v>885</v>
      </c>
      <c r="C298" s="123">
        <v>45722</v>
      </c>
      <c r="D298" s="135">
        <v>489</v>
      </c>
      <c r="E298" s="135"/>
      <c r="F298" s="135" t="s">
        <v>997</v>
      </c>
      <c r="G298" t="str">
        <f t="shared" si="4"/>
        <v>March</v>
      </c>
    </row>
    <row r="299" spans="1:7">
      <c r="A299" s="119" t="s">
        <v>704</v>
      </c>
      <c r="B299" s="155" t="s">
        <v>470</v>
      </c>
      <c r="C299" s="123">
        <v>45722</v>
      </c>
      <c r="D299" s="135">
        <v>884</v>
      </c>
      <c r="E299" s="135"/>
      <c r="F299" s="135" t="s">
        <v>998</v>
      </c>
      <c r="G299" t="str">
        <f t="shared" si="4"/>
        <v>March</v>
      </c>
    </row>
    <row r="300" spans="1:7" ht="15.75">
      <c r="A300" s="119" t="s">
        <v>523</v>
      </c>
      <c r="B300" s="246" t="s">
        <v>152</v>
      </c>
      <c r="C300" s="123">
        <v>45722</v>
      </c>
      <c r="D300" s="152">
        <v>1357</v>
      </c>
      <c r="E300" s="152"/>
      <c r="F300" s="135" t="s">
        <v>971</v>
      </c>
      <c r="G300" t="str">
        <f t="shared" si="4"/>
        <v>March</v>
      </c>
    </row>
    <row r="301" spans="1:7">
      <c r="A301" s="119" t="s">
        <v>621</v>
      </c>
      <c r="B301" s="214" t="s">
        <v>616</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965</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951</v>
      </c>
      <c r="C317" s="56">
        <v>45723</v>
      </c>
      <c r="D317" s="135">
        <v>9</v>
      </c>
      <c r="E317" s="135"/>
      <c r="F317" s="135" t="s">
        <v>958</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1000</v>
      </c>
      <c r="G320" t="str">
        <f t="shared" si="4"/>
        <v>March</v>
      </c>
    </row>
    <row r="321" spans="1:7">
      <c r="A321" s="118" t="s">
        <v>598</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653</v>
      </c>
      <c r="B331" s="142" t="s">
        <v>484</v>
      </c>
      <c r="C331" s="56">
        <v>45723</v>
      </c>
      <c r="D331" s="135">
        <v>288</v>
      </c>
      <c r="E331" s="135"/>
      <c r="F331" s="135" t="s">
        <v>1003</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956</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1005</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958</v>
      </c>
      <c r="G341" t="str">
        <f t="shared" si="5"/>
        <v>March</v>
      </c>
    </row>
    <row r="342" spans="1:7" ht="15.75">
      <c r="A342" s="119" t="s">
        <v>574</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965</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951</v>
      </c>
      <c r="C358" s="56">
        <v>45726</v>
      </c>
      <c r="D358" s="135">
        <v>0</v>
      </c>
      <c r="E358" s="135"/>
      <c r="F358" s="135" t="s">
        <v>1007</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993</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965</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951</v>
      </c>
      <c r="C399" s="56">
        <v>45727</v>
      </c>
      <c r="D399" s="124">
        <v>12</v>
      </c>
      <c r="E399" s="124"/>
      <c r="F399" s="110" t="s">
        <v>958</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1009</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971</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608</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649</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691</v>
      </c>
      <c r="B435" s="246" t="s">
        <v>885</v>
      </c>
      <c r="C435" s="56">
        <v>45728</v>
      </c>
      <c r="D435" s="124" t="s">
        <v>977</v>
      </c>
      <c r="E435" s="124"/>
      <c r="G435" t="str">
        <f t="shared" si="6"/>
        <v>March</v>
      </c>
    </row>
    <row r="436" spans="1:7">
      <c r="A436" s="118" t="s">
        <v>578</v>
      </c>
      <c r="B436" s="248" t="s">
        <v>534</v>
      </c>
      <c r="C436" s="56">
        <v>45728</v>
      </c>
      <c r="D436" s="124" t="s">
        <v>1011</v>
      </c>
      <c r="E436" s="124"/>
      <c r="G436" t="str">
        <f t="shared" si="6"/>
        <v>March</v>
      </c>
    </row>
    <row r="437" spans="1:7">
      <c r="A437" s="118" t="s">
        <v>533</v>
      </c>
      <c r="B437" s="248" t="s">
        <v>534</v>
      </c>
      <c r="C437" s="56">
        <v>45728</v>
      </c>
      <c r="D437" s="124" t="s">
        <v>1011</v>
      </c>
      <c r="E437" s="124"/>
      <c r="G437" t="str">
        <f t="shared" si="6"/>
        <v>March</v>
      </c>
    </row>
    <row r="438" spans="1:7" ht="15.75">
      <c r="A438" s="118" t="s">
        <v>536</v>
      </c>
      <c r="B438" s="246" t="s">
        <v>885</v>
      </c>
      <c r="C438" s="56">
        <v>45728</v>
      </c>
      <c r="D438" s="124" t="s">
        <v>977</v>
      </c>
      <c r="E438" s="124"/>
      <c r="G438" t="str">
        <f t="shared" si="6"/>
        <v>March</v>
      </c>
    </row>
    <row r="439" spans="1:7" ht="15.75">
      <c r="A439" s="118" t="s">
        <v>538</v>
      </c>
      <c r="B439" s="246" t="s">
        <v>152</v>
      </c>
      <c r="C439" s="56">
        <v>45728</v>
      </c>
      <c r="D439" s="124" t="s">
        <v>1011</v>
      </c>
      <c r="E439" s="124"/>
      <c r="G439" t="str">
        <f t="shared" si="6"/>
        <v>March</v>
      </c>
    </row>
    <row r="440" spans="1:7">
      <c r="A440" s="118" t="s">
        <v>540</v>
      </c>
      <c r="B440" s="248" t="s">
        <v>965</v>
      </c>
      <c r="C440" s="56">
        <v>45728</v>
      </c>
      <c r="D440" s="124" t="s">
        <v>977</v>
      </c>
      <c r="E440" s="124"/>
      <c r="G440" t="str">
        <f t="shared" si="6"/>
        <v>March</v>
      </c>
    </row>
    <row r="441" spans="1:7" ht="15.75">
      <c r="A441" s="118" t="s">
        <v>543</v>
      </c>
      <c r="B441" s="246" t="s">
        <v>152</v>
      </c>
      <c r="C441" s="56">
        <v>45728</v>
      </c>
      <c r="D441" s="124" t="s">
        <v>1011</v>
      </c>
      <c r="E441" s="124"/>
      <c r="G441" t="str">
        <f t="shared" si="6"/>
        <v>March</v>
      </c>
    </row>
    <row r="442" spans="1:7">
      <c r="A442" s="118" t="s">
        <v>568</v>
      </c>
      <c r="B442" s="248" t="s">
        <v>474</v>
      </c>
      <c r="C442" s="56">
        <v>45728</v>
      </c>
      <c r="D442" s="124" t="s">
        <v>977</v>
      </c>
      <c r="E442" s="124"/>
      <c r="G442" t="str">
        <f t="shared" si="6"/>
        <v>March</v>
      </c>
    </row>
    <row r="443" spans="1:7" ht="15.75">
      <c r="A443" s="118" t="s">
        <v>602</v>
      </c>
      <c r="B443" s="246" t="s">
        <v>152</v>
      </c>
      <c r="C443" s="56">
        <v>45728</v>
      </c>
      <c r="D443" s="124" t="s">
        <v>977</v>
      </c>
      <c r="E443" s="124"/>
      <c r="G443" t="str">
        <f t="shared" si="6"/>
        <v>March</v>
      </c>
    </row>
    <row r="444" spans="1:7">
      <c r="A444" s="118" t="s">
        <v>599</v>
      </c>
      <c r="B444" s="247" t="s">
        <v>130</v>
      </c>
      <c r="C444" s="56">
        <v>45728</v>
      </c>
      <c r="D444" s="124" t="s">
        <v>977</v>
      </c>
      <c r="E444" s="124"/>
      <c r="G444" t="str">
        <f t="shared" si="6"/>
        <v>March</v>
      </c>
    </row>
    <row r="445" spans="1:7">
      <c r="A445" s="118" t="s">
        <v>666</v>
      </c>
      <c r="B445" s="159" t="s">
        <v>951</v>
      </c>
      <c r="C445" s="56">
        <v>45728</v>
      </c>
      <c r="D445" s="124">
        <v>9</v>
      </c>
      <c r="E445" s="124"/>
      <c r="F445" s="110" t="s">
        <v>954</v>
      </c>
      <c r="G445" t="str">
        <f t="shared" si="6"/>
        <v>March</v>
      </c>
    </row>
    <row r="446" spans="1:7">
      <c r="A446" s="118" t="s">
        <v>618</v>
      </c>
      <c r="B446" s="248" t="s">
        <v>384</v>
      </c>
      <c r="C446" s="56">
        <v>45728</v>
      </c>
      <c r="D446" s="124" t="s">
        <v>977</v>
      </c>
      <c r="E446" s="124"/>
      <c r="G446" t="str">
        <f t="shared" si="6"/>
        <v>March</v>
      </c>
    </row>
    <row r="447" spans="1:7" ht="15.75">
      <c r="A447" s="118" t="s">
        <v>557</v>
      </c>
      <c r="B447" s="246" t="s">
        <v>152</v>
      </c>
      <c r="C447" s="56">
        <v>45728</v>
      </c>
      <c r="D447" s="124" t="s">
        <v>977</v>
      </c>
      <c r="E447" s="124"/>
      <c r="G447" t="str">
        <f t="shared" si="6"/>
        <v>March</v>
      </c>
    </row>
    <row r="448" spans="1:7">
      <c r="A448" s="118" t="s">
        <v>662</v>
      </c>
      <c r="B448" s="248" t="s">
        <v>474</v>
      </c>
      <c r="C448" s="56">
        <v>45728</v>
      </c>
      <c r="D448" s="124" t="s">
        <v>977</v>
      </c>
      <c r="E448" s="124"/>
      <c r="G448" t="str">
        <f t="shared" si="6"/>
        <v>March</v>
      </c>
    </row>
    <row r="449" spans="1:7">
      <c r="A449" s="118" t="s">
        <v>598</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521</v>
      </c>
      <c r="B451" s="214" t="s">
        <v>474</v>
      </c>
      <c r="C451" s="56">
        <v>45728</v>
      </c>
      <c r="D451" s="124" t="s">
        <v>977</v>
      </c>
      <c r="E451" s="124"/>
      <c r="G451" t="str">
        <f t="shared" ref="G451:G514" si="7">TEXT(C451,"mmmm")</f>
        <v>March</v>
      </c>
    </row>
    <row r="452" spans="1:7" ht="15.75">
      <c r="A452" s="118" t="s">
        <v>595</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658</v>
      </c>
      <c r="B454" s="214" t="s">
        <v>659</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653</v>
      </c>
      <c r="B459" s="142" t="s">
        <v>484</v>
      </c>
      <c r="C459" s="56">
        <v>45728</v>
      </c>
      <c r="D459" s="124" t="s">
        <v>977</v>
      </c>
      <c r="E459" s="124"/>
      <c r="G459" t="str">
        <f t="shared" si="7"/>
        <v>March</v>
      </c>
    </row>
    <row r="460" spans="1:7">
      <c r="A460" s="118" t="s">
        <v>680</v>
      </c>
      <c r="B460" s="214" t="s">
        <v>616</v>
      </c>
      <c r="C460" s="56">
        <v>45728</v>
      </c>
      <c r="D460" s="124" t="s">
        <v>977</v>
      </c>
      <c r="E460" s="124"/>
      <c r="G460" t="str">
        <f t="shared" si="7"/>
        <v>March</v>
      </c>
    </row>
    <row r="461" spans="1:7">
      <c r="A461" s="118" t="s">
        <v>678</v>
      </c>
      <c r="B461" s="214" t="s">
        <v>616</v>
      </c>
      <c r="C461" s="56">
        <v>45728</v>
      </c>
      <c r="D461" s="124" t="s">
        <v>977</v>
      </c>
      <c r="E461" s="124"/>
      <c r="G461" t="str">
        <f t="shared" si="7"/>
        <v>March</v>
      </c>
    </row>
    <row r="462" spans="1:7" ht="15.75">
      <c r="A462" s="118" t="s">
        <v>525</v>
      </c>
      <c r="B462" s="246" t="s">
        <v>152</v>
      </c>
      <c r="C462" s="56">
        <v>45728</v>
      </c>
      <c r="D462" s="124" t="s">
        <v>977</v>
      </c>
      <c r="E462" s="124"/>
      <c r="G462" t="str">
        <f t="shared" si="7"/>
        <v>March</v>
      </c>
    </row>
    <row r="463" spans="1:7">
      <c r="A463" s="118" t="s">
        <v>699</v>
      </c>
      <c r="B463" s="214" t="s">
        <v>659</v>
      </c>
      <c r="C463" s="56">
        <v>45728</v>
      </c>
      <c r="D463" s="124" t="s">
        <v>977</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571</v>
      </c>
      <c r="B466" s="246" t="s">
        <v>885</v>
      </c>
      <c r="C466" s="56">
        <v>45728</v>
      </c>
      <c r="D466" s="151">
        <v>1004</v>
      </c>
      <c r="E466" s="151"/>
      <c r="F466" s="110" t="s">
        <v>1004</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977</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977</v>
      </c>
      <c r="E470" s="124"/>
      <c r="G470" t="str">
        <f t="shared" si="7"/>
        <v>March</v>
      </c>
    </row>
    <row r="471" spans="1:7" ht="15.75">
      <c r="A471" s="119" t="s">
        <v>551</v>
      </c>
      <c r="B471" s="246" t="s">
        <v>152</v>
      </c>
      <c r="C471" s="56">
        <v>45728</v>
      </c>
      <c r="D471" s="151">
        <v>1700</v>
      </c>
      <c r="E471" s="151"/>
      <c r="F471" s="110" t="s">
        <v>1012</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682</v>
      </c>
      <c r="B474" s="158" t="s">
        <v>474</v>
      </c>
      <c r="C474" s="56">
        <v>45728</v>
      </c>
      <c r="D474" s="124" t="s">
        <v>977</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950</v>
      </c>
      <c r="G476" t="str">
        <f t="shared" si="7"/>
        <v>March</v>
      </c>
    </row>
    <row r="477" spans="1:7">
      <c r="A477" s="119" t="s">
        <v>847</v>
      </c>
      <c r="B477" s="158" t="s">
        <v>659</v>
      </c>
      <c r="C477" s="56">
        <v>45728</v>
      </c>
      <c r="D477" s="151">
        <v>2760</v>
      </c>
      <c r="E477" s="151"/>
      <c r="F477" s="110" t="s">
        <v>960</v>
      </c>
      <c r="G477" t="str">
        <f t="shared" si="7"/>
        <v>March</v>
      </c>
    </row>
    <row r="478" spans="1:7">
      <c r="A478" s="119" t="s">
        <v>656</v>
      </c>
      <c r="B478" s="247" t="s">
        <v>130</v>
      </c>
      <c r="C478" s="56">
        <v>45728</v>
      </c>
      <c r="D478" s="151">
        <v>1246</v>
      </c>
      <c r="E478" s="151"/>
      <c r="F478" s="110" t="s">
        <v>1013</v>
      </c>
      <c r="G478" t="str">
        <f t="shared" si="7"/>
        <v>March</v>
      </c>
    </row>
    <row r="479" spans="1:7" ht="15.75">
      <c r="A479" s="119" t="s">
        <v>545</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965</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951</v>
      </c>
      <c r="C495" s="56">
        <v>45729</v>
      </c>
      <c r="D495" s="124"/>
      <c r="E495" s="124"/>
      <c r="F495" s="124" t="s">
        <v>1010</v>
      </c>
      <c r="G495" t="str">
        <f t="shared" si="7"/>
        <v>March</v>
      </c>
    </row>
    <row r="496" spans="1:7">
      <c r="A496" s="118" t="s">
        <v>618</v>
      </c>
      <c r="B496" s="248" t="s">
        <v>384</v>
      </c>
      <c r="C496" s="56">
        <v>45729</v>
      </c>
      <c r="D496" s="124" t="s">
        <v>977</v>
      </c>
      <c r="E496" s="124"/>
      <c r="G496" t="str">
        <f t="shared" si="7"/>
        <v>March</v>
      </c>
    </row>
    <row r="497" spans="1:7" ht="15.75">
      <c r="A497" s="118" t="s">
        <v>557</v>
      </c>
      <c r="B497" s="246" t="s">
        <v>152</v>
      </c>
      <c r="C497" s="56">
        <v>45729</v>
      </c>
      <c r="D497" s="124" t="s">
        <v>977</v>
      </c>
      <c r="E497" s="124"/>
      <c r="G497" t="str">
        <f t="shared" si="7"/>
        <v>March</v>
      </c>
    </row>
    <row r="498" spans="1:7">
      <c r="A498" s="118" t="s">
        <v>662</v>
      </c>
      <c r="B498" s="248" t="s">
        <v>474</v>
      </c>
      <c r="C498" s="56">
        <v>45729</v>
      </c>
      <c r="D498" s="124" t="s">
        <v>977</v>
      </c>
      <c r="E498" s="124"/>
      <c r="G498" t="str">
        <f t="shared" si="7"/>
        <v>March</v>
      </c>
    </row>
    <row r="499" spans="1:7">
      <c r="A499" s="118" t="s">
        <v>598</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521</v>
      </c>
      <c r="B501" s="214" t="s">
        <v>474</v>
      </c>
      <c r="C501" s="56">
        <v>45729</v>
      </c>
      <c r="D501" s="124" t="s">
        <v>977</v>
      </c>
      <c r="E501" s="124"/>
      <c r="G501" t="str">
        <f t="shared" si="7"/>
        <v>March</v>
      </c>
    </row>
    <row r="502" spans="1:7" ht="15.75">
      <c r="A502" s="118" t="s">
        <v>595</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658</v>
      </c>
      <c r="B504" s="214" t="s">
        <v>659</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653</v>
      </c>
      <c r="B509" s="142" t="s">
        <v>484</v>
      </c>
      <c r="C509" s="56">
        <v>45729</v>
      </c>
      <c r="D509" s="124" t="s">
        <v>977</v>
      </c>
      <c r="E509" s="124"/>
      <c r="G509" t="str">
        <f t="shared" si="7"/>
        <v>March</v>
      </c>
    </row>
    <row r="510" spans="1:7">
      <c r="A510" s="118" t="s">
        <v>680</v>
      </c>
      <c r="B510" s="214" t="s">
        <v>616</v>
      </c>
      <c r="C510" s="56">
        <v>45729</v>
      </c>
      <c r="D510" s="124" t="s">
        <v>977</v>
      </c>
      <c r="E510" s="124"/>
      <c r="G510" t="str">
        <f t="shared" si="7"/>
        <v>March</v>
      </c>
    </row>
    <row r="511" spans="1:7">
      <c r="A511" s="118" t="s">
        <v>678</v>
      </c>
      <c r="B511" s="214" t="s">
        <v>616</v>
      </c>
      <c r="C511" s="56">
        <v>45729</v>
      </c>
      <c r="D511" s="124" t="s">
        <v>977</v>
      </c>
      <c r="E511" s="124"/>
      <c r="G511" t="str">
        <f t="shared" si="7"/>
        <v>March</v>
      </c>
    </row>
    <row r="512" spans="1:7" ht="15.75">
      <c r="A512" s="118" t="s">
        <v>525</v>
      </c>
      <c r="B512" s="246" t="s">
        <v>152</v>
      </c>
      <c r="C512" s="56">
        <v>45729</v>
      </c>
      <c r="D512" s="124" t="s">
        <v>977</v>
      </c>
      <c r="E512" s="124"/>
      <c r="G512" t="str">
        <f t="shared" si="7"/>
        <v>March</v>
      </c>
    </row>
    <row r="513" spans="1:7">
      <c r="A513" s="118" t="s">
        <v>699</v>
      </c>
      <c r="B513" s="214" t="s">
        <v>659</v>
      </c>
      <c r="C513" s="56">
        <v>45729</v>
      </c>
      <c r="D513" s="124" t="s">
        <v>977</v>
      </c>
      <c r="E513" s="124"/>
      <c r="G513" t="str">
        <f t="shared" si="7"/>
        <v>March</v>
      </c>
    </row>
    <row r="514" spans="1:7" ht="15.75">
      <c r="A514" s="119" t="s">
        <v>510</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571</v>
      </c>
      <c r="B516" s="246" t="s">
        <v>885</v>
      </c>
      <c r="C516" s="56">
        <v>45729</v>
      </c>
      <c r="D516" s="124" t="s">
        <v>977</v>
      </c>
      <c r="E516" s="124"/>
      <c r="G516" t="str">
        <f t="shared" si="8"/>
        <v>March</v>
      </c>
    </row>
    <row r="517" spans="1:7">
      <c r="A517" s="119" t="s">
        <v>704</v>
      </c>
      <c r="B517" s="155" t="s">
        <v>470</v>
      </c>
      <c r="C517" s="56">
        <v>45729</v>
      </c>
      <c r="D517" s="124">
        <v>914</v>
      </c>
      <c r="E517" s="124"/>
      <c r="F517" s="110" t="s">
        <v>1017</v>
      </c>
      <c r="G517" t="str">
        <f t="shared" si="8"/>
        <v>March</v>
      </c>
    </row>
    <row r="518" spans="1:7" ht="15.75">
      <c r="A518" s="119" t="s">
        <v>523</v>
      </c>
      <c r="B518" s="246" t="s">
        <v>152</v>
      </c>
      <c r="C518" s="56">
        <v>45729</v>
      </c>
      <c r="D518" s="124" t="s">
        <v>977</v>
      </c>
      <c r="E518" s="124"/>
      <c r="G518" t="str">
        <f t="shared" si="8"/>
        <v>March</v>
      </c>
    </row>
    <row r="519" spans="1:7">
      <c r="A519" s="119" t="s">
        <v>621</v>
      </c>
      <c r="B519" s="214" t="s">
        <v>616</v>
      </c>
      <c r="C519" s="56">
        <v>45729</v>
      </c>
      <c r="D519" s="124" t="s">
        <v>977</v>
      </c>
      <c r="E519" s="124"/>
      <c r="G519" t="str">
        <f t="shared" si="8"/>
        <v>March</v>
      </c>
    </row>
    <row r="520" spans="1:7" ht="15.75">
      <c r="A520" s="119" t="s">
        <v>574</v>
      </c>
      <c r="B520" s="246" t="s">
        <v>885</v>
      </c>
      <c r="C520" s="56">
        <v>45729</v>
      </c>
      <c r="D520" s="124" t="s">
        <v>977</v>
      </c>
      <c r="E520" s="124"/>
      <c r="G520" t="str">
        <f t="shared" si="8"/>
        <v>March</v>
      </c>
    </row>
    <row r="521" spans="1:7" ht="15.75">
      <c r="A521" s="119" t="s">
        <v>551</v>
      </c>
      <c r="B521" s="246" t="s">
        <v>152</v>
      </c>
      <c r="C521" s="56">
        <v>45729</v>
      </c>
      <c r="D521" s="124" t="s">
        <v>977</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977</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1018</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975</v>
      </c>
      <c r="G528" t="str">
        <f t="shared" si="8"/>
        <v>March</v>
      </c>
    </row>
    <row r="529" spans="1:7" ht="15.75">
      <c r="A529" s="119" t="s">
        <v>545</v>
      </c>
      <c r="B529" s="246" t="s">
        <v>152</v>
      </c>
      <c r="C529" s="56">
        <v>45729</v>
      </c>
      <c r="D529" s="151">
        <v>1123</v>
      </c>
      <c r="E529" s="151"/>
      <c r="F529" s="110" t="s">
        <v>1019</v>
      </c>
      <c r="G529" t="str">
        <f t="shared" si="8"/>
        <v>March</v>
      </c>
    </row>
    <row r="530" spans="1:7">
      <c r="A530" s="212" t="s">
        <v>605</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608</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649</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691</v>
      </c>
      <c r="B536" s="246" t="s">
        <v>885</v>
      </c>
      <c r="C536" s="56">
        <v>45730</v>
      </c>
      <c r="D536" s="124"/>
      <c r="E536" s="124"/>
      <c r="F536" s="124" t="s">
        <v>977</v>
      </c>
      <c r="G536" t="str">
        <f t="shared" si="8"/>
        <v>March</v>
      </c>
    </row>
    <row r="537" spans="1:7">
      <c r="A537" s="118" t="s">
        <v>578</v>
      </c>
      <c r="B537" s="248" t="s">
        <v>534</v>
      </c>
      <c r="C537" s="56">
        <v>45730</v>
      </c>
      <c r="D537" s="124"/>
      <c r="E537" s="124"/>
      <c r="F537" s="124" t="s">
        <v>977</v>
      </c>
      <c r="G537" t="str">
        <f t="shared" si="8"/>
        <v>March</v>
      </c>
    </row>
    <row r="538" spans="1:7">
      <c r="A538" s="118" t="s">
        <v>533</v>
      </c>
      <c r="B538" s="248" t="s">
        <v>534</v>
      </c>
      <c r="C538" s="56">
        <v>45730</v>
      </c>
      <c r="D538" s="124"/>
      <c r="E538" s="124"/>
      <c r="F538" s="124" t="s">
        <v>1021</v>
      </c>
      <c r="G538" t="str">
        <f t="shared" si="8"/>
        <v>March</v>
      </c>
    </row>
    <row r="539" spans="1:7" ht="15.75">
      <c r="A539" s="118" t="s">
        <v>536</v>
      </c>
      <c r="B539" s="246" t="s">
        <v>885</v>
      </c>
      <c r="C539" s="56">
        <v>45730</v>
      </c>
      <c r="D539" s="124"/>
      <c r="E539" s="124"/>
      <c r="F539" s="124" t="s">
        <v>977</v>
      </c>
      <c r="G539" t="str">
        <f t="shared" si="8"/>
        <v>March</v>
      </c>
    </row>
    <row r="540" spans="1:7" ht="15.75">
      <c r="A540" s="118" t="s">
        <v>538</v>
      </c>
      <c r="B540" s="246" t="s">
        <v>152</v>
      </c>
      <c r="C540" s="56">
        <v>45730</v>
      </c>
      <c r="D540" s="124"/>
      <c r="E540" s="124"/>
      <c r="F540" s="124" t="s">
        <v>977</v>
      </c>
      <c r="G540" t="str">
        <f t="shared" si="8"/>
        <v>March</v>
      </c>
    </row>
    <row r="541" spans="1:7">
      <c r="A541" s="118" t="s">
        <v>540</v>
      </c>
      <c r="B541" s="248" t="s">
        <v>965</v>
      </c>
      <c r="C541" s="56">
        <v>45730</v>
      </c>
      <c r="D541" s="124"/>
      <c r="E541" s="124"/>
      <c r="F541" s="124" t="s">
        <v>1021</v>
      </c>
      <c r="G541" t="str">
        <f t="shared" si="8"/>
        <v>March</v>
      </c>
    </row>
    <row r="542" spans="1:7" ht="15.75">
      <c r="A542" s="118" t="s">
        <v>543</v>
      </c>
      <c r="B542" s="246" t="s">
        <v>152</v>
      </c>
      <c r="C542" s="56">
        <v>45730</v>
      </c>
      <c r="D542" s="124"/>
      <c r="E542" s="124"/>
      <c r="F542" s="124" t="s">
        <v>977</v>
      </c>
      <c r="G542" t="str">
        <f t="shared" si="8"/>
        <v>March</v>
      </c>
    </row>
    <row r="543" spans="1:7">
      <c r="A543" s="118" t="s">
        <v>568</v>
      </c>
      <c r="B543" s="248" t="s">
        <v>474</v>
      </c>
      <c r="C543" s="56">
        <v>45730</v>
      </c>
      <c r="D543" s="124"/>
      <c r="E543" s="124"/>
      <c r="F543" s="124" t="s">
        <v>1021</v>
      </c>
      <c r="G543" t="str">
        <f t="shared" si="8"/>
        <v>March</v>
      </c>
    </row>
    <row r="544" spans="1:7" ht="15.75">
      <c r="A544" s="118" t="s">
        <v>602</v>
      </c>
      <c r="B544" s="246" t="s">
        <v>152</v>
      </c>
      <c r="C544" s="56">
        <v>45730</v>
      </c>
      <c r="D544" s="124"/>
      <c r="E544" s="124"/>
      <c r="F544" s="124" t="s">
        <v>977</v>
      </c>
      <c r="G544" t="str">
        <f t="shared" si="8"/>
        <v>March</v>
      </c>
    </row>
    <row r="545" spans="1:7">
      <c r="A545" s="118" t="s">
        <v>599</v>
      </c>
      <c r="B545" s="247" t="s">
        <v>130</v>
      </c>
      <c r="C545" s="56">
        <v>45730</v>
      </c>
      <c r="D545" s="124"/>
      <c r="E545" s="124"/>
      <c r="F545" s="124" t="s">
        <v>977</v>
      </c>
      <c r="G545" t="str">
        <f t="shared" si="8"/>
        <v>March</v>
      </c>
    </row>
    <row r="546" spans="1:7">
      <c r="A546" s="118" t="s">
        <v>666</v>
      </c>
      <c r="B546" s="159" t="s">
        <v>951</v>
      </c>
      <c r="C546" s="56">
        <v>45730</v>
      </c>
      <c r="D546" s="124"/>
      <c r="E546" s="124"/>
      <c r="F546" s="124" t="s">
        <v>1010</v>
      </c>
      <c r="G546" t="str">
        <f t="shared" si="8"/>
        <v>March</v>
      </c>
    </row>
    <row r="547" spans="1:7">
      <c r="A547" s="118" t="s">
        <v>618</v>
      </c>
      <c r="B547" s="248" t="s">
        <v>384</v>
      </c>
      <c r="C547" s="56">
        <v>45730</v>
      </c>
      <c r="D547" s="124"/>
      <c r="E547" s="124"/>
      <c r="F547" s="124" t="s">
        <v>977</v>
      </c>
      <c r="G547" t="str">
        <f t="shared" si="8"/>
        <v>March</v>
      </c>
    </row>
    <row r="548" spans="1:7" ht="15.75">
      <c r="A548" s="118" t="s">
        <v>557</v>
      </c>
      <c r="B548" s="246" t="s">
        <v>152</v>
      </c>
      <c r="C548" s="56">
        <v>45730</v>
      </c>
      <c r="D548" s="124"/>
      <c r="E548" s="124"/>
      <c r="F548" s="124" t="s">
        <v>977</v>
      </c>
      <c r="G548" t="str">
        <f t="shared" si="8"/>
        <v>March</v>
      </c>
    </row>
    <row r="549" spans="1:7">
      <c r="A549" s="118" t="s">
        <v>662</v>
      </c>
      <c r="B549" s="248" t="s">
        <v>474</v>
      </c>
      <c r="C549" s="56">
        <v>45730</v>
      </c>
      <c r="D549" s="124"/>
      <c r="E549" s="124"/>
      <c r="F549" s="124" t="s">
        <v>977</v>
      </c>
      <c r="G549" t="str">
        <f t="shared" si="8"/>
        <v>March</v>
      </c>
    </row>
    <row r="550" spans="1:7">
      <c r="A550" s="118" t="s">
        <v>598</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521</v>
      </c>
      <c r="B552" s="214" t="s">
        <v>474</v>
      </c>
      <c r="C552" s="56">
        <v>45730</v>
      </c>
      <c r="D552" s="124"/>
      <c r="E552" s="124"/>
      <c r="F552" s="124" t="s">
        <v>1021</v>
      </c>
      <c r="G552" t="str">
        <f t="shared" si="8"/>
        <v>March</v>
      </c>
    </row>
    <row r="553" spans="1:7" ht="15.75">
      <c r="A553" s="118" t="s">
        <v>595</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658</v>
      </c>
      <c r="B555" s="214" t="s">
        <v>659</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653</v>
      </c>
      <c r="B560" s="142" t="s">
        <v>484</v>
      </c>
      <c r="C560" s="56">
        <v>45730</v>
      </c>
      <c r="D560" s="124" t="s">
        <v>977</v>
      </c>
      <c r="E560" s="124"/>
      <c r="F560" s="124"/>
      <c r="G560" t="str">
        <f t="shared" si="8"/>
        <v>March</v>
      </c>
    </row>
    <row r="561" spans="1:7">
      <c r="A561" s="118" t="s">
        <v>680</v>
      </c>
      <c r="B561" s="214" t="s">
        <v>616</v>
      </c>
      <c r="C561" s="56">
        <v>45730</v>
      </c>
      <c r="D561" s="124" t="s">
        <v>977</v>
      </c>
      <c r="E561" s="124"/>
      <c r="F561" s="124"/>
      <c r="G561" t="str">
        <f t="shared" si="8"/>
        <v>March</v>
      </c>
    </row>
    <row r="562" spans="1:7">
      <c r="A562" s="118" t="s">
        <v>678</v>
      </c>
      <c r="B562" s="214" t="s">
        <v>616</v>
      </c>
      <c r="C562" s="56">
        <v>45730</v>
      </c>
      <c r="D562" s="124" t="s">
        <v>977</v>
      </c>
      <c r="E562" s="124"/>
      <c r="F562" s="124"/>
      <c r="G562" t="str">
        <f t="shared" si="8"/>
        <v>March</v>
      </c>
    </row>
    <row r="563" spans="1:7" ht="15.75">
      <c r="A563" s="118" t="s">
        <v>525</v>
      </c>
      <c r="B563" s="246" t="s">
        <v>152</v>
      </c>
      <c r="C563" s="56">
        <v>45730</v>
      </c>
      <c r="D563" s="124" t="s">
        <v>977</v>
      </c>
      <c r="E563" s="124"/>
      <c r="F563" s="124"/>
      <c r="G563" t="str">
        <f t="shared" si="8"/>
        <v>March</v>
      </c>
    </row>
    <row r="564" spans="1:7">
      <c r="A564" s="118" t="s">
        <v>699</v>
      </c>
      <c r="B564" s="214" t="s">
        <v>659</v>
      </c>
      <c r="C564" s="56">
        <v>45730</v>
      </c>
      <c r="D564" s="124" t="s">
        <v>977</v>
      </c>
      <c r="E564" s="124"/>
      <c r="F564" s="124"/>
      <c r="G564" t="str">
        <f t="shared" si="8"/>
        <v>March</v>
      </c>
    </row>
    <row r="565" spans="1:7" ht="15.75">
      <c r="A565" s="119" t="s">
        <v>510</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571</v>
      </c>
      <c r="B567" s="246" t="s">
        <v>885</v>
      </c>
      <c r="C567" s="56">
        <v>45730</v>
      </c>
      <c r="D567" s="124"/>
      <c r="E567" s="124"/>
      <c r="F567" s="124" t="s">
        <v>1024</v>
      </c>
      <c r="G567" t="str">
        <f t="shared" si="8"/>
        <v>March</v>
      </c>
    </row>
    <row r="568" spans="1:7">
      <c r="A568" s="119" t="s">
        <v>704</v>
      </c>
      <c r="B568" s="155" t="s">
        <v>470</v>
      </c>
      <c r="C568" s="56">
        <v>45730</v>
      </c>
      <c r="D568" s="151">
        <v>1903</v>
      </c>
      <c r="E568" s="151"/>
      <c r="F568" s="110" t="s">
        <v>1025</v>
      </c>
      <c r="G568" t="str">
        <f t="shared" si="8"/>
        <v>March</v>
      </c>
    </row>
    <row r="569" spans="1:7" ht="15.75">
      <c r="A569" s="119" t="s">
        <v>523</v>
      </c>
      <c r="B569" s="246" t="s">
        <v>152</v>
      </c>
      <c r="C569" s="56">
        <v>45730</v>
      </c>
      <c r="D569" s="124" t="s">
        <v>977</v>
      </c>
      <c r="E569" s="124"/>
      <c r="F569" s="124"/>
      <c r="G569" t="str">
        <f t="shared" si="8"/>
        <v>March</v>
      </c>
    </row>
    <row r="570" spans="1:7">
      <c r="A570" s="119" t="s">
        <v>621</v>
      </c>
      <c r="B570" s="214" t="s">
        <v>616</v>
      </c>
      <c r="C570" s="56">
        <v>45730</v>
      </c>
      <c r="D570" s="124" t="s">
        <v>977</v>
      </c>
      <c r="E570" s="124"/>
      <c r="F570" s="124"/>
      <c r="G570" t="str">
        <f t="shared" si="8"/>
        <v>March</v>
      </c>
    </row>
    <row r="571" spans="1:7" ht="15.75">
      <c r="A571" s="119" t="s">
        <v>574</v>
      </c>
      <c r="B571" s="246" t="s">
        <v>885</v>
      </c>
      <c r="C571" s="56">
        <v>45730</v>
      </c>
      <c r="D571" s="124" t="s">
        <v>977</v>
      </c>
      <c r="E571" s="124"/>
      <c r="F571" s="124"/>
      <c r="G571" t="str">
        <f t="shared" si="8"/>
        <v>March</v>
      </c>
    </row>
    <row r="572" spans="1:7" ht="15.75">
      <c r="A572" s="119" t="s">
        <v>551</v>
      </c>
      <c r="B572" s="246" t="s">
        <v>152</v>
      </c>
      <c r="C572" s="56">
        <v>45730</v>
      </c>
      <c r="D572" s="124" t="s">
        <v>977</v>
      </c>
      <c r="E572" s="124"/>
      <c r="F572" s="124"/>
      <c r="G572" t="str">
        <f t="shared" si="8"/>
        <v>March</v>
      </c>
    </row>
    <row r="573" spans="1:7">
      <c r="A573" s="119" t="s">
        <v>689</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682</v>
      </c>
      <c r="B575" s="158" t="s">
        <v>474</v>
      </c>
      <c r="C575" s="56">
        <v>45730</v>
      </c>
      <c r="D575" s="124" t="s">
        <v>977</v>
      </c>
      <c r="E575" s="124"/>
      <c r="F575" s="124"/>
      <c r="G575" t="str">
        <f t="shared" si="8"/>
        <v>March</v>
      </c>
    </row>
    <row r="576" spans="1:7">
      <c r="A576" s="119" t="s">
        <v>670</v>
      </c>
      <c r="B576" s="158" t="s">
        <v>616</v>
      </c>
      <c r="C576" s="56">
        <v>45730</v>
      </c>
      <c r="D576" s="124">
        <v>75</v>
      </c>
      <c r="E576" s="124"/>
      <c r="F576" s="134" t="s">
        <v>1026</v>
      </c>
      <c r="G576" t="str">
        <f t="shared" si="8"/>
        <v>March</v>
      </c>
    </row>
    <row r="577" spans="1:7">
      <c r="A577" s="119" t="s">
        <v>651</v>
      </c>
      <c r="B577" s="158" t="s">
        <v>474</v>
      </c>
      <c r="C577" s="56">
        <v>45730</v>
      </c>
      <c r="D577" s="151">
        <v>2048</v>
      </c>
      <c r="E577" s="151"/>
      <c r="F577" s="110" t="s">
        <v>1027</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1028</v>
      </c>
      <c r="G579" t="str">
        <f t="shared" ref="G579:G642" si="9">TEXT(C579,"mmmm")</f>
        <v>March</v>
      </c>
    </row>
    <row r="580" spans="1:7" ht="15.75">
      <c r="A580" s="119" t="s">
        <v>545</v>
      </c>
      <c r="B580" s="246" t="s">
        <v>152</v>
      </c>
      <c r="C580" s="56">
        <v>45730</v>
      </c>
      <c r="D580" s="124" t="s">
        <v>977</v>
      </c>
      <c r="E580" s="124"/>
      <c r="F580" s="124"/>
      <c r="G580" t="str">
        <f t="shared" si="9"/>
        <v>March</v>
      </c>
    </row>
    <row r="581" spans="1:7">
      <c r="A581" s="212" t="s">
        <v>605</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691</v>
      </c>
      <c r="B585" s="246" t="s">
        <v>885</v>
      </c>
      <c r="C585" s="56">
        <v>45733</v>
      </c>
      <c r="E585" s="43"/>
      <c r="F585" s="124" t="s">
        <v>977</v>
      </c>
      <c r="G585" t="str">
        <f t="shared" si="9"/>
        <v>March</v>
      </c>
    </row>
    <row r="586" spans="1:7">
      <c r="A586" s="118" t="s">
        <v>568</v>
      </c>
      <c r="B586" s="248" t="s">
        <v>474</v>
      </c>
      <c r="C586" s="56">
        <v>45733</v>
      </c>
      <c r="E586" s="43"/>
      <c r="F586" s="124" t="s">
        <v>977</v>
      </c>
      <c r="G586" t="str">
        <f t="shared" si="9"/>
        <v>March</v>
      </c>
    </row>
    <row r="587" spans="1:7" ht="15.75">
      <c r="A587" s="118" t="s">
        <v>602</v>
      </c>
      <c r="B587" s="246" t="s">
        <v>152</v>
      </c>
      <c r="C587" s="56">
        <v>45733</v>
      </c>
      <c r="E587" s="43"/>
      <c r="F587" s="124" t="s">
        <v>977</v>
      </c>
      <c r="G587" t="str">
        <f t="shared" si="9"/>
        <v>March</v>
      </c>
    </row>
    <row r="588" spans="1:7">
      <c r="A588" s="118" t="s">
        <v>666</v>
      </c>
      <c r="B588" s="159" t="s">
        <v>951</v>
      </c>
      <c r="C588" s="56">
        <v>45733</v>
      </c>
      <c r="E588" s="43"/>
      <c r="F588" s="124" t="s">
        <v>1010</v>
      </c>
      <c r="G588" t="str">
        <f t="shared" si="9"/>
        <v>March</v>
      </c>
    </row>
    <row r="589" spans="1:7">
      <c r="A589" s="118" t="s">
        <v>618</v>
      </c>
      <c r="B589" s="248" t="s">
        <v>384</v>
      </c>
      <c r="C589" s="56">
        <v>45733</v>
      </c>
      <c r="E589" s="43"/>
      <c r="F589" s="124" t="s">
        <v>977</v>
      </c>
      <c r="G589" t="str">
        <f t="shared" si="9"/>
        <v>March</v>
      </c>
    </row>
    <row r="590" spans="1:7">
      <c r="A590" s="118" t="s">
        <v>662</v>
      </c>
      <c r="B590" s="248" t="s">
        <v>474</v>
      </c>
      <c r="C590" s="56">
        <v>45733</v>
      </c>
      <c r="E590" s="43"/>
      <c r="F590" s="124" t="s">
        <v>977</v>
      </c>
      <c r="G590" t="str">
        <f t="shared" si="9"/>
        <v>March</v>
      </c>
    </row>
    <row r="591" spans="1:7">
      <c r="A591" s="118" t="s">
        <v>598</v>
      </c>
      <c r="B591" s="155" t="s">
        <v>470</v>
      </c>
      <c r="C591" s="56">
        <v>45733</v>
      </c>
      <c r="E591" s="43"/>
      <c r="F591" s="124" t="s">
        <v>977</v>
      </c>
      <c r="G591" t="str">
        <f t="shared" si="9"/>
        <v>March</v>
      </c>
    </row>
    <row r="592" spans="1:7">
      <c r="A592" s="118" t="s">
        <v>521</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680</v>
      </c>
      <c r="B596" s="214" t="s">
        <v>616</v>
      </c>
      <c r="C596" s="56">
        <v>45733</v>
      </c>
      <c r="E596" s="43"/>
      <c r="F596" s="124" t="s">
        <v>977</v>
      </c>
      <c r="G596" t="str">
        <f t="shared" si="9"/>
        <v>March</v>
      </c>
    </row>
    <row r="597" spans="1:7">
      <c r="A597" s="118" t="s">
        <v>678</v>
      </c>
      <c r="B597" s="214" t="s">
        <v>616</v>
      </c>
      <c r="C597" s="56">
        <v>45733</v>
      </c>
      <c r="E597" s="43"/>
      <c r="F597" s="124" t="s">
        <v>977</v>
      </c>
      <c r="G597" t="str">
        <f t="shared" si="9"/>
        <v>March</v>
      </c>
    </row>
    <row r="598" spans="1:7" ht="15.75">
      <c r="A598" s="118" t="s">
        <v>525</v>
      </c>
      <c r="B598" s="246" t="s">
        <v>152</v>
      </c>
      <c r="C598" s="56">
        <v>45733</v>
      </c>
      <c r="E598" s="43"/>
      <c r="F598" s="124" t="s">
        <v>977</v>
      </c>
      <c r="G598" t="str">
        <f t="shared" si="9"/>
        <v>March</v>
      </c>
    </row>
    <row r="599" spans="1:7">
      <c r="A599" s="118" t="s">
        <v>699</v>
      </c>
      <c r="B599" s="214" t="s">
        <v>659</v>
      </c>
      <c r="C599" s="56">
        <v>45733</v>
      </c>
      <c r="E599" s="43"/>
      <c r="F599" s="124" t="s">
        <v>977</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571</v>
      </c>
      <c r="B602" s="246" t="s">
        <v>885</v>
      </c>
      <c r="C602" s="56">
        <v>45733</v>
      </c>
      <c r="E602" s="43"/>
      <c r="F602" s="124" t="s">
        <v>977</v>
      </c>
      <c r="G602" t="str">
        <f t="shared" si="9"/>
        <v>March</v>
      </c>
    </row>
    <row r="603" spans="1:7" ht="15.75">
      <c r="A603" s="119" t="s">
        <v>523</v>
      </c>
      <c r="B603" s="246" t="s">
        <v>152</v>
      </c>
      <c r="C603" s="56">
        <v>45733</v>
      </c>
      <c r="E603" s="43"/>
      <c r="F603" s="124" t="s">
        <v>977</v>
      </c>
      <c r="G603" t="str">
        <f t="shared" si="9"/>
        <v>March</v>
      </c>
    </row>
    <row r="604" spans="1:7">
      <c r="A604" s="119" t="s">
        <v>621</v>
      </c>
      <c r="B604" s="214" t="s">
        <v>616</v>
      </c>
      <c r="C604" s="56">
        <v>45733</v>
      </c>
      <c r="D604" s="43">
        <v>15</v>
      </c>
      <c r="E604" s="43"/>
      <c r="F604" s="124" t="s">
        <v>1030</v>
      </c>
      <c r="G604" t="str">
        <f t="shared" si="9"/>
        <v>March</v>
      </c>
    </row>
    <row r="605" spans="1:7" ht="15.75">
      <c r="A605" s="119" t="s">
        <v>574</v>
      </c>
      <c r="B605" s="246" t="s">
        <v>885</v>
      </c>
      <c r="C605" s="56">
        <v>45733</v>
      </c>
      <c r="E605" s="43"/>
      <c r="F605" s="124" t="s">
        <v>977</v>
      </c>
      <c r="G605" t="str">
        <f t="shared" si="9"/>
        <v>March</v>
      </c>
    </row>
    <row r="606" spans="1:7" ht="15.75">
      <c r="A606" s="119" t="s">
        <v>551</v>
      </c>
      <c r="B606" s="246" t="s">
        <v>152</v>
      </c>
      <c r="C606" s="56">
        <v>45733</v>
      </c>
      <c r="E606" s="43"/>
      <c r="F606" s="124" t="s">
        <v>977</v>
      </c>
      <c r="G606" t="str">
        <f t="shared" si="9"/>
        <v>March</v>
      </c>
    </row>
    <row r="607" spans="1:7">
      <c r="A607" s="119" t="s">
        <v>689</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682</v>
      </c>
      <c r="B609" s="158" t="s">
        <v>474</v>
      </c>
      <c r="C609" s="56">
        <v>45733</v>
      </c>
      <c r="E609" s="43"/>
      <c r="F609" s="124" t="s">
        <v>977</v>
      </c>
      <c r="G609" t="str">
        <f t="shared" si="9"/>
        <v>March</v>
      </c>
    </row>
    <row r="610" spans="1:7">
      <c r="A610" s="119" t="s">
        <v>651</v>
      </c>
      <c r="B610" s="158" t="s">
        <v>474</v>
      </c>
      <c r="C610" s="56">
        <v>45733</v>
      </c>
      <c r="D610" s="43">
        <v>919</v>
      </c>
      <c r="E610" s="43"/>
      <c r="F610" s="124" t="s">
        <v>1031</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1032</v>
      </c>
      <c r="G612" t="str">
        <f t="shared" si="9"/>
        <v>March</v>
      </c>
    </row>
    <row r="613" spans="1:7" ht="15.75">
      <c r="A613" s="119" t="s">
        <v>545</v>
      </c>
      <c r="B613" s="246" t="s">
        <v>152</v>
      </c>
      <c r="C613" s="56">
        <v>45733</v>
      </c>
      <c r="D613" s="43">
        <v>1105</v>
      </c>
      <c r="E613" s="43"/>
      <c r="F613" s="124" t="s">
        <v>1033</v>
      </c>
      <c r="G613" t="str">
        <f t="shared" si="9"/>
        <v>March</v>
      </c>
    </row>
    <row r="614" spans="1:7">
      <c r="A614" s="212" t="s">
        <v>605</v>
      </c>
      <c r="B614" s="158" t="s">
        <v>474</v>
      </c>
      <c r="C614" s="56">
        <v>45733</v>
      </c>
      <c r="E614" s="43"/>
      <c r="F614" s="124" t="s">
        <v>977</v>
      </c>
      <c r="G614" t="str">
        <f t="shared" si="9"/>
        <v>March</v>
      </c>
    </row>
    <row r="615" spans="1:7" ht="15.75">
      <c r="A615" s="118" t="s">
        <v>519</v>
      </c>
      <c r="B615" s="246" t="s">
        <v>152</v>
      </c>
      <c r="C615" s="56">
        <v>45733</v>
      </c>
      <c r="D615" s="43">
        <v>920</v>
      </c>
      <c r="E615" s="43"/>
      <c r="F615" s="124" t="s">
        <v>1034</v>
      </c>
      <c r="G615" t="str">
        <f t="shared" si="9"/>
        <v>March</v>
      </c>
    </row>
    <row r="616" spans="1:7">
      <c r="A616" s="118" t="s">
        <v>590</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618</v>
      </c>
      <c r="B619" s="248" t="s">
        <v>384</v>
      </c>
      <c r="C619" s="56">
        <v>45734</v>
      </c>
      <c r="E619" s="43"/>
      <c r="F619" s="135" t="s">
        <v>1010</v>
      </c>
      <c r="G619" t="str">
        <f t="shared" si="9"/>
        <v>March</v>
      </c>
    </row>
    <row r="620" spans="1:7">
      <c r="A620" s="118" t="s">
        <v>678</v>
      </c>
      <c r="B620" s="214" t="s">
        <v>616</v>
      </c>
      <c r="C620" s="56">
        <v>45734</v>
      </c>
      <c r="D620" s="43">
        <v>1342</v>
      </c>
      <c r="E620" s="43"/>
      <c r="F620" s="43" t="s">
        <v>971</v>
      </c>
      <c r="G620" t="str">
        <f t="shared" si="9"/>
        <v>March</v>
      </c>
    </row>
    <row r="621" spans="1:7" ht="15.75">
      <c r="A621" s="118" t="s">
        <v>525</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1036</v>
      </c>
      <c r="G623" t="str">
        <f t="shared" si="9"/>
        <v>March</v>
      </c>
    </row>
    <row r="624" spans="1:7">
      <c r="A624" s="119" t="s">
        <v>847</v>
      </c>
      <c r="B624" s="158" t="s">
        <v>659</v>
      </c>
      <c r="C624" s="56">
        <v>45734</v>
      </c>
      <c r="D624" s="43">
        <v>841</v>
      </c>
      <c r="E624" s="43"/>
      <c r="F624" s="43" t="s">
        <v>1037</v>
      </c>
      <c r="G624" t="str">
        <f t="shared" si="9"/>
        <v>March</v>
      </c>
    </row>
    <row r="625" spans="1:7">
      <c r="A625" s="119" t="s">
        <v>656</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686</v>
      </c>
      <c r="B627" s="110" t="s">
        <v>638</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666</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680</v>
      </c>
      <c r="B632" s="142" t="s">
        <v>616</v>
      </c>
      <c r="C632" s="56">
        <v>45735</v>
      </c>
      <c r="D632" s="151">
        <v>1409</v>
      </c>
      <c r="E632" s="43"/>
      <c r="F632" s="110" t="s">
        <v>1041</v>
      </c>
      <c r="G632" t="str">
        <f t="shared" si="9"/>
        <v>March</v>
      </c>
    </row>
    <row r="633" spans="1:7">
      <c r="A633" s="214" t="s">
        <v>571</v>
      </c>
      <c r="B633" s="142" t="s">
        <v>474</v>
      </c>
      <c r="C633" s="56">
        <v>45735</v>
      </c>
      <c r="D633" s="124">
        <v>200</v>
      </c>
      <c r="E633" s="43"/>
      <c r="F633" s="110" t="s">
        <v>1042</v>
      </c>
      <c r="G633" t="str">
        <f t="shared" si="9"/>
        <v>March</v>
      </c>
    </row>
    <row r="634" spans="1:7">
      <c r="A634" s="214" t="s">
        <v>682</v>
      </c>
      <c r="B634" s="142" t="s">
        <v>474</v>
      </c>
      <c r="C634" s="56">
        <v>45735</v>
      </c>
      <c r="D634" s="151">
        <v>1460</v>
      </c>
      <c r="E634" s="43"/>
      <c r="F634" s="110" t="s">
        <v>1043</v>
      </c>
      <c r="G634" t="str">
        <f t="shared" si="9"/>
        <v>March</v>
      </c>
    </row>
    <row r="635" spans="1:7">
      <c r="A635" s="214" t="s">
        <v>847</v>
      </c>
      <c r="B635" s="142" t="s">
        <v>659</v>
      </c>
      <c r="C635" s="56">
        <v>45735</v>
      </c>
      <c r="D635" s="124">
        <v>18</v>
      </c>
      <c r="E635" s="43"/>
      <c r="F635" s="110" t="s">
        <v>1044</v>
      </c>
      <c r="G635" t="str">
        <f t="shared" si="9"/>
        <v>March</v>
      </c>
    </row>
    <row r="636" spans="1:7">
      <c r="A636" s="214" t="s">
        <v>590</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1047</v>
      </c>
      <c r="G639" t="str">
        <f t="shared" si="9"/>
        <v>March</v>
      </c>
    </row>
    <row r="640" spans="1:7">
      <c r="A640" s="214" t="s">
        <v>893</v>
      </c>
      <c r="B640" s="248" t="s">
        <v>616</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977</v>
      </c>
      <c r="E642" s="43"/>
      <c r="G642" t="str">
        <f t="shared" si="9"/>
        <v>March</v>
      </c>
    </row>
    <row r="643" spans="1:7">
      <c r="A643" s="214" t="s">
        <v>590</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686</v>
      </c>
      <c r="B645" s="214" t="s">
        <v>638</v>
      </c>
      <c r="C645" s="56">
        <v>45736</v>
      </c>
      <c r="D645" s="124" t="s">
        <v>977</v>
      </c>
      <c r="E645" s="43"/>
      <c r="G645" t="str">
        <f t="shared" si="10"/>
        <v>March</v>
      </c>
    </row>
    <row r="646" spans="1:7">
      <c r="A646" s="214" t="s">
        <v>664</v>
      </c>
      <c r="B646" s="247" t="s">
        <v>130</v>
      </c>
      <c r="C646" s="56">
        <v>45736</v>
      </c>
      <c r="D646" s="151">
        <v>1964</v>
      </c>
      <c r="E646" s="43"/>
      <c r="F646" s="110" t="s">
        <v>1050</v>
      </c>
      <c r="G646" t="str">
        <f t="shared" si="10"/>
        <v>March</v>
      </c>
    </row>
    <row r="647" spans="1:7">
      <c r="A647" s="214" t="s">
        <v>682</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651</v>
      </c>
      <c r="B649" s="214"/>
      <c r="C649" s="56">
        <v>45736</v>
      </c>
      <c r="D649" s="124">
        <v>836</v>
      </c>
      <c r="E649" s="43"/>
      <c r="F649" s="134" t="s">
        <v>1052</v>
      </c>
      <c r="G649" t="str">
        <f t="shared" si="10"/>
        <v>March</v>
      </c>
    </row>
    <row r="650" spans="1:7" ht="15.75">
      <c r="A650" s="214" t="s">
        <v>510</v>
      </c>
      <c r="B650" s="246" t="s">
        <v>885</v>
      </c>
      <c r="C650" s="56">
        <v>45736</v>
      </c>
      <c r="D650" s="213">
        <v>6275</v>
      </c>
      <c r="E650" s="43"/>
      <c r="F650" s="43" t="s">
        <v>1021</v>
      </c>
      <c r="G650" t="str">
        <f t="shared" si="10"/>
        <v>March</v>
      </c>
    </row>
    <row r="651" spans="1:7">
      <c r="A651" s="214" t="s">
        <v>680</v>
      </c>
      <c r="B651" s="214" t="s">
        <v>616</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977</v>
      </c>
      <c r="E653" s="43"/>
      <c r="G653" t="str">
        <f t="shared" si="10"/>
        <v>March</v>
      </c>
    </row>
    <row r="654" spans="1:7">
      <c r="A654" s="214" t="s">
        <v>590</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686</v>
      </c>
      <c r="B656" s="158" t="s">
        <v>638</v>
      </c>
      <c r="C656" s="56">
        <v>45736</v>
      </c>
      <c r="D656" s="124" t="s">
        <v>977</v>
      </c>
      <c r="E656" s="43"/>
      <c r="G656" t="str">
        <f t="shared" si="10"/>
        <v>March</v>
      </c>
    </row>
    <row r="657" spans="1:7">
      <c r="A657" s="214" t="s">
        <v>664</v>
      </c>
      <c r="B657" s="247" t="s">
        <v>130</v>
      </c>
      <c r="C657" s="56">
        <v>45736</v>
      </c>
      <c r="D657" s="151">
        <v>1964</v>
      </c>
      <c r="E657" s="43"/>
      <c r="F657" s="110" t="s">
        <v>1050</v>
      </c>
      <c r="G657" t="str">
        <f t="shared" si="10"/>
        <v>March</v>
      </c>
    </row>
    <row r="658" spans="1:7">
      <c r="A658" s="214" t="s">
        <v>682</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651</v>
      </c>
      <c r="B660" s="142"/>
      <c r="C660" s="56">
        <v>45736</v>
      </c>
      <c r="D660" s="124">
        <v>836</v>
      </c>
      <c r="E660" s="43"/>
      <c r="F660" s="134" t="s">
        <v>1052</v>
      </c>
      <c r="G660" t="str">
        <f t="shared" si="10"/>
        <v>March</v>
      </c>
    </row>
    <row r="661" spans="1:7" ht="15.75">
      <c r="A661" s="214" t="s">
        <v>510</v>
      </c>
      <c r="B661" s="246" t="s">
        <v>885</v>
      </c>
      <c r="C661" s="56">
        <v>45736</v>
      </c>
      <c r="E661" s="43"/>
      <c r="F661" s="142" t="s">
        <v>1021</v>
      </c>
      <c r="G661" t="str">
        <f t="shared" si="10"/>
        <v>March</v>
      </c>
    </row>
    <row r="662" spans="1:7">
      <c r="A662" s="214" t="s">
        <v>680</v>
      </c>
      <c r="B662" s="142" t="s">
        <v>616</v>
      </c>
      <c r="C662" s="56">
        <v>45737</v>
      </c>
      <c r="D662" s="124"/>
      <c r="E662" s="43"/>
      <c r="F662" s="124" t="s">
        <v>1053</v>
      </c>
      <c r="G662" t="str">
        <f t="shared" si="10"/>
        <v>March</v>
      </c>
    </row>
    <row r="663" spans="1:7">
      <c r="A663" s="214" t="s">
        <v>847</v>
      </c>
      <c r="B663" s="110" t="s">
        <v>659</v>
      </c>
      <c r="C663" s="56">
        <v>45737</v>
      </c>
      <c r="D663" s="124"/>
      <c r="E663" s="43"/>
      <c r="F663" s="124" t="s">
        <v>1054</v>
      </c>
      <c r="G663" t="str">
        <f t="shared" si="10"/>
        <v>March</v>
      </c>
    </row>
    <row r="664" spans="1:7">
      <c r="A664" s="214" t="s">
        <v>590</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664</v>
      </c>
      <c r="B666" s="247" t="s">
        <v>130</v>
      </c>
      <c r="C666" s="56">
        <v>45737</v>
      </c>
      <c r="D666" s="151">
        <v>1528</v>
      </c>
      <c r="E666" s="43"/>
      <c r="F666" s="134" t="s">
        <v>1057</v>
      </c>
      <c r="G666" t="str">
        <f t="shared" si="10"/>
        <v>March</v>
      </c>
    </row>
    <row r="667" spans="1:7">
      <c r="A667" s="214" t="s">
        <v>682</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651</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621</v>
      </c>
      <c r="B671" s="158" t="s">
        <v>616</v>
      </c>
      <c r="C671" s="56">
        <v>45737</v>
      </c>
      <c r="D671" s="124"/>
      <c r="E671" s="43"/>
      <c r="F671" s="124" t="s">
        <v>1053</v>
      </c>
      <c r="G671" t="str">
        <f t="shared" si="10"/>
        <v>March</v>
      </c>
    </row>
    <row r="672" spans="1:7">
      <c r="A672" s="214" t="s">
        <v>605</v>
      </c>
      <c r="B672" s="158" t="s">
        <v>474</v>
      </c>
      <c r="C672" s="56">
        <v>45737</v>
      </c>
      <c r="D672" s="124">
        <v>360</v>
      </c>
      <c r="E672" s="43"/>
      <c r="F672" s="110" t="s">
        <v>1060</v>
      </c>
      <c r="G672" t="str">
        <f t="shared" si="10"/>
        <v>March</v>
      </c>
    </row>
    <row r="673" spans="1:7">
      <c r="A673" s="142" t="s">
        <v>691</v>
      </c>
      <c r="B673" s="247" t="s">
        <v>130</v>
      </c>
      <c r="C673" s="56">
        <v>45740</v>
      </c>
      <c r="D673" s="142">
        <v>762</v>
      </c>
      <c r="E673" s="110" t="s">
        <v>1061</v>
      </c>
      <c r="G673" t="str">
        <f t="shared" si="10"/>
        <v>March</v>
      </c>
    </row>
    <row r="674" spans="1:7">
      <c r="A674" s="155" t="s">
        <v>666</v>
      </c>
      <c r="B674" s="155" t="s">
        <v>951</v>
      </c>
      <c r="C674" s="56">
        <v>45740</v>
      </c>
      <c r="D674" s="155"/>
      <c r="E674" s="43"/>
      <c r="F674" s="155" t="s">
        <v>1062</v>
      </c>
      <c r="G674" t="str">
        <f t="shared" si="10"/>
        <v>March</v>
      </c>
    </row>
    <row r="675" spans="1:7">
      <c r="A675" s="142" t="s">
        <v>682</v>
      </c>
      <c r="B675" s="142" t="s">
        <v>474</v>
      </c>
      <c r="C675" s="56">
        <v>45740</v>
      </c>
      <c r="D675" s="142">
        <v>982</v>
      </c>
      <c r="E675" s="43" t="s">
        <v>1063</v>
      </c>
      <c r="F675" s="110" t="s">
        <v>955</v>
      </c>
      <c r="G675" t="str">
        <f t="shared" si="10"/>
        <v>March</v>
      </c>
    </row>
    <row r="676" spans="1:7">
      <c r="A676" s="142" t="s">
        <v>584</v>
      </c>
      <c r="B676" s="142" t="s">
        <v>474</v>
      </c>
      <c r="C676" s="56">
        <v>45740</v>
      </c>
      <c r="D676" s="142">
        <v>691</v>
      </c>
      <c r="E676" s="43"/>
      <c r="F676" s="110" t="s">
        <v>1064</v>
      </c>
      <c r="G676" t="str">
        <f t="shared" si="10"/>
        <v>March</v>
      </c>
    </row>
    <row r="677" spans="1:7" ht="15.75">
      <c r="A677" s="142" t="s">
        <v>587</v>
      </c>
      <c r="B677" s="246" t="s">
        <v>152</v>
      </c>
      <c r="C677" s="56">
        <v>45740</v>
      </c>
      <c r="D677" s="143">
        <v>1430</v>
      </c>
      <c r="E677" s="110" t="s">
        <v>956</v>
      </c>
      <c r="F677" s="110" t="s">
        <v>1065</v>
      </c>
      <c r="G677" t="str">
        <f t="shared" si="10"/>
        <v>March</v>
      </c>
    </row>
    <row r="678" spans="1:7" ht="15.75">
      <c r="A678" s="142" t="s">
        <v>593</v>
      </c>
      <c r="B678" s="246" t="s">
        <v>152</v>
      </c>
      <c r="C678" s="56">
        <v>45740</v>
      </c>
      <c r="D678" s="143">
        <v>1460</v>
      </c>
      <c r="E678" s="43"/>
      <c r="F678" s="110" t="s">
        <v>955</v>
      </c>
      <c r="G678" t="str">
        <f t="shared" si="10"/>
        <v>March</v>
      </c>
    </row>
    <row r="679" spans="1:7">
      <c r="A679" s="142" t="s">
        <v>691</v>
      </c>
      <c r="B679" s="158" t="s">
        <v>616</v>
      </c>
      <c r="C679" s="56">
        <v>45740</v>
      </c>
      <c r="D679" s="142"/>
      <c r="E679" s="43"/>
      <c r="F679" s="142" t="s">
        <v>1066</v>
      </c>
      <c r="G679" t="str">
        <f t="shared" si="10"/>
        <v>March</v>
      </c>
    </row>
    <row r="680" spans="1:7">
      <c r="A680" s="142" t="s">
        <v>590</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598</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682</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587</v>
      </c>
      <c r="B690" s="246" t="s">
        <v>152</v>
      </c>
      <c r="C690" s="56">
        <v>45741</v>
      </c>
      <c r="D690" s="143">
        <v>1383</v>
      </c>
      <c r="E690" s="110" t="s">
        <v>1073</v>
      </c>
      <c r="F690" s="110" t="s">
        <v>1074</v>
      </c>
      <c r="G690" t="str">
        <f t="shared" si="10"/>
        <v>March</v>
      </c>
    </row>
    <row r="691" spans="1:7" ht="15.75">
      <c r="A691" s="142" t="s">
        <v>593</v>
      </c>
      <c r="B691" s="246" t="s">
        <v>152</v>
      </c>
      <c r="C691" s="56">
        <v>45741</v>
      </c>
      <c r="D691" s="143">
        <v>1350</v>
      </c>
      <c r="E691" s="110" t="s">
        <v>1075</v>
      </c>
      <c r="F691" s="110" t="s">
        <v>1076</v>
      </c>
      <c r="G691" t="str">
        <f t="shared" si="10"/>
        <v>March</v>
      </c>
    </row>
    <row r="692" spans="1:7">
      <c r="A692" s="142" t="s">
        <v>621</v>
      </c>
      <c r="B692" s="158" t="s">
        <v>616</v>
      </c>
      <c r="C692" s="56">
        <v>45741</v>
      </c>
      <c r="D692" s="142" t="s">
        <v>977</v>
      </c>
      <c r="E692" s="43"/>
      <c r="G692" t="str">
        <f t="shared" si="10"/>
        <v>March</v>
      </c>
    </row>
    <row r="693" spans="1:7">
      <c r="A693" s="142" t="s">
        <v>691</v>
      </c>
      <c r="B693" s="158" t="s">
        <v>616</v>
      </c>
      <c r="C693" s="56">
        <v>45741</v>
      </c>
      <c r="D693" s="142" t="s">
        <v>977</v>
      </c>
      <c r="E693" s="43"/>
      <c r="G693" t="str">
        <f t="shared" si="10"/>
        <v>March</v>
      </c>
    </row>
    <row r="694" spans="1:7">
      <c r="A694" s="142" t="s">
        <v>590</v>
      </c>
      <c r="B694" s="155" t="s">
        <v>470</v>
      </c>
      <c r="C694" s="56">
        <v>45741</v>
      </c>
      <c r="D694" s="142">
        <v>630</v>
      </c>
      <c r="E694" s="43" t="s">
        <v>1077</v>
      </c>
      <c r="F694" s="110" t="s">
        <v>1076</v>
      </c>
      <c r="G694" t="str">
        <f t="shared" si="10"/>
        <v>March</v>
      </c>
    </row>
    <row r="695" spans="1:7">
      <c r="A695" s="142" t="s">
        <v>847</v>
      </c>
      <c r="B695" s="142" t="s">
        <v>659</v>
      </c>
      <c r="C695" s="56">
        <v>45741</v>
      </c>
      <c r="D695" s="142" t="s">
        <v>977</v>
      </c>
      <c r="E695" s="43"/>
      <c r="G695" t="str">
        <f t="shared" si="10"/>
        <v>March</v>
      </c>
    </row>
    <row r="696" spans="1:7" ht="15.75">
      <c r="A696" s="142" t="s">
        <v>599</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704</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666</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682</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587</v>
      </c>
      <c r="B713" s="246" t="s">
        <v>152</v>
      </c>
      <c r="C713" s="56">
        <v>45742</v>
      </c>
      <c r="D713" s="213">
        <v>1334</v>
      </c>
      <c r="E713" s="110" t="s">
        <v>995</v>
      </c>
      <c r="F713" s="110" t="s">
        <v>956</v>
      </c>
      <c r="G713" t="str">
        <f t="shared" si="11"/>
        <v>March</v>
      </c>
    </row>
    <row r="714" spans="1:7" ht="15.75">
      <c r="A714" s="142" t="s">
        <v>593</v>
      </c>
      <c r="B714" s="246" t="s">
        <v>152</v>
      </c>
      <c r="C714" s="56">
        <v>45742</v>
      </c>
      <c r="D714" s="213">
        <v>1507</v>
      </c>
      <c r="E714" s="110" t="s">
        <v>995</v>
      </c>
      <c r="F714" s="110" t="s">
        <v>956</v>
      </c>
      <c r="G714" t="str">
        <f t="shared" si="11"/>
        <v>March</v>
      </c>
    </row>
    <row r="715" spans="1:7">
      <c r="A715" s="142" t="s">
        <v>621</v>
      </c>
      <c r="B715" s="158" t="s">
        <v>616</v>
      </c>
      <c r="C715" s="56">
        <v>45742</v>
      </c>
      <c r="D715" s="214" t="s">
        <v>977</v>
      </c>
      <c r="E715" s="43"/>
      <c r="G715" t="str">
        <f t="shared" si="11"/>
        <v>March</v>
      </c>
    </row>
    <row r="716" spans="1:7">
      <c r="A716" s="142" t="s">
        <v>691</v>
      </c>
      <c r="B716" s="158" t="s">
        <v>616</v>
      </c>
      <c r="C716" s="56">
        <v>45742</v>
      </c>
      <c r="D716" s="214" t="s">
        <v>977</v>
      </c>
      <c r="E716" s="43"/>
      <c r="G716" t="str">
        <f t="shared" si="11"/>
        <v>March</v>
      </c>
    </row>
    <row r="717" spans="1:7">
      <c r="A717" s="142" t="s">
        <v>590</v>
      </c>
      <c r="B717" s="155" t="s">
        <v>470</v>
      </c>
      <c r="C717" s="56">
        <v>45742</v>
      </c>
      <c r="D717" s="214">
        <v>894</v>
      </c>
      <c r="E717" s="43" t="s">
        <v>1078</v>
      </c>
      <c r="F717" s="110" t="s">
        <v>960</v>
      </c>
      <c r="G717" t="str">
        <f t="shared" si="11"/>
        <v>March</v>
      </c>
    </row>
    <row r="718" spans="1:7">
      <c r="A718" s="142" t="s">
        <v>847</v>
      </c>
      <c r="B718" s="214" t="s">
        <v>659</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704</v>
      </c>
      <c r="B722" s="155" t="s">
        <v>470</v>
      </c>
      <c r="C722" s="56">
        <v>45742</v>
      </c>
      <c r="D722" s="214"/>
      <c r="E722" s="43"/>
      <c r="F722" s="214" t="s">
        <v>999</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1088</v>
      </c>
      <c r="G725" t="str">
        <f t="shared" si="11"/>
        <v>March</v>
      </c>
    </row>
    <row r="726" spans="1:7">
      <c r="A726" s="135" t="s">
        <v>341</v>
      </c>
      <c r="B726" s="142" t="s">
        <v>638</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587</v>
      </c>
      <c r="B732" s="246" t="s">
        <v>152</v>
      </c>
      <c r="C732" s="56">
        <v>45743</v>
      </c>
      <c r="D732" s="213">
        <v>1548</v>
      </c>
      <c r="E732" s="110" t="s">
        <v>1093</v>
      </c>
      <c r="F732" s="110" t="s">
        <v>955</v>
      </c>
      <c r="G732" t="str">
        <f t="shared" si="11"/>
        <v>March</v>
      </c>
    </row>
    <row r="733" spans="1:7">
      <c r="A733" s="142" t="s">
        <v>621</v>
      </c>
      <c r="B733" s="158" t="s">
        <v>616</v>
      </c>
      <c r="C733" s="56">
        <v>45743</v>
      </c>
      <c r="D733" s="214">
        <v>137</v>
      </c>
      <c r="E733" s="43" t="s">
        <v>1094</v>
      </c>
      <c r="F733" s="134" t="s">
        <v>1095</v>
      </c>
      <c r="G733" t="str">
        <f t="shared" si="11"/>
        <v>March</v>
      </c>
    </row>
    <row r="734" spans="1:7">
      <c r="A734" s="142" t="s">
        <v>691</v>
      </c>
      <c r="B734" s="158" t="s">
        <v>616</v>
      </c>
      <c r="C734" s="56">
        <v>45743</v>
      </c>
      <c r="D734" s="214" t="s">
        <v>977</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704</v>
      </c>
      <c r="B740" s="155" t="s">
        <v>470</v>
      </c>
      <c r="C740" s="56">
        <v>45743</v>
      </c>
      <c r="D740" s="159"/>
      <c r="E740" s="43"/>
      <c r="F740" s="159" t="s">
        <v>1097</v>
      </c>
      <c r="G740" t="str">
        <f t="shared" si="11"/>
        <v>March</v>
      </c>
      <c r="H740" s="165"/>
      <c r="I740" s="258"/>
      <c r="J740" s="258"/>
      <c r="K740" s="165"/>
      <c r="L740" s="165"/>
      <c r="M740" s="165"/>
    </row>
    <row r="741" spans="1:13" ht="15.75">
      <c r="A741" s="142" t="s">
        <v>593</v>
      </c>
      <c r="B741" s="246" t="s">
        <v>152</v>
      </c>
      <c r="C741" s="56">
        <v>45743</v>
      </c>
      <c r="D741" s="214"/>
      <c r="E741" s="43"/>
      <c r="F741" s="214" t="s">
        <v>1098</v>
      </c>
      <c r="G741" t="str">
        <f t="shared" si="11"/>
        <v>March</v>
      </c>
      <c r="H741" s="165"/>
      <c r="I741" s="258"/>
      <c r="J741" s="258"/>
      <c r="K741" s="165"/>
      <c r="L741" s="165"/>
      <c r="M741" s="165"/>
    </row>
    <row r="742" spans="1:13">
      <c r="A742" s="142" t="s">
        <v>691</v>
      </c>
      <c r="B742" s="158" t="s">
        <v>1099</v>
      </c>
      <c r="C742" s="56">
        <v>45743</v>
      </c>
      <c r="D742" s="142">
        <v>76</v>
      </c>
      <c r="E742" s="43"/>
      <c r="F742" s="110" t="s">
        <v>1100</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593</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593</v>
      </c>
      <c r="B750" s="246" t="s">
        <v>152</v>
      </c>
      <c r="C750" s="56">
        <v>45744</v>
      </c>
      <c r="D750" s="214">
        <v>757</v>
      </c>
      <c r="E750" s="43" t="s">
        <v>1065</v>
      </c>
      <c r="F750" s="43" t="s">
        <v>954</v>
      </c>
      <c r="G750" t="str">
        <f t="shared" si="11"/>
        <v>March</v>
      </c>
      <c r="H750" s="165"/>
      <c r="I750" s="165"/>
      <c r="J750" s="165"/>
      <c r="K750" s="165"/>
      <c r="L750" s="165"/>
      <c r="M750" s="165"/>
    </row>
    <row r="751" spans="1:13">
      <c r="A751" s="142" t="s">
        <v>621</v>
      </c>
      <c r="B751" s="158" t="s">
        <v>616</v>
      </c>
      <c r="C751" s="56">
        <v>45744</v>
      </c>
      <c r="D751" s="214"/>
      <c r="E751" s="43"/>
      <c r="F751" s="214" t="s">
        <v>1101</v>
      </c>
      <c r="G751" t="str">
        <f t="shared" si="11"/>
        <v>March</v>
      </c>
      <c r="H751" s="165"/>
      <c r="I751" s="165"/>
      <c r="J751" s="165"/>
      <c r="K751" s="165"/>
      <c r="L751" s="165"/>
      <c r="M751" s="165"/>
    </row>
    <row r="752" spans="1:13">
      <c r="A752" s="142" t="s">
        <v>691</v>
      </c>
      <c r="B752" s="158" t="s">
        <v>616</v>
      </c>
      <c r="C752" s="56">
        <v>45744</v>
      </c>
      <c r="D752" s="214"/>
      <c r="E752" s="43"/>
      <c r="F752" s="214" t="s">
        <v>977</v>
      </c>
      <c r="G752" t="str">
        <f t="shared" si="11"/>
        <v>March</v>
      </c>
      <c r="H752" s="165"/>
      <c r="I752" s="165"/>
      <c r="J752" s="165"/>
      <c r="K752" s="165"/>
      <c r="L752" s="165"/>
      <c r="M752" s="165"/>
    </row>
    <row r="753" spans="1:13">
      <c r="A753" s="142" t="s">
        <v>847</v>
      </c>
      <c r="B753" s="142" t="s">
        <v>659</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510</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1098</v>
      </c>
      <c r="G758" t="str">
        <f t="shared" si="11"/>
        <v>March</v>
      </c>
    </row>
    <row r="759" spans="1:13">
      <c r="A759" s="135" t="s">
        <v>341</v>
      </c>
      <c r="B759" s="142" t="s">
        <v>638</v>
      </c>
      <c r="C759" s="56">
        <v>45744</v>
      </c>
      <c r="D759" s="214" t="s">
        <v>977</v>
      </c>
      <c r="E759" s="43"/>
      <c r="G759" t="str">
        <f t="shared" si="11"/>
        <v>March</v>
      </c>
    </row>
    <row r="760" spans="1:13">
      <c r="A760" s="135" t="s">
        <v>710</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593</v>
      </c>
      <c r="B766" s="246" t="s">
        <v>152</v>
      </c>
      <c r="C766" s="56">
        <v>45747</v>
      </c>
      <c r="D766" s="214">
        <v>695</v>
      </c>
      <c r="E766" s="110" t="s">
        <v>1078</v>
      </c>
      <c r="F766" s="110" t="s">
        <v>950</v>
      </c>
      <c r="G766" t="str">
        <f t="shared" si="11"/>
        <v>March</v>
      </c>
    </row>
    <row r="767" spans="1:13">
      <c r="A767" s="142" t="s">
        <v>691</v>
      </c>
      <c r="B767" s="158" t="s">
        <v>616</v>
      </c>
      <c r="C767" s="56">
        <v>45747</v>
      </c>
      <c r="D767" s="214">
        <v>644</v>
      </c>
      <c r="E767" s="43"/>
      <c r="F767" s="110" t="s">
        <v>1109</v>
      </c>
      <c r="G767" t="str">
        <f t="shared" si="11"/>
        <v>March</v>
      </c>
    </row>
    <row r="768" spans="1:13">
      <c r="A768" s="142" t="s">
        <v>900</v>
      </c>
      <c r="B768" s="158" t="s">
        <v>616</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651</v>
      </c>
      <c r="B771" s="155" t="s">
        <v>470</v>
      </c>
      <c r="C771" s="56">
        <v>45747</v>
      </c>
      <c r="D771" s="214">
        <v>0</v>
      </c>
      <c r="E771" s="43"/>
      <c r="F771" s="214" t="s">
        <v>1112</v>
      </c>
      <c r="G771" t="str">
        <f t="shared" ref="G771:G834" si="12">TEXT(C771,"mmmm")</f>
        <v>March</v>
      </c>
      <c r="H771" s="258"/>
      <c r="I771" s="258"/>
      <c r="J771" s="258"/>
      <c r="K771" s="165"/>
    </row>
    <row r="772" spans="1:11">
      <c r="A772" s="142" t="s">
        <v>595</v>
      </c>
      <c r="B772" s="142" t="s">
        <v>474</v>
      </c>
      <c r="C772" s="56">
        <v>45747</v>
      </c>
      <c r="D772" s="142">
        <v>745</v>
      </c>
      <c r="E772" s="43"/>
      <c r="F772" s="110" t="s">
        <v>1113</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966</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1114</v>
      </c>
      <c r="G776" t="str">
        <f t="shared" si="12"/>
        <v>March</v>
      </c>
      <c r="H776" s="165"/>
      <c r="I776" s="165"/>
      <c r="J776" s="165"/>
      <c r="K776" s="165"/>
    </row>
    <row r="777" spans="1:11">
      <c r="A777" s="135" t="s">
        <v>710</v>
      </c>
      <c r="B777" s="142" t="s">
        <v>507</v>
      </c>
      <c r="C777" s="56">
        <v>45747</v>
      </c>
      <c r="D777" s="142">
        <v>0</v>
      </c>
      <c r="E777" s="43"/>
      <c r="F777" s="142" t="s">
        <v>976</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616</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704</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1115</v>
      </c>
      <c r="E789" s="43"/>
      <c r="G789" t="str">
        <f t="shared" si="12"/>
        <v>April</v>
      </c>
      <c r="H789" s="165"/>
      <c r="I789" s="165"/>
      <c r="J789" s="165"/>
      <c r="K789" s="165"/>
    </row>
    <row r="790" spans="1:11" ht="15.75">
      <c r="A790" s="142" t="s">
        <v>713</v>
      </c>
      <c r="B790" s="246" t="s">
        <v>152</v>
      </c>
      <c r="C790" s="56">
        <v>45748</v>
      </c>
      <c r="D790" s="142"/>
      <c r="E790" s="43"/>
      <c r="F790" s="142" t="s">
        <v>1116</v>
      </c>
      <c r="G790" t="str">
        <f t="shared" si="12"/>
        <v>April</v>
      </c>
      <c r="H790" s="165"/>
      <c r="I790" s="165"/>
      <c r="J790" s="165"/>
      <c r="K790" s="165"/>
    </row>
    <row r="791" spans="1:11">
      <c r="A791" s="135" t="s">
        <v>341</v>
      </c>
      <c r="B791" s="142" t="s">
        <v>638</v>
      </c>
      <c r="C791" s="56">
        <v>45748</v>
      </c>
      <c r="D791" s="142" t="s">
        <v>977</v>
      </c>
      <c r="E791" s="43"/>
      <c r="G791" t="str">
        <f t="shared" si="12"/>
        <v>April</v>
      </c>
      <c r="H791" s="165"/>
      <c r="I791" s="165"/>
      <c r="J791" s="165"/>
      <c r="K791" s="165"/>
    </row>
    <row r="792" spans="1:11">
      <c r="A792" s="135" t="s">
        <v>710</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616</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704</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955</v>
      </c>
      <c r="G803" t="str">
        <f t="shared" si="12"/>
        <v>April</v>
      </c>
    </row>
    <row r="804" spans="1:11" ht="15.75">
      <c r="A804" s="142" t="s">
        <v>713</v>
      </c>
      <c r="B804" s="246" t="s">
        <v>152</v>
      </c>
      <c r="C804" s="56">
        <v>45749</v>
      </c>
      <c r="D804" s="142">
        <v>0</v>
      </c>
      <c r="E804" s="43"/>
      <c r="F804" s="142" t="s">
        <v>1116</v>
      </c>
      <c r="G804" t="str">
        <f t="shared" si="12"/>
        <v>April</v>
      </c>
    </row>
    <row r="805" spans="1:11">
      <c r="A805" s="135" t="s">
        <v>341</v>
      </c>
      <c r="B805" s="142" t="s">
        <v>638</v>
      </c>
      <c r="C805" s="56">
        <v>45749</v>
      </c>
      <c r="D805" s="142" t="s">
        <v>977</v>
      </c>
      <c r="E805" s="43"/>
      <c r="G805" t="str">
        <f t="shared" si="12"/>
        <v>April</v>
      </c>
    </row>
    <row r="806" spans="1:11">
      <c r="A806" s="135" t="s">
        <v>710</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1119</v>
      </c>
      <c r="G810" t="str">
        <f t="shared" si="12"/>
        <v>April</v>
      </c>
    </row>
    <row r="811" spans="1:11">
      <c r="A811" s="142" t="s">
        <v>900</v>
      </c>
      <c r="B811" s="158" t="s">
        <v>616</v>
      </c>
      <c r="C811" s="56">
        <v>45750</v>
      </c>
      <c r="D811" s="156">
        <v>1328</v>
      </c>
      <c r="E811" s="43"/>
      <c r="F811" s="43" t="s">
        <v>1120</v>
      </c>
      <c r="G811" t="str">
        <f t="shared" si="12"/>
        <v>April</v>
      </c>
    </row>
    <row r="812" spans="1:11">
      <c r="A812" s="142" t="s">
        <v>684</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676</v>
      </c>
      <c r="B814" s="142" t="s">
        <v>507</v>
      </c>
      <c r="C814" s="56">
        <v>45750</v>
      </c>
      <c r="D814" s="156">
        <v>1265</v>
      </c>
      <c r="E814" s="43"/>
      <c r="F814" s="78" t="s">
        <v>1123</v>
      </c>
      <c r="G814" t="str">
        <f t="shared" si="12"/>
        <v>April</v>
      </c>
    </row>
    <row r="815" spans="1:11" ht="15.75">
      <c r="A815" s="142" t="s">
        <v>512</v>
      </c>
      <c r="B815" s="246" t="s">
        <v>885</v>
      </c>
      <c r="C815" s="56">
        <v>45750</v>
      </c>
      <c r="D815" s="43">
        <v>302</v>
      </c>
      <c r="E815" s="43"/>
      <c r="F815" s="43" t="s">
        <v>1102</v>
      </c>
      <c r="G815" t="str">
        <f t="shared" si="12"/>
        <v>April</v>
      </c>
    </row>
    <row r="816" spans="1:11" ht="15.75">
      <c r="A816" s="142" t="s">
        <v>555</v>
      </c>
      <c r="B816" s="246" t="s">
        <v>152</v>
      </c>
      <c r="C816" s="56">
        <v>45750</v>
      </c>
      <c r="D816" s="156">
        <v>1334</v>
      </c>
      <c r="E816" s="43"/>
      <c r="F816" s="43" t="s">
        <v>1124</v>
      </c>
      <c r="G816" t="str">
        <f t="shared" si="12"/>
        <v>April</v>
      </c>
    </row>
    <row r="817" spans="1:7" ht="15.75">
      <c r="A817" s="142" t="s">
        <v>547</v>
      </c>
      <c r="B817" s="246" t="s">
        <v>152</v>
      </c>
      <c r="C817" s="56">
        <v>45750</v>
      </c>
      <c r="D817" s="156">
        <v>1970</v>
      </c>
      <c r="E817" s="43"/>
      <c r="F817" s="43" t="s">
        <v>1125</v>
      </c>
      <c r="G817" t="str">
        <f t="shared" si="12"/>
        <v>April</v>
      </c>
    </row>
    <row r="818" spans="1:7" ht="15.75">
      <c r="A818" s="142" t="s">
        <v>713</v>
      </c>
      <c r="B818" s="246" t="s">
        <v>152</v>
      </c>
      <c r="C818" s="56">
        <v>45750</v>
      </c>
      <c r="E818" s="43"/>
      <c r="F818" s="142" t="s">
        <v>1126</v>
      </c>
      <c r="G818" t="str">
        <f t="shared" si="12"/>
        <v>April</v>
      </c>
    </row>
    <row r="819" spans="1:7">
      <c r="A819" s="135" t="s">
        <v>338</v>
      </c>
      <c r="B819" s="142" t="s">
        <v>638</v>
      </c>
      <c r="C819" s="56">
        <v>45750</v>
      </c>
      <c r="E819" s="43"/>
      <c r="F819" s="142" t="s">
        <v>1126</v>
      </c>
      <c r="G819" t="str">
        <f t="shared" si="12"/>
        <v>April</v>
      </c>
    </row>
    <row r="820" spans="1:7" ht="15.75">
      <c r="A820" s="135" t="s">
        <v>710</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590</v>
      </c>
      <c r="B823" s="155" t="s">
        <v>470</v>
      </c>
      <c r="C823" s="56">
        <v>45751</v>
      </c>
      <c r="E823" s="43"/>
      <c r="F823" s="142" t="s">
        <v>1087</v>
      </c>
      <c r="G823" t="str">
        <f t="shared" si="12"/>
        <v>April</v>
      </c>
    </row>
    <row r="824" spans="1:7">
      <c r="A824" s="142" t="s">
        <v>584</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605</v>
      </c>
      <c r="B826" s="142" t="s">
        <v>474</v>
      </c>
      <c r="C826" s="56">
        <v>45751</v>
      </c>
      <c r="E826" s="43"/>
      <c r="F826" s="142" t="s">
        <v>1098</v>
      </c>
      <c r="G826" t="str">
        <f t="shared" si="12"/>
        <v>April</v>
      </c>
    </row>
    <row r="827" spans="1:7">
      <c r="A827" s="142" t="s">
        <v>900</v>
      </c>
      <c r="B827" s="158" t="s">
        <v>616</v>
      </c>
      <c r="C827" s="56">
        <v>45751</v>
      </c>
      <c r="D827" s="43">
        <v>397</v>
      </c>
      <c r="E827" s="43"/>
      <c r="F827" s="43" t="s">
        <v>1130</v>
      </c>
      <c r="G827" t="str">
        <f t="shared" si="12"/>
        <v>April</v>
      </c>
    </row>
    <row r="828" spans="1:7">
      <c r="A828" s="142" t="s">
        <v>673</v>
      </c>
      <c r="B828" s="142" t="s">
        <v>507</v>
      </c>
      <c r="C828" s="56">
        <v>45751</v>
      </c>
      <c r="D828" s="156">
        <v>2144</v>
      </c>
      <c r="E828" s="43"/>
      <c r="F828" s="43" t="s">
        <v>1131</v>
      </c>
      <c r="G828" t="str">
        <f t="shared" si="12"/>
        <v>April</v>
      </c>
    </row>
    <row r="829" spans="1:7" ht="15.75">
      <c r="A829" s="142" t="s">
        <v>510</v>
      </c>
      <c r="B829" s="246" t="s">
        <v>885</v>
      </c>
      <c r="C829" s="56">
        <v>45751</v>
      </c>
      <c r="E829" s="43"/>
      <c r="F829" s="155" t="s">
        <v>1004</v>
      </c>
      <c r="G829" t="str">
        <f t="shared" si="12"/>
        <v>April</v>
      </c>
    </row>
    <row r="830" spans="1:7" ht="15.75">
      <c r="A830" s="142" t="s">
        <v>512</v>
      </c>
      <c r="B830" s="246" t="s">
        <v>885</v>
      </c>
      <c r="C830" s="56">
        <v>45751</v>
      </c>
      <c r="E830" s="43"/>
      <c r="F830" s="155" t="s">
        <v>1004</v>
      </c>
      <c r="G830" t="str">
        <f t="shared" si="12"/>
        <v>April</v>
      </c>
    </row>
    <row r="831" spans="1:7" ht="15.75">
      <c r="A831" s="142" t="s">
        <v>713</v>
      </c>
      <c r="B831" s="246" t="s">
        <v>152</v>
      </c>
      <c r="C831" s="56">
        <v>45751</v>
      </c>
      <c r="E831" s="43"/>
      <c r="F831" s="142" t="s">
        <v>1126</v>
      </c>
      <c r="G831" t="str">
        <f t="shared" si="12"/>
        <v>April</v>
      </c>
    </row>
    <row r="832" spans="1:7">
      <c r="A832" s="135" t="s">
        <v>338</v>
      </c>
      <c r="B832" s="142" t="s">
        <v>638</v>
      </c>
      <c r="C832" s="56">
        <v>45751</v>
      </c>
      <c r="E832" s="43"/>
      <c r="F832" s="142" t="s">
        <v>1126</v>
      </c>
      <c r="G832" t="str">
        <f t="shared" si="12"/>
        <v>April</v>
      </c>
    </row>
    <row r="833" spans="1:7" ht="15.75">
      <c r="A833" s="135" t="s">
        <v>710</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547</v>
      </c>
      <c r="B835" s="246" t="s">
        <v>152</v>
      </c>
      <c r="C835" s="56">
        <v>45754</v>
      </c>
      <c r="E835" s="43"/>
      <c r="F835" s="43" t="s">
        <v>1132</v>
      </c>
      <c r="G835" t="str">
        <f t="shared" ref="G835:G898" si="13">TEXT(C835,"mmmm")</f>
        <v>April</v>
      </c>
    </row>
    <row r="836" spans="1:7">
      <c r="A836" s="142" t="s">
        <v>673</v>
      </c>
      <c r="B836" s="142" t="s">
        <v>507</v>
      </c>
      <c r="C836" s="56">
        <v>45754</v>
      </c>
      <c r="D836" s="43">
        <v>990</v>
      </c>
      <c r="E836" s="43"/>
      <c r="F836" s="43" t="s">
        <v>1113</v>
      </c>
      <c r="G836" t="str">
        <f t="shared" si="13"/>
        <v>April</v>
      </c>
    </row>
    <row r="837" spans="1:7">
      <c r="A837" s="142" t="s">
        <v>584</v>
      </c>
      <c r="B837" s="142" t="s">
        <v>474</v>
      </c>
      <c r="C837" s="56">
        <v>45754</v>
      </c>
      <c r="D837" s="43">
        <v>367</v>
      </c>
      <c r="E837" s="43"/>
      <c r="F837" s="43" t="s">
        <v>1133</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691</v>
      </c>
      <c r="B842" s="246" t="s">
        <v>885</v>
      </c>
      <c r="C842" s="56">
        <v>45754</v>
      </c>
      <c r="D842" s="43">
        <v>180</v>
      </c>
      <c r="E842" s="43"/>
      <c r="F842" s="43" t="s">
        <v>1038</v>
      </c>
      <c r="G842" t="str">
        <f t="shared" si="13"/>
        <v>April</v>
      </c>
    </row>
    <row r="843" spans="1:7">
      <c r="A843" s="142" t="s">
        <v>847</v>
      </c>
      <c r="B843" s="142" t="s">
        <v>659</v>
      </c>
      <c r="C843" s="56">
        <v>45754</v>
      </c>
      <c r="E843" s="156">
        <v>5575</v>
      </c>
      <c r="F843" s="43" t="s">
        <v>1135</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1136</v>
      </c>
      <c r="G845" t="str">
        <f t="shared" si="13"/>
        <v>April</v>
      </c>
    </row>
    <row r="846" spans="1:7" ht="15.75">
      <c r="A846" s="142" t="s">
        <v>549</v>
      </c>
      <c r="B846" s="246" t="s">
        <v>152</v>
      </c>
      <c r="C846" s="56">
        <v>45754</v>
      </c>
      <c r="D846" s="156">
        <v>1840</v>
      </c>
      <c r="E846" s="43"/>
      <c r="F846" s="43" t="s">
        <v>1041</v>
      </c>
      <c r="G846" t="str">
        <f t="shared" si="13"/>
        <v>April</v>
      </c>
    </row>
    <row r="847" spans="1:7">
      <c r="A847" s="142" t="s">
        <v>673</v>
      </c>
      <c r="B847" s="142" t="s">
        <v>507</v>
      </c>
      <c r="C847" s="56">
        <v>45755</v>
      </c>
      <c r="D847" s="156">
        <v>1871</v>
      </c>
      <c r="E847" s="43"/>
      <c r="F847" s="43" t="s">
        <v>1137</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960</v>
      </c>
      <c r="G851" t="str">
        <f t="shared" si="13"/>
        <v>April</v>
      </c>
    </row>
    <row r="852" spans="1:7" ht="15.75">
      <c r="A852" s="142" t="s">
        <v>549</v>
      </c>
      <c r="B852" s="246" t="s">
        <v>152</v>
      </c>
      <c r="C852" s="56">
        <v>45755</v>
      </c>
      <c r="D852" s="156">
        <v>1520</v>
      </c>
      <c r="E852" s="43"/>
      <c r="F852" s="43" t="s">
        <v>1041</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1126</v>
      </c>
      <c r="G854" t="str">
        <f t="shared" si="13"/>
        <v>April</v>
      </c>
    </row>
    <row r="855" spans="1:7">
      <c r="A855" s="135" t="s">
        <v>338</v>
      </c>
      <c r="B855" s="142" t="s">
        <v>638</v>
      </c>
      <c r="C855" s="56">
        <v>45755</v>
      </c>
      <c r="E855" s="43"/>
      <c r="F855" s="142" t="s">
        <v>1126</v>
      </c>
      <c r="G855" t="str">
        <f t="shared" si="13"/>
        <v>April</v>
      </c>
    </row>
    <row r="856" spans="1:7" ht="15.75">
      <c r="A856" s="135" t="s">
        <v>710</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673</v>
      </c>
      <c r="B858" s="142" t="s">
        <v>507</v>
      </c>
      <c r="C858" s="56">
        <v>45756</v>
      </c>
      <c r="D858" s="156">
        <v>1307</v>
      </c>
      <c r="E858" s="43"/>
      <c r="F858" s="78" t="s">
        <v>1138</v>
      </c>
      <c r="G858" t="str">
        <f t="shared" si="13"/>
        <v>April</v>
      </c>
    </row>
    <row r="859" spans="1:7">
      <c r="A859" s="142" t="s">
        <v>584</v>
      </c>
      <c r="B859" s="142" t="s">
        <v>474</v>
      </c>
      <c r="C859" s="56">
        <v>45756</v>
      </c>
      <c r="E859" s="43"/>
      <c r="F859" s="78" t="s">
        <v>1139</v>
      </c>
      <c r="G859" t="str">
        <f t="shared" si="13"/>
        <v>April</v>
      </c>
    </row>
    <row r="860" spans="1:7">
      <c r="A860" s="142" t="s">
        <v>623</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1004</v>
      </c>
      <c r="G862" t="str">
        <f t="shared" si="13"/>
        <v>April</v>
      </c>
    </row>
    <row r="863" spans="1:7" ht="15.75">
      <c r="A863" s="142" t="s">
        <v>549</v>
      </c>
      <c r="B863" s="246" t="s">
        <v>152</v>
      </c>
      <c r="C863" s="56">
        <v>45756</v>
      </c>
      <c r="D863" s="156">
        <v>2060</v>
      </c>
      <c r="E863" s="43"/>
      <c r="F863" s="43" t="s">
        <v>1041</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1126</v>
      </c>
      <c r="G865" t="str">
        <f t="shared" si="13"/>
        <v>April</v>
      </c>
    </row>
    <row r="866" spans="1:7">
      <c r="A866" s="135" t="s">
        <v>338</v>
      </c>
      <c r="B866" s="142" t="s">
        <v>638</v>
      </c>
      <c r="C866" s="56">
        <v>45756</v>
      </c>
      <c r="E866" s="43"/>
      <c r="F866" s="142" t="s">
        <v>1126</v>
      </c>
      <c r="G866" t="str">
        <f t="shared" si="13"/>
        <v>April</v>
      </c>
    </row>
    <row r="867" spans="1:7">
      <c r="A867" s="135" t="s">
        <v>710</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673</v>
      </c>
      <c r="B869" s="142" t="s">
        <v>507</v>
      </c>
      <c r="C869" s="56">
        <v>45757</v>
      </c>
      <c r="E869" s="43"/>
      <c r="F869" s="142" t="s">
        <v>1021</v>
      </c>
      <c r="G869" t="str">
        <f t="shared" si="13"/>
        <v>April</v>
      </c>
    </row>
    <row r="870" spans="1:7">
      <c r="A870" s="251" t="s">
        <v>676</v>
      </c>
      <c r="B870" s="142" t="s">
        <v>507</v>
      </c>
      <c r="C870" s="56">
        <v>45757</v>
      </c>
      <c r="E870" s="43"/>
      <c r="F870" s="142" t="s">
        <v>1021</v>
      </c>
      <c r="G870" t="str">
        <f t="shared" si="13"/>
        <v>April</v>
      </c>
    </row>
    <row r="871" spans="1:7">
      <c r="A871" s="142" t="s">
        <v>623</v>
      </c>
      <c r="B871" s="155" t="s">
        <v>470</v>
      </c>
      <c r="C871" s="56">
        <v>45757</v>
      </c>
      <c r="D871" s="43">
        <v>875</v>
      </c>
      <c r="E871" s="43"/>
      <c r="F871" s="43" t="s">
        <v>1141</v>
      </c>
      <c r="G871" t="str">
        <f t="shared" si="13"/>
        <v>April</v>
      </c>
    </row>
    <row r="872" spans="1:7">
      <c r="A872" s="142" t="s">
        <v>647</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1143</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1145</v>
      </c>
      <c r="G878" t="str">
        <f t="shared" si="13"/>
        <v>April</v>
      </c>
    </row>
    <row r="879" spans="1:7">
      <c r="A879" s="142" t="s">
        <v>647</v>
      </c>
      <c r="B879" s="247" t="s">
        <v>130</v>
      </c>
      <c r="C879" s="56">
        <v>45758</v>
      </c>
      <c r="D879" s="43">
        <v>695</v>
      </c>
      <c r="E879" s="43"/>
      <c r="F879" s="43" t="s">
        <v>1146</v>
      </c>
      <c r="G879" t="str">
        <f t="shared" si="13"/>
        <v>April</v>
      </c>
    </row>
    <row r="880" spans="1:7">
      <c r="A880" s="142" t="s">
        <v>673</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584</v>
      </c>
      <c r="B882" s="142" t="s">
        <v>422</v>
      </c>
      <c r="C882" s="56">
        <v>45758</v>
      </c>
      <c r="E882" s="43"/>
      <c r="F882" s="142" t="s">
        <v>1147</v>
      </c>
      <c r="G882" t="str">
        <f t="shared" si="13"/>
        <v>April</v>
      </c>
    </row>
    <row r="883" spans="1:7">
      <c r="A883" s="142" t="s">
        <v>682</v>
      </c>
      <c r="B883" s="142" t="s">
        <v>422</v>
      </c>
      <c r="C883" s="56">
        <v>45758</v>
      </c>
      <c r="E883" s="43"/>
      <c r="F883" s="142" t="s">
        <v>1148</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1149</v>
      </c>
      <c r="G885" t="str">
        <f t="shared" si="13"/>
        <v>April</v>
      </c>
    </row>
    <row r="886" spans="1:7" ht="15.75">
      <c r="A886" s="251" t="s">
        <v>549</v>
      </c>
      <c r="B886" s="246" t="s">
        <v>885</v>
      </c>
      <c r="C886" s="56">
        <v>45758</v>
      </c>
      <c r="E886" s="43"/>
      <c r="F886" s="43" t="s">
        <v>1150</v>
      </c>
      <c r="G886" t="str">
        <f t="shared" si="13"/>
        <v>April</v>
      </c>
    </row>
    <row r="887" spans="1:7" ht="15.75">
      <c r="A887" s="251" t="s">
        <v>571</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1152</v>
      </c>
      <c r="G889" t="str">
        <f t="shared" si="13"/>
        <v>April</v>
      </c>
    </row>
    <row r="890" spans="1:7" ht="15.75">
      <c r="A890" s="142" t="s">
        <v>627</v>
      </c>
      <c r="B890" s="246" t="s">
        <v>152</v>
      </c>
      <c r="C890" s="56">
        <v>45761</v>
      </c>
      <c r="D890" s="156">
        <v>1335</v>
      </c>
      <c r="E890" s="43"/>
      <c r="F890" s="43" t="s">
        <v>955</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1154</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623</v>
      </c>
      <c r="B899" s="155" t="s">
        <v>470</v>
      </c>
      <c r="C899" s="56">
        <v>45762</v>
      </c>
      <c r="D899" s="156">
        <v>1018</v>
      </c>
      <c r="E899" s="43"/>
      <c r="F899" s="43" t="s">
        <v>1155</v>
      </c>
      <c r="G899" t="str">
        <f t="shared" ref="G899:G949" si="14">TEXT(C899,"mmmm")</f>
        <v>April</v>
      </c>
    </row>
    <row r="900" spans="1:7" ht="15.75">
      <c r="A900" s="142" t="s">
        <v>627</v>
      </c>
      <c r="B900" s="246" t="s">
        <v>152</v>
      </c>
      <c r="C900" s="56">
        <v>45762</v>
      </c>
      <c r="D900" s="156">
        <v>1133</v>
      </c>
      <c r="E900" s="43"/>
      <c r="F900" s="43" t="s">
        <v>1156</v>
      </c>
      <c r="G900" t="str">
        <f t="shared" si="14"/>
        <v>April</v>
      </c>
    </row>
    <row r="901" spans="1:7" ht="15.75">
      <c r="A901" s="142" t="s">
        <v>645</v>
      </c>
      <c r="B901" s="246" t="s">
        <v>152</v>
      </c>
      <c r="C901" s="56">
        <v>45762</v>
      </c>
      <c r="D901" s="156">
        <v>1526</v>
      </c>
      <c r="E901" s="43"/>
      <c r="F901" s="43" t="s">
        <v>1157</v>
      </c>
      <c r="G901" t="str">
        <f t="shared" si="14"/>
        <v>April</v>
      </c>
    </row>
    <row r="902" spans="1:7">
      <c r="A902" s="142" t="s">
        <v>647</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1159</v>
      </c>
      <c r="G905" t="str">
        <f t="shared" si="14"/>
        <v>April</v>
      </c>
    </row>
    <row r="906" spans="1:7">
      <c r="A906" s="142" t="s">
        <v>682</v>
      </c>
      <c r="B906" s="142" t="s">
        <v>422</v>
      </c>
      <c r="C906" s="56">
        <v>45762</v>
      </c>
      <c r="E906" s="43"/>
      <c r="F906" s="142" t="s">
        <v>1159</v>
      </c>
      <c r="G906" t="str">
        <f t="shared" si="14"/>
        <v>April</v>
      </c>
    </row>
    <row r="907" spans="1:7">
      <c r="A907" s="142" t="s">
        <v>662</v>
      </c>
      <c r="B907" s="142" t="s">
        <v>422</v>
      </c>
      <c r="C907" s="56">
        <v>45762</v>
      </c>
      <c r="E907" s="43"/>
      <c r="F907" s="142" t="s">
        <v>1021</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1100</v>
      </c>
      <c r="G909" t="str">
        <f t="shared" si="14"/>
        <v>April</v>
      </c>
    </row>
    <row r="910" spans="1:7" ht="15.75">
      <c r="A910" s="155" t="s">
        <v>611</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611</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627</v>
      </c>
      <c r="B914" s="246" t="s">
        <v>152</v>
      </c>
      <c r="C914" s="56">
        <v>45763</v>
      </c>
      <c r="D914" s="156">
        <v>1624</v>
      </c>
      <c r="E914" s="43"/>
      <c r="F914" s="43" t="s">
        <v>1164</v>
      </c>
      <c r="G914" t="str">
        <f t="shared" si="14"/>
        <v>April</v>
      </c>
    </row>
    <row r="915" spans="1:7" ht="15.75">
      <c r="A915" s="142" t="s">
        <v>645</v>
      </c>
      <c r="B915" s="246" t="s">
        <v>152</v>
      </c>
      <c r="C915" s="56">
        <v>45763</v>
      </c>
      <c r="D915" s="156">
        <v>1503</v>
      </c>
      <c r="E915" s="43"/>
      <c r="F915" s="43" t="s">
        <v>1165</v>
      </c>
      <c r="G915" t="str">
        <f t="shared" si="14"/>
        <v>April</v>
      </c>
    </row>
    <row r="916" spans="1:7">
      <c r="A916" s="142" t="s">
        <v>647</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1167</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1021</v>
      </c>
      <c r="G920" t="str">
        <f t="shared" si="14"/>
        <v>April</v>
      </c>
    </row>
    <row r="921" spans="1:7">
      <c r="A921" s="142" t="s">
        <v>662</v>
      </c>
      <c r="B921" s="142" t="s">
        <v>422</v>
      </c>
      <c r="C921" s="56">
        <v>45763</v>
      </c>
      <c r="E921" s="43"/>
      <c r="F921" s="142" t="s">
        <v>1021</v>
      </c>
      <c r="G921" t="str">
        <f t="shared" si="14"/>
        <v>April</v>
      </c>
    </row>
    <row r="922" spans="1:7">
      <c r="A922" s="142" t="s">
        <v>656</v>
      </c>
      <c r="B922" s="247" t="s">
        <v>130</v>
      </c>
      <c r="C922" s="56">
        <v>45763</v>
      </c>
      <c r="E922" s="43"/>
      <c r="F922" s="142" t="s">
        <v>1021</v>
      </c>
      <c r="G922" t="str">
        <f t="shared" si="14"/>
        <v>April</v>
      </c>
    </row>
    <row r="923" spans="1:7" ht="15.75">
      <c r="A923" s="142" t="s">
        <v>510</v>
      </c>
      <c r="B923" s="246" t="s">
        <v>885</v>
      </c>
      <c r="C923" s="56">
        <v>45763</v>
      </c>
      <c r="D923" s="43">
        <v>115</v>
      </c>
      <c r="E923" s="43"/>
      <c r="F923" s="43" t="s">
        <v>1038</v>
      </c>
      <c r="G923" t="str">
        <f t="shared" si="14"/>
        <v>April</v>
      </c>
    </row>
    <row r="924" spans="1:7" ht="15.75">
      <c r="A924" s="155" t="s">
        <v>529</v>
      </c>
      <c r="B924" s="246" t="s">
        <v>885</v>
      </c>
      <c r="C924" s="56">
        <v>45763</v>
      </c>
      <c r="E924" s="43"/>
      <c r="F924" s="43" t="s">
        <v>1098</v>
      </c>
      <c r="G924" t="str">
        <f t="shared" si="14"/>
        <v>April</v>
      </c>
    </row>
    <row r="925" spans="1:7">
      <c r="A925" s="142" t="s">
        <v>611</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623</v>
      </c>
      <c r="B927" s="155" t="s">
        <v>470</v>
      </c>
      <c r="C927" s="56">
        <v>45764</v>
      </c>
      <c r="D927" s="43">
        <v>569</v>
      </c>
      <c r="E927" s="43"/>
      <c r="F927" s="78" t="s">
        <v>1170</v>
      </c>
      <c r="G927" t="str">
        <f t="shared" si="14"/>
        <v>April</v>
      </c>
    </row>
    <row r="928" spans="1:7">
      <c r="A928" s="309" t="s">
        <v>627</v>
      </c>
      <c r="B928" s="309" t="s">
        <v>152</v>
      </c>
      <c r="C928" s="56">
        <v>45764</v>
      </c>
      <c r="E928" s="43"/>
      <c r="F928" s="142" t="s">
        <v>1171</v>
      </c>
      <c r="G928" t="str">
        <f t="shared" si="14"/>
        <v>April</v>
      </c>
    </row>
    <row r="929" spans="1:7">
      <c r="A929" s="142" t="s">
        <v>645</v>
      </c>
      <c r="B929" s="142" t="s">
        <v>152</v>
      </c>
      <c r="C929" s="56">
        <v>45764</v>
      </c>
      <c r="D929" s="156">
        <v>1590</v>
      </c>
      <c r="E929" s="43"/>
      <c r="F929" s="43" t="s">
        <v>966</v>
      </c>
      <c r="G929" t="str">
        <f t="shared" si="14"/>
        <v>April</v>
      </c>
    </row>
    <row r="930" spans="1:7">
      <c r="A930" s="309" t="s">
        <v>647</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531</v>
      </c>
      <c r="B935" s="142" t="s">
        <v>152</v>
      </c>
      <c r="C935" s="314">
        <v>45764</v>
      </c>
      <c r="D935" s="43">
        <v>647</v>
      </c>
      <c r="E935" s="43"/>
      <c r="F935" s="43" t="s">
        <v>958</v>
      </c>
      <c r="G935" t="str">
        <f t="shared" si="14"/>
        <v>April</v>
      </c>
    </row>
    <row r="936" spans="1:7">
      <c r="A936" s="313" t="s">
        <v>529</v>
      </c>
      <c r="B936" s="142" t="s">
        <v>885</v>
      </c>
      <c r="C936" s="314">
        <v>45764</v>
      </c>
      <c r="D936" s="43">
        <v>193</v>
      </c>
      <c r="E936" s="43"/>
      <c r="F936" s="43" t="s">
        <v>957</v>
      </c>
      <c r="G936" t="str">
        <f t="shared" si="14"/>
        <v>April</v>
      </c>
    </row>
    <row r="937" spans="1:7">
      <c r="A937" s="142" t="s">
        <v>611</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623</v>
      </c>
      <c r="B939" s="155" t="s">
        <v>470</v>
      </c>
      <c r="C939" s="56">
        <v>45765</v>
      </c>
      <c r="E939" s="43"/>
      <c r="F939" s="142" t="s">
        <v>1176</v>
      </c>
      <c r="G939" t="str">
        <f t="shared" si="14"/>
        <v>April</v>
      </c>
    </row>
    <row r="940" spans="1:7">
      <c r="A940" s="309" t="s">
        <v>627</v>
      </c>
      <c r="B940" s="309" t="s">
        <v>152</v>
      </c>
      <c r="C940" s="56">
        <v>45765</v>
      </c>
      <c r="D940" s="43">
        <v>350</v>
      </c>
      <c r="E940" s="43"/>
      <c r="F940" s="43" t="s">
        <v>957</v>
      </c>
      <c r="G940" t="str">
        <f t="shared" si="14"/>
        <v>April</v>
      </c>
    </row>
    <row r="941" spans="1:7">
      <c r="A941" s="142" t="s">
        <v>645</v>
      </c>
      <c r="B941" s="142" t="s">
        <v>152</v>
      </c>
      <c r="C941" s="56">
        <v>45765</v>
      </c>
      <c r="D941" s="43">
        <v>370</v>
      </c>
      <c r="E941" s="43"/>
      <c r="F941" s="43" t="s">
        <v>1177</v>
      </c>
      <c r="G941" t="str">
        <f t="shared" si="14"/>
        <v>April</v>
      </c>
    </row>
    <row r="942" spans="1:7">
      <c r="A942" s="309" t="s">
        <v>625</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691</v>
      </c>
      <c r="B944" s="315" t="s">
        <v>885</v>
      </c>
      <c r="C944" s="56">
        <v>45765</v>
      </c>
      <c r="E944" s="156">
        <v>6350</v>
      </c>
      <c r="F944" s="43" t="s">
        <v>1179</v>
      </c>
      <c r="G944" t="str">
        <f t="shared" si="14"/>
        <v>April</v>
      </c>
    </row>
    <row r="945" spans="1:7">
      <c r="A945" s="308" t="s">
        <v>691</v>
      </c>
      <c r="B945" s="319" t="s">
        <v>885</v>
      </c>
      <c r="C945" s="56">
        <v>45765</v>
      </c>
      <c r="D945" s="43">
        <v>408</v>
      </c>
      <c r="E945" s="43"/>
      <c r="F945" s="43" t="s">
        <v>1180</v>
      </c>
      <c r="G945" t="str">
        <f t="shared" si="14"/>
        <v>April</v>
      </c>
    </row>
    <row r="946" spans="1:7">
      <c r="A946" s="309" t="s">
        <v>584</v>
      </c>
      <c r="B946" s="309" t="s">
        <v>422</v>
      </c>
      <c r="C946" s="56">
        <v>45765</v>
      </c>
      <c r="E946" s="43"/>
      <c r="F946" s="310" t="s">
        <v>1181</v>
      </c>
      <c r="G946" t="str">
        <f t="shared" si="14"/>
        <v>April</v>
      </c>
    </row>
    <row r="947" spans="1:7">
      <c r="A947" s="315" t="s">
        <v>662</v>
      </c>
      <c r="B947" s="315" t="s">
        <v>422</v>
      </c>
      <c r="C947" s="56">
        <v>45765</v>
      </c>
      <c r="E947" s="43"/>
      <c r="F947" s="315" t="s">
        <v>1182</v>
      </c>
      <c r="G947" t="str">
        <f t="shared" si="14"/>
        <v>April</v>
      </c>
    </row>
    <row r="948" spans="1:7">
      <c r="A948" s="310" t="s">
        <v>576</v>
      </c>
      <c r="B948" s="310" t="s">
        <v>152</v>
      </c>
      <c r="C948" s="56">
        <v>45765</v>
      </c>
      <c r="E948" s="43"/>
      <c r="F948" s="320" t="s">
        <v>1183</v>
      </c>
      <c r="G948" t="str">
        <f t="shared" si="14"/>
        <v>April</v>
      </c>
    </row>
    <row r="949" spans="1:7">
      <c r="A949" s="155" t="s">
        <v>512</v>
      </c>
      <c r="B949" s="142" t="s">
        <v>885</v>
      </c>
      <c r="C949" s="56">
        <v>45765</v>
      </c>
      <c r="E949" s="43"/>
      <c r="F949" s="142" t="s">
        <v>1021</v>
      </c>
      <c r="G949" t="str">
        <f t="shared" si="14"/>
        <v>April</v>
      </c>
    </row>
    <row r="950" spans="1:7">
      <c r="A950" s="142" t="s">
        <v>615</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625</v>
      </c>
      <c r="B952" s="309" t="s">
        <v>1187</v>
      </c>
      <c r="C952" s="56">
        <v>45768</v>
      </c>
      <c r="E952" s="43"/>
      <c r="F952" s="43" t="s">
        <v>1185</v>
      </c>
      <c r="G952" t="str">
        <f t="shared" si="15"/>
        <v>April</v>
      </c>
    </row>
    <row r="953" spans="1:7">
      <c r="A953" s="142" t="s">
        <v>627</v>
      </c>
      <c r="B953" s="321" t="s">
        <v>152</v>
      </c>
      <c r="C953" s="56">
        <v>45768</v>
      </c>
      <c r="D953" s="156">
        <v>1050</v>
      </c>
      <c r="E953" s="43"/>
      <c r="F953" s="116" t="s">
        <v>1188</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1189</v>
      </c>
      <c r="G955" t="str">
        <f t="shared" si="15"/>
        <v>April</v>
      </c>
    </row>
    <row r="956" spans="1:7">
      <c r="A956" s="308" t="s">
        <v>645</v>
      </c>
      <c r="B956" s="309" t="s">
        <v>152</v>
      </c>
      <c r="C956" s="56">
        <v>45768</v>
      </c>
      <c r="F956" s="155" t="s">
        <v>1190</v>
      </c>
      <c r="G956" t="str">
        <f t="shared" si="15"/>
        <v>April</v>
      </c>
    </row>
    <row r="957" spans="1:7">
      <c r="A957" s="308" t="s">
        <v>647</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651</v>
      </c>
      <c r="B959" s="142" t="s">
        <v>422</v>
      </c>
      <c r="C959" s="56">
        <v>45768</v>
      </c>
      <c r="E959" s="43"/>
      <c r="F959" s="315" t="s">
        <v>1181</v>
      </c>
      <c r="G959" t="str">
        <f t="shared" si="15"/>
        <v>April</v>
      </c>
    </row>
    <row r="960" spans="1:7">
      <c r="A960" s="319" t="s">
        <v>682</v>
      </c>
      <c r="B960" s="142" t="s">
        <v>422</v>
      </c>
      <c r="C960" s="56">
        <v>45768</v>
      </c>
      <c r="E960" s="43"/>
      <c r="F960" s="319" t="s">
        <v>1181</v>
      </c>
      <c r="G960" t="str">
        <f t="shared" si="15"/>
        <v>April</v>
      </c>
    </row>
    <row r="961" spans="1:7">
      <c r="A961" s="142" t="s">
        <v>529</v>
      </c>
      <c r="B961" s="142" t="s">
        <v>885</v>
      </c>
      <c r="C961" s="56">
        <v>45768</v>
      </c>
      <c r="E961" s="43"/>
      <c r="F961" s="171" t="s">
        <v>1154</v>
      </c>
      <c r="G961" t="str">
        <f t="shared" si="15"/>
        <v>April</v>
      </c>
    </row>
    <row r="962" spans="1:7">
      <c r="A962" s="142" t="s">
        <v>615</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625</v>
      </c>
      <c r="B964" s="308" t="s">
        <v>1187</v>
      </c>
      <c r="C964" s="323">
        <v>45769</v>
      </c>
      <c r="D964" s="156">
        <v>1701</v>
      </c>
      <c r="F964" s="43" t="s">
        <v>1193</v>
      </c>
      <c r="G964" t="str">
        <f t="shared" si="15"/>
        <v>April</v>
      </c>
    </row>
    <row r="965" spans="1:7">
      <c r="A965" s="308" t="s">
        <v>641</v>
      </c>
      <c r="B965" s="308" t="s">
        <v>638</v>
      </c>
      <c r="C965" s="323">
        <v>45769</v>
      </c>
      <c r="D965" s="43">
        <v>464</v>
      </c>
      <c r="F965" s="43" t="s">
        <v>1194</v>
      </c>
      <c r="G965" t="str">
        <f t="shared" si="15"/>
        <v>April</v>
      </c>
    </row>
    <row r="966" spans="1:7">
      <c r="A966" s="308" t="s">
        <v>643</v>
      </c>
      <c r="B966" s="308" t="s">
        <v>130</v>
      </c>
      <c r="C966" s="323">
        <v>45769</v>
      </c>
      <c r="D966" s="43">
        <v>951</v>
      </c>
      <c r="F966" s="43" t="s">
        <v>1195</v>
      </c>
      <c r="G966" t="str">
        <f t="shared" si="15"/>
        <v>April</v>
      </c>
    </row>
    <row r="967" spans="1:7">
      <c r="A967" s="308" t="s">
        <v>702</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664</v>
      </c>
      <c r="B969" s="308" t="s">
        <v>130</v>
      </c>
      <c r="C969" s="323">
        <v>45769</v>
      </c>
      <c r="F969" s="142" t="s">
        <v>999</v>
      </c>
      <c r="G969" t="str">
        <f t="shared" si="15"/>
        <v>April</v>
      </c>
    </row>
    <row r="970" spans="1:7">
      <c r="A970" s="308" t="s">
        <v>691</v>
      </c>
      <c r="B970" s="308" t="s">
        <v>885</v>
      </c>
      <c r="C970" s="323">
        <v>45769</v>
      </c>
      <c r="D970" s="43">
        <v>205</v>
      </c>
      <c r="F970" s="43" t="s">
        <v>1197</v>
      </c>
      <c r="G970" t="str">
        <f t="shared" si="15"/>
        <v>April</v>
      </c>
    </row>
    <row r="971" spans="1:7">
      <c r="A971" s="315" t="s">
        <v>682</v>
      </c>
      <c r="B971" s="315" t="s">
        <v>474</v>
      </c>
      <c r="C971" s="323">
        <v>45769</v>
      </c>
      <c r="F971" s="324" t="s">
        <v>1198</v>
      </c>
      <c r="G971" t="str">
        <f t="shared" si="15"/>
        <v>April</v>
      </c>
    </row>
    <row r="972" spans="1:7">
      <c r="A972" s="310" t="s">
        <v>529</v>
      </c>
      <c r="B972" s="321" t="s">
        <v>885</v>
      </c>
      <c r="C972" s="323">
        <v>45769</v>
      </c>
      <c r="D972" s="43">
        <v>510</v>
      </c>
      <c r="F972" s="43" t="s">
        <v>1199</v>
      </c>
      <c r="G972" t="str">
        <f t="shared" si="15"/>
        <v>April</v>
      </c>
    </row>
    <row r="973" spans="1:7">
      <c r="A973" s="320" t="s">
        <v>531</v>
      </c>
      <c r="B973" s="321" t="s">
        <v>152</v>
      </c>
      <c r="C973" s="323">
        <v>45769</v>
      </c>
      <c r="D973" s="43">
        <v>932</v>
      </c>
      <c r="F973" s="43" t="s">
        <v>958</v>
      </c>
      <c r="G973" t="str">
        <f t="shared" si="15"/>
        <v>April</v>
      </c>
    </row>
    <row r="974" spans="1:7">
      <c r="A974" s="155" t="s">
        <v>576</v>
      </c>
      <c r="B974" s="142" t="s">
        <v>152</v>
      </c>
      <c r="C974" s="323">
        <v>45769</v>
      </c>
      <c r="D974" s="43">
        <v>23</v>
      </c>
      <c r="F974" s="43" t="s">
        <v>1200</v>
      </c>
      <c r="G974" t="str">
        <f t="shared" si="15"/>
        <v>April</v>
      </c>
    </row>
    <row r="975" spans="1:7">
      <c r="A975" s="142" t="s">
        <v>605</v>
      </c>
      <c r="B975" s="142" t="s">
        <v>885</v>
      </c>
      <c r="C975" s="56">
        <v>45770</v>
      </c>
      <c r="D975" s="43">
        <v>113</v>
      </c>
      <c r="F975" s="43" t="s">
        <v>1201</v>
      </c>
      <c r="G975" t="str">
        <f t="shared" si="15"/>
        <v>April</v>
      </c>
    </row>
    <row r="976" spans="1:7">
      <c r="A976" s="308" t="s">
        <v>615</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625</v>
      </c>
      <c r="B978" s="308" t="s">
        <v>1187</v>
      </c>
      <c r="C978" s="56">
        <v>45770</v>
      </c>
      <c r="D978" s="43">
        <v>314</v>
      </c>
      <c r="F978" s="43" t="s">
        <v>950</v>
      </c>
      <c r="G978" t="str">
        <f t="shared" si="15"/>
        <v>April</v>
      </c>
    </row>
    <row r="979" spans="1:7">
      <c r="A979" s="308" t="s">
        <v>631</v>
      </c>
      <c r="B979" s="308" t="s">
        <v>507</v>
      </c>
      <c r="C979" s="56">
        <v>45770</v>
      </c>
      <c r="F979" s="315" t="s">
        <v>1203</v>
      </c>
      <c r="G979" t="str">
        <f t="shared" si="15"/>
        <v>April</v>
      </c>
    </row>
    <row r="980" spans="1:7">
      <c r="A980" s="308" t="s">
        <v>641</v>
      </c>
      <c r="B980" s="308" t="s">
        <v>638</v>
      </c>
      <c r="C980" s="56">
        <v>45770</v>
      </c>
      <c r="F980" s="315" t="s">
        <v>1204</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1205</v>
      </c>
      <c r="G982" t="str">
        <f t="shared" si="15"/>
        <v>April</v>
      </c>
    </row>
    <row r="983" spans="1:7">
      <c r="A983" s="308" t="s">
        <v>691</v>
      </c>
      <c r="B983" s="308" t="s">
        <v>885</v>
      </c>
      <c r="C983" s="56">
        <v>45770</v>
      </c>
      <c r="D983" s="43">
        <v>190</v>
      </c>
      <c r="F983" s="43" t="s">
        <v>1206</v>
      </c>
      <c r="G983" t="str">
        <f t="shared" si="15"/>
        <v>April</v>
      </c>
    </row>
    <row r="984" spans="1:7">
      <c r="A984" s="315" t="s">
        <v>595</v>
      </c>
      <c r="B984" s="315" t="s">
        <v>474</v>
      </c>
      <c r="C984" s="56">
        <v>45770</v>
      </c>
      <c r="F984" s="324" t="s">
        <v>1207</v>
      </c>
    </row>
    <row r="985" spans="1:7">
      <c r="A985" s="319" t="s">
        <v>682</v>
      </c>
      <c r="B985" s="319" t="s">
        <v>474</v>
      </c>
      <c r="C985" s="56">
        <v>45770</v>
      </c>
      <c r="F985" s="633" t="s">
        <v>1198</v>
      </c>
    </row>
    <row r="986" spans="1:7">
      <c r="A986" s="310" t="s">
        <v>529</v>
      </c>
      <c r="B986" s="321" t="s">
        <v>885</v>
      </c>
      <c r="C986" s="56">
        <v>45770</v>
      </c>
      <c r="D986" s="43">
        <v>275</v>
      </c>
      <c r="F986" s="43" t="s">
        <v>957</v>
      </c>
      <c r="G986" t="str">
        <f>TEXT(C986,"mmmm")</f>
        <v>April</v>
      </c>
    </row>
    <row r="987" spans="1:7">
      <c r="A987" s="324" t="s">
        <v>531</v>
      </c>
      <c r="B987" s="315" t="s">
        <v>152</v>
      </c>
      <c r="C987" s="56">
        <v>45770</v>
      </c>
      <c r="D987" s="43">
        <v>1190</v>
      </c>
      <c r="F987" s="43" t="s">
        <v>1208</v>
      </c>
      <c r="G987" t="str">
        <f>TEXT(C987,"mmmm")</f>
        <v>April</v>
      </c>
    </row>
    <row r="988" spans="1:7">
      <c r="A988" s="142" t="s">
        <v>615</v>
      </c>
      <c r="B988" s="142" t="s">
        <v>1184</v>
      </c>
      <c r="C988" s="56">
        <v>45771</v>
      </c>
      <c r="D988" s="156">
        <v>1378</v>
      </c>
      <c r="F988" s="43" t="s">
        <v>1209</v>
      </c>
      <c r="G988" t="str">
        <f t="shared" ref="G988:G1052" si="16">TEXT(C988,"mmmm")</f>
        <v>April</v>
      </c>
    </row>
    <row r="989" spans="1:7">
      <c r="A989" s="308" t="s">
        <v>625</v>
      </c>
      <c r="B989" s="308" t="s">
        <v>1187</v>
      </c>
      <c r="C989" s="56">
        <v>45771</v>
      </c>
      <c r="D989" s="43">
        <v>662</v>
      </c>
      <c r="F989" s="43" t="s">
        <v>1210</v>
      </c>
      <c r="G989" t="str">
        <f t="shared" si="16"/>
        <v>April</v>
      </c>
    </row>
    <row r="990" spans="1:7">
      <c r="A990" s="308" t="s">
        <v>631</v>
      </c>
      <c r="B990" s="308" t="s">
        <v>507</v>
      </c>
      <c r="C990" s="56">
        <v>45771</v>
      </c>
      <c r="D990" s="43">
        <v>988</v>
      </c>
      <c r="F990" s="78" t="s">
        <v>1211</v>
      </c>
      <c r="G990" t="str">
        <f t="shared" si="16"/>
        <v>April</v>
      </c>
    </row>
    <row r="991" spans="1:7">
      <c r="A991" s="308" t="s">
        <v>637</v>
      </c>
      <c r="B991" s="308" t="s">
        <v>638</v>
      </c>
      <c r="C991" s="56">
        <v>45771</v>
      </c>
      <c r="D991" s="43">
        <v>588</v>
      </c>
      <c r="F991" s="43" t="s">
        <v>1130</v>
      </c>
      <c r="G991" t="str">
        <f t="shared" si="16"/>
        <v>April</v>
      </c>
    </row>
    <row r="992" spans="1:7">
      <c r="A992" s="308" t="s">
        <v>641</v>
      </c>
      <c r="B992" s="308" t="s">
        <v>638</v>
      </c>
      <c r="C992" s="56">
        <v>45771</v>
      </c>
      <c r="F992" s="315" t="s">
        <v>1212</v>
      </c>
      <c r="G992" t="str">
        <f t="shared" si="16"/>
        <v>April</v>
      </c>
    </row>
    <row r="993" spans="1:7">
      <c r="A993" s="308" t="s">
        <v>643</v>
      </c>
      <c r="B993" s="308" t="s">
        <v>130</v>
      </c>
      <c r="C993" s="56">
        <v>45771</v>
      </c>
      <c r="D993" s="156">
        <v>1671</v>
      </c>
      <c r="F993" s="78" t="s">
        <v>1213</v>
      </c>
      <c r="G993" t="str">
        <f t="shared" si="16"/>
        <v>April</v>
      </c>
    </row>
    <row r="994" spans="1:7">
      <c r="A994" s="308" t="s">
        <v>702</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691</v>
      </c>
      <c r="B996" s="308" t="s">
        <v>885</v>
      </c>
      <c r="C996" s="56">
        <v>45771</v>
      </c>
      <c r="D996" s="43">
        <v>48</v>
      </c>
      <c r="F996" s="43" t="s">
        <v>1206</v>
      </c>
      <c r="G996" t="str">
        <f t="shared" si="16"/>
        <v>April</v>
      </c>
    </row>
    <row r="997" spans="1:7">
      <c r="A997" s="319" t="s">
        <v>595</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510</v>
      </c>
      <c r="B999" s="315" t="s">
        <v>885</v>
      </c>
      <c r="C999" s="56">
        <v>45771</v>
      </c>
      <c r="E999" s="325">
        <v>2815</v>
      </c>
      <c r="F999" s="43" t="s">
        <v>1218</v>
      </c>
      <c r="G999" t="str">
        <f t="shared" si="16"/>
        <v>April</v>
      </c>
    </row>
    <row r="1000" spans="1:7">
      <c r="A1000" s="319" t="s">
        <v>531</v>
      </c>
      <c r="B1000" s="319" t="s">
        <v>152</v>
      </c>
      <c r="C1000" s="56">
        <v>45771</v>
      </c>
      <c r="D1000" s="43">
        <v>909</v>
      </c>
      <c r="F1000" s="43" t="s">
        <v>962</v>
      </c>
      <c r="G1000" t="str">
        <f t="shared" si="16"/>
        <v>April</v>
      </c>
    </row>
    <row r="1001" spans="1:7">
      <c r="A1001" s="135" t="s">
        <v>615</v>
      </c>
      <c r="B1001" s="142" t="s">
        <v>1184</v>
      </c>
      <c r="C1001" s="56">
        <v>45772</v>
      </c>
      <c r="D1001" s="43">
        <v>726</v>
      </c>
      <c r="F1001" s="43" t="s">
        <v>1219</v>
      </c>
      <c r="G1001" t="str">
        <f t="shared" si="16"/>
        <v>April</v>
      </c>
    </row>
    <row r="1002" spans="1:7">
      <c r="A1002" s="328" t="s">
        <v>625</v>
      </c>
      <c r="B1002" s="308" t="s">
        <v>1187</v>
      </c>
      <c r="C1002" s="56">
        <v>45772</v>
      </c>
      <c r="D1002" s="43">
        <v>728</v>
      </c>
      <c r="F1002" s="43" t="s">
        <v>1220</v>
      </c>
      <c r="G1002" t="str">
        <f t="shared" si="16"/>
        <v>April</v>
      </c>
    </row>
    <row r="1003" spans="1:7">
      <c r="A1003" s="328" t="s">
        <v>629</v>
      </c>
      <c r="B1003" s="308" t="s">
        <v>1184</v>
      </c>
      <c r="C1003" s="56">
        <v>45772</v>
      </c>
      <c r="D1003" s="156">
        <v>1108</v>
      </c>
      <c r="F1003" s="43" t="s">
        <v>1221</v>
      </c>
      <c r="G1003" t="str">
        <f t="shared" si="16"/>
        <v>April</v>
      </c>
    </row>
    <row r="1004" spans="1:7">
      <c r="A1004" s="328" t="s">
        <v>631</v>
      </c>
      <c r="B1004" s="308" t="s">
        <v>507</v>
      </c>
      <c r="C1004" s="56">
        <v>45772</v>
      </c>
      <c r="F1004" s="315" t="s">
        <v>1222</v>
      </c>
      <c r="G1004" t="str">
        <f t="shared" si="16"/>
        <v>April</v>
      </c>
    </row>
    <row r="1005" spans="1:7">
      <c r="A1005" s="328" t="s">
        <v>637</v>
      </c>
      <c r="B1005" s="308" t="s">
        <v>638</v>
      </c>
      <c r="C1005" s="56">
        <v>45772</v>
      </c>
      <c r="D1005" s="43">
        <v>431</v>
      </c>
      <c r="F1005" s="43" t="s">
        <v>1223</v>
      </c>
      <c r="G1005" t="str">
        <f t="shared" si="16"/>
        <v>April</v>
      </c>
    </row>
    <row r="1006" spans="1:7">
      <c r="A1006" s="328" t="s">
        <v>635</v>
      </c>
      <c r="B1006" s="308" t="s">
        <v>130</v>
      </c>
      <c r="C1006" s="56">
        <v>45772</v>
      </c>
      <c r="D1006" s="43">
        <v>385</v>
      </c>
      <c r="F1006" s="43" t="s">
        <v>975</v>
      </c>
      <c r="G1006" t="str">
        <f t="shared" si="16"/>
        <v>April</v>
      </c>
    </row>
    <row r="1007" spans="1:7">
      <c r="A1007" s="328" t="s">
        <v>702</v>
      </c>
      <c r="B1007" s="308" t="s">
        <v>507</v>
      </c>
      <c r="C1007" s="56">
        <v>45772</v>
      </c>
      <c r="F1007" s="315" t="s">
        <v>1222</v>
      </c>
      <c r="G1007" t="str">
        <f t="shared" si="16"/>
        <v>April</v>
      </c>
    </row>
    <row r="1008" spans="1:7">
      <c r="A1008" s="328" t="s">
        <v>647</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1021</v>
      </c>
      <c r="G1011" t="str">
        <f t="shared" si="16"/>
        <v>April</v>
      </c>
    </row>
    <row r="1012" spans="1:7">
      <c r="A1012" s="324" t="s">
        <v>576</v>
      </c>
      <c r="B1012" s="315" t="s">
        <v>152</v>
      </c>
      <c r="C1012" s="56">
        <v>45772</v>
      </c>
      <c r="F1012" s="315" t="s">
        <v>1226</v>
      </c>
      <c r="G1012" t="str">
        <f t="shared" si="16"/>
        <v>April</v>
      </c>
    </row>
    <row r="1013" spans="1:7">
      <c r="A1013" s="135" t="s">
        <v>615</v>
      </c>
      <c r="B1013" s="142" t="s">
        <v>1184</v>
      </c>
      <c r="C1013" s="56">
        <v>45775</v>
      </c>
      <c r="D1013" s="156">
        <v>1602</v>
      </c>
      <c r="F1013" s="43" t="s">
        <v>1227</v>
      </c>
      <c r="G1013" t="str">
        <f t="shared" si="16"/>
        <v>April</v>
      </c>
    </row>
    <row r="1014" spans="1:7">
      <c r="A1014" s="328" t="s">
        <v>625</v>
      </c>
      <c r="B1014" s="308" t="s">
        <v>1187</v>
      </c>
      <c r="C1014" s="56">
        <v>45775</v>
      </c>
      <c r="D1014" s="43">
        <v>961</v>
      </c>
      <c r="F1014" s="43" t="s">
        <v>1228</v>
      </c>
      <c r="G1014" t="str">
        <f t="shared" si="16"/>
        <v>April</v>
      </c>
    </row>
    <row r="1015" spans="1:7">
      <c r="A1015" s="328" t="s">
        <v>629</v>
      </c>
      <c r="B1015" s="308" t="s">
        <v>1184</v>
      </c>
      <c r="C1015" s="56">
        <v>45775</v>
      </c>
      <c r="F1015" s="315" t="s">
        <v>1203</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1229</v>
      </c>
      <c r="G1017" t="str">
        <f t="shared" si="16"/>
        <v>April</v>
      </c>
    </row>
    <row r="1018" spans="1:7">
      <c r="A1018" s="328" t="s">
        <v>637</v>
      </c>
      <c r="B1018" s="308" t="s">
        <v>638</v>
      </c>
      <c r="C1018" s="56">
        <v>45775</v>
      </c>
      <c r="D1018" s="156">
        <v>1936</v>
      </c>
      <c r="F1018" s="43" t="s">
        <v>1230</v>
      </c>
      <c r="G1018" t="str">
        <f t="shared" si="16"/>
        <v>April</v>
      </c>
    </row>
    <row r="1019" spans="1:7">
      <c r="A1019" s="329" t="s">
        <v>691</v>
      </c>
      <c r="B1019" s="310" t="s">
        <v>885</v>
      </c>
      <c r="C1019" s="56">
        <v>45775</v>
      </c>
      <c r="D1019" s="156">
        <v>423</v>
      </c>
      <c r="F1019" s="344" t="s">
        <v>1231</v>
      </c>
      <c r="G1019" t="str">
        <f t="shared" si="16"/>
        <v>April</v>
      </c>
    </row>
    <row r="1020" spans="1:7">
      <c r="A1020" s="310" t="s">
        <v>510</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615</v>
      </c>
      <c r="B1022" s="142" t="s">
        <v>1184</v>
      </c>
      <c r="C1022" s="56">
        <v>45776</v>
      </c>
      <c r="F1022" s="142" t="s">
        <v>1232</v>
      </c>
      <c r="G1022" t="str">
        <f t="shared" si="16"/>
        <v>April</v>
      </c>
    </row>
    <row r="1023" spans="1:7">
      <c r="A1023" s="328" t="s">
        <v>625</v>
      </c>
      <c r="B1023" s="308" t="s">
        <v>1187</v>
      </c>
      <c r="C1023" s="56">
        <v>45776</v>
      </c>
      <c r="D1023" s="43">
        <v>370</v>
      </c>
      <c r="F1023" s="43" t="s">
        <v>1233</v>
      </c>
      <c r="G1023" t="str">
        <f t="shared" si="16"/>
        <v>April</v>
      </c>
    </row>
    <row r="1024" spans="1:7">
      <c r="A1024" s="328" t="s">
        <v>629</v>
      </c>
      <c r="B1024" s="308" t="s">
        <v>1184</v>
      </c>
      <c r="C1024" s="56">
        <v>45776</v>
      </c>
      <c r="D1024" s="43">
        <v>440</v>
      </c>
      <c r="F1024" s="43" t="s">
        <v>1234</v>
      </c>
      <c r="G1024" t="str">
        <f t="shared" si="16"/>
        <v>April</v>
      </c>
    </row>
    <row r="1025" spans="1:7">
      <c r="A1025" s="328" t="s">
        <v>631</v>
      </c>
      <c r="B1025" s="308" t="s">
        <v>885</v>
      </c>
      <c r="C1025" s="56">
        <v>45776</v>
      </c>
      <c r="D1025" s="43">
        <v>608</v>
      </c>
      <c r="F1025" s="43" t="s">
        <v>1235</v>
      </c>
      <c r="G1025" t="str">
        <f t="shared" si="16"/>
        <v>April</v>
      </c>
    </row>
    <row r="1026" spans="1:7">
      <c r="A1026" s="329" t="s">
        <v>635</v>
      </c>
      <c r="B1026" s="309" t="s">
        <v>130</v>
      </c>
      <c r="C1026" s="56">
        <v>45776</v>
      </c>
      <c r="D1026" s="156">
        <v>1597</v>
      </c>
      <c r="F1026" s="43" t="s">
        <v>1236</v>
      </c>
      <c r="G1026" t="str">
        <f t="shared" si="16"/>
        <v>April</v>
      </c>
    </row>
    <row r="1027" spans="1:7">
      <c r="A1027" s="135" t="s">
        <v>637</v>
      </c>
      <c r="B1027" s="142" t="s">
        <v>638</v>
      </c>
      <c r="C1027" s="56">
        <v>45776</v>
      </c>
      <c r="D1027" s="156">
        <v>2103</v>
      </c>
      <c r="F1027" s="43" t="s">
        <v>1237</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955</v>
      </c>
      <c r="G1029" t="str">
        <f t="shared" si="16"/>
        <v>April</v>
      </c>
    </row>
    <row r="1030" spans="1:7">
      <c r="A1030" s="315" t="s">
        <v>531</v>
      </c>
      <c r="B1030" s="315" t="s">
        <v>152</v>
      </c>
      <c r="C1030" s="56">
        <v>45776</v>
      </c>
      <c r="D1030" s="43">
        <v>470</v>
      </c>
      <c r="F1030" s="43" t="s">
        <v>950</v>
      </c>
      <c r="G1030" t="str">
        <f t="shared" si="16"/>
        <v>April</v>
      </c>
    </row>
    <row r="1031" spans="1:7">
      <c r="A1031" s="251" t="s">
        <v>561</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629</v>
      </c>
      <c r="B1033" s="308" t="s">
        <v>1184</v>
      </c>
      <c r="C1033" s="56">
        <v>45777</v>
      </c>
      <c r="D1033" s="156">
        <v>1175</v>
      </c>
      <c r="F1033" s="43" t="s">
        <v>1238</v>
      </c>
      <c r="G1033" t="str">
        <f t="shared" si="16"/>
        <v>April</v>
      </c>
    </row>
    <row r="1034" spans="1:7">
      <c r="A1034" s="328" t="s">
        <v>631</v>
      </c>
      <c r="B1034" s="308" t="s">
        <v>885</v>
      </c>
      <c r="C1034" s="56">
        <v>45777</v>
      </c>
      <c r="D1034" s="43">
        <v>609</v>
      </c>
      <c r="F1034" s="43" t="s">
        <v>1239</v>
      </c>
      <c r="G1034" t="str">
        <f t="shared" si="16"/>
        <v>April</v>
      </c>
    </row>
    <row r="1035" spans="1:7">
      <c r="A1035" s="329" t="s">
        <v>635</v>
      </c>
      <c r="B1035" s="309" t="s">
        <v>130</v>
      </c>
      <c r="C1035" s="56">
        <v>45777</v>
      </c>
      <c r="D1035" s="156">
        <v>1632</v>
      </c>
      <c r="F1035" s="43" t="s">
        <v>1240</v>
      </c>
      <c r="G1035" t="str">
        <f t="shared" si="16"/>
        <v>April</v>
      </c>
    </row>
    <row r="1036" spans="1:7">
      <c r="A1036" s="135" t="s">
        <v>637</v>
      </c>
      <c r="B1036" s="142" t="s">
        <v>638</v>
      </c>
      <c r="C1036" s="56">
        <v>45777</v>
      </c>
      <c r="D1036" s="156">
        <v>1498</v>
      </c>
      <c r="F1036" s="43" t="s">
        <v>1241</v>
      </c>
      <c r="G1036" t="str">
        <f t="shared" si="16"/>
        <v>April</v>
      </c>
    </row>
    <row r="1037" spans="1:7">
      <c r="A1037" s="328" t="s">
        <v>702</v>
      </c>
      <c r="B1037" s="308" t="s">
        <v>470</v>
      </c>
      <c r="C1037" s="56">
        <v>45777</v>
      </c>
      <c r="D1037" s="43">
        <v>594</v>
      </c>
      <c r="F1037" s="43" t="s">
        <v>1242</v>
      </c>
      <c r="G1037" t="str">
        <f t="shared" si="16"/>
        <v>April</v>
      </c>
    </row>
    <row r="1038" spans="1:7">
      <c r="A1038" s="329" t="s">
        <v>691</v>
      </c>
      <c r="B1038" s="309" t="s">
        <v>1184</v>
      </c>
      <c r="C1038" s="347">
        <v>45777</v>
      </c>
      <c r="D1038" s="116"/>
      <c r="E1038" s="204"/>
      <c r="F1038" s="348" t="s">
        <v>1243</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971</v>
      </c>
      <c r="G1040" t="str">
        <f t="shared" si="16"/>
        <v>April</v>
      </c>
    </row>
    <row r="1041" spans="1:7">
      <c r="A1041" s="142" t="s">
        <v>561</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615</v>
      </c>
      <c r="B1043" s="142" t="s">
        <v>1184</v>
      </c>
      <c r="C1043" s="56">
        <v>45778</v>
      </c>
      <c r="E1043" s="43"/>
      <c r="F1043" s="142" t="s">
        <v>1243</v>
      </c>
    </row>
    <row r="1044" spans="1:7">
      <c r="A1044" s="135" t="s">
        <v>629</v>
      </c>
      <c r="B1044" s="142" t="s">
        <v>1184</v>
      </c>
      <c r="C1044" s="56">
        <v>45778</v>
      </c>
      <c r="D1044" s="43">
        <v>822</v>
      </c>
      <c r="E1044" s="43"/>
      <c r="F1044" s="43" t="s">
        <v>1245</v>
      </c>
      <c r="G1044" t="str">
        <f t="shared" si="16"/>
        <v>May</v>
      </c>
    </row>
    <row r="1045" spans="1:7">
      <c r="A1045" s="135" t="s">
        <v>631</v>
      </c>
      <c r="B1045" s="142" t="s">
        <v>885</v>
      </c>
      <c r="C1045" s="56">
        <v>45778</v>
      </c>
      <c r="D1045" s="43">
        <v>614</v>
      </c>
      <c r="E1045" s="43"/>
      <c r="F1045" s="43" t="s">
        <v>1246</v>
      </c>
      <c r="G1045" t="str">
        <f t="shared" si="16"/>
        <v>May</v>
      </c>
    </row>
    <row r="1046" spans="1:7">
      <c r="A1046" s="135" t="s">
        <v>635</v>
      </c>
      <c r="B1046" s="142" t="s">
        <v>130</v>
      </c>
      <c r="C1046" s="56">
        <v>45778</v>
      </c>
      <c r="D1046" s="43">
        <v>692</v>
      </c>
      <c r="E1046" s="43"/>
      <c r="F1046" s="43" t="s">
        <v>1247</v>
      </c>
      <c r="G1046" t="str">
        <f t="shared" si="16"/>
        <v>May</v>
      </c>
    </row>
    <row r="1047" spans="1:7">
      <c r="A1047" s="135" t="s">
        <v>637</v>
      </c>
      <c r="B1047" s="142" t="s">
        <v>638</v>
      </c>
      <c r="C1047" s="56">
        <v>45778</v>
      </c>
      <c r="D1047" s="43">
        <v>229</v>
      </c>
      <c r="E1047" s="43"/>
      <c r="F1047" s="43" t="s">
        <v>1248</v>
      </c>
      <c r="G1047" t="str">
        <f t="shared" si="16"/>
        <v>May</v>
      </c>
    </row>
    <row r="1048" spans="1:7">
      <c r="A1048" s="135" t="s">
        <v>702</v>
      </c>
      <c r="B1048" s="142" t="s">
        <v>1184</v>
      </c>
      <c r="C1048" s="56">
        <v>45778</v>
      </c>
      <c r="E1048" s="43"/>
      <c r="F1048" s="142" t="s">
        <v>1243</v>
      </c>
      <c r="G1048" t="str">
        <f t="shared" si="16"/>
        <v>May</v>
      </c>
    </row>
    <row r="1049" spans="1:7">
      <c r="A1049" s="135" t="s">
        <v>691</v>
      </c>
      <c r="B1049" s="142" t="s">
        <v>1184</v>
      </c>
      <c r="C1049" s="56">
        <v>45778</v>
      </c>
      <c r="E1049" s="43"/>
      <c r="F1049" s="142" t="s">
        <v>1243</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1249</v>
      </c>
      <c r="G1051" t="str">
        <f t="shared" si="16"/>
        <v>May</v>
      </c>
    </row>
    <row r="1052" spans="1:7">
      <c r="A1052" s="155" t="s">
        <v>561</v>
      </c>
      <c r="B1052" s="142" t="s">
        <v>152</v>
      </c>
      <c r="C1052" s="56">
        <v>45778</v>
      </c>
      <c r="D1052" s="156">
        <v>1031</v>
      </c>
      <c r="E1052" s="43"/>
      <c r="F1052" s="43" t="s">
        <v>1250</v>
      </c>
      <c r="G1052" t="str">
        <f t="shared" si="16"/>
        <v>May</v>
      </c>
    </row>
    <row r="1053" spans="1:7">
      <c r="A1053" s="135" t="s">
        <v>629</v>
      </c>
      <c r="B1053" s="142" t="s">
        <v>1184</v>
      </c>
      <c r="C1053" s="355">
        <v>45779</v>
      </c>
      <c r="D1053" s="361">
        <v>1020</v>
      </c>
      <c r="E1053" s="257"/>
      <c r="F1053" s="171" t="s">
        <v>1251</v>
      </c>
      <c r="G1053" t="str">
        <f t="shared" ref="G1053:G1069" si="17">TEXT(C1053,"mmmm")</f>
        <v>May</v>
      </c>
    </row>
    <row r="1054" spans="1:7">
      <c r="A1054" s="328" t="s">
        <v>631</v>
      </c>
      <c r="B1054" s="308" t="s">
        <v>885</v>
      </c>
      <c r="C1054" s="355">
        <v>45779</v>
      </c>
      <c r="F1054" s="315" t="s">
        <v>1243</v>
      </c>
      <c r="G1054" t="str">
        <f t="shared" si="17"/>
        <v>May</v>
      </c>
    </row>
    <row r="1055" spans="1:7">
      <c r="A1055" s="328" t="s">
        <v>691</v>
      </c>
      <c r="B1055" s="308" t="s">
        <v>1184</v>
      </c>
      <c r="C1055" s="355">
        <v>45779</v>
      </c>
      <c r="F1055" s="315" t="s">
        <v>1243</v>
      </c>
      <c r="G1055" t="str">
        <f t="shared" si="17"/>
        <v>May</v>
      </c>
    </row>
    <row r="1056" spans="1:7">
      <c r="A1056" s="328" t="s">
        <v>684</v>
      </c>
      <c r="B1056" s="308" t="s">
        <v>130</v>
      </c>
      <c r="C1056" s="355">
        <v>45779</v>
      </c>
      <c r="D1056" s="156">
        <v>1367</v>
      </c>
      <c r="F1056" s="43" t="s">
        <v>1252</v>
      </c>
      <c r="G1056" t="str">
        <f t="shared" si="17"/>
        <v>May</v>
      </c>
    </row>
    <row r="1057" spans="1:7">
      <c r="A1057" s="308" t="s">
        <v>623</v>
      </c>
      <c r="B1057" s="308" t="s">
        <v>1187</v>
      </c>
      <c r="C1057" s="355">
        <v>45779</v>
      </c>
      <c r="F1057" s="142" t="s">
        <v>1021</v>
      </c>
      <c r="G1057" t="str">
        <f t="shared" si="17"/>
        <v>May</v>
      </c>
    </row>
    <row r="1058" spans="1:7">
      <c r="A1058" s="328" t="s">
        <v>637</v>
      </c>
      <c r="B1058" s="308" t="s">
        <v>638</v>
      </c>
      <c r="C1058" s="355">
        <v>45779</v>
      </c>
      <c r="F1058" s="356" t="s">
        <v>1253</v>
      </c>
      <c r="G1058" t="str">
        <f t="shared" si="17"/>
        <v>May</v>
      </c>
    </row>
    <row r="1059" spans="1:7">
      <c r="A1059" s="315" t="s">
        <v>510</v>
      </c>
      <c r="B1059" s="308" t="s">
        <v>885</v>
      </c>
      <c r="C1059" s="355">
        <v>45779</v>
      </c>
      <c r="F1059" s="324" t="s">
        <v>1021</v>
      </c>
      <c r="G1059" t="str">
        <f t="shared" si="17"/>
        <v>May</v>
      </c>
    </row>
    <row r="1060" spans="1:7">
      <c r="A1060" s="135" t="s">
        <v>631</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686</v>
      </c>
      <c r="B1063" s="308" t="s">
        <v>885</v>
      </c>
      <c r="C1063" s="56">
        <v>45782</v>
      </c>
      <c r="E1063" s="140">
        <v>636</v>
      </c>
      <c r="F1063" s="315" t="s">
        <v>1256</v>
      </c>
      <c r="G1063" t="str">
        <f t="shared" si="17"/>
        <v>May</v>
      </c>
    </row>
    <row r="1064" spans="1:7">
      <c r="A1064" s="328" t="s">
        <v>623</v>
      </c>
      <c r="B1064" s="308" t="s">
        <v>470</v>
      </c>
      <c r="C1064" s="56">
        <v>45782</v>
      </c>
      <c r="F1064" s="155" t="s">
        <v>1257</v>
      </c>
      <c r="G1064" t="str">
        <f t="shared" si="17"/>
        <v>May</v>
      </c>
    </row>
    <row r="1065" spans="1:7">
      <c r="A1065" s="328" t="s">
        <v>637</v>
      </c>
      <c r="B1065" s="308" t="s">
        <v>638</v>
      </c>
      <c r="C1065" s="56">
        <v>45782</v>
      </c>
      <c r="F1065" s="356" t="s">
        <v>1258</v>
      </c>
      <c r="G1065" t="str">
        <f t="shared" si="17"/>
        <v>May</v>
      </c>
    </row>
    <row r="1066" spans="1:7">
      <c r="A1066" s="310" t="s">
        <v>529</v>
      </c>
      <c r="B1066" s="322" t="s">
        <v>885</v>
      </c>
      <c r="C1066" s="56">
        <v>45782</v>
      </c>
      <c r="D1066" s="43">
        <v>610</v>
      </c>
      <c r="F1066" s="43" t="s">
        <v>950</v>
      </c>
      <c r="G1066" t="str">
        <f t="shared" si="17"/>
        <v>May</v>
      </c>
    </row>
    <row r="1067" spans="1:7">
      <c r="A1067" s="320" t="s">
        <v>561</v>
      </c>
      <c r="B1067" s="359" t="s">
        <v>152</v>
      </c>
      <c r="C1067" s="56">
        <v>45782</v>
      </c>
      <c r="D1067" s="156">
        <v>1053</v>
      </c>
      <c r="F1067" s="43" t="s">
        <v>1259</v>
      </c>
      <c r="G1067" t="str">
        <f t="shared" si="17"/>
        <v>May</v>
      </c>
    </row>
    <row r="1068" spans="1:7">
      <c r="A1068" s="155" t="s">
        <v>563</v>
      </c>
      <c r="B1068" s="322" t="s">
        <v>152</v>
      </c>
      <c r="C1068" s="56">
        <v>45782</v>
      </c>
      <c r="D1068" s="43">
        <v>575</v>
      </c>
      <c r="F1068" s="43" t="s">
        <v>1260</v>
      </c>
      <c r="G1068" t="str">
        <f t="shared" si="17"/>
        <v>May</v>
      </c>
    </row>
    <row r="1069" spans="1:7">
      <c r="A1069" s="356" t="s">
        <v>531</v>
      </c>
      <c r="B1069" s="360" t="s">
        <v>152</v>
      </c>
      <c r="C1069" s="56">
        <v>45782</v>
      </c>
      <c r="F1069" s="142" t="s">
        <v>1261</v>
      </c>
      <c r="G1069" t="str">
        <f t="shared" si="17"/>
        <v>May</v>
      </c>
    </row>
    <row r="1070" spans="1:7">
      <c r="A1070" s="135" t="s">
        <v>631</v>
      </c>
      <c r="B1070" s="142" t="s">
        <v>885</v>
      </c>
      <c r="C1070" s="56">
        <v>45783</v>
      </c>
      <c r="D1070" s="43">
        <v>158</v>
      </c>
      <c r="F1070" s="43" t="s">
        <v>1022</v>
      </c>
      <c r="G1070" t="str">
        <f t="shared" ref="G1070:G1080" si="18">TEXT(C1070,"mmmm")</f>
        <v>May</v>
      </c>
    </row>
    <row r="1071" spans="1:7">
      <c r="A1071" s="328" t="s">
        <v>691</v>
      </c>
      <c r="B1071" s="308" t="s">
        <v>885</v>
      </c>
      <c r="C1071" s="56">
        <v>45783</v>
      </c>
      <c r="D1071" s="43">
        <v>155</v>
      </c>
      <c r="F1071" s="43" t="s">
        <v>1078</v>
      </c>
      <c r="G1071" t="str">
        <f t="shared" si="18"/>
        <v>May</v>
      </c>
    </row>
    <row r="1072" spans="1:7">
      <c r="A1072" s="328" t="s">
        <v>691</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684</v>
      </c>
      <c r="B1075" s="308" t="s">
        <v>130</v>
      </c>
      <c r="C1075" s="56">
        <v>45783</v>
      </c>
      <c r="D1075" s="43">
        <v>424</v>
      </c>
      <c r="F1075" s="43" t="s">
        <v>1264</v>
      </c>
      <c r="G1075" t="str">
        <f t="shared" si="18"/>
        <v>May</v>
      </c>
    </row>
    <row r="1076" spans="1:7">
      <c r="A1076" s="328" t="s">
        <v>637</v>
      </c>
      <c r="B1076" s="308" t="s">
        <v>638</v>
      </c>
      <c r="C1076" s="56">
        <v>45783</v>
      </c>
      <c r="F1076" s="155" t="s">
        <v>1265</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1266</v>
      </c>
      <c r="G1078" t="str">
        <f t="shared" si="18"/>
        <v>May</v>
      </c>
    </row>
    <row r="1079" spans="1:7">
      <c r="A1079" s="155" t="s">
        <v>563</v>
      </c>
      <c r="B1079" s="322" t="s">
        <v>152</v>
      </c>
      <c r="C1079" s="56">
        <v>45783</v>
      </c>
      <c r="D1079" s="156">
        <v>1847</v>
      </c>
      <c r="F1079" s="43" t="s">
        <v>1267</v>
      </c>
      <c r="G1079" t="str">
        <f t="shared" si="18"/>
        <v>May</v>
      </c>
    </row>
    <row r="1080" spans="1:7">
      <c r="A1080" s="356" t="s">
        <v>559</v>
      </c>
      <c r="B1080" s="360" t="s">
        <v>152</v>
      </c>
      <c r="C1080" s="56">
        <v>45783</v>
      </c>
      <c r="D1080" s="43">
        <v>565</v>
      </c>
      <c r="F1080" s="43" t="s">
        <v>960</v>
      </c>
      <c r="G1080" t="str">
        <f t="shared" si="18"/>
        <v>May</v>
      </c>
    </row>
    <row r="1081" spans="1:7">
      <c r="A1081" s="135" t="s">
        <v>631</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637</v>
      </c>
      <c r="B1086" s="308" t="s">
        <v>638</v>
      </c>
      <c r="C1086" s="56">
        <v>45784</v>
      </c>
      <c r="F1086" s="155" t="s">
        <v>1265</v>
      </c>
      <c r="G1086" t="str">
        <f>TEXT(C1086,"mmmm")</f>
        <v>May</v>
      </c>
    </row>
    <row r="1087" spans="1:7">
      <c r="A1087" s="329" t="s">
        <v>627</v>
      </c>
      <c r="B1087" s="322" t="s">
        <v>885</v>
      </c>
      <c r="C1087" s="56">
        <v>45784</v>
      </c>
      <c r="F1087" s="142" t="s">
        <v>1021</v>
      </c>
    </row>
    <row r="1088" spans="1:7">
      <c r="A1088" s="310" t="s">
        <v>529</v>
      </c>
      <c r="B1088" s="322" t="s">
        <v>885</v>
      </c>
      <c r="C1088" s="56">
        <v>45784</v>
      </c>
      <c r="D1088" s="43">
        <v>802</v>
      </c>
      <c r="F1088" s="43" t="s">
        <v>993</v>
      </c>
      <c r="G1088" t="str">
        <f>TEXT(C1088,"mmmm")</f>
        <v>May</v>
      </c>
    </row>
    <row r="1089" spans="1:7">
      <c r="A1089" s="155" t="s">
        <v>563</v>
      </c>
      <c r="B1089" s="360" t="s">
        <v>152</v>
      </c>
      <c r="C1089" s="56">
        <v>45784</v>
      </c>
      <c r="D1089" s="156">
        <v>1052</v>
      </c>
      <c r="F1089" s="43" t="s">
        <v>1271</v>
      </c>
      <c r="G1089" t="str">
        <f>TEXT(C1089,"mmmm")</f>
        <v>May</v>
      </c>
    </row>
    <row r="1090" spans="1:7">
      <c r="A1090" s="356" t="s">
        <v>559</v>
      </c>
      <c r="B1090" s="360" t="s">
        <v>152</v>
      </c>
      <c r="C1090" s="56">
        <v>45784</v>
      </c>
      <c r="D1090" s="156">
        <v>1935</v>
      </c>
      <c r="F1090" s="43" t="s">
        <v>1272</v>
      </c>
      <c r="G1090" t="str">
        <f>TEXT(C1090,"mmmm")</f>
        <v>May</v>
      </c>
    </row>
    <row r="1091" spans="1:7">
      <c r="A1091" s="135" t="s">
        <v>631</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1021</v>
      </c>
      <c r="G1097" t="str">
        <f t="shared" si="19"/>
        <v>May</v>
      </c>
    </row>
    <row r="1098" spans="1:7">
      <c r="A1098" s="328" t="s">
        <v>637</v>
      </c>
      <c r="B1098" s="308" t="s">
        <v>638</v>
      </c>
      <c r="C1098" s="56">
        <v>45785</v>
      </c>
      <c r="F1098" s="356" t="s">
        <v>1265</v>
      </c>
      <c r="G1098" t="str">
        <f t="shared" si="19"/>
        <v>May</v>
      </c>
    </row>
    <row r="1099" spans="1:7">
      <c r="A1099" s="142" t="s">
        <v>529</v>
      </c>
      <c r="B1099" s="142" t="s">
        <v>885</v>
      </c>
      <c r="C1099" s="56">
        <v>45785</v>
      </c>
      <c r="D1099" s="43">
        <v>75</v>
      </c>
      <c r="F1099" s="43" t="s">
        <v>958</v>
      </c>
      <c r="G1099" t="str">
        <f t="shared" si="19"/>
        <v>May</v>
      </c>
    </row>
    <row r="1100" spans="1:7">
      <c r="A1100" s="356" t="s">
        <v>559</v>
      </c>
      <c r="B1100" s="308" t="s">
        <v>152</v>
      </c>
      <c r="C1100" s="56">
        <v>45785</v>
      </c>
      <c r="D1100" s="156">
        <v>1483</v>
      </c>
      <c r="F1100" s="43" t="s">
        <v>1277</v>
      </c>
      <c r="G1100" t="str">
        <f t="shared" si="19"/>
        <v>May</v>
      </c>
    </row>
    <row r="1101" spans="1:7">
      <c r="A1101" s="356" t="s">
        <v>563</v>
      </c>
      <c r="B1101" s="308" t="s">
        <v>152</v>
      </c>
      <c r="C1101" s="56">
        <v>45785</v>
      </c>
      <c r="D1101" s="156">
        <v>1846</v>
      </c>
      <c r="F1101" s="43" t="s">
        <v>1278</v>
      </c>
      <c r="G1101" t="str">
        <f t="shared" si="19"/>
        <v>May</v>
      </c>
    </row>
    <row r="1102" spans="1:7">
      <c r="A1102" s="356" t="s">
        <v>615</v>
      </c>
      <c r="B1102" s="308" t="s">
        <v>1184</v>
      </c>
      <c r="C1102" s="56">
        <v>45786</v>
      </c>
      <c r="D1102" s="156"/>
      <c r="F1102" s="315" t="s">
        <v>1279</v>
      </c>
      <c r="G1102" t="str">
        <f t="shared" ref="G1102:G1119" si="20">TEXT(C1102,"mmmm")</f>
        <v>May</v>
      </c>
    </row>
    <row r="1103" spans="1:7">
      <c r="A1103" s="135" t="s">
        <v>631</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529</v>
      </c>
      <c r="B1108" s="142" t="s">
        <v>885</v>
      </c>
      <c r="C1108" s="56">
        <v>45786</v>
      </c>
      <c r="F1108" s="155" t="s">
        <v>1021</v>
      </c>
      <c r="G1108" t="str">
        <f t="shared" si="20"/>
        <v>May</v>
      </c>
    </row>
    <row r="1109" spans="1:7">
      <c r="A1109" s="356" t="s">
        <v>561</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691</v>
      </c>
      <c r="B1114" s="308" t="s">
        <v>885</v>
      </c>
      <c r="C1114" s="56">
        <v>45790</v>
      </c>
      <c r="F1114" s="43" t="s">
        <v>1286</v>
      </c>
      <c r="G1114" t="str">
        <f t="shared" si="20"/>
        <v>May</v>
      </c>
    </row>
    <row r="1115" spans="1:7">
      <c r="A1115" s="634" t="s">
        <v>691</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529</v>
      </c>
      <c r="B1117" s="142" t="s">
        <v>885</v>
      </c>
      <c r="C1117" s="56">
        <v>45790</v>
      </c>
      <c r="D1117" s="43">
        <v>251</v>
      </c>
      <c r="F1117" s="43" t="s">
        <v>993</v>
      </c>
      <c r="G1117" t="str">
        <f t="shared" si="20"/>
        <v>May</v>
      </c>
    </row>
    <row r="1118" spans="1:7">
      <c r="A1118" s="356" t="s">
        <v>559</v>
      </c>
      <c r="B1118" s="308" t="s">
        <v>152</v>
      </c>
      <c r="C1118" s="56">
        <v>45790</v>
      </c>
      <c r="D1118" s="43">
        <v>933</v>
      </c>
      <c r="F1118" s="43" t="s">
        <v>1288</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529</v>
      </c>
      <c r="B1124" s="142" t="s">
        <v>885</v>
      </c>
      <c r="C1124" s="56">
        <v>45791</v>
      </c>
      <c r="D1124" s="43">
        <v>424</v>
      </c>
      <c r="F1124" s="43" t="s">
        <v>993</v>
      </c>
      <c r="G1124" t="str">
        <f t="shared" si="21"/>
        <v>May</v>
      </c>
    </row>
    <row r="1125" spans="1:7">
      <c r="A1125" s="356" t="s">
        <v>571</v>
      </c>
      <c r="B1125" s="308" t="s">
        <v>152</v>
      </c>
      <c r="C1125" s="56">
        <v>45791</v>
      </c>
      <c r="D1125" s="43">
        <v>1190</v>
      </c>
      <c r="F1125" s="43" t="s">
        <v>1004</v>
      </c>
      <c r="G1125" t="str">
        <f t="shared" si="21"/>
        <v>May</v>
      </c>
    </row>
    <row r="1126" spans="1:7">
      <c r="A1126" s="142" t="s">
        <v>713</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1142</v>
      </c>
      <c r="G1130" t="str">
        <f t="shared" si="21"/>
        <v>May</v>
      </c>
    </row>
    <row r="1131" spans="1:7">
      <c r="A1131" s="357" t="s">
        <v>641</v>
      </c>
      <c r="B1131" s="357" t="s">
        <v>1292</v>
      </c>
      <c r="C1131" s="56">
        <v>45792</v>
      </c>
      <c r="D1131" s="156">
        <v>1342</v>
      </c>
      <c r="F1131" s="43" t="s">
        <v>1293</v>
      </c>
      <c r="G1131" t="str">
        <f t="shared" si="21"/>
        <v>May</v>
      </c>
    </row>
    <row r="1132" spans="1:7">
      <c r="A1132" s="142" t="s">
        <v>529</v>
      </c>
      <c r="B1132" s="142" t="s">
        <v>885</v>
      </c>
      <c r="C1132" s="56">
        <v>45792</v>
      </c>
      <c r="D1132" s="43">
        <v>497</v>
      </c>
      <c r="F1132" s="43" t="s">
        <v>950</v>
      </c>
      <c r="G1132" t="str">
        <f t="shared" si="21"/>
        <v>May</v>
      </c>
    </row>
    <row r="1133" spans="1:7">
      <c r="A1133" s="356" t="s">
        <v>516</v>
      </c>
      <c r="B1133" s="308" t="s">
        <v>152</v>
      </c>
      <c r="C1133" s="56">
        <v>45792</v>
      </c>
      <c r="D1133" s="156">
        <v>1580</v>
      </c>
      <c r="F1133" s="43" t="s">
        <v>1004</v>
      </c>
      <c r="G1133" t="str">
        <f t="shared" si="21"/>
        <v>May</v>
      </c>
    </row>
    <row r="1134" spans="1:7">
      <c r="A1134" s="142" t="s">
        <v>713</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529</v>
      </c>
      <c r="B1140" s="142" t="s">
        <v>885</v>
      </c>
      <c r="C1140" s="56">
        <v>45793</v>
      </c>
      <c r="F1140" s="155" t="s">
        <v>1297</v>
      </c>
      <c r="G1140" t="str">
        <f t="shared" si="21"/>
        <v>May</v>
      </c>
    </row>
    <row r="1141" spans="1:7">
      <c r="A1141" s="142" t="s">
        <v>713</v>
      </c>
      <c r="B1141" s="142" t="s">
        <v>474</v>
      </c>
      <c r="C1141" s="56">
        <v>45793</v>
      </c>
      <c r="F1141" s="315" t="s">
        <v>1298</v>
      </c>
      <c r="G1141" t="str">
        <f t="shared" si="21"/>
        <v>May</v>
      </c>
    </row>
    <row r="1142" spans="1:7">
      <c r="A1142" s="142" t="s">
        <v>595</v>
      </c>
      <c r="B1142" s="142" t="s">
        <v>885</v>
      </c>
      <c r="C1142" s="56">
        <v>45796</v>
      </c>
      <c r="D1142" s="43">
        <v>301</v>
      </c>
      <c r="F1142" s="362" t="s">
        <v>1296</v>
      </c>
      <c r="G1142" t="str">
        <f t="shared" si="21"/>
        <v>May</v>
      </c>
    </row>
    <row r="1143" spans="1:7">
      <c r="A1143" s="308" t="s">
        <v>635</v>
      </c>
      <c r="B1143" s="308" t="s">
        <v>130</v>
      </c>
      <c r="C1143" s="56">
        <v>45796</v>
      </c>
      <c r="F1143" s="142" t="s">
        <v>1299</v>
      </c>
      <c r="G1143" t="str">
        <f t="shared" si="21"/>
        <v>May</v>
      </c>
    </row>
    <row r="1144" spans="1:7">
      <c r="A1144" s="308" t="s">
        <v>641</v>
      </c>
      <c r="B1144" s="308" t="s">
        <v>638</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699</v>
      </c>
      <c r="B1146" s="308" t="s">
        <v>885</v>
      </c>
      <c r="C1146" s="56">
        <v>45796</v>
      </c>
      <c r="D1146" s="43">
        <v>54</v>
      </c>
      <c r="F1146" s="43" t="s">
        <v>1302</v>
      </c>
      <c r="G1146" t="str">
        <f t="shared" si="21"/>
        <v>May</v>
      </c>
    </row>
    <row r="1147" spans="1:7">
      <c r="A1147" s="142" t="s">
        <v>529</v>
      </c>
      <c r="B1147" s="142" t="s">
        <v>885</v>
      </c>
      <c r="C1147" s="56">
        <v>45796</v>
      </c>
      <c r="D1147" s="43">
        <v>286</v>
      </c>
      <c r="F1147" s="43" t="s">
        <v>993</v>
      </c>
      <c r="G1147" t="str">
        <f t="shared" si="21"/>
        <v>May</v>
      </c>
    </row>
    <row r="1148" spans="1:7">
      <c r="A1148" s="356" t="s">
        <v>516</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699</v>
      </c>
      <c r="B1153" s="308" t="s">
        <v>885</v>
      </c>
      <c r="C1153" s="56">
        <v>45797</v>
      </c>
      <c r="D1153" s="43">
        <v>101</v>
      </c>
      <c r="G1153" t="str">
        <f t="shared" si="21"/>
        <v>May</v>
      </c>
    </row>
    <row r="1154" spans="1:7">
      <c r="A1154" s="328" t="s">
        <v>580</v>
      </c>
      <c r="B1154" s="308" t="s">
        <v>1224</v>
      </c>
      <c r="C1154" s="56">
        <v>45797</v>
      </c>
      <c r="F1154" s="362" t="s">
        <v>1204</v>
      </c>
      <c r="G1154" t="str">
        <f t="shared" si="21"/>
        <v>May</v>
      </c>
    </row>
    <row r="1155" spans="1:7">
      <c r="A1155" s="308" t="s">
        <v>595</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529</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580</v>
      </c>
      <c r="B1159" s="142" t="s">
        <v>130</v>
      </c>
      <c r="C1159" s="56">
        <v>45798</v>
      </c>
      <c r="D1159" s="43">
        <v>999</v>
      </c>
      <c r="F1159" s="43" t="s">
        <v>1305</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529</v>
      </c>
      <c r="B1163" s="142" t="s">
        <v>885</v>
      </c>
      <c r="C1163" s="56">
        <v>45798</v>
      </c>
      <c r="F1163" s="43" t="s">
        <v>1192</v>
      </c>
      <c r="G1163" t="str">
        <f t="shared" si="21"/>
        <v>May</v>
      </c>
    </row>
    <row r="1164" spans="1:7">
      <c r="A1164" s="356" t="s">
        <v>571</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1310</v>
      </c>
      <c r="G1169" t="str">
        <f t="shared" si="21"/>
        <v>May</v>
      </c>
    </row>
    <row r="1170" spans="1:7">
      <c r="A1170" s="142" t="s">
        <v>529</v>
      </c>
      <c r="B1170" s="142" t="s">
        <v>885</v>
      </c>
      <c r="C1170" s="56">
        <v>45799</v>
      </c>
      <c r="F1170" s="155" t="s">
        <v>1311</v>
      </c>
      <c r="G1170" t="str">
        <f t="shared" si="21"/>
        <v>May</v>
      </c>
    </row>
    <row r="1171" spans="1:7">
      <c r="A1171" s="356" t="s">
        <v>516</v>
      </c>
      <c r="B1171" s="308" t="s">
        <v>152</v>
      </c>
      <c r="C1171" s="56">
        <v>45799</v>
      </c>
      <c r="D1171" s="43">
        <v>948</v>
      </c>
      <c r="F1171" s="155" t="s">
        <v>1004</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580</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529</v>
      </c>
      <c r="B1177" s="142" t="s">
        <v>885</v>
      </c>
      <c r="C1177" s="56">
        <v>45800</v>
      </c>
      <c r="F1177" s="313" t="s">
        <v>1311</v>
      </c>
      <c r="G1177" t="str">
        <f t="shared" si="21"/>
        <v>May</v>
      </c>
    </row>
    <row r="1178" spans="1:7">
      <c r="A1178" s="142" t="s">
        <v>713</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691</v>
      </c>
      <c r="B1181" s="308" t="s">
        <v>1316</v>
      </c>
      <c r="C1181" s="56">
        <v>45804</v>
      </c>
      <c r="D1181" s="43">
        <v>100</v>
      </c>
      <c r="G1181" t="str">
        <f t="shared" si="21"/>
        <v>May</v>
      </c>
    </row>
    <row r="1182" spans="1:7">
      <c r="A1182" s="142" t="s">
        <v>529</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516</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529</v>
      </c>
      <c r="B1188" s="142" t="s">
        <v>885</v>
      </c>
      <c r="C1188" s="56">
        <v>45805</v>
      </c>
      <c r="F1188" s="320" t="s">
        <v>1311</v>
      </c>
      <c r="G1188" t="str">
        <f t="shared" si="22"/>
        <v>May</v>
      </c>
    </row>
    <row r="1189" spans="1:7">
      <c r="A1189" s="360" t="s">
        <v>516</v>
      </c>
      <c r="B1189" s="311" t="s">
        <v>152</v>
      </c>
      <c r="C1189" s="56">
        <v>45805</v>
      </c>
      <c r="D1189" s="156">
        <v>2783</v>
      </c>
      <c r="F1189" s="43" t="s">
        <v>1320</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529</v>
      </c>
      <c r="B1194" s="142" t="s">
        <v>885</v>
      </c>
      <c r="C1194" s="56">
        <v>45806</v>
      </c>
      <c r="F1194" s="320" t="s">
        <v>1021</v>
      </c>
      <c r="G1194" t="str">
        <f t="shared" si="22"/>
        <v>May</v>
      </c>
    </row>
    <row r="1195" spans="1:7">
      <c r="A1195" s="360" t="s">
        <v>516</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684</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713</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580</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571</v>
      </c>
      <c r="B1214" s="311" t="s">
        <v>474</v>
      </c>
      <c r="C1214" s="56">
        <v>45811</v>
      </c>
      <c r="F1214" s="142" t="s">
        <v>1021</v>
      </c>
      <c r="G1214" t="s">
        <v>1325</v>
      </c>
    </row>
    <row r="1215" spans="1:7">
      <c r="A1215" s="142" t="s">
        <v>713</v>
      </c>
      <c r="B1215" s="142" t="s">
        <v>474</v>
      </c>
      <c r="C1215" s="56">
        <v>45811</v>
      </c>
      <c r="D1215" s="43">
        <v>948</v>
      </c>
      <c r="G1215" t="s">
        <v>1325</v>
      </c>
    </row>
    <row r="1216" spans="1:7">
      <c r="A1216" s="142" t="s">
        <v>580</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565</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713</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565</v>
      </c>
      <c r="B1226" s="368" t="s">
        <v>152</v>
      </c>
      <c r="C1226" s="56">
        <v>45813</v>
      </c>
      <c r="D1226" s="156">
        <v>2523</v>
      </c>
      <c r="F1226" s="43" t="s">
        <v>1334</v>
      </c>
      <c r="G1226" t="s">
        <v>1325</v>
      </c>
    </row>
    <row r="1227" spans="1:7">
      <c r="A1227" s="315" t="s">
        <v>545</v>
      </c>
      <c r="B1227" s="315" t="s">
        <v>885</v>
      </c>
      <c r="C1227" s="56">
        <v>45813</v>
      </c>
      <c r="F1227" s="324" t="s">
        <v>1335</v>
      </c>
      <c r="G1227" t="s">
        <v>1325</v>
      </c>
    </row>
    <row r="1228" spans="1:7">
      <c r="A1228" s="142" t="s">
        <v>713</v>
      </c>
      <c r="B1228" s="142" t="s">
        <v>474</v>
      </c>
      <c r="C1228" s="56">
        <v>45813</v>
      </c>
      <c r="D1228" s="156">
        <v>1101</v>
      </c>
      <c r="F1228" s="43" t="s">
        <v>1016</v>
      </c>
      <c r="G1228" t="s">
        <v>1325</v>
      </c>
    </row>
    <row r="1229" spans="1:7">
      <c r="A1229" s="142" t="s">
        <v>713</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576</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713</v>
      </c>
      <c r="B1234" s="142" t="s">
        <v>474</v>
      </c>
      <c r="C1234" s="56">
        <v>45817</v>
      </c>
      <c r="D1234" s="43">
        <v>730</v>
      </c>
      <c r="G1234" t="s">
        <v>1325</v>
      </c>
    </row>
    <row r="1235" spans="1:7">
      <c r="A1235" s="155" t="s">
        <v>565</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713</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516</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571</v>
      </c>
      <c r="B1242" s="251" t="s">
        <v>152</v>
      </c>
      <c r="C1242" s="56">
        <v>45820</v>
      </c>
      <c r="F1242" s="43" t="s">
        <v>1021</v>
      </c>
      <c r="G1242" t="s">
        <v>1325</v>
      </c>
    </row>
    <row r="1243" spans="1:7">
      <c r="A1243" s="149" t="s">
        <v>355</v>
      </c>
      <c r="B1243" s="382" t="s">
        <v>885</v>
      </c>
      <c r="C1243" s="56">
        <v>45820</v>
      </c>
      <c r="D1243" s="43">
        <v>395</v>
      </c>
      <c r="G1243" t="s">
        <v>1325</v>
      </c>
    </row>
    <row r="1244" spans="1:7">
      <c r="A1244" s="320" t="s">
        <v>571</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713</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516</v>
      </c>
      <c r="B1251" s="308" t="s">
        <v>152</v>
      </c>
      <c r="C1251" s="56">
        <v>45824</v>
      </c>
      <c r="E1251" s="325">
        <v>4976</v>
      </c>
      <c r="F1251" s="308" t="s">
        <v>1341</v>
      </c>
      <c r="G1251" t="s">
        <v>1325</v>
      </c>
    </row>
    <row r="1252" spans="1:7">
      <c r="A1252" s="142" t="s">
        <v>713</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516</v>
      </c>
      <c r="B1257" s="315" t="s">
        <v>152</v>
      </c>
      <c r="C1257" s="56">
        <v>45825</v>
      </c>
      <c r="E1257" s="325">
        <v>4177</v>
      </c>
      <c r="F1257" s="43" t="s">
        <v>1343</v>
      </c>
      <c r="G1257" t="s">
        <v>1325</v>
      </c>
    </row>
    <row r="1258" spans="1:7">
      <c r="A1258" s="142" t="s">
        <v>713</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595</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713</v>
      </c>
      <c r="B1265" s="142" t="s">
        <v>474</v>
      </c>
      <c r="C1265" s="56">
        <v>45826</v>
      </c>
      <c r="D1265" s="43">
        <v>729</v>
      </c>
      <c r="G1265" t="s">
        <v>1325</v>
      </c>
    </row>
    <row r="1266" spans="1:7">
      <c r="A1266" s="142" t="s">
        <v>713</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713</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713</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580</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713</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713</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580</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713</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638</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638</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599</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599</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676</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320</v>
      </c>
      <c r="B1563" s="650" t="s">
        <v>321</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320</v>
      </c>
      <c r="B1570" s="251" t="s">
        <v>321</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320</v>
      </c>
      <c r="B1574" s="251" t="s">
        <v>321</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320</v>
      </c>
      <c r="B1579" s="251" t="s">
        <v>321</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320</v>
      </c>
      <c r="B1585" s="251" t="s">
        <v>321</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320</v>
      </c>
      <c r="B1593" s="142" t="s">
        <v>321</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320</v>
      </c>
      <c r="B1603" s="251" t="s">
        <v>321</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320</v>
      </c>
      <c r="B1608" s="251" t="s">
        <v>321</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320</v>
      </c>
      <c r="B1616" s="142" t="s">
        <v>321</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320</v>
      </c>
      <c r="B1625" s="251" t="s">
        <v>321</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638</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320</v>
      </c>
      <c r="B1636" s="413" t="s">
        <v>321</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638</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320</v>
      </c>
      <c r="B1651" s="251" t="s">
        <v>321</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638</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321</v>
      </c>
      <c r="C1657" s="56">
        <v>45926</v>
      </c>
      <c r="D1657" s="43">
        <v>300</v>
      </c>
      <c r="G1657" t="s">
        <v>1435</v>
      </c>
    </row>
    <row r="1658" spans="1:7">
      <c r="A1658" s="308" t="s">
        <v>934</v>
      </c>
      <c r="B1658" s="761" t="s">
        <v>1492</v>
      </c>
      <c r="C1658" s="56">
        <v>45926</v>
      </c>
      <c r="D1658" s="43">
        <v>364</v>
      </c>
      <c r="G1658" t="s">
        <v>1435</v>
      </c>
    </row>
    <row r="1659" spans="1:7">
      <c r="A1659" s="135" t="s">
        <v>320</v>
      </c>
      <c r="B1659" s="142" t="s">
        <v>321</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320</v>
      </c>
      <c r="B1669" s="142" t="s">
        <v>321</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320</v>
      </c>
      <c r="B1682" s="308" t="s">
        <v>321</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320</v>
      </c>
      <c r="B1693" s="142" t="s">
        <v>321</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320</v>
      </c>
      <c r="B1703" s="142" t="s">
        <v>321</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320</v>
      </c>
      <c r="B1713" s="142" t="s">
        <v>321</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320</v>
      </c>
      <c r="B1724" s="142" t="s">
        <v>321</v>
      </c>
      <c r="C1724" s="56">
        <v>45936</v>
      </c>
      <c r="D1724" s="43">
        <v>768</v>
      </c>
      <c r="G1724" t="s">
        <v>1501</v>
      </c>
    </row>
    <row r="1725" spans="1:7">
      <c r="A1725" s="309" t="s">
        <v>933</v>
      </c>
      <c r="B1725" s="309" t="s">
        <v>638</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320</v>
      </c>
      <c r="B1734" s="142" t="s">
        <v>321</v>
      </c>
      <c r="C1734" s="314">
        <v>45937</v>
      </c>
      <c r="D1734" s="156">
        <v>1014</v>
      </c>
      <c r="G1734" t="s">
        <v>1501</v>
      </c>
    </row>
    <row r="1735" spans="1:7">
      <c r="A1735" s="142" t="s">
        <v>933</v>
      </c>
      <c r="B1735" s="142" t="s">
        <v>638</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638</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320</v>
      </c>
      <c r="B1755" s="251" t="s">
        <v>321</v>
      </c>
      <c r="C1755" s="56">
        <v>45939</v>
      </c>
      <c r="F1755" s="43" t="s">
        <v>1373</v>
      </c>
      <c r="G1755" t="s">
        <v>1501</v>
      </c>
    </row>
    <row r="1756" spans="1:7">
      <c r="A1756" s="755" t="s">
        <v>933</v>
      </c>
      <c r="B1756" s="412" t="s">
        <v>885</v>
      </c>
      <c r="C1756" s="56">
        <v>45939</v>
      </c>
      <c r="D1756" s="43">
        <v>508</v>
      </c>
      <c r="G1756" t="s">
        <v>1501</v>
      </c>
    </row>
    <row r="1757" spans="1:7">
      <c r="A1757" s="778" t="s">
        <v>933</v>
      </c>
      <c r="B1757" s="162" t="s">
        <v>638</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638</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320</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320</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320</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320</v>
      </c>
      <c r="B1935" s="360" t="s">
        <v>885</v>
      </c>
      <c r="C1935" s="56">
        <v>45964</v>
      </c>
      <c r="F1935" s="43" t="s">
        <v>1347</v>
      </c>
      <c r="G1935" t="s">
        <v>1611</v>
      </c>
    </row>
    <row r="1936" spans="1:7">
      <c r="A1936" s="142" t="s">
        <v>320</v>
      </c>
      <c r="B1936" s="360" t="s">
        <v>1615</v>
      </c>
      <c r="C1936" s="56">
        <v>45964</v>
      </c>
      <c r="E1936" s="325">
        <v>3846</v>
      </c>
      <c r="F1936" s="43" t="s">
        <v>1616</v>
      </c>
      <c r="G1936" t="s">
        <v>1611</v>
      </c>
    </row>
    <row r="1937" spans="1:7">
      <c r="A1937" s="142" t="s">
        <v>320</v>
      </c>
      <c r="B1937" s="360" t="s">
        <v>321</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320</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318</v>
      </c>
      <c r="B2031" s="43" t="s">
        <v>152</v>
      </c>
      <c r="C2031" s="56">
        <v>45974</v>
      </c>
      <c r="D2031" s="43">
        <v>424</v>
      </c>
      <c r="G2031" t="s">
        <v>1611</v>
      </c>
    </row>
    <row r="2032" spans="1:7">
      <c r="A2032" s="251" t="s">
        <v>303</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303</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303</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F2079" s="69"/>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1664</v>
      </c>
      <c r="G2081" t="s">
        <v>1611</v>
      </c>
    </row>
    <row r="2082" spans="1:7">
      <c r="A2082" s="142" t="s">
        <v>265</v>
      </c>
      <c r="B2082" s="308" t="s">
        <v>1316</v>
      </c>
      <c r="C2082" s="56">
        <v>45981</v>
      </c>
      <c r="F2082" s="69" t="s">
        <v>1665</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1182" t="s">
        <v>1666</v>
      </c>
      <c r="G2084" t="s">
        <v>1611</v>
      </c>
    </row>
    <row r="2085" spans="1:7">
      <c r="A2085" s="308" t="s">
        <v>284</v>
      </c>
      <c r="B2085" s="308" t="s">
        <v>1536</v>
      </c>
      <c r="C2085" s="56">
        <v>45981</v>
      </c>
      <c r="D2085" s="156">
        <v>2139</v>
      </c>
      <c r="F2085" s="69"/>
      <c r="G2085" t="s">
        <v>1611</v>
      </c>
    </row>
    <row r="2086" spans="1:7">
      <c r="A2086" s="322" t="s">
        <v>415</v>
      </c>
      <c r="B2086" s="398" t="s">
        <v>152</v>
      </c>
      <c r="C2086" s="56">
        <v>45981</v>
      </c>
      <c r="F2086" s="69"/>
      <c r="G2086" t="s">
        <v>1611</v>
      </c>
    </row>
    <row r="2087" spans="1:7">
      <c r="A2087" s="359" t="s">
        <v>303</v>
      </c>
      <c r="B2087" s="368" t="s">
        <v>152</v>
      </c>
      <c r="C2087" s="56">
        <v>45981</v>
      </c>
      <c r="F2087" s="69"/>
      <c r="G2087" t="s">
        <v>1611</v>
      </c>
    </row>
    <row r="2088" spans="1:7">
      <c r="A2088" s="322" t="s">
        <v>419</v>
      </c>
      <c r="B2088" s="398" t="s">
        <v>152</v>
      </c>
      <c r="C2088" s="56">
        <v>45981</v>
      </c>
      <c r="F2088" s="69"/>
      <c r="G2088" t="s">
        <v>1611</v>
      </c>
    </row>
    <row r="2089" spans="1:7">
      <c r="A2089" s="359" t="s">
        <v>305</v>
      </c>
      <c r="B2089" s="311" t="s">
        <v>152</v>
      </c>
      <c r="C2089" s="56">
        <v>45981</v>
      </c>
      <c r="G2089" t="s">
        <v>1611</v>
      </c>
    </row>
    <row r="2090" spans="1:7">
      <c r="A2090" s="43" t="s">
        <v>90</v>
      </c>
      <c r="B2090" s="162" t="s">
        <v>1316</v>
      </c>
      <c r="C2090" s="56">
        <v>45982</v>
      </c>
      <c r="G2090" t="s">
        <v>1611</v>
      </c>
    </row>
    <row r="2091" spans="1:7">
      <c r="A2091" s="69" t="s">
        <v>946</v>
      </c>
      <c r="B2091" s="418" t="s">
        <v>1402</v>
      </c>
      <c r="C2091" s="56">
        <v>45982</v>
      </c>
      <c r="G2091" t="s">
        <v>1611</v>
      </c>
    </row>
    <row r="2092" spans="1:7">
      <c r="A2092" s="43" t="s">
        <v>944</v>
      </c>
      <c r="B2092" s="162" t="s">
        <v>211</v>
      </c>
      <c r="C2092" s="56">
        <v>45982</v>
      </c>
      <c r="E2092" s="204"/>
      <c r="F2092" s="149"/>
      <c r="G2092" t="s">
        <v>1611</v>
      </c>
    </row>
    <row r="2093" spans="1:7">
      <c r="A2093" s="171" t="s">
        <v>943</v>
      </c>
      <c r="B2093" s="43" t="s">
        <v>381</v>
      </c>
      <c r="C2093" s="56">
        <v>45982</v>
      </c>
      <c r="D2093" s="140"/>
      <c r="E2093" s="43"/>
      <c r="F2093" s="69" t="s">
        <v>1608</v>
      </c>
      <c r="G2093" t="s">
        <v>1611</v>
      </c>
    </row>
    <row r="2094" spans="1:7">
      <c r="A2094" s="310" t="s">
        <v>221</v>
      </c>
      <c r="B2094" s="322" t="s">
        <v>885</v>
      </c>
      <c r="C2094" s="56">
        <v>45982</v>
      </c>
      <c r="D2094" s="140"/>
      <c r="E2094" s="43"/>
      <c r="F2094" s="1179" t="s">
        <v>1571</v>
      </c>
      <c r="G2094" t="s">
        <v>1611</v>
      </c>
    </row>
    <row r="2095" spans="1:7">
      <c r="A2095" s="43" t="s">
        <v>284</v>
      </c>
      <c r="B2095" s="43" t="s">
        <v>1536</v>
      </c>
      <c r="C2095" s="56">
        <v>45982</v>
      </c>
      <c r="E2095" s="257"/>
      <c r="F2095" s="92"/>
      <c r="G2095" t="s">
        <v>1611</v>
      </c>
    </row>
    <row r="2096" spans="1:7">
      <c r="A2096" s="345" t="s">
        <v>303</v>
      </c>
      <c r="B2096" s="166" t="s">
        <v>152</v>
      </c>
      <c r="C2096" s="56">
        <v>45982</v>
      </c>
      <c r="F2096" s="69"/>
      <c r="G2096" t="s">
        <v>1611</v>
      </c>
    </row>
    <row r="2097" spans="1:7">
      <c r="A2097" s="418" t="s">
        <v>305</v>
      </c>
      <c r="B2097" s="176" t="s">
        <v>152</v>
      </c>
      <c r="C2097" s="56">
        <v>45982</v>
      </c>
      <c r="F2097" s="69"/>
      <c r="G2097" t="s">
        <v>1611</v>
      </c>
    </row>
    <row r="2098" spans="1:7">
      <c r="A2098" s="418" t="s">
        <v>307</v>
      </c>
      <c r="B2098" s="176" t="s">
        <v>152</v>
      </c>
      <c r="C2098" s="56">
        <v>45982</v>
      </c>
      <c r="F2098" s="69"/>
      <c r="G2098" t="s">
        <v>1611</v>
      </c>
    </row>
    <row r="2099" spans="1:7">
      <c r="A2099" s="69" t="s">
        <v>401</v>
      </c>
      <c r="B2099" s="43" t="s">
        <v>885</v>
      </c>
      <c r="C2099" s="56">
        <v>45982</v>
      </c>
      <c r="F2099" s="69" t="s">
        <v>1324</v>
      </c>
      <c r="G2099" t="s">
        <v>1611</v>
      </c>
    </row>
    <row r="2100" spans="1:7">
      <c r="A2100" s="69" t="s">
        <v>402</v>
      </c>
      <c r="B2100" s="43" t="s">
        <v>885</v>
      </c>
      <c r="C2100" s="56">
        <v>45982</v>
      </c>
      <c r="E2100" s="166"/>
      <c r="F2100" s="69" t="s">
        <v>1324</v>
      </c>
      <c r="G2100" t="s">
        <v>1611</v>
      </c>
    </row>
    <row r="2101" spans="1:7">
      <c r="A2101" s="92" t="s">
        <v>289</v>
      </c>
      <c r="B2101" s="43" t="s">
        <v>885</v>
      </c>
      <c r="C2101" s="56">
        <v>45982</v>
      </c>
      <c r="F2101" s="69" t="s">
        <v>1324</v>
      </c>
      <c r="G2101" t="s">
        <v>1611</v>
      </c>
    </row>
    <row r="2102" spans="1:7">
      <c r="A2102" s="69" t="s">
        <v>349</v>
      </c>
      <c r="B2102" s="43" t="s">
        <v>885</v>
      </c>
      <c r="C2102" s="56">
        <v>45982</v>
      </c>
      <c r="F2102" s="69" t="s">
        <v>1324</v>
      </c>
      <c r="G2102" t="s">
        <v>1611</v>
      </c>
    </row>
    <row r="2103" spans="1:7">
      <c r="F2103" s="69"/>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1667</v>
      </c>
      <c r="Q1" s="160" t="s">
        <v>1668</v>
      </c>
      <c r="R1" s="128" t="s">
        <v>1669</v>
      </c>
      <c r="S1" s="128" t="s">
        <v>1670</v>
      </c>
      <c r="T1" s="160" t="s">
        <v>1671</v>
      </c>
      <c r="U1" s="128" t="s">
        <v>1021</v>
      </c>
      <c r="V1" s="161" t="s">
        <v>1672</v>
      </c>
      <c r="W1" s="161" t="s">
        <v>1673</v>
      </c>
      <c r="X1" s="164" t="s">
        <v>1674</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1675</v>
      </c>
      <c r="B4" s="421" t="s">
        <v>215</v>
      </c>
      <c r="C4" s="422">
        <v>45742</v>
      </c>
      <c r="D4" s="718" t="s">
        <v>1676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1677</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1677</v>
      </c>
      <c r="S7" s="43" t="s">
        <v>292</v>
      </c>
      <c r="T7" s="43" t="s">
        <v>292</v>
      </c>
      <c r="U7" s="43" t="s">
        <v>292</v>
      </c>
      <c r="V7" s="69" t="s">
        <v>95</v>
      </c>
      <c r="W7" s="30"/>
      <c r="X7" s="69" t="s">
        <v>95</v>
      </c>
      <c r="Y7" t="e">
        <f>VLOOKUP(A7,#REF!,2,FALSE)</f>
        <v>#REF!</v>
      </c>
    </row>
    <row r="8" spans="1:25">
      <c r="A8" s="178" t="s">
        <v>428</v>
      </c>
      <c r="B8" s="183" t="s">
        <v>215</v>
      </c>
      <c r="C8" s="179">
        <v>45742</v>
      </c>
      <c r="D8" s="188" t="s">
        <v>1678</v>
      </c>
      <c r="E8" s="121"/>
      <c r="F8" s="109"/>
      <c r="G8" s="109"/>
      <c r="H8" s="182">
        <v>84</v>
      </c>
      <c r="I8" s="184"/>
      <c r="J8" s="188" t="s">
        <v>57</v>
      </c>
      <c r="K8" s="188" t="s">
        <v>57</v>
      </c>
      <c r="L8" s="188" t="s">
        <v>63</v>
      </c>
      <c r="M8" s="196">
        <v>45716</v>
      </c>
      <c r="N8" s="30" t="s">
        <v>292</v>
      </c>
      <c r="O8" s="30" t="s">
        <v>292</v>
      </c>
      <c r="P8" s="733" t="s">
        <v>292</v>
      </c>
      <c r="Q8" s="69" t="s">
        <v>292</v>
      </c>
      <c r="R8" s="43" t="s">
        <v>1677</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1677</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1677</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1677</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1677</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1679</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1680</v>
      </c>
      <c r="N16" s="30" t="s">
        <v>292</v>
      </c>
      <c r="O16" s="54" t="s">
        <v>1680</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1679</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1679</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1679</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1679</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1679</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1679</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1679</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1677</v>
      </c>
      <c r="S31" s="43" t="s">
        <v>292</v>
      </c>
      <c r="T31" s="140" t="s">
        <v>292</v>
      </c>
      <c r="U31" s="116" t="s">
        <v>292</v>
      </c>
      <c r="V31" s="69" t="s">
        <v>292</v>
      </c>
      <c r="W31" s="54">
        <v>45779</v>
      </c>
      <c r="X31" s="69" t="s">
        <v>1679</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1677</v>
      </c>
      <c r="S32" s="43" t="s">
        <v>292</v>
      </c>
      <c r="T32" s="140" t="s">
        <v>292</v>
      </c>
      <c r="U32" s="43" t="s">
        <v>292</v>
      </c>
      <c r="V32" s="69" t="s">
        <v>292</v>
      </c>
      <c r="W32" s="54">
        <v>45792</v>
      </c>
      <c r="X32" s="69" t="s">
        <v>1679</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1677</v>
      </c>
      <c r="S33" s="43" t="s">
        <v>292</v>
      </c>
      <c r="T33" s="140" t="s">
        <v>292</v>
      </c>
      <c r="U33" s="43" t="s">
        <v>292</v>
      </c>
      <c r="V33" s="345" t="s">
        <v>292</v>
      </c>
      <c r="W33" s="54">
        <v>45812</v>
      </c>
      <c r="X33" s="69" t="s">
        <v>1679</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1677</v>
      </c>
      <c r="S34" s="43" t="s">
        <v>292</v>
      </c>
      <c r="T34" s="140" t="s">
        <v>292</v>
      </c>
      <c r="U34" s="43" t="s">
        <v>292</v>
      </c>
      <c r="V34" s="418" t="s">
        <v>292</v>
      </c>
      <c r="W34" s="168">
        <v>45797</v>
      </c>
      <c r="X34" s="69" t="s">
        <v>1679</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1677</v>
      </c>
      <c r="S35" s="43" t="s">
        <v>292</v>
      </c>
      <c r="T35" s="140" t="s">
        <v>292</v>
      </c>
      <c r="U35" s="171" t="s">
        <v>292</v>
      </c>
      <c r="V35" s="69" t="s">
        <v>292</v>
      </c>
      <c r="W35" s="54">
        <v>45789</v>
      </c>
      <c r="X35" s="345" t="s">
        <v>1679</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1677</v>
      </c>
      <c r="S36" s="43" t="s">
        <v>292</v>
      </c>
      <c r="T36" s="140" t="s">
        <v>292</v>
      </c>
      <c r="U36" s="43" t="s">
        <v>292</v>
      </c>
      <c r="V36" s="69" t="s">
        <v>292</v>
      </c>
      <c r="W36" s="54">
        <v>45824</v>
      </c>
      <c r="X36" s="345" t="s">
        <v>1679</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1677</v>
      </c>
      <c r="S37" s="43" t="s">
        <v>292</v>
      </c>
      <c r="T37" s="43" t="s">
        <v>292</v>
      </c>
      <c r="U37" s="171" t="s">
        <v>292</v>
      </c>
      <c r="V37" s="69" t="s">
        <v>292</v>
      </c>
      <c r="W37" s="157">
        <v>45789</v>
      </c>
      <c r="X37" s="69" t="s">
        <v>1679</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1677</v>
      </c>
      <c r="S38" s="43" t="s">
        <v>292</v>
      </c>
      <c r="T38" s="43" t="s">
        <v>292</v>
      </c>
      <c r="U38" s="171" t="s">
        <v>292</v>
      </c>
      <c r="V38" s="69" t="s">
        <v>292</v>
      </c>
      <c r="W38" s="54">
        <v>45789</v>
      </c>
      <c r="X38" s="69" t="s">
        <v>1679</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1677</v>
      </c>
      <c r="S39" s="43" t="s">
        <v>292</v>
      </c>
      <c r="T39" s="43" t="s">
        <v>292</v>
      </c>
      <c r="U39" s="171" t="s">
        <v>292</v>
      </c>
      <c r="V39" s="69" t="s">
        <v>292</v>
      </c>
      <c r="W39" s="54">
        <v>45789</v>
      </c>
      <c r="X39" s="69" t="s">
        <v>1679</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1679</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1679</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1679</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1679</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1679</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1679</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1679</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1679</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1679</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1679</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1679</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1679</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1677</v>
      </c>
      <c r="S57" s="43" t="s">
        <v>292</v>
      </c>
      <c r="T57" s="43" t="s">
        <v>292</v>
      </c>
      <c r="U57" s="43" t="s">
        <v>292</v>
      </c>
      <c r="V57" s="69" t="s">
        <v>292</v>
      </c>
      <c r="W57" s="54">
        <v>45813</v>
      </c>
      <c r="X57" s="69" t="s">
        <v>1679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1677</v>
      </c>
      <c r="S58" s="43" t="s">
        <v>292</v>
      </c>
      <c r="T58" s="43" t="s">
        <v>292</v>
      </c>
      <c r="U58" s="43" t="s">
        <v>292</v>
      </c>
      <c r="V58" s="345" t="s">
        <v>292</v>
      </c>
      <c r="W58" s="54">
        <v>45796</v>
      </c>
      <c r="X58" s="69" t="s">
        <v>1679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1677</v>
      </c>
      <c r="S59" s="43" t="s">
        <v>292</v>
      </c>
      <c r="T59" s="43" t="s">
        <v>292</v>
      </c>
      <c r="U59" s="43" t="s">
        <v>292</v>
      </c>
      <c r="V59" s="345" t="s">
        <v>292</v>
      </c>
      <c r="W59" s="54">
        <v>45796</v>
      </c>
      <c r="X59" s="69" t="s">
        <v>1679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1677</v>
      </c>
      <c r="S60" s="43" t="s">
        <v>292</v>
      </c>
      <c r="T60" s="43" t="s">
        <v>292</v>
      </c>
      <c r="U60" s="43" t="s">
        <v>292</v>
      </c>
      <c r="V60" s="345" t="s">
        <v>292</v>
      </c>
      <c r="W60" s="54">
        <v>45824</v>
      </c>
      <c r="X60" s="69" t="s">
        <v>1679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1681</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1677</v>
      </c>
      <c r="S81" s="43" t="s">
        <v>292</v>
      </c>
      <c r="T81" s="43" t="s">
        <v>292</v>
      </c>
      <c r="U81" s="116" t="s">
        <v>292</v>
      </c>
      <c r="V81" s="69" t="s">
        <v>292</v>
      </c>
      <c r="W81" s="54">
        <v>45789</v>
      </c>
      <c r="X81" s="69" t="s">
        <v>1679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1677</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1677</v>
      </c>
      <c r="S84" s="171" t="s">
        <v>292</v>
      </c>
      <c r="T84" s="171" t="s">
        <v>292</v>
      </c>
      <c r="U84" s="92" t="s">
        <v>292</v>
      </c>
      <c r="V84" s="69" t="s">
        <v>292</v>
      </c>
      <c r="W84" s="198">
        <v>45875</v>
      </c>
      <c r="X84" s="69" t="s">
        <v>1679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1677</v>
      </c>
      <c r="S85" s="171" t="s">
        <v>292</v>
      </c>
      <c r="T85" s="171" t="s">
        <v>292</v>
      </c>
      <c r="U85" s="92" t="s">
        <v>292</v>
      </c>
      <c r="V85" s="92" t="s">
        <v>292</v>
      </c>
      <c r="W85" s="198">
        <v>45874</v>
      </c>
      <c r="X85" s="69" t="s">
        <v>1679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1677</v>
      </c>
      <c r="S86" s="43" t="s">
        <v>292</v>
      </c>
      <c r="T86" s="43" t="s">
        <v>292</v>
      </c>
      <c r="U86" s="69" t="s">
        <v>292</v>
      </c>
      <c r="V86" s="69" t="s">
        <v>292</v>
      </c>
      <c r="W86" s="54">
        <v>45824</v>
      </c>
      <c r="X86" s="69" t="s">
        <v>1679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1677</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1677</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1677</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1677</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1677</v>
      </c>
      <c r="S91" s="69" t="s">
        <v>292</v>
      </c>
      <c r="T91" s="69" t="s">
        <v>292</v>
      </c>
      <c r="U91" s="69" t="s">
        <v>292</v>
      </c>
      <c r="V91" s="69" t="s">
        <v>292</v>
      </c>
      <c r="W91" s="54">
        <v>45831</v>
      </c>
      <c r="X91" s="69" t="s">
        <v>1679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1677</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1677</v>
      </c>
      <c r="S93" s="43" t="s">
        <v>292</v>
      </c>
      <c r="T93" s="43" t="s">
        <v>292</v>
      </c>
      <c r="U93" s="345" t="s">
        <v>292</v>
      </c>
      <c r="V93" s="69" t="s">
        <v>292</v>
      </c>
      <c r="W93" s="54">
        <v>45789</v>
      </c>
      <c r="X93" s="69" t="s">
        <v>1679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1677</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1677</v>
      </c>
      <c r="S95" s="69" t="s">
        <v>292</v>
      </c>
      <c r="T95" s="43" t="s">
        <v>292</v>
      </c>
      <c r="U95" s="69" t="s">
        <v>292</v>
      </c>
      <c r="V95" s="69" t="s">
        <v>292</v>
      </c>
      <c r="W95" s="54">
        <v>45814</v>
      </c>
      <c r="X95" s="69" t="s">
        <v>1679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1677</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1677</v>
      </c>
      <c r="S97" s="69" t="s">
        <v>292</v>
      </c>
      <c r="T97" s="69" t="s">
        <v>292</v>
      </c>
      <c r="U97" s="69" t="s">
        <v>292</v>
      </c>
      <c r="V97" s="43" t="s">
        <v>292</v>
      </c>
      <c r="W97" s="54">
        <v>45824</v>
      </c>
      <c r="X97" s="69" t="s">
        <v>1679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1677</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1677</v>
      </c>
      <c r="S99" s="43" t="s">
        <v>292</v>
      </c>
      <c r="T99" s="116" t="s">
        <v>292</v>
      </c>
      <c r="U99" s="149" t="s">
        <v>292</v>
      </c>
      <c r="V99" s="69" t="s">
        <v>292</v>
      </c>
      <c r="W99" s="54">
        <v>45814</v>
      </c>
      <c r="X99" s="69" t="s">
        <v>1679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1677</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1677</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1677</v>
      </c>
      <c r="S102" s="43" t="s">
        <v>292</v>
      </c>
      <c r="T102" s="43" t="s">
        <v>292</v>
      </c>
      <c r="U102" s="43" t="s">
        <v>292</v>
      </c>
      <c r="V102" s="166" t="s">
        <v>292</v>
      </c>
      <c r="W102" s="54">
        <v>45835</v>
      </c>
      <c r="X102" s="69" t="s">
        <v>1679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1677</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1677</v>
      </c>
      <c r="S104" s="43" t="s">
        <v>292</v>
      </c>
      <c r="T104" s="43" t="s">
        <v>292</v>
      </c>
      <c r="U104" s="43" t="s">
        <v>292</v>
      </c>
      <c r="V104" s="140" t="s">
        <v>292</v>
      </c>
      <c r="W104" s="54">
        <v>45820</v>
      </c>
      <c r="X104" s="69" t="s">
        <v>1679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1677</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1677</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1677</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1677</v>
      </c>
      <c r="S108" s="43" t="s">
        <v>292</v>
      </c>
      <c r="T108" s="43" t="s">
        <v>292</v>
      </c>
      <c r="U108" s="88" t="s">
        <v>292</v>
      </c>
      <c r="V108" s="495" t="s">
        <v>292</v>
      </c>
      <c r="W108" s="367">
        <v>45798</v>
      </c>
      <c r="X108" s="69" t="s">
        <v>1679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1677</v>
      </c>
      <c r="S109" s="43" t="s">
        <v>292</v>
      </c>
      <c r="T109" s="43" t="s">
        <v>292</v>
      </c>
      <c r="U109" s="43" t="s">
        <v>1682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1677</v>
      </c>
      <c r="S110" s="43" t="s">
        <v>292</v>
      </c>
      <c r="T110" s="43" t="s">
        <v>292</v>
      </c>
      <c r="U110" s="88" t="s">
        <v>292</v>
      </c>
      <c r="V110" s="495" t="s">
        <v>292</v>
      </c>
      <c r="W110" s="367">
        <v>45902</v>
      </c>
      <c r="X110" s="69" t="s">
        <v>1679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1677</v>
      </c>
      <c r="S111" s="43" t="s">
        <v>292</v>
      </c>
      <c r="T111" s="43" t="s">
        <v>292</v>
      </c>
      <c r="U111" s="43" t="s">
        <v>292</v>
      </c>
      <c r="V111" s="204" t="s">
        <v>292</v>
      </c>
      <c r="W111" s="168">
        <v>45790</v>
      </c>
      <c r="X111" s="69" t="s">
        <v>1679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1677</v>
      </c>
      <c r="S112" s="43" t="s">
        <v>292</v>
      </c>
      <c r="T112" s="43" t="s">
        <v>292</v>
      </c>
      <c r="U112" s="43" t="s">
        <v>292</v>
      </c>
      <c r="V112" s="204" t="s">
        <v>292</v>
      </c>
      <c r="W112" s="493">
        <v>45791</v>
      </c>
      <c r="X112" s="69" t="s">
        <v>1679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1677</v>
      </c>
      <c r="S113" s="116" t="s">
        <v>292</v>
      </c>
      <c r="T113" s="43" t="s">
        <v>292</v>
      </c>
      <c r="U113" s="43" t="s">
        <v>292</v>
      </c>
      <c r="V113" s="204" t="s">
        <v>292</v>
      </c>
      <c r="W113" s="493">
        <v>45791</v>
      </c>
      <c r="X113" s="149" t="s">
        <v>1679</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1677</v>
      </c>
      <c r="S114" s="116" t="s">
        <v>292</v>
      </c>
      <c r="T114" s="43" t="s">
        <v>292</v>
      </c>
      <c r="U114" s="158" t="s">
        <v>292</v>
      </c>
      <c r="V114" s="204" t="s">
        <v>292</v>
      </c>
      <c r="W114" s="54">
        <v>45798</v>
      </c>
      <c r="X114" s="69" t="s">
        <v>1679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1677</v>
      </c>
      <c r="S115" s="43" t="s">
        <v>292</v>
      </c>
      <c r="T115" s="43" t="s">
        <v>292</v>
      </c>
      <c r="U115" s="43" t="s">
        <v>292</v>
      </c>
      <c r="V115" s="88" t="s">
        <v>292</v>
      </c>
      <c r="W115" s="54">
        <v>45814</v>
      </c>
      <c r="X115" s="69" t="s">
        <v>1679</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1677</v>
      </c>
      <c r="S116" s="43" t="s">
        <v>292</v>
      </c>
      <c r="T116" s="43" t="s">
        <v>292</v>
      </c>
      <c r="U116" s="43" t="s">
        <v>292</v>
      </c>
      <c r="V116" s="495" t="s">
        <v>292</v>
      </c>
      <c r="W116" s="54">
        <v>45807</v>
      </c>
      <c r="X116" s="69" t="s">
        <v>1679</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1677</v>
      </c>
      <c r="S117" s="43" t="s">
        <v>292</v>
      </c>
      <c r="T117" s="43" t="s">
        <v>292</v>
      </c>
      <c r="U117" s="43" t="s">
        <v>292</v>
      </c>
      <c r="V117" s="88" t="s">
        <v>292</v>
      </c>
      <c r="W117" s="54">
        <v>45811</v>
      </c>
      <c r="X117" s="69" t="s">
        <v>1679</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1677</v>
      </c>
      <c r="S118" s="43" t="s">
        <v>292</v>
      </c>
      <c r="T118" s="43" t="s">
        <v>292</v>
      </c>
      <c r="U118" s="158" t="s">
        <v>292</v>
      </c>
      <c r="V118" s="88" t="s">
        <v>292</v>
      </c>
      <c r="W118" s="54">
        <v>45810</v>
      </c>
      <c r="X118" s="69" t="s">
        <v>1679</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1677</v>
      </c>
      <c r="S119" s="43" t="s">
        <v>292</v>
      </c>
      <c r="T119" s="43" t="s">
        <v>292</v>
      </c>
      <c r="U119" s="158" t="s">
        <v>292</v>
      </c>
      <c r="V119" s="88" t="s">
        <v>292</v>
      </c>
      <c r="W119" s="54">
        <v>45813</v>
      </c>
      <c r="X119" s="69" t="s">
        <v>1679</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1677</v>
      </c>
      <c r="S120" s="43" t="s">
        <v>292</v>
      </c>
      <c r="T120" s="43" t="s">
        <v>292</v>
      </c>
      <c r="U120" s="43" t="s">
        <v>292</v>
      </c>
      <c r="V120" s="88" t="s">
        <v>292</v>
      </c>
      <c r="W120" s="54">
        <v>45811</v>
      </c>
      <c r="X120" s="69" t="s">
        <v>1679</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1677</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1677</v>
      </c>
      <c r="S122" s="43" t="s">
        <v>292</v>
      </c>
      <c r="T122" s="43" t="s">
        <v>292</v>
      </c>
      <c r="U122" s="158" t="s">
        <v>292</v>
      </c>
      <c r="V122" s="158" t="s">
        <v>292</v>
      </c>
      <c r="W122" s="54">
        <v>45789</v>
      </c>
      <c r="X122" s="69" t="s">
        <v>1679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1677</v>
      </c>
      <c r="S123" s="43" t="s">
        <v>292</v>
      </c>
      <c r="T123" s="43" t="s">
        <v>292</v>
      </c>
      <c r="U123" s="43" t="s">
        <v>292</v>
      </c>
      <c r="V123" s="69" t="s">
        <v>292</v>
      </c>
      <c r="W123" s="54">
        <v>45811</v>
      </c>
      <c r="X123" s="69" t="s">
        <v>1679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1677</v>
      </c>
      <c r="S124" s="43" t="s">
        <v>292</v>
      </c>
      <c r="T124" s="43" t="s">
        <v>292</v>
      </c>
      <c r="U124" s="43" t="s">
        <v>1682</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1677</v>
      </c>
      <c r="S125" s="43" t="s">
        <v>292</v>
      </c>
      <c r="T125" s="43" t="s">
        <v>292</v>
      </c>
      <c r="U125" s="43" t="s">
        <v>292</v>
      </c>
      <c r="V125" s="43" t="s">
        <v>292</v>
      </c>
      <c r="W125" s="54">
        <v>45814</v>
      </c>
      <c r="X125" s="69" t="s">
        <v>1679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1677</v>
      </c>
      <c r="S126" s="43" t="s">
        <v>292</v>
      </c>
      <c r="T126" s="43" t="s">
        <v>292</v>
      </c>
      <c r="U126" s="43" t="s">
        <v>292</v>
      </c>
      <c r="V126" s="88" t="s">
        <v>292</v>
      </c>
      <c r="W126" s="54">
        <v>45819</v>
      </c>
      <c r="X126" s="69" t="s">
        <v>1679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1677</v>
      </c>
      <c r="S127" s="43" t="s">
        <v>292</v>
      </c>
      <c r="T127" s="43" t="s">
        <v>292</v>
      </c>
      <c r="U127" s="43" t="s">
        <v>292</v>
      </c>
      <c r="V127" s="88" t="s">
        <v>292</v>
      </c>
      <c r="W127" s="54">
        <v>45812</v>
      </c>
      <c r="X127" s="69" t="s">
        <v>1679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1677</v>
      </c>
      <c r="S128" s="43" t="s">
        <v>292</v>
      </c>
      <c r="T128" s="43" t="s">
        <v>292</v>
      </c>
      <c r="U128" s="43" t="s">
        <v>292</v>
      </c>
      <c r="V128" s="88" t="s">
        <v>292</v>
      </c>
      <c r="W128" s="168">
        <v>45883</v>
      </c>
      <c r="X128" s="69" t="s">
        <v>1679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1677</v>
      </c>
      <c r="S129" s="43" t="s">
        <v>292</v>
      </c>
      <c r="T129" s="116" t="s">
        <v>292</v>
      </c>
      <c r="U129" s="116" t="s">
        <v>292</v>
      </c>
      <c r="V129" s="88" t="s">
        <v>292</v>
      </c>
      <c r="W129" s="168">
        <v>45814</v>
      </c>
      <c r="X129" s="69" t="s">
        <v>1679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1677</v>
      </c>
      <c r="S130" s="43" t="s">
        <v>292</v>
      </c>
      <c r="T130" s="43" t="s">
        <v>292</v>
      </c>
      <c r="U130" s="43" t="s">
        <v>292</v>
      </c>
      <c r="V130" s="88" t="s">
        <v>292</v>
      </c>
      <c r="W130" s="54">
        <v>45798</v>
      </c>
      <c r="X130" s="69" t="s">
        <v>1679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1677</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1677</v>
      </c>
      <c r="S132" s="43" t="s">
        <v>292</v>
      </c>
      <c r="T132" s="43" t="s">
        <v>292</v>
      </c>
      <c r="U132" s="43" t="s">
        <v>292</v>
      </c>
      <c r="V132" s="43" t="s">
        <v>292</v>
      </c>
      <c r="W132" s="54">
        <v>45820</v>
      </c>
      <c r="X132" s="69" t="s">
        <v>1679</v>
      </c>
      <c r="Y132" t="e">
        <f>VLOOKUP(A132,#REF!,2,FALSE)</f>
        <v>#REF!</v>
      </c>
    </row>
    <row r="133" spans="1:25" ht="15" customHeight="1">
      <c r="A133" s="369" t="s">
        <v>662</v>
      </c>
      <c r="B133" s="420" t="s">
        <v>50</v>
      </c>
      <c r="C133" s="378">
        <v>45742</v>
      </c>
      <c r="D133" s="433" t="s">
        <v>1683</v>
      </c>
      <c r="E133" s="372"/>
      <c r="F133" s="372"/>
      <c r="G133" s="372"/>
      <c r="H133" s="372">
        <v>38</v>
      </c>
      <c r="I133" s="371"/>
      <c r="J133" s="372" t="s">
        <v>57</v>
      </c>
      <c r="K133" s="372" t="s">
        <v>57</v>
      </c>
      <c r="L133" s="372" t="s">
        <v>63</v>
      </c>
      <c r="M133" s="49" t="s">
        <v>292</v>
      </c>
      <c r="N133" s="49" t="s">
        <v>292</v>
      </c>
      <c r="O133" s="54">
        <v>45701</v>
      </c>
      <c r="P133" s="30" t="s">
        <v>292</v>
      </c>
      <c r="Q133" s="69" t="s">
        <v>292</v>
      </c>
      <c r="R133" s="43" t="s">
        <v>1677</v>
      </c>
      <c r="S133" s="43" t="s">
        <v>292</v>
      </c>
      <c r="T133" s="43" t="s">
        <v>292</v>
      </c>
      <c r="U133" s="43" t="s">
        <v>292</v>
      </c>
      <c r="V133" s="69" t="s">
        <v>292</v>
      </c>
      <c r="W133" s="54">
        <v>45821</v>
      </c>
      <c r="X133" s="69" t="s">
        <v>1679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1677</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1677</v>
      </c>
      <c r="S135" s="43" t="s">
        <v>292</v>
      </c>
      <c r="T135" s="43" t="s">
        <v>292</v>
      </c>
      <c r="U135" s="158" t="s">
        <v>292</v>
      </c>
      <c r="V135" s="43" t="s">
        <v>292</v>
      </c>
      <c r="W135" s="54">
        <v>45819</v>
      </c>
      <c r="X135" s="69" t="s">
        <v>1679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1677</v>
      </c>
      <c r="S136" s="43" t="s">
        <v>292</v>
      </c>
      <c r="T136" s="43" t="s">
        <v>292</v>
      </c>
      <c r="U136" s="43" t="s">
        <v>292</v>
      </c>
      <c r="V136" s="43" t="s">
        <v>292</v>
      </c>
      <c r="W136" s="54">
        <v>45791</v>
      </c>
      <c r="X136" s="69" t="s">
        <v>1679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1677</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1677</v>
      </c>
      <c r="S138" s="43" t="s">
        <v>292</v>
      </c>
      <c r="T138" s="43" t="s">
        <v>292</v>
      </c>
      <c r="U138" s="43" t="s">
        <v>292</v>
      </c>
      <c r="V138" s="43" t="s">
        <v>292</v>
      </c>
      <c r="W138" s="54">
        <v>45790</v>
      </c>
      <c r="X138" s="69" t="s">
        <v>1679</v>
      </c>
      <c r="Y138" t="e">
        <f>VLOOKUP(A138,#REF!,2,FALSE)</f>
        <v>#REF!</v>
      </c>
    </row>
    <row r="139" spans="1:25" ht="15" customHeight="1">
      <c r="A139" s="369" t="s">
        <v>1684</v>
      </c>
      <c r="B139" s="185" t="s">
        <v>50</v>
      </c>
      <c r="C139" s="422">
        <v>45742</v>
      </c>
      <c r="D139" s="372" t="s">
        <v>1685</v>
      </c>
      <c r="E139" s="539"/>
      <c r="F139" s="372"/>
      <c r="G139" s="372"/>
      <c r="H139" s="372">
        <v>87</v>
      </c>
      <c r="I139" s="371"/>
      <c r="J139" s="372" t="s">
        <v>57</v>
      </c>
      <c r="K139" s="372" t="s">
        <v>57</v>
      </c>
      <c r="L139" s="372" t="s">
        <v>63</v>
      </c>
      <c r="M139" s="49" t="s">
        <v>292</v>
      </c>
      <c r="N139" s="30" t="s">
        <v>292</v>
      </c>
      <c r="O139" s="30" t="s">
        <v>292</v>
      </c>
      <c r="P139" s="30" t="s">
        <v>292</v>
      </c>
      <c r="Q139" s="43" t="s">
        <v>292</v>
      </c>
      <c r="R139" s="43" t="s">
        <v>1677</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1677</v>
      </c>
      <c r="S140" s="43" t="s">
        <v>292</v>
      </c>
      <c r="T140" s="43" t="s">
        <v>292</v>
      </c>
      <c r="U140" s="88" t="s">
        <v>292</v>
      </c>
      <c r="V140" s="69" t="s">
        <v>292</v>
      </c>
      <c r="W140" s="54">
        <v>45819</v>
      </c>
      <c r="X140" s="69" t="s">
        <v>1679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1677</v>
      </c>
      <c r="S141" s="43" t="s">
        <v>292</v>
      </c>
      <c r="T141" s="43" t="s">
        <v>292</v>
      </c>
      <c r="U141" s="88" t="s">
        <v>292</v>
      </c>
      <c r="V141" s="88" t="s">
        <v>292</v>
      </c>
      <c r="W141" s="54">
        <v>45811</v>
      </c>
      <c r="X141" s="69" t="s">
        <v>1679</v>
      </c>
      <c r="Y141" t="e">
        <f>VLOOKUP(A141,#REF!,2,FALSE)</f>
        <v>#REF!</v>
      </c>
    </row>
    <row r="142" spans="1:25" ht="15" customHeight="1">
      <c r="A142" s="369" t="s">
        <v>1686</v>
      </c>
      <c r="B142" s="420" t="s">
        <v>50</v>
      </c>
      <c r="C142" s="422">
        <v>45742</v>
      </c>
      <c r="D142" s="372" t="s">
        <v>1687</v>
      </c>
      <c r="E142" s="539"/>
      <c r="F142" s="372"/>
      <c r="G142" s="372"/>
      <c r="H142" s="372">
        <v>87</v>
      </c>
      <c r="I142" s="371"/>
      <c r="J142" s="372" t="s">
        <v>57</v>
      </c>
      <c r="K142" s="372" t="s">
        <v>57</v>
      </c>
      <c r="L142" s="372" t="s">
        <v>63</v>
      </c>
      <c r="M142" s="49" t="s">
        <v>292</v>
      </c>
      <c r="N142" s="49" t="s">
        <v>292</v>
      </c>
      <c r="O142" s="198">
        <v>45691</v>
      </c>
      <c r="P142" s="30" t="s">
        <v>292</v>
      </c>
      <c r="Q142" s="69" t="s">
        <v>292</v>
      </c>
      <c r="R142" s="43" t="s">
        <v>1677</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1677</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1679</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1688</v>
      </c>
      <c r="B146" s="420" t="s">
        <v>50</v>
      </c>
      <c r="C146" s="370">
        <v>45991</v>
      </c>
      <c r="D146" s="432" t="s">
        <v>1689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1677</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1677</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1677</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1677</v>
      </c>
      <c r="S153" s="43" t="s">
        <v>292</v>
      </c>
      <c r="T153" s="158" t="s">
        <v>292</v>
      </c>
      <c r="U153" s="158" t="s">
        <v>292</v>
      </c>
      <c r="V153" s="43" t="s">
        <v>292</v>
      </c>
      <c r="W153" s="54">
        <v>45807</v>
      </c>
      <c r="X153" s="69" t="s">
        <v>1679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1677</v>
      </c>
      <c r="S154" s="43" t="s">
        <v>292</v>
      </c>
      <c r="T154" s="158" t="s">
        <v>292</v>
      </c>
      <c r="U154" s="158" t="s">
        <v>292</v>
      </c>
      <c r="V154" s="43" t="s">
        <v>292</v>
      </c>
      <c r="W154" s="168">
        <v>45792</v>
      </c>
      <c r="X154" s="149" t="s">
        <v>1679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1677</v>
      </c>
      <c r="S155" s="43" t="s">
        <v>292</v>
      </c>
      <c r="T155" s="43" t="s">
        <v>292</v>
      </c>
      <c r="U155" s="158" t="s">
        <v>292</v>
      </c>
      <c r="V155" s="43" t="s">
        <v>292</v>
      </c>
      <c r="W155" s="367">
        <v>45821</v>
      </c>
      <c r="X155" s="69" t="s">
        <v>1679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1677</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1677</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1677</v>
      </c>
      <c r="S158" s="43" t="s">
        <v>292</v>
      </c>
      <c r="T158" s="43" t="s">
        <v>292</v>
      </c>
      <c r="U158" s="158" t="s">
        <v>292</v>
      </c>
      <c r="V158" s="158" t="s">
        <v>292</v>
      </c>
      <c r="W158" s="367">
        <v>45817</v>
      </c>
      <c r="X158" s="69" t="s">
        <v>1679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1690</v>
      </c>
      <c r="W2" s="3" t="s">
        <v>1691</v>
      </c>
      <c r="X2" s="3" t="s">
        <v>1691</v>
      </c>
      <c r="Y2" s="3" t="s">
        <v>1691</v>
      </c>
      <c r="Z2" s="3" t="s">
        <v>1691</v>
      </c>
      <c r="AA2" s="8" t="s">
        <v>1692</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1693</v>
      </c>
      <c r="T3" s="19" t="s">
        <v>1694</v>
      </c>
      <c r="U3" s="19" t="s">
        <v>1695</v>
      </c>
      <c r="V3" s="5" t="s">
        <v>1696</v>
      </c>
      <c r="W3" s="5" t="s">
        <v>44</v>
      </c>
      <c r="X3" s="5" t="s">
        <v>43</v>
      </c>
      <c r="Y3" s="5" t="s">
        <v>1697</v>
      </c>
      <c r="Z3" s="5" t="s">
        <v>46</v>
      </c>
      <c r="AA3" s="90" t="s">
        <v>504</v>
      </c>
      <c r="AB3" s="68" t="s">
        <v>48</v>
      </c>
    </row>
    <row r="4" spans="1:30" ht="24.75" customHeight="1" thickBot="1">
      <c r="A4" s="454" t="s">
        <v>1698</v>
      </c>
      <c r="B4" s="454" t="s">
        <v>1699</v>
      </c>
      <c r="C4" s="16">
        <v>45717</v>
      </c>
      <c r="D4" s="63" t="s">
        <v>1700</v>
      </c>
      <c r="E4" s="51">
        <v>45707</v>
      </c>
      <c r="F4" s="51" t="s">
        <v>216</v>
      </c>
      <c r="G4" s="393" t="s">
        <v>1701</v>
      </c>
      <c r="H4" s="98">
        <v>0</v>
      </c>
      <c r="I4" s="106"/>
      <c r="J4" s="76" t="s">
        <v>63</v>
      </c>
      <c r="K4" s="76" t="s">
        <v>1702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1703</v>
      </c>
    </row>
    <row r="5" spans="1:30" ht="24.75" customHeight="1" thickBot="1">
      <c r="A5" s="454" t="s">
        <v>1704</v>
      </c>
      <c r="B5" s="454" t="s">
        <v>1699</v>
      </c>
      <c r="C5" s="16">
        <v>45717</v>
      </c>
      <c r="D5" s="63" t="s">
        <v>1700</v>
      </c>
      <c r="E5" s="51">
        <v>45707</v>
      </c>
      <c r="F5" s="392" t="s">
        <v>216</v>
      </c>
      <c r="G5" s="393" t="s">
        <v>1705</v>
      </c>
      <c r="H5" s="98">
        <v>0</v>
      </c>
      <c r="I5" s="106"/>
      <c r="J5" s="76" t="s">
        <v>63</v>
      </c>
      <c r="K5" s="76" t="s">
        <v>1702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1706</v>
      </c>
      <c r="B6" s="454" t="s">
        <v>1699</v>
      </c>
      <c r="C6" s="16">
        <v>45717</v>
      </c>
      <c r="D6" s="63" t="s">
        <v>1700</v>
      </c>
      <c r="E6" s="51">
        <v>45707</v>
      </c>
      <c r="F6" s="392" t="s">
        <v>216</v>
      </c>
      <c r="G6" s="393" t="s">
        <v>1707</v>
      </c>
      <c r="H6" s="98">
        <v>0</v>
      </c>
      <c r="I6" s="106"/>
      <c r="J6" s="76" t="s">
        <v>63</v>
      </c>
      <c r="K6" s="76" t="s">
        <v>1702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1709</v>
      </c>
      <c r="B8" s="454" t="s">
        <v>1710</v>
      </c>
      <c r="C8" s="16">
        <v>45748</v>
      </c>
      <c r="D8" s="16" t="s">
        <v>1700</v>
      </c>
      <c r="E8" s="95" t="s">
        <v>52</v>
      </c>
      <c r="F8" s="96" t="s">
        <v>52</v>
      </c>
      <c r="G8" s="638" t="s">
        <v>1711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1712</v>
      </c>
      <c r="AC8" s="449"/>
      <c r="AD8" s="70"/>
    </row>
    <row r="9" spans="1:30" ht="24.75" customHeight="1">
      <c r="A9" s="463" t="s">
        <v>1713</v>
      </c>
      <c r="B9" s="463" t="s">
        <v>1714</v>
      </c>
      <c r="C9" s="23">
        <v>45741</v>
      </c>
      <c r="D9" s="16" t="s">
        <v>1700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1715</v>
      </c>
    </row>
    <row r="10" spans="1:30" ht="24.75" customHeight="1" thickBot="1">
      <c r="A10" s="26" t="s">
        <v>1716</v>
      </c>
      <c r="B10" s="26" t="s">
        <v>1714</v>
      </c>
      <c r="C10" s="27">
        <v>45741</v>
      </c>
      <c r="D10" s="16" t="s">
        <v>1700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1717</v>
      </c>
      <c r="B11" s="36" t="s">
        <v>1714</v>
      </c>
      <c r="C11" s="37">
        <v>45747</v>
      </c>
      <c r="D11" s="16" t="s">
        <v>1700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1718</v>
      </c>
      <c r="B12" s="26" t="s">
        <v>1714</v>
      </c>
      <c r="C12" s="27">
        <v>45741</v>
      </c>
      <c r="D12" s="16" t="s">
        <v>1700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1715</v>
      </c>
    </row>
    <row r="13" spans="1:30" ht="24.75" customHeight="1" thickBot="1">
      <c r="A13" s="26" t="s">
        <v>1719</v>
      </c>
      <c r="B13" s="26" t="s">
        <v>1714</v>
      </c>
      <c r="C13" s="27">
        <v>45741</v>
      </c>
      <c r="D13" s="27" t="s">
        <v>1700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1715</v>
      </c>
    </row>
    <row r="14" spans="1:30" ht="24.75" customHeight="1" thickBot="1">
      <c r="A14" s="26" t="s">
        <v>1720</v>
      </c>
      <c r="B14" s="26" t="s">
        <v>1714</v>
      </c>
      <c r="C14" s="27">
        <v>45747</v>
      </c>
      <c r="D14" s="27" t="s">
        <v>1700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1721</v>
      </c>
      <c r="B15" s="26" t="s">
        <v>1714</v>
      </c>
      <c r="C15" s="27">
        <v>45741</v>
      </c>
      <c r="D15" s="27" t="s">
        <v>1700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1715</v>
      </c>
    </row>
    <row r="16" spans="1:30" ht="24.75" customHeight="1" thickBot="1">
      <c r="A16" s="26" t="s">
        <v>1722</v>
      </c>
      <c r="B16" s="26" t="s">
        <v>1714</v>
      </c>
      <c r="C16" s="27">
        <v>45741</v>
      </c>
      <c r="D16" s="27" t="s">
        <v>1700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1715</v>
      </c>
    </row>
    <row r="17" spans="1:30" ht="24.75" customHeight="1" thickBot="1">
      <c r="A17" s="36" t="s">
        <v>1723</v>
      </c>
      <c r="B17" s="36" t="s">
        <v>1714</v>
      </c>
      <c r="C17" s="37">
        <v>45747</v>
      </c>
      <c r="D17" s="37" t="s">
        <v>1700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1724</v>
      </c>
      <c r="B18" s="385" t="s">
        <v>1714</v>
      </c>
      <c r="C18" s="51">
        <v>45717</v>
      </c>
      <c r="D18" s="27" t="s">
        <v>1700</v>
      </c>
      <c r="E18" s="85">
        <v>45700</v>
      </c>
      <c r="F18" s="51"/>
      <c r="G18" s="51" t="s">
        <v>1725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1715</v>
      </c>
    </row>
    <row r="19" spans="1:30" ht="24.75" customHeight="1" thickBot="1">
      <c r="A19" s="50" t="s">
        <v>1726</v>
      </c>
      <c r="B19" s="26" t="s">
        <v>1714</v>
      </c>
      <c r="C19" s="51">
        <v>45747</v>
      </c>
      <c r="D19" s="27" t="s">
        <v>1700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1727</v>
      </c>
    </row>
    <row r="20" spans="1:30" ht="24.75" customHeight="1" thickBot="1">
      <c r="A20" s="385" t="s">
        <v>1728</v>
      </c>
      <c r="B20" s="385" t="s">
        <v>1714</v>
      </c>
      <c r="C20" s="386">
        <v>45717</v>
      </c>
      <c r="D20" s="27" t="s">
        <v>1700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1715</v>
      </c>
    </row>
    <row r="21" spans="1:30" ht="24.75" customHeight="1" thickBot="1">
      <c r="A21" s="385" t="s">
        <v>1729</v>
      </c>
      <c r="B21" s="113" t="s">
        <v>50</v>
      </c>
      <c r="C21" s="51">
        <v>45717</v>
      </c>
      <c r="D21" s="27" t="s">
        <v>1730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1731</v>
      </c>
      <c r="B22" s="389" t="s">
        <v>50</v>
      </c>
      <c r="C22" s="51">
        <v>45717</v>
      </c>
      <c r="D22" s="51" t="s">
        <v>1730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1733</v>
      </c>
      <c r="B24" s="389" t="s">
        <v>50</v>
      </c>
      <c r="C24" s="392">
        <v>45688</v>
      </c>
      <c r="D24" s="402" t="s">
        <v>1732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1734</v>
      </c>
      <c r="B25" s="114" t="s">
        <v>50</v>
      </c>
      <c r="C25" s="51">
        <v>45747</v>
      </c>
      <c r="D25" s="51" t="s">
        <v>1730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1735</v>
      </c>
    </row>
    <row r="26" spans="1:30" ht="24.75" customHeight="1">
      <c r="A26" s="102" t="s">
        <v>1736</v>
      </c>
      <c r="B26" s="103" t="s">
        <v>50</v>
      </c>
      <c r="C26" s="77">
        <v>45716</v>
      </c>
      <c r="D26" s="26" t="s">
        <v>1732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1737</v>
      </c>
      <c r="B27" s="103" t="s">
        <v>50</v>
      </c>
      <c r="C27" s="77">
        <v>45716</v>
      </c>
      <c r="D27" s="50" t="s">
        <v>1732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1738</v>
      </c>
      <c r="B28" s="103" t="s">
        <v>50</v>
      </c>
      <c r="C28" s="77">
        <v>45717</v>
      </c>
      <c r="D28" s="51" t="s">
        <v>1730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1739</v>
      </c>
      <c r="B29" s="103" t="s">
        <v>50</v>
      </c>
      <c r="C29" s="77">
        <v>45717</v>
      </c>
      <c r="D29" s="51" t="s">
        <v>1730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1740</v>
      </c>
      <c r="B30" s="389" t="s">
        <v>50</v>
      </c>
      <c r="C30" s="51">
        <v>45717</v>
      </c>
      <c r="D30" s="51" t="s">
        <v>1730</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1741</v>
      </c>
      <c r="B31" s="389" t="s">
        <v>50</v>
      </c>
      <c r="C31" s="51">
        <v>45717</v>
      </c>
      <c r="D31" s="51" t="s">
        <v>1730</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1688</v>
      </c>
      <c r="B32" s="1055" t="s">
        <v>50</v>
      </c>
      <c r="C32" s="950">
        <v>45991</v>
      </c>
      <c r="D32" s="950" t="s">
        <v>71</v>
      </c>
      <c r="E32" s="1047">
        <v>45734</v>
      </c>
      <c r="F32" s="954" t="s">
        <v>61</v>
      </c>
      <c r="G32" s="1056" t="s">
        <v>1689</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1742</v>
      </c>
      <c r="B33" s="1055" t="s">
        <v>50</v>
      </c>
      <c r="C33" s="950">
        <v>45991</v>
      </c>
      <c r="D33" s="954" t="s">
        <v>71</v>
      </c>
      <c r="E33" s="1047">
        <v>45743</v>
      </c>
      <c r="F33" s="954" t="s">
        <v>61</v>
      </c>
      <c r="G33" s="1056" t="s">
        <v>1743</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1744</v>
      </c>
    </row>
    <row r="34" spans="1:28" ht="24.75" customHeight="1">
      <c r="A34" s="948" t="s">
        <v>1745</v>
      </c>
      <c r="B34" s="1055" t="s">
        <v>50</v>
      </c>
      <c r="C34" s="950">
        <v>45989</v>
      </c>
      <c r="D34" s="950" t="s">
        <v>1746</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1747</v>
      </c>
      <c r="C1" s="1175"/>
      <c r="D1" s="576"/>
      <c r="E1" s="1175" t="s">
        <v>1748</v>
      </c>
      <c r="F1" s="1175"/>
    </row>
    <row r="2" spans="1:25">
      <c r="B2" s="44" t="s">
        <v>1749</v>
      </c>
      <c r="E2" s="44" t="s">
        <v>22</v>
      </c>
      <c r="F2" t="s">
        <v>873</v>
      </c>
      <c r="P2" s="44" t="s">
        <v>27</v>
      </c>
      <c r="Q2" t="s">
        <v>1750</v>
      </c>
    </row>
    <row r="3" spans="1:25">
      <c r="B3" s="44" t="s">
        <v>22</v>
      </c>
      <c r="C3" t="s">
        <v>879</v>
      </c>
      <c r="K3" s="44" t="s">
        <v>1751</v>
      </c>
      <c r="L3" t="s">
        <v>1752</v>
      </c>
      <c r="P3" s="44" t="s">
        <v>1751</v>
      </c>
      <c r="Q3" t="s">
        <v>1752</v>
      </c>
    </row>
    <row r="4" spans="1:25">
      <c r="B4" t="s">
        <v>152</v>
      </c>
      <c r="C4" s="1180">
        <v>140697</v>
      </c>
      <c r="E4" s="44" t="s">
        <v>1749</v>
      </c>
      <c r="F4" t="s">
        <v>879</v>
      </c>
      <c r="W4" t="s">
        <v>1753</v>
      </c>
      <c r="X4">
        <v>22</v>
      </c>
    </row>
    <row r="5" spans="1:25">
      <c r="B5" t="s">
        <v>71</v>
      </c>
      <c r="C5" s="1180">
        <v>47789</v>
      </c>
      <c r="E5" t="s">
        <v>879</v>
      </c>
      <c r="F5" s="1180">
        <v>218528</v>
      </c>
      <c r="K5" s="44" t="s">
        <v>1754</v>
      </c>
      <c r="P5" s="44" t="s">
        <v>1754</v>
      </c>
      <c r="W5" t="s">
        <v>1755</v>
      </c>
      <c r="X5">
        <v>13</v>
      </c>
    </row>
    <row r="6" spans="1:25">
      <c r="B6" t="s">
        <v>102</v>
      </c>
      <c r="C6" s="1180">
        <v>22387</v>
      </c>
      <c r="K6" s="44" t="s">
        <v>27</v>
      </c>
      <c r="L6" s="44" t="s">
        <v>1756</v>
      </c>
      <c r="M6" t="s">
        <v>879</v>
      </c>
      <c r="P6" s="44" t="s">
        <v>1757</v>
      </c>
      <c r="Q6" s="44" t="s">
        <v>1756</v>
      </c>
      <c r="R6" t="s">
        <v>879</v>
      </c>
    </row>
    <row r="7" spans="1:25">
      <c r="B7" t="s">
        <v>905</v>
      </c>
      <c r="C7" s="1180">
        <v>233194</v>
      </c>
      <c r="K7" t="s">
        <v>1750</v>
      </c>
      <c r="L7" t="s">
        <v>510</v>
      </c>
      <c r="M7" s="1180">
        <v>1</v>
      </c>
      <c r="P7" t="s">
        <v>1758</v>
      </c>
      <c r="R7" s="1180">
        <v>1</v>
      </c>
      <c r="X7" t="s">
        <v>1759</v>
      </c>
      <c r="Y7" t="s">
        <v>1760</v>
      </c>
    </row>
    <row r="8" spans="1:25">
      <c r="B8" t="s">
        <v>51</v>
      </c>
      <c r="C8" s="1180">
        <v>446</v>
      </c>
      <c r="L8" t="s">
        <v>512</v>
      </c>
      <c r="M8" s="1180">
        <v>1</v>
      </c>
      <c r="P8" t="s">
        <v>1761</v>
      </c>
      <c r="R8" s="1180">
        <v>1</v>
      </c>
      <c r="V8" t="s">
        <v>1762</v>
      </c>
      <c r="W8" s="261">
        <v>203521</v>
      </c>
      <c r="X8" s="317">
        <f>X5/X4</f>
        <v>0.59090909090909094</v>
      </c>
      <c r="Y8" s="317">
        <f>W9/W8</f>
        <v>0.31446386367991508</v>
      </c>
    </row>
    <row r="9" spans="1:25">
      <c r="B9" t="s">
        <v>22</v>
      </c>
      <c r="C9" s="1180">
        <v>0</v>
      </c>
      <c r="L9" t="s">
        <v>1763</v>
      </c>
      <c r="M9" s="1180">
        <v>1</v>
      </c>
      <c r="P9" t="s">
        <v>1764</v>
      </c>
      <c r="Q9" t="s">
        <v>1763</v>
      </c>
      <c r="R9" s="1180">
        <v>1</v>
      </c>
      <c r="V9" t="s">
        <v>1765</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1766</v>
      </c>
      <c r="R12" s="1180">
        <v>1</v>
      </c>
    </row>
    <row r="13" spans="1:25">
      <c r="B13" t="s">
        <v>211</v>
      </c>
      <c r="C13" s="1180">
        <v>16290</v>
      </c>
      <c r="L13" t="s">
        <v>1767</v>
      </c>
      <c r="M13" s="1180">
        <v>1</v>
      </c>
      <c r="Q13" t="s">
        <v>829</v>
      </c>
      <c r="R13" s="1180">
        <v>1</v>
      </c>
    </row>
    <row r="14" spans="1:25">
      <c r="B14" t="s">
        <v>130</v>
      </c>
      <c r="C14" s="1180">
        <v>7655</v>
      </c>
      <c r="L14" t="s">
        <v>629</v>
      </c>
      <c r="M14" s="1180">
        <v>1</v>
      </c>
      <c r="P14" t="s">
        <v>1768</v>
      </c>
      <c r="R14" s="1180">
        <v>5</v>
      </c>
    </row>
    <row r="15" spans="1:25">
      <c r="B15" t="s">
        <v>184</v>
      </c>
      <c r="C15" s="1180">
        <v>3</v>
      </c>
      <c r="L15" t="s">
        <v>1766</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1769</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1770</v>
      </c>
      <c r="M26" s="1180">
        <v>19</v>
      </c>
    </row>
    <row r="27" spans="2:13">
      <c r="K27" t="s">
        <v>1771</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1772</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1773</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1774</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1775</v>
      </c>
      <c r="S2" s="3" t="s">
        <v>1690</v>
      </c>
      <c r="T2" s="268" t="s">
        <v>1691</v>
      </c>
      <c r="U2" s="268" t="s">
        <v>1691</v>
      </c>
      <c r="V2" s="268" t="s">
        <v>1691</v>
      </c>
      <c r="W2" s="268" t="s">
        <v>1691</v>
      </c>
      <c r="X2" s="268" t="s">
        <v>1692</v>
      </c>
      <c r="Y2" s="268" t="s">
        <v>1776</v>
      </c>
    </row>
    <row r="3" spans="1:26" ht="15.75" thickBot="1">
      <c r="A3" s="267" t="s">
        <v>1756</v>
      </c>
      <c r="B3" s="263" t="s">
        <v>20</v>
      </c>
      <c r="C3" s="263" t="s">
        <v>1777</v>
      </c>
      <c r="D3" s="263" t="s">
        <v>26</v>
      </c>
      <c r="E3" s="263" t="s">
        <v>1751</v>
      </c>
      <c r="F3" s="263" t="s">
        <v>1778</v>
      </c>
      <c r="G3" s="263" t="s">
        <v>27</v>
      </c>
      <c r="H3" s="211" t="s">
        <v>28</v>
      </c>
      <c r="I3" s="211" t="s">
        <v>1779</v>
      </c>
      <c r="J3" s="211" t="s">
        <v>1780</v>
      </c>
      <c r="K3" s="211" t="s">
        <v>1781</v>
      </c>
      <c r="L3" s="211" t="s">
        <v>1679</v>
      </c>
      <c r="M3" s="211" t="s">
        <v>1782</v>
      </c>
      <c r="N3" s="211" t="s">
        <v>1783</v>
      </c>
      <c r="O3" s="210" t="s">
        <v>1695</v>
      </c>
      <c r="P3" s="264" t="s">
        <v>1757</v>
      </c>
      <c r="Q3" s="265" t="s">
        <v>34</v>
      </c>
      <c r="R3" s="265" t="s">
        <v>1779</v>
      </c>
      <c r="S3" s="5" t="s">
        <v>1696</v>
      </c>
      <c r="T3" s="265" t="s">
        <v>1784</v>
      </c>
      <c r="U3" s="265" t="s">
        <v>43</v>
      </c>
      <c r="V3" s="265" t="s">
        <v>1697</v>
      </c>
      <c r="W3" s="265" t="s">
        <v>46</v>
      </c>
      <c r="X3" s="265" t="s">
        <v>504</v>
      </c>
      <c r="Y3" s="265" t="s">
        <v>1785</v>
      </c>
      <c r="Z3" s="316" t="s">
        <v>1786</v>
      </c>
    </row>
    <row r="4" spans="1:26" ht="15.75" thickBot="1">
      <c r="A4" s="122" t="s">
        <v>81</v>
      </c>
      <c r="B4" s="103" t="s">
        <v>50</v>
      </c>
      <c r="C4" s="77">
        <v>45807</v>
      </c>
      <c r="D4" s="272"/>
      <c r="E4" s="273" t="s">
        <v>1787</v>
      </c>
      <c r="F4" s="272"/>
      <c r="G4" s="274" t="s">
        <v>1750</v>
      </c>
      <c r="H4" s="272"/>
      <c r="I4" s="272"/>
      <c r="J4" s="275"/>
      <c r="K4" s="209"/>
      <c r="L4" s="209"/>
      <c r="M4" s="209"/>
      <c r="N4" s="276"/>
      <c r="O4" s="277"/>
      <c r="P4" s="278" t="s">
        <v>1788</v>
      </c>
      <c r="Q4" s="279" t="s">
        <v>68</v>
      </c>
      <c r="R4" s="132" t="s">
        <v>1789</v>
      </c>
      <c r="S4" s="132"/>
      <c r="T4" s="280"/>
      <c r="U4" s="281"/>
      <c r="V4" s="281"/>
      <c r="W4" s="281"/>
      <c r="X4" s="281"/>
      <c r="Y4" s="281"/>
      <c r="Z4" t="e">
        <f>VLOOKUP(A4,#REF!,9,FALSE)</f>
        <v>#REF!</v>
      </c>
    </row>
    <row r="5" spans="1:26" ht="15.75" thickBot="1">
      <c r="A5" s="282" t="s">
        <v>1688</v>
      </c>
      <c r="B5" s="103" t="s">
        <v>50</v>
      </c>
      <c r="C5" s="219">
        <v>45807</v>
      </c>
      <c r="D5" s="272"/>
      <c r="E5" s="273" t="s">
        <v>1787</v>
      </c>
      <c r="F5" s="272"/>
      <c r="G5" s="274" t="s">
        <v>1750</v>
      </c>
      <c r="H5" s="272"/>
      <c r="I5" s="272"/>
      <c r="J5" s="283"/>
      <c r="K5" s="209"/>
      <c r="L5" s="209"/>
      <c r="M5" s="209"/>
      <c r="N5" s="276"/>
      <c r="O5" s="277"/>
      <c r="P5" s="278" t="s">
        <v>1788</v>
      </c>
      <c r="Q5" s="279" t="s">
        <v>68</v>
      </c>
      <c r="R5" s="132" t="s">
        <v>1789</v>
      </c>
      <c r="S5" s="132"/>
      <c r="T5" s="280"/>
      <c r="U5" s="281"/>
      <c r="V5" s="281"/>
      <c r="W5" s="281"/>
      <c r="X5" s="281"/>
      <c r="Y5" s="281"/>
      <c r="Z5" t="e">
        <f>VLOOKUP(A5,#REF!,9,FALSE)</f>
        <v>#REF!</v>
      </c>
    </row>
    <row r="6" spans="1:26" ht="15.75" thickBot="1">
      <c r="A6" s="122" t="s">
        <v>902</v>
      </c>
      <c r="B6" s="103" t="s">
        <v>50</v>
      </c>
      <c r="C6" s="219">
        <v>45807</v>
      </c>
      <c r="D6" s="272"/>
      <c r="E6" s="273" t="s">
        <v>1787</v>
      </c>
      <c r="F6" s="272"/>
      <c r="G6" s="274" t="s">
        <v>1750</v>
      </c>
      <c r="H6" s="272"/>
      <c r="I6" s="272"/>
      <c r="J6" s="283"/>
      <c r="K6" s="209"/>
      <c r="L6" s="209"/>
      <c r="M6" s="209"/>
      <c r="N6" s="276"/>
      <c r="O6" s="277"/>
      <c r="P6" s="278" t="s">
        <v>1788</v>
      </c>
      <c r="Q6" s="279" t="s">
        <v>68</v>
      </c>
      <c r="R6" s="132" t="s">
        <v>1789</v>
      </c>
      <c r="S6" s="132"/>
      <c r="T6" s="280"/>
      <c r="U6" s="281"/>
      <c r="V6" s="281"/>
      <c r="W6" s="281"/>
      <c r="X6" s="281"/>
      <c r="Y6" s="281"/>
      <c r="Z6" t="e">
        <f>VLOOKUP(A6,#REF!,9,FALSE)</f>
        <v>#REF!</v>
      </c>
    </row>
    <row r="7" spans="1:26" ht="15.75" thickBot="1">
      <c r="A7" s="122" t="s">
        <v>919</v>
      </c>
      <c r="B7" s="103" t="s">
        <v>50</v>
      </c>
      <c r="C7" s="219">
        <v>45807</v>
      </c>
      <c r="D7" s="272"/>
      <c r="E7" s="273" t="s">
        <v>1787</v>
      </c>
      <c r="F7" s="272"/>
      <c r="G7" s="274" t="s">
        <v>1750</v>
      </c>
      <c r="H7" s="272"/>
      <c r="I7" s="272"/>
      <c r="J7" s="283"/>
      <c r="K7" s="209"/>
      <c r="L7" s="209"/>
      <c r="M7" s="209"/>
      <c r="N7" s="276"/>
      <c r="O7" s="277"/>
      <c r="P7" s="278" t="s">
        <v>1788</v>
      </c>
      <c r="Q7" s="279" t="s">
        <v>68</v>
      </c>
      <c r="R7" s="132" t="s">
        <v>1789</v>
      </c>
      <c r="S7" s="132"/>
      <c r="T7" s="280"/>
      <c r="U7" s="281"/>
      <c r="V7" s="281"/>
      <c r="W7" s="281"/>
      <c r="X7" s="281"/>
      <c r="Y7" s="281"/>
      <c r="Z7" t="e">
        <f>VLOOKUP(A7,#REF!,9,FALSE)</f>
        <v>#REF!</v>
      </c>
    </row>
    <row r="8" spans="1:26" ht="15.75" thickBot="1">
      <c r="A8" s="282" t="s">
        <v>1790</v>
      </c>
      <c r="B8" s="103" t="s">
        <v>50</v>
      </c>
      <c r="C8" s="219">
        <v>45807</v>
      </c>
      <c r="D8" s="272"/>
      <c r="E8" s="273" t="s">
        <v>1787</v>
      </c>
      <c r="F8" s="272"/>
      <c r="G8" s="274" t="s">
        <v>1750</v>
      </c>
      <c r="H8" s="272"/>
      <c r="I8" s="272"/>
      <c r="J8" s="283"/>
      <c r="K8" s="209"/>
      <c r="L8" s="209"/>
      <c r="M8" s="209"/>
      <c r="N8" s="276"/>
      <c r="O8" s="277"/>
      <c r="P8" s="278" t="s">
        <v>1761</v>
      </c>
      <c r="Q8" s="279" t="s">
        <v>1791</v>
      </c>
      <c r="R8" s="132" t="s">
        <v>1792</v>
      </c>
      <c r="S8" s="132"/>
      <c r="T8" s="280"/>
      <c r="U8" s="281"/>
      <c r="V8" s="281"/>
      <c r="W8" s="281"/>
      <c r="X8" s="281"/>
      <c r="Y8" s="281"/>
      <c r="Z8" t="e">
        <f>VLOOKUP(A8,#REF!,9,FALSE)</f>
        <v>#REF!</v>
      </c>
    </row>
    <row r="9" spans="1:26" ht="15.75" thickBot="1">
      <c r="A9" s="122" t="s">
        <v>928</v>
      </c>
      <c r="B9" s="103" t="s">
        <v>50</v>
      </c>
      <c r="C9" s="219">
        <v>45807</v>
      </c>
      <c r="D9" s="284"/>
      <c r="E9" s="273" t="s">
        <v>1787</v>
      </c>
      <c r="F9" s="284"/>
      <c r="G9" s="285" t="s">
        <v>1750</v>
      </c>
      <c r="H9" s="272"/>
      <c r="I9" s="272"/>
      <c r="J9" s="283"/>
      <c r="K9" s="209"/>
      <c r="L9" s="209"/>
      <c r="M9" s="209"/>
      <c r="N9" s="276"/>
      <c r="O9" s="277"/>
      <c r="P9" s="278" t="s">
        <v>1788</v>
      </c>
      <c r="Q9" s="279" t="s">
        <v>68</v>
      </c>
      <c r="R9" s="132" t="s">
        <v>1789</v>
      </c>
      <c r="S9" s="132"/>
      <c r="T9" s="280"/>
      <c r="U9" s="281"/>
      <c r="V9" s="281"/>
      <c r="W9" s="281"/>
      <c r="X9" s="281"/>
      <c r="Y9" s="281"/>
      <c r="Z9" t="e">
        <f>VLOOKUP(A9,#REF!,9,FALSE)</f>
        <v>#REF!</v>
      </c>
    </row>
    <row r="10" spans="1:26" ht="15.75" thickBot="1">
      <c r="A10" s="122" t="s">
        <v>904</v>
      </c>
      <c r="B10" s="103" t="s">
        <v>50</v>
      </c>
      <c r="C10" s="219" t="e">
        <v>#N/A</v>
      </c>
      <c r="D10" s="286"/>
      <c r="E10" s="273" t="s">
        <v>1787</v>
      </c>
      <c r="F10" s="286"/>
      <c r="G10" s="287" t="s">
        <v>1750</v>
      </c>
      <c r="H10" s="234"/>
      <c r="I10" s="234"/>
      <c r="J10" s="45"/>
      <c r="K10" s="208"/>
      <c r="L10" s="208"/>
      <c r="M10" s="208"/>
      <c r="N10" s="288"/>
      <c r="O10" s="289"/>
      <c r="P10" s="278" t="s">
        <v>1788</v>
      </c>
      <c r="Q10" s="279" t="s">
        <v>58</v>
      </c>
      <c r="R10" s="132" t="s">
        <v>1789</v>
      </c>
      <c r="S10" s="132"/>
      <c r="T10" s="280"/>
      <c r="U10" s="281"/>
      <c r="V10" s="281"/>
      <c r="W10" s="281"/>
      <c r="X10" s="281"/>
      <c r="Y10" s="281"/>
      <c r="Z10" t="e">
        <f>VLOOKUP(A10,#REF!,9,FALSE)</f>
        <v>#REF!</v>
      </c>
    </row>
    <row r="11" spans="1:26" ht="15.75" thickBot="1">
      <c r="A11" s="122" t="s">
        <v>84</v>
      </c>
      <c r="B11" s="103" t="s">
        <v>50</v>
      </c>
      <c r="C11" s="219">
        <v>45807</v>
      </c>
      <c r="D11" s="286"/>
      <c r="E11" s="273" t="s">
        <v>1787</v>
      </c>
      <c r="F11" s="286"/>
      <c r="G11" s="287" t="s">
        <v>1750</v>
      </c>
      <c r="H11" s="234"/>
      <c r="I11" s="234"/>
      <c r="J11" s="45"/>
      <c r="K11" s="208"/>
      <c r="L11" s="208"/>
      <c r="M11" s="208"/>
      <c r="N11" s="288"/>
      <c r="O11" s="289"/>
      <c r="P11" s="278" t="s">
        <v>1788</v>
      </c>
      <c r="Q11" s="279" t="s">
        <v>68</v>
      </c>
      <c r="R11" s="132" t="s">
        <v>1789</v>
      </c>
      <c r="S11" s="132"/>
      <c r="T11" s="280"/>
      <c r="U11" s="281"/>
      <c r="V11" s="281"/>
      <c r="W11" s="281"/>
      <c r="X11" s="281"/>
      <c r="Y11" s="281"/>
      <c r="Z11" t="e">
        <f>VLOOKUP(A11,#REF!,9,FALSE)</f>
        <v>#REF!</v>
      </c>
    </row>
    <row r="12" spans="1:26" ht="15.75" thickBot="1">
      <c r="A12" s="122" t="s">
        <v>900</v>
      </c>
      <c r="B12" s="103" t="s">
        <v>50</v>
      </c>
      <c r="C12" s="219" t="e">
        <v>#N/A</v>
      </c>
      <c r="D12" s="286"/>
      <c r="E12" s="273" t="s">
        <v>1787</v>
      </c>
      <c r="F12" s="286"/>
      <c r="G12" s="287" t="s">
        <v>1750</v>
      </c>
      <c r="H12" s="234"/>
      <c r="I12" s="234"/>
      <c r="J12" s="45"/>
      <c r="K12" s="208"/>
      <c r="L12" s="208"/>
      <c r="M12" s="208"/>
      <c r="N12" s="288"/>
      <c r="O12" s="289"/>
      <c r="P12" s="278" t="s">
        <v>1788</v>
      </c>
      <c r="Q12" s="279" t="s">
        <v>68</v>
      </c>
      <c r="R12" s="132" t="s">
        <v>1789</v>
      </c>
      <c r="S12" s="132"/>
      <c r="T12" s="280"/>
      <c r="U12" s="281"/>
      <c r="V12" s="281"/>
      <c r="W12" s="281"/>
      <c r="X12" s="281"/>
      <c r="Y12" s="281"/>
      <c r="Z12" t="e">
        <f>VLOOKUP(A12,#REF!,9,FALSE)</f>
        <v>#REF!</v>
      </c>
    </row>
    <row r="13" spans="1:26" ht="15.75" thickBot="1">
      <c r="A13" s="122" t="s">
        <v>926</v>
      </c>
      <c r="B13" s="103" t="s">
        <v>50</v>
      </c>
      <c r="C13" s="219" t="e">
        <v>#N/A</v>
      </c>
      <c r="D13" s="286"/>
      <c r="E13" s="273" t="s">
        <v>1787</v>
      </c>
      <c r="F13" s="286"/>
      <c r="G13" s="287" t="s">
        <v>1750</v>
      </c>
      <c r="H13" s="234"/>
      <c r="I13" s="234"/>
      <c r="J13" s="45"/>
      <c r="K13" s="208"/>
      <c r="L13" s="208"/>
      <c r="M13" s="208"/>
      <c r="N13" s="288"/>
      <c r="O13" s="289"/>
      <c r="P13" s="278" t="s">
        <v>1788</v>
      </c>
      <c r="Q13" s="279" t="s">
        <v>68</v>
      </c>
      <c r="R13" s="132" t="s">
        <v>1789</v>
      </c>
      <c r="S13" s="132"/>
      <c r="T13" s="280"/>
      <c r="U13" s="281"/>
      <c r="V13" s="281"/>
      <c r="W13" s="281"/>
      <c r="X13" s="281"/>
      <c r="Y13" s="281"/>
      <c r="Z13" t="e">
        <f>VLOOKUP(A13,#REF!,9,FALSE)</f>
        <v>#REF!</v>
      </c>
    </row>
    <row r="14" spans="1:26" ht="15.75" thickBot="1">
      <c r="A14" s="282" t="s">
        <v>390</v>
      </c>
      <c r="B14" s="103" t="s">
        <v>50</v>
      </c>
      <c r="C14" s="219">
        <v>45807</v>
      </c>
      <c r="D14" s="286"/>
      <c r="E14" s="273" t="s">
        <v>1787</v>
      </c>
      <c r="F14" s="286"/>
      <c r="G14" s="287" t="s">
        <v>1750</v>
      </c>
      <c r="H14" s="234"/>
      <c r="I14" s="234"/>
      <c r="J14" s="45"/>
      <c r="K14" s="208"/>
      <c r="L14" s="208"/>
      <c r="M14" s="208"/>
      <c r="N14" s="288"/>
      <c r="O14" s="289"/>
      <c r="P14" s="278" t="s">
        <v>1788</v>
      </c>
      <c r="Q14" s="279" t="s">
        <v>68</v>
      </c>
      <c r="R14" s="132" t="s">
        <v>1789</v>
      </c>
      <c r="S14" s="132"/>
      <c r="T14" s="280"/>
      <c r="U14" s="281"/>
      <c r="V14" s="281"/>
      <c r="W14" s="281"/>
      <c r="X14" s="281"/>
      <c r="Y14" s="281"/>
      <c r="Z14" t="e">
        <f>VLOOKUP(A14,#REF!,9,FALSE)</f>
        <v>#REF!</v>
      </c>
    </row>
    <row r="15" spans="1:26" ht="15.75" thickBot="1">
      <c r="A15" s="122" t="s">
        <v>903</v>
      </c>
      <c r="B15" s="103" t="s">
        <v>50</v>
      </c>
      <c r="C15" s="219" t="e">
        <v>#N/A</v>
      </c>
      <c r="D15" s="286"/>
      <c r="E15" s="273" t="s">
        <v>1787</v>
      </c>
      <c r="F15" s="286"/>
      <c r="G15" s="287" t="s">
        <v>1750</v>
      </c>
      <c r="H15" s="234"/>
      <c r="I15" s="234"/>
      <c r="J15" s="45"/>
      <c r="K15" s="208"/>
      <c r="L15" s="208"/>
      <c r="M15" s="208"/>
      <c r="N15" s="288"/>
      <c r="O15" s="289"/>
      <c r="P15" s="278" t="s">
        <v>1788</v>
      </c>
      <c r="Q15" s="279" t="s">
        <v>68</v>
      </c>
      <c r="R15" s="132" t="s">
        <v>1789</v>
      </c>
      <c r="S15" s="132"/>
      <c r="T15" s="280"/>
      <c r="U15" s="281"/>
      <c r="V15" s="281"/>
      <c r="W15" s="281"/>
      <c r="X15" s="281"/>
      <c r="Y15" s="281"/>
      <c r="Z15" t="e">
        <f>VLOOKUP(A15,#REF!,9,FALSE)</f>
        <v>#REF!</v>
      </c>
    </row>
    <row r="16" spans="1:26" ht="15.75" thickBot="1">
      <c r="A16" s="290" t="s">
        <v>1793</v>
      </c>
      <c r="B16" s="103" t="s">
        <v>50</v>
      </c>
      <c r="C16" s="219" t="e">
        <v>#N/A</v>
      </c>
      <c r="D16" s="286"/>
      <c r="E16" s="273" t="s">
        <v>1787</v>
      </c>
      <c r="F16" s="286"/>
      <c r="G16" s="287" t="s">
        <v>1750</v>
      </c>
      <c r="H16" s="234"/>
      <c r="I16" s="234"/>
      <c r="J16" s="45"/>
      <c r="K16" s="208"/>
      <c r="L16" s="208"/>
      <c r="M16" s="208"/>
      <c r="N16" s="288"/>
      <c r="O16" s="289"/>
      <c r="P16" s="278" t="s">
        <v>1788</v>
      </c>
      <c r="Q16" s="279" t="s">
        <v>68</v>
      </c>
      <c r="R16" s="132" t="s">
        <v>1789</v>
      </c>
      <c r="S16" s="132"/>
      <c r="T16" s="280"/>
      <c r="U16" s="281"/>
      <c r="V16" s="281"/>
      <c r="W16" s="281"/>
      <c r="X16" s="281"/>
      <c r="Y16" s="281"/>
      <c r="Z16" t="e">
        <f>VLOOKUP(A16,#REF!,9,FALSE)</f>
        <v>#REF!</v>
      </c>
    </row>
    <row r="17" spans="1:26" ht="15.75" thickBot="1">
      <c r="A17" s="279" t="s">
        <v>691</v>
      </c>
      <c r="B17" s="103" t="s">
        <v>50</v>
      </c>
      <c r="C17" s="219" t="e">
        <v>#N/A</v>
      </c>
      <c r="D17" s="286"/>
      <c r="E17" s="273" t="s">
        <v>1752</v>
      </c>
      <c r="F17" s="286"/>
      <c r="G17" s="287" t="s">
        <v>1750</v>
      </c>
      <c r="H17" s="234"/>
      <c r="I17" s="234"/>
      <c r="J17" s="45"/>
      <c r="K17" s="208"/>
      <c r="L17" s="208"/>
      <c r="M17" s="208"/>
      <c r="N17" s="288"/>
      <c r="O17" s="289"/>
      <c r="P17" s="278"/>
      <c r="Q17" s="279" t="s">
        <v>68</v>
      </c>
      <c r="R17" s="132" t="s">
        <v>1789</v>
      </c>
      <c r="S17" s="132"/>
      <c r="T17" s="280"/>
      <c r="U17" s="281"/>
      <c r="V17" s="281"/>
      <c r="W17" s="281"/>
      <c r="X17" s="281"/>
      <c r="Y17" s="281"/>
      <c r="Z17" t="e">
        <f>VLOOKUP(A17,#REF!,9,FALSE)</f>
        <v>#REF!</v>
      </c>
    </row>
    <row r="18" spans="1:26" ht="15.75" thickBot="1">
      <c r="A18" s="279" t="s">
        <v>673</v>
      </c>
      <c r="B18" s="103" t="s">
        <v>50</v>
      </c>
      <c r="C18" s="219">
        <v>45807</v>
      </c>
      <c r="D18" s="286"/>
      <c r="E18" s="273" t="s">
        <v>1752</v>
      </c>
      <c r="F18" s="286"/>
      <c r="G18" s="287" t="s">
        <v>1750</v>
      </c>
      <c r="H18" s="234"/>
      <c r="I18" s="234"/>
      <c r="J18" s="45"/>
      <c r="K18" s="208"/>
      <c r="L18" s="208"/>
      <c r="M18" s="208"/>
      <c r="N18" s="288"/>
      <c r="O18" s="289"/>
      <c r="P18" s="278" t="s">
        <v>1758</v>
      </c>
      <c r="Q18" s="279"/>
      <c r="R18" s="132" t="s">
        <v>1789</v>
      </c>
      <c r="S18" s="132"/>
      <c r="T18" s="280"/>
      <c r="U18" s="281"/>
      <c r="V18" s="281"/>
      <c r="W18" s="281"/>
      <c r="X18" s="281"/>
      <c r="Y18" s="281"/>
      <c r="Z18" t="e">
        <f>VLOOKUP(A18,#REF!,9,FALSE)</f>
        <v>#REF!</v>
      </c>
    </row>
    <row r="19" spans="1:26" ht="15.75" thickBot="1">
      <c r="A19" s="279" t="s">
        <v>676</v>
      </c>
      <c r="B19" s="103" t="s">
        <v>50</v>
      </c>
      <c r="C19" s="219" t="e">
        <v>#N/A</v>
      </c>
      <c r="D19" s="286"/>
      <c r="E19" s="273" t="s">
        <v>1752</v>
      </c>
      <c r="F19" s="286"/>
      <c r="G19" s="287" t="s">
        <v>1771</v>
      </c>
      <c r="H19" s="234"/>
      <c r="I19" s="234"/>
      <c r="J19" s="45"/>
      <c r="K19" s="208"/>
      <c r="L19" s="208"/>
      <c r="M19" s="208"/>
      <c r="N19" s="288"/>
      <c r="O19" s="289"/>
      <c r="P19" s="278"/>
      <c r="Q19" s="279" t="s">
        <v>1771</v>
      </c>
      <c r="R19" s="132" t="s">
        <v>1789</v>
      </c>
      <c r="S19" s="132"/>
      <c r="T19" s="280"/>
      <c r="U19" s="281"/>
      <c r="V19" s="281"/>
      <c r="W19" s="281"/>
      <c r="X19" s="281"/>
      <c r="Y19" s="281"/>
      <c r="Z19" t="e">
        <f>VLOOKUP(A19,#REF!,9,FALSE)</f>
        <v>#REF!</v>
      </c>
    </row>
    <row r="20" spans="1:26" ht="15.75" thickBot="1">
      <c r="A20" s="279" t="s">
        <v>623</v>
      </c>
      <c r="B20" s="103" t="s">
        <v>50</v>
      </c>
      <c r="C20" s="219" t="e">
        <v>#N/A</v>
      </c>
      <c r="D20" s="286"/>
      <c r="E20" s="273" t="s">
        <v>1752</v>
      </c>
      <c r="F20" s="286"/>
      <c r="G20" s="287" t="s">
        <v>1771</v>
      </c>
      <c r="H20" s="234"/>
      <c r="I20" s="234"/>
      <c r="J20" s="45"/>
      <c r="K20" s="208"/>
      <c r="L20" s="208"/>
      <c r="M20" s="208"/>
      <c r="N20" s="288"/>
      <c r="O20" s="289"/>
      <c r="P20" s="278"/>
      <c r="Q20" s="279" t="s">
        <v>1771</v>
      </c>
      <c r="R20" s="132" t="s">
        <v>1789</v>
      </c>
      <c r="S20" s="132"/>
      <c r="T20" s="280"/>
      <c r="U20" s="281"/>
      <c r="V20" s="281"/>
      <c r="W20" s="281"/>
      <c r="X20" s="281"/>
      <c r="Y20" s="281"/>
      <c r="Z20" t="e">
        <f>VLOOKUP(A20,#REF!,9,FALSE)</f>
        <v>#REF!</v>
      </c>
    </row>
    <row r="21" spans="1:26" s="218" customFormat="1" ht="15.75" thickBot="1">
      <c r="A21" s="266" t="s">
        <v>1767</v>
      </c>
      <c r="B21" s="103" t="e">
        <v>#N/A</v>
      </c>
      <c r="C21" s="235">
        <v>45807</v>
      </c>
      <c r="D21" s="286"/>
      <c r="E21" s="273" t="s">
        <v>1752</v>
      </c>
      <c r="F21" s="286"/>
      <c r="G21" s="287" t="s">
        <v>1750</v>
      </c>
      <c r="H21" s="234"/>
      <c r="I21" s="234"/>
      <c r="J21" s="234"/>
      <c r="K21" s="233"/>
      <c r="L21" s="233"/>
      <c r="M21" s="233"/>
      <c r="N21" s="288"/>
      <c r="O21" s="289"/>
      <c r="P21" s="278"/>
      <c r="Q21" s="229" t="s">
        <v>64</v>
      </c>
      <c r="R21" s="132" t="s">
        <v>1789</v>
      </c>
      <c r="S21" s="232"/>
      <c r="T21" s="231"/>
      <c r="U21" s="230"/>
      <c r="V21" s="230"/>
      <c r="W21" s="230"/>
      <c r="X21" s="230"/>
      <c r="Y21" s="230" t="s">
        <v>1794</v>
      </c>
      <c r="Z21" t="e">
        <f>VLOOKUP(A21,#REF!,9,FALSE)</f>
        <v>#REF!</v>
      </c>
    </row>
    <row r="22" spans="1:26" ht="15.75" thickBot="1">
      <c r="A22" s="279" t="s">
        <v>625</v>
      </c>
      <c r="B22" s="103" t="s">
        <v>50</v>
      </c>
      <c r="C22" s="219" t="e">
        <v>#N/A</v>
      </c>
      <c r="D22" s="286"/>
      <c r="E22" s="273" t="s">
        <v>1752</v>
      </c>
      <c r="F22" s="286"/>
      <c r="G22" s="287" t="s">
        <v>1771</v>
      </c>
      <c r="H22" s="234"/>
      <c r="I22" s="234"/>
      <c r="J22" s="45"/>
      <c r="K22" s="208"/>
      <c r="L22" s="208"/>
      <c r="M22" s="208"/>
      <c r="N22" s="288"/>
      <c r="O22" s="289"/>
      <c r="P22" s="278"/>
      <c r="Q22" s="279" t="s">
        <v>1771</v>
      </c>
      <c r="R22" s="132" t="s">
        <v>1789</v>
      </c>
      <c r="S22" s="132"/>
      <c r="T22" s="280"/>
      <c r="U22" s="281"/>
      <c r="V22" s="281"/>
      <c r="W22" s="281"/>
      <c r="X22" s="281"/>
      <c r="Y22" s="281"/>
      <c r="Z22" t="e">
        <f>VLOOKUP(A22,#REF!,9,FALSE)</f>
        <v>#REF!</v>
      </c>
    </row>
    <row r="23" spans="1:26" ht="15.75" thickBot="1">
      <c r="A23" s="279" t="s">
        <v>611</v>
      </c>
      <c r="B23" s="103" t="s">
        <v>50</v>
      </c>
      <c r="C23" s="219" t="e">
        <v>#N/A</v>
      </c>
      <c r="D23" s="286"/>
      <c r="E23" s="273" t="s">
        <v>1752</v>
      </c>
      <c r="F23" s="286"/>
      <c r="G23" s="287" t="s">
        <v>1750</v>
      </c>
      <c r="H23" s="234"/>
      <c r="I23" s="234"/>
      <c r="J23" s="45"/>
      <c r="K23" s="208"/>
      <c r="L23" s="208"/>
      <c r="M23" s="208"/>
      <c r="N23" s="288"/>
      <c r="O23" s="289"/>
      <c r="P23" s="278"/>
      <c r="Q23" s="279" t="s">
        <v>64</v>
      </c>
      <c r="R23" s="132" t="s">
        <v>1789</v>
      </c>
      <c r="S23" s="132"/>
      <c r="T23" s="280"/>
      <c r="U23" s="281"/>
      <c r="V23" s="281"/>
      <c r="W23" s="281"/>
      <c r="X23" s="281"/>
      <c r="Y23" s="281" t="s">
        <v>1795</v>
      </c>
      <c r="Z23" t="e">
        <f>VLOOKUP(A23,#REF!,9,FALSE)</f>
        <v>#REF!</v>
      </c>
    </row>
    <row r="24" spans="1:26" s="218" customFormat="1" ht="69.599999999999994" customHeight="1" thickBot="1">
      <c r="A24" s="229" t="s">
        <v>1763</v>
      </c>
      <c r="B24" s="236" t="e">
        <v>#N/A</v>
      </c>
      <c r="C24" s="235">
        <v>45716</v>
      </c>
      <c r="D24" s="286"/>
      <c r="E24" s="273" t="s">
        <v>1752</v>
      </c>
      <c r="F24" s="286"/>
      <c r="G24" s="287" t="s">
        <v>1750</v>
      </c>
      <c r="H24" s="234"/>
      <c r="I24" s="234"/>
      <c r="J24" s="234"/>
      <c r="K24" s="233"/>
      <c r="L24" s="233"/>
      <c r="M24" s="233"/>
      <c r="N24" s="288"/>
      <c r="O24" s="289"/>
      <c r="P24" s="278" t="s">
        <v>1764</v>
      </c>
      <c r="Q24" s="229" t="s">
        <v>64</v>
      </c>
      <c r="R24" s="132" t="s">
        <v>1789</v>
      </c>
      <c r="S24" s="232"/>
      <c r="T24" s="231"/>
      <c r="U24" s="230"/>
      <c r="V24" s="230"/>
      <c r="W24" s="230"/>
      <c r="X24" s="230"/>
      <c r="Y24" s="230" t="s">
        <v>1795</v>
      </c>
      <c r="Z24" t="e">
        <f>VLOOKUP(A24,#REF!,9,FALSE)</f>
        <v>#REF!</v>
      </c>
    </row>
    <row r="25" spans="1:26" ht="15.75" thickBot="1">
      <c r="A25" s="279" t="s">
        <v>615</v>
      </c>
      <c r="B25" s="103" t="s">
        <v>50</v>
      </c>
      <c r="C25" s="219">
        <v>45772</v>
      </c>
      <c r="D25" s="286"/>
      <c r="E25" s="273" t="s">
        <v>1752</v>
      </c>
      <c r="F25" s="286"/>
      <c r="G25" s="287" t="s">
        <v>1750</v>
      </c>
      <c r="H25" s="234"/>
      <c r="I25" s="234"/>
      <c r="J25" s="45"/>
      <c r="K25" s="208"/>
      <c r="L25" s="208"/>
      <c r="M25" s="208"/>
      <c r="N25" s="288"/>
      <c r="O25" s="289"/>
      <c r="P25" s="278" t="s">
        <v>1764</v>
      </c>
      <c r="Q25" s="279" t="s">
        <v>64</v>
      </c>
      <c r="R25" s="132" t="s">
        <v>1789</v>
      </c>
      <c r="S25" s="132"/>
      <c r="T25" s="280"/>
      <c r="U25" s="281"/>
      <c r="V25" s="281"/>
      <c r="W25" s="281"/>
      <c r="X25" s="281"/>
      <c r="Y25" s="281"/>
      <c r="Z25" t="e">
        <f>VLOOKUP(A25,#REF!,9,FALSE)</f>
        <v>#REF!</v>
      </c>
    </row>
    <row r="26" spans="1:26" ht="15.75" thickBot="1">
      <c r="A26" s="279" t="s">
        <v>493</v>
      </c>
      <c r="B26" s="103" t="s">
        <v>50</v>
      </c>
      <c r="C26" s="219">
        <v>45772</v>
      </c>
      <c r="D26" s="286"/>
      <c r="E26" s="273" t="s">
        <v>1752</v>
      </c>
      <c r="F26" s="286"/>
      <c r="G26" s="287" t="s">
        <v>1750</v>
      </c>
      <c r="H26" s="234"/>
      <c r="I26" s="234"/>
      <c r="J26" s="45"/>
      <c r="K26" s="208"/>
      <c r="L26" s="208"/>
      <c r="M26" s="208"/>
      <c r="N26" s="288"/>
      <c r="O26" s="289"/>
      <c r="P26" s="278" t="s">
        <v>1764</v>
      </c>
      <c r="Q26" s="279" t="s">
        <v>64</v>
      </c>
      <c r="R26" s="132" t="s">
        <v>1789</v>
      </c>
      <c r="S26" s="132"/>
      <c r="T26" s="280"/>
      <c r="U26" s="281"/>
      <c r="V26" s="281"/>
      <c r="W26" s="281"/>
      <c r="X26" s="281"/>
      <c r="Y26" s="281"/>
      <c r="Z26" t="e">
        <f>VLOOKUP(A26,#REF!,9,FALSE)</f>
        <v>#REF!</v>
      </c>
    </row>
    <row r="27" spans="1:26" ht="15.75" thickBot="1">
      <c r="A27" s="279" t="s">
        <v>829</v>
      </c>
      <c r="B27" s="103" t="s">
        <v>50</v>
      </c>
      <c r="C27" s="219">
        <v>45772</v>
      </c>
      <c r="D27" s="286"/>
      <c r="E27" s="273" t="s">
        <v>1752</v>
      </c>
      <c r="F27" s="286"/>
      <c r="G27" s="287" t="s">
        <v>1750</v>
      </c>
      <c r="H27" s="234"/>
      <c r="I27" s="234"/>
      <c r="J27" s="45"/>
      <c r="K27" s="208"/>
      <c r="L27" s="208"/>
      <c r="M27" s="208"/>
      <c r="N27" s="288"/>
      <c r="O27" s="289"/>
      <c r="P27" s="278" t="s">
        <v>1764</v>
      </c>
      <c r="Q27" s="279" t="s">
        <v>64</v>
      </c>
      <c r="R27" s="132" t="s">
        <v>1789</v>
      </c>
      <c r="S27" s="132"/>
      <c r="T27" s="280"/>
      <c r="U27" s="281"/>
      <c r="V27" s="281"/>
      <c r="W27" s="281"/>
      <c r="X27" s="281"/>
      <c r="Y27" s="281"/>
      <c r="Z27" t="e">
        <f>VLOOKUP(A27,#REF!,9,FALSE)</f>
        <v>#REF!</v>
      </c>
    </row>
    <row r="28" spans="1:26" ht="70.150000000000006" customHeight="1" thickBot="1">
      <c r="A28" s="229" t="s">
        <v>1766</v>
      </c>
      <c r="B28" s="236"/>
      <c r="C28" s="235"/>
      <c r="D28" s="286"/>
      <c r="E28" s="273" t="s">
        <v>1752</v>
      </c>
      <c r="F28" s="286"/>
      <c r="G28" s="287" t="s">
        <v>1750</v>
      </c>
      <c r="H28" s="234"/>
      <c r="I28" s="234"/>
      <c r="J28" s="234"/>
      <c r="K28" s="233"/>
      <c r="L28" s="233"/>
      <c r="M28" s="233"/>
      <c r="N28" s="288"/>
      <c r="O28" s="289"/>
      <c r="P28" s="278" t="s">
        <v>1764</v>
      </c>
      <c r="Q28" s="229" t="s">
        <v>64</v>
      </c>
      <c r="R28" s="132" t="s">
        <v>1789</v>
      </c>
      <c r="S28" s="232"/>
      <c r="T28" s="231"/>
      <c r="U28" s="230"/>
      <c r="V28" s="230"/>
      <c r="W28" s="230"/>
      <c r="X28" s="230"/>
      <c r="Y28" s="292" t="s">
        <v>1796</v>
      </c>
      <c r="Z28" t="e">
        <f>VLOOKUP(A28,#REF!,9,FALSE)</f>
        <v>#REF!</v>
      </c>
    </row>
    <row r="29" spans="1:26" s="218" customFormat="1" ht="69.599999999999994" customHeight="1" thickBot="1">
      <c r="A29" s="229" t="s">
        <v>1769</v>
      </c>
      <c r="B29" s="236" t="e">
        <v>#N/A</v>
      </c>
      <c r="C29" s="235" t="e">
        <v>#N/A</v>
      </c>
      <c r="D29" s="286"/>
      <c r="E29" s="273" t="s">
        <v>1752</v>
      </c>
      <c r="F29" s="286"/>
      <c r="G29" s="287" t="s">
        <v>1750</v>
      </c>
      <c r="H29" s="234"/>
      <c r="I29" s="234"/>
      <c r="J29" s="234"/>
      <c r="K29" s="233"/>
      <c r="L29" s="233"/>
      <c r="M29" s="233"/>
      <c r="N29" s="288"/>
      <c r="O29" s="289"/>
      <c r="P29" s="278"/>
      <c r="Q29" s="224" t="s">
        <v>64</v>
      </c>
      <c r="R29" s="132" t="s">
        <v>1789</v>
      </c>
      <c r="S29" s="232"/>
      <c r="T29" s="231"/>
      <c r="U29" s="230"/>
      <c r="V29" s="230"/>
      <c r="W29" s="230"/>
      <c r="X29" s="230"/>
      <c r="Y29" s="230" t="s">
        <v>1796</v>
      </c>
      <c r="Z29" t="e">
        <f>VLOOKUP(A29,#REF!,9,FALSE)</f>
        <v>#REF!</v>
      </c>
    </row>
    <row r="30" spans="1:26" ht="15.75" thickBot="1">
      <c r="A30" s="279" t="s">
        <v>643</v>
      </c>
      <c r="B30" s="103" t="s">
        <v>50</v>
      </c>
      <c r="C30" s="219">
        <v>45772</v>
      </c>
      <c r="D30" s="286"/>
      <c r="E30" s="273" t="s">
        <v>1752</v>
      </c>
      <c r="F30" s="286"/>
      <c r="G30" s="287" t="s">
        <v>1771</v>
      </c>
      <c r="H30" s="234"/>
      <c r="I30" s="234"/>
      <c r="J30" s="45"/>
      <c r="K30" s="208"/>
      <c r="L30" s="208"/>
      <c r="M30" s="208"/>
      <c r="N30" s="288"/>
      <c r="O30" s="289"/>
      <c r="P30" s="278"/>
      <c r="Q30" s="279" t="s">
        <v>1771</v>
      </c>
      <c r="R30" s="132" t="s">
        <v>1789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1752</v>
      </c>
      <c r="F31" s="293"/>
      <c r="G31" s="294" t="s">
        <v>1771</v>
      </c>
      <c r="H31" s="226"/>
      <c r="I31" s="226"/>
      <c r="J31" s="240"/>
      <c r="K31" s="241"/>
      <c r="L31" s="241"/>
      <c r="M31" s="241"/>
      <c r="N31" s="226"/>
      <c r="O31" s="295"/>
      <c r="P31" s="278"/>
      <c r="Q31" s="237" t="s">
        <v>1771</v>
      </c>
      <c r="R31" s="132" t="s">
        <v>1789</v>
      </c>
      <c r="S31" s="242"/>
      <c r="T31" s="243"/>
      <c r="U31" s="244"/>
      <c r="V31" s="244"/>
      <c r="W31" s="244"/>
      <c r="X31" s="244"/>
      <c r="Y31" s="244" t="s">
        <v>1797</v>
      </c>
      <c r="Z31" t="e">
        <f>VLOOKUP(A31,#REF!,9,FALSE)</f>
        <v>#REF!</v>
      </c>
    </row>
    <row r="32" spans="1:26" ht="15.75" thickBot="1">
      <c r="A32" s="279" t="s">
        <v>645</v>
      </c>
      <c r="B32" s="103" t="s">
        <v>50</v>
      </c>
      <c r="C32" s="219">
        <v>45772</v>
      </c>
      <c r="D32" s="286"/>
      <c r="E32" s="273" t="s">
        <v>1752</v>
      </c>
      <c r="F32" s="286"/>
      <c r="G32" s="287" t="s">
        <v>1771</v>
      </c>
      <c r="H32" s="234"/>
      <c r="I32" s="234"/>
      <c r="J32" s="45"/>
      <c r="K32" s="208"/>
      <c r="L32" s="208"/>
      <c r="M32" s="208"/>
      <c r="N32" s="288"/>
      <c r="O32" s="289"/>
      <c r="P32" s="278"/>
      <c r="Q32" s="279" t="s">
        <v>1771</v>
      </c>
      <c r="R32" s="132" t="s">
        <v>1789</v>
      </c>
      <c r="S32" s="132"/>
      <c r="T32" s="280"/>
      <c r="U32" s="281"/>
      <c r="V32" s="281"/>
      <c r="W32" s="281"/>
      <c r="X32" s="281"/>
      <c r="Y32" s="281"/>
      <c r="Z32" t="e">
        <f>VLOOKUP(A32,#REF!,9,FALSE)</f>
        <v>#REF!</v>
      </c>
    </row>
    <row r="33" spans="1:26" ht="15.75" thickBot="1">
      <c r="A33" s="279" t="s">
        <v>635</v>
      </c>
      <c r="B33" s="103" t="s">
        <v>50</v>
      </c>
      <c r="C33" s="219">
        <v>45831</v>
      </c>
      <c r="D33" s="286"/>
      <c r="E33" s="273" t="s">
        <v>1752</v>
      </c>
      <c r="F33" s="286"/>
      <c r="G33" s="287" t="s">
        <v>1750</v>
      </c>
      <c r="H33" s="234"/>
      <c r="I33" s="234"/>
      <c r="J33" s="45"/>
      <c r="K33" s="208"/>
      <c r="L33" s="208"/>
      <c r="M33" s="208"/>
      <c r="N33" s="288"/>
      <c r="O33" s="289"/>
      <c r="P33" s="278"/>
      <c r="Q33" s="229" t="s">
        <v>64</v>
      </c>
      <c r="R33" s="132" t="s">
        <v>1789</v>
      </c>
      <c r="S33" s="132"/>
      <c r="T33" s="280"/>
      <c r="U33" s="281"/>
      <c r="V33" s="281"/>
      <c r="W33" s="281"/>
      <c r="X33" s="281"/>
      <c r="Y33" s="281"/>
      <c r="Z33" t="e">
        <f>VLOOKUP(A33,#REF!,9,FALSE)</f>
        <v>#REF!</v>
      </c>
    </row>
    <row r="34" spans="1:26" ht="15.75" thickBot="1">
      <c r="A34" s="279" t="s">
        <v>629</v>
      </c>
      <c r="B34" s="103" t="s">
        <v>50</v>
      </c>
      <c r="C34" s="219">
        <v>45831</v>
      </c>
      <c r="D34" s="286"/>
      <c r="E34" s="273" t="s">
        <v>1752</v>
      </c>
      <c r="F34" s="286"/>
      <c r="G34" s="287" t="s">
        <v>1750</v>
      </c>
      <c r="H34" s="234"/>
      <c r="I34" s="234"/>
      <c r="J34" s="45"/>
      <c r="K34" s="208"/>
      <c r="L34" s="208"/>
      <c r="M34" s="208"/>
      <c r="N34" s="288"/>
      <c r="O34" s="289"/>
      <c r="P34" s="278"/>
      <c r="Q34" s="279" t="s">
        <v>64</v>
      </c>
      <c r="R34" s="132" t="s">
        <v>1789</v>
      </c>
      <c r="S34" s="132"/>
      <c r="T34" s="280"/>
      <c r="U34" s="281"/>
      <c r="V34" s="281"/>
      <c r="W34" s="281"/>
      <c r="X34" s="281"/>
      <c r="Y34" s="281"/>
      <c r="Z34" t="e">
        <f>VLOOKUP(A34,#REF!,9,FALSE)</f>
        <v>#REF!</v>
      </c>
    </row>
    <row r="35" spans="1:26" ht="15.75" thickBot="1">
      <c r="A35" s="279" t="s">
        <v>631</v>
      </c>
      <c r="B35" s="103" t="s">
        <v>50</v>
      </c>
      <c r="C35" s="219">
        <v>45831</v>
      </c>
      <c r="D35" s="286"/>
      <c r="E35" s="273" t="s">
        <v>1752</v>
      </c>
      <c r="F35" s="286"/>
      <c r="G35" s="287" t="s">
        <v>1750</v>
      </c>
      <c r="H35" s="234"/>
      <c r="I35" s="234"/>
      <c r="J35" s="45"/>
      <c r="K35" s="208"/>
      <c r="L35" s="208"/>
      <c r="M35" s="208"/>
      <c r="N35" s="288"/>
      <c r="O35" s="289"/>
      <c r="P35" s="278"/>
      <c r="Q35" s="279" t="s">
        <v>64</v>
      </c>
      <c r="R35" s="132" t="s">
        <v>1789</v>
      </c>
      <c r="S35" s="132"/>
      <c r="T35" s="280"/>
      <c r="U35" s="281"/>
      <c r="V35" s="281"/>
      <c r="W35" s="281"/>
      <c r="X35" s="281"/>
      <c r="Y35" s="281"/>
      <c r="Z35" t="e">
        <f>VLOOKUP(A35,#REF!,9,FALSE)</f>
        <v>#REF!</v>
      </c>
    </row>
    <row r="36" spans="1:26" ht="15.75" thickBot="1">
      <c r="A36" s="279" t="s">
        <v>627</v>
      </c>
      <c r="B36" s="103" t="s">
        <v>50</v>
      </c>
      <c r="C36" s="219">
        <v>45772</v>
      </c>
      <c r="D36" s="286"/>
      <c r="E36" s="273" t="s">
        <v>1752</v>
      </c>
      <c r="F36" s="286"/>
      <c r="G36" s="287" t="s">
        <v>1771</v>
      </c>
      <c r="H36" s="234"/>
      <c r="I36" s="234"/>
      <c r="J36" s="45"/>
      <c r="K36" s="208"/>
      <c r="L36" s="208"/>
      <c r="M36" s="208"/>
      <c r="N36" s="288"/>
      <c r="O36" s="289"/>
      <c r="P36" s="278"/>
      <c r="Q36" s="279" t="s">
        <v>1771</v>
      </c>
      <c r="R36" s="132" t="s">
        <v>1789</v>
      </c>
      <c r="S36" s="132"/>
      <c r="T36" s="280"/>
      <c r="U36" s="281"/>
      <c r="V36" s="281"/>
      <c r="W36" s="281"/>
      <c r="X36" s="281"/>
      <c r="Y36" s="281"/>
      <c r="Z36" t="e">
        <f>VLOOKUP(A36,#REF!,9,FALSE)</f>
        <v>#REF!</v>
      </c>
    </row>
    <row r="37" spans="1:26" ht="15.75" thickBot="1">
      <c r="A37" s="279" t="s">
        <v>637</v>
      </c>
      <c r="B37" s="103" t="s">
        <v>50</v>
      </c>
      <c r="C37" s="219">
        <v>45831</v>
      </c>
      <c r="D37" s="286"/>
      <c r="E37" s="273" t="s">
        <v>1752</v>
      </c>
      <c r="F37" s="286"/>
      <c r="G37" s="287" t="s">
        <v>1750</v>
      </c>
      <c r="H37" s="234"/>
      <c r="I37" s="234"/>
      <c r="J37" s="45"/>
      <c r="K37" s="208"/>
      <c r="L37" s="208"/>
      <c r="M37" s="208"/>
      <c r="N37" s="288"/>
      <c r="O37" s="289"/>
      <c r="P37" s="278"/>
      <c r="Q37" s="279" t="s">
        <v>64</v>
      </c>
      <c r="R37" s="132" t="s">
        <v>1789</v>
      </c>
      <c r="S37" s="132"/>
      <c r="T37" s="280"/>
      <c r="U37" s="281"/>
      <c r="V37" s="281"/>
      <c r="W37" s="281"/>
      <c r="X37" s="281"/>
      <c r="Y37" s="281"/>
      <c r="Z37" t="e">
        <f>VLOOKUP(A37,#REF!,9,FALSE)</f>
        <v>#REF!</v>
      </c>
    </row>
    <row r="38" spans="1:26" ht="15.75" thickBot="1">
      <c r="A38" s="279" t="s">
        <v>641</v>
      </c>
      <c r="B38" s="103" t="s">
        <v>50</v>
      </c>
      <c r="C38" s="219">
        <v>45831</v>
      </c>
      <c r="D38" s="286"/>
      <c r="E38" s="273" t="s">
        <v>1752</v>
      </c>
      <c r="F38" s="286"/>
      <c r="G38" s="287" t="s">
        <v>1750</v>
      </c>
      <c r="H38" s="234"/>
      <c r="I38" s="234"/>
      <c r="J38" s="45"/>
      <c r="K38" s="208"/>
      <c r="L38" s="208"/>
      <c r="M38" s="208"/>
      <c r="N38" s="288"/>
      <c r="O38" s="289"/>
      <c r="P38" s="278"/>
      <c r="Q38" s="279" t="s">
        <v>64</v>
      </c>
      <c r="R38" s="132" t="s">
        <v>1789</v>
      </c>
      <c r="S38" s="132"/>
      <c r="T38" s="280"/>
      <c r="U38" s="281"/>
      <c r="V38" s="281"/>
      <c r="W38" s="281"/>
      <c r="X38" s="281"/>
      <c r="Y38" s="281"/>
      <c r="Z38" t="e">
        <f>VLOOKUP(A38,#REF!,9,FALSE)</f>
        <v>#REF!</v>
      </c>
    </row>
    <row r="39" spans="1:26" s="220" customFormat="1" ht="70.150000000000006" customHeight="1" thickBot="1">
      <c r="A39" s="224" t="s">
        <v>1772</v>
      </c>
      <c r="B39" s="228" t="e">
        <v>#N/A</v>
      </c>
      <c r="C39" s="227" t="e">
        <v>#N/A</v>
      </c>
      <c r="D39" s="293"/>
      <c r="E39" s="273" t="s">
        <v>1752</v>
      </c>
      <c r="F39" s="293"/>
      <c r="G39" s="294" t="s">
        <v>1771</v>
      </c>
      <c r="H39" s="226"/>
      <c r="I39" s="226"/>
      <c r="J39" s="226"/>
      <c r="K39" s="225"/>
      <c r="L39" s="225"/>
      <c r="M39" s="225"/>
      <c r="N39" s="226"/>
      <c r="O39" s="295"/>
      <c r="P39" s="278"/>
      <c r="Q39" s="224" t="s">
        <v>1771</v>
      </c>
      <c r="R39" s="132" t="s">
        <v>1789</v>
      </c>
      <c r="S39" s="223"/>
      <c r="T39" s="222"/>
      <c r="U39" s="221"/>
      <c r="V39" s="221"/>
      <c r="W39" s="221"/>
      <c r="X39" s="221"/>
      <c r="Y39" s="221" t="s">
        <v>1796</v>
      </c>
      <c r="Z39" t="e">
        <f>VLOOKUP(A39,#REF!,9,FALSE)</f>
        <v>#REF!</v>
      </c>
    </row>
    <row r="40" spans="1:26" ht="15.75" thickBot="1">
      <c r="A40" s="279" t="s">
        <v>702</v>
      </c>
      <c r="B40" s="103" t="s">
        <v>50</v>
      </c>
      <c r="C40" s="219">
        <v>45831</v>
      </c>
      <c r="D40" s="286"/>
      <c r="E40" s="273" t="s">
        <v>1752</v>
      </c>
      <c r="F40" s="286"/>
      <c r="G40" s="287" t="s">
        <v>1750</v>
      </c>
      <c r="H40" s="234"/>
      <c r="I40" s="234"/>
      <c r="J40" s="45"/>
      <c r="K40" s="208"/>
      <c r="L40" s="208"/>
      <c r="M40" s="208"/>
      <c r="N40" s="288"/>
      <c r="O40" s="289"/>
      <c r="P40" s="278"/>
      <c r="Q40" s="279" t="s">
        <v>64</v>
      </c>
      <c r="R40" s="132" t="s">
        <v>1789</v>
      </c>
      <c r="S40" s="132"/>
      <c r="T40" s="280"/>
      <c r="U40" s="281"/>
      <c r="V40" s="281"/>
      <c r="W40" s="281"/>
      <c r="X40" s="281"/>
      <c r="Y40" s="281"/>
      <c r="Z40" t="e">
        <f>VLOOKUP(A40,#REF!,9,FALSE)</f>
        <v>#REF!</v>
      </c>
    </row>
    <row r="41" spans="1:26" ht="15.75" thickBot="1">
      <c r="A41" s="279" t="s">
        <v>92</v>
      </c>
      <c r="B41" s="103" t="s">
        <v>50</v>
      </c>
      <c r="C41" s="219">
        <v>45807</v>
      </c>
      <c r="D41" s="286"/>
      <c r="E41" s="273" t="s">
        <v>1787</v>
      </c>
      <c r="F41" s="286"/>
      <c r="G41" s="287" t="s">
        <v>1750</v>
      </c>
      <c r="H41" s="234"/>
      <c r="I41" s="234"/>
      <c r="J41" s="45"/>
      <c r="K41" s="208"/>
      <c r="L41" s="208"/>
      <c r="M41" s="208"/>
      <c r="N41" s="288"/>
      <c r="O41" s="289"/>
      <c r="P41" s="278" t="s">
        <v>1788</v>
      </c>
      <c r="Q41" s="279" t="s">
        <v>58</v>
      </c>
      <c r="R41" s="132" t="s">
        <v>1789</v>
      </c>
      <c r="S41" s="132"/>
      <c r="T41" s="280"/>
      <c r="U41" s="281"/>
      <c r="V41" s="281"/>
      <c r="W41" s="281"/>
      <c r="X41" s="281"/>
      <c r="Y41" s="281"/>
      <c r="Z41" t="e">
        <f>VLOOKUP(A41,#REF!,9,FALSE)</f>
        <v>#REF!</v>
      </c>
    </row>
    <row r="42" spans="1:26" ht="15.75" thickBot="1">
      <c r="A42" s="279" t="s">
        <v>90</v>
      </c>
      <c r="B42" s="103" t="s">
        <v>50</v>
      </c>
      <c r="C42" s="219">
        <v>45807</v>
      </c>
      <c r="D42" s="286"/>
      <c r="E42" s="273" t="s">
        <v>1787</v>
      </c>
      <c r="F42" s="286"/>
      <c r="G42" s="287" t="s">
        <v>1750</v>
      </c>
      <c r="H42" s="234"/>
      <c r="I42" s="234"/>
      <c r="J42" s="45"/>
      <c r="K42" s="208"/>
      <c r="L42" s="208"/>
      <c r="M42" s="208"/>
      <c r="N42" s="288"/>
      <c r="O42" s="289"/>
      <c r="P42" s="278" t="s">
        <v>1788</v>
      </c>
      <c r="Q42" s="279" t="s">
        <v>64</v>
      </c>
      <c r="R42" s="132" t="s">
        <v>1789</v>
      </c>
      <c r="S42" s="132"/>
      <c r="T42" s="280"/>
      <c r="U42" s="281"/>
      <c r="V42" s="281"/>
      <c r="W42" s="281"/>
      <c r="X42" s="281"/>
      <c r="Y42" s="281"/>
      <c r="Z42" t="e">
        <f>VLOOKUP(A42,#REF!,9,FALSE)</f>
        <v>#REF!</v>
      </c>
    </row>
    <row r="43" spans="1:26" ht="15.75" thickBot="1">
      <c r="A43" s="279" t="s">
        <v>394</v>
      </c>
      <c r="B43" s="103" t="s">
        <v>50</v>
      </c>
      <c r="C43" s="219">
        <v>45807</v>
      </c>
      <c r="D43" s="286"/>
      <c r="E43" s="273" t="s">
        <v>1787</v>
      </c>
      <c r="F43" s="286"/>
      <c r="G43" s="287" t="s">
        <v>1750</v>
      </c>
      <c r="H43" s="234"/>
      <c r="I43" s="234"/>
      <c r="J43" s="45"/>
      <c r="K43" s="208"/>
      <c r="L43" s="208"/>
      <c r="M43" s="208"/>
      <c r="N43" s="288"/>
      <c r="O43" s="289"/>
      <c r="P43" s="278" t="s">
        <v>1788</v>
      </c>
      <c r="Q43" s="279" t="s">
        <v>58</v>
      </c>
      <c r="R43" s="132" t="s">
        <v>1789</v>
      </c>
      <c r="S43" s="132"/>
      <c r="T43" s="280"/>
      <c r="U43" s="281"/>
      <c r="V43" s="281"/>
      <c r="W43" s="281"/>
      <c r="X43" s="281"/>
      <c r="Y43" s="281"/>
      <c r="Z43" t="e">
        <f>VLOOKUP(A43,#REF!,9,FALSE)</f>
        <v>#REF!</v>
      </c>
    </row>
    <row r="44" spans="1:26" ht="15.75" thickBot="1">
      <c r="A44" s="279" t="s">
        <v>87</v>
      </c>
      <c r="B44" s="103" t="s">
        <v>50</v>
      </c>
      <c r="C44" s="219">
        <v>45807</v>
      </c>
      <c r="D44" s="286"/>
      <c r="E44" s="273" t="s">
        <v>1787</v>
      </c>
      <c r="F44" s="286"/>
      <c r="G44" s="287" t="s">
        <v>1750</v>
      </c>
      <c r="H44" s="234"/>
      <c r="I44" s="234"/>
      <c r="J44" s="45"/>
      <c r="K44" s="208"/>
      <c r="L44" s="208"/>
      <c r="M44" s="208"/>
      <c r="N44" s="288"/>
      <c r="O44" s="289"/>
      <c r="P44" s="278" t="s">
        <v>1758</v>
      </c>
      <c r="Q44" s="279" t="s">
        <v>64</v>
      </c>
      <c r="R44" s="132" t="s">
        <v>1789</v>
      </c>
      <c r="S44" s="132"/>
      <c r="T44" s="280"/>
      <c r="U44" s="281"/>
      <c r="V44" s="281"/>
      <c r="W44" s="281"/>
      <c r="X44" s="281"/>
      <c r="Y44" s="281"/>
      <c r="Z44" t="e">
        <f>VLOOKUP(A44,#REF!,9,FALSE)</f>
        <v>#REF!</v>
      </c>
    </row>
    <row r="45" spans="1:26" ht="15.75" thickBot="1">
      <c r="A45" s="346" t="s">
        <v>510</v>
      </c>
      <c r="B45" s="103" t="s">
        <v>50</v>
      </c>
      <c r="C45" s="219">
        <v>45807</v>
      </c>
      <c r="D45" s="286"/>
      <c r="E45" s="273" t="s">
        <v>1752</v>
      </c>
      <c r="F45" s="286"/>
      <c r="G45" s="287" t="s">
        <v>1750</v>
      </c>
      <c r="H45" s="234"/>
      <c r="I45" s="234"/>
      <c r="J45" s="45"/>
      <c r="K45" s="208"/>
      <c r="L45" s="208"/>
      <c r="M45" s="208"/>
      <c r="N45" s="288"/>
      <c r="O45" s="289"/>
      <c r="P45" s="278"/>
      <c r="Q45" s="279" t="s">
        <v>58</v>
      </c>
      <c r="R45" s="132" t="s">
        <v>1789</v>
      </c>
      <c r="S45" s="132"/>
      <c r="T45" s="280"/>
      <c r="U45" s="281"/>
      <c r="V45" s="281"/>
      <c r="W45" s="281"/>
      <c r="X45" s="281"/>
      <c r="Y45" s="281"/>
      <c r="Z45" t="e">
        <f>VLOOKUP(A45,#REF!,9,FALSE)</f>
        <v>#REF!</v>
      </c>
    </row>
    <row r="46" spans="1:26" ht="15.75" thickBot="1">
      <c r="A46" s="296" t="s">
        <v>512</v>
      </c>
      <c r="B46" s="103" t="s">
        <v>50</v>
      </c>
      <c r="C46" s="219">
        <v>45807</v>
      </c>
      <c r="D46" s="286"/>
      <c r="E46" s="273" t="s">
        <v>1752</v>
      </c>
      <c r="F46" s="286"/>
      <c r="G46" s="294" t="s">
        <v>1750</v>
      </c>
      <c r="H46" s="234"/>
      <c r="I46" s="234"/>
      <c r="J46" s="45"/>
      <c r="K46" s="208"/>
      <c r="L46" s="208"/>
      <c r="M46" s="208"/>
      <c r="N46" s="288"/>
      <c r="O46" s="289"/>
      <c r="P46" s="278"/>
      <c r="Q46" s="279" t="s">
        <v>58</v>
      </c>
      <c r="R46" s="132" t="s">
        <v>1789</v>
      </c>
      <c r="S46" s="132"/>
      <c r="T46" s="280"/>
      <c r="U46" s="281"/>
      <c r="V46" s="281"/>
      <c r="W46" s="281"/>
      <c r="X46" s="281"/>
      <c r="Y46" s="281"/>
      <c r="Z46" t="e">
        <f>VLOOKUP(A46,#REF!,9,FALSE)</f>
        <v>#REF!</v>
      </c>
    </row>
    <row r="47" spans="1:26" ht="15.75" thickBot="1">
      <c r="A47" s="297" t="s">
        <v>180</v>
      </c>
      <c r="B47" s="103" t="s">
        <v>50</v>
      </c>
      <c r="C47" s="219">
        <v>45807</v>
      </c>
      <c r="D47" s="286"/>
      <c r="E47" s="273" t="s">
        <v>1752</v>
      </c>
      <c r="F47" s="286"/>
      <c r="G47" s="287" t="s">
        <v>1750</v>
      </c>
      <c r="H47" s="234"/>
      <c r="I47" s="234"/>
      <c r="J47" s="45"/>
      <c r="K47" s="208"/>
      <c r="L47" s="208"/>
      <c r="M47" s="208"/>
      <c r="N47" s="288"/>
      <c r="O47" s="289"/>
      <c r="P47" s="278" t="s">
        <v>1761</v>
      </c>
      <c r="Q47" s="279" t="s">
        <v>58</v>
      </c>
      <c r="R47" s="132" t="s">
        <v>1792</v>
      </c>
      <c r="S47" s="132"/>
      <c r="T47" s="280"/>
      <c r="U47" s="281"/>
      <c r="V47" s="281"/>
      <c r="W47" s="281"/>
      <c r="X47" s="281"/>
      <c r="Y47" s="281"/>
      <c r="Z47" t="e">
        <f>VLOOKUP(A47,#REF!,9,FALSE)</f>
        <v>#REF!</v>
      </c>
    </row>
    <row r="48" spans="1:26" ht="15.75" thickBot="1">
      <c r="A48" s="296" t="s">
        <v>555</v>
      </c>
      <c r="B48" s="103" t="s">
        <v>50</v>
      </c>
      <c r="C48" s="219">
        <v>45807</v>
      </c>
      <c r="D48" s="286"/>
      <c r="E48" s="273" t="s">
        <v>1752</v>
      </c>
      <c r="F48" s="286"/>
      <c r="G48" s="294" t="s">
        <v>1771</v>
      </c>
      <c r="H48" s="234"/>
      <c r="I48" s="234"/>
      <c r="J48" s="45"/>
      <c r="K48" s="208"/>
      <c r="L48" s="208"/>
      <c r="M48" s="208"/>
      <c r="N48" s="288"/>
      <c r="O48" s="289"/>
      <c r="P48" s="278" t="s">
        <v>1798</v>
      </c>
      <c r="Q48" s="279" t="s">
        <v>1771</v>
      </c>
      <c r="R48" s="132" t="s">
        <v>1789</v>
      </c>
      <c r="S48" s="132"/>
      <c r="T48" s="280"/>
      <c r="U48" s="281"/>
      <c r="V48" s="281"/>
      <c r="W48" s="281"/>
      <c r="X48" s="281"/>
      <c r="Y48" s="281"/>
      <c r="Z48" t="e">
        <f>VLOOKUP(A48,#REF!,9,FALSE)</f>
        <v>#REF!</v>
      </c>
    </row>
    <row r="49" spans="1:26" ht="15.75" thickBot="1">
      <c r="A49" s="296" t="s">
        <v>549</v>
      </c>
      <c r="B49" s="103" t="s">
        <v>116</v>
      </c>
      <c r="C49" s="219">
        <v>45772</v>
      </c>
      <c r="D49" s="286"/>
      <c r="E49" s="273" t="s">
        <v>1752</v>
      </c>
      <c r="F49" s="286"/>
      <c r="G49" s="294" t="s">
        <v>1771</v>
      </c>
      <c r="H49" s="234"/>
      <c r="I49" s="234"/>
      <c r="J49" s="45"/>
      <c r="K49" s="208"/>
      <c r="L49" s="208"/>
      <c r="M49" s="208"/>
      <c r="N49" s="288"/>
      <c r="O49" s="289"/>
      <c r="P49" s="278" t="s">
        <v>1798</v>
      </c>
      <c r="Q49" s="279" t="s">
        <v>1771</v>
      </c>
      <c r="R49" s="132" t="s">
        <v>1789</v>
      </c>
      <c r="S49" s="132"/>
      <c r="T49" s="280"/>
      <c r="U49" s="281"/>
      <c r="V49" s="281"/>
      <c r="W49" s="281"/>
      <c r="X49" s="281"/>
      <c r="Y49" s="281"/>
      <c r="Z49" t="e">
        <f>VLOOKUP(A49,#REF!,9,FALSE)</f>
        <v>#REF!</v>
      </c>
    </row>
    <row r="50" spans="1:26" ht="15.75" thickBot="1">
      <c r="A50" s="296" t="s">
        <v>547</v>
      </c>
      <c r="B50" s="103" t="s">
        <v>116</v>
      </c>
      <c r="C50" s="219">
        <v>45772</v>
      </c>
      <c r="D50" s="286"/>
      <c r="E50" s="273" t="s">
        <v>1752</v>
      </c>
      <c r="F50" s="286"/>
      <c r="G50" s="294" t="s">
        <v>1771</v>
      </c>
      <c r="H50" s="234"/>
      <c r="I50" s="234"/>
      <c r="J50" s="45"/>
      <c r="K50" s="208"/>
      <c r="L50" s="208"/>
      <c r="M50" s="208"/>
      <c r="N50" s="288"/>
      <c r="O50" s="289"/>
      <c r="P50" s="278" t="s">
        <v>1798</v>
      </c>
      <c r="Q50" s="279" t="s">
        <v>1771</v>
      </c>
      <c r="R50" s="132" t="s">
        <v>1789</v>
      </c>
      <c r="S50" s="132"/>
      <c r="T50" s="280"/>
      <c r="U50" s="281"/>
      <c r="V50" s="281"/>
      <c r="W50" s="281"/>
      <c r="X50" s="281"/>
      <c r="Y50" s="281"/>
      <c r="Z50" t="e">
        <f>VLOOKUP(A50,#REF!,9,FALSE)</f>
        <v>#REF!</v>
      </c>
    </row>
    <row r="51" spans="1:26" ht="15.75" thickBot="1">
      <c r="A51" s="296" t="s">
        <v>553</v>
      </c>
      <c r="B51" s="103" t="e">
        <v>#N/A</v>
      </c>
      <c r="C51" s="219" t="e">
        <v>#N/A</v>
      </c>
      <c r="D51" s="286"/>
      <c r="E51" s="273" t="s">
        <v>1752</v>
      </c>
      <c r="F51" s="286"/>
      <c r="G51" s="294" t="s">
        <v>1771</v>
      </c>
      <c r="H51" s="234"/>
      <c r="I51" s="234"/>
      <c r="J51" s="45"/>
      <c r="K51" s="208"/>
      <c r="L51" s="208"/>
      <c r="M51" s="208"/>
      <c r="N51" s="288"/>
      <c r="O51" s="289"/>
      <c r="P51" s="278" t="s">
        <v>1798</v>
      </c>
      <c r="Q51" s="279" t="s">
        <v>1771</v>
      </c>
      <c r="R51" s="132" t="s">
        <v>1789</v>
      </c>
      <c r="S51" s="132"/>
      <c r="T51" s="280"/>
      <c r="U51" s="281"/>
      <c r="V51" s="281"/>
      <c r="W51" s="281"/>
      <c r="X51" s="281"/>
      <c r="Y51" s="281"/>
      <c r="Z51" t="e">
        <f>VLOOKUP(A51,#REF!,9,FALSE)</f>
        <v>#REF!</v>
      </c>
    </row>
    <row r="52" spans="1:26" ht="13.9" customHeight="1" thickBot="1">
      <c r="A52" s="296" t="s">
        <v>529</v>
      </c>
      <c r="B52" s="103" t="s">
        <v>116</v>
      </c>
      <c r="C52" s="219">
        <v>45925</v>
      </c>
      <c r="D52" s="286"/>
      <c r="E52" s="273" t="s">
        <v>1787</v>
      </c>
      <c r="F52" s="286"/>
      <c r="G52" s="287" t="s">
        <v>1750</v>
      </c>
      <c r="H52" s="234"/>
      <c r="I52" s="234"/>
      <c r="J52" s="45"/>
      <c r="K52" s="208"/>
      <c r="L52" s="208"/>
      <c r="M52" s="208"/>
      <c r="N52" s="288"/>
      <c r="O52" s="289"/>
      <c r="P52" s="278" t="s">
        <v>1788</v>
      </c>
      <c r="Q52" s="279" t="s">
        <v>64</v>
      </c>
      <c r="R52" s="132" t="s">
        <v>1789</v>
      </c>
      <c r="S52" s="132"/>
      <c r="T52" s="280"/>
      <c r="U52" s="281"/>
      <c r="V52" s="281"/>
      <c r="W52" s="281"/>
      <c r="X52" s="281"/>
      <c r="Y52" s="281"/>
      <c r="Z52" t="e">
        <f>VLOOKUP(A52,#REF!,9,FALSE)</f>
        <v>#REF!</v>
      </c>
    </row>
    <row r="53" spans="1:26" ht="15.75" thickBot="1">
      <c r="A53" s="296" t="s">
        <v>531</v>
      </c>
      <c r="B53" s="103" t="s">
        <v>116</v>
      </c>
      <c r="C53" s="219">
        <v>45925</v>
      </c>
      <c r="D53" s="286"/>
      <c r="E53" s="273" t="s">
        <v>1787</v>
      </c>
      <c r="F53" s="286"/>
      <c r="G53" s="287" t="s">
        <v>1750</v>
      </c>
      <c r="H53" s="234"/>
      <c r="I53" s="234"/>
      <c r="J53" s="45"/>
      <c r="K53" s="208"/>
      <c r="L53" s="208"/>
      <c r="M53" s="208"/>
      <c r="N53" s="288"/>
      <c r="O53" s="289"/>
      <c r="P53" s="278" t="s">
        <v>1788</v>
      </c>
      <c r="Q53" s="279" t="s">
        <v>64</v>
      </c>
      <c r="R53" s="132" t="s">
        <v>1789</v>
      </c>
      <c r="S53" s="132"/>
      <c r="T53" s="280"/>
      <c r="U53" s="281"/>
      <c r="V53" s="281"/>
      <c r="W53" s="281"/>
      <c r="X53" s="281"/>
      <c r="Y53" s="281"/>
      <c r="Z53" t="e">
        <f>VLOOKUP(A53,#REF!,9,FALSE)</f>
        <v>#REF!</v>
      </c>
    </row>
    <row r="54" spans="1:26" ht="15.75" thickBot="1">
      <c r="A54" s="296" t="s">
        <v>527</v>
      </c>
      <c r="B54" s="103" t="s">
        <v>116</v>
      </c>
      <c r="C54" s="219">
        <v>45925</v>
      </c>
      <c r="D54" s="286"/>
      <c r="E54" s="273" t="s">
        <v>1787</v>
      </c>
      <c r="F54" s="286"/>
      <c r="G54" s="287" t="s">
        <v>1750</v>
      </c>
      <c r="H54" s="234"/>
      <c r="I54" s="234"/>
      <c r="J54" s="45"/>
      <c r="K54" s="208"/>
      <c r="L54" s="208"/>
      <c r="M54" s="208"/>
      <c r="N54" s="288"/>
      <c r="O54" s="289"/>
      <c r="P54" s="278" t="s">
        <v>1788</v>
      </c>
      <c r="Q54" s="279" t="s">
        <v>64</v>
      </c>
      <c r="R54" s="132" t="s">
        <v>1789</v>
      </c>
      <c r="S54" s="132"/>
      <c r="T54" s="280"/>
      <c r="U54" s="281"/>
      <c r="V54" s="281"/>
      <c r="W54" s="281"/>
      <c r="X54" s="281"/>
      <c r="Y54" s="281"/>
      <c r="Z54" t="e">
        <f>VLOOKUP(A54,#REF!,9,FALSE)</f>
        <v>#REF!</v>
      </c>
    </row>
    <row r="55" spans="1:26" ht="15.75" thickBot="1">
      <c r="A55" s="296" t="s">
        <v>565</v>
      </c>
      <c r="B55" s="103" t="s">
        <v>116</v>
      </c>
      <c r="C55" s="219">
        <v>45862</v>
      </c>
      <c r="D55" s="286"/>
      <c r="E55" s="273" t="s">
        <v>1787</v>
      </c>
      <c r="F55" s="286"/>
      <c r="G55" s="287" t="s">
        <v>1750</v>
      </c>
      <c r="H55" s="234"/>
      <c r="I55" s="234"/>
      <c r="J55" s="45"/>
      <c r="K55" s="208"/>
      <c r="L55" s="208"/>
      <c r="M55" s="208"/>
      <c r="N55" s="288"/>
      <c r="O55" s="289"/>
      <c r="P55" s="278" t="s">
        <v>1761</v>
      </c>
      <c r="Q55" s="279" t="s">
        <v>58</v>
      </c>
      <c r="R55" s="132" t="s">
        <v>1792</v>
      </c>
      <c r="S55" s="132"/>
      <c r="T55" s="280"/>
      <c r="U55" s="281"/>
      <c r="V55" s="281"/>
      <c r="W55" s="281"/>
      <c r="X55" s="281"/>
      <c r="Y55" s="281"/>
      <c r="Z55" t="e">
        <f>VLOOKUP(A55,#REF!,9,FALSE)</f>
        <v>#REF!</v>
      </c>
    </row>
    <row r="56" spans="1:26" ht="15.75" thickBot="1">
      <c r="A56" s="296" t="s">
        <v>128</v>
      </c>
      <c r="B56" s="103"/>
      <c r="C56" s="219" t="e">
        <v>#N/A</v>
      </c>
      <c r="D56" s="286"/>
      <c r="E56" s="273" t="s">
        <v>1787</v>
      </c>
      <c r="F56" s="286"/>
      <c r="G56" s="287" t="s">
        <v>1750</v>
      </c>
      <c r="H56" s="234"/>
      <c r="I56" s="234"/>
      <c r="J56" s="45"/>
      <c r="K56" s="208"/>
      <c r="L56" s="208"/>
      <c r="M56" s="208"/>
      <c r="N56" s="288"/>
      <c r="O56" s="289"/>
      <c r="P56" s="278" t="s">
        <v>1799</v>
      </c>
      <c r="Q56" s="279" t="s">
        <v>58</v>
      </c>
      <c r="R56" s="132" t="s">
        <v>1792</v>
      </c>
      <c r="S56" s="132"/>
      <c r="T56" s="280"/>
      <c r="U56" s="281"/>
      <c r="V56" s="281"/>
      <c r="W56" s="281"/>
      <c r="X56" s="281"/>
      <c r="Y56" s="281"/>
      <c r="Z56" t="e">
        <f>VLOOKUP(A56,#REF!,9,FALSE)</f>
        <v>#REF!</v>
      </c>
    </row>
    <row r="57" spans="1:26" ht="15.75" thickBot="1">
      <c r="A57" s="163" t="s">
        <v>1800</v>
      </c>
      <c r="B57" s="103" t="s">
        <v>116</v>
      </c>
      <c r="C57" s="298">
        <v>45787</v>
      </c>
      <c r="D57" s="286"/>
      <c r="E57" s="273" t="s">
        <v>1787</v>
      </c>
      <c r="F57" s="286"/>
      <c r="G57" s="287" t="s">
        <v>1750</v>
      </c>
      <c r="H57" s="234"/>
      <c r="I57" s="234"/>
      <c r="J57" s="45"/>
      <c r="K57" s="208"/>
      <c r="L57" s="208"/>
      <c r="M57" s="208"/>
      <c r="N57" s="288"/>
      <c r="O57" s="289"/>
      <c r="P57" s="278" t="s">
        <v>1761</v>
      </c>
      <c r="Q57" s="279" t="s">
        <v>1801</v>
      </c>
      <c r="R57" s="132" t="s">
        <v>1792</v>
      </c>
      <c r="S57" s="132"/>
      <c r="T57" s="280"/>
      <c r="U57" s="281"/>
      <c r="V57" s="281"/>
      <c r="W57" s="281"/>
      <c r="X57" s="281"/>
      <c r="Y57" s="281"/>
      <c r="Z57" t="e">
        <f>VLOOKUP(A57,#REF!,9,FALSE)</f>
        <v>#REF!</v>
      </c>
    </row>
    <row r="58" spans="1:26" ht="15.75" thickBot="1">
      <c r="A58" s="640" t="s">
        <v>527</v>
      </c>
      <c r="B58" s="103" t="s">
        <v>50</v>
      </c>
      <c r="C58" s="300">
        <v>45807</v>
      </c>
      <c r="D58" s="286"/>
      <c r="E58" s="273" t="s">
        <v>1752</v>
      </c>
      <c r="F58" s="286"/>
      <c r="G58" s="287" t="s">
        <v>1750</v>
      </c>
      <c r="H58" s="234"/>
      <c r="I58" s="234"/>
      <c r="J58" s="45"/>
      <c r="K58" s="208"/>
      <c r="L58" s="208"/>
      <c r="M58" s="208"/>
      <c r="N58" s="288"/>
      <c r="O58" s="289"/>
      <c r="P58" s="291"/>
      <c r="Q58" s="279" t="s">
        <v>64</v>
      </c>
      <c r="R58" s="132" t="s">
        <v>1789</v>
      </c>
      <c r="S58" s="132"/>
      <c r="T58" s="280"/>
      <c r="U58" s="281"/>
      <c r="V58" s="281"/>
      <c r="W58" s="281"/>
      <c r="X58" s="281"/>
      <c r="Y58" s="281"/>
    </row>
    <row r="59" spans="1:26" ht="15.75" thickBot="1">
      <c r="A59" s="640" t="s">
        <v>529</v>
      </c>
      <c r="B59" s="103" t="s">
        <v>116</v>
      </c>
      <c r="C59" s="300">
        <v>45772</v>
      </c>
      <c r="D59" s="286"/>
      <c r="E59" s="273" t="s">
        <v>1752</v>
      </c>
      <c r="F59" s="286"/>
      <c r="G59" s="287" t="s">
        <v>1750</v>
      </c>
      <c r="H59" s="234"/>
      <c r="I59" s="234"/>
      <c r="J59" s="45"/>
      <c r="K59" s="208"/>
      <c r="L59" s="208"/>
      <c r="M59" s="208"/>
      <c r="N59" s="288"/>
      <c r="O59" s="289"/>
      <c r="P59" s="291"/>
      <c r="Q59" s="279" t="s">
        <v>64</v>
      </c>
      <c r="R59" s="132" t="s">
        <v>1789</v>
      </c>
      <c r="S59" s="132"/>
      <c r="T59" s="280"/>
      <c r="U59" s="281"/>
      <c r="V59" s="281"/>
      <c r="W59" s="281"/>
      <c r="X59" s="281"/>
      <c r="Y59" s="281"/>
    </row>
    <row r="60" spans="1:26" ht="15.75" thickBot="1">
      <c r="A60" s="641" t="s">
        <v>531</v>
      </c>
      <c r="B60" s="103" t="s">
        <v>116</v>
      </c>
      <c r="C60" s="300">
        <v>45772</v>
      </c>
      <c r="D60" s="286"/>
      <c r="E60" s="273" t="s">
        <v>1752</v>
      </c>
      <c r="F60" s="286"/>
      <c r="G60" s="287" t="s">
        <v>1750</v>
      </c>
      <c r="H60" s="234"/>
      <c r="I60" s="234"/>
      <c r="J60" s="45"/>
      <c r="K60" s="208"/>
      <c r="L60" s="208"/>
      <c r="M60" s="208"/>
      <c r="N60" s="288"/>
      <c r="O60" s="289"/>
      <c r="P60" s="291"/>
      <c r="Q60" s="279" t="s">
        <v>64</v>
      </c>
      <c r="R60" s="132" t="s">
        <v>1789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1781</v>
      </c>
      <c r="B70" s="305">
        <f>SUM(K4:K9)</f>
        <v>0</v>
      </c>
      <c r="C70" s="306" t="e">
        <f>B70/B73</f>
        <v>#DIV/0!</v>
      </c>
    </row>
    <row r="71" spans="1:25">
      <c r="A71" s="304" t="s">
        <v>1679</v>
      </c>
      <c r="B71" s="305">
        <f>SUM(L4:L9)</f>
        <v>0</v>
      </c>
      <c r="C71" s="306" t="e">
        <f>B71/B73</f>
        <v>#DIV/0!</v>
      </c>
    </row>
    <row r="72" spans="1:25">
      <c r="A72" s="304" t="s">
        <v>1782</v>
      </c>
      <c r="B72" s="305">
        <f>SUM(M4:M9)</f>
        <v>0</v>
      </c>
      <c r="C72" s="306" t="e">
        <f>B72/B73</f>
        <v>#DIV/0!</v>
      </c>
    </row>
    <row r="73" spans="1:25">
      <c r="A73" s="304" t="s">
        <v>879</v>
      </c>
      <c r="B73" s="305">
        <f>SUM(B70:B72)</f>
        <v>0</v>
      </c>
      <c r="C73" s="283"/>
    </row>
    <row r="80" spans="1:25">
      <c r="A80" t="s">
        <v>1802</v>
      </c>
    </row>
    <row r="81" spans="1:1">
      <c r="A81" t="s">
        <v>1803</v>
      </c>
    </row>
    <row r="82" spans="1:1">
      <c r="A82" t="s">
        <v>1788</v>
      </c>
    </row>
    <row r="83" spans="1:1">
      <c r="A83" t="s">
        <v>1804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C0F6064-A813-445A-B919-5007D2CD4D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2025-11-21T17:10:25Z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