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34" documentId="8_{E14B221E-02E2-46A3-8CEC-C736815F2DD5}" xr6:coauthVersionLast="47" xr6:coauthVersionMax="47" xr10:uidLastSave="{7E81F392-11D5-4A69-B312-612B497B19AB}"/>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36" r:id="rId12"/>
    <pivotCache cacheId="137" r:id="rId13"/>
    <pivotCache cacheId="138" r:id="rId14"/>
    <pivotCache cacheId="139" r:id="rId15"/>
    <pivotCache cacheId="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<sst xmlns="http://schemas.openxmlformats.org/spreadsheetml/2006/main" count="15517" uniqueCount="2007">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</sst>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3" fontId="5" fillId="22" borderId="20" xfId="0" applyNumberFormat="1" applyFont="1" applyFill="1" applyBorder="1" applyAlignment="1">
      <alignment horizontal="center"/>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0" fillId="18"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X15" sqref="X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6">
        <v>222</v>
      </c>
      <c r="X4" s="485">
        <f t="shared" si="0"/>
        <v>3574</v>
      </c>
      <c r="Y4" s="681">
        <f t="shared" si="1"/>
        <v>5.8482613277133826E-2</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5">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4">
        <v>4254</v>
      </c>
      <c r="X62" s="485">
        <f>SUM(V62-W62)</f>
        <v>3811</v>
      </c>
      <c r="Y62" s="889">
        <f t="shared" si="4"/>
        <v>0.52746435213887166</v>
      </c>
      <c r="Z62" s="492">
        <v>45985</v>
      </c>
      <c r="AA62" s="366">
        <v>0</v>
      </c>
      <c r="AB62" s="366">
        <v>0</v>
      </c>
      <c r="AC62" s="485">
        <v>0</v>
      </c>
      <c r="AD62" s="487"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5">
        <v>6358</v>
      </c>
      <c r="X103" s="485">
        <f t="shared" si="6"/>
        <v>768</v>
      </c>
      <c r="Y103" s="681">
        <f t="shared" si="5"/>
        <v>0.89222565253999442</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T34" activePane="topRight" state="frozen"/>
      <selection pane="topRight" activeCell="U42" sqref="U42: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1233">
        <v>45999</v>
      </c>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1233">
        <v>45999</v>
      </c>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1233">
        <v>45999</v>
      </c>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1233">
        <v>45999</v>
      </c>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1233">
        <v>45999</v>
      </c>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1233">
        <v>45999</v>
      </c>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Q51:U52 Q46:U47 L1:L44 L51:L52 L46:L47 Q31:Q44 R31:U36 Q1:U30 Q49:U49 L49 D40:D54 R38:T39 U37:U39 U42:U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3">
        <v>0.99</v>
      </c>
      <c r="V83" s="168">
        <v>45722</v>
      </c>
      <c r="W83" s="145">
        <v>1</v>
      </c>
      <c r="X83" s="145">
        <v>1</v>
      </c>
      <c r="Y83" s="145">
        <v>1</v>
      </c>
      <c r="Z83" s="168">
        <v>45917</v>
      </c>
      <c r="AA83" s="149" t="s">
        <v>827</v>
      </c>
    </row>
    <row r="84" spans="1:27" ht="39.75" customHeight="1">
      <c r="A84" s="1215"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4">
        <v>0.99</v>
      </c>
      <c r="V84" s="54">
        <v>45756</v>
      </c>
      <c r="W84" s="676">
        <v>1</v>
      </c>
      <c r="X84" s="676">
        <v>1</v>
      </c>
      <c r="Y84" s="22">
        <v>1</v>
      </c>
      <c r="Z84" s="54"/>
      <c r="AA84" s="1221" t="s">
        <v>830</v>
      </c>
    </row>
    <row r="85" spans="1:27" ht="39.75" customHeight="1">
      <c r="A85" s="1215" t="s">
        <v>831</v>
      </c>
      <c r="B85" s="1216" t="s">
        <v>50</v>
      </c>
      <c r="C85" s="943">
        <v>45688</v>
      </c>
      <c r="D85" s="943" t="s">
        <v>593</v>
      </c>
      <c r="E85" s="943">
        <v>45695</v>
      </c>
      <c r="F85" s="942" t="s">
        <v>61</v>
      </c>
      <c r="G85" s="1217"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4">
        <v>1.1100000000000001</v>
      </c>
      <c r="V85" s="125">
        <v>45750</v>
      </c>
      <c r="W85" s="71">
        <v>1</v>
      </c>
      <c r="X85" s="71">
        <v>1</v>
      </c>
      <c r="Y85" s="22">
        <v>1</v>
      </c>
      <c r="Z85" s="54"/>
      <c r="AA85" s="1222" t="s">
        <v>833</v>
      </c>
    </row>
    <row r="86" spans="1:27" ht="39.75" customHeight="1">
      <c r="A86" s="1215" t="s">
        <v>834</v>
      </c>
      <c r="B86" s="1045" t="s">
        <v>50</v>
      </c>
      <c r="C86" s="1218">
        <v>45688</v>
      </c>
      <c r="D86" s="1037" t="s">
        <v>71</v>
      </c>
      <c r="E86" s="1218">
        <v>45686</v>
      </c>
      <c r="F86" s="1218" t="s">
        <v>61</v>
      </c>
      <c r="G86" s="1219" t="s">
        <v>835</v>
      </c>
      <c r="H86" s="1026">
        <v>88</v>
      </c>
      <c r="I86" s="1025" t="s">
        <v>609</v>
      </c>
      <c r="J86" s="1026" t="s">
        <v>63</v>
      </c>
      <c r="K86" s="1220">
        <v>45706</v>
      </c>
      <c r="L86" s="1025" t="s">
        <v>57</v>
      </c>
      <c r="M86" s="439">
        <v>69212.5</v>
      </c>
      <c r="N86" s="439">
        <v>70500</v>
      </c>
      <c r="O86" s="679" t="s">
        <v>57</v>
      </c>
      <c r="P86" s="1116" t="s">
        <v>235</v>
      </c>
      <c r="Q86" s="615">
        <v>45679</v>
      </c>
      <c r="R86" s="1027">
        <v>5661</v>
      </c>
      <c r="S86" s="107">
        <v>5752</v>
      </c>
      <c r="T86" s="31">
        <v>0</v>
      </c>
      <c r="U86" s="1224">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1949</v>
      </c>
      <c r="C1" s="1229"/>
      <c r="D1" s="574"/>
      <c r="E1" s="1229" t="s">
        <v>1950</v>
      </c>
      <c r="F1" s="1229"/>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1976</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B51EF63-38D4-4311-9749-5BC0D98303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2025-12-08T13:50:31Z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