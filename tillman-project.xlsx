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29" documentId="8_{E14B221E-02E2-46A3-8CEC-C736815F2DD5}" xr6:coauthVersionLast="47" xr6:coauthVersionMax="47" xr10:uidLastSave="{9BF9BD27-AE34-4F05-AD71-CB193B25E92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86" r:id="rId12"/>
    <pivotCache cacheId="887" r:id="rId13"/>
    <pivotCache cacheId="888" r:id="rId14"/>
    <pivotCache cacheId="889" r:id="rId15"/>
    <pivotCache cacheId="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<sst xmlns="http://schemas.openxmlformats.org/spreadsheetml/2006/main" count="15231" uniqueCount="1921">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</sst>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 activePane="topRight" state="frozen"/>
      <selection pane="topRight" activeCell="AD24" sqref="AD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91">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AC1" activePane="topRight" state="frozen"/>
      <selection pane="topRight" activeCell="AD50" sqref="AD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473</v>
      </c>
    </row>
    <row r="48" spans="1:30" ht="39.75" customHeight="1">
      <c r="A48" s="1145" t="s">
        <v>474</v>
      </c>
      <c r="B48" s="791" t="s">
        <v>50</v>
      </c>
      <c r="C48" s="926">
        <v>45991</v>
      </c>
      <c r="D48" s="1146" t="s">
        <v>475</v>
      </c>
      <c r="E48" s="793">
        <v>45735</v>
      </c>
      <c r="F48" s="792" t="s">
        <v>61</v>
      </c>
      <c r="G48" s="795" t="s">
        <v>476</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477</v>
      </c>
    </row>
    <row r="49" spans="1:30" ht="39.75" customHeight="1">
      <c r="A49" s="965" t="s">
        <v>478</v>
      </c>
      <c r="B49" s="849" t="s">
        <v>50</v>
      </c>
      <c r="C49" s="481">
        <v>45991</v>
      </c>
      <c r="D49" s="481" t="s">
        <v>71</v>
      </c>
      <c r="E49" s="490">
        <v>45748</v>
      </c>
      <c r="F49" s="489" t="s">
        <v>61</v>
      </c>
      <c r="G49" s="850" t="s">
        <v>479</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480</v>
      </c>
    </row>
    <row r="50" spans="1:30" ht="39.75" customHeight="1">
      <c r="A50" s="1145" t="s">
        <v>481</v>
      </c>
      <c r="B50" s="810" t="s">
        <v>50</v>
      </c>
      <c r="C50" s="926">
        <v>45991</v>
      </c>
      <c r="D50" s="1162" t="s">
        <v>71</v>
      </c>
      <c r="E50" s="57">
        <v>45779</v>
      </c>
      <c r="F50" s="792" t="s">
        <v>61</v>
      </c>
      <c r="G50" s="811" t="s">
        <v>482</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483</v>
      </c>
    </row>
    <row r="51" spans="1:30" ht="39.75" customHeight="1">
      <c r="A51" s="1145" t="s">
        <v>484</v>
      </c>
      <c r="B51" s="810" t="s">
        <v>50</v>
      </c>
      <c r="C51" s="926">
        <v>46008</v>
      </c>
      <c r="D51" s="1162" t="s">
        <v>485</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486</v>
      </c>
      <c r="B52" s="810" t="s">
        <v>50</v>
      </c>
      <c r="C52" s="926">
        <v>46008</v>
      </c>
      <c r="D52" s="1162" t="s">
        <v>487</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488</v>
      </c>
      <c r="B2" s="507" t="s">
        <v>224</v>
      </c>
      <c r="C2" s="481">
        <v>45868</v>
      </c>
      <c r="D2" s="489" t="s">
        <v>489</v>
      </c>
      <c r="E2" s="490">
        <v>45716</v>
      </c>
      <c r="F2" s="489" t="s">
        <v>236</v>
      </c>
      <c r="G2" s="614" t="s">
        <v>490</v>
      </c>
      <c r="H2" s="492">
        <v>0</v>
      </c>
      <c r="I2" s="498" t="s">
        <v>338</v>
      </c>
      <c r="J2" s="492" t="s">
        <v>63</v>
      </c>
      <c r="K2" s="503"/>
      <c r="L2" s="481">
        <v>45716</v>
      </c>
      <c r="M2" s="492" t="s">
        <v>57</v>
      </c>
      <c r="N2" s="560">
        <v>64932.55</v>
      </c>
      <c r="O2" s="492" t="s">
        <v>57</v>
      </c>
      <c r="P2" s="828" t="s">
        <v>339</v>
      </c>
      <c r="Q2" s="493">
        <v>45721</v>
      </c>
      <c r="R2" s="493"/>
      <c r="S2" s="493"/>
      <c r="T2" s="493"/>
      <c r="U2" s="501" t="s">
        <v>491</v>
      </c>
      <c r="V2" s="41">
        <v>5151</v>
      </c>
      <c r="W2" s="763">
        <v>5207</v>
      </c>
      <c r="X2" s="107">
        <f>SUM(V2-W2)</f>
        <v>-56</v>
      </c>
      <c r="Y2" s="22">
        <f>IFERROR($W2/$V2, 0)</f>
        <v>1.0108716754028344</v>
      </c>
      <c r="Z2" s="698">
        <v>45748</v>
      </c>
      <c r="AA2" s="366">
        <v>1</v>
      </c>
      <c r="AB2" s="366">
        <v>1</v>
      </c>
      <c r="AC2" s="41">
        <v>0</v>
      </c>
      <c r="AD2" s="906"/>
    </row>
    <row r="3" spans="1:30" ht="39.75" customHeight="1">
      <c r="A3" s="916" t="s">
        <v>492</v>
      </c>
      <c r="B3" s="507" t="s">
        <v>224</v>
      </c>
      <c r="C3" s="481">
        <v>45991</v>
      </c>
      <c r="D3" s="490" t="s">
        <v>397</v>
      </c>
      <c r="E3" s="442">
        <v>45707</v>
      </c>
      <c r="F3" s="489" t="s">
        <v>236</v>
      </c>
      <c r="G3" s="508" t="s">
        <v>493</v>
      </c>
      <c r="H3" s="498">
        <v>0</v>
      </c>
      <c r="I3" s="498" t="s">
        <v>338</v>
      </c>
      <c r="J3" s="498" t="s">
        <v>63</v>
      </c>
      <c r="K3" s="498"/>
      <c r="L3" s="490">
        <v>45708</v>
      </c>
      <c r="M3" s="498" t="s">
        <v>57</v>
      </c>
      <c r="N3" s="561">
        <v>87944.4</v>
      </c>
      <c r="O3" s="498" t="s">
        <v>57</v>
      </c>
      <c r="P3" s="828" t="s">
        <v>339</v>
      </c>
      <c r="Q3" s="493">
        <v>45709</v>
      </c>
      <c r="R3" s="493"/>
      <c r="S3" s="493"/>
      <c r="T3" s="493"/>
      <c r="U3" s="501" t="s">
        <v>491</v>
      </c>
      <c r="V3" s="509">
        <v>7008</v>
      </c>
      <c r="W3" s="762">
        <v>7258</v>
      </c>
      <c r="X3" s="107">
        <f t="shared" ref="X3" si="0">SUM(V3-W3)</f>
        <v>-250</v>
      </c>
      <c r="Y3" s="22">
        <f t="shared" ref="Y3" si="1">IFERROR($W3/$V3, 0)</f>
        <v>1.0356735159817352</v>
      </c>
      <c r="Z3" s="698">
        <v>45747</v>
      </c>
      <c r="AA3" s="487">
        <v>1</v>
      </c>
      <c r="AB3" s="487">
        <v>1</v>
      </c>
      <c r="AC3" s="837">
        <v>0</v>
      </c>
      <c r="AD3" s="907" t="s">
        <v>494</v>
      </c>
    </row>
    <row r="4" spans="1:30" ht="39.75" customHeight="1">
      <c r="A4" s="870" t="s">
        <v>495</v>
      </c>
      <c r="B4" s="858" t="s">
        <v>224</v>
      </c>
      <c r="C4" s="490">
        <v>45807</v>
      </c>
      <c r="D4" s="479" t="s">
        <v>489</v>
      </c>
      <c r="E4" s="489" t="s">
        <v>52</v>
      </c>
      <c r="F4" s="479" t="s">
        <v>236</v>
      </c>
      <c r="G4" s="850" t="s">
        <v>496</v>
      </c>
      <c r="H4" s="483">
        <v>84</v>
      </c>
      <c r="I4" s="855" t="s">
        <v>338</v>
      </c>
      <c r="J4" s="492" t="s">
        <v>63</v>
      </c>
      <c r="K4" s="871"/>
      <c r="L4" s="481">
        <v>45716</v>
      </c>
      <c r="M4" s="492" t="s">
        <v>57</v>
      </c>
      <c r="N4" s="559">
        <v>2812.95</v>
      </c>
      <c r="O4" s="492" t="s">
        <v>57</v>
      </c>
      <c r="P4" s="828" t="s">
        <v>339</v>
      </c>
      <c r="Q4" s="493">
        <v>45792</v>
      </c>
      <c r="R4" s="493">
        <v>45947</v>
      </c>
      <c r="S4" s="363"/>
      <c r="T4" s="363"/>
      <c r="U4" s="501" t="s">
        <v>491</v>
      </c>
      <c r="V4" s="41">
        <v>285</v>
      </c>
      <c r="W4" s="872">
        <v>285</v>
      </c>
      <c r="X4" s="486">
        <f>SUM(V4-W4)</f>
        <v>0</v>
      </c>
      <c r="Y4" s="682">
        <f>IFERROR($W4/$V4, 0)</f>
        <v>1</v>
      </c>
      <c r="Z4" s="493">
        <v>45798</v>
      </c>
      <c r="AA4" s="682">
        <v>1</v>
      </c>
      <c r="AB4" s="682">
        <v>1</v>
      </c>
      <c r="AC4" s="486">
        <v>3451</v>
      </c>
      <c r="AD4" s="684"/>
    </row>
    <row r="5" spans="1:30" ht="39.75" customHeight="1">
      <c r="A5" s="870" t="s">
        <v>497</v>
      </c>
      <c r="B5" s="507" t="s">
        <v>224</v>
      </c>
      <c r="C5" s="481">
        <v>45991</v>
      </c>
      <c r="D5" s="489" t="s">
        <v>397</v>
      </c>
      <c r="E5" s="490">
        <v>45866</v>
      </c>
      <c r="F5" s="489" t="s">
        <v>236</v>
      </c>
      <c r="G5" s="491" t="s">
        <v>498</v>
      </c>
      <c r="H5" s="492">
        <v>0</v>
      </c>
      <c r="I5" s="498" t="s">
        <v>338</v>
      </c>
      <c r="J5" s="492" t="s">
        <v>63</v>
      </c>
      <c r="K5" s="503"/>
      <c r="L5" s="490">
        <v>45863</v>
      </c>
      <c r="M5" s="492" t="s">
        <v>57</v>
      </c>
      <c r="N5" s="560">
        <v>143407.25</v>
      </c>
      <c r="O5" s="492" t="s">
        <v>57</v>
      </c>
      <c r="P5" s="828" t="s">
        <v>339</v>
      </c>
      <c r="Q5" s="493">
        <v>45863</v>
      </c>
      <c r="R5" s="493"/>
      <c r="S5" s="493"/>
      <c r="T5" s="493"/>
      <c r="U5" s="501" t="s">
        <v>491</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499</v>
      </c>
      <c r="B6" s="507" t="s">
        <v>224</v>
      </c>
      <c r="C6" s="481">
        <v>45991</v>
      </c>
      <c r="D6" s="489" t="s">
        <v>71</v>
      </c>
      <c r="E6" s="490">
        <v>45880</v>
      </c>
      <c r="F6" s="489" t="s">
        <v>225</v>
      </c>
      <c r="G6" s="491" t="s">
        <v>500</v>
      </c>
      <c r="H6" s="492">
        <v>0</v>
      </c>
      <c r="I6" s="498" t="s">
        <v>338</v>
      </c>
      <c r="J6" s="492" t="s">
        <v>63</v>
      </c>
      <c r="K6" s="503"/>
      <c r="L6" s="490">
        <v>45881</v>
      </c>
      <c r="M6" s="492" t="s">
        <v>57</v>
      </c>
      <c r="N6" s="560">
        <v>4815.6499999999996</v>
      </c>
      <c r="O6" s="492" t="s">
        <v>57</v>
      </c>
      <c r="P6" s="828" t="s">
        <v>339</v>
      </c>
      <c r="Q6" s="493">
        <v>45881</v>
      </c>
      <c r="R6" s="493">
        <v>45947</v>
      </c>
      <c r="S6" s="493"/>
      <c r="T6" s="493"/>
      <c r="U6" s="501" t="s">
        <v>491</v>
      </c>
      <c r="V6" s="41">
        <v>321</v>
      </c>
      <c r="W6" s="763">
        <v>367</v>
      </c>
      <c r="X6" s="107">
        <f>SUM(V6-W6)</f>
        <v>-46</v>
      </c>
      <c r="Y6" s="22">
        <f>IFERROR($W6/$V6, 0)</f>
        <v>1.1433021806853583</v>
      </c>
      <c r="Z6" s="698">
        <v>45905</v>
      </c>
      <c r="AA6" s="366">
        <v>0</v>
      </c>
      <c r="AB6" s="366">
        <v>0</v>
      </c>
      <c r="AC6" s="41">
        <v>0</v>
      </c>
      <c r="AD6" s="532"/>
    </row>
    <row r="7" spans="1:30" ht="39.75" customHeight="1">
      <c r="A7" s="979" t="s">
        <v>501</v>
      </c>
      <c r="B7" s="861" t="s">
        <v>224</v>
      </c>
      <c r="C7" s="862">
        <v>45955</v>
      </c>
      <c r="D7" s="863" t="s">
        <v>159</v>
      </c>
      <c r="E7" s="863">
        <v>45919</v>
      </c>
      <c r="F7" s="863" t="s">
        <v>246</v>
      </c>
      <c r="G7" s="864" t="s">
        <v>502</v>
      </c>
      <c r="H7" s="405">
        <v>0</v>
      </c>
      <c r="I7" s="865" t="s">
        <v>338</v>
      </c>
      <c r="J7" s="405" t="s">
        <v>63</v>
      </c>
      <c r="K7" s="405"/>
      <c r="L7" s="863" t="s">
        <v>52</v>
      </c>
      <c r="M7" s="405" t="s">
        <v>57</v>
      </c>
      <c r="N7" s="866">
        <v>4646.75</v>
      </c>
      <c r="O7" s="405" t="s">
        <v>93</v>
      </c>
      <c r="P7" s="952" t="s">
        <v>339</v>
      </c>
      <c r="Q7" s="615"/>
      <c r="R7" s="615">
        <v>45947</v>
      </c>
      <c r="S7" s="615"/>
      <c r="T7" s="615"/>
      <c r="U7" s="501" t="s">
        <v>491</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503</v>
      </c>
      <c r="B8" s="479" t="s">
        <v>114</v>
      </c>
      <c r="C8" s="490">
        <v>45960</v>
      </c>
      <c r="D8" s="481" t="s">
        <v>71</v>
      </c>
      <c r="E8" s="490">
        <v>45918</v>
      </c>
      <c r="F8" s="479" t="s">
        <v>115</v>
      </c>
      <c r="G8" s="50" t="s">
        <v>504</v>
      </c>
      <c r="H8" s="1058">
        <v>0</v>
      </c>
      <c r="I8" s="681" t="s">
        <v>338</v>
      </c>
      <c r="J8" s="483" t="s">
        <v>63</v>
      </c>
      <c r="K8" s="483"/>
      <c r="L8" s="490">
        <v>45918</v>
      </c>
      <c r="M8" s="492" t="s">
        <v>57</v>
      </c>
      <c r="N8" s="560">
        <v>9611.9500000000007</v>
      </c>
      <c r="O8" s="492" t="s">
        <v>57</v>
      </c>
      <c r="P8" s="828" t="s">
        <v>339</v>
      </c>
      <c r="Q8" s="493">
        <v>45918</v>
      </c>
      <c r="R8" s="493"/>
      <c r="S8" s="493"/>
      <c r="T8" s="493"/>
      <c r="U8" s="501" t="s">
        <v>491</v>
      </c>
      <c r="V8" s="41">
        <v>807</v>
      </c>
      <c r="W8" s="763">
        <v>896</v>
      </c>
      <c r="X8" s="107">
        <f t="shared" si="4"/>
        <v>-89</v>
      </c>
      <c r="Y8" s="677">
        <f t="shared" si="5"/>
        <v>1.110285006195787</v>
      </c>
      <c r="Z8" s="698">
        <v>45938</v>
      </c>
      <c r="AA8" s="682">
        <v>1</v>
      </c>
      <c r="AB8" s="682">
        <v>1</v>
      </c>
      <c r="AC8" s="662">
        <v>0</v>
      </c>
      <c r="AD8" s="488" t="s">
        <v>505</v>
      </c>
    </row>
    <row r="9" spans="1:30" ht="39.75" customHeight="1">
      <c r="A9" s="873" t="s">
        <v>506</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491</v>
      </c>
      <c r="V9" s="41">
        <v>3566</v>
      </c>
      <c r="W9" s="763">
        <v>3704</v>
      </c>
      <c r="X9" s="107">
        <f t="shared" si="4"/>
        <v>-138</v>
      </c>
      <c r="Y9" s="22">
        <f t="shared" si="5"/>
        <v>1.0386988222097588</v>
      </c>
      <c r="Z9" s="698">
        <v>45904</v>
      </c>
      <c r="AA9" s="366">
        <v>1</v>
      </c>
      <c r="AB9" s="366">
        <v>1</v>
      </c>
      <c r="AC9" s="662">
        <v>0</v>
      </c>
      <c r="AD9" s="532" t="s">
        <v>507</v>
      </c>
    </row>
    <row r="10" spans="1:30" ht="39.75" customHeight="1">
      <c r="A10" s="873" t="s">
        <v>508</v>
      </c>
      <c r="B10" s="479" t="s">
        <v>114</v>
      </c>
      <c r="C10" s="490">
        <v>45930</v>
      </c>
      <c r="D10" s="481" t="s">
        <v>159</v>
      </c>
      <c r="E10" s="481">
        <v>45896</v>
      </c>
      <c r="F10" s="479" t="s">
        <v>140</v>
      </c>
      <c r="G10" s="479" t="s">
        <v>509</v>
      </c>
      <c r="H10" s="483">
        <v>66</v>
      </c>
      <c r="I10" s="483" t="s">
        <v>338</v>
      </c>
      <c r="J10" s="483" t="s">
        <v>63</v>
      </c>
      <c r="K10" s="483"/>
      <c r="L10" s="481">
        <v>45897</v>
      </c>
      <c r="M10" s="483" t="s">
        <v>57</v>
      </c>
      <c r="N10" s="559">
        <v>44896.1</v>
      </c>
      <c r="O10" s="483" t="s">
        <v>57</v>
      </c>
      <c r="P10" s="828" t="s">
        <v>339</v>
      </c>
      <c r="Q10" s="485">
        <v>45897</v>
      </c>
      <c r="R10" s="496"/>
      <c r="S10" s="496"/>
      <c r="T10" s="496"/>
      <c r="U10" s="501" t="s">
        <v>491</v>
      </c>
      <c r="V10" s="486">
        <v>2385</v>
      </c>
      <c r="W10" s="763">
        <v>2385</v>
      </c>
      <c r="X10" s="107">
        <f t="shared" si="4"/>
        <v>0</v>
      </c>
      <c r="Y10" s="22">
        <f t="shared" si="5"/>
        <v>1</v>
      </c>
      <c r="Z10" s="698">
        <v>45918</v>
      </c>
      <c r="AA10" s="366">
        <v>1</v>
      </c>
      <c r="AB10" s="366">
        <v>1</v>
      </c>
      <c r="AC10" s="662">
        <v>0</v>
      </c>
      <c r="AD10" s="427" t="s">
        <v>510</v>
      </c>
    </row>
    <row r="11" spans="1:30" ht="39.75" customHeight="1">
      <c r="A11" s="873" t="s">
        <v>511</v>
      </c>
      <c r="B11" s="479" t="s">
        <v>114</v>
      </c>
      <c r="C11" s="490">
        <v>45930</v>
      </c>
      <c r="D11" s="481" t="s">
        <v>159</v>
      </c>
      <c r="E11" s="659">
        <v>45910</v>
      </c>
      <c r="F11" s="479" t="s">
        <v>115</v>
      </c>
      <c r="G11" s="479" t="s">
        <v>512</v>
      </c>
      <c r="H11" s="483">
        <v>80</v>
      </c>
      <c r="I11" s="483" t="s">
        <v>338</v>
      </c>
      <c r="J11" s="483" t="s">
        <v>63</v>
      </c>
      <c r="K11" s="483"/>
      <c r="L11" s="481">
        <v>45903</v>
      </c>
      <c r="M11" s="483" t="s">
        <v>57</v>
      </c>
      <c r="N11" s="559">
        <v>59116.7</v>
      </c>
      <c r="O11" s="483" t="s">
        <v>57</v>
      </c>
      <c r="P11" s="828" t="s">
        <v>339</v>
      </c>
      <c r="Q11" s="485">
        <v>45903</v>
      </c>
      <c r="R11" s="496"/>
      <c r="S11" s="496"/>
      <c r="T11" s="485"/>
      <c r="U11" s="501" t="s">
        <v>491</v>
      </c>
      <c r="V11" s="486">
        <v>4833</v>
      </c>
      <c r="W11" s="763">
        <v>4446</v>
      </c>
      <c r="X11" s="107">
        <f t="shared" si="4"/>
        <v>387</v>
      </c>
      <c r="Y11" s="22">
        <f t="shared" si="5"/>
        <v>0.91992551210428308</v>
      </c>
      <c r="Z11" s="698">
        <v>45923</v>
      </c>
      <c r="AA11" s="366">
        <v>1</v>
      </c>
      <c r="AB11" s="366">
        <v>1</v>
      </c>
      <c r="AC11" s="662">
        <v>0</v>
      </c>
      <c r="AD11" s="427" t="s">
        <v>513</v>
      </c>
    </row>
    <row r="12" spans="1:30" ht="39.75" customHeight="1">
      <c r="A12" s="870" t="s">
        <v>514</v>
      </c>
      <c r="B12" s="479" t="s">
        <v>114</v>
      </c>
      <c r="C12" s="490">
        <v>45930</v>
      </c>
      <c r="D12" s="481" t="s">
        <v>159</v>
      </c>
      <c r="E12" s="659">
        <v>45910</v>
      </c>
      <c r="F12" s="659" t="s">
        <v>140</v>
      </c>
      <c r="G12" s="702" t="s">
        <v>515</v>
      </c>
      <c r="H12" s="483">
        <v>67</v>
      </c>
      <c r="I12" s="681" t="s">
        <v>338</v>
      </c>
      <c r="J12" s="483" t="s">
        <v>63</v>
      </c>
      <c r="K12" s="483"/>
      <c r="L12" s="481">
        <v>45903</v>
      </c>
      <c r="M12" s="483" t="s">
        <v>57</v>
      </c>
      <c r="N12" s="559">
        <v>40406</v>
      </c>
      <c r="O12" s="483" t="s">
        <v>57</v>
      </c>
      <c r="P12" s="828" t="s">
        <v>339</v>
      </c>
      <c r="Q12" s="485">
        <v>45903</v>
      </c>
      <c r="R12" s="569"/>
      <c r="S12" s="569"/>
      <c r="T12" s="569"/>
      <c r="U12" s="501" t="s">
        <v>491</v>
      </c>
      <c r="V12" s="486">
        <v>3895</v>
      </c>
      <c r="W12" s="763">
        <v>3809</v>
      </c>
      <c r="X12" s="107">
        <f t="shared" si="4"/>
        <v>86</v>
      </c>
      <c r="Y12" s="677">
        <f t="shared" si="5"/>
        <v>0.97792041078305525</v>
      </c>
      <c r="Z12" s="698">
        <v>45924</v>
      </c>
      <c r="AA12" s="366">
        <v>1</v>
      </c>
      <c r="AB12" s="366">
        <v>1</v>
      </c>
      <c r="AC12" s="662">
        <v>0</v>
      </c>
      <c r="AD12" s="908" t="s">
        <v>516</v>
      </c>
    </row>
    <row r="13" spans="1:30" ht="39.75" customHeight="1">
      <c r="A13" s="968" t="s">
        <v>517</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491</v>
      </c>
      <c r="V13" s="486">
        <v>2071</v>
      </c>
      <c r="W13" s="763">
        <v>2072</v>
      </c>
      <c r="X13" s="486">
        <f>SUM(V13-W13)</f>
        <v>-1</v>
      </c>
      <c r="Y13" s="682">
        <f t="shared" ref="Y13" si="6">IFERROR($W13/$V13, 0)</f>
        <v>1.000482858522453</v>
      </c>
      <c r="Z13" s="493">
        <v>45958</v>
      </c>
      <c r="AA13" s="366">
        <v>1</v>
      </c>
      <c r="AB13" s="366">
        <v>1</v>
      </c>
      <c r="AC13" s="809">
        <v>0</v>
      </c>
      <c r="AD13" s="488" t="s">
        <v>518</v>
      </c>
    </row>
    <row r="14" spans="1:30" ht="39.75" customHeight="1">
      <c r="A14" s="873" t="s">
        <v>519</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491</v>
      </c>
      <c r="V14" s="486">
        <v>5653</v>
      </c>
      <c r="W14" s="763">
        <v>5653</v>
      </c>
      <c r="X14" s="107">
        <f t="shared" si="4"/>
        <v>0</v>
      </c>
      <c r="Y14" s="677">
        <f t="shared" si="5"/>
        <v>1</v>
      </c>
      <c r="Z14" s="698">
        <v>45932</v>
      </c>
      <c r="AA14" s="366">
        <v>1</v>
      </c>
      <c r="AB14" s="366">
        <v>1</v>
      </c>
      <c r="AC14" s="809">
        <v>0</v>
      </c>
      <c r="AD14" s="908" t="s">
        <v>520</v>
      </c>
    </row>
    <row r="15" spans="1:30" ht="39.75" customHeight="1">
      <c r="A15" s="870" t="s">
        <v>521</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491</v>
      </c>
      <c r="V15" s="486">
        <v>2188</v>
      </c>
      <c r="W15" s="763">
        <v>2278</v>
      </c>
      <c r="X15" s="107">
        <f>SUM(V15-W15)</f>
        <v>-90</v>
      </c>
      <c r="Y15" s="677">
        <f>IFERROR($W15/$V15, 0)</f>
        <v>1.0411334552102376</v>
      </c>
      <c r="Z15" s="698">
        <v>45931</v>
      </c>
      <c r="AA15" s="366">
        <v>1</v>
      </c>
      <c r="AB15" s="366">
        <v>1</v>
      </c>
      <c r="AC15" s="809">
        <v>0</v>
      </c>
      <c r="AD15" s="908" t="s">
        <v>522</v>
      </c>
    </row>
    <row r="16" spans="1:30" ht="39.75" customHeight="1">
      <c r="A16" s="968" t="s">
        <v>523</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491</v>
      </c>
      <c r="V16" s="486">
        <v>3378</v>
      </c>
      <c r="W16" s="763">
        <v>3372</v>
      </c>
      <c r="X16" s="486">
        <f>SUM(V16-W16)</f>
        <v>6</v>
      </c>
      <c r="Y16" s="682">
        <f t="shared" ref="Y16" si="7">IFERROR($W16/$V16, 0)</f>
        <v>0.9982238010657194</v>
      </c>
      <c r="Z16" s="493">
        <v>45958</v>
      </c>
      <c r="AA16" s="366">
        <v>1</v>
      </c>
      <c r="AB16" s="366">
        <v>1</v>
      </c>
      <c r="AC16" s="809">
        <v>0</v>
      </c>
      <c r="AD16" s="993" t="s">
        <v>524</v>
      </c>
    </row>
    <row r="17" spans="1:30" ht="39.75" customHeight="1">
      <c r="A17" s="968" t="s">
        <v>525</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491</v>
      </c>
      <c r="V17" s="430">
        <v>2874</v>
      </c>
      <c r="W17" s="992">
        <v>2875</v>
      </c>
      <c r="X17" s="107">
        <f t="shared" ref="X17:X19" si="8">SUM(V17-W17)</f>
        <v>-1</v>
      </c>
      <c r="Y17" s="677">
        <f t="shared" ref="Y17:Y19" si="9">IFERROR($W17/$V17, 0)</f>
        <v>1.0003479471120389</v>
      </c>
      <c r="Z17" s="698">
        <v>45944</v>
      </c>
      <c r="AA17" s="366">
        <v>1</v>
      </c>
      <c r="AB17" s="366">
        <v>1</v>
      </c>
      <c r="AC17" s="486">
        <v>0</v>
      </c>
      <c r="AD17" s="173" t="s">
        <v>526</v>
      </c>
    </row>
    <row r="18" spans="1:30" ht="39.75" customHeight="1">
      <c r="A18" s="968" t="s">
        <v>527</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491</v>
      </c>
      <c r="V18" s="486">
        <v>4141</v>
      </c>
      <c r="W18" s="763">
        <v>4141</v>
      </c>
      <c r="X18" s="486">
        <f t="shared" si="8"/>
        <v>0</v>
      </c>
      <c r="Y18" s="682">
        <f t="shared" si="9"/>
        <v>1</v>
      </c>
      <c r="Z18" s="493">
        <v>45964</v>
      </c>
      <c r="AA18" s="366">
        <v>1</v>
      </c>
      <c r="AB18" s="366">
        <v>1</v>
      </c>
      <c r="AC18" s="809">
        <v>0</v>
      </c>
      <c r="AD18" s="450" t="s">
        <v>528</v>
      </c>
    </row>
    <row r="19" spans="1:30" ht="39.75" customHeight="1">
      <c r="A19" s="968" t="s">
        <v>529</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491</v>
      </c>
      <c r="V19" s="486">
        <v>6240</v>
      </c>
      <c r="W19" s="763">
        <v>6203</v>
      </c>
      <c r="X19" s="486">
        <f t="shared" si="8"/>
        <v>37</v>
      </c>
      <c r="Y19" s="682">
        <f t="shared" si="9"/>
        <v>0.99407051282051284</v>
      </c>
      <c r="Z19" s="493">
        <v>45951</v>
      </c>
      <c r="AA19" s="366">
        <v>1</v>
      </c>
      <c r="AB19" s="366">
        <v>0</v>
      </c>
      <c r="AC19" s="662">
        <v>0</v>
      </c>
      <c r="AD19" s="1141" t="s">
        <v>530</v>
      </c>
    </row>
    <row r="20" spans="1:30" ht="39.75" customHeight="1">
      <c r="A20" s="870" t="s">
        <v>531</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491</v>
      </c>
      <c r="V20" s="486">
        <v>328</v>
      </c>
      <c r="W20" s="763">
        <v>335</v>
      </c>
      <c r="X20" s="486">
        <f t="shared" si="4"/>
        <v>-7</v>
      </c>
      <c r="Y20" s="487">
        <f t="shared" si="5"/>
        <v>1.0213414634146341</v>
      </c>
      <c r="Z20" s="493">
        <v>45922</v>
      </c>
      <c r="AA20" s="366">
        <v>1</v>
      </c>
      <c r="AB20" s="366">
        <v>1</v>
      </c>
      <c r="AC20" s="486">
        <v>0</v>
      </c>
      <c r="AD20" s="778" t="s">
        <v>532</v>
      </c>
    </row>
    <row r="21" spans="1:30" ht="39.75" customHeight="1">
      <c r="A21" s="870" t="s">
        <v>533</v>
      </c>
      <c r="B21" s="479" t="s">
        <v>114</v>
      </c>
      <c r="C21" s="490">
        <v>45960</v>
      </c>
      <c r="D21" s="481" t="s">
        <v>534</v>
      </c>
      <c r="E21" s="481">
        <v>45915</v>
      </c>
      <c r="F21" s="479" t="s">
        <v>535</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491</v>
      </c>
      <c r="V21" s="809">
        <v>14150</v>
      </c>
      <c r="W21" s="917">
        <v>15469</v>
      </c>
      <c r="X21" s="107">
        <f t="shared" si="4"/>
        <v>-1319</v>
      </c>
      <c r="Y21" s="677">
        <f t="shared" si="5"/>
        <v>1.0932155477031802</v>
      </c>
      <c r="Z21" s="698">
        <v>45926</v>
      </c>
      <c r="AA21" s="366">
        <v>1</v>
      </c>
      <c r="AB21" s="366">
        <v>1</v>
      </c>
      <c r="AC21" s="486">
        <v>0</v>
      </c>
      <c r="AD21" s="906" t="s">
        <v>536</v>
      </c>
    </row>
    <row r="22" spans="1:30" ht="39.75" customHeight="1">
      <c r="A22" s="968" t="s">
        <v>537</v>
      </c>
      <c r="B22" s="479" t="s">
        <v>114</v>
      </c>
      <c r="C22" s="490">
        <v>45930</v>
      </c>
      <c r="D22" s="481" t="s">
        <v>538</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491</v>
      </c>
      <c r="V22" s="809">
        <v>2811</v>
      </c>
      <c r="W22" s="917">
        <v>2732</v>
      </c>
      <c r="X22" s="107">
        <f>SUM(V22-W22)</f>
        <v>79</v>
      </c>
      <c r="Y22" s="22">
        <f>IFERROR($W22/$V22, 0)</f>
        <v>0.97189612237637857</v>
      </c>
      <c r="Z22" s="698">
        <v>45922</v>
      </c>
      <c r="AA22" s="366">
        <v>1</v>
      </c>
      <c r="AB22" s="366">
        <v>1</v>
      </c>
      <c r="AC22" s="486">
        <v>0</v>
      </c>
      <c r="AD22" s="684" t="s">
        <v>539</v>
      </c>
    </row>
    <row r="23" spans="1:30" ht="39.75" customHeight="1">
      <c r="A23" s="870" t="s">
        <v>540</v>
      </c>
      <c r="B23" s="849" t="s">
        <v>50</v>
      </c>
      <c r="C23" s="659">
        <v>45838</v>
      </c>
      <c r="D23" s="489" t="s">
        <v>541</v>
      </c>
      <c r="E23" s="490">
        <v>45727</v>
      </c>
      <c r="F23" s="489" t="s">
        <v>61</v>
      </c>
      <c r="G23" s="874" t="s">
        <v>542</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491</v>
      </c>
      <c r="V23" s="875">
        <v>4979</v>
      </c>
      <c r="W23" s="763">
        <v>5020</v>
      </c>
      <c r="X23" s="486">
        <f t="shared" si="4"/>
        <v>-41</v>
      </c>
      <c r="Y23" s="682">
        <f t="shared" si="5"/>
        <v>1.0082345852580838</v>
      </c>
      <c r="Z23" s="493">
        <v>45741</v>
      </c>
      <c r="AA23" s="682">
        <v>1</v>
      </c>
      <c r="AB23" s="682">
        <v>1</v>
      </c>
      <c r="AC23" s="363">
        <v>0</v>
      </c>
      <c r="AD23" s="684" t="s">
        <v>543</v>
      </c>
    </row>
    <row r="24" spans="1:30" ht="39.75" customHeight="1">
      <c r="A24" s="966" t="s">
        <v>544</v>
      </c>
      <c r="B24" s="527" t="s">
        <v>50</v>
      </c>
      <c r="C24" s="513">
        <v>45772</v>
      </c>
      <c r="D24" s="528" t="s">
        <v>545</v>
      </c>
      <c r="E24" s="528">
        <v>45693</v>
      </c>
      <c r="F24" s="518" t="s">
        <v>61</v>
      </c>
      <c r="G24" s="529" t="s">
        <v>546</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491</v>
      </c>
      <c r="V24" s="509">
        <v>7980</v>
      </c>
      <c r="W24" s="762">
        <v>7901</v>
      </c>
      <c r="X24" s="107">
        <f t="shared" si="4"/>
        <v>79</v>
      </c>
      <c r="Y24" s="22">
        <f t="shared" si="5"/>
        <v>0.99010025062656637</v>
      </c>
      <c r="Z24" s="698">
        <v>45713</v>
      </c>
      <c r="AA24" s="487">
        <v>1</v>
      </c>
      <c r="AB24" s="487">
        <v>1</v>
      </c>
      <c r="AC24" s="837">
        <v>0</v>
      </c>
      <c r="AD24" s="176" t="s">
        <v>547</v>
      </c>
    </row>
    <row r="25" spans="1:30" ht="39.75" customHeight="1">
      <c r="A25" s="966" t="s">
        <v>548</v>
      </c>
      <c r="B25" s="527" t="s">
        <v>50</v>
      </c>
      <c r="C25" s="513">
        <v>45772</v>
      </c>
      <c r="D25" s="528" t="s">
        <v>545</v>
      </c>
      <c r="E25" s="528">
        <v>45698</v>
      </c>
      <c r="F25" s="513" t="s">
        <v>61</v>
      </c>
      <c r="G25" s="529" t="s">
        <v>549</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491</v>
      </c>
      <c r="V25" s="509">
        <v>7562</v>
      </c>
      <c r="W25" s="762">
        <v>7556</v>
      </c>
      <c r="X25" s="107">
        <f t="shared" si="4"/>
        <v>6</v>
      </c>
      <c r="Y25" s="22">
        <f t="shared" si="5"/>
        <v>0.99920655911134626</v>
      </c>
      <c r="Z25" s="698">
        <v>45709</v>
      </c>
      <c r="AA25" s="487">
        <v>1</v>
      </c>
      <c r="AB25" s="487">
        <v>1</v>
      </c>
      <c r="AC25" s="837">
        <v>0</v>
      </c>
      <c r="AD25" s="204" t="s">
        <v>550</v>
      </c>
    </row>
    <row r="26" spans="1:30" ht="39.75" customHeight="1">
      <c r="A26" s="876" t="s">
        <v>551</v>
      </c>
      <c r="B26" s="849" t="s">
        <v>50</v>
      </c>
      <c r="C26" s="490">
        <v>45772</v>
      </c>
      <c r="D26" s="490" t="s">
        <v>541</v>
      </c>
      <c r="E26" s="852">
        <v>45686</v>
      </c>
      <c r="F26" s="489" t="s">
        <v>61</v>
      </c>
      <c r="G26" s="877" t="s">
        <v>552</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491</v>
      </c>
      <c r="V26" s="879">
        <v>5005</v>
      </c>
      <c r="W26" s="880">
        <v>4996</v>
      </c>
      <c r="X26" s="486">
        <f t="shared" si="4"/>
        <v>9</v>
      </c>
      <c r="Y26" s="682">
        <f t="shared" si="5"/>
        <v>0.99820179820179822</v>
      </c>
      <c r="Z26" s="493">
        <v>45708</v>
      </c>
      <c r="AA26" s="682">
        <v>1</v>
      </c>
      <c r="AB26" s="682">
        <v>1</v>
      </c>
      <c r="AC26" s="837">
        <v>0</v>
      </c>
      <c r="AD26" s="883" t="s">
        <v>553</v>
      </c>
    </row>
    <row r="27" spans="1:30" ht="39.75" customHeight="1">
      <c r="A27" s="876" t="s">
        <v>554</v>
      </c>
      <c r="B27" s="849" t="s">
        <v>50</v>
      </c>
      <c r="C27" s="490">
        <v>45772</v>
      </c>
      <c r="D27" s="852" t="s">
        <v>555</v>
      </c>
      <c r="E27" s="852">
        <v>45694</v>
      </c>
      <c r="F27" s="852" t="s">
        <v>61</v>
      </c>
      <c r="G27" s="877" t="s">
        <v>556</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491</v>
      </c>
      <c r="V27" s="875">
        <v>4979</v>
      </c>
      <c r="W27" s="880">
        <v>4984</v>
      </c>
      <c r="X27" s="486">
        <f t="shared" si="4"/>
        <v>-5</v>
      </c>
      <c r="Y27" s="682">
        <f t="shared" si="5"/>
        <v>1.0010042177144005</v>
      </c>
      <c r="Z27" s="493">
        <v>45714</v>
      </c>
      <c r="AA27" s="682">
        <v>1</v>
      </c>
      <c r="AB27" s="682">
        <v>1</v>
      </c>
      <c r="AC27" s="837">
        <v>0</v>
      </c>
      <c r="AD27" s="149" t="s">
        <v>557</v>
      </c>
    </row>
    <row r="28" spans="1:30" ht="39.75" customHeight="1">
      <c r="A28" s="870" t="s">
        <v>558</v>
      </c>
      <c r="B28" s="881" t="s">
        <v>50</v>
      </c>
      <c r="C28" s="659">
        <v>45688</v>
      </c>
      <c r="D28" s="659" t="s">
        <v>545</v>
      </c>
      <c r="E28" s="659">
        <v>45695</v>
      </c>
      <c r="F28" s="481" t="s">
        <v>61</v>
      </c>
      <c r="G28" s="882" t="s">
        <v>559</v>
      </c>
      <c r="H28" s="483">
        <v>88</v>
      </c>
      <c r="I28" s="681" t="s">
        <v>560</v>
      </c>
      <c r="J28" s="483" t="s">
        <v>63</v>
      </c>
      <c r="K28" s="855"/>
      <c r="L28" s="479" t="s">
        <v>339</v>
      </c>
      <c r="M28" s="681" t="s">
        <v>57</v>
      </c>
      <c r="N28" s="559">
        <v>43130</v>
      </c>
      <c r="O28" s="681" t="s">
        <v>57</v>
      </c>
      <c r="P28" s="828" t="s">
        <v>339</v>
      </c>
      <c r="Q28" s="485">
        <v>45691</v>
      </c>
      <c r="R28" s="485">
        <v>45870</v>
      </c>
      <c r="S28" s="485">
        <v>45908</v>
      </c>
      <c r="T28" s="485"/>
      <c r="U28" s="501" t="s">
        <v>491</v>
      </c>
      <c r="V28" s="486">
        <v>2931</v>
      </c>
      <c r="W28" s="763">
        <v>3257</v>
      </c>
      <c r="X28" s="486">
        <f t="shared" si="4"/>
        <v>-326</v>
      </c>
      <c r="Y28" s="682">
        <f t="shared" si="5"/>
        <v>1.11122483793927</v>
      </c>
      <c r="Z28" s="485">
        <v>45750</v>
      </c>
      <c r="AA28" s="515">
        <v>1</v>
      </c>
      <c r="AB28" s="515">
        <v>1</v>
      </c>
      <c r="AC28" s="662">
        <v>0</v>
      </c>
      <c r="AD28" s="919" t="s">
        <v>561</v>
      </c>
    </row>
    <row r="29" spans="1:30" ht="39.75" customHeight="1">
      <c r="A29" s="870" t="s">
        <v>562</v>
      </c>
      <c r="B29" s="849" t="s">
        <v>50</v>
      </c>
      <c r="C29" s="852">
        <v>45688</v>
      </c>
      <c r="D29" s="490" t="s">
        <v>71</v>
      </c>
      <c r="E29" s="852">
        <v>45686</v>
      </c>
      <c r="F29" s="852" t="s">
        <v>61</v>
      </c>
      <c r="G29" s="877" t="s">
        <v>563</v>
      </c>
      <c r="H29" s="492">
        <v>88</v>
      </c>
      <c r="I29" s="855" t="s">
        <v>560</v>
      </c>
      <c r="J29" s="492" t="s">
        <v>63</v>
      </c>
      <c r="K29" s="492"/>
      <c r="L29" s="856">
        <v>45706</v>
      </c>
      <c r="M29" s="855" t="s">
        <v>57</v>
      </c>
      <c r="N29" s="560">
        <v>69212.5</v>
      </c>
      <c r="O29" s="855" t="s">
        <v>57</v>
      </c>
      <c r="P29" s="828" t="s">
        <v>339</v>
      </c>
      <c r="Q29" s="493">
        <v>45679</v>
      </c>
      <c r="R29" s="493">
        <v>45917</v>
      </c>
      <c r="S29" s="493">
        <v>45918</v>
      </c>
      <c r="T29" s="493"/>
      <c r="U29" s="501" t="s">
        <v>491</v>
      </c>
      <c r="V29" s="41">
        <v>5661</v>
      </c>
      <c r="W29" s="763">
        <v>5752</v>
      </c>
      <c r="X29" s="486">
        <f t="shared" si="4"/>
        <v>-91</v>
      </c>
      <c r="Y29" s="682">
        <f t="shared" si="5"/>
        <v>1.0160748984278396</v>
      </c>
      <c r="Z29" s="493">
        <v>45681</v>
      </c>
      <c r="AA29" s="682">
        <v>1</v>
      </c>
      <c r="AB29" s="682">
        <v>1</v>
      </c>
      <c r="AC29" s="837">
        <v>0</v>
      </c>
      <c r="AD29" s="149" t="s">
        <v>564</v>
      </c>
    </row>
    <row r="30" spans="1:30" ht="39.75" customHeight="1">
      <c r="A30" s="870" t="s">
        <v>565</v>
      </c>
      <c r="B30" s="849" t="s">
        <v>50</v>
      </c>
      <c r="C30" s="490">
        <v>45772</v>
      </c>
      <c r="D30" s="489" t="s">
        <v>555</v>
      </c>
      <c r="E30" s="490">
        <v>45743</v>
      </c>
      <c r="F30" s="489" t="s">
        <v>61</v>
      </c>
      <c r="G30" s="850" t="s">
        <v>566</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491</v>
      </c>
      <c r="V30" s="41">
        <v>3967</v>
      </c>
      <c r="W30" s="763">
        <v>3936</v>
      </c>
      <c r="X30" s="107">
        <f t="shared" si="4"/>
        <v>31</v>
      </c>
      <c r="Y30" s="677">
        <f t="shared" si="5"/>
        <v>0.99218553062767834</v>
      </c>
      <c r="Z30" s="698">
        <v>45756</v>
      </c>
      <c r="AA30" s="682">
        <v>1</v>
      </c>
      <c r="AB30" s="682">
        <v>1</v>
      </c>
      <c r="AC30" s="662">
        <v>0</v>
      </c>
      <c r="AD30" s="918" t="s">
        <v>567</v>
      </c>
    </row>
    <row r="31" spans="1:30" ht="39.75" customHeight="1">
      <c r="A31" s="1178" t="s">
        <v>568</v>
      </c>
      <c r="B31" s="389" t="s">
        <v>50</v>
      </c>
      <c r="C31" s="51">
        <v>45742</v>
      </c>
      <c r="D31" s="1161" t="s">
        <v>569</v>
      </c>
      <c r="E31" s="392">
        <v>45680</v>
      </c>
      <c r="F31" s="50" t="s">
        <v>61</v>
      </c>
      <c r="G31" s="589" t="s">
        <v>570</v>
      </c>
      <c r="H31" s="52">
        <v>79</v>
      </c>
      <c r="I31" s="1163" t="s">
        <v>560</v>
      </c>
      <c r="J31" s="1031" t="s">
        <v>63</v>
      </c>
      <c r="K31" s="52"/>
      <c r="L31" s="385" t="s">
        <v>339</v>
      </c>
      <c r="M31" s="391" t="s">
        <v>57</v>
      </c>
      <c r="N31" s="1150">
        <v>64790.5</v>
      </c>
      <c r="O31" s="391" t="s">
        <v>57</v>
      </c>
      <c r="P31" s="1179" t="s">
        <v>339</v>
      </c>
      <c r="Q31" s="54">
        <v>45675</v>
      </c>
      <c r="R31" s="54">
        <v>45917</v>
      </c>
      <c r="S31" s="54">
        <v>45931</v>
      </c>
      <c r="T31" s="54"/>
      <c r="U31" s="501" t="s">
        <v>491</v>
      </c>
      <c r="V31" s="31">
        <v>4975</v>
      </c>
      <c r="W31" s="1180">
        <v>4975</v>
      </c>
      <c r="X31" s="107">
        <f t="shared" si="4"/>
        <v>0</v>
      </c>
      <c r="Y31" s="22">
        <f t="shared" si="5"/>
        <v>1</v>
      </c>
      <c r="Z31" s="198">
        <v>45680</v>
      </c>
      <c r="AA31" s="366">
        <v>0</v>
      </c>
      <c r="AB31" s="366">
        <v>0</v>
      </c>
      <c r="AC31" s="837">
        <v>0</v>
      </c>
      <c r="AD31" s="69" t="s">
        <v>571</v>
      </c>
    </row>
    <row r="32" spans="1:30" ht="39.75" customHeight="1">
      <c r="A32" s="870" t="s">
        <v>572</v>
      </c>
      <c r="B32" s="849" t="s">
        <v>50</v>
      </c>
      <c r="C32" s="481">
        <v>45960</v>
      </c>
      <c r="D32" s="479" t="s">
        <v>245</v>
      </c>
      <c r="E32" s="481">
        <v>45927</v>
      </c>
      <c r="F32" s="479" t="s">
        <v>100</v>
      </c>
      <c r="G32" s="702" t="s">
        <v>573</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491</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574</v>
      </c>
      <c r="B33" s="849" t="s">
        <v>50</v>
      </c>
      <c r="C33" s="481">
        <v>45991</v>
      </c>
      <c r="D33" s="481" t="s">
        <v>71</v>
      </c>
      <c r="E33" s="490">
        <v>45743</v>
      </c>
      <c r="F33" s="489" t="s">
        <v>61</v>
      </c>
      <c r="G33" s="850" t="s">
        <v>575</v>
      </c>
      <c r="H33" s="492">
        <v>70</v>
      </c>
      <c r="I33" s="681" t="s">
        <v>338</v>
      </c>
      <c r="J33" s="483" t="s">
        <v>63</v>
      </c>
      <c r="K33" s="851"/>
      <c r="L33" s="490">
        <v>45741</v>
      </c>
      <c r="M33" s="483" t="s">
        <v>57</v>
      </c>
      <c r="N33" s="560">
        <v>67735.5</v>
      </c>
      <c r="O33" s="483" t="s">
        <v>57</v>
      </c>
      <c r="P33" s="828" t="s">
        <v>339</v>
      </c>
      <c r="Q33" s="493">
        <v>45779</v>
      </c>
      <c r="R33" s="493"/>
      <c r="S33" s="493"/>
      <c r="T33" s="493"/>
      <c r="U33" s="501" t="s">
        <v>491</v>
      </c>
      <c r="V33" s="41">
        <v>6152</v>
      </c>
      <c r="W33" s="763">
        <v>5723</v>
      </c>
      <c r="X33" s="107">
        <f>SUM(V33-W33)</f>
        <v>429</v>
      </c>
      <c r="Y33" s="677">
        <f>IFERROR($W33/$V33, 0)</f>
        <v>0.9302665799739922</v>
      </c>
      <c r="Z33" s="698">
        <v>45792</v>
      </c>
      <c r="AA33" s="366">
        <v>0</v>
      </c>
      <c r="AB33" s="366">
        <v>0</v>
      </c>
      <c r="AC33" s="662">
        <v>0</v>
      </c>
      <c r="AD33" s="364" t="s">
        <v>576</v>
      </c>
    </row>
    <row r="34" spans="1:30" ht="39.75" customHeight="1">
      <c r="A34" s="916" t="s">
        <v>577</v>
      </c>
      <c r="B34" s="849" t="s">
        <v>50</v>
      </c>
      <c r="C34" s="852">
        <v>45716</v>
      </c>
      <c r="D34" s="852" t="s">
        <v>71</v>
      </c>
      <c r="E34" s="852">
        <v>45701</v>
      </c>
      <c r="F34" s="489" t="s">
        <v>61</v>
      </c>
      <c r="G34" s="877" t="s">
        <v>493</v>
      </c>
      <c r="H34" s="855">
        <v>0</v>
      </c>
      <c r="I34" s="855" t="s">
        <v>339</v>
      </c>
      <c r="J34" s="855" t="s">
        <v>63</v>
      </c>
      <c r="K34" s="855"/>
      <c r="L34" s="852">
        <v>45705</v>
      </c>
      <c r="M34" s="855" t="s">
        <v>57</v>
      </c>
      <c r="N34" s="878">
        <v>1295</v>
      </c>
      <c r="O34" s="855" t="s">
        <v>57</v>
      </c>
      <c r="P34" s="828" t="s">
        <v>339</v>
      </c>
      <c r="Q34" s="530">
        <v>45706</v>
      </c>
      <c r="R34" s="530">
        <v>45826</v>
      </c>
      <c r="S34" s="530"/>
      <c r="T34" s="530"/>
      <c r="U34" s="501" t="s">
        <v>491</v>
      </c>
      <c r="V34" s="879">
        <v>153</v>
      </c>
      <c r="W34" s="762">
        <v>153</v>
      </c>
      <c r="X34" s="107">
        <f t="shared" si="4"/>
        <v>0</v>
      </c>
      <c r="Y34" s="677">
        <f t="shared" si="5"/>
        <v>1</v>
      </c>
      <c r="Z34" s="698">
        <v>45754</v>
      </c>
      <c r="AA34" s="487">
        <v>1</v>
      </c>
      <c r="AB34" s="487">
        <v>1</v>
      </c>
      <c r="AC34" s="837">
        <v>0</v>
      </c>
      <c r="AD34" s="176" t="s">
        <v>578</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489</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489</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489</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396</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396</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492</v>
      </c>
      <c r="B284">
        <v>2227</v>
      </c>
      <c r="G284">
        <v>2227</v>
      </c>
    </row>
    <row r="285" spans="1:7">
      <c r="A285" t="s">
        <v>558</v>
      </c>
      <c r="C285">
        <v>0</v>
      </c>
      <c r="D285">
        <v>0</v>
      </c>
      <c r="E285">
        <v>344</v>
      </c>
      <c r="G285">
        <v>344</v>
      </c>
    </row>
    <row r="286" spans="1:7">
      <c r="A286" t="s">
        <v>488</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393</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488</v>
      </c>
    </row>
    <row r="311" spans="1:7">
      <c r="A311" t="s">
        <v>758</v>
      </c>
    </row>
    <row r="312" spans="1:7">
      <c r="A312" t="s">
        <v>634</v>
      </c>
      <c r="B312">
        <v>618</v>
      </c>
      <c r="C312">
        <v>700</v>
      </c>
      <c r="G312">
        <v>1318</v>
      </c>
    </row>
    <row r="313" spans="1:7">
      <c r="A313" t="s">
        <v>626</v>
      </c>
    </row>
    <row r="314" spans="1:7">
      <c r="A314" t="s">
        <v>393</v>
      </c>
    </row>
    <row r="315" spans="1:7">
      <c r="A315" t="s">
        <v>755</v>
      </c>
      <c r="B315">
        <v>990</v>
      </c>
      <c r="C315">
        <v>1871</v>
      </c>
      <c r="D315">
        <v>1307</v>
      </c>
      <c r="G315">
        <v>4168</v>
      </c>
    </row>
    <row r="316" spans="1:7">
      <c r="A316" t="s">
        <v>474</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474</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478</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481</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433</v>
      </c>
      <c r="B470">
        <v>644</v>
      </c>
      <c r="C470">
        <v>1430</v>
      </c>
      <c r="D470">
        <v>970</v>
      </c>
      <c r="G470">
        <v>3044</v>
      </c>
    </row>
    <row r="471" spans="1:7">
      <c r="A471" t="s">
        <v>495</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433</v>
      </c>
      <c r="B485">
        <v>948</v>
      </c>
      <c r="D485">
        <v>736</v>
      </c>
      <c r="F485">
        <v>1684</v>
      </c>
    </row>
    <row r="486" spans="1:7">
      <c r="A486" t="s">
        <v>413</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474</v>
      </c>
      <c r="E501">
        <v>341</v>
      </c>
      <c r="G501">
        <v>341</v>
      </c>
    </row>
    <row r="502" spans="1:7">
      <c r="A502" t="s">
        <v>989</v>
      </c>
    </row>
    <row r="503" spans="1:7">
      <c r="A503" t="s">
        <v>433</v>
      </c>
      <c r="B503">
        <v>1957</v>
      </c>
      <c r="G503">
        <v>1957</v>
      </c>
    </row>
    <row r="504" spans="1:7">
      <c r="A504" t="s">
        <v>413</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413</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488</v>
      </c>
      <c r="E534">
        <v>977</v>
      </c>
      <c r="G534">
        <v>977</v>
      </c>
    </row>
    <row r="535" spans="1:7">
      <c r="A535" t="s">
        <v>988</v>
      </c>
      <c r="D535">
        <v>81</v>
      </c>
      <c r="F535">
        <v>114</v>
      </c>
      <c r="G535">
        <v>195</v>
      </c>
    </row>
    <row r="536" spans="1:7">
      <c r="A536" t="s">
        <v>595</v>
      </c>
    </row>
    <row r="537" spans="1:7">
      <c r="A537" t="s">
        <v>433</v>
      </c>
    </row>
    <row r="538" spans="1:7">
      <c r="A538" t="s">
        <v>413</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488</v>
      </c>
      <c r="E549">
        <v>676</v>
      </c>
      <c r="F549">
        <v>430</v>
      </c>
      <c r="G549">
        <v>1106</v>
      </c>
    </row>
    <row r="550" spans="1:7">
      <c r="A550" t="s">
        <v>474</v>
      </c>
      <c r="D550">
        <v>649</v>
      </c>
      <c r="G550">
        <v>649</v>
      </c>
    </row>
    <row r="551" spans="1:7">
      <c r="A551" t="s">
        <v>988</v>
      </c>
      <c r="B551">
        <v>237</v>
      </c>
      <c r="C551">
        <v>322</v>
      </c>
      <c r="D551">
        <v>245</v>
      </c>
      <c r="E551">
        <v>1091</v>
      </c>
      <c r="F551">
        <v>303</v>
      </c>
      <c r="G551">
        <v>2198</v>
      </c>
    </row>
    <row r="552" spans="1:7">
      <c r="A552" t="s">
        <v>413</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488</v>
      </c>
      <c r="B565">
        <v>885</v>
      </c>
      <c r="C565">
        <v>478</v>
      </c>
      <c r="D565">
        <v>490</v>
      </c>
      <c r="E565">
        <v>372</v>
      </c>
      <c r="G565">
        <v>2225</v>
      </c>
    </row>
    <row r="566" spans="1:7">
      <c r="A566" t="s">
        <v>77</v>
      </c>
    </row>
    <row r="567" spans="1:7">
      <c r="A567" t="s">
        <v>988</v>
      </c>
      <c r="B567">
        <v>360</v>
      </c>
      <c r="G567">
        <v>360</v>
      </c>
    </row>
    <row r="568" spans="1:7">
      <c r="A568" t="s">
        <v>433</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492</v>
      </c>
      <c r="F578">
        <v>198</v>
      </c>
      <c r="G578">
        <v>198</v>
      </c>
    </row>
    <row r="579" spans="1:7">
      <c r="A579" t="s">
        <v>488</v>
      </c>
    </row>
    <row r="580" spans="1:7">
      <c r="A580" t="s">
        <v>393</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396</v>
      </c>
      <c r="C590">
        <v>403</v>
      </c>
      <c r="D590">
        <v>39</v>
      </c>
      <c r="G590">
        <v>442</v>
      </c>
    </row>
    <row r="591" spans="1:7">
      <c r="A591" t="s">
        <v>492</v>
      </c>
      <c r="B591">
        <v>862</v>
      </c>
      <c r="G591">
        <v>862</v>
      </c>
    </row>
    <row r="592" spans="1:7">
      <c r="A592" t="s">
        <v>983</v>
      </c>
      <c r="C592">
        <v>203</v>
      </c>
      <c r="D592">
        <v>170</v>
      </c>
      <c r="E592">
        <v>106</v>
      </c>
      <c r="G592">
        <v>479</v>
      </c>
    </row>
    <row r="593" spans="1:7">
      <c r="A593" t="s">
        <v>413</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396</v>
      </c>
      <c r="C604">
        <v>318</v>
      </c>
      <c r="G604">
        <v>318</v>
      </c>
    </row>
    <row r="605" spans="1:7">
      <c r="A605" t="s">
        <v>492</v>
      </c>
      <c r="D605">
        <v>461</v>
      </c>
      <c r="E605">
        <v>880</v>
      </c>
      <c r="F605">
        <v>585</v>
      </c>
      <c r="G605">
        <v>1926</v>
      </c>
    </row>
    <row r="606" spans="1:7">
      <c r="A606" t="s">
        <v>393</v>
      </c>
      <c r="E606">
        <v>868</v>
      </c>
      <c r="G606">
        <v>868</v>
      </c>
    </row>
    <row r="607" spans="1:7">
      <c r="A607" t="s">
        <v>983</v>
      </c>
      <c r="D607">
        <v>272</v>
      </c>
      <c r="E607">
        <v>79</v>
      </c>
      <c r="G607">
        <v>351</v>
      </c>
    </row>
    <row r="608" spans="1:7">
      <c r="A608" t="s">
        <v>413</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492</v>
      </c>
      <c r="B625">
        <v>345</v>
      </c>
      <c r="G625">
        <v>345</v>
      </c>
    </row>
    <row r="626" spans="1:7">
      <c r="A626" t="s">
        <v>413</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396</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404</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393</v>
      </c>
      <c r="D665">
        <v>499</v>
      </c>
      <c r="E665">
        <v>231</v>
      </c>
      <c r="F665">
        <v>316</v>
      </c>
      <c r="G665">
        <v>1046</v>
      </c>
    </row>
    <row r="666" spans="1:7">
      <c r="A666" t="s">
        <v>474</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404</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396</v>
      </c>
      <c r="D684">
        <v>358</v>
      </c>
      <c r="G684">
        <v>358</v>
      </c>
    </row>
    <row r="685" spans="1:7">
      <c r="A685" t="s">
        <v>492</v>
      </c>
      <c r="D685">
        <v>1241</v>
      </c>
      <c r="G685">
        <v>1241</v>
      </c>
    </row>
    <row r="686" spans="1:7">
      <c r="A686" t="s">
        <v>393</v>
      </c>
      <c r="B686">
        <v>503</v>
      </c>
      <c r="C686">
        <v>295</v>
      </c>
      <c r="F686">
        <v>6</v>
      </c>
      <c r="G686">
        <v>804</v>
      </c>
    </row>
    <row r="687" spans="1:7">
      <c r="A687" t="s">
        <v>474</v>
      </c>
      <c r="C687">
        <v>1009</v>
      </c>
      <c r="G687">
        <v>1009</v>
      </c>
    </row>
    <row r="688" spans="1:7">
      <c r="A688" t="s">
        <v>983</v>
      </c>
      <c r="B688">
        <v>20</v>
      </c>
      <c r="E688">
        <v>250</v>
      </c>
      <c r="F688">
        <v>177</v>
      </c>
      <c r="G688">
        <v>447</v>
      </c>
    </row>
    <row r="689" spans="1:7">
      <c r="A689" t="s">
        <v>497</v>
      </c>
      <c r="B689">
        <v>639</v>
      </c>
      <c r="G689">
        <v>639</v>
      </c>
    </row>
    <row r="690" spans="1:7">
      <c r="A690" t="s">
        <v>404</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396</v>
      </c>
      <c r="E706">
        <v>99</v>
      </c>
      <c r="G706">
        <v>99</v>
      </c>
    </row>
    <row r="707" spans="1:7">
      <c r="A707" t="s">
        <v>492</v>
      </c>
    </row>
    <row r="708" spans="1:7">
      <c r="A708" t="s">
        <v>758</v>
      </c>
    </row>
    <row r="709" spans="1:7">
      <c r="A709" t="s">
        <v>393</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474</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396</v>
      </c>
    </row>
    <row r="743" spans="1:7">
      <c r="A743" t="s">
        <v>492</v>
      </c>
      <c r="D743">
        <v>139</v>
      </c>
      <c r="G743">
        <v>139</v>
      </c>
    </row>
    <row r="744" spans="1:7">
      <c r="A744" t="s">
        <v>393</v>
      </c>
    </row>
    <row r="745" spans="1:7">
      <c r="A745" t="s">
        <v>481</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396</v>
      </c>
    </row>
    <row r="763" spans="1:7">
      <c r="A763" t="s">
        <v>492</v>
      </c>
      <c r="B763">
        <v>60</v>
      </c>
      <c r="G763">
        <v>60</v>
      </c>
    </row>
    <row r="764" spans="1:7">
      <c r="A764" t="s">
        <v>478</v>
      </c>
      <c r="E764">
        <v>175</v>
      </c>
      <c r="G764">
        <v>175</v>
      </c>
    </row>
    <row r="765" spans="1:7">
      <c r="A765" t="s">
        <v>988</v>
      </c>
      <c r="C765">
        <v>224</v>
      </c>
      <c r="G765">
        <v>224</v>
      </c>
    </row>
    <row r="766" spans="1:7">
      <c r="A766" t="s">
        <v>374</v>
      </c>
      <c r="D766">
        <v>406</v>
      </c>
      <c r="G766">
        <v>406</v>
      </c>
    </row>
    <row r="767" spans="1:7">
      <c r="A767" t="s">
        <v>404</v>
      </c>
      <c r="D767">
        <v>362</v>
      </c>
      <c r="E767">
        <v>399</v>
      </c>
      <c r="G767">
        <v>761</v>
      </c>
    </row>
    <row r="768" spans="1:7">
      <c r="A768" t="s">
        <v>851</v>
      </c>
    </row>
    <row r="769" spans="1:7">
      <c r="A769" t="s">
        <v>821</v>
      </c>
    </row>
    <row r="770" spans="1:7">
      <c r="A770" t="s">
        <v>399</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402</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396</v>
      </c>
    </row>
    <row r="790" spans="1:7">
      <c r="A790" t="s">
        <v>478</v>
      </c>
      <c r="B790">
        <v>229</v>
      </c>
      <c r="G790">
        <v>229</v>
      </c>
    </row>
    <row r="791" spans="1:7">
      <c r="A791" t="s">
        <v>481</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402</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478</v>
      </c>
      <c r="E813">
        <v>270</v>
      </c>
      <c r="F813">
        <v>268</v>
      </c>
      <c r="G813">
        <v>538</v>
      </c>
    </row>
    <row r="814" spans="1:7">
      <c r="A814" t="s">
        <v>982</v>
      </c>
      <c r="D814">
        <v>126</v>
      </c>
      <c r="E814">
        <v>229</v>
      </c>
      <c r="G814">
        <v>355</v>
      </c>
    </row>
    <row r="815" spans="1:7">
      <c r="A815" t="s">
        <v>481</v>
      </c>
      <c r="B815">
        <v>175</v>
      </c>
      <c r="C815">
        <v>270</v>
      </c>
      <c r="G815">
        <v>445</v>
      </c>
    </row>
    <row r="816" spans="1:7">
      <c r="A816" t="s">
        <v>988</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402</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404</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486</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481</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486</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407</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478</v>
      </c>
      <c r="D880">
        <v>171</v>
      </c>
      <c r="G880">
        <v>171</v>
      </c>
    </row>
    <row r="881" spans="1:7">
      <c r="A881" t="s">
        <v>982</v>
      </c>
      <c r="B881">
        <v>567</v>
      </c>
      <c r="G881">
        <v>567</v>
      </c>
    </row>
    <row r="882" spans="1:7">
      <c r="A882" t="s">
        <v>374</v>
      </c>
    </row>
    <row r="883" spans="1:7">
      <c r="A883" t="s">
        <v>497</v>
      </c>
      <c r="F883">
        <v>60</v>
      </c>
      <c r="G883">
        <v>60</v>
      </c>
    </row>
    <row r="884" spans="1:7">
      <c r="A884" t="s">
        <v>404</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486</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402</v>
      </c>
      <c r="F911">
        <v>569</v>
      </c>
      <c r="G911">
        <v>569</v>
      </c>
    </row>
    <row r="912" spans="1:7">
      <c r="A912" t="s">
        <v>486</v>
      </c>
    </row>
    <row r="913" spans="1:7">
      <c r="A913" t="s">
        <v>379</v>
      </c>
      <c r="D913">
        <v>150</v>
      </c>
      <c r="G913">
        <v>150</v>
      </c>
    </row>
    <row r="914" spans="1:7">
      <c r="A914" t="s">
        <v>392</v>
      </c>
    </row>
    <row r="915" spans="1:7">
      <c r="A915" t="s">
        <v>529</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484</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486</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1021</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1022</v>
      </c>
    </row>
    <row r="958" spans="1:7">
      <c r="A958" t="s">
        <v>469</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404</v>
      </c>
      <c r="B969">
        <v>446</v>
      </c>
      <c r="C969">
        <v>120</v>
      </c>
      <c r="D969">
        <v>550</v>
      </c>
      <c r="G969">
        <v>1116</v>
      </c>
    </row>
    <row r="970" spans="1:7">
      <c r="A970" t="s">
        <v>486</v>
      </c>
      <c r="C970">
        <v>17</v>
      </c>
      <c r="G970">
        <v>17</v>
      </c>
    </row>
    <row r="971" spans="1:7">
      <c r="A971" t="s">
        <v>529</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478</v>
      </c>
      <c r="C1005">
        <v>68</v>
      </c>
      <c r="G1005">
        <v>68</v>
      </c>
    </row>
    <row r="1006" spans="1:7">
      <c r="A1006" t="s">
        <v>1008</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1024</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396</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396</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396</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396</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492</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396</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488</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396</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488</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393</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488</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393</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488</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474</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474</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393</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488</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393</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488</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489</v>
      </c>
      <c r="C882" s="56">
        <v>45758</v>
      </c>
      <c r="E882" s="43"/>
      <c r="F882" s="142" t="s">
        <v>1231</v>
      </c>
      <c r="G882" t="str">
        <f t="shared" si="13"/>
        <v>April</v>
      </c>
    </row>
    <row r="883" spans="1:7">
      <c r="A883" s="142" t="s">
        <v>764</v>
      </c>
      <c r="B883" s="142" t="s">
        <v>489</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489</v>
      </c>
      <c r="C894" s="56">
        <v>45761</v>
      </c>
      <c r="E894" s="43"/>
      <c r="G894" t="str">
        <f t="shared" si="13"/>
        <v>April</v>
      </c>
    </row>
    <row r="895" spans="1:7">
      <c r="A895" s="142" t="s">
        <v>764</v>
      </c>
      <c r="B895" s="142" t="s">
        <v>489</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489</v>
      </c>
      <c r="C905" s="56">
        <v>45762</v>
      </c>
      <c r="E905" s="43"/>
      <c r="F905" s="142" t="s">
        <v>1243</v>
      </c>
      <c r="G905" t="str">
        <f t="shared" si="14"/>
        <v>April</v>
      </c>
    </row>
    <row r="906" spans="1:7">
      <c r="A906" s="142" t="s">
        <v>764</v>
      </c>
      <c r="B906" s="142" t="s">
        <v>489</v>
      </c>
      <c r="C906" s="56">
        <v>45762</v>
      </c>
      <c r="E906" s="43"/>
      <c r="F906" s="142" t="s">
        <v>1243</v>
      </c>
      <c r="G906" t="str">
        <f t="shared" si="14"/>
        <v>April</v>
      </c>
    </row>
    <row r="907" spans="1:7">
      <c r="A907" s="142" t="s">
        <v>745</v>
      </c>
      <c r="B907" s="142" t="s">
        <v>489</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489</v>
      </c>
      <c r="C920" s="56">
        <v>45763</v>
      </c>
      <c r="E920" s="43"/>
      <c r="F920" s="142" t="s">
        <v>1105</v>
      </c>
      <c r="G920" t="str">
        <f t="shared" si="14"/>
        <v>April</v>
      </c>
    </row>
    <row r="921" spans="1:7">
      <c r="A921" s="142" t="s">
        <v>745</v>
      </c>
      <c r="B921" s="142" t="s">
        <v>489</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489</v>
      </c>
      <c r="C946" s="56">
        <v>45765</v>
      </c>
      <c r="E946" s="43"/>
      <c r="F946" s="310" t="s">
        <v>1265</v>
      </c>
      <c r="G946" t="str">
        <f t="shared" si="14"/>
        <v>April</v>
      </c>
    </row>
    <row r="947" spans="1:7">
      <c r="A947" s="315" t="s">
        <v>745</v>
      </c>
      <c r="B947" s="315" t="s">
        <v>489</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489</v>
      </c>
      <c r="C959" s="56">
        <v>45768</v>
      </c>
      <c r="E959" s="43"/>
      <c r="F959" s="315" t="s">
        <v>1265</v>
      </c>
      <c r="G959" t="str">
        <f t="shared" si="15"/>
        <v>April</v>
      </c>
    </row>
    <row r="960" spans="1:7">
      <c r="A960" s="319" t="s">
        <v>764</v>
      </c>
      <c r="B960" s="142" t="s">
        <v>489</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478</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478</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474</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474</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481</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433</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433</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433</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495</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495</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433</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413</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433</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413</v>
      </c>
      <c r="B1204" s="311" t="s">
        <v>965</v>
      </c>
      <c r="C1204" s="56">
        <v>45810</v>
      </c>
      <c r="D1204" s="43">
        <v>275</v>
      </c>
      <c r="G1204" t="s">
        <v>1409</v>
      </c>
    </row>
    <row r="1205" spans="1:7">
      <c r="A1205" s="360" t="s">
        <v>433</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413</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474</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413</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433</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474</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413</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413</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413</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413</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413</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413</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413</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413</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413</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488</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413</v>
      </c>
      <c r="B1269" s="315" t="s">
        <v>965</v>
      </c>
      <c r="C1269" s="56">
        <v>45828</v>
      </c>
      <c r="D1269" s="43">
        <v>52</v>
      </c>
      <c r="F1269" s="43" t="s">
        <v>1088</v>
      </c>
      <c r="G1269" t="s">
        <v>1409</v>
      </c>
    </row>
    <row r="1270" spans="1:7">
      <c r="A1270" s="319" t="s">
        <v>433</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413</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413</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474</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488</v>
      </c>
      <c r="B1296" s="142" t="s">
        <v>545</v>
      </c>
      <c r="C1296" s="56">
        <v>45834</v>
      </c>
      <c r="D1296" s="43">
        <v>676</v>
      </c>
      <c r="F1296" s="43" t="s">
        <v>1402</v>
      </c>
      <c r="G1296" t="s">
        <v>1409</v>
      </c>
    </row>
    <row r="1297" spans="1:7">
      <c r="A1297" s="142" t="s">
        <v>586</v>
      </c>
      <c r="B1297" s="142" t="s">
        <v>397</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488</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488</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433</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488</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488</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488</v>
      </c>
      <c r="B1316" s="321" t="s">
        <v>545</v>
      </c>
      <c r="C1316" s="56">
        <v>45841</v>
      </c>
      <c r="D1316" s="43">
        <v>372</v>
      </c>
      <c r="F1316" s="116" t="s">
        <v>1088</v>
      </c>
      <c r="G1316" t="s">
        <v>1442</v>
      </c>
    </row>
    <row r="1317" spans="1:7" ht="15.75">
      <c r="A1317" s="142" t="s">
        <v>488</v>
      </c>
      <c r="B1317" s="321" t="s">
        <v>397</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488</v>
      </c>
      <c r="B1322" s="158" t="s">
        <v>397</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393</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492</v>
      </c>
      <c r="B1331" s="158" t="s">
        <v>397</v>
      </c>
      <c r="C1331" s="56">
        <v>45849</v>
      </c>
      <c r="D1331" s="43">
        <v>198</v>
      </c>
      <c r="G1331" t="s">
        <v>1442</v>
      </c>
    </row>
    <row r="1332" spans="1:7">
      <c r="A1332" s="251" t="s">
        <v>895</v>
      </c>
      <c r="B1332" s="412" t="s">
        <v>965</v>
      </c>
      <c r="C1332" s="56">
        <v>45852</v>
      </c>
      <c r="F1332" s="43" t="s">
        <v>1105</v>
      </c>
      <c r="G1332" t="s">
        <v>1442</v>
      </c>
    </row>
    <row r="1333" spans="1:7">
      <c r="A1333" s="634" t="s">
        <v>492</v>
      </c>
      <c r="B1333" s="158" t="s">
        <v>397</v>
      </c>
      <c r="C1333" s="56">
        <v>45852</v>
      </c>
      <c r="D1333" s="43">
        <v>862</v>
      </c>
      <c r="G1333" t="s">
        <v>1442</v>
      </c>
    </row>
    <row r="1334" spans="1:7">
      <c r="A1334" s="322" t="s">
        <v>983</v>
      </c>
      <c r="B1334" s="412" t="s">
        <v>965</v>
      </c>
      <c r="C1334" s="56">
        <v>45853</v>
      </c>
      <c r="D1334" s="43">
        <v>203</v>
      </c>
      <c r="G1334" t="s">
        <v>1442</v>
      </c>
    </row>
    <row r="1335" spans="1:7">
      <c r="A1335" s="142" t="s">
        <v>413</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396</v>
      </c>
      <c r="B1337" s="158" t="s">
        <v>397</v>
      </c>
      <c r="C1337" s="56">
        <v>45853</v>
      </c>
      <c r="D1337" s="43">
        <v>403</v>
      </c>
      <c r="G1337" t="s">
        <v>1442</v>
      </c>
    </row>
    <row r="1338" spans="1:7">
      <c r="A1338" s="322" t="s">
        <v>983</v>
      </c>
      <c r="B1338" s="315" t="s">
        <v>965</v>
      </c>
      <c r="C1338" s="56">
        <v>45854</v>
      </c>
      <c r="D1338" s="43">
        <v>170</v>
      </c>
      <c r="G1338" t="s">
        <v>1442</v>
      </c>
    </row>
    <row r="1339" spans="1:7">
      <c r="A1339" s="142" t="s">
        <v>413</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396</v>
      </c>
      <c r="B1343" s="322" t="s">
        <v>397</v>
      </c>
      <c r="C1343" s="56">
        <v>45854</v>
      </c>
      <c r="D1343" s="43">
        <v>39</v>
      </c>
      <c r="G1343" t="s">
        <v>1442</v>
      </c>
    </row>
    <row r="1344" spans="1:7">
      <c r="A1344" s="142" t="s">
        <v>413</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413</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413</v>
      </c>
      <c r="B1350" s="412" t="s">
        <v>965</v>
      </c>
      <c r="C1350" s="56">
        <v>45859</v>
      </c>
      <c r="D1350" s="43">
        <v>551</v>
      </c>
      <c r="G1350" t="s">
        <v>1442</v>
      </c>
    </row>
    <row r="1351" spans="1:7">
      <c r="A1351" s="409" t="s">
        <v>413</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396</v>
      </c>
      <c r="B1354" s="158" t="s">
        <v>397</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413</v>
      </c>
      <c r="B1358" s="412" t="s">
        <v>132</v>
      </c>
      <c r="C1358" s="56">
        <v>45860</v>
      </c>
      <c r="D1358" s="43">
        <v>300</v>
      </c>
      <c r="G1358" t="s">
        <v>1442</v>
      </c>
    </row>
    <row r="1359" spans="1:7">
      <c r="A1359" s="308" t="s">
        <v>413</v>
      </c>
      <c r="B1359" s="308" t="s">
        <v>721</v>
      </c>
      <c r="C1359" s="56">
        <v>45860</v>
      </c>
      <c r="D1359" s="156">
        <v>1107</v>
      </c>
      <c r="G1359" t="s">
        <v>1442</v>
      </c>
    </row>
    <row r="1360" spans="1:7">
      <c r="A1360" s="308" t="s">
        <v>413</v>
      </c>
      <c r="B1360" s="319" t="s">
        <v>965</v>
      </c>
      <c r="C1360" s="56">
        <v>45860</v>
      </c>
      <c r="D1360" s="43">
        <v>316</v>
      </c>
      <c r="G1360" t="s">
        <v>1442</v>
      </c>
    </row>
    <row r="1361" spans="1:7">
      <c r="A1361" s="135" t="s">
        <v>396</v>
      </c>
      <c r="B1361" s="158" t="s">
        <v>397</v>
      </c>
      <c r="C1361" s="56">
        <v>45860</v>
      </c>
      <c r="D1361" s="43">
        <v>318</v>
      </c>
      <c r="G1361" t="s">
        <v>1442</v>
      </c>
    </row>
    <row r="1362" spans="1:7">
      <c r="A1362" s="251" t="s">
        <v>1004</v>
      </c>
      <c r="B1362" s="158" t="s">
        <v>397</v>
      </c>
      <c r="C1362" s="56">
        <v>45860</v>
      </c>
      <c r="D1362" s="43">
        <v>605</v>
      </c>
      <c r="G1362" t="s">
        <v>1442</v>
      </c>
    </row>
    <row r="1363" spans="1:7">
      <c r="A1363" s="322" t="s">
        <v>983</v>
      </c>
      <c r="B1363" s="315" t="s">
        <v>965</v>
      </c>
      <c r="C1363" s="56">
        <v>45861</v>
      </c>
      <c r="D1363" s="43">
        <v>272</v>
      </c>
      <c r="F1363" s="43" t="s">
        <v>1459</v>
      </c>
      <c r="G1363" t="s">
        <v>1442</v>
      </c>
    </row>
    <row r="1364" spans="1:7">
      <c r="A1364" s="142" t="s">
        <v>413</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492</v>
      </c>
      <c r="B1370" s="158" t="s">
        <v>397</v>
      </c>
      <c r="C1370" s="56">
        <v>45861</v>
      </c>
      <c r="D1370" s="43">
        <v>461</v>
      </c>
      <c r="G1370" t="s">
        <v>1442</v>
      </c>
    </row>
    <row r="1371" spans="1:7">
      <c r="A1371" s="322" t="s">
        <v>983</v>
      </c>
      <c r="B1371" s="315" t="s">
        <v>965</v>
      </c>
      <c r="C1371" s="56">
        <v>45862</v>
      </c>
      <c r="D1371" s="43">
        <v>79</v>
      </c>
      <c r="F1371" s="43" t="s">
        <v>1463</v>
      </c>
      <c r="G1371" t="s">
        <v>1442</v>
      </c>
    </row>
    <row r="1372" spans="1:7">
      <c r="A1372" s="142" t="s">
        <v>413</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413</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492</v>
      </c>
      <c r="B1378" s="322" t="s">
        <v>397</v>
      </c>
      <c r="C1378" s="56">
        <v>45862</v>
      </c>
      <c r="D1378" s="43">
        <v>880</v>
      </c>
      <c r="G1378" t="s">
        <v>1442</v>
      </c>
    </row>
    <row r="1379" spans="1:7">
      <c r="A1379" s="328" t="s">
        <v>393</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413</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492</v>
      </c>
      <c r="B1386" s="158" t="s">
        <v>397</v>
      </c>
      <c r="C1386" s="56">
        <v>45863</v>
      </c>
      <c r="D1386" s="43">
        <v>585</v>
      </c>
      <c r="F1386" s="43" t="s">
        <v>1100</v>
      </c>
      <c r="G1386" t="s">
        <v>1442</v>
      </c>
    </row>
    <row r="1387" spans="1:7">
      <c r="A1387" s="142" t="s">
        <v>413</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492</v>
      </c>
      <c r="B1392" s="158" t="s">
        <v>397</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413</v>
      </c>
      <c r="B1401" s="308" t="s">
        <v>1478</v>
      </c>
      <c r="C1401" s="56">
        <v>45868</v>
      </c>
      <c r="E1401" s="325">
        <v>6067</v>
      </c>
      <c r="G1401" t="s">
        <v>1442</v>
      </c>
    </row>
    <row r="1402" spans="1:7">
      <c r="A1402" s="135" t="s">
        <v>374</v>
      </c>
      <c r="B1402" s="322" t="s">
        <v>397</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413</v>
      </c>
      <c r="B1406" s="315" t="s">
        <v>1478</v>
      </c>
      <c r="C1406" s="56">
        <v>45869</v>
      </c>
      <c r="E1406" s="325">
        <v>2691</v>
      </c>
      <c r="G1406" t="s">
        <v>1442</v>
      </c>
    </row>
    <row r="1407" spans="1:7">
      <c r="A1407" s="357" t="s">
        <v>497</v>
      </c>
      <c r="B1407" s="158" t="s">
        <v>397</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397</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397</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397</v>
      </c>
      <c r="C1418" s="56">
        <v>45875</v>
      </c>
      <c r="D1418" s="43">
        <v>840</v>
      </c>
      <c r="G1418" t="s">
        <v>1481</v>
      </c>
    </row>
    <row r="1419" spans="1:7">
      <c r="A1419" s="142" t="s">
        <v>374</v>
      </c>
      <c r="B1419" s="567" t="s">
        <v>397</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397</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397</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397</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396</v>
      </c>
      <c r="B1435" s="315" t="s">
        <v>397</v>
      </c>
      <c r="C1435" s="56">
        <v>45881</v>
      </c>
      <c r="D1435" s="43">
        <v>319</v>
      </c>
      <c r="G1435" t="s">
        <v>1481</v>
      </c>
    </row>
    <row r="1436" spans="1:7">
      <c r="A1436" s="568" t="s">
        <v>497</v>
      </c>
      <c r="B1436" s="315" t="s">
        <v>397</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397</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397</v>
      </c>
      <c r="C1447" s="56">
        <v>45883</v>
      </c>
      <c r="D1447" s="43">
        <v>554</v>
      </c>
      <c r="G1447" t="s">
        <v>1481</v>
      </c>
    </row>
    <row r="1448" spans="1:7">
      <c r="A1448" s="43" t="s">
        <v>404</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397</v>
      </c>
      <c r="C1453" s="56">
        <v>45884</v>
      </c>
      <c r="D1453" s="43">
        <v>89</v>
      </c>
      <c r="G1453" t="s">
        <v>1481</v>
      </c>
    </row>
    <row r="1454" spans="1:7">
      <c r="A1454" s="308" t="s">
        <v>404</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397</v>
      </c>
      <c r="C1460" s="56">
        <v>45887</v>
      </c>
      <c r="D1460" s="43">
        <v>377</v>
      </c>
      <c r="G1460" t="s">
        <v>1481</v>
      </c>
    </row>
    <row r="1461" spans="1:7">
      <c r="A1461" s="308" t="s">
        <v>404</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397</v>
      </c>
      <c r="C1466" s="56">
        <v>45888</v>
      </c>
      <c r="D1466" s="43">
        <v>408</v>
      </c>
      <c r="F1466" s="116"/>
      <c r="G1466" t="s">
        <v>1481</v>
      </c>
    </row>
    <row r="1467" spans="1:7">
      <c r="A1467" s="600" t="s">
        <v>393</v>
      </c>
      <c r="B1467" s="322" t="s">
        <v>965</v>
      </c>
      <c r="C1467" s="56">
        <v>45888</v>
      </c>
      <c r="F1467" s="142" t="s">
        <v>1496</v>
      </c>
      <c r="G1467" t="s">
        <v>1481</v>
      </c>
    </row>
    <row r="1468" spans="1:7">
      <c r="A1468" s="251" t="s">
        <v>374</v>
      </c>
      <c r="B1468" s="315" t="s">
        <v>397</v>
      </c>
      <c r="C1468" s="56">
        <v>45888</v>
      </c>
      <c r="D1468" s="43">
        <v>430</v>
      </c>
      <c r="F1468" s="171"/>
      <c r="G1468" t="s">
        <v>1481</v>
      </c>
    </row>
    <row r="1469" spans="1:7">
      <c r="A1469" s="88" t="s">
        <v>983</v>
      </c>
      <c r="B1469" s="412" t="s">
        <v>965</v>
      </c>
      <c r="C1469" s="56">
        <v>45889</v>
      </c>
      <c r="D1469" s="43">
        <v>181</v>
      </c>
      <c r="G1469" t="s">
        <v>1481</v>
      </c>
    </row>
    <row r="1470" spans="1:7">
      <c r="A1470" s="88" t="s">
        <v>474</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397</v>
      </c>
      <c r="C1474" s="56">
        <v>45889</v>
      </c>
      <c r="D1474" s="43">
        <v>607</v>
      </c>
      <c r="F1474" s="43" t="s">
        <v>1497</v>
      </c>
      <c r="G1474" t="s">
        <v>1481</v>
      </c>
    </row>
    <row r="1475" spans="1:7">
      <c r="A1475" s="600" t="s">
        <v>393</v>
      </c>
      <c r="B1475" s="322" t="s">
        <v>965</v>
      </c>
      <c r="C1475" s="56">
        <v>45889</v>
      </c>
      <c r="D1475" s="43">
        <v>499</v>
      </c>
      <c r="G1475" t="s">
        <v>1481</v>
      </c>
    </row>
    <row r="1476" spans="1:7">
      <c r="A1476" s="88" t="s">
        <v>983</v>
      </c>
      <c r="B1476" s="412" t="s">
        <v>965</v>
      </c>
      <c r="C1476" s="56">
        <v>45890</v>
      </c>
      <c r="D1476" s="43">
        <v>82</v>
      </c>
      <c r="G1476" t="s">
        <v>1481</v>
      </c>
    </row>
    <row r="1477" spans="1:7">
      <c r="A1477" s="88" t="s">
        <v>474</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397</v>
      </c>
      <c r="C1482" s="56">
        <v>45890</v>
      </c>
      <c r="D1482" s="156">
        <v>1022</v>
      </c>
      <c r="G1482" t="s">
        <v>1481</v>
      </c>
    </row>
    <row r="1483" spans="1:7">
      <c r="A1483" s="600" t="s">
        <v>393</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397</v>
      </c>
      <c r="C1488" s="56">
        <v>45891</v>
      </c>
      <c r="E1488" s="325">
        <v>6090</v>
      </c>
      <c r="F1488" s="43" t="s">
        <v>1501</v>
      </c>
      <c r="G1488" t="s">
        <v>1481</v>
      </c>
    </row>
    <row r="1489" spans="1:7">
      <c r="A1489" s="600" t="s">
        <v>393</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397</v>
      </c>
      <c r="C1495" s="56">
        <v>45894</v>
      </c>
      <c r="D1495" s="43">
        <v>639</v>
      </c>
      <c r="G1495" t="s">
        <v>1481</v>
      </c>
    </row>
    <row r="1496" spans="1:7">
      <c r="A1496" s="600" t="s">
        <v>393</v>
      </c>
      <c r="B1496" s="322" t="s">
        <v>965</v>
      </c>
      <c r="C1496" s="56">
        <v>45894</v>
      </c>
      <c r="D1496" s="43">
        <v>503</v>
      </c>
      <c r="G1496" t="s">
        <v>1481</v>
      </c>
    </row>
    <row r="1497" spans="1:7">
      <c r="A1497" s="88" t="s">
        <v>983</v>
      </c>
      <c r="B1497" s="412" t="s">
        <v>965</v>
      </c>
      <c r="C1497" s="56">
        <v>45895</v>
      </c>
      <c r="F1497" s="43" t="s">
        <v>1238</v>
      </c>
      <c r="G1497" t="s">
        <v>1481</v>
      </c>
    </row>
    <row r="1498" spans="1:7">
      <c r="A1498" s="88" t="s">
        <v>474</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393</v>
      </c>
      <c r="B1504" s="648" t="s">
        <v>965</v>
      </c>
      <c r="C1504" s="56">
        <v>45895</v>
      </c>
      <c r="D1504" s="43">
        <v>295</v>
      </c>
      <c r="G1504" t="s">
        <v>1481</v>
      </c>
    </row>
    <row r="1505" spans="1:7">
      <c r="A1505" s="645" t="s">
        <v>492</v>
      </c>
      <c r="B1505" s="360" t="s">
        <v>397</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404</v>
      </c>
      <c r="B1511" s="648" t="s">
        <v>965</v>
      </c>
      <c r="C1511" s="56">
        <v>45896</v>
      </c>
      <c r="D1511" s="43">
        <v>400</v>
      </c>
      <c r="G1511" t="s">
        <v>1481</v>
      </c>
    </row>
    <row r="1512" spans="1:7">
      <c r="A1512" s="645" t="s">
        <v>396</v>
      </c>
      <c r="B1512" s="359" t="s">
        <v>397</v>
      </c>
      <c r="C1512" s="56">
        <v>45896</v>
      </c>
      <c r="D1512" s="43">
        <v>358</v>
      </c>
      <c r="F1512" s="43" t="s">
        <v>1510</v>
      </c>
      <c r="G1512" t="s">
        <v>1481</v>
      </c>
    </row>
    <row r="1513" spans="1:7">
      <c r="A1513" s="660" t="s">
        <v>492</v>
      </c>
      <c r="B1513" s="142" t="s">
        <v>397</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397</v>
      </c>
      <c r="C1518" s="56">
        <v>45897</v>
      </c>
      <c r="F1518" s="43" t="s">
        <v>1100</v>
      </c>
      <c r="G1518" t="s">
        <v>1481</v>
      </c>
    </row>
    <row r="1519" spans="1:7">
      <c r="A1519" s="600" t="s">
        <v>404</v>
      </c>
      <c r="B1519" s="648" t="s">
        <v>965</v>
      </c>
      <c r="C1519" s="56">
        <v>45897</v>
      </c>
      <c r="D1519" s="43">
        <v>320</v>
      </c>
      <c r="G1519" t="s">
        <v>1481</v>
      </c>
    </row>
    <row r="1520" spans="1:7">
      <c r="A1520" s="645" t="s">
        <v>396</v>
      </c>
      <c r="B1520" s="360" t="s">
        <v>397</v>
      </c>
      <c r="C1520" s="56">
        <v>45897</v>
      </c>
      <c r="F1520" s="315" t="s">
        <v>1238</v>
      </c>
      <c r="G1520" t="s">
        <v>1481</v>
      </c>
    </row>
    <row r="1521" spans="1:7">
      <c r="A1521" s="124" t="s">
        <v>492</v>
      </c>
      <c r="B1521" s="359" t="s">
        <v>397</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492</v>
      </c>
      <c r="B1524" s="315" t="s">
        <v>397</v>
      </c>
      <c r="C1524" s="56">
        <v>45898</v>
      </c>
      <c r="F1524" s="142" t="s">
        <v>1088</v>
      </c>
      <c r="G1524" t="s">
        <v>1481</v>
      </c>
    </row>
    <row r="1525" spans="1:7">
      <c r="A1525" s="330" t="s">
        <v>393</v>
      </c>
      <c r="B1525" s="319" t="s">
        <v>965</v>
      </c>
      <c r="C1525" s="56">
        <v>45898</v>
      </c>
      <c r="D1525" s="43">
        <v>6</v>
      </c>
      <c r="F1525" s="43" t="s">
        <v>1516</v>
      </c>
      <c r="G1525" t="s">
        <v>1481</v>
      </c>
    </row>
    <row r="1526" spans="1:7">
      <c r="A1526" s="348" t="s">
        <v>497</v>
      </c>
      <c r="B1526" s="315" t="s">
        <v>397</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393</v>
      </c>
      <c r="B1531" s="319" t="s">
        <v>965</v>
      </c>
      <c r="C1531" s="56">
        <v>45902</v>
      </c>
      <c r="D1531" s="43">
        <v>15</v>
      </c>
      <c r="F1531" s="43" t="s">
        <v>1522</v>
      </c>
      <c r="G1531" t="s">
        <v>1519</v>
      </c>
    </row>
    <row r="1532" spans="1:7">
      <c r="A1532" s="251" t="s">
        <v>492</v>
      </c>
      <c r="B1532" s="315" t="s">
        <v>397</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393</v>
      </c>
      <c r="B1539" s="322" t="s">
        <v>965</v>
      </c>
      <c r="C1539" s="56">
        <v>45903</v>
      </c>
      <c r="D1539" s="43">
        <v>65</v>
      </c>
      <c r="F1539" s="142" t="s">
        <v>1529</v>
      </c>
      <c r="G1539" t="s">
        <v>1519</v>
      </c>
    </row>
    <row r="1540" spans="1:7">
      <c r="A1540" s="665" t="s">
        <v>492</v>
      </c>
      <c r="B1540" s="359" t="s">
        <v>397</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396</v>
      </c>
      <c r="B1546" s="315" t="s">
        <v>965</v>
      </c>
      <c r="C1546" s="56">
        <v>45904</v>
      </c>
      <c r="D1546" s="43">
        <v>99</v>
      </c>
      <c r="F1546" s="43" t="s">
        <v>1533</v>
      </c>
      <c r="G1546" t="s">
        <v>1519</v>
      </c>
    </row>
    <row r="1547" spans="1:7">
      <c r="A1547" s="600" t="s">
        <v>393</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474</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393</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396</v>
      </c>
      <c r="B1586" s="251" t="s">
        <v>965</v>
      </c>
      <c r="C1586" s="56">
        <v>45916</v>
      </c>
      <c r="F1586" s="755" t="s">
        <v>1546</v>
      </c>
      <c r="G1586" t="s">
        <v>1519</v>
      </c>
    </row>
    <row r="1587" spans="1:7">
      <c r="A1587" s="116" t="s">
        <v>393</v>
      </c>
      <c r="B1587" s="382" t="s">
        <v>965</v>
      </c>
      <c r="C1587" s="56">
        <v>45916</v>
      </c>
      <c r="F1587" s="753" t="s">
        <v>1546</v>
      </c>
      <c r="G1587" t="s">
        <v>1519</v>
      </c>
    </row>
    <row r="1588" spans="1:7">
      <c r="A1588" s="665" t="s">
        <v>399</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399</v>
      </c>
      <c r="B1594" s="309" t="s">
        <v>235</v>
      </c>
      <c r="C1594" s="56">
        <v>45917</v>
      </c>
      <c r="D1594" s="43">
        <v>253</v>
      </c>
      <c r="F1594" s="754"/>
      <c r="G1594" t="s">
        <v>1519</v>
      </c>
    </row>
    <row r="1595" spans="1:7">
      <c r="A1595" s="330" t="s">
        <v>396</v>
      </c>
      <c r="B1595" s="315" t="s">
        <v>965</v>
      </c>
      <c r="C1595" s="56">
        <v>45917</v>
      </c>
      <c r="F1595" s="315" t="s">
        <v>1435</v>
      </c>
      <c r="G1595" t="s">
        <v>1519</v>
      </c>
    </row>
    <row r="1596" spans="1:7">
      <c r="A1596" s="251" t="s">
        <v>492</v>
      </c>
      <c r="B1596" s="315" t="s">
        <v>965</v>
      </c>
      <c r="C1596" s="56">
        <v>45917</v>
      </c>
      <c r="D1596" s="43">
        <v>139</v>
      </c>
      <c r="F1596" s="754"/>
      <c r="G1596" t="s">
        <v>1519</v>
      </c>
    </row>
    <row r="1597" spans="1:7">
      <c r="A1597" s="88" t="s">
        <v>481</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399</v>
      </c>
      <c r="B1604" s="142" t="s">
        <v>235</v>
      </c>
      <c r="C1604" s="56">
        <v>45918</v>
      </c>
      <c r="D1604" s="156">
        <v>1076</v>
      </c>
      <c r="F1604" s="754"/>
      <c r="G1604" t="s">
        <v>1519</v>
      </c>
    </row>
    <row r="1605" spans="1:7">
      <c r="A1605" s="158" t="s">
        <v>396</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399</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399</v>
      </c>
      <c r="B1617" s="308" t="s">
        <v>235</v>
      </c>
      <c r="C1617" s="56">
        <v>45922</v>
      </c>
      <c r="F1617" s="315" t="s">
        <v>1559</v>
      </c>
      <c r="G1617" t="s">
        <v>1519</v>
      </c>
    </row>
    <row r="1618" spans="1:7">
      <c r="A1618" s="329" t="s">
        <v>492</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399</v>
      </c>
      <c r="B1626" s="777" t="s">
        <v>235</v>
      </c>
      <c r="C1626" s="56">
        <v>45923</v>
      </c>
      <c r="D1626" s="43">
        <v>120</v>
      </c>
      <c r="F1626" s="69"/>
      <c r="G1626" t="s">
        <v>1519</v>
      </c>
    </row>
    <row r="1627" spans="1:7">
      <c r="A1627" s="158" t="s">
        <v>396</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399</v>
      </c>
      <c r="B1637" s="777" t="s">
        <v>235</v>
      </c>
      <c r="C1637" s="56">
        <v>45924</v>
      </c>
      <c r="D1637" s="43">
        <v>190</v>
      </c>
      <c r="F1637" s="69"/>
      <c r="G1637" t="s">
        <v>1519</v>
      </c>
    </row>
    <row r="1638" spans="1:7">
      <c r="A1638" s="158" t="s">
        <v>404</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478</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399</v>
      </c>
      <c r="B1652" s="777" t="s">
        <v>235</v>
      </c>
      <c r="C1652" s="56">
        <v>45925</v>
      </c>
      <c r="F1652" s="142" t="s">
        <v>1105</v>
      </c>
      <c r="G1652" t="s">
        <v>1519</v>
      </c>
    </row>
    <row r="1653" spans="1:7">
      <c r="A1653" s="158" t="s">
        <v>404</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402</v>
      </c>
      <c r="B1660" s="308" t="s">
        <v>235</v>
      </c>
      <c r="C1660" s="56">
        <v>45926</v>
      </c>
      <c r="D1660" s="43">
        <v>551</v>
      </c>
      <c r="G1660" t="s">
        <v>1519</v>
      </c>
    </row>
    <row r="1661" spans="1:7">
      <c r="A1661" s="329" t="s">
        <v>404</v>
      </c>
      <c r="B1661" s="251" t="s">
        <v>965</v>
      </c>
      <c r="C1661" s="56">
        <v>45926</v>
      </c>
      <c r="F1661" s="310" t="s">
        <v>1577</v>
      </c>
      <c r="G1661" t="s">
        <v>1519</v>
      </c>
    </row>
    <row r="1662" spans="1:7">
      <c r="A1662" s="315" t="s">
        <v>1013</v>
      </c>
      <c r="B1662" s="251" t="s">
        <v>965</v>
      </c>
      <c r="C1662" s="56">
        <v>45926</v>
      </c>
      <c r="D1662" s="43">
        <v>755</v>
      </c>
      <c r="G1662" t="s">
        <v>1519</v>
      </c>
    </row>
    <row r="1663" spans="1:7">
      <c r="A1663" s="135" t="s">
        <v>478</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396</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399</v>
      </c>
      <c r="B1672" s="322" t="s">
        <v>235</v>
      </c>
      <c r="C1672" s="56">
        <v>45929</v>
      </c>
      <c r="D1672" s="43">
        <v>479</v>
      </c>
      <c r="G1672" t="s">
        <v>1519</v>
      </c>
    </row>
    <row r="1673" spans="1:7">
      <c r="A1673" s="43" t="s">
        <v>402</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481</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402</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402</v>
      </c>
      <c r="B1695" s="359" t="s">
        <v>235</v>
      </c>
      <c r="C1695" s="56">
        <v>45931</v>
      </c>
      <c r="D1695" s="43">
        <v>224</v>
      </c>
      <c r="G1695" t="s">
        <v>1585</v>
      </c>
    </row>
    <row r="1696" spans="1:7">
      <c r="A1696" s="135" t="s">
        <v>481</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402</v>
      </c>
      <c r="B1706" s="359" t="s">
        <v>235</v>
      </c>
      <c r="C1706" s="56">
        <v>45932</v>
      </c>
      <c r="D1706" s="43">
        <v>789</v>
      </c>
      <c r="F1706" s="43" t="s">
        <v>1591</v>
      </c>
      <c r="G1706" t="s">
        <v>1585</v>
      </c>
    </row>
    <row r="1707" spans="1:7">
      <c r="A1707" s="142" t="s">
        <v>399</v>
      </c>
      <c r="B1707" s="142" t="s">
        <v>235</v>
      </c>
      <c r="C1707" s="56">
        <v>45932</v>
      </c>
      <c r="D1707" s="43">
        <v>170</v>
      </c>
      <c r="G1707" t="s">
        <v>1585</v>
      </c>
    </row>
    <row r="1708" spans="1:7">
      <c r="A1708" s="135" t="s">
        <v>481</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402</v>
      </c>
      <c r="B1715" s="142" t="s">
        <v>235</v>
      </c>
      <c r="C1715" s="56">
        <v>45933</v>
      </c>
      <c r="F1715" s="43" t="s">
        <v>1594</v>
      </c>
      <c r="G1715" t="s">
        <v>1585</v>
      </c>
    </row>
    <row r="1716" spans="1:7">
      <c r="A1716" s="310" t="s">
        <v>399</v>
      </c>
      <c r="B1716" s="142" t="s">
        <v>235</v>
      </c>
      <c r="C1716" s="56">
        <v>45933</v>
      </c>
      <c r="F1716" s="43" t="s">
        <v>1594</v>
      </c>
      <c r="G1716" t="s">
        <v>1585</v>
      </c>
    </row>
    <row r="1717" spans="1:7">
      <c r="A1717" s="135" t="s">
        <v>988</v>
      </c>
      <c r="B1717" s="315" t="s">
        <v>965</v>
      </c>
      <c r="C1717" s="56">
        <v>45936</v>
      </c>
      <c r="D1717" s="43">
        <v>65</v>
      </c>
      <c r="G1717" t="s">
        <v>1585</v>
      </c>
    </row>
    <row r="1718" spans="1:7">
      <c r="A1718" s="600" t="s">
        <v>481</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402</v>
      </c>
      <c r="B1727" s="315" t="s">
        <v>235</v>
      </c>
      <c r="C1727" s="56">
        <v>45936</v>
      </c>
      <c r="D1727" s="156">
        <v>1088</v>
      </c>
      <c r="F1727" s="43" t="s">
        <v>1589</v>
      </c>
      <c r="G1727" t="s">
        <v>1585</v>
      </c>
    </row>
    <row r="1728" spans="1:7">
      <c r="A1728" s="135" t="s">
        <v>481</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402</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402</v>
      </c>
      <c r="B1748" s="321" t="s">
        <v>235</v>
      </c>
      <c r="C1748" s="56">
        <v>45938</v>
      </c>
      <c r="D1748" s="43">
        <v>512</v>
      </c>
      <c r="F1748" s="43" t="s">
        <v>1536</v>
      </c>
      <c r="G1748" t="s">
        <v>1585</v>
      </c>
    </row>
    <row r="1749" spans="1:7">
      <c r="A1749" s="610" t="s">
        <v>478</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402</v>
      </c>
      <c r="B1758" s="321" t="s">
        <v>235</v>
      </c>
      <c r="C1758" s="56">
        <v>45939</v>
      </c>
      <c r="D1758" s="43">
        <v>369</v>
      </c>
      <c r="G1758" t="s">
        <v>1585</v>
      </c>
    </row>
    <row r="1759" spans="1:7">
      <c r="A1759" s="116" t="s">
        <v>399</v>
      </c>
      <c r="B1759" s="321" t="s">
        <v>235</v>
      </c>
      <c r="C1759" s="56">
        <v>45939</v>
      </c>
      <c r="D1759" s="43">
        <v>725</v>
      </c>
      <c r="G1759" t="s">
        <v>1585</v>
      </c>
    </row>
    <row r="1760" spans="1:7">
      <c r="A1760" s="124" t="s">
        <v>478</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486</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486</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486</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486</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404</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486</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481</v>
      </c>
      <c r="B1814" s="780" t="s">
        <v>965</v>
      </c>
      <c r="C1814" s="56">
        <v>45950</v>
      </c>
      <c r="D1814" s="43">
        <v>153</v>
      </c>
      <c r="F1814" s="989"/>
      <c r="G1814" t="s">
        <v>1585</v>
      </c>
    </row>
    <row r="1815" spans="1:7">
      <c r="A1815" s="987" t="s">
        <v>486</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481</v>
      </c>
      <c r="B1822" s="999" t="s">
        <v>965</v>
      </c>
      <c r="C1822" s="56">
        <v>45951</v>
      </c>
      <c r="D1822" s="156">
        <v>244</v>
      </c>
      <c r="G1822" t="s">
        <v>1585</v>
      </c>
    </row>
    <row r="1823" spans="1:7">
      <c r="A1823" s="88" t="s">
        <v>486</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407</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486</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407</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481</v>
      </c>
      <c r="B1842" s="1016" t="s">
        <v>965</v>
      </c>
      <c r="C1842" s="56">
        <v>45953</v>
      </c>
      <c r="D1842" s="43">
        <v>237</v>
      </c>
      <c r="G1842" t="s">
        <v>1585</v>
      </c>
    </row>
    <row r="1843" spans="1:7">
      <c r="A1843" s="335" t="s">
        <v>486</v>
      </c>
      <c r="B1843" s="251" t="s">
        <v>1576</v>
      </c>
      <c r="C1843" s="314">
        <v>45953</v>
      </c>
      <c r="D1843" s="43">
        <v>844</v>
      </c>
      <c r="F1843" s="43" t="s">
        <v>1646</v>
      </c>
      <c r="G1843" t="s">
        <v>1585</v>
      </c>
    </row>
    <row r="1844" spans="1:7">
      <c r="A1844" s="335" t="s">
        <v>486</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407</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486</v>
      </c>
      <c r="B1854" s="251" t="s">
        <v>1576</v>
      </c>
      <c r="C1854" s="56">
        <v>45954</v>
      </c>
      <c r="D1854" s="43">
        <v>142</v>
      </c>
      <c r="F1854" s="43" t="s">
        <v>1653</v>
      </c>
      <c r="G1854" t="s">
        <v>1585</v>
      </c>
    </row>
    <row r="1855" spans="1:7">
      <c r="A1855" s="88" t="s">
        <v>486</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486</v>
      </c>
      <c r="B1861" s="251" t="s">
        <v>1576</v>
      </c>
      <c r="C1861" s="56">
        <v>45957</v>
      </c>
      <c r="F1861" s="43" t="s">
        <v>1054</v>
      </c>
      <c r="G1861" t="s">
        <v>1585</v>
      </c>
    </row>
    <row r="1862" spans="1:7">
      <c r="A1862" s="88" t="s">
        <v>486</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404</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486</v>
      </c>
      <c r="B1874" s="251" t="s">
        <v>1576</v>
      </c>
      <c r="C1874" s="56">
        <v>45958</v>
      </c>
      <c r="F1874" s="324" t="s">
        <v>1238</v>
      </c>
      <c r="G1874" t="s">
        <v>1585</v>
      </c>
    </row>
    <row r="1875" spans="1:7">
      <c r="A1875" s="88" t="s">
        <v>486</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478</v>
      </c>
      <c r="B1886" s="412" t="s">
        <v>965</v>
      </c>
      <c r="C1886" s="56">
        <v>45959</v>
      </c>
      <c r="D1886" s="43">
        <v>171</v>
      </c>
      <c r="G1886" t="s">
        <v>1585</v>
      </c>
    </row>
    <row r="1887" spans="1:7">
      <c r="A1887" s="88" t="s">
        <v>486</v>
      </c>
      <c r="B1887" s="251" t="s">
        <v>1576</v>
      </c>
      <c r="C1887" s="56">
        <v>45959</v>
      </c>
      <c r="F1887" s="43" t="s">
        <v>1671</v>
      </c>
      <c r="G1887" t="s">
        <v>1585</v>
      </c>
    </row>
    <row r="1888" spans="1:7">
      <c r="A1888" s="88" t="s">
        <v>486</v>
      </c>
      <c r="B1888" s="251" t="s">
        <v>1672</v>
      </c>
      <c r="C1888" s="56">
        <v>45959</v>
      </c>
      <c r="D1888" s="156">
        <v>1147</v>
      </c>
      <c r="F1888" s="43" t="s">
        <v>1673</v>
      </c>
      <c r="G1888" t="s">
        <v>1585</v>
      </c>
    </row>
    <row r="1889" spans="1:7">
      <c r="A1889" s="88" t="s">
        <v>486</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486</v>
      </c>
      <c r="B1899" s="251" t="s">
        <v>1576</v>
      </c>
      <c r="C1899" s="56">
        <v>45960</v>
      </c>
      <c r="F1899" s="324" t="s">
        <v>1680</v>
      </c>
      <c r="G1899" t="s">
        <v>1585</v>
      </c>
    </row>
    <row r="1900" spans="1:7">
      <c r="A1900" s="88" t="s">
        <v>486</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430</v>
      </c>
      <c r="B1906" s="171" t="s">
        <v>159</v>
      </c>
      <c r="C1906" s="56">
        <v>45960</v>
      </c>
      <c r="D1906" s="43">
        <v>978</v>
      </c>
      <c r="G1906" t="s">
        <v>1585</v>
      </c>
    </row>
    <row r="1907" spans="1:7">
      <c r="A1907" s="171" t="s">
        <v>436</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486</v>
      </c>
      <c r="B1915" s="251" t="s">
        <v>1576</v>
      </c>
      <c r="C1915" s="56">
        <v>45961</v>
      </c>
      <c r="F1915" s="324" t="s">
        <v>1261</v>
      </c>
      <c r="G1915" t="s">
        <v>1585</v>
      </c>
    </row>
    <row r="1916" spans="1:7">
      <c r="A1916" s="88" t="s">
        <v>486</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407</v>
      </c>
      <c r="B1925" s="162" t="s">
        <v>1620</v>
      </c>
      <c r="C1925" s="56">
        <v>45961</v>
      </c>
      <c r="D1925" s="43">
        <v>168</v>
      </c>
      <c r="G1925" t="s">
        <v>1585</v>
      </c>
    </row>
    <row r="1926" spans="1:7">
      <c r="A1926" s="124" t="s">
        <v>982</v>
      </c>
      <c r="B1926" s="315" t="s">
        <v>965</v>
      </c>
      <c r="C1926" s="56">
        <v>45964</v>
      </c>
      <c r="F1926" s="320" t="s">
        <v>1690</v>
      </c>
      <c r="G1926" t="s">
        <v>1695</v>
      </c>
    </row>
    <row r="1927" spans="1:7">
      <c r="A1927" s="633" t="s">
        <v>486</v>
      </c>
      <c r="B1927" s="319" t="s">
        <v>1672</v>
      </c>
      <c r="C1927" s="56">
        <v>45964</v>
      </c>
      <c r="F1927" s="324" t="s">
        <v>1345</v>
      </c>
      <c r="G1927" t="s">
        <v>1695</v>
      </c>
    </row>
    <row r="1928" spans="1:7">
      <c r="A1928" s="308" t="s">
        <v>430</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436</v>
      </c>
      <c r="B1932" s="308" t="s">
        <v>965</v>
      </c>
      <c r="C1932" s="56">
        <v>45964</v>
      </c>
      <c r="D1932" s="43">
        <v>259</v>
      </c>
      <c r="G1932" t="s">
        <v>1695</v>
      </c>
    </row>
    <row r="1933" spans="1:7">
      <c r="A1933" s="142" t="s">
        <v>407</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409</v>
      </c>
      <c r="B1938" s="1065" t="s">
        <v>965</v>
      </c>
      <c r="C1938" s="56">
        <v>45964</v>
      </c>
      <c r="D1938" s="43">
        <v>207</v>
      </c>
      <c r="G1938" t="s">
        <v>1695</v>
      </c>
    </row>
    <row r="1939" spans="1:7">
      <c r="A1939" s="142" t="s">
        <v>455</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486</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430</v>
      </c>
      <c r="B1946" s="142" t="s">
        <v>159</v>
      </c>
      <c r="C1946" s="56">
        <v>45965</v>
      </c>
      <c r="D1946" s="43">
        <v>990</v>
      </c>
      <c r="F1946" s="43" t="s">
        <v>1100</v>
      </c>
      <c r="G1946" t="s">
        <v>1695</v>
      </c>
    </row>
    <row r="1947" spans="1:7">
      <c r="A1947" s="43" t="s">
        <v>436</v>
      </c>
      <c r="B1947" s="43" t="s">
        <v>1704</v>
      </c>
      <c r="C1947" s="56">
        <v>45965</v>
      </c>
      <c r="D1947" s="43">
        <v>817</v>
      </c>
      <c r="G1947" t="s">
        <v>1695</v>
      </c>
    </row>
    <row r="1948" spans="1:7">
      <c r="A1948" s="43" t="s">
        <v>436</v>
      </c>
      <c r="B1948" s="43" t="s">
        <v>965</v>
      </c>
      <c r="C1948" s="56">
        <v>45965</v>
      </c>
      <c r="D1948" s="43">
        <v>270</v>
      </c>
      <c r="G1948" t="s">
        <v>1695</v>
      </c>
    </row>
    <row r="1949" spans="1:7">
      <c r="A1949" s="635" t="s">
        <v>407</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455</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430</v>
      </c>
      <c r="B1959" s="308" t="s">
        <v>159</v>
      </c>
      <c r="C1959" s="56">
        <v>45966</v>
      </c>
      <c r="D1959" s="43">
        <v>549</v>
      </c>
      <c r="F1959" s="43" t="s">
        <v>1122</v>
      </c>
      <c r="G1959" t="s">
        <v>1695</v>
      </c>
    </row>
    <row r="1960" spans="1:7">
      <c r="A1960" s="308" t="s">
        <v>436</v>
      </c>
      <c r="B1960" s="308" t="s">
        <v>1704</v>
      </c>
      <c r="C1960" s="56">
        <v>45966</v>
      </c>
      <c r="D1960" s="156">
        <v>1377</v>
      </c>
      <c r="G1960" t="s">
        <v>1695</v>
      </c>
    </row>
    <row r="1961" spans="1:7">
      <c r="A1961" s="308" t="s">
        <v>436</v>
      </c>
      <c r="B1961" s="308" t="s">
        <v>965</v>
      </c>
      <c r="C1961" s="56">
        <v>45966</v>
      </c>
      <c r="D1961" s="43">
        <v>829</v>
      </c>
      <c r="G1961" t="s">
        <v>1695</v>
      </c>
    </row>
    <row r="1962" spans="1:7">
      <c r="A1962" s="308" t="s">
        <v>439</v>
      </c>
      <c r="B1962" s="308" t="s">
        <v>159</v>
      </c>
      <c r="C1962" s="56">
        <v>45966</v>
      </c>
      <c r="D1962" s="156">
        <v>1031</v>
      </c>
      <c r="G1962" t="s">
        <v>1695</v>
      </c>
    </row>
    <row r="1963" spans="1:7">
      <c r="A1963" s="142" t="s">
        <v>407</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455</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436</v>
      </c>
      <c r="B1974" s="43" t="s">
        <v>1704</v>
      </c>
      <c r="C1974" s="56">
        <v>45967</v>
      </c>
      <c r="D1974" s="43">
        <v>183</v>
      </c>
      <c r="G1974" t="s">
        <v>1695</v>
      </c>
    </row>
    <row r="1975" spans="1:7">
      <c r="A1975" s="43" t="s">
        <v>436</v>
      </c>
      <c r="B1975" s="43" t="s">
        <v>965</v>
      </c>
      <c r="C1975" s="56">
        <v>45967</v>
      </c>
      <c r="D1975" s="43">
        <v>270</v>
      </c>
      <c r="G1975" t="s">
        <v>1695</v>
      </c>
    </row>
    <row r="1976" spans="1:7">
      <c r="A1976" s="635" t="s">
        <v>407</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406</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484</v>
      </c>
      <c r="B1983" s="357" t="s">
        <v>1647</v>
      </c>
      <c r="C1983" s="56">
        <v>45968</v>
      </c>
      <c r="D1983" s="43">
        <v>451</v>
      </c>
      <c r="G1983" t="s">
        <v>1695</v>
      </c>
    </row>
    <row r="1984" spans="1:7">
      <c r="A1984" s="308" t="s">
        <v>436</v>
      </c>
      <c r="B1984" s="142" t="s">
        <v>1704</v>
      </c>
      <c r="C1984" s="56">
        <v>45968</v>
      </c>
      <c r="G1984" t="s">
        <v>1695</v>
      </c>
    </row>
    <row r="1985" spans="1:7">
      <c r="A1985" s="142" t="s">
        <v>406</v>
      </c>
      <c r="B1985" s="308" t="s">
        <v>965</v>
      </c>
      <c r="C1985" s="56">
        <v>45968</v>
      </c>
      <c r="D1985" s="43">
        <v>350</v>
      </c>
      <c r="G1985" t="s">
        <v>1695</v>
      </c>
    </row>
    <row r="1986" spans="1:7">
      <c r="A1986" s="142" t="s">
        <v>406</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402</v>
      </c>
      <c r="B1989" s="43" t="s">
        <v>235</v>
      </c>
      <c r="C1989" s="56">
        <v>45968</v>
      </c>
      <c r="D1989" s="43">
        <v>569</v>
      </c>
      <c r="G1989" t="s">
        <v>1695</v>
      </c>
    </row>
    <row r="1990" spans="1:7">
      <c r="A1990" s="251" t="s">
        <v>467</v>
      </c>
      <c r="B1990" s="43" t="s">
        <v>159</v>
      </c>
      <c r="C1990" s="56">
        <v>45968</v>
      </c>
      <c r="D1990" s="156">
        <v>2948</v>
      </c>
      <c r="G1990" t="s">
        <v>1695</v>
      </c>
    </row>
    <row r="1991" spans="1:7">
      <c r="A1991" s="994" t="s">
        <v>486</v>
      </c>
      <c r="B1991" s="357" t="s">
        <v>1647</v>
      </c>
      <c r="C1991" s="56">
        <v>45971</v>
      </c>
      <c r="D1991" s="156">
        <v>560</v>
      </c>
      <c r="G1991" t="s">
        <v>1695</v>
      </c>
    </row>
    <row r="1992" spans="1:7">
      <c r="A1992" s="315" t="s">
        <v>436</v>
      </c>
      <c r="B1992" s="315" t="s">
        <v>965</v>
      </c>
      <c r="C1992" s="56">
        <v>45971</v>
      </c>
      <c r="D1992" s="43">
        <v>558</v>
      </c>
      <c r="G1992" t="s">
        <v>1695</v>
      </c>
    </row>
    <row r="1993" spans="1:7">
      <c r="A1993" s="315" t="s">
        <v>436</v>
      </c>
      <c r="B1993" s="315" t="s">
        <v>219</v>
      </c>
      <c r="C1993" s="56">
        <v>45971</v>
      </c>
      <c r="F1993" s="43" t="s">
        <v>1410</v>
      </c>
      <c r="G1993" t="s">
        <v>1695</v>
      </c>
    </row>
    <row r="1994" spans="1:7">
      <c r="A1994" s="319" t="s">
        <v>439</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430</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467</v>
      </c>
      <c r="B2001" s="315" t="s">
        <v>159</v>
      </c>
      <c r="C2001" s="56">
        <v>45971</v>
      </c>
      <c r="D2001" s="156">
        <v>4084</v>
      </c>
      <c r="G2001" t="s">
        <v>1695</v>
      </c>
    </row>
    <row r="2002" spans="1:7">
      <c r="A2002" s="142" t="s">
        <v>430</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436</v>
      </c>
      <c r="B2007" s="43" t="s">
        <v>1400</v>
      </c>
      <c r="C2007" s="56">
        <v>45973</v>
      </c>
      <c r="F2007" s="315" t="s">
        <v>1407</v>
      </c>
      <c r="G2007" t="s">
        <v>1695</v>
      </c>
    </row>
    <row r="2008" spans="1:7">
      <c r="A2008" s="43" t="s">
        <v>419</v>
      </c>
      <c r="B2008" s="43" t="s">
        <v>159</v>
      </c>
      <c r="C2008" s="56">
        <v>45973</v>
      </c>
      <c r="D2008" s="156">
        <v>1580</v>
      </c>
      <c r="F2008" s="43" t="s">
        <v>1540</v>
      </c>
      <c r="G2008" t="s">
        <v>1695</v>
      </c>
    </row>
    <row r="2009" spans="1:7">
      <c r="A2009" s="43" t="s">
        <v>439</v>
      </c>
      <c r="B2009" s="116" t="s">
        <v>159</v>
      </c>
      <c r="C2009" s="56">
        <v>45973</v>
      </c>
      <c r="D2009" s="43">
        <v>890</v>
      </c>
      <c r="G2009" t="s">
        <v>1695</v>
      </c>
    </row>
    <row r="2010" spans="1:7">
      <c r="A2010" s="43" t="s">
        <v>439</v>
      </c>
      <c r="B2010" s="116" t="s">
        <v>219</v>
      </c>
      <c r="C2010" s="56">
        <v>45973</v>
      </c>
      <c r="F2010" s="43" t="s">
        <v>1402</v>
      </c>
      <c r="G2010" t="s">
        <v>1695</v>
      </c>
    </row>
    <row r="2011" spans="1:7">
      <c r="A2011" s="43" t="s">
        <v>417</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412</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467</v>
      </c>
      <c r="B2017" s="43" t="s">
        <v>159</v>
      </c>
      <c r="C2017" s="56">
        <v>45973</v>
      </c>
      <c r="D2017" s="43">
        <v>242</v>
      </c>
      <c r="G2017" t="s">
        <v>1695</v>
      </c>
    </row>
    <row r="2018" spans="1:7">
      <c r="A2018" s="43" t="s">
        <v>465</v>
      </c>
      <c r="B2018" s="43" t="s">
        <v>159</v>
      </c>
      <c r="C2018" s="56">
        <v>45973</v>
      </c>
      <c r="D2018" s="156">
        <v>1264</v>
      </c>
      <c r="G2018" t="s">
        <v>1695</v>
      </c>
    </row>
    <row r="2019" spans="1:7">
      <c r="A2019" s="43" t="s">
        <v>469</v>
      </c>
      <c r="B2019" s="43" t="s">
        <v>159</v>
      </c>
      <c r="C2019" s="56">
        <v>45973</v>
      </c>
      <c r="D2019" s="156">
        <v>3678</v>
      </c>
      <c r="G2019" t="s">
        <v>1695</v>
      </c>
    </row>
    <row r="2020" spans="1:7">
      <c r="A2020" s="43" t="s">
        <v>436</v>
      </c>
      <c r="B2020" s="43" t="s">
        <v>1400</v>
      </c>
      <c r="C2020" s="56">
        <v>45974</v>
      </c>
      <c r="F2020" s="43" t="s">
        <v>1468</v>
      </c>
      <c r="G2020" t="s">
        <v>1695</v>
      </c>
    </row>
    <row r="2021" spans="1:7">
      <c r="A2021" s="43" t="s">
        <v>419</v>
      </c>
      <c r="B2021" s="43" t="s">
        <v>159</v>
      </c>
      <c r="C2021" s="56">
        <v>45974</v>
      </c>
      <c r="D2021" s="156">
        <v>1258</v>
      </c>
      <c r="F2021" s="43" t="s">
        <v>1728</v>
      </c>
      <c r="G2021" t="s">
        <v>1695</v>
      </c>
    </row>
    <row r="2022" spans="1:7">
      <c r="A2022" s="43" t="s">
        <v>417</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412</v>
      </c>
      <c r="B2027" s="43" t="s">
        <v>1620</v>
      </c>
      <c r="C2027" s="56">
        <v>45974</v>
      </c>
      <c r="D2027" s="156">
        <v>2912</v>
      </c>
      <c r="G2027" t="s">
        <v>1695</v>
      </c>
    </row>
    <row r="2028" spans="1:7">
      <c r="A2028" s="635" t="s">
        <v>376</v>
      </c>
      <c r="B2028" s="43" t="s">
        <v>1400</v>
      </c>
      <c r="C2028" s="56">
        <v>45974</v>
      </c>
      <c r="F2028" s="43" t="s">
        <v>1122</v>
      </c>
      <c r="G2028" t="s">
        <v>1695</v>
      </c>
    </row>
    <row r="2029" spans="1:7">
      <c r="A2029" s="43" t="s">
        <v>469</v>
      </c>
      <c r="B2029" s="43" t="s">
        <v>159</v>
      </c>
      <c r="C2029" s="56">
        <v>45974</v>
      </c>
      <c r="D2029" s="156">
        <v>3382</v>
      </c>
      <c r="G2029" t="s">
        <v>1695</v>
      </c>
    </row>
    <row r="2030" spans="1:7">
      <c r="A2030" s="43" t="s">
        <v>465</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436</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412</v>
      </c>
      <c r="B2038" s="319" t="s">
        <v>1620</v>
      </c>
      <c r="C2038" s="56">
        <v>45975</v>
      </c>
      <c r="D2038" s="156">
        <v>2125</v>
      </c>
      <c r="G2038" t="s">
        <v>1695</v>
      </c>
    </row>
    <row r="2039" spans="1:7">
      <c r="A2039" s="142" t="s">
        <v>436</v>
      </c>
      <c r="B2039" s="142" t="s">
        <v>1400</v>
      </c>
      <c r="C2039" s="56">
        <v>45978</v>
      </c>
      <c r="D2039" s="43">
        <v>127</v>
      </c>
      <c r="G2039" t="s">
        <v>1695</v>
      </c>
    </row>
    <row r="2040" spans="1:7">
      <c r="A2040" s="142" t="s">
        <v>436</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421</v>
      </c>
      <c r="B2044" s="360" t="s">
        <v>159</v>
      </c>
      <c r="C2044" s="56">
        <v>45978</v>
      </c>
      <c r="D2044" s="43">
        <v>762</v>
      </c>
      <c r="G2044" t="s">
        <v>1695</v>
      </c>
    </row>
    <row r="2045" spans="1:7">
      <c r="A2045" s="142" t="s">
        <v>417</v>
      </c>
      <c r="B2045" s="360" t="s">
        <v>159</v>
      </c>
      <c r="C2045" s="56">
        <v>45978</v>
      </c>
      <c r="D2045" s="43">
        <v>956</v>
      </c>
      <c r="F2045" s="43" t="s">
        <v>1735</v>
      </c>
      <c r="G2045" t="s">
        <v>1695</v>
      </c>
    </row>
    <row r="2046" spans="1:7">
      <c r="A2046" s="309" t="s">
        <v>404</v>
      </c>
      <c r="B2046" s="322" t="s">
        <v>965</v>
      </c>
      <c r="C2046" s="56">
        <v>45978</v>
      </c>
      <c r="D2046" s="43">
        <v>176</v>
      </c>
      <c r="G2046" t="s">
        <v>1695</v>
      </c>
    </row>
    <row r="2047" spans="1:7">
      <c r="A2047" s="142" t="s">
        <v>404</v>
      </c>
      <c r="B2047" s="360" t="s">
        <v>965</v>
      </c>
      <c r="C2047" s="56">
        <v>45978</v>
      </c>
      <c r="D2047" s="43">
        <v>270</v>
      </c>
      <c r="G2047" t="s">
        <v>1695</v>
      </c>
    </row>
    <row r="2048" spans="1:7">
      <c r="A2048" s="142" t="s">
        <v>241</v>
      </c>
      <c r="B2048" s="360" t="s">
        <v>1730</v>
      </c>
      <c r="C2048" s="56">
        <v>45978</v>
      </c>
      <c r="D2048" s="43">
        <v>420</v>
      </c>
      <c r="G2048" t="s">
        <v>1695</v>
      </c>
    </row>
    <row r="2049" spans="1:7">
      <c r="A2049" s="308" t="s">
        <v>412</v>
      </c>
      <c r="B2049" s="308" t="s">
        <v>1620</v>
      </c>
      <c r="C2049" s="56">
        <v>45978</v>
      </c>
      <c r="D2049" s="156">
        <v>1449</v>
      </c>
      <c r="G2049" t="s">
        <v>1695</v>
      </c>
    </row>
    <row r="2050" spans="1:7">
      <c r="A2050" s="142" t="s">
        <v>336</v>
      </c>
      <c r="B2050" s="142" t="s">
        <v>159</v>
      </c>
      <c r="C2050" s="56">
        <v>45978</v>
      </c>
      <c r="D2050" s="156">
        <v>5466</v>
      </c>
      <c r="G2050" t="s">
        <v>1695</v>
      </c>
    </row>
    <row r="2051" spans="1:7">
      <c r="A2051" s="308" t="s">
        <v>465</v>
      </c>
      <c r="B2051" s="308" t="s">
        <v>159</v>
      </c>
      <c r="C2051" s="56">
        <v>45978</v>
      </c>
      <c r="D2051" s="156">
        <v>1662</v>
      </c>
      <c r="G2051" t="s">
        <v>1695</v>
      </c>
    </row>
    <row r="2052" spans="1:7">
      <c r="A2052" s="308" t="s">
        <v>341</v>
      </c>
      <c r="B2052" s="308" t="s">
        <v>159</v>
      </c>
      <c r="C2052" s="56">
        <v>45978</v>
      </c>
      <c r="D2052" s="156">
        <v>1498</v>
      </c>
      <c r="G2052" t="s">
        <v>1695</v>
      </c>
    </row>
    <row r="2053" spans="1:7">
      <c r="A2053" s="308" t="s">
        <v>486</v>
      </c>
      <c r="B2053" s="308" t="s">
        <v>1647</v>
      </c>
      <c r="C2053" s="56">
        <v>45979</v>
      </c>
      <c r="D2053" s="156">
        <v>17</v>
      </c>
      <c r="G2053" t="s">
        <v>1695</v>
      </c>
    </row>
    <row r="2054" spans="1:7">
      <c r="A2054" s="308" t="s">
        <v>1025</v>
      </c>
      <c r="B2054" s="308" t="s">
        <v>1647</v>
      </c>
      <c r="C2054" s="56">
        <v>45979</v>
      </c>
      <c r="D2054" s="156">
        <v>12</v>
      </c>
      <c r="G2054" t="s">
        <v>1695</v>
      </c>
    </row>
    <row r="2055" spans="1:7">
      <c r="A2055" s="43" t="s">
        <v>439</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424</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421</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404</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465</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424</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421</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404</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421</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424</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404</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412</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465</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451</v>
      </c>
      <c r="B2102" s="43" t="s">
        <v>965</v>
      </c>
      <c r="C2102" s="56">
        <v>45982</v>
      </c>
      <c r="E2102" s="325">
        <v>2257</v>
      </c>
      <c r="F2102" s="69" t="s">
        <v>1408</v>
      </c>
      <c r="G2102" t="s">
        <v>1695</v>
      </c>
    </row>
    <row r="2103" spans="1:7">
      <c r="A2103" s="69" t="s">
        <v>453</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478</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421</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424</v>
      </c>
      <c r="B2113" s="1168" t="s">
        <v>159</v>
      </c>
      <c r="C2113" s="56">
        <v>45985</v>
      </c>
      <c r="D2113" s="43">
        <v>572</v>
      </c>
      <c r="F2113" s="69" t="s">
        <v>1760</v>
      </c>
      <c r="G2113" t="s">
        <v>1695</v>
      </c>
    </row>
    <row r="2114" spans="1:7">
      <c r="A2114" s="171" t="s">
        <v>427</v>
      </c>
      <c r="B2114" s="171" t="s">
        <v>965</v>
      </c>
      <c r="C2114" s="56">
        <v>45985</v>
      </c>
      <c r="D2114" s="43">
        <v>286</v>
      </c>
      <c r="E2114" s="204"/>
      <c r="F2114" s="149"/>
      <c r="G2114" t="s">
        <v>1695</v>
      </c>
    </row>
    <row r="2115" spans="1:7">
      <c r="A2115" s="43" t="s">
        <v>417</v>
      </c>
      <c r="B2115" s="43" t="s">
        <v>965</v>
      </c>
      <c r="C2115" s="56">
        <v>45985</v>
      </c>
      <c r="D2115" s="140"/>
      <c r="E2115" s="43">
        <v>734</v>
      </c>
      <c r="F2115" s="69"/>
      <c r="G2115" t="s">
        <v>1695</v>
      </c>
    </row>
    <row r="2116" spans="1:7">
      <c r="A2116" s="43" t="s">
        <v>419</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407</v>
      </c>
      <c r="B2118" s="382" t="s">
        <v>1620</v>
      </c>
      <c r="C2118" s="56">
        <v>45985</v>
      </c>
      <c r="D2118" s="140"/>
      <c r="E2118" s="43"/>
      <c r="F2118" s="1167" t="s">
        <v>1762</v>
      </c>
      <c r="G2118" t="s">
        <v>1695</v>
      </c>
    </row>
    <row r="2119" spans="1:7">
      <c r="A2119" s="444" t="s">
        <v>406</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478</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427</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407</v>
      </c>
      <c r="B2131" s="382" t="s">
        <v>1620</v>
      </c>
      <c r="C2131" s="56">
        <v>45986</v>
      </c>
      <c r="D2131" s="140"/>
      <c r="E2131" s="43"/>
      <c r="F2131" s="777" t="s">
        <v>1768</v>
      </c>
      <c r="G2131" t="s">
        <v>1695</v>
      </c>
    </row>
    <row r="2132" spans="1:7">
      <c r="A2132" s="444" t="s">
        <v>406</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478</v>
      </c>
      <c r="B2145" s="315" t="s">
        <v>965</v>
      </c>
      <c r="C2145" s="56">
        <v>45987</v>
      </c>
      <c r="F2145" s="803" t="s">
        <v>1238</v>
      </c>
      <c r="G2145" t="s">
        <v>1695</v>
      </c>
    </row>
    <row r="2146" spans="1:7">
      <c r="A2146" s="827" t="s">
        <v>427</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407</v>
      </c>
      <c r="B2151" s="310" t="s">
        <v>1620</v>
      </c>
      <c r="C2151" s="56">
        <v>45987</v>
      </c>
      <c r="D2151" s="140"/>
      <c r="E2151" s="43"/>
      <c r="F2151" s="777" t="s">
        <v>1768</v>
      </c>
      <c r="G2151" t="s">
        <v>1695</v>
      </c>
    </row>
    <row r="2152" spans="1:7">
      <c r="A2152" s="142" t="s">
        <v>406</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455</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445</v>
      </c>
      <c r="B2160" s="315" t="s">
        <v>965</v>
      </c>
      <c r="C2160" s="56">
        <v>45987</v>
      </c>
      <c r="E2160" s="140">
        <v>175</v>
      </c>
      <c r="G2160" t="s">
        <v>1695</v>
      </c>
    </row>
    <row r="2161" spans="1:7">
      <c r="A2161" s="310" t="s">
        <v>445</v>
      </c>
      <c r="B2161" s="319" t="s">
        <v>159</v>
      </c>
      <c r="C2161" s="56">
        <v>45987</v>
      </c>
      <c r="E2161" s="325">
        <v>2455</v>
      </c>
      <c r="F2161" s="43" t="s">
        <v>1777</v>
      </c>
      <c r="G2161" t="s">
        <v>1695</v>
      </c>
    </row>
    <row r="2162" spans="1:7">
      <c r="A2162" s="310" t="s">
        <v>447</v>
      </c>
      <c r="B2162" s="319" t="s">
        <v>965</v>
      </c>
      <c r="C2162" s="56">
        <v>45987</v>
      </c>
      <c r="E2162" s="140">
        <v>376</v>
      </c>
      <c r="G2162" t="s">
        <v>1695</v>
      </c>
    </row>
    <row r="2163" spans="1:7">
      <c r="A2163" s="310" t="s">
        <v>447</v>
      </c>
      <c r="B2163" s="757" t="s">
        <v>159</v>
      </c>
      <c r="C2163" s="56">
        <v>45987</v>
      </c>
      <c r="E2163" s="140">
        <v>404</v>
      </c>
      <c r="F2163" s="43" t="s">
        <v>1778</v>
      </c>
      <c r="G2163" t="s">
        <v>1695</v>
      </c>
    </row>
    <row r="2164" spans="1:7">
      <c r="A2164" s="315" t="s">
        <v>449</v>
      </c>
      <c r="B2164" s="315" t="s">
        <v>965</v>
      </c>
      <c r="C2164" s="56">
        <v>45987</v>
      </c>
      <c r="E2164" s="325">
        <v>1264</v>
      </c>
      <c r="G2164" t="s">
        <v>1695</v>
      </c>
    </row>
    <row r="2165" spans="1:7">
      <c r="A2165" s="319" t="s">
        <v>458</v>
      </c>
      <c r="B2165" s="319" t="s">
        <v>965</v>
      </c>
      <c r="C2165" s="56">
        <v>45987</v>
      </c>
      <c r="E2165" s="325">
        <v>1520</v>
      </c>
      <c r="G2165" t="s">
        <v>1695</v>
      </c>
    </row>
    <row r="2166" spans="1:7">
      <c r="A2166" s="319" t="s">
        <v>459</v>
      </c>
      <c r="B2166" s="319" t="s">
        <v>1400</v>
      </c>
      <c r="C2166" s="56">
        <v>45987</v>
      </c>
      <c r="E2166" s="325">
        <v>1739</v>
      </c>
      <c r="G2166" t="s">
        <v>1695</v>
      </c>
    </row>
    <row r="2167" spans="1:7">
      <c r="A2167" s="319" t="s">
        <v>461</v>
      </c>
      <c r="B2167" s="319" t="s">
        <v>965</v>
      </c>
      <c r="C2167" s="56">
        <v>45987</v>
      </c>
      <c r="E2167" s="325">
        <v>1584</v>
      </c>
      <c r="G2167" t="s">
        <v>1695</v>
      </c>
    </row>
    <row r="2168" spans="1:7">
      <c r="A2168" s="319" t="s">
        <v>463</v>
      </c>
      <c r="B2168" s="319" t="s">
        <v>965</v>
      </c>
      <c r="C2168" s="56">
        <v>45987</v>
      </c>
      <c r="E2168" s="325">
        <v>1140</v>
      </c>
      <c r="G2168" t="s">
        <v>1695</v>
      </c>
    </row>
    <row r="2169" spans="1:7">
      <c r="A2169" s="319" t="s">
        <v>464</v>
      </c>
      <c r="B2169" s="319" t="s">
        <v>965</v>
      </c>
      <c r="C2169" s="56">
        <v>45987</v>
      </c>
      <c r="E2169" s="140">
        <v>692</v>
      </c>
      <c r="G2169" t="s">
        <v>1695</v>
      </c>
    </row>
    <row r="2170" spans="1:7">
      <c r="C2170" s="56">
        <v>45988</v>
      </c>
      <c r="G2170" t="s">
        <v>1695</v>
      </c>
    </row>
    <row r="2171" spans="1:7">
      <c r="A2171" s="251" t="s">
        <v>421</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465</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488</v>
      </c>
      <c r="B3" s="547" t="s">
        <v>224</v>
      </c>
      <c r="C3" s="709">
        <v>45742</v>
      </c>
      <c r="D3" s="710" t="s">
        <v>490</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492</v>
      </c>
      <c r="B5" s="421" t="s">
        <v>224</v>
      </c>
      <c r="C5" s="414">
        <v>45991</v>
      </c>
      <c r="D5" s="552" t="s">
        <v>493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495</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496</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404</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493</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474</v>
      </c>
      <c r="B148" s="420" t="s">
        <v>50</v>
      </c>
      <c r="C148" s="414">
        <v>45991</v>
      </c>
      <c r="D148" s="424" t="s">
        <v>476</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481</v>
      </c>
      <c r="B169" s="420" t="s">
        <v>50</v>
      </c>
      <c r="C169" s="596">
        <v>45991</v>
      </c>
      <c r="D169" s="424" t="s">
        <v>482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1862</v>
      </c>
      <c r="C1" s="1187"/>
      <c r="D1" s="575"/>
      <c r="E1" s="1187" t="s">
        <v>1863</v>
      </c>
      <c r="F1" s="1187"/>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1890</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478</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474</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481</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6BC3E6-23DA-47C2-8EF2-96BB190EF8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2025-12-01T18:59:11Z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