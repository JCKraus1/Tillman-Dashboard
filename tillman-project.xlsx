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23" documentId="8_{E14B221E-02E2-46A3-8CEC-C736815F2DD5}" xr6:coauthVersionLast="47" xr6:coauthVersionMax="47" xr10:uidLastSave="{C5CED340-85D5-498B-A120-C28BA87FD54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Footage'!$A$85:$DQ$85</definedName>
    <definedName name="_xlnm._FilterDatabase" localSheetId="8" hidden="1">'UG Condensed'!$A$1:$BE$142</definedName>
  </definedNames>
  <calcPr calcId="191028"/>
  <pivotCaches>
    <pivotCache cacheId="20176" r:id="rId12"/>
    <pivotCache cacheId="20177" r:id="rId13"/>
    <pivotCache cacheId="20178" r:id="rId14"/>
    <pivotCache cacheId="20179" r:id="rId15"/>
    <pivotCache cacheId="201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U157" i="30"/>
  <c r="Y65" i="31"/>
  <c r="X65" i="31"/>
  <c r="Y62" i="31"/>
  <c r="X62" i="31"/>
  <c r="Y44" i="31"/>
  <c r="X44" i="31"/>
  <c r="Y81" i="2"/>
  <c r="X81" i="2"/>
  <c r="Y82" i="2"/>
  <c r="X82" i="2"/>
  <c r="Y11" i="31"/>
  <c r="X11" i="31"/>
  <c r="Y28" i="31"/>
  <c r="X28" i="31"/>
  <c r="Y27" i="31"/>
  <c r="X27"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1" i="31"/>
  <c r="X21" i="31"/>
  <c r="X17" i="31"/>
  <c r="Y76" i="31"/>
  <c r="X76" i="31"/>
  <c r="Y71" i="31"/>
  <c r="X71" i="31"/>
  <c r="Y32" i="31"/>
  <c r="X32" i="31"/>
  <c r="X31" i="31"/>
  <c r="U166" i="30"/>
  <c r="U168" i="30"/>
  <c r="U165" i="30"/>
  <c r="U167"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5" i="31"/>
  <c r="X25" i="31"/>
  <c r="X75" i="2"/>
  <c r="Y75" i="2"/>
  <c r="Y19" i="32"/>
  <c r="X19" i="32"/>
  <c r="X88" i="2"/>
  <c r="X89" i="2"/>
  <c r="Y88" i="2"/>
  <c r="Y89" i="2"/>
  <c r="Y11" i="32"/>
  <c r="X11" i="32"/>
  <c r="Y93" i="2"/>
  <c r="Y94" i="2"/>
  <c r="Y95" i="2"/>
  <c r="Y96" i="2"/>
  <c r="Y97" i="2"/>
  <c r="Y98" i="2"/>
  <c r="Y99" i="2"/>
  <c r="Y100" i="2"/>
  <c r="Y101" i="2"/>
  <c r="Y102" i="2"/>
  <c r="Y103" i="2"/>
  <c r="Y104" i="2"/>
  <c r="Y68" i="31"/>
  <c r="X68" i="31"/>
  <c r="Y61" i="31"/>
  <c r="X61" i="31"/>
  <c r="Y35" i="31"/>
  <c r="X35" i="31"/>
  <c r="Y69" i="31"/>
  <c r="X69" i="31"/>
  <c r="Y64" i="31"/>
  <c r="X64" i="31"/>
  <c r="Y58" i="31"/>
  <c r="X58" i="31"/>
  <c r="Y60" i="2"/>
  <c r="X60" i="2"/>
  <c r="Y69" i="2"/>
  <c r="X69" i="2"/>
  <c r="Y30" i="32"/>
  <c r="X30" i="32"/>
  <c r="Y19" i="31"/>
  <c r="X19" i="31"/>
  <c r="U135" i="30"/>
  <c r="Y29" i="32"/>
  <c r="X29" i="32"/>
  <c r="Y20" i="32"/>
  <c r="X20" i="32"/>
  <c r="X63" i="31"/>
  <c r="Y63" i="31"/>
  <c r="X60" i="31"/>
  <c r="Y60" i="31"/>
  <c r="X56" i="31"/>
  <c r="Y56" i="31"/>
  <c r="X86" i="2"/>
  <c r="X87" i="2"/>
  <c r="U42" i="30"/>
  <c r="U152" i="30"/>
  <c r="X31" i="32"/>
  <c r="Y31" i="32"/>
  <c r="X24" i="31"/>
  <c r="Y24" i="31"/>
  <c r="Y74" i="2"/>
  <c r="X74" i="2"/>
  <c r="X37" i="32"/>
  <c r="Y37" i="32"/>
  <c r="X43" i="31"/>
  <c r="Y43" i="31"/>
  <c r="X18" i="31"/>
  <c r="Y18" i="31"/>
  <c r="X30" i="31"/>
  <c r="Y30" i="31"/>
  <c r="Y26" i="2"/>
  <c r="X26" i="2"/>
  <c r="Y57" i="31"/>
  <c r="X57" i="31"/>
  <c r="Y54" i="31"/>
  <c r="X54" i="31"/>
  <c r="Y20" i="31"/>
  <c r="X20" i="31"/>
  <c r="Y33" i="31"/>
  <c r="X33" i="31"/>
  <c r="Y26" i="32"/>
  <c r="X26" i="32"/>
  <c r="Y52" i="31"/>
  <c r="X52" i="31"/>
  <c r="Y68" i="2"/>
  <c r="X68" i="2"/>
  <c r="T31" i="8"/>
  <c r="U31" i="8"/>
  <c r="T29" i="8"/>
  <c r="U29" i="8"/>
  <c r="Y38" i="32"/>
  <c r="X38" i="32"/>
  <c r="Y59" i="31"/>
  <c r="X59" i="31"/>
  <c r="Y51" i="31"/>
  <c r="X51" i="31"/>
  <c r="Y23" i="31"/>
  <c r="X23" i="31"/>
  <c r="Y2" i="32"/>
  <c r="X2" i="32"/>
  <c r="Y64" i="2"/>
  <c r="X64" i="2"/>
  <c r="X63" i="2"/>
  <c r="Y63" i="2"/>
  <c r="Y28" i="32"/>
  <c r="X28" i="32"/>
  <c r="Y27" i="32"/>
  <c r="X27" i="32"/>
  <c r="Y43" i="32"/>
  <c r="X43" i="32"/>
  <c r="X73" i="31"/>
  <c r="Y73" i="31"/>
  <c r="Y39" i="2"/>
  <c r="X39" i="2"/>
  <c r="Y6" i="31"/>
  <c r="X6" i="31"/>
  <c r="Y29" i="31"/>
  <c r="X29" i="31"/>
  <c r="Y86" i="2"/>
  <c r="Y87" i="2"/>
  <c r="X73" i="2"/>
  <c r="Y73" i="2"/>
  <c r="Y46" i="31"/>
  <c r="X46" i="31"/>
  <c r="Y19" i="2"/>
  <c r="X19" i="2"/>
  <c r="Y55" i="31"/>
  <c r="X55" i="31"/>
  <c r="Y53" i="31"/>
  <c r="X53" i="31"/>
  <c r="Y50" i="31"/>
  <c r="X50" i="31"/>
  <c r="Y48" i="31"/>
  <c r="X48" i="31"/>
  <c r="Y47" i="31"/>
  <c r="X47" i="31"/>
  <c r="Y45" i="31"/>
  <c r="X45" i="31"/>
  <c r="Y22" i="31"/>
  <c r="X22" i="31"/>
  <c r="Y26" i="31"/>
  <c r="X26" i="31"/>
  <c r="Y33" i="2"/>
  <c r="X33" i="2"/>
  <c r="X11" i="2"/>
  <c r="Y11" i="2"/>
  <c r="X14" i="2"/>
  <c r="Y14" i="2"/>
  <c r="Y5" i="31"/>
  <c r="X5" i="31"/>
  <c r="Y34" i="31"/>
  <c r="X34" i="31"/>
  <c r="X9" i="2"/>
  <c r="Y9" i="2"/>
  <c r="X10" i="2"/>
  <c r="Y10" i="2"/>
  <c r="Y20" i="2"/>
  <c r="X20" i="2"/>
  <c r="T164" i="30"/>
  <c r="X66" i="2"/>
  <c r="Y66" i="2"/>
  <c r="Y23" i="2"/>
  <c r="X23" i="2"/>
  <c r="Y24" i="32"/>
  <c r="X24" i="32"/>
  <c r="Y15" i="31"/>
  <c r="X15" i="31"/>
  <c r="Y25" i="32"/>
  <c r="X25" i="32"/>
  <c r="Y21" i="2"/>
  <c r="X21" i="2"/>
  <c r="Y9" i="31"/>
  <c r="X9" i="31"/>
  <c r="Y16" i="31"/>
  <c r="X16" i="31"/>
  <c r="Y23" i="32"/>
  <c r="X23" i="32"/>
  <c r="Y24" i="2"/>
  <c r="X24" i="2"/>
  <c r="Y41" i="2"/>
  <c r="Y40" i="2"/>
  <c r="X40" i="2"/>
  <c r="Y21" i="32"/>
  <c r="X21" i="32"/>
  <c r="X62" i="2"/>
  <c r="Y62" i="2"/>
  <c r="X70" i="2"/>
  <c r="Y70"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1" i="2"/>
  <c r="X65" i="2"/>
  <c r="X67" i="2"/>
  <c r="X71" i="2"/>
  <c r="X72" i="2"/>
  <c r="X76" i="2"/>
  <c r="X77" i="2"/>
  <c r="X78" i="2"/>
  <c r="X79" i="2"/>
  <c r="X80" i="2"/>
  <c r="X45" i="2"/>
  <c r="X22" i="2"/>
  <c r="X25" i="2"/>
  <c r="X28" i="2"/>
  <c r="X29" i="2"/>
  <c r="X30" i="2"/>
  <c r="X31" i="2"/>
  <c r="X32" i="2"/>
  <c r="X34" i="2"/>
  <c r="X35" i="2"/>
  <c r="X36" i="2"/>
  <c r="X37" i="2"/>
  <c r="X38" i="2"/>
  <c r="X18" i="2"/>
  <c r="X3" i="2"/>
  <c r="X4" i="2"/>
  <c r="X5" i="2"/>
  <c r="X6" i="2"/>
  <c r="X7" i="2"/>
  <c r="X8" i="2"/>
  <c r="Y52" i="2"/>
  <c r="Y53" i="2"/>
  <c r="Y54" i="2"/>
  <c r="Y55" i="2"/>
  <c r="Y56" i="2"/>
  <c r="Y57" i="2"/>
  <c r="Y58" i="2"/>
  <c r="Y59" i="2"/>
  <c r="Y61" i="2"/>
  <c r="Y65" i="2"/>
  <c r="Y67" i="2"/>
  <c r="Y71" i="2"/>
  <c r="Y72" i="2"/>
  <c r="Y48" i="2"/>
  <c r="Y49" i="2"/>
  <c r="Y32" i="2"/>
  <c r="Y18" i="2"/>
  <c r="Y22" i="2"/>
  <c r="Y80" i="2"/>
  <c r="Y79" i="2"/>
  <c r="Y78" i="2"/>
  <c r="Y77" i="2"/>
  <c r="Y7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<sst xmlns="http://schemas.openxmlformats.org/spreadsheetml/2006/main" count="17517" uniqueCount="2250">
  <si>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</si>
  <si>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</si>
  <si>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</si>
  <si>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</si>
  <si>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</si>
  <si>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</si>
  <si>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</si>
  <si>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</si>
  <si>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</si>
  <si>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</si>
  <si>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</si>
  <si>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</si>
  <si>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</si>
  <si>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</si>
  <si>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</si>
  <si>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</si>
  <si>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</si>
  <si>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</si>
  <si>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</si>
  <si>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</si>
  <si>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</si>
  <si>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</si>
  <si>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</si>
  <si>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</si>
  <si>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</si>
  <si>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</si>
  <si>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</si>
  <si>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</si>
  <si>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</si>
  <si>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</si>
  <si>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</si>
  <si>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</si>
  <si>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</si>
  <si>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</si>
  <si>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</si>
  <si>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</si>
  <si>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</si>
  <si>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</si>
  <si>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</si>
  <si>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</si>
  <si>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</si>
  <si>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</si>
  <si>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</si>
  <si>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</si>
  <si>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</si>
  <si>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</si>
  <si>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</si>
  <si>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</si>
  <si>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</si>
  <si>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</si>
  <si>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</si>
  <si>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</si>
  <si>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</si>
  <si>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</si>
  <si>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</si>
  <si>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</si>
  <si>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</si>
  <si>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</si>
  <si>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</si>
  <si>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</si>
  <si>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</si>
  <si>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</si>
  <si>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</si>
  <si>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</si>
  <si>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</si>
  <si>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</si>
  <si>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</si>
  <si>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</si>
  <si>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</si>
  <si>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</si>
  <si>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</si>
  <si>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</si>
  <si>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</si>
  <si>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</si>
  <si>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</si>
  <si>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</si>
  <si>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</si>
  <si>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</si>
  <si>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</si>
  <si>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</si>
  <si>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</si>
  <si>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</si>
  <si>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</si>
  <si>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</si>
  <si>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</si>
  <si>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</si>
  <si>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</si>
  <si>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</si>
  <si>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</si>
  <si>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</si>
  <si>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</si>
  <si>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</si>
  <si>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</si>
  <si>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</si>
  <si>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</si>
  <si>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</si>
  <si>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</si>
  <si>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</si>
  <si>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</si>
  <si>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</si>
  <si>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</si>
  <si>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</si>
  <si>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</si>
  <si>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</si>
  <si>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</si>
  <si>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</si>
  <si>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</si>
  <si>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</si>
  <si>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</si>
  <si>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</si>
  <si>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</si>
  <si>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</si>
  <si>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</si>
  <si>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</si>
  <si>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</si>
  <si>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</si>
  <si>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</si>
  <si>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</si>
  <si>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</si>
  <si>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</si>
  <si>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</si>
  <si>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</si>
  <si>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</si>
  <si>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</si>
  <si>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</si>
  <si>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</si>
  <si>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</si>
  <si>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</si>
  <si>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</si>
  <si>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</si>
  <si>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</si>
  <si>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</si>
  <si>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</si>
  <si>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</si>
  <si>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</si>
  <si>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</si>
  <si>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</si>
  <si>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</si>
  <si>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</si>
  <si>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</si>
  <si>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</si>
  <si>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</si>
  <si>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</si>
  <si>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</si>
  <si>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</si>
  <si>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</si>
  <si>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</si>
  <si>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</si>
  <si>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</si>
  <si>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</si>
  <si>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</si>
  <si>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</si>
  <si>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</si>
  <si>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</si>
  <si>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</si>
  <si>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</si>
  <si>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</si>
  <si>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</si>
  <si>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</si>
  <si>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</si>
  <si>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</si>
  <si>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</si>
  <si>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</si>
  <si>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</si>
  <si>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</si>
  <si>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</si>
  <si>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</si>
  <si>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</si>
  <si>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</si>
  <si>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</si>
  <si>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</si>
  <si>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</si>
  <si>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</si>
  <si>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</si>
  <si>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</si>
  <si>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</si>
  <si>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</si>
  <si>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</si>
  <si>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</si>
  <si>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</si>
  <si>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</si>
  <si>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</si>
  <si>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</si>
  <si>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</si>
  <si>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</si>
  <si>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</si>
  <si>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</si>
  <si>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</si>
  <si>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</si>
  <si>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</si>
  <si>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</si>
  <si>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</si>
  <si>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</si>
  <si>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</si>
  <si>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</si>
  <si>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</si>
  <si>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</si>
  <si>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</si>
  <si>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</si>
  <si>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</si>
  <si>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</si>
  <si>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</si>
  <si>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</si>
  <si>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</si>
  <si>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</si>
  <si>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</si>
  <si>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</si>
  <si>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</si>
  <si>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</si>
  <si>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</si>
  <si>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</si>
  <si>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</si>
  <si>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</si>
  <si>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</si>
  <si>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</si>
  <si>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</si>
  <si>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</si>
  <si>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</si>
  <si>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</si>
  <si>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</si>
  <si>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</si>
  <si>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</si>
  <si>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</si>
  <si>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</si>
  <si>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</si>
  <si>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</si>
  <si>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</si>
  <si>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</si>
  <si>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</si>
  <si>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</si>
  <si>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</si>
  <si>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</si>
  <si>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</si>
  <si>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</si>
  <si>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</si>
  <si>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</si>
  <si>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</si>
  <si>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</si>
  <si>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</si>
  <si>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</si>
  <si>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</si>
  <si>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</si>
  <si>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</si>
  <si>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</si>
  <si>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</si>
  <si>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</si>
  <si>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</si>
  <si>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</si>
  <si>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</si>
  <si>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</si>
  <si>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</si>
  <si>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</si>
  <si>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</si>
  <si>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</si>
  <si>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</si>
  <si>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</si>
  <si>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</si>
  <si>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</si>
  <si>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</si>
  <si>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</si>
  <si>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Completed on Track</t>
  </si>
  <si>
    <t>Completed</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</si>
  <si>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</si>
  <si>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</si>
  <si>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</si>
  <si>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</si>
  <si>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</si>
  <si>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</si>
  <si>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GN Systems</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</si>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</sst>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0" borderId="119"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2" totalsRowShown="0" headerRowDxfId="248" dataDxfId="247" tableBorderDxfId="246">
  <autoFilter ref="A44:AD82"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D89" totalsRowShown="0" headerRowDxfId="149" dataDxfId="148" tableBorderDxfId="147">
  <autoFilter ref="A85:AD89"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SUM(V86-W86)</calculatedColumnFormula>
    </tableColumn>
    <tableColumn id="25" xr3:uid="{46B32F0B-D8D7-45A5-8929-840D7A8ECF37}" name="UG Percentage Complete" dataDxfId="122">
      <calculatedColumnFormula>IFERROR($W86/$V86,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16" dataDxfId="115" tableBorderDxfId="114">
  <autoFilter ref="A92:AD104"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IFERROR($W93/$V93,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0"/>
  <sheetViews>
    <sheetView tabSelected="1" topLeftCell="A118" zoomScale="90" zoomScaleNormal="90" workbookViewId="0">
      <pane xSplit="1" topLeftCell="B40" activePane="topRight" state="frozen"/>
      <selection pane="topRight" activeCell="A51" sqref="A51:XFD51"/>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0" si="5">SUM(V45-W45)</f>
        <v>6210</v>
      </c>
      <c r="Y45" s="658">
        <f t="shared" ref="Y45:Y80"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1" t="s">
        <v>202</v>
      </c>
      <c r="B51" s="825" t="s">
        <v>180</v>
      </c>
      <c r="C51" s="1175">
        <v>45999</v>
      </c>
      <c r="D51" s="1195" t="s">
        <v>192</v>
      </c>
      <c r="E51" s="1195">
        <v>45975</v>
      </c>
      <c r="F51" s="1196" t="s">
        <v>193</v>
      </c>
      <c r="G51" s="1195" t="s">
        <v>203</v>
      </c>
      <c r="H51" s="826">
        <v>48</v>
      </c>
      <c r="I51" s="1177" t="s">
        <v>55</v>
      </c>
      <c r="J51" s="1177" t="s">
        <v>64</v>
      </c>
      <c r="K51" s="1177"/>
      <c r="L51" s="1195"/>
      <c r="M51" s="823" t="s">
        <v>57</v>
      </c>
      <c r="N51" s="827">
        <v>39064</v>
      </c>
      <c r="O51" s="823" t="s">
        <v>57</v>
      </c>
      <c r="P51" s="1210" t="s">
        <v>90</v>
      </c>
      <c r="Q51" s="1200">
        <v>45932</v>
      </c>
      <c r="R51" s="1200"/>
      <c r="S51" s="1200"/>
      <c r="T51" s="1200"/>
      <c r="U51" s="1200"/>
      <c r="V51" s="970">
        <v>2982</v>
      </c>
      <c r="W51" s="782"/>
      <c r="X51" s="1181">
        <f t="shared" si="5"/>
        <v>2982</v>
      </c>
      <c r="Y51" s="658">
        <f t="shared" si="6"/>
        <v>0</v>
      </c>
      <c r="Z51" s="1182"/>
      <c r="AA51" s="1183">
        <v>0</v>
      </c>
      <c r="AB51" s="1183">
        <v>0</v>
      </c>
      <c r="AC51" s="641">
        <v>0</v>
      </c>
      <c r="AD51" s="1184" t="s">
        <v>204</v>
      </c>
      <c r="AE51" s="1242"/>
    </row>
    <row r="52" spans="1:56" ht="24.75" customHeight="1">
      <c r="A52" s="1174" t="s">
        <v>205</v>
      </c>
      <c r="B52" s="825" t="s">
        <v>180</v>
      </c>
      <c r="C52" s="1175">
        <v>46249</v>
      </c>
      <c r="D52" s="1195"/>
      <c r="E52" s="1195"/>
      <c r="F52" s="1196"/>
      <c r="G52" s="1195"/>
      <c r="H52" s="1197">
        <v>52</v>
      </c>
      <c r="I52" s="823" t="s">
        <v>55</v>
      </c>
      <c r="J52" s="826" t="s">
        <v>64</v>
      </c>
      <c r="K52" s="1177"/>
      <c r="L52" s="1195"/>
      <c r="M52" s="823" t="s">
        <v>57</v>
      </c>
      <c r="N52" s="1208">
        <v>61830</v>
      </c>
      <c r="O52" s="823" t="s">
        <v>57</v>
      </c>
      <c r="P52" s="1210" t="s">
        <v>58</v>
      </c>
      <c r="Q52" s="1200"/>
      <c r="R52" s="1200"/>
      <c r="S52" s="1200"/>
      <c r="T52" s="1200"/>
      <c r="U52" s="1200"/>
      <c r="V52" s="1201">
        <v>5149</v>
      </c>
      <c r="W52" s="1181"/>
      <c r="X52" s="1181">
        <f t="shared" si="5"/>
        <v>5149</v>
      </c>
      <c r="Y52" s="658">
        <f t="shared" si="6"/>
        <v>0</v>
      </c>
      <c r="Z52" s="1182"/>
      <c r="AA52" s="1183">
        <v>0</v>
      </c>
      <c r="AB52" s="1183">
        <v>0</v>
      </c>
      <c r="AC52" s="641">
        <v>0</v>
      </c>
      <c r="AD52" s="1184" t="s">
        <v>206</v>
      </c>
      <c r="AE52" s="1242"/>
    </row>
    <row r="53" spans="1:56" ht="24.75" customHeight="1">
      <c r="A53" s="1174" t="s">
        <v>207</v>
      </c>
      <c r="B53" s="825" t="s">
        <v>180</v>
      </c>
      <c r="C53" s="1195">
        <v>46171</v>
      </c>
      <c r="D53" s="1195"/>
      <c r="E53" s="1195"/>
      <c r="F53" s="1196"/>
      <c r="G53" s="1195"/>
      <c r="H53" s="1197">
        <v>56</v>
      </c>
      <c r="I53" s="823" t="s">
        <v>55</v>
      </c>
      <c r="J53" s="826" t="s">
        <v>64</v>
      </c>
      <c r="K53" s="1177"/>
      <c r="L53" s="1195"/>
      <c r="M53" s="823" t="s">
        <v>57</v>
      </c>
      <c r="N53" s="1208">
        <v>75665</v>
      </c>
      <c r="O53" s="823" t="s">
        <v>57</v>
      </c>
      <c r="P53" s="1210" t="s">
        <v>58</v>
      </c>
      <c r="Q53" s="1200"/>
      <c r="R53" s="1200"/>
      <c r="S53" s="1200"/>
      <c r="T53" s="1200"/>
      <c r="U53" s="1200"/>
      <c r="V53" s="1201">
        <v>6249</v>
      </c>
      <c r="W53" s="1181"/>
      <c r="X53" s="1181">
        <f t="shared" si="5"/>
        <v>6249</v>
      </c>
      <c r="Y53" s="658">
        <f t="shared" si="6"/>
        <v>0</v>
      </c>
      <c r="Z53" s="1182"/>
      <c r="AA53" s="1183">
        <v>0</v>
      </c>
      <c r="AB53" s="1183">
        <v>0</v>
      </c>
      <c r="AC53" s="641">
        <v>0</v>
      </c>
      <c r="AD53" s="1184" t="s">
        <v>208</v>
      </c>
      <c r="AE53" s="1242"/>
    </row>
    <row r="54" spans="1:56" ht="24.75" customHeight="1">
      <c r="A54" s="1174" t="s">
        <v>209</v>
      </c>
      <c r="B54" s="825" t="s">
        <v>180</v>
      </c>
      <c r="C54" s="1195">
        <v>46171</v>
      </c>
      <c r="D54" s="1195"/>
      <c r="E54" s="1195"/>
      <c r="F54" s="1196"/>
      <c r="G54" s="1195" t="s">
        <v>210</v>
      </c>
      <c r="H54" s="826">
        <v>70</v>
      </c>
      <c r="I54" s="823" t="s">
        <v>55</v>
      </c>
      <c r="J54" s="826" t="s">
        <v>64</v>
      </c>
      <c r="K54" s="1177"/>
      <c r="L54" s="1195"/>
      <c r="M54" s="823" t="s">
        <v>57</v>
      </c>
      <c r="N54" s="827">
        <v>80624</v>
      </c>
      <c r="O54" s="823" t="s">
        <v>57</v>
      </c>
      <c r="P54" s="1210" t="s">
        <v>58</v>
      </c>
      <c r="Q54" s="1200"/>
      <c r="R54" s="1200"/>
      <c r="S54" s="1200"/>
      <c r="T54" s="1200"/>
      <c r="U54" s="1200"/>
      <c r="V54" s="970">
        <v>6762</v>
      </c>
      <c r="W54" s="782"/>
      <c r="X54" s="1181">
        <f t="shared" si="5"/>
        <v>6762</v>
      </c>
      <c r="Y54" s="658">
        <f t="shared" si="6"/>
        <v>0</v>
      </c>
      <c r="Z54" s="1182"/>
      <c r="AA54" s="1183">
        <v>0</v>
      </c>
      <c r="AB54" s="1183">
        <v>0</v>
      </c>
      <c r="AC54" s="641">
        <v>0</v>
      </c>
      <c r="AD54" s="1184" t="s">
        <v>211</v>
      </c>
      <c r="AE54" s="1242"/>
    </row>
    <row r="55" spans="1:56" ht="24.75" customHeight="1">
      <c r="A55" s="1174" t="s">
        <v>212</v>
      </c>
      <c r="B55" s="825" t="s">
        <v>180</v>
      </c>
      <c r="C55" s="1195">
        <v>46171</v>
      </c>
      <c r="D55" s="1195"/>
      <c r="E55" s="1195"/>
      <c r="F55" s="1196"/>
      <c r="G55" s="1195"/>
      <c r="H55" s="1197">
        <v>30</v>
      </c>
      <c r="I55" s="823" t="s">
        <v>55</v>
      </c>
      <c r="J55" s="826" t="s">
        <v>64</v>
      </c>
      <c r="K55" s="1177"/>
      <c r="L55" s="1195"/>
      <c r="M55" s="823" t="s">
        <v>57</v>
      </c>
      <c r="N55" s="1208">
        <v>45160</v>
      </c>
      <c r="O55" s="823" t="s">
        <v>57</v>
      </c>
      <c r="P55" s="1210" t="s">
        <v>58</v>
      </c>
      <c r="Q55" s="1200"/>
      <c r="R55" s="1200"/>
      <c r="S55" s="1200"/>
      <c r="T55" s="1200"/>
      <c r="U55" s="1200"/>
      <c r="V55" s="1201">
        <v>3700</v>
      </c>
      <c r="W55" s="1181"/>
      <c r="X55" s="1181">
        <f t="shared" si="5"/>
        <v>3700</v>
      </c>
      <c r="Y55" s="658">
        <f t="shared" si="6"/>
        <v>0</v>
      </c>
      <c r="Z55" s="1182"/>
      <c r="AA55" s="1183">
        <v>0</v>
      </c>
      <c r="AB55" s="1183">
        <v>0</v>
      </c>
      <c r="AC55" s="641">
        <v>0</v>
      </c>
      <c r="AD55" s="1184" t="s">
        <v>213</v>
      </c>
      <c r="AE55" s="1242"/>
    </row>
    <row r="56" spans="1:56" ht="24.75" customHeight="1">
      <c r="A56" s="1174" t="s">
        <v>214</v>
      </c>
      <c r="B56" s="825" t="s">
        <v>180</v>
      </c>
      <c r="C56" s="1195">
        <v>46171</v>
      </c>
      <c r="D56" s="1195"/>
      <c r="E56" s="1195"/>
      <c r="F56" s="1196"/>
      <c r="G56" s="1195"/>
      <c r="H56" s="826">
        <v>48</v>
      </c>
      <c r="I56" s="823" t="s">
        <v>55</v>
      </c>
      <c r="J56" s="826" t="s">
        <v>64</v>
      </c>
      <c r="K56" s="1177"/>
      <c r="L56" s="1195"/>
      <c r="M56" s="823" t="s">
        <v>57</v>
      </c>
      <c r="N56" s="827">
        <v>54814</v>
      </c>
      <c r="O56" s="823" t="s">
        <v>57</v>
      </c>
      <c r="P56" s="1210" t="s">
        <v>58</v>
      </c>
      <c r="Q56" s="1200"/>
      <c r="R56" s="1200"/>
      <c r="S56" s="1200"/>
      <c r="T56" s="1200"/>
      <c r="U56" s="1200"/>
      <c r="V56" s="970">
        <v>4515</v>
      </c>
      <c r="W56" s="782"/>
      <c r="X56" s="1181">
        <f t="shared" si="5"/>
        <v>4515</v>
      </c>
      <c r="Y56" s="658">
        <f t="shared" si="6"/>
        <v>0</v>
      </c>
      <c r="Z56" s="1182"/>
      <c r="AA56" s="1183">
        <v>0</v>
      </c>
      <c r="AB56" s="1183">
        <v>0</v>
      </c>
      <c r="AC56" s="641">
        <v>0</v>
      </c>
      <c r="AD56" s="1184" t="s">
        <v>215</v>
      </c>
      <c r="AE56" s="1242"/>
    </row>
    <row r="57" spans="1:56" ht="24.75" customHeight="1">
      <c r="A57" s="1174" t="s">
        <v>216</v>
      </c>
      <c r="B57" s="825" t="s">
        <v>180</v>
      </c>
      <c r="C57" s="1195">
        <v>46171</v>
      </c>
      <c r="D57" s="1195"/>
      <c r="E57" s="1195"/>
      <c r="F57" s="1196"/>
      <c r="G57" s="1195" t="s">
        <v>217</v>
      </c>
      <c r="H57" s="826">
        <v>60</v>
      </c>
      <c r="I57" s="823" t="s">
        <v>55</v>
      </c>
      <c r="J57" s="826" t="s">
        <v>64</v>
      </c>
      <c r="K57" s="1177"/>
      <c r="L57" s="1195"/>
      <c r="M57" s="823" t="s">
        <v>57</v>
      </c>
      <c r="N57" s="827">
        <v>76865.5</v>
      </c>
      <c r="O57" s="823" t="s">
        <v>57</v>
      </c>
      <c r="P57" s="1210" t="s">
        <v>58</v>
      </c>
      <c r="Q57" s="1200"/>
      <c r="R57" s="1200"/>
      <c r="S57" s="1200"/>
      <c r="T57" s="1200"/>
      <c r="U57" s="1200"/>
      <c r="V57" s="970">
        <v>5795</v>
      </c>
      <c r="W57" s="782"/>
      <c r="X57" s="1181">
        <f t="shared" si="5"/>
        <v>5795</v>
      </c>
      <c r="Y57" s="658">
        <f t="shared" si="6"/>
        <v>0</v>
      </c>
      <c r="Z57" s="1182"/>
      <c r="AA57" s="1183">
        <v>0</v>
      </c>
      <c r="AB57" s="1183">
        <v>0</v>
      </c>
      <c r="AC57" s="641">
        <v>0</v>
      </c>
      <c r="AD57" s="1184" t="s">
        <v>215</v>
      </c>
      <c r="AE57" s="1242"/>
    </row>
    <row r="58" spans="1:56" ht="24.75" customHeight="1">
      <c r="A58" s="1174" t="s">
        <v>218</v>
      </c>
      <c r="B58" s="825" t="s">
        <v>180</v>
      </c>
      <c r="C58" s="1195">
        <v>46171</v>
      </c>
      <c r="D58" s="1195"/>
      <c r="E58" s="1195"/>
      <c r="F58" s="1196"/>
      <c r="G58" s="1195" t="s">
        <v>219</v>
      </c>
      <c r="H58" s="826">
        <v>72</v>
      </c>
      <c r="I58" s="823" t="s">
        <v>55</v>
      </c>
      <c r="J58" s="826" t="s">
        <v>64</v>
      </c>
      <c r="K58" s="1177"/>
      <c r="L58" s="1195"/>
      <c r="M58" s="823" t="s">
        <v>57</v>
      </c>
      <c r="N58" s="827">
        <v>85035</v>
      </c>
      <c r="O58" s="823" t="s">
        <v>57</v>
      </c>
      <c r="P58" s="1210" t="s">
        <v>58</v>
      </c>
      <c r="Q58" s="1200"/>
      <c r="R58" s="1200"/>
      <c r="S58" s="1200"/>
      <c r="T58" s="1200"/>
      <c r="U58" s="1200"/>
      <c r="V58" s="970">
        <v>7140</v>
      </c>
      <c r="W58" s="782"/>
      <c r="X58" s="1181">
        <f t="shared" si="5"/>
        <v>7140</v>
      </c>
      <c r="Y58" s="658">
        <f t="shared" si="6"/>
        <v>0</v>
      </c>
      <c r="Z58" s="1182"/>
      <c r="AA58" s="1183">
        <v>0</v>
      </c>
      <c r="AB58" s="1183">
        <v>0</v>
      </c>
      <c r="AC58" s="641">
        <v>0</v>
      </c>
      <c r="AD58" s="1184" t="s">
        <v>215</v>
      </c>
      <c r="AE58" s="1242"/>
    </row>
    <row r="59" spans="1:56" ht="24.75" customHeight="1">
      <c r="A59" s="1174" t="s">
        <v>220</v>
      </c>
      <c r="B59" s="825" t="s">
        <v>180</v>
      </c>
      <c r="C59" s="1175">
        <v>45997</v>
      </c>
      <c r="D59" s="1195"/>
      <c r="E59" s="1195"/>
      <c r="F59" s="1196"/>
      <c r="G59" s="1195"/>
      <c r="H59" s="1197">
        <v>20</v>
      </c>
      <c r="I59" s="823" t="s">
        <v>55</v>
      </c>
      <c r="J59" s="826" t="s">
        <v>64</v>
      </c>
      <c r="K59" s="1177"/>
      <c r="L59" s="1195"/>
      <c r="M59" s="823" t="s">
        <v>57</v>
      </c>
      <c r="N59" s="1208">
        <v>23501</v>
      </c>
      <c r="O59" s="823" t="s">
        <v>57</v>
      </c>
      <c r="P59" s="1210" t="s">
        <v>58</v>
      </c>
      <c r="Q59" s="1200"/>
      <c r="R59" s="1200"/>
      <c r="S59" s="1200"/>
      <c r="T59" s="1200"/>
      <c r="U59" s="1200"/>
      <c r="V59" s="1201">
        <v>1831</v>
      </c>
      <c r="W59" s="1181"/>
      <c r="X59" s="1181">
        <f t="shared" si="5"/>
        <v>1831</v>
      </c>
      <c r="Y59" s="658">
        <f t="shared" si="6"/>
        <v>0</v>
      </c>
      <c r="Z59" s="1182"/>
      <c r="AA59" s="1183">
        <v>0</v>
      </c>
      <c r="AB59" s="1183">
        <v>0</v>
      </c>
      <c r="AC59" s="641">
        <v>0</v>
      </c>
      <c r="AD59" s="1184" t="s">
        <v>208</v>
      </c>
      <c r="AE59" s="1242"/>
    </row>
    <row r="60" spans="1:56" ht="24.75" customHeight="1">
      <c r="A60" s="1311" t="s">
        <v>221</v>
      </c>
      <c r="B60" s="825" t="s">
        <v>180</v>
      </c>
      <c r="C60" s="1312">
        <v>46052</v>
      </c>
      <c r="D60" s="1314"/>
      <c r="E60" s="1314"/>
      <c r="F60" s="1313"/>
      <c r="G60" s="1195"/>
      <c r="H60" s="1495"/>
      <c r="I60" s="823" t="s">
        <v>55</v>
      </c>
      <c r="J60" s="826" t="s">
        <v>64</v>
      </c>
      <c r="K60" s="1496"/>
      <c r="L60" s="1314"/>
      <c r="M60" s="823" t="s">
        <v>57</v>
      </c>
      <c r="N60" s="1497">
        <v>36998.550000000003</v>
      </c>
      <c r="O60" s="823" t="s">
        <v>57</v>
      </c>
      <c r="P60" s="1210" t="s">
        <v>58</v>
      </c>
      <c r="Q60" s="1498"/>
      <c r="R60" s="1498"/>
      <c r="S60" s="1498"/>
      <c r="T60" s="1498"/>
      <c r="U60" s="1498"/>
      <c r="V60" s="1499">
        <v>2944</v>
      </c>
      <c r="W60" s="1500"/>
      <c r="X60" s="1500">
        <f>SUM(V60-W60)</f>
        <v>2944</v>
      </c>
      <c r="Y60" s="658">
        <f>IFERROR($W60/$V60, 0)</f>
        <v>0</v>
      </c>
      <c r="Z60" s="1501"/>
      <c r="AA60" s="1183">
        <v>0</v>
      </c>
      <c r="AB60" s="1183">
        <v>0</v>
      </c>
      <c r="AC60" s="641">
        <v>0</v>
      </c>
      <c r="AD60" s="1184"/>
      <c r="AE60" s="1242"/>
    </row>
    <row r="61" spans="1:56" ht="24.75" customHeight="1">
      <c r="A61" s="1174" t="s">
        <v>222</v>
      </c>
      <c r="B61" s="825" t="s">
        <v>180</v>
      </c>
      <c r="C61" s="1175">
        <v>46112</v>
      </c>
      <c r="D61" s="1195"/>
      <c r="E61" s="1195"/>
      <c r="F61" s="1196"/>
      <c r="G61" s="1195" t="s">
        <v>223</v>
      </c>
      <c r="H61" s="1197">
        <v>0</v>
      </c>
      <c r="I61" s="1177" t="s">
        <v>55</v>
      </c>
      <c r="J61" s="826" t="s">
        <v>64</v>
      </c>
      <c r="K61" s="1177"/>
      <c r="L61" s="1195"/>
      <c r="M61" s="1197" t="s">
        <v>57</v>
      </c>
      <c r="N61" s="1208">
        <v>11518.95</v>
      </c>
      <c r="O61" s="1197" t="s">
        <v>57</v>
      </c>
      <c r="P61" s="1210" t="s">
        <v>58</v>
      </c>
      <c r="Q61" s="1200"/>
      <c r="R61" s="1200"/>
      <c r="S61" s="1200"/>
      <c r="T61" s="1200"/>
      <c r="U61" s="1200"/>
      <c r="V61" s="1243">
        <v>881</v>
      </c>
      <c r="W61" s="1181"/>
      <c r="X61" s="1181">
        <f t="shared" si="5"/>
        <v>881</v>
      </c>
      <c r="Y61" s="658">
        <f t="shared" si="6"/>
        <v>0</v>
      </c>
      <c r="Z61" s="1182"/>
      <c r="AA61" s="1183">
        <v>0</v>
      </c>
      <c r="AB61" s="1183">
        <v>0</v>
      </c>
      <c r="AC61" s="641">
        <v>0</v>
      </c>
      <c r="AD61" s="1184" t="s">
        <v>224</v>
      </c>
      <c r="AE61" s="1242"/>
    </row>
    <row r="62" spans="1:56" ht="24.75" customHeight="1">
      <c r="A62" s="1174" t="s">
        <v>225</v>
      </c>
      <c r="B62" s="825" t="s">
        <v>180</v>
      </c>
      <c r="C62" s="1175">
        <v>46112</v>
      </c>
      <c r="D62" s="1195"/>
      <c r="E62" s="1195"/>
      <c r="F62" s="1196"/>
      <c r="G62" s="1195" t="s">
        <v>226</v>
      </c>
      <c r="H62" s="1197">
        <v>20</v>
      </c>
      <c r="I62" s="823" t="s">
        <v>55</v>
      </c>
      <c r="J62" s="826" t="s">
        <v>64</v>
      </c>
      <c r="K62" s="1177"/>
      <c r="L62" s="1195"/>
      <c r="M62" s="1197" t="s">
        <v>57</v>
      </c>
      <c r="N62" s="1208">
        <v>1733.25</v>
      </c>
      <c r="O62" s="1197" t="s">
        <v>57</v>
      </c>
      <c r="P62" s="1210" t="s">
        <v>90</v>
      </c>
      <c r="Q62" s="1200">
        <v>45979</v>
      </c>
      <c r="R62" s="1200"/>
      <c r="S62" s="1200"/>
      <c r="T62" s="1200"/>
      <c r="U62" s="1200"/>
      <c r="V62" s="1201">
        <v>255</v>
      </c>
      <c r="W62" s="1181"/>
      <c r="X62" s="1181">
        <f>SUM(V62-W62)</f>
        <v>255</v>
      </c>
      <c r="Y62" s="658">
        <f>IFERROR($W62/$V62, 0)</f>
        <v>0</v>
      </c>
      <c r="Z62" s="1182"/>
      <c r="AA62" s="1183">
        <v>0</v>
      </c>
      <c r="AB62" s="1183">
        <v>0</v>
      </c>
      <c r="AC62" s="641">
        <v>0</v>
      </c>
      <c r="AD62" s="1244" t="s">
        <v>227</v>
      </c>
      <c r="AE62" s="1242"/>
    </row>
    <row r="63" spans="1:56" ht="24.75" customHeight="1">
      <c r="A63" s="1174" t="s">
        <v>228</v>
      </c>
      <c r="B63" s="825" t="s">
        <v>180</v>
      </c>
      <c r="C63" s="1175">
        <v>46099</v>
      </c>
      <c r="D63" s="1195"/>
      <c r="E63" s="1195"/>
      <c r="F63" s="1196"/>
      <c r="G63" s="1195"/>
      <c r="H63" s="1197">
        <v>0</v>
      </c>
      <c r="I63" s="823" t="s">
        <v>55</v>
      </c>
      <c r="J63" s="826" t="s">
        <v>64</v>
      </c>
      <c r="K63" s="1177"/>
      <c r="L63" s="1195"/>
      <c r="M63" s="823" t="s">
        <v>57</v>
      </c>
      <c r="N63" s="1208">
        <v>18270.8</v>
      </c>
      <c r="O63" s="823" t="s">
        <v>57</v>
      </c>
      <c r="P63" s="1210" t="s">
        <v>58</v>
      </c>
      <c r="Q63" s="1200"/>
      <c r="R63" s="1200"/>
      <c r="S63" s="1200"/>
      <c r="T63" s="1200"/>
      <c r="U63" s="1200"/>
      <c r="V63" s="1201">
        <v>1388</v>
      </c>
      <c r="W63" s="1181"/>
      <c r="X63" s="1181">
        <f>SUM(V63-W63)</f>
        <v>1388</v>
      </c>
      <c r="Y63" s="658">
        <f>IFERROR($W63/$V63, 0)</f>
        <v>0</v>
      </c>
      <c r="Z63" s="1182"/>
      <c r="AA63" s="1183">
        <v>0</v>
      </c>
      <c r="AB63" s="1183">
        <v>0</v>
      </c>
      <c r="AC63" s="1201">
        <v>0</v>
      </c>
      <c r="AD63" s="1184" t="s">
        <v>229</v>
      </c>
      <c r="AE63" s="1242"/>
    </row>
    <row r="64" spans="1:56" ht="24.75" customHeight="1">
      <c r="A64" s="1174" t="s">
        <v>230</v>
      </c>
      <c r="B64" s="825" t="s">
        <v>180</v>
      </c>
      <c r="C64" s="1175">
        <v>46040</v>
      </c>
      <c r="D64" s="1196" t="s">
        <v>231</v>
      </c>
      <c r="E64" s="1195">
        <v>45867</v>
      </c>
      <c r="F64" s="1196" t="s">
        <v>232</v>
      </c>
      <c r="G64" s="1196" t="s">
        <v>233</v>
      </c>
      <c r="H64" s="1197">
        <v>0</v>
      </c>
      <c r="I64" s="823" t="s">
        <v>55</v>
      </c>
      <c r="J64" s="1197" t="s">
        <v>64</v>
      </c>
      <c r="K64" s="1177"/>
      <c r="L64" s="1195"/>
      <c r="M64" s="1197" t="s">
        <v>57</v>
      </c>
      <c r="N64" s="1208">
        <v>144972.5</v>
      </c>
      <c r="O64" s="1197" t="s">
        <v>57</v>
      </c>
      <c r="P64" s="1179" t="s">
        <v>65</v>
      </c>
      <c r="Q64" s="1200">
        <v>45867</v>
      </c>
      <c r="R64" s="1200"/>
      <c r="S64" s="1200"/>
      <c r="T64" s="1200"/>
      <c r="U64" s="1200"/>
      <c r="V64" s="970">
        <v>8622</v>
      </c>
      <c r="W64" s="1486">
        <v>8947</v>
      </c>
      <c r="X64" s="1181">
        <f>SUM(V64-W64)</f>
        <v>-325</v>
      </c>
      <c r="Y64" s="658">
        <f>IFERROR($W64/$V64, 0)</f>
        <v>1.0376942704708885</v>
      </c>
      <c r="Z64" s="1200">
        <v>45884</v>
      </c>
      <c r="AA64" s="1183">
        <v>0</v>
      </c>
      <c r="AB64" s="1183">
        <v>0</v>
      </c>
      <c r="AC64" s="1201">
        <v>0</v>
      </c>
      <c r="AD64" s="1184" t="s">
        <v>234</v>
      </c>
      <c r="AE64" s="1242"/>
    </row>
    <row r="65" spans="1:31" ht="24.75" customHeight="1">
      <c r="A65" s="1174" t="s">
        <v>235</v>
      </c>
      <c r="B65" s="825" t="s">
        <v>180</v>
      </c>
      <c r="C65" s="1175">
        <v>46112</v>
      </c>
      <c r="D65" s="1196"/>
      <c r="E65" s="1195"/>
      <c r="F65" s="1196"/>
      <c r="G65" s="1196" t="s">
        <v>236</v>
      </c>
      <c r="H65" s="1197">
        <v>0</v>
      </c>
      <c r="I65" s="823" t="s">
        <v>55</v>
      </c>
      <c r="J65" s="1197" t="s">
        <v>64</v>
      </c>
      <c r="K65" s="1177"/>
      <c r="L65" s="1195"/>
      <c r="M65" s="1197" t="s">
        <v>57</v>
      </c>
      <c r="N65" s="1208">
        <v>3995.4</v>
      </c>
      <c r="O65" s="1197" t="s">
        <v>57</v>
      </c>
      <c r="P65" s="1210" t="s">
        <v>90</v>
      </c>
      <c r="Q65" s="1200">
        <v>45979</v>
      </c>
      <c r="R65" s="1200"/>
      <c r="S65" s="1200"/>
      <c r="T65" s="1200"/>
      <c r="U65" s="1200"/>
      <c r="V65" s="1201">
        <v>294</v>
      </c>
      <c r="W65" s="1181"/>
      <c r="X65" s="1181">
        <f t="shared" si="5"/>
        <v>294</v>
      </c>
      <c r="Y65" s="658">
        <f t="shared" si="6"/>
        <v>0</v>
      </c>
      <c r="Z65" s="1182"/>
      <c r="AA65" s="1183">
        <v>0</v>
      </c>
      <c r="AB65" s="1183">
        <v>0</v>
      </c>
      <c r="AC65" s="1201">
        <v>0</v>
      </c>
      <c r="AD65" s="1184" t="s">
        <v>237</v>
      </c>
      <c r="AE65" s="1242"/>
    </row>
    <row r="66" spans="1:31" ht="24.75" customHeight="1">
      <c r="A66" s="1174" t="s">
        <v>238</v>
      </c>
      <c r="B66" s="825" t="s">
        <v>180</v>
      </c>
      <c r="C66" s="1175">
        <v>46040</v>
      </c>
      <c r="D66" s="1196"/>
      <c r="E66" s="1195"/>
      <c r="F66" s="1196"/>
      <c r="G66" s="1196" t="s">
        <v>239</v>
      </c>
      <c r="H66" s="1197">
        <v>0</v>
      </c>
      <c r="I66" s="823" t="s">
        <v>55</v>
      </c>
      <c r="J66" s="1197" t="s">
        <v>64</v>
      </c>
      <c r="K66" s="1177"/>
      <c r="L66" s="1195"/>
      <c r="M66" s="1197" t="s">
        <v>57</v>
      </c>
      <c r="N66" s="1208">
        <v>18171.599999999999</v>
      </c>
      <c r="O66" s="1197" t="s">
        <v>57</v>
      </c>
      <c r="P66" s="1210" t="s">
        <v>90</v>
      </c>
      <c r="Q66" s="1200">
        <v>45979</v>
      </c>
      <c r="R66" s="1200"/>
      <c r="S66" s="1200"/>
      <c r="T66" s="1200"/>
      <c r="U66" s="1200"/>
      <c r="V66" s="1201">
        <v>1514</v>
      </c>
      <c r="W66" s="1181"/>
      <c r="X66" s="1181">
        <f>SUM(V66-W66)</f>
        <v>1514</v>
      </c>
      <c r="Y66" s="658">
        <f>IFERROR($W66/$V66, 0)</f>
        <v>0</v>
      </c>
      <c r="Z66" s="1182"/>
      <c r="AA66" s="1183">
        <v>0</v>
      </c>
      <c r="AB66" s="1183">
        <v>0</v>
      </c>
      <c r="AC66" s="1201">
        <v>0</v>
      </c>
      <c r="AD66" s="1184" t="s">
        <v>240</v>
      </c>
      <c r="AE66" s="1242"/>
    </row>
    <row r="67" spans="1:31" ht="24.75" customHeight="1">
      <c r="A67" s="1174" t="s">
        <v>241</v>
      </c>
      <c r="B67" s="825" t="s">
        <v>180</v>
      </c>
      <c r="C67" s="1175">
        <v>46040</v>
      </c>
      <c r="D67" s="1196"/>
      <c r="E67" s="1195"/>
      <c r="F67" s="1196"/>
      <c r="G67" s="1196" t="s">
        <v>242</v>
      </c>
      <c r="H67" s="1197">
        <v>0</v>
      </c>
      <c r="I67" s="823" t="s">
        <v>55</v>
      </c>
      <c r="J67" s="1197" t="s">
        <v>64</v>
      </c>
      <c r="K67" s="1177"/>
      <c r="L67" s="1195"/>
      <c r="M67" s="1197" t="s">
        <v>57</v>
      </c>
      <c r="N67" s="1208">
        <v>1675.2</v>
      </c>
      <c r="O67" s="1197" t="s">
        <v>57</v>
      </c>
      <c r="P67" s="1210" t="s">
        <v>90</v>
      </c>
      <c r="Q67" s="1200">
        <v>45979</v>
      </c>
      <c r="R67" s="1200"/>
      <c r="S67" s="1200"/>
      <c r="T67" s="1200"/>
      <c r="U67" s="1200"/>
      <c r="V67" s="1201">
        <v>123</v>
      </c>
      <c r="W67" s="1181"/>
      <c r="X67" s="1181">
        <f t="shared" si="5"/>
        <v>123</v>
      </c>
      <c r="Y67" s="658">
        <f t="shared" si="6"/>
        <v>0</v>
      </c>
      <c r="Z67" s="1182"/>
      <c r="AA67" s="1183">
        <v>0</v>
      </c>
      <c r="AB67" s="1183">
        <v>0</v>
      </c>
      <c r="AC67" s="1201">
        <v>0</v>
      </c>
      <c r="AD67" s="1184" t="s">
        <v>243</v>
      </c>
      <c r="AE67" s="1242"/>
    </row>
    <row r="68" spans="1:31" ht="24.75" customHeight="1">
      <c r="A68" s="1174" t="s">
        <v>244</v>
      </c>
      <c r="B68" s="825" t="s">
        <v>180</v>
      </c>
      <c r="C68" s="1175">
        <v>46040</v>
      </c>
      <c r="D68" s="1196" t="s">
        <v>192</v>
      </c>
      <c r="E68" s="1195">
        <v>46042</v>
      </c>
      <c r="F68" s="1196" t="s">
        <v>232</v>
      </c>
      <c r="G68" s="1196"/>
      <c r="H68" s="1197">
        <v>0</v>
      </c>
      <c r="I68" s="823" t="s">
        <v>55</v>
      </c>
      <c r="J68" s="1197" t="s">
        <v>64</v>
      </c>
      <c r="K68" s="1177"/>
      <c r="L68" s="1195"/>
      <c r="M68" s="1197" t="s">
        <v>57</v>
      </c>
      <c r="N68" s="1208">
        <v>45312.55</v>
      </c>
      <c r="O68" s="1197" t="s">
        <v>57</v>
      </c>
      <c r="P68" s="1179" t="s">
        <v>58</v>
      </c>
      <c r="Q68" s="1200"/>
      <c r="R68" s="1200"/>
      <c r="S68" s="1200"/>
      <c r="T68" s="1200"/>
      <c r="U68" s="1200"/>
      <c r="V68" s="1201">
        <v>3683</v>
      </c>
      <c r="W68" s="1181">
        <v>2024</v>
      </c>
      <c r="X68" s="1181">
        <f>SUM(V68-W68)</f>
        <v>1659</v>
      </c>
      <c r="Y68" s="658">
        <f>IFERROR($W68/$V68, 0)</f>
        <v>0.54955199565571544</v>
      </c>
      <c r="Z68" s="1200"/>
      <c r="AA68" s="1183">
        <v>0</v>
      </c>
      <c r="AB68" s="1183">
        <v>0</v>
      </c>
      <c r="AC68" s="1201">
        <v>0</v>
      </c>
      <c r="AD68" s="1184" t="s">
        <v>245</v>
      </c>
      <c r="AE68" s="1242"/>
    </row>
    <row r="69" spans="1:31" ht="24.75" customHeight="1">
      <c r="A69" s="1174" t="s">
        <v>246</v>
      </c>
      <c r="B69" s="825" t="s">
        <v>180</v>
      </c>
      <c r="C69" s="1175">
        <v>46053</v>
      </c>
      <c r="D69" s="1313"/>
      <c r="E69" s="1314"/>
      <c r="F69" s="1313"/>
      <c r="G69" s="1196"/>
      <c r="H69" s="1197">
        <v>0</v>
      </c>
      <c r="I69" s="823" t="s">
        <v>55</v>
      </c>
      <c r="J69" s="1197" t="s">
        <v>64</v>
      </c>
      <c r="K69" s="1496"/>
      <c r="L69" s="1314"/>
      <c r="M69" s="1197" t="s">
        <v>57</v>
      </c>
      <c r="N69" s="1497">
        <v>118710.8</v>
      </c>
      <c r="O69" s="1197" t="s">
        <v>57</v>
      </c>
      <c r="P69" s="1179" t="s">
        <v>58</v>
      </c>
      <c r="Q69" s="1498"/>
      <c r="R69" s="1498"/>
      <c r="S69" s="1498"/>
      <c r="T69" s="1498"/>
      <c r="U69" s="1498"/>
      <c r="V69" s="1499">
        <v>9628</v>
      </c>
      <c r="W69" s="1500"/>
      <c r="X69" s="1500">
        <f>SUM(V69-W69)</f>
        <v>9628</v>
      </c>
      <c r="Y69" s="658">
        <f>IFERROR($W69/$V69, 0)</f>
        <v>0</v>
      </c>
      <c r="Z69" s="1498"/>
      <c r="AA69" s="1183">
        <v>0</v>
      </c>
      <c r="AB69" s="1183">
        <v>0</v>
      </c>
      <c r="AC69" s="1201">
        <v>0</v>
      </c>
      <c r="AD69" s="1184"/>
      <c r="AE69" s="1242"/>
    </row>
    <row r="70" spans="1:31" ht="24.75" customHeight="1">
      <c r="A70" s="1174" t="s">
        <v>247</v>
      </c>
      <c r="B70" s="825" t="s">
        <v>180</v>
      </c>
      <c r="C70" s="1175">
        <v>46045</v>
      </c>
      <c r="D70" s="1196"/>
      <c r="E70" s="1195"/>
      <c r="F70" s="1196"/>
      <c r="G70" s="1196" t="s">
        <v>248</v>
      </c>
      <c r="H70" s="1197">
        <v>0</v>
      </c>
      <c r="I70" s="823" t="s">
        <v>55</v>
      </c>
      <c r="J70" s="1197" t="s">
        <v>64</v>
      </c>
      <c r="K70" s="1177"/>
      <c r="L70" s="1195"/>
      <c r="M70" s="1197" t="s">
        <v>57</v>
      </c>
      <c r="N70" s="1208">
        <v>105558.2</v>
      </c>
      <c r="O70" s="1197" t="s">
        <v>57</v>
      </c>
      <c r="P70" s="1210" t="s">
        <v>90</v>
      </c>
      <c r="Q70" s="1200">
        <v>45978</v>
      </c>
      <c r="R70" s="1200"/>
      <c r="S70" s="1200"/>
      <c r="T70" s="1200"/>
      <c r="U70" s="1200"/>
      <c r="V70" s="1201">
        <v>7753</v>
      </c>
      <c r="W70" s="1181"/>
      <c r="X70" s="1181">
        <f>SUM(V70-W70)</f>
        <v>7753</v>
      </c>
      <c r="Y70" s="658">
        <f>IFERROR($W70/$V70, 0)</f>
        <v>0</v>
      </c>
      <c r="Z70" s="1182"/>
      <c r="AA70" s="1183">
        <v>0</v>
      </c>
      <c r="AB70" s="1183">
        <v>0</v>
      </c>
      <c r="AC70" s="1201">
        <v>0</v>
      </c>
      <c r="AD70" s="1184" t="s">
        <v>249</v>
      </c>
      <c r="AE70" s="1242"/>
    </row>
    <row r="71" spans="1:31" ht="24.75" customHeight="1">
      <c r="A71" s="1174" t="s">
        <v>250</v>
      </c>
      <c r="B71" s="825" t="s">
        <v>180</v>
      </c>
      <c r="C71" s="1175">
        <v>46096</v>
      </c>
      <c r="D71" s="1196"/>
      <c r="E71" s="1195"/>
      <c r="F71" s="1196"/>
      <c r="G71" s="1196"/>
      <c r="H71" s="1197">
        <v>0</v>
      </c>
      <c r="I71" s="823" t="s">
        <v>55</v>
      </c>
      <c r="J71" s="1197" t="s">
        <v>64</v>
      </c>
      <c r="K71" s="1177"/>
      <c r="L71" s="1195"/>
      <c r="M71" s="1197" t="s">
        <v>57</v>
      </c>
      <c r="N71" s="1208">
        <v>73653.899999999994</v>
      </c>
      <c r="O71" s="1197" t="s">
        <v>57</v>
      </c>
      <c r="P71" s="1210" t="s">
        <v>58</v>
      </c>
      <c r="Q71" s="1200"/>
      <c r="R71" s="1200"/>
      <c r="S71" s="1200"/>
      <c r="T71" s="1200"/>
      <c r="U71" s="1200"/>
      <c r="V71" s="970">
        <v>5394</v>
      </c>
      <c r="W71" s="1181"/>
      <c r="X71" s="1181">
        <f t="shared" si="5"/>
        <v>5394</v>
      </c>
      <c r="Y71" s="658">
        <f t="shared" si="6"/>
        <v>0</v>
      </c>
      <c r="Z71" s="1182"/>
      <c r="AA71" s="1183">
        <v>0</v>
      </c>
      <c r="AB71" s="1183">
        <v>0</v>
      </c>
      <c r="AC71" s="1201">
        <v>0</v>
      </c>
      <c r="AD71" s="1215"/>
      <c r="AE71" s="1242"/>
    </row>
    <row r="72" spans="1:31" ht="24.75" customHeight="1">
      <c r="A72" s="1174" t="s">
        <v>251</v>
      </c>
      <c r="B72" s="825" t="s">
        <v>180</v>
      </c>
      <c r="C72" s="1175">
        <v>46112</v>
      </c>
      <c r="D72" s="1196"/>
      <c r="E72" s="1195"/>
      <c r="F72" s="1196"/>
      <c r="G72" s="1196"/>
      <c r="H72" s="1197">
        <v>0</v>
      </c>
      <c r="I72" s="823" t="s">
        <v>55</v>
      </c>
      <c r="J72" s="1197" t="s">
        <v>64</v>
      </c>
      <c r="K72" s="1177"/>
      <c r="L72" s="1195"/>
      <c r="M72" s="1197" t="s">
        <v>57</v>
      </c>
      <c r="N72" s="1208">
        <v>6526.35</v>
      </c>
      <c r="O72" s="1197" t="s">
        <v>57</v>
      </c>
      <c r="P72" s="1210" t="s">
        <v>58</v>
      </c>
      <c r="Q72" s="1200"/>
      <c r="R72" s="1200"/>
      <c r="S72" s="1200"/>
      <c r="T72" s="1200"/>
      <c r="U72" s="1200"/>
      <c r="V72" s="1201">
        <v>411</v>
      </c>
      <c r="W72" s="1181"/>
      <c r="X72" s="1181">
        <f t="shared" si="5"/>
        <v>411</v>
      </c>
      <c r="Y72" s="658">
        <f t="shared" si="6"/>
        <v>0</v>
      </c>
      <c r="Z72" s="1182"/>
      <c r="AA72" s="1183">
        <v>0</v>
      </c>
      <c r="AB72" s="1183">
        <v>0</v>
      </c>
      <c r="AC72" s="1201">
        <v>0</v>
      </c>
      <c r="AD72" s="1184" t="s">
        <v>252</v>
      </c>
      <c r="AE72" s="1242"/>
    </row>
    <row r="73" spans="1:31" ht="24.75" customHeight="1">
      <c r="A73" s="1174" t="s">
        <v>253</v>
      </c>
      <c r="B73" s="825" t="s">
        <v>180</v>
      </c>
      <c r="C73" s="1195">
        <v>46030</v>
      </c>
      <c r="D73" s="1196"/>
      <c r="E73" s="1195"/>
      <c r="F73" s="1196"/>
      <c r="G73" s="1196" t="s">
        <v>254</v>
      </c>
      <c r="H73" s="1197">
        <v>0</v>
      </c>
      <c r="I73" s="823" t="s">
        <v>55</v>
      </c>
      <c r="J73" s="826" t="s">
        <v>64</v>
      </c>
      <c r="K73" s="1177" t="s">
        <v>72</v>
      </c>
      <c r="L73" s="1195"/>
      <c r="M73" s="1197" t="s">
        <v>57</v>
      </c>
      <c r="N73" s="1208">
        <v>170309.8</v>
      </c>
      <c r="O73" s="1197" t="s">
        <v>57</v>
      </c>
      <c r="P73" s="1210" t="s">
        <v>58</v>
      </c>
      <c r="Q73" s="1200"/>
      <c r="R73" s="1200"/>
      <c r="S73" s="1200"/>
      <c r="T73" s="1200"/>
      <c r="U73" s="1200"/>
      <c r="V73" s="1201">
        <v>13379</v>
      </c>
      <c r="W73" s="1181"/>
      <c r="X73" s="1181">
        <f>SUM(V73-W73)</f>
        <v>13379</v>
      </c>
      <c r="Y73" s="658">
        <f>IFERROR($W73/$V73, 0)</f>
        <v>0</v>
      </c>
      <c r="Z73" s="1182"/>
      <c r="AA73" s="1183">
        <v>0</v>
      </c>
      <c r="AB73" s="1183">
        <v>0</v>
      </c>
      <c r="AC73" s="1201">
        <v>0</v>
      </c>
      <c r="AD73" s="1184" t="s">
        <v>255</v>
      </c>
      <c r="AE73" s="1242"/>
    </row>
    <row r="74" spans="1:31" ht="24.75" customHeight="1">
      <c r="A74" s="1174" t="s">
        <v>256</v>
      </c>
      <c r="B74" s="825" t="s">
        <v>180</v>
      </c>
      <c r="C74" s="1175">
        <v>46040</v>
      </c>
      <c r="D74" s="1196" t="s">
        <v>257</v>
      </c>
      <c r="E74" s="1195">
        <v>46034</v>
      </c>
      <c r="F74" s="1196" t="s">
        <v>232</v>
      </c>
      <c r="G74" s="1196"/>
      <c r="H74" s="1197">
        <v>76</v>
      </c>
      <c r="I74" s="823" t="s">
        <v>55</v>
      </c>
      <c r="J74" s="826" t="s">
        <v>64</v>
      </c>
      <c r="K74" s="1177"/>
      <c r="L74" s="1195">
        <v>46036</v>
      </c>
      <c r="M74" s="1197" t="s">
        <v>57</v>
      </c>
      <c r="N74" s="1208">
        <v>64325</v>
      </c>
      <c r="O74" s="1197" t="s">
        <v>57</v>
      </c>
      <c r="P74" s="1210" t="s">
        <v>65</v>
      </c>
      <c r="Q74" s="1200">
        <v>46034</v>
      </c>
      <c r="R74" s="1200"/>
      <c r="S74" s="1200"/>
      <c r="T74" s="1200"/>
      <c r="U74" s="1200"/>
      <c r="V74" s="1201">
        <v>8189</v>
      </c>
      <c r="W74" s="1181">
        <v>8349</v>
      </c>
      <c r="X74" s="1181">
        <f>SUM(V74-W74)</f>
        <v>-160</v>
      </c>
      <c r="Y74" s="658">
        <f>IFERROR($W74/$V74, 0)</f>
        <v>1.0195384051776775</v>
      </c>
      <c r="Z74" s="1200">
        <v>46042</v>
      </c>
      <c r="AA74" s="1183">
        <v>0</v>
      </c>
      <c r="AB74" s="1183">
        <v>0</v>
      </c>
      <c r="AC74" s="1201">
        <v>0</v>
      </c>
      <c r="AD74" s="1184" t="s">
        <v>258</v>
      </c>
      <c r="AE74" s="1242"/>
    </row>
    <row r="75" spans="1:31" ht="24.75" customHeight="1">
      <c r="A75" s="1436" t="s">
        <v>259</v>
      </c>
      <c r="B75" s="825" t="s">
        <v>180</v>
      </c>
      <c r="C75" s="1175">
        <v>46040</v>
      </c>
      <c r="D75" s="1313" t="s">
        <v>61</v>
      </c>
      <c r="E75" s="1314">
        <v>46027</v>
      </c>
      <c r="F75" s="1313" t="s">
        <v>232</v>
      </c>
      <c r="G75" s="1196"/>
      <c r="H75" s="1495">
        <v>109</v>
      </c>
      <c r="I75" s="823" t="s">
        <v>260</v>
      </c>
      <c r="J75" s="826" t="s">
        <v>64</v>
      </c>
      <c r="K75" s="1496"/>
      <c r="L75" s="1314">
        <v>45663</v>
      </c>
      <c r="M75" s="1197" t="s">
        <v>57</v>
      </c>
      <c r="N75" s="1497">
        <v>123587.5</v>
      </c>
      <c r="O75" s="1495" t="s">
        <v>57</v>
      </c>
      <c r="P75" s="1502" t="s">
        <v>261</v>
      </c>
      <c r="Q75" s="1498">
        <v>46008</v>
      </c>
      <c r="R75" s="1498"/>
      <c r="S75" s="1498"/>
      <c r="T75" s="1498"/>
      <c r="U75" s="1498"/>
      <c r="V75" s="1499">
        <v>6825</v>
      </c>
      <c r="W75" s="1503">
        <v>6575</v>
      </c>
      <c r="X75" s="1500">
        <f>SUM(V75-W75)</f>
        <v>250</v>
      </c>
      <c r="Y75" s="658">
        <f>IFERROR($W75/$V75, 0)</f>
        <v>0.96336996336996339</v>
      </c>
      <c r="Z75" s="1498">
        <v>46034</v>
      </c>
      <c r="AA75" s="1183">
        <v>0</v>
      </c>
      <c r="AB75" s="1183">
        <v>0</v>
      </c>
      <c r="AC75" s="1201">
        <v>0</v>
      </c>
      <c r="AD75" s="1184" t="s">
        <v>262</v>
      </c>
      <c r="AE75" s="1242"/>
    </row>
    <row r="76" spans="1:31" ht="24.75" customHeight="1">
      <c r="A76" s="1174" t="s">
        <v>263</v>
      </c>
      <c r="B76" s="825" t="s">
        <v>264</v>
      </c>
      <c r="C76" s="1175">
        <v>46081</v>
      </c>
      <c r="D76" s="1196" t="s">
        <v>181</v>
      </c>
      <c r="E76" s="1195">
        <v>46001</v>
      </c>
      <c r="F76" s="1196" t="s">
        <v>193</v>
      </c>
      <c r="G76" s="1196" t="s">
        <v>265</v>
      </c>
      <c r="H76" s="1197">
        <v>80</v>
      </c>
      <c r="I76" s="823" t="s">
        <v>55</v>
      </c>
      <c r="J76" s="826" t="s">
        <v>64</v>
      </c>
      <c r="K76" s="1177"/>
      <c r="L76" s="1195">
        <v>46021</v>
      </c>
      <c r="M76" s="1197" t="s">
        <v>57</v>
      </c>
      <c r="N76" s="1208">
        <v>65843.5</v>
      </c>
      <c r="O76" s="1197" t="s">
        <v>57</v>
      </c>
      <c r="P76" s="1210" t="s">
        <v>65</v>
      </c>
      <c r="Q76" s="1200">
        <v>45995</v>
      </c>
      <c r="R76" s="1200"/>
      <c r="S76" s="1200"/>
      <c r="T76" s="1200"/>
      <c r="U76" s="1200"/>
      <c r="V76" s="1201">
        <v>5052</v>
      </c>
      <c r="W76" s="1181">
        <v>4889</v>
      </c>
      <c r="X76" s="1181">
        <f t="shared" si="5"/>
        <v>163</v>
      </c>
      <c r="Y76" s="658">
        <f t="shared" si="6"/>
        <v>0.967735550277118</v>
      </c>
      <c r="Z76" s="1200">
        <v>46001</v>
      </c>
      <c r="AA76" s="1183">
        <v>0</v>
      </c>
      <c r="AB76" s="1183">
        <v>0</v>
      </c>
      <c r="AC76" s="1201">
        <v>0</v>
      </c>
      <c r="AD76" s="1184" t="s">
        <v>266</v>
      </c>
      <c r="AE76" s="1242"/>
    </row>
    <row r="77" spans="1:31" ht="24.75" customHeight="1">
      <c r="A77" s="1174" t="s">
        <v>267</v>
      </c>
      <c r="B77" s="825" t="s">
        <v>264</v>
      </c>
      <c r="C77" s="1175">
        <v>46081</v>
      </c>
      <c r="D77" s="1196" t="s">
        <v>268</v>
      </c>
      <c r="E77" s="1195">
        <v>46038</v>
      </c>
      <c r="F77" s="1196" t="s">
        <v>193</v>
      </c>
      <c r="G77" s="1196" t="s">
        <v>269</v>
      </c>
      <c r="H77" s="1197">
        <v>88</v>
      </c>
      <c r="I77" s="823" t="s">
        <v>55</v>
      </c>
      <c r="J77" s="826" t="s">
        <v>64</v>
      </c>
      <c r="K77" s="1177"/>
      <c r="L77" s="1195">
        <v>46021</v>
      </c>
      <c r="M77" s="1197" t="s">
        <v>57</v>
      </c>
      <c r="N77" s="1208">
        <v>79638</v>
      </c>
      <c r="O77" s="1197" t="s">
        <v>57</v>
      </c>
      <c r="P77" s="1210" t="s">
        <v>65</v>
      </c>
      <c r="Q77" s="1200">
        <v>46028</v>
      </c>
      <c r="R77" s="1200"/>
      <c r="S77" s="1200"/>
      <c r="T77" s="1200"/>
      <c r="U77" s="1200"/>
      <c r="V77" s="1201">
        <v>6613</v>
      </c>
      <c r="W77" s="1181">
        <v>3127</v>
      </c>
      <c r="X77" s="1181">
        <f t="shared" si="5"/>
        <v>3486</v>
      </c>
      <c r="Y77" s="658">
        <f t="shared" si="6"/>
        <v>0.47285649478300318</v>
      </c>
      <c r="Z77" s="1200">
        <v>46042</v>
      </c>
      <c r="AA77" s="1183">
        <v>0</v>
      </c>
      <c r="AB77" s="1183">
        <v>0</v>
      </c>
      <c r="AC77" s="1201">
        <v>0</v>
      </c>
      <c r="AD77" s="1184" t="s">
        <v>270</v>
      </c>
      <c r="AE77" s="1242"/>
    </row>
    <row r="78" spans="1:31" ht="24.75" customHeight="1">
      <c r="A78" s="1174" t="s">
        <v>271</v>
      </c>
      <c r="B78" s="825" t="s">
        <v>264</v>
      </c>
      <c r="C78" s="1175">
        <v>46081</v>
      </c>
      <c r="D78" s="1196" t="s">
        <v>268</v>
      </c>
      <c r="E78" s="1195">
        <v>46043</v>
      </c>
      <c r="F78" s="1196" t="s">
        <v>193</v>
      </c>
      <c r="G78" s="1196" t="s">
        <v>272</v>
      </c>
      <c r="H78" s="1197">
        <v>61</v>
      </c>
      <c r="I78" s="823" t="s">
        <v>55</v>
      </c>
      <c r="J78" s="1197" t="s">
        <v>64</v>
      </c>
      <c r="K78" s="1177"/>
      <c r="L78" s="1195"/>
      <c r="M78" s="1197" t="s">
        <v>57</v>
      </c>
      <c r="N78" s="1208">
        <v>56650</v>
      </c>
      <c r="O78" s="1197" t="s">
        <v>57</v>
      </c>
      <c r="P78" s="1210" t="s">
        <v>65</v>
      </c>
      <c r="Q78" s="1200">
        <v>46038</v>
      </c>
      <c r="R78" s="1200"/>
      <c r="S78" s="1200"/>
      <c r="T78" s="1200"/>
      <c r="U78" s="1200"/>
      <c r="V78" s="1201">
        <v>4641</v>
      </c>
      <c r="W78" s="1487">
        <v>3105</v>
      </c>
      <c r="X78" s="1181">
        <f t="shared" si="5"/>
        <v>1536</v>
      </c>
      <c r="Y78" s="658">
        <f t="shared" si="6"/>
        <v>0.6690368455074337</v>
      </c>
      <c r="Z78" s="1200">
        <v>46051</v>
      </c>
      <c r="AA78" s="1183">
        <v>0</v>
      </c>
      <c r="AB78" s="1183">
        <v>0</v>
      </c>
      <c r="AC78" s="1201">
        <v>0</v>
      </c>
      <c r="AD78" s="1184" t="s">
        <v>273</v>
      </c>
      <c r="AE78" s="1242"/>
    </row>
    <row r="79" spans="1:31" ht="24.75" customHeight="1">
      <c r="A79" s="1264" t="s">
        <v>274</v>
      </c>
      <c r="B79" s="1003" t="s">
        <v>264</v>
      </c>
      <c r="C79" s="1175">
        <v>46081</v>
      </c>
      <c r="D79" s="1196"/>
      <c r="E79" s="1195"/>
      <c r="F79" s="1196"/>
      <c r="G79" s="1196"/>
      <c r="H79" s="1197">
        <v>86</v>
      </c>
      <c r="I79" s="823" t="s">
        <v>55</v>
      </c>
      <c r="J79" s="826" t="s">
        <v>64</v>
      </c>
      <c r="K79" s="1177"/>
      <c r="L79" s="1195"/>
      <c r="M79" s="1197" t="s">
        <v>57</v>
      </c>
      <c r="N79" s="1208">
        <v>494</v>
      </c>
      <c r="O79" s="1197" t="s">
        <v>57</v>
      </c>
      <c r="P79" s="1210" t="s">
        <v>58</v>
      </c>
      <c r="Q79" s="1200"/>
      <c r="R79" s="1200"/>
      <c r="S79" s="1200"/>
      <c r="T79" s="1200"/>
      <c r="U79" s="1200"/>
      <c r="V79" s="1201">
        <v>8265</v>
      </c>
      <c r="W79" s="1181"/>
      <c r="X79" s="1181">
        <f t="shared" si="5"/>
        <v>8265</v>
      </c>
      <c r="Y79" s="658">
        <f t="shared" si="6"/>
        <v>0</v>
      </c>
      <c r="Z79" s="1182"/>
      <c r="AA79" s="1183">
        <v>0</v>
      </c>
      <c r="AB79" s="1183">
        <v>0</v>
      </c>
      <c r="AC79" s="1201">
        <v>0</v>
      </c>
      <c r="AD79" s="1184"/>
      <c r="AE79" s="1242"/>
    </row>
    <row r="80" spans="1:31" ht="24.75" customHeight="1">
      <c r="A80" s="1264" t="s">
        <v>275</v>
      </c>
      <c r="B80" s="1003" t="s">
        <v>264</v>
      </c>
      <c r="C80" s="1382">
        <v>46171</v>
      </c>
      <c r="D80" s="1248" t="s">
        <v>268</v>
      </c>
      <c r="E80" s="1249">
        <v>46043</v>
      </c>
      <c r="F80" s="1248" t="s">
        <v>193</v>
      </c>
      <c r="G80" s="1248" t="s">
        <v>276</v>
      </c>
      <c r="H80" s="1250">
        <v>26</v>
      </c>
      <c r="I80" s="963" t="s">
        <v>55</v>
      </c>
      <c r="J80" s="1250" t="s">
        <v>64</v>
      </c>
      <c r="K80" s="1251"/>
      <c r="L80" s="1249"/>
      <c r="M80" s="1250" t="s">
        <v>57</v>
      </c>
      <c r="N80" s="1252">
        <v>35576</v>
      </c>
      <c r="O80" s="1250" t="s">
        <v>57</v>
      </c>
      <c r="P80" s="1253" t="s">
        <v>65</v>
      </c>
      <c r="Q80" s="1254"/>
      <c r="R80" s="1254"/>
      <c r="S80" s="1254"/>
      <c r="T80" s="1254"/>
      <c r="U80" s="1254"/>
      <c r="V80" s="1255">
        <v>3150</v>
      </c>
      <c r="W80" s="1236">
        <v>2970</v>
      </c>
      <c r="X80" s="1236">
        <f t="shared" si="5"/>
        <v>180</v>
      </c>
      <c r="Y80" s="653">
        <f t="shared" si="6"/>
        <v>0.94285714285714284</v>
      </c>
      <c r="Z80" s="1465">
        <v>46043</v>
      </c>
      <c r="AA80" s="1256">
        <v>0</v>
      </c>
      <c r="AB80" s="1256">
        <v>0</v>
      </c>
      <c r="AC80" s="1255">
        <v>0</v>
      </c>
      <c r="AD80" s="1257" t="s">
        <v>277</v>
      </c>
      <c r="AE80" s="1242"/>
    </row>
    <row r="81" spans="1:31" ht="24.75" customHeight="1">
      <c r="A81" s="1311" t="s">
        <v>278</v>
      </c>
      <c r="B81" s="1003" t="s">
        <v>264</v>
      </c>
      <c r="C81" s="1312">
        <v>46081</v>
      </c>
      <c r="D81" s="1313"/>
      <c r="E81" s="1314"/>
      <c r="F81" s="1313"/>
      <c r="G81" s="1196"/>
      <c r="H81" s="1495">
        <v>0</v>
      </c>
      <c r="I81" s="963" t="s">
        <v>55</v>
      </c>
      <c r="J81" s="1250" t="s">
        <v>79</v>
      </c>
      <c r="K81" s="1496" t="s">
        <v>93</v>
      </c>
      <c r="L81" s="1314"/>
      <c r="M81" s="1197" t="s">
        <v>80</v>
      </c>
      <c r="N81" s="1208"/>
      <c r="O81" s="1197" t="s">
        <v>80</v>
      </c>
      <c r="P81" s="1210" t="s">
        <v>58</v>
      </c>
      <c r="Q81" s="1498"/>
      <c r="R81" s="1498"/>
      <c r="S81" s="1498"/>
      <c r="T81" s="1498"/>
      <c r="U81" s="1498"/>
      <c r="V81" s="1499">
        <v>6202</v>
      </c>
      <c r="W81" s="1500"/>
      <c r="X81" s="1500">
        <f>SUM(V81-W81)</f>
        <v>6202</v>
      </c>
      <c r="Y81" s="658">
        <f>IFERROR($W81/$V81, 0)</f>
        <v>0</v>
      </c>
      <c r="Z81" s="1498"/>
      <c r="AA81" s="1256">
        <v>0</v>
      </c>
      <c r="AB81" s="1256">
        <v>0</v>
      </c>
      <c r="AC81" s="1255">
        <v>0</v>
      </c>
      <c r="AD81" s="1184" t="s">
        <v>279</v>
      </c>
      <c r="AE81" s="1242"/>
    </row>
    <row r="82" spans="1:31" ht="24.75" customHeight="1">
      <c r="A82" s="1311" t="s">
        <v>280</v>
      </c>
      <c r="B82" s="1003" t="s">
        <v>264</v>
      </c>
      <c r="C82" s="1382"/>
      <c r="D82" s="1313"/>
      <c r="E82" s="1314"/>
      <c r="F82" s="1313"/>
      <c r="G82" s="1196"/>
      <c r="H82" s="1495">
        <v>0</v>
      </c>
      <c r="I82" s="963" t="s">
        <v>55</v>
      </c>
      <c r="J82" s="1250" t="s">
        <v>79</v>
      </c>
      <c r="K82" s="1496" t="s">
        <v>93</v>
      </c>
      <c r="L82" s="1314"/>
      <c r="M82" s="1197" t="s">
        <v>80</v>
      </c>
      <c r="N82" s="1208"/>
      <c r="O82" s="1197" t="s">
        <v>80</v>
      </c>
      <c r="P82" s="1210" t="s">
        <v>58</v>
      </c>
      <c r="Q82" s="1498"/>
      <c r="R82" s="1498"/>
      <c r="S82" s="1498"/>
      <c r="T82" s="1498"/>
      <c r="U82" s="1498"/>
      <c r="V82" s="1499">
        <v>1172</v>
      </c>
      <c r="W82" s="1500"/>
      <c r="X82" s="1500">
        <f>SUM(V82-W82)</f>
        <v>1172</v>
      </c>
      <c r="Y82" s="658">
        <f>IFERROR($W82/$V82, 0)</f>
        <v>0</v>
      </c>
      <c r="Z82" s="1498"/>
      <c r="AA82" s="1256">
        <v>0</v>
      </c>
      <c r="AB82" s="1256">
        <v>0</v>
      </c>
      <c r="AC82" s="1255">
        <v>0</v>
      </c>
      <c r="AD82" s="1184" t="s">
        <v>281</v>
      </c>
      <c r="AE82" s="1242"/>
    </row>
    <row r="83" spans="1:31" ht="24.75" customHeight="1">
      <c r="A83" s="1343"/>
      <c r="B83" s="1383"/>
      <c r="C83" s="1175"/>
      <c r="D83" s="1196"/>
      <c r="E83" s="1195"/>
      <c r="F83" s="1196"/>
      <c r="G83" s="1196"/>
      <c r="H83" s="1197"/>
      <c r="I83" s="823"/>
      <c r="J83" s="1197"/>
      <c r="K83" s="1177"/>
      <c r="L83" s="1195"/>
      <c r="M83" s="1197"/>
      <c r="N83" s="1208"/>
      <c r="O83" s="1197"/>
      <c r="P83" s="1258"/>
      <c r="Q83" s="1200"/>
      <c r="R83" s="1200"/>
      <c r="S83" s="1200"/>
      <c r="T83" s="1200"/>
      <c r="U83" s="1200"/>
      <c r="V83" s="1384"/>
      <c r="W83" s="1333"/>
      <c r="X83" s="1259"/>
      <c r="Y83" s="969"/>
      <c r="Z83" s="1258"/>
      <c r="AA83" s="1183"/>
      <c r="AB83" s="1183"/>
      <c r="AC83" s="1201"/>
      <c r="AD83" s="1184"/>
      <c r="AE83" s="1242"/>
    </row>
    <row r="84" spans="1:31" ht="24.75" customHeight="1">
      <c r="A84" s="1260"/>
      <c r="B84" s="1261"/>
      <c r="C84" s="1262"/>
      <c r="D84" s="645"/>
      <c r="E84" s="1263"/>
      <c r="F84" s="1264"/>
      <c r="G84" s="1264"/>
      <c r="H84" s="1264"/>
      <c r="I84" s="663"/>
      <c r="J84" s="1265"/>
      <c r="K84" s="1266"/>
      <c r="L84" s="1267"/>
      <c r="M84" s="1264"/>
      <c r="N84" s="1268"/>
      <c r="O84" s="1269"/>
      <c r="P84" s="1242"/>
      <c r="Q84" s="1270"/>
      <c r="R84" s="1271"/>
      <c r="S84" s="1271"/>
      <c r="T84" s="1271"/>
      <c r="U84" s="1271"/>
      <c r="V84" s="1272"/>
      <c r="W84" s="1272"/>
      <c r="X84" s="1273"/>
      <c r="Y84" s="1130"/>
      <c r="Z84" s="1173"/>
      <c r="AA84" s="1274"/>
      <c r="AB84" s="1274"/>
      <c r="AC84" s="1272"/>
      <c r="AD84" s="1228"/>
      <c r="AE84" s="1237"/>
    </row>
    <row r="85" spans="1:31" ht="24.75" customHeight="1">
      <c r="A85" s="1275" t="s">
        <v>282</v>
      </c>
      <c r="B85" s="1276" t="s">
        <v>20</v>
      </c>
      <c r="C85" s="1276" t="s">
        <v>21</v>
      </c>
      <c r="D85" s="1277" t="s">
        <v>22</v>
      </c>
      <c r="E85" s="1278" t="s">
        <v>23</v>
      </c>
      <c r="F85" s="1278" t="s">
        <v>24</v>
      </c>
      <c r="G85" s="1278" t="s">
        <v>25</v>
      </c>
      <c r="H85" s="1278" t="s">
        <v>26</v>
      </c>
      <c r="I85" s="1278" t="s">
        <v>27</v>
      </c>
      <c r="J85" s="1278" t="s">
        <v>28</v>
      </c>
      <c r="K85" s="1278" t="s">
        <v>29</v>
      </c>
      <c r="L85" s="1278" t="s">
        <v>30</v>
      </c>
      <c r="M85" s="1278" t="s">
        <v>31</v>
      </c>
      <c r="N85" s="1279" t="s">
        <v>32</v>
      </c>
      <c r="O85" s="1167" t="s">
        <v>33</v>
      </c>
      <c r="P85" s="1280" t="s">
        <v>34</v>
      </c>
      <c r="Q85" s="1170" t="s">
        <v>35</v>
      </c>
      <c r="R85" s="1281" t="s">
        <v>36</v>
      </c>
      <c r="S85" s="1281" t="s">
        <v>37</v>
      </c>
      <c r="T85" s="1281" t="s">
        <v>38</v>
      </c>
      <c r="U85" s="1281" t="s">
        <v>39</v>
      </c>
      <c r="V85" s="1281" t="s">
        <v>40</v>
      </c>
      <c r="W85" s="1281" t="s">
        <v>41</v>
      </c>
      <c r="X85" s="1282" t="s">
        <v>42</v>
      </c>
      <c r="Y85" s="1282" t="s">
        <v>43</v>
      </c>
      <c r="Z85" s="1283" t="s">
        <v>44</v>
      </c>
      <c r="AA85" s="1284" t="s">
        <v>45</v>
      </c>
      <c r="AB85" s="1281" t="s">
        <v>46</v>
      </c>
      <c r="AC85" s="1281" t="s">
        <v>47</v>
      </c>
      <c r="AD85" s="1285" t="s">
        <v>48</v>
      </c>
      <c r="AE85" s="1237"/>
    </row>
    <row r="86" spans="1:31" ht="24.75" customHeight="1">
      <c r="A86" s="1297" t="s">
        <v>283</v>
      </c>
      <c r="B86" s="1129" t="s">
        <v>284</v>
      </c>
      <c r="C86" s="1356">
        <v>46052</v>
      </c>
      <c r="D86" s="962" t="s">
        <v>113</v>
      </c>
      <c r="E86" s="1263">
        <v>45987</v>
      </c>
      <c r="F86" s="1264" t="s">
        <v>139</v>
      </c>
      <c r="G86" s="1346" t="s">
        <v>285</v>
      </c>
      <c r="H86" s="1347">
        <v>86</v>
      </c>
      <c r="I86" s="823" t="s">
        <v>55</v>
      </c>
      <c r="J86" s="1197" t="s">
        <v>64</v>
      </c>
      <c r="K86" s="1266"/>
      <c r="L86" s="1267">
        <v>45987</v>
      </c>
      <c r="M86" s="1250" t="s">
        <v>57</v>
      </c>
      <c r="N86" s="1292">
        <v>90841</v>
      </c>
      <c r="O86" s="1269" t="s">
        <v>57</v>
      </c>
      <c r="P86" s="1242" t="s">
        <v>65</v>
      </c>
      <c r="Q86" s="1454">
        <v>45987</v>
      </c>
      <c r="R86" s="1271"/>
      <c r="S86" s="1271"/>
      <c r="T86" s="1271"/>
      <c r="U86" s="1271"/>
      <c r="V86" s="1236">
        <v>7491</v>
      </c>
      <c r="W86" s="1236">
        <v>6883</v>
      </c>
      <c r="X86" s="1236">
        <f>SUM(V86-W86)</f>
        <v>608</v>
      </c>
      <c r="Y86" s="1130">
        <f t="shared" ref="Y86:Y87" si="7">IFERROR($W86/$V86, 0)</f>
        <v>0.91883593645708184</v>
      </c>
      <c r="Z86" s="1226">
        <v>46009</v>
      </c>
      <c r="AA86" s="1256">
        <v>1</v>
      </c>
      <c r="AB86" s="1256">
        <v>1</v>
      </c>
      <c r="AC86" s="1255">
        <v>0</v>
      </c>
      <c r="AD86" s="1228" t="s">
        <v>286</v>
      </c>
      <c r="AE86" s="1237"/>
    </row>
    <row r="87" spans="1:31" ht="24.75" customHeight="1">
      <c r="A87" s="1344" t="s">
        <v>287</v>
      </c>
      <c r="B87" s="1261" t="s">
        <v>284</v>
      </c>
      <c r="C87" s="1356">
        <v>46052</v>
      </c>
      <c r="D87" s="1345" t="s">
        <v>113</v>
      </c>
      <c r="E87" s="1262">
        <v>45987</v>
      </c>
      <c r="F87" s="1176" t="s">
        <v>139</v>
      </c>
      <c r="G87" s="1264" t="s">
        <v>288</v>
      </c>
      <c r="H87" s="1265">
        <v>73</v>
      </c>
      <c r="I87" s="656" t="s">
        <v>55</v>
      </c>
      <c r="J87" s="1269" t="s">
        <v>64</v>
      </c>
      <c r="K87" s="1368"/>
      <c r="L87" s="1348">
        <v>45987</v>
      </c>
      <c r="M87" s="1197" t="s">
        <v>57</v>
      </c>
      <c r="N87" s="1178">
        <v>71371</v>
      </c>
      <c r="O87" s="1349" t="s">
        <v>57</v>
      </c>
      <c r="P87" s="1289" t="s">
        <v>65</v>
      </c>
      <c r="Q87" s="1294">
        <v>45987</v>
      </c>
      <c r="R87" s="1295"/>
      <c r="S87" s="1271"/>
      <c r="T87" s="1372"/>
      <c r="U87" s="1226">
        <v>46052</v>
      </c>
      <c r="V87" s="1236">
        <v>5810</v>
      </c>
      <c r="W87" s="1236">
        <v>5612</v>
      </c>
      <c r="X87" s="1375">
        <f>SUM(V87-W87)</f>
        <v>198</v>
      </c>
      <c r="Y87" s="1130">
        <f t="shared" si="7"/>
        <v>0.96592082616178998</v>
      </c>
      <c r="Z87" s="1226">
        <v>46030</v>
      </c>
      <c r="AA87" s="1256">
        <v>1</v>
      </c>
      <c r="AB87" s="1256">
        <v>1</v>
      </c>
      <c r="AC87" s="1255">
        <v>0</v>
      </c>
      <c r="AD87" s="1228" t="s">
        <v>289</v>
      </c>
      <c r="AE87" s="1237"/>
    </row>
    <row r="88" spans="1:31" ht="24.75" customHeight="1">
      <c r="A88" s="1361" t="s">
        <v>290</v>
      </c>
      <c r="B88" s="1261" t="s">
        <v>284</v>
      </c>
      <c r="C88" s="1356">
        <v>46052</v>
      </c>
      <c r="D88" s="1345" t="s">
        <v>113</v>
      </c>
      <c r="E88" s="1262">
        <v>46027</v>
      </c>
      <c r="F88" s="1366" t="s">
        <v>291</v>
      </c>
      <c r="G88" s="1264"/>
      <c r="H88" s="52">
        <v>87</v>
      </c>
      <c r="I88" s="656" t="s">
        <v>55</v>
      </c>
      <c r="J88" s="1269" t="s">
        <v>64</v>
      </c>
      <c r="K88" s="1369"/>
      <c r="L88" s="1262">
        <v>46027</v>
      </c>
      <c r="M88" s="1197" t="s">
        <v>57</v>
      </c>
      <c r="N88" s="1292">
        <v>78025</v>
      </c>
      <c r="O88" s="1349" t="s">
        <v>57</v>
      </c>
      <c r="P88" s="1289" t="s">
        <v>65</v>
      </c>
      <c r="Q88" s="1226">
        <v>46027</v>
      </c>
      <c r="R88" s="1452"/>
      <c r="S88" s="1334"/>
      <c r="T88" s="1373"/>
      <c r="U88" s="1226">
        <v>46052</v>
      </c>
      <c r="V88" s="31">
        <v>6432</v>
      </c>
      <c r="W88" s="1504">
        <v>5341</v>
      </c>
      <c r="X88" s="1375">
        <f t="shared" ref="X88:X89" si="8">SUM(V88-W88)</f>
        <v>1091</v>
      </c>
      <c r="Y88" s="1130">
        <f t="shared" ref="Y88:Y89" si="9">IFERROR($W88/$V88, 0)</f>
        <v>0.83037935323383083</v>
      </c>
      <c r="Z88" s="1505">
        <v>46035</v>
      </c>
      <c r="AA88" s="1256">
        <v>1</v>
      </c>
      <c r="AB88" s="1256">
        <v>1</v>
      </c>
      <c r="AC88" s="1255">
        <v>2048</v>
      </c>
      <c r="AD88" s="1228" t="s">
        <v>292</v>
      </c>
      <c r="AE88" s="1237"/>
    </row>
    <row r="89" spans="1:31" ht="24.75" customHeight="1">
      <c r="A89" s="1361" t="s">
        <v>293</v>
      </c>
      <c r="B89" s="1261" t="s">
        <v>284</v>
      </c>
      <c r="C89" s="1356">
        <v>46052</v>
      </c>
      <c r="D89" s="1345" t="s">
        <v>113</v>
      </c>
      <c r="E89" s="1262">
        <v>46027</v>
      </c>
      <c r="F89" s="1366" t="s">
        <v>291</v>
      </c>
      <c r="G89" s="1264"/>
      <c r="H89" s="52">
        <v>90</v>
      </c>
      <c r="I89" s="656" t="s">
        <v>55</v>
      </c>
      <c r="J89" s="1269" t="s">
        <v>64</v>
      </c>
      <c r="K89" s="1369"/>
      <c r="L89" s="1262">
        <v>46027</v>
      </c>
      <c r="M89" s="1197" t="s">
        <v>57</v>
      </c>
      <c r="N89" s="1292">
        <v>88362</v>
      </c>
      <c r="O89" s="1349" t="s">
        <v>57</v>
      </c>
      <c r="P89" s="1289" t="s">
        <v>65</v>
      </c>
      <c r="Q89" s="1226">
        <v>46027</v>
      </c>
      <c r="R89" s="1452"/>
      <c r="S89" s="1334"/>
      <c r="T89" s="1373"/>
      <c r="U89" s="1334"/>
      <c r="V89" s="31">
        <v>7145</v>
      </c>
      <c r="W89" s="1506">
        <v>4339</v>
      </c>
      <c r="X89" s="1236">
        <f t="shared" si="8"/>
        <v>2806</v>
      </c>
      <c r="Y89" s="868">
        <f t="shared" si="9"/>
        <v>0.60727781665500347</v>
      </c>
      <c r="Z89" s="1505">
        <v>46036</v>
      </c>
      <c r="AA89" s="1256">
        <v>1</v>
      </c>
      <c r="AB89" s="1256">
        <v>1</v>
      </c>
      <c r="AC89" s="1255">
        <v>0</v>
      </c>
      <c r="AD89" s="1228" t="s">
        <v>294</v>
      </c>
      <c r="AE89" s="1237"/>
    </row>
    <row r="90" spans="1:31" ht="24.75" customHeight="1">
      <c r="A90" s="1264"/>
      <c r="B90" s="1266"/>
      <c r="C90" s="1266"/>
      <c r="D90" s="1266"/>
      <c r="E90" s="1266"/>
      <c r="F90" s="1264"/>
      <c r="G90" s="1370"/>
      <c r="H90" s="1371"/>
      <c r="I90" s="1371"/>
      <c r="J90" s="1371"/>
      <c r="K90" s="1266"/>
      <c r="L90" s="1264"/>
      <c r="M90" s="1266"/>
      <c r="N90" s="1351"/>
      <c r="O90" s="1266"/>
      <c r="P90" s="1358"/>
      <c r="Q90" s="1364"/>
      <c r="R90" s="1223"/>
      <c r="S90" s="1223"/>
      <c r="T90" s="1223"/>
      <c r="U90" s="1364"/>
      <c r="V90" s="1378"/>
      <c r="W90" s="1364"/>
      <c r="X90" s="1223"/>
      <c r="Y90" s="1223"/>
      <c r="Z90" s="1223"/>
      <c r="AA90" s="1223"/>
      <c r="AB90" s="1223"/>
      <c r="AC90" s="1223"/>
      <c r="AD90" s="1322"/>
    </row>
    <row r="91" spans="1:31" ht="24.75" customHeight="1">
      <c r="A91" s="1264"/>
      <c r="B91" s="1266"/>
      <c r="C91" s="1266"/>
      <c r="D91" s="1266"/>
      <c r="E91" s="1266"/>
      <c r="F91" s="1264"/>
      <c r="G91" s="1264"/>
      <c r="H91" s="1266"/>
      <c r="I91" s="1266"/>
      <c r="J91" s="1266"/>
      <c r="K91" s="1266"/>
      <c r="L91" s="1264"/>
      <c r="M91" s="1266"/>
      <c r="N91" s="1351"/>
      <c r="O91" s="1266"/>
      <c r="P91" s="1358"/>
      <c r="Q91" s="1223"/>
      <c r="R91" s="1223"/>
      <c r="S91" s="1223"/>
      <c r="T91" s="1223"/>
      <c r="U91" s="1223"/>
      <c r="V91" s="1321"/>
      <c r="W91" s="1223"/>
      <c r="X91" s="1223"/>
      <c r="Y91" s="1223"/>
      <c r="Z91" s="1223"/>
      <c r="AA91" s="1223"/>
      <c r="AB91" s="1223"/>
      <c r="AC91" s="1223"/>
      <c r="AD91" s="1322"/>
    </row>
    <row r="92" spans="1:31" ht="24.75" customHeight="1">
      <c r="A92" s="1276" t="s">
        <v>295</v>
      </c>
      <c r="B92" s="1276" t="s">
        <v>20</v>
      </c>
      <c r="C92" s="1276" t="s">
        <v>21</v>
      </c>
      <c r="D92" s="1276" t="s">
        <v>22</v>
      </c>
      <c r="E92" s="1276" t="s">
        <v>23</v>
      </c>
      <c r="F92" s="1276" t="s">
        <v>24</v>
      </c>
      <c r="G92" s="1276" t="s">
        <v>25</v>
      </c>
      <c r="H92" s="1276" t="s">
        <v>26</v>
      </c>
      <c r="I92" s="1276" t="s">
        <v>27</v>
      </c>
      <c r="J92" s="1276" t="s">
        <v>28</v>
      </c>
      <c r="K92" s="1276" t="s">
        <v>29</v>
      </c>
      <c r="L92" s="1276" t="s">
        <v>30</v>
      </c>
      <c r="M92" s="1276" t="s">
        <v>31</v>
      </c>
      <c r="N92" s="1352" t="s">
        <v>32</v>
      </c>
      <c r="O92" s="1276" t="s">
        <v>33</v>
      </c>
      <c r="P92" s="1359" t="s">
        <v>34</v>
      </c>
      <c r="Q92" s="1282" t="s">
        <v>35</v>
      </c>
      <c r="R92" s="1282" t="s">
        <v>36</v>
      </c>
      <c r="S92" s="1282" t="s">
        <v>37</v>
      </c>
      <c r="T92" s="1282" t="s">
        <v>38</v>
      </c>
      <c r="U92" s="1282" t="s">
        <v>39</v>
      </c>
      <c r="V92" s="1282" t="s">
        <v>40</v>
      </c>
      <c r="W92" s="1282" t="s">
        <v>41</v>
      </c>
      <c r="X92" s="1282" t="s">
        <v>42</v>
      </c>
      <c r="Y92" s="1282" t="s">
        <v>43</v>
      </c>
      <c r="Z92" s="1282" t="s">
        <v>44</v>
      </c>
      <c r="AA92" s="1326" t="s">
        <v>45</v>
      </c>
      <c r="AB92" s="1282" t="s">
        <v>46</v>
      </c>
      <c r="AC92" s="1282" t="s">
        <v>47</v>
      </c>
      <c r="AD92" s="1327" t="s">
        <v>48</v>
      </c>
      <c r="AE92" s="1237"/>
    </row>
    <row r="93" spans="1:31" ht="24.75" customHeight="1">
      <c r="A93" s="1264" t="s">
        <v>296</v>
      </c>
      <c r="B93" s="1129" t="s">
        <v>297</v>
      </c>
      <c r="C93" s="1263">
        <v>46112</v>
      </c>
      <c r="D93" s="645" t="s">
        <v>298</v>
      </c>
      <c r="E93" s="1263">
        <v>46029</v>
      </c>
      <c r="F93" s="1264" t="s">
        <v>299</v>
      </c>
      <c r="G93" s="1264"/>
      <c r="H93" s="1286">
        <v>53</v>
      </c>
      <c r="I93" s="656" t="s">
        <v>55</v>
      </c>
      <c r="J93" s="1269" t="s">
        <v>64</v>
      </c>
      <c r="K93" s="1287"/>
      <c r="L93" s="1263"/>
      <c r="M93" s="1269" t="s">
        <v>57</v>
      </c>
      <c r="N93" s="1353">
        <v>51528.05</v>
      </c>
      <c r="O93" s="1269" t="s">
        <v>57</v>
      </c>
      <c r="P93" s="1242" t="s">
        <v>58</v>
      </c>
      <c r="Q93" s="1226">
        <v>45659</v>
      </c>
      <c r="R93" s="1271"/>
      <c r="S93" s="1271"/>
      <c r="T93" s="1271"/>
      <c r="U93" s="1271"/>
      <c r="V93" s="1290">
        <v>4005</v>
      </c>
      <c r="W93" s="1236"/>
      <c r="X93" s="1290">
        <v>4005</v>
      </c>
      <c r="Y93" s="1130">
        <f t="shared" ref="Y93:Y104" si="10">IFERROR($W93/$V93, 0)</f>
        <v>0</v>
      </c>
      <c r="Z93" s="1173"/>
      <c r="AA93" s="1256">
        <v>0</v>
      </c>
      <c r="AB93" s="1256">
        <v>0</v>
      </c>
      <c r="AC93" s="1255">
        <v>0</v>
      </c>
      <c r="AD93" s="1228" t="s">
        <v>300</v>
      </c>
      <c r="AE93" s="1237"/>
    </row>
    <row r="94" spans="1:31" ht="24.75" customHeight="1">
      <c r="A94" s="1264" t="s">
        <v>301</v>
      </c>
      <c r="B94" s="1129" t="s">
        <v>297</v>
      </c>
      <c r="C94" s="1263">
        <v>46112</v>
      </c>
      <c r="D94" s="645"/>
      <c r="E94" s="1263"/>
      <c r="F94" s="1264"/>
      <c r="G94" s="1264"/>
      <c r="H94" s="1286">
        <v>55</v>
      </c>
      <c r="I94" s="656" t="s">
        <v>55</v>
      </c>
      <c r="J94" s="1269" t="s">
        <v>64</v>
      </c>
      <c r="K94" s="1287"/>
      <c r="L94" s="1263"/>
      <c r="M94" s="1269" t="s">
        <v>57</v>
      </c>
      <c r="N94" s="1353">
        <v>55435.9</v>
      </c>
      <c r="O94" s="1269" t="s">
        <v>57</v>
      </c>
      <c r="P94" s="1242" t="s">
        <v>58</v>
      </c>
      <c r="Q94" s="1226"/>
      <c r="R94" s="1271"/>
      <c r="S94" s="1271"/>
      <c r="T94" s="1271"/>
      <c r="U94" s="1271"/>
      <c r="V94" s="1290">
        <v>4571</v>
      </c>
      <c r="W94" s="1328"/>
      <c r="X94" s="1290">
        <v>4571</v>
      </c>
      <c r="Y94" s="868">
        <f t="shared" si="10"/>
        <v>0</v>
      </c>
      <c r="Z94" s="1226"/>
      <c r="AA94" s="1256">
        <v>0</v>
      </c>
      <c r="AB94" s="1256">
        <v>0</v>
      </c>
      <c r="AC94" s="1255">
        <v>0</v>
      </c>
      <c r="AD94" s="1228" t="s">
        <v>302</v>
      </c>
      <c r="AE94" s="1237"/>
    </row>
    <row r="95" spans="1:31" ht="24.75" customHeight="1">
      <c r="A95" s="1264" t="s">
        <v>303</v>
      </c>
      <c r="B95" s="1129" t="s">
        <v>297</v>
      </c>
      <c r="C95" s="1263">
        <v>46112</v>
      </c>
      <c r="D95" s="645"/>
      <c r="E95" s="1263"/>
      <c r="F95" s="1264"/>
      <c r="G95" s="1264"/>
      <c r="H95" s="1265">
        <v>71</v>
      </c>
      <c r="I95" s="656" t="s">
        <v>55</v>
      </c>
      <c r="J95" s="1269" t="s">
        <v>64</v>
      </c>
      <c r="K95" s="1287"/>
      <c r="L95" s="1263"/>
      <c r="M95" s="1269" t="s">
        <v>57</v>
      </c>
      <c r="N95" s="1350">
        <v>74320.899999999994</v>
      </c>
      <c r="O95" s="1269" t="s">
        <v>57</v>
      </c>
      <c r="P95" s="1242" t="s">
        <v>58</v>
      </c>
      <c r="Q95" s="1294"/>
      <c r="R95" s="1271"/>
      <c r="S95" s="1271"/>
      <c r="T95" s="1271"/>
      <c r="U95" s="1271"/>
      <c r="V95" s="1236">
        <v>5990</v>
      </c>
      <c r="W95" s="1328"/>
      <c r="X95" s="1236">
        <v>5990</v>
      </c>
      <c r="Y95" s="868">
        <f t="shared" si="10"/>
        <v>0</v>
      </c>
      <c r="Z95" s="1226"/>
      <c r="AA95" s="1256">
        <v>0</v>
      </c>
      <c r="AB95" s="1256">
        <v>0</v>
      </c>
      <c r="AC95" s="1255">
        <v>0</v>
      </c>
      <c r="AD95" s="1228" t="s">
        <v>302</v>
      </c>
      <c r="AE95" s="1237"/>
    </row>
    <row r="96" spans="1:31" ht="24.75" customHeight="1">
      <c r="A96" s="1264" t="s">
        <v>304</v>
      </c>
      <c r="B96" s="1129" t="s">
        <v>297</v>
      </c>
      <c r="C96" s="1263">
        <v>46112</v>
      </c>
      <c r="D96" s="645"/>
      <c r="E96" s="1263"/>
      <c r="F96" s="1264"/>
      <c r="G96" s="1264"/>
      <c r="H96" s="1265">
        <v>88</v>
      </c>
      <c r="I96" s="656" t="s">
        <v>55</v>
      </c>
      <c r="J96" s="1269" t="s">
        <v>64</v>
      </c>
      <c r="K96" s="1287"/>
      <c r="L96" s="1263"/>
      <c r="M96" s="1269" t="s">
        <v>57</v>
      </c>
      <c r="N96" s="1350">
        <v>88069</v>
      </c>
      <c r="O96" s="1269" t="s">
        <v>57</v>
      </c>
      <c r="P96" s="1242" t="s">
        <v>58</v>
      </c>
      <c r="Q96" s="1294"/>
      <c r="R96" s="1271"/>
      <c r="S96" s="1271"/>
      <c r="T96" s="1271"/>
      <c r="U96" s="1271"/>
      <c r="V96" s="1236">
        <v>7242</v>
      </c>
      <c r="W96" s="1328"/>
      <c r="X96" s="1236">
        <v>7242</v>
      </c>
      <c r="Y96" s="868">
        <f t="shared" si="10"/>
        <v>0</v>
      </c>
      <c r="Z96" s="1226"/>
      <c r="AA96" s="1256">
        <v>0</v>
      </c>
      <c r="AB96" s="1256">
        <v>0</v>
      </c>
      <c r="AC96" s="1255">
        <v>0</v>
      </c>
      <c r="AD96" s="1228" t="s">
        <v>302</v>
      </c>
      <c r="AE96" s="1237"/>
    </row>
    <row r="97" spans="1:31" ht="24.75" customHeight="1">
      <c r="A97" s="1264" t="s">
        <v>305</v>
      </c>
      <c r="B97" s="1129" t="s">
        <v>297</v>
      </c>
      <c r="C97" s="1263">
        <v>46081</v>
      </c>
      <c r="D97" s="645" t="s">
        <v>298</v>
      </c>
      <c r="E97" s="1263">
        <v>46029</v>
      </c>
      <c r="F97" s="1264" t="s">
        <v>299</v>
      </c>
      <c r="G97" s="1264"/>
      <c r="H97" s="1265">
        <v>73</v>
      </c>
      <c r="I97" s="656" t="s">
        <v>55</v>
      </c>
      <c r="J97" s="1269" t="s">
        <v>64</v>
      </c>
      <c r="K97" s="1266"/>
      <c r="L97" s="1267"/>
      <c r="M97" s="1269" t="s">
        <v>80</v>
      </c>
      <c r="N97" s="1350"/>
      <c r="O97" s="1269" t="s">
        <v>57</v>
      </c>
      <c r="P97" s="1242" t="s">
        <v>58</v>
      </c>
      <c r="Q97" s="1226">
        <v>45659</v>
      </c>
      <c r="R97" s="1271"/>
      <c r="S97" s="1271"/>
      <c r="T97" s="1271"/>
      <c r="U97" s="1271"/>
      <c r="V97" s="1236">
        <v>7660</v>
      </c>
      <c r="W97" s="1328"/>
      <c r="X97" s="1236">
        <v>7660</v>
      </c>
      <c r="Y97" s="868">
        <f t="shared" si="10"/>
        <v>0</v>
      </c>
      <c r="Z97" s="1173"/>
      <c r="AA97" s="1256">
        <v>0</v>
      </c>
      <c r="AB97" s="1256">
        <v>0</v>
      </c>
      <c r="AC97" s="1255">
        <v>0</v>
      </c>
      <c r="AD97" s="1228" t="s">
        <v>300</v>
      </c>
      <c r="AE97" s="1237"/>
    </row>
    <row r="98" spans="1:31" ht="24.75" customHeight="1">
      <c r="A98" s="1264" t="s">
        <v>306</v>
      </c>
      <c r="B98" s="1129" t="s">
        <v>297</v>
      </c>
      <c r="C98" s="1263">
        <v>46112</v>
      </c>
      <c r="D98" s="645"/>
      <c r="E98" s="1263"/>
      <c r="F98" s="1264"/>
      <c r="G98" s="1264"/>
      <c r="H98" s="1265">
        <v>87</v>
      </c>
      <c r="I98" s="656" t="s">
        <v>55</v>
      </c>
      <c r="J98" s="1269" t="s">
        <v>64</v>
      </c>
      <c r="K98" s="1266"/>
      <c r="L98" s="1267"/>
      <c r="M98" s="1269" t="s">
        <v>57</v>
      </c>
      <c r="N98" s="1354">
        <v>108458.4</v>
      </c>
      <c r="O98" s="1269" t="s">
        <v>57</v>
      </c>
      <c r="P98" s="1242" t="s">
        <v>58</v>
      </c>
      <c r="Q98" s="1294"/>
      <c r="R98" s="1271"/>
      <c r="S98" s="1271"/>
      <c r="T98" s="1271"/>
      <c r="U98" s="1271"/>
      <c r="V98" s="1236">
        <v>8596</v>
      </c>
      <c r="W98" s="1328"/>
      <c r="X98" s="1236">
        <v>8596</v>
      </c>
      <c r="Y98" s="868">
        <f t="shared" si="10"/>
        <v>0</v>
      </c>
      <c r="Z98" s="1226"/>
      <c r="AA98" s="1256">
        <v>0</v>
      </c>
      <c r="AB98" s="1256">
        <v>0</v>
      </c>
      <c r="AC98" s="1255">
        <v>0</v>
      </c>
      <c r="AD98" s="1228" t="s">
        <v>300</v>
      </c>
      <c r="AE98" s="1237"/>
    </row>
    <row r="99" spans="1:31" ht="24.75" customHeight="1">
      <c r="A99" s="1264" t="s">
        <v>307</v>
      </c>
      <c r="B99" s="1129" t="s">
        <v>297</v>
      </c>
      <c r="C99" s="1263">
        <v>46112</v>
      </c>
      <c r="D99" s="645"/>
      <c r="E99" s="1263"/>
      <c r="F99" s="1264"/>
      <c r="G99" s="1264"/>
      <c r="H99" s="1265">
        <v>70</v>
      </c>
      <c r="I99" s="656" t="s">
        <v>55</v>
      </c>
      <c r="J99" s="1269" t="s">
        <v>64</v>
      </c>
      <c r="K99" s="1266"/>
      <c r="L99" s="1267"/>
      <c r="M99" s="1269" t="s">
        <v>57</v>
      </c>
      <c r="N99" s="1354">
        <v>70105.25</v>
      </c>
      <c r="O99" s="1269" t="s">
        <v>57</v>
      </c>
      <c r="P99" s="1242" t="s">
        <v>58</v>
      </c>
      <c r="Q99" s="1294"/>
      <c r="R99" s="1271"/>
      <c r="S99" s="1271"/>
      <c r="T99" s="1271"/>
      <c r="U99" s="1271"/>
      <c r="V99" s="1236">
        <v>5648</v>
      </c>
      <c r="W99" s="1328"/>
      <c r="X99" s="1236">
        <v>5648</v>
      </c>
      <c r="Y99" s="868">
        <f t="shared" si="10"/>
        <v>0</v>
      </c>
      <c r="Z99" s="1173"/>
      <c r="AA99" s="1256">
        <v>0</v>
      </c>
      <c r="AB99" s="1256">
        <v>0</v>
      </c>
      <c r="AC99" s="1255">
        <v>0</v>
      </c>
      <c r="AD99" s="1228" t="s">
        <v>308</v>
      </c>
      <c r="AE99" s="1237"/>
    </row>
    <row r="100" spans="1:31" ht="24.75" customHeight="1">
      <c r="A100" s="1264" t="s">
        <v>309</v>
      </c>
      <c r="B100" s="1129" t="s">
        <v>297</v>
      </c>
      <c r="C100" s="1263">
        <v>46112</v>
      </c>
      <c r="D100" s="645"/>
      <c r="E100" s="1263"/>
      <c r="F100" s="1264"/>
      <c r="G100" s="1264"/>
      <c r="H100" s="1265">
        <v>77</v>
      </c>
      <c r="I100" s="656" t="s">
        <v>55</v>
      </c>
      <c r="J100" s="1269" t="s">
        <v>64</v>
      </c>
      <c r="K100" s="1266"/>
      <c r="L100" s="1267"/>
      <c r="M100" s="1269" t="s">
        <v>57</v>
      </c>
      <c r="N100" s="1350">
        <v>78047.350000000006</v>
      </c>
      <c r="O100" s="1269" t="s">
        <v>57</v>
      </c>
      <c r="P100" s="1242" t="s">
        <v>58</v>
      </c>
      <c r="Q100" s="1294"/>
      <c r="R100" s="1271"/>
      <c r="S100" s="1271"/>
      <c r="T100" s="1271"/>
      <c r="U100" s="1271"/>
      <c r="V100" s="1236">
        <v>6238</v>
      </c>
      <c r="W100" s="1328"/>
      <c r="X100" s="1236">
        <v>6238</v>
      </c>
      <c r="Y100" s="868">
        <f t="shared" si="10"/>
        <v>0</v>
      </c>
      <c r="Z100" s="1173"/>
      <c r="AA100" s="1256">
        <v>0</v>
      </c>
      <c r="AB100" s="1256">
        <v>0</v>
      </c>
      <c r="AC100" s="1255">
        <v>0</v>
      </c>
      <c r="AD100" s="1228" t="s">
        <v>308</v>
      </c>
      <c r="AE100" s="1237"/>
    </row>
    <row r="101" spans="1:31" ht="24.75" customHeight="1">
      <c r="A101" s="1264" t="s">
        <v>310</v>
      </c>
      <c r="B101" s="1129" t="s">
        <v>297</v>
      </c>
      <c r="C101" s="1263">
        <v>46112</v>
      </c>
      <c r="D101" s="645"/>
      <c r="E101" s="1263"/>
      <c r="F101" s="1264"/>
      <c r="G101" s="1264"/>
      <c r="H101" s="1265">
        <v>52</v>
      </c>
      <c r="I101" s="656" t="s">
        <v>55</v>
      </c>
      <c r="J101" s="1269" t="s">
        <v>64</v>
      </c>
      <c r="K101" s="1266"/>
      <c r="L101" s="1267"/>
      <c r="M101" s="1269" t="s">
        <v>57</v>
      </c>
      <c r="N101" s="1350">
        <v>91411.65</v>
      </c>
      <c r="O101" s="1269" t="s">
        <v>57</v>
      </c>
      <c r="P101" s="1242" t="s">
        <v>58</v>
      </c>
      <c r="Q101" s="1294"/>
      <c r="R101" s="1271"/>
      <c r="S101" s="1271"/>
      <c r="T101" s="1271"/>
      <c r="U101" s="1271"/>
      <c r="V101" s="1236">
        <v>5926</v>
      </c>
      <c r="W101" s="1328"/>
      <c r="X101" s="1236">
        <v>5926</v>
      </c>
      <c r="Y101" s="868">
        <f t="shared" si="10"/>
        <v>0</v>
      </c>
      <c r="Z101" s="1226"/>
      <c r="AA101" s="1256">
        <v>0</v>
      </c>
      <c r="AB101" s="1256">
        <v>0</v>
      </c>
      <c r="AC101" s="1255">
        <v>0</v>
      </c>
      <c r="AD101" s="1228" t="s">
        <v>302</v>
      </c>
      <c r="AE101" s="1237"/>
    </row>
    <row r="102" spans="1:31" ht="24.75" customHeight="1">
      <c r="A102" s="1355" t="s">
        <v>311</v>
      </c>
      <c r="B102" s="1129" t="s">
        <v>297</v>
      </c>
      <c r="C102" s="1263">
        <v>46112</v>
      </c>
      <c r="D102" s="645"/>
      <c r="E102" s="1356"/>
      <c r="F102" s="1355"/>
      <c r="G102" s="1264"/>
      <c r="H102" s="1265">
        <v>81</v>
      </c>
      <c r="I102" s="656" t="s">
        <v>55</v>
      </c>
      <c r="J102" s="1269" t="s">
        <v>64</v>
      </c>
      <c r="K102" s="1357"/>
      <c r="L102" s="1356"/>
      <c r="M102" s="1269" t="s">
        <v>57</v>
      </c>
      <c r="N102" s="1350">
        <v>105892.05</v>
      </c>
      <c r="O102" s="1269" t="s">
        <v>57</v>
      </c>
      <c r="P102" s="1242" t="s">
        <v>58</v>
      </c>
      <c r="Q102" s="1505"/>
      <c r="R102" s="1334"/>
      <c r="S102" s="1334"/>
      <c r="T102" s="1334"/>
      <c r="U102" s="1334"/>
      <c r="V102" s="1236">
        <v>8641</v>
      </c>
      <c r="W102" s="1504"/>
      <c r="X102" s="1236">
        <v>8641</v>
      </c>
      <c r="Y102" s="868">
        <f t="shared" si="10"/>
        <v>0</v>
      </c>
      <c r="Z102" s="1335"/>
      <c r="AA102" s="1256">
        <v>0</v>
      </c>
      <c r="AB102" s="1256">
        <v>0</v>
      </c>
      <c r="AC102" s="1255">
        <v>0</v>
      </c>
      <c r="AD102" s="1228" t="s">
        <v>302</v>
      </c>
      <c r="AE102" s="1237"/>
    </row>
    <row r="103" spans="1:31" ht="24.75" customHeight="1">
      <c r="A103" s="1355" t="s">
        <v>312</v>
      </c>
      <c r="B103" s="1129" t="s">
        <v>297</v>
      </c>
      <c r="C103" s="1263">
        <v>46112</v>
      </c>
      <c r="D103" s="645"/>
      <c r="E103" s="1356"/>
      <c r="F103" s="1355"/>
      <c r="G103" s="1264"/>
      <c r="H103" s="1265">
        <v>79</v>
      </c>
      <c r="I103" s="656" t="s">
        <v>55</v>
      </c>
      <c r="J103" s="1269" t="s">
        <v>64</v>
      </c>
      <c r="K103" s="1357"/>
      <c r="L103" s="1356"/>
      <c r="M103" s="1269" t="s">
        <v>57</v>
      </c>
      <c r="N103" s="1350">
        <v>88420</v>
      </c>
      <c r="O103" s="1269" t="s">
        <v>57</v>
      </c>
      <c r="P103" s="1242" t="s">
        <v>58</v>
      </c>
      <c r="Q103" s="1507"/>
      <c r="R103" s="1336"/>
      <c r="S103" s="1336"/>
      <c r="T103" s="1336"/>
      <c r="U103" s="1336"/>
      <c r="V103" s="1338">
        <v>7502</v>
      </c>
      <c r="W103" s="1508"/>
      <c r="X103" s="1338">
        <v>7502</v>
      </c>
      <c r="Y103" s="875">
        <f t="shared" si="10"/>
        <v>0</v>
      </c>
      <c r="Z103" s="1337"/>
      <c r="AA103" s="1256">
        <v>0</v>
      </c>
      <c r="AB103" s="1256">
        <v>0</v>
      </c>
      <c r="AC103" s="1255">
        <v>0</v>
      </c>
      <c r="AD103" s="1228" t="s">
        <v>302</v>
      </c>
      <c r="AE103" s="1237"/>
    </row>
    <row r="104" spans="1:31" ht="24.75" customHeight="1">
      <c r="A104" s="1355" t="s">
        <v>313</v>
      </c>
      <c r="B104" s="1129" t="s">
        <v>297</v>
      </c>
      <c r="C104" s="1263">
        <v>46081</v>
      </c>
      <c r="D104" s="645" t="s">
        <v>298</v>
      </c>
      <c r="E104" s="1263">
        <v>46029</v>
      </c>
      <c r="F104" s="1355" t="s">
        <v>299</v>
      </c>
      <c r="G104" s="1264"/>
      <c r="H104" s="1265">
        <v>0</v>
      </c>
      <c r="I104" s="656" t="s">
        <v>55</v>
      </c>
      <c r="J104" s="1269" t="s">
        <v>64</v>
      </c>
      <c r="K104" s="1357"/>
      <c r="L104" s="1356"/>
      <c r="M104" s="1269" t="s">
        <v>80</v>
      </c>
      <c r="N104" s="1350"/>
      <c r="O104" s="1269" t="s">
        <v>57</v>
      </c>
      <c r="P104" s="1242" t="s">
        <v>58</v>
      </c>
      <c r="Q104" s="1226">
        <v>45659</v>
      </c>
      <c r="R104" s="1336"/>
      <c r="S104" s="1336"/>
      <c r="T104" s="1336"/>
      <c r="U104" s="1336"/>
      <c r="V104" s="1338">
        <v>3682</v>
      </c>
      <c r="W104" s="1508"/>
      <c r="X104" s="1338">
        <v>3682</v>
      </c>
      <c r="Y104" s="875">
        <f t="shared" si="10"/>
        <v>0</v>
      </c>
      <c r="Z104" s="1337"/>
      <c r="AA104" s="1256">
        <v>0</v>
      </c>
      <c r="AB104" s="1256">
        <v>0</v>
      </c>
      <c r="AC104" s="1255">
        <v>0</v>
      </c>
      <c r="AD104" s="1228" t="s">
        <v>314</v>
      </c>
      <c r="AE104" s="1237"/>
    </row>
    <row r="105" spans="1:31" ht="24.75" customHeight="1">
      <c r="A105" s="1264"/>
      <c r="B105" s="1266"/>
      <c r="C105" s="1266"/>
      <c r="D105" s="1266"/>
      <c r="E105" s="1266"/>
      <c r="F105" s="1264"/>
      <c r="G105" s="1264"/>
      <c r="H105" s="1266"/>
      <c r="I105" s="1266"/>
      <c r="J105" s="1266"/>
      <c r="K105" s="1266"/>
      <c r="L105" s="1264"/>
      <c r="M105" s="1266"/>
      <c r="N105" s="1351"/>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360"/>
      <c r="Q111" s="1239"/>
      <c r="R111" s="1239"/>
      <c r="S111" s="1239"/>
      <c r="T111" s="1239"/>
      <c r="U111" s="1239"/>
      <c r="V111" s="1323"/>
      <c r="W111" s="1239"/>
      <c r="X111" s="1239"/>
      <c r="Y111" s="1239"/>
      <c r="Z111" s="1239"/>
      <c r="AA111" s="1239"/>
      <c r="AB111" s="1239"/>
      <c r="AC111" s="1239"/>
      <c r="AD111" s="1325"/>
    </row>
    <row r="112" spans="1:31" ht="24.75" customHeight="1">
      <c r="A112" s="1264"/>
      <c r="B112" s="1266"/>
      <c r="C112" s="1266"/>
      <c r="D112" s="1266"/>
      <c r="E112" s="1266"/>
      <c r="F112" s="1264"/>
      <c r="G112" s="1264"/>
      <c r="H112" s="1266"/>
      <c r="I112" s="1266"/>
      <c r="J112" s="1266"/>
      <c r="K112" s="1266"/>
      <c r="L112" s="1264"/>
      <c r="M112" s="1266"/>
      <c r="N112" s="1351"/>
      <c r="O112" s="1266"/>
      <c r="P112" s="1237"/>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15" customHeight="1">
      <c r="A140" s="1323"/>
      <c r="B140" s="1239"/>
      <c r="C140" s="1239"/>
      <c r="D140" s="1239"/>
      <c r="E140" s="1239"/>
      <c r="F140" s="1323"/>
      <c r="G140" s="1323"/>
      <c r="H140" s="1239"/>
      <c r="I140" s="1239"/>
      <c r="J140" s="1239"/>
      <c r="K140" s="1239"/>
      <c r="L140" s="1323"/>
      <c r="M140" s="1239"/>
      <c r="N140" s="1324"/>
      <c r="O140" s="1239"/>
    </row>
  </sheetData>
  <sortState xmlns:xlrd2="http://schemas.microsoft.com/office/spreadsheetml/2017/richdata2" ref="A2:AD49">
    <sortCondition descending="1" ref="B2:B49"/>
  </sortState>
  <dataValidations count="7">
    <dataValidation allowBlank="1" showInputMessage="1" showErrorMessage="1" sqref="D84 D93:D104 Q90:Q91 L90:L91 L97:L1048576 R95:U1048576 Q95:Q96 Q98:Q103 Q105:Q1048576 Q3:U4 Q7:U16 L2:L16 Q18:U43 L18:L43 L86:L87 Q86:Q87 D86:D89 R86:U91 Q45:U84 L45:L84" xr:uid="{1D31F93E-3D68-4310-94BF-578ADAD65882}"/>
    <dataValidation type="list" allowBlank="1" showInputMessage="1" showErrorMessage="1" sqref="J58 J78 J93:J104 J45:J50 J64:J72 J2:J16 J18:J43 J80:J84 J86:J89" xr:uid="{5598570D-D2DE-4A6E-ABB1-14F4B3480632}">
      <formula1>"Received, Pending, Not Required"</formula1>
    </dataValidation>
    <dataValidation type="list" allowBlank="1" showInputMessage="1" showErrorMessage="1" sqref="I58 I78 I61 I93:I1048576 I64:I72 I29:I43 I45:I50 I4:I16 I80:I84 I86:I91" xr:uid="{BDA55F74-4FDA-49CF-8062-F3046665EBCB}">
      <formula1>"On Track, In Jeopardy, Completed on Track, Completed, Completed -Missed TSD"</formula1>
    </dataValidation>
    <dataValidation type="list" allowBlank="1" showInputMessage="1" showErrorMessage="1" sqref="I2:I3 I51:I57 I79 I62:I64 I59:I60 I73:I77 I18:I28" xr:uid="{B676ED09-FB47-4D85-B41D-60012AA8BA0B}">
      <formula1>"On Track, In Jeopardy, Completed on Track, Completed, Completed -Missed TSD, On Hold Per Tillman"</formula1>
    </dataValidation>
    <dataValidation type="list" allowBlank="1" showInputMessage="1" showErrorMessage="1" sqref="K97:K1048576 K45:K49 K2:K16 K18:K43 K51:K84 K86:K91" xr:uid="{E79CFDF7-5B00-4092-B572-9E33744A1925}">
      <formula1>"Pending Locates,Permits, SOW Pending, NTP Pending, Materials, Reassigned, Door Tags"</formula1>
    </dataValidation>
    <dataValidation type="list" allowBlank="1" showInputMessage="1" showErrorMessage="1" sqref="P93:P1048576 P2:P16 P18:P43 P86:P91 P45:P84" xr:uid="{3B607733-28FE-460F-9B65-BA430C00FE23}">
      <formula1>"Not Started, In Process, Completed, Locates Called"</formula1>
    </dataValidation>
    <dataValidation type="list" allowBlank="1" showInputMessage="1" showErrorMessage="1" sqref="K50"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1" activePane="topRight" state="frozen"/>
      <selection pane="topRight" activeCell="AD8" sqref="A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316</v>
      </c>
      <c r="B2" s="825" t="s">
        <v>180</v>
      </c>
      <c r="C2" s="467">
        <v>45960</v>
      </c>
      <c r="D2" s="467" t="s">
        <v>317</v>
      </c>
      <c r="E2" s="467">
        <v>45897</v>
      </c>
      <c r="F2" s="465" t="s">
        <v>232</v>
      </c>
      <c r="G2" s="678"/>
      <c r="H2" s="469">
        <v>0</v>
      </c>
      <c r="I2" s="657" t="s">
        <v>260</v>
      </c>
      <c r="J2" s="469" t="s">
        <v>64</v>
      </c>
      <c r="K2" s="469"/>
      <c r="L2" s="467">
        <v>45891</v>
      </c>
      <c r="M2" s="469" t="s">
        <v>57</v>
      </c>
      <c r="N2" s="540">
        <v>184994.5</v>
      </c>
      <c r="O2" s="469" t="s">
        <v>57</v>
      </c>
      <c r="P2" s="622" t="s">
        <v>261</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318</v>
      </c>
    </row>
    <row r="3" spans="1:30" ht="39.75" customHeight="1">
      <c r="A3" s="916" t="s">
        <v>319</v>
      </c>
      <c r="B3" s="825" t="s">
        <v>180</v>
      </c>
      <c r="C3" s="467">
        <v>45960</v>
      </c>
      <c r="D3" s="467" t="s">
        <v>320</v>
      </c>
      <c r="E3" s="467">
        <v>45909</v>
      </c>
      <c r="F3" s="467" t="s">
        <v>182</v>
      </c>
      <c r="G3" s="678"/>
      <c r="H3" s="469">
        <v>0</v>
      </c>
      <c r="I3" s="469" t="s">
        <v>260</v>
      </c>
      <c r="J3" s="469" t="s">
        <v>64</v>
      </c>
      <c r="K3" s="469"/>
      <c r="L3" s="467">
        <v>45905</v>
      </c>
      <c r="M3" s="469" t="s">
        <v>57</v>
      </c>
      <c r="N3" s="540">
        <v>98170.1</v>
      </c>
      <c r="O3" s="469" t="s">
        <v>57</v>
      </c>
      <c r="P3" s="622" t="s">
        <v>261</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321</v>
      </c>
    </row>
    <row r="4" spans="1:30" ht="39.75" customHeight="1">
      <c r="A4" s="916" t="s">
        <v>322</v>
      </c>
      <c r="B4" s="825" t="s">
        <v>180</v>
      </c>
      <c r="C4" s="467">
        <v>45960</v>
      </c>
      <c r="D4" s="467" t="s">
        <v>181</v>
      </c>
      <c r="E4" s="467">
        <v>45905</v>
      </c>
      <c r="F4" s="467" t="s">
        <v>182</v>
      </c>
      <c r="G4" s="678"/>
      <c r="H4" s="469">
        <v>0</v>
      </c>
      <c r="I4" s="657" t="s">
        <v>260</v>
      </c>
      <c r="J4" s="469" t="s">
        <v>64</v>
      </c>
      <c r="K4" s="478"/>
      <c r="L4" s="375">
        <v>45943</v>
      </c>
      <c r="M4" s="1083" t="s">
        <v>57</v>
      </c>
      <c r="N4" s="540">
        <v>2167.3000000000002</v>
      </c>
      <c r="O4" s="469" t="s">
        <v>57</v>
      </c>
      <c r="P4" s="622" t="s">
        <v>261</v>
      </c>
      <c r="Q4" s="471">
        <v>45908</v>
      </c>
      <c r="R4" s="471"/>
      <c r="S4" s="471"/>
      <c r="T4" s="471"/>
      <c r="U4" s="471"/>
      <c r="V4" s="416">
        <v>158</v>
      </c>
      <c r="W4" s="577">
        <v>429</v>
      </c>
      <c r="X4" s="106">
        <f>SUM(V4-W4)</f>
        <v>-271</v>
      </c>
      <c r="Y4" s="653">
        <f>IFERROR($W4/$V4, 0)</f>
        <v>2.7151898734177213</v>
      </c>
      <c r="Z4" s="72" t="s">
        <v>323</v>
      </c>
      <c r="AA4" s="355">
        <v>0</v>
      </c>
      <c r="AB4" s="355">
        <v>0</v>
      </c>
      <c r="AC4" s="41">
        <v>0</v>
      </c>
      <c r="AD4" s="1442" t="s">
        <v>324</v>
      </c>
    </row>
    <row r="5" spans="1:30" ht="39.75" customHeight="1">
      <c r="A5" s="836" t="s">
        <v>325</v>
      </c>
      <c r="B5" s="825" t="s">
        <v>180</v>
      </c>
      <c r="C5" s="467">
        <v>45991</v>
      </c>
      <c r="D5" s="476" t="s">
        <v>192</v>
      </c>
      <c r="E5" s="476">
        <v>45950</v>
      </c>
      <c r="F5" s="475" t="s">
        <v>193</v>
      </c>
      <c r="G5" s="822"/>
      <c r="H5" s="826">
        <v>82</v>
      </c>
      <c r="I5" s="823" t="s">
        <v>260</v>
      </c>
      <c r="J5" s="826" t="s">
        <v>64</v>
      </c>
      <c r="K5" s="486"/>
      <c r="L5" s="51">
        <v>45902</v>
      </c>
      <c r="M5" s="1084" t="s">
        <v>57</v>
      </c>
      <c r="N5" s="827">
        <v>87830</v>
      </c>
      <c r="O5" s="823" t="s">
        <v>57</v>
      </c>
      <c r="P5" s="622" t="s">
        <v>261</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326</v>
      </c>
    </row>
    <row r="6" spans="1:30" ht="39.75" customHeight="1">
      <c r="A6" s="916" t="s">
        <v>327</v>
      </c>
      <c r="B6" s="825" t="s">
        <v>180</v>
      </c>
      <c r="C6" s="467">
        <v>45989</v>
      </c>
      <c r="D6" s="476" t="s">
        <v>192</v>
      </c>
      <c r="E6" s="476">
        <v>45964</v>
      </c>
      <c r="F6" s="475" t="s">
        <v>193</v>
      </c>
      <c r="G6" s="822" t="s">
        <v>328</v>
      </c>
      <c r="H6" s="826">
        <v>74</v>
      </c>
      <c r="I6" s="469" t="s">
        <v>260</v>
      </c>
      <c r="J6" s="469" t="s">
        <v>64</v>
      </c>
      <c r="K6" s="469"/>
      <c r="L6" s="51">
        <v>45932</v>
      </c>
      <c r="M6" s="1084" t="s">
        <v>57</v>
      </c>
      <c r="N6" s="827">
        <v>47064</v>
      </c>
      <c r="O6" s="823" t="s">
        <v>57</v>
      </c>
      <c r="P6" s="622" t="s">
        <v>261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329</v>
      </c>
    </row>
    <row r="7" spans="1:30" ht="39.75" customHeight="1">
      <c r="A7" s="836" t="s">
        <v>330</v>
      </c>
      <c r="B7" s="825" t="s">
        <v>180</v>
      </c>
      <c r="C7" s="467">
        <v>45960</v>
      </c>
      <c r="D7" s="476" t="s">
        <v>192</v>
      </c>
      <c r="E7" s="476">
        <v>45930</v>
      </c>
      <c r="F7" s="475" t="s">
        <v>193</v>
      </c>
      <c r="G7" s="822"/>
      <c r="H7" s="826">
        <v>80</v>
      </c>
      <c r="I7" s="823" t="s">
        <v>260</v>
      </c>
      <c r="J7" s="826" t="s">
        <v>64</v>
      </c>
      <c r="K7" s="823"/>
      <c r="L7" s="51">
        <v>45902</v>
      </c>
      <c r="M7" s="1084" t="s">
        <v>57</v>
      </c>
      <c r="N7" s="827">
        <v>90173</v>
      </c>
      <c r="O7" s="823" t="s">
        <v>57</v>
      </c>
      <c r="P7" s="622" t="s">
        <v>261</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44" t="s">
        <v>326</v>
      </c>
    </row>
    <row r="8" spans="1:30" ht="39.75" customHeight="1">
      <c r="A8" s="1245" t="s">
        <v>331</v>
      </c>
      <c r="B8" s="825" t="s">
        <v>180</v>
      </c>
      <c r="C8" s="1175">
        <v>45999</v>
      </c>
      <c r="D8" s="1195" t="s">
        <v>268</v>
      </c>
      <c r="E8" s="1195">
        <v>45964</v>
      </c>
      <c r="F8" s="1196" t="s">
        <v>232</v>
      </c>
      <c r="G8" s="1195" t="s">
        <v>332</v>
      </c>
      <c r="H8" s="826">
        <v>81</v>
      </c>
      <c r="I8" s="1177" t="s">
        <v>260</v>
      </c>
      <c r="J8" s="1177" t="s">
        <v>64</v>
      </c>
      <c r="K8" s="823"/>
      <c r="L8" s="1195" t="s">
        <v>52</v>
      </c>
      <c r="M8" s="823" t="s">
        <v>57</v>
      </c>
      <c r="N8" s="827">
        <v>68962</v>
      </c>
      <c r="O8" s="823" t="s">
        <v>57</v>
      </c>
      <c r="P8" s="1246" t="s">
        <v>261</v>
      </c>
      <c r="Q8" s="1200">
        <v>45932</v>
      </c>
      <c r="R8" s="1494"/>
      <c r="S8" s="1494"/>
      <c r="T8" s="1494"/>
      <c r="U8" s="1494"/>
      <c r="V8" s="970">
        <v>5333</v>
      </c>
      <c r="W8" s="1000">
        <v>5264</v>
      </c>
      <c r="X8" s="1181">
        <f t="shared" si="2"/>
        <v>69</v>
      </c>
      <c r="Y8" s="658">
        <f t="shared" si="3"/>
        <v>0.98706169135570976</v>
      </c>
      <c r="Z8" s="1200">
        <v>46044</v>
      </c>
      <c r="AA8" s="1183">
        <v>0</v>
      </c>
      <c r="AB8" s="1183">
        <v>0</v>
      </c>
      <c r="AC8" s="641">
        <v>0</v>
      </c>
      <c r="AD8" s="1184" t="s">
        <v>333</v>
      </c>
    </row>
    <row r="9" spans="1:30" ht="39.75" customHeight="1">
      <c r="A9" s="916" t="s">
        <v>334</v>
      </c>
      <c r="B9" s="825" t="s">
        <v>180</v>
      </c>
      <c r="C9" s="467">
        <v>45960</v>
      </c>
      <c r="D9" s="476" t="s">
        <v>268</v>
      </c>
      <c r="E9" s="476">
        <v>45950</v>
      </c>
      <c r="F9" s="475" t="s">
        <v>232</v>
      </c>
      <c r="G9" s="822"/>
      <c r="H9" s="826">
        <v>80</v>
      </c>
      <c r="I9" s="823" t="s">
        <v>260</v>
      </c>
      <c r="J9" s="826" t="s">
        <v>64</v>
      </c>
      <c r="K9" s="823"/>
      <c r="L9" s="1085">
        <v>45905</v>
      </c>
      <c r="M9" s="823" t="s">
        <v>57</v>
      </c>
      <c r="N9" s="827">
        <v>66674.3</v>
      </c>
      <c r="O9" s="823" t="s">
        <v>57</v>
      </c>
      <c r="P9" s="622" t="s">
        <v>261</v>
      </c>
      <c r="Q9" s="479">
        <v>45922</v>
      </c>
      <c r="R9" s="479"/>
      <c r="S9" s="479"/>
      <c r="T9" s="479"/>
      <c r="U9" s="479"/>
      <c r="V9" s="970">
        <v>5285</v>
      </c>
      <c r="W9" s="577">
        <v>5360</v>
      </c>
      <c r="X9" s="106">
        <f t="shared" si="2"/>
        <v>-75</v>
      </c>
      <c r="Y9" s="653">
        <f t="shared" si="3"/>
        <v>1.0141911069063387</v>
      </c>
      <c r="Z9" s="674">
        <v>45954</v>
      </c>
      <c r="AA9" s="355">
        <v>0</v>
      </c>
      <c r="AB9" s="355">
        <v>0</v>
      </c>
      <c r="AC9" s="41">
        <v>0</v>
      </c>
      <c r="AD9" s="1445" t="s">
        <v>335</v>
      </c>
    </row>
    <row r="10" spans="1:30" ht="39.75" customHeight="1">
      <c r="A10" s="916" t="s">
        <v>336</v>
      </c>
      <c r="B10" s="825" t="s">
        <v>180</v>
      </c>
      <c r="C10" s="467">
        <v>45960</v>
      </c>
      <c r="D10" s="476" t="s">
        <v>268</v>
      </c>
      <c r="E10" s="476">
        <v>45937</v>
      </c>
      <c r="F10" s="475" t="s">
        <v>232</v>
      </c>
      <c r="G10" s="822"/>
      <c r="H10" s="826">
        <v>82</v>
      </c>
      <c r="I10" s="823" t="s">
        <v>260</v>
      </c>
      <c r="J10" s="826" t="s">
        <v>64</v>
      </c>
      <c r="K10" s="469"/>
      <c r="L10" s="476">
        <v>45903</v>
      </c>
      <c r="M10" s="823" t="s">
        <v>57</v>
      </c>
      <c r="N10" s="827">
        <v>93666.75</v>
      </c>
      <c r="O10" s="823" t="s">
        <v>57</v>
      </c>
      <c r="P10" s="622" t="s">
        <v>261</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5" t="s">
        <v>326</v>
      </c>
    </row>
    <row r="11" spans="1:30" ht="39.75" customHeight="1">
      <c r="A11" s="1245" t="s">
        <v>337</v>
      </c>
      <c r="B11" s="825" t="s">
        <v>180</v>
      </c>
      <c r="C11" s="1195">
        <v>46011</v>
      </c>
      <c r="D11" s="1196" t="s">
        <v>268</v>
      </c>
      <c r="E11" s="1195">
        <v>45923</v>
      </c>
      <c r="F11" s="1196" t="s">
        <v>232</v>
      </c>
      <c r="G11" s="1196" t="s">
        <v>338</v>
      </c>
      <c r="H11" s="1197">
        <v>0</v>
      </c>
      <c r="I11" s="823" t="s">
        <v>260</v>
      </c>
      <c r="J11" s="1197" t="s">
        <v>64</v>
      </c>
      <c r="K11" s="469"/>
      <c r="L11" s="1195" t="s">
        <v>52</v>
      </c>
      <c r="M11" s="1197" t="s">
        <v>57</v>
      </c>
      <c r="N11" s="1208">
        <v>139581.6</v>
      </c>
      <c r="O11" s="1197" t="s">
        <v>57</v>
      </c>
      <c r="P11" s="1246" t="s">
        <v>261</v>
      </c>
      <c r="Q11" s="1200">
        <v>45918</v>
      </c>
      <c r="R11" s="1200"/>
      <c r="S11" s="1200"/>
      <c r="T11" s="1200"/>
      <c r="U11" s="1200"/>
      <c r="V11" s="970">
        <v>11150</v>
      </c>
      <c r="W11" s="1247">
        <v>10923</v>
      </c>
      <c r="X11" s="1181">
        <f>SUM(V11-W11)</f>
        <v>227</v>
      </c>
      <c r="Y11" s="658">
        <f>IFERROR($W11/$V11, 0)</f>
        <v>0.97964125560538118</v>
      </c>
      <c r="Z11" s="1200">
        <v>46027</v>
      </c>
      <c r="AA11" s="1183">
        <v>0</v>
      </c>
      <c r="AB11" s="1183">
        <v>0</v>
      </c>
      <c r="AC11" s="1201">
        <v>0</v>
      </c>
      <c r="AD11" s="1215" t="s">
        <v>339</v>
      </c>
    </row>
    <row r="12" spans="1:30" ht="39.75" customHeight="1">
      <c r="A12" s="916" t="s">
        <v>340</v>
      </c>
      <c r="B12" s="490" t="s">
        <v>180</v>
      </c>
      <c r="C12" s="467">
        <v>45991</v>
      </c>
      <c r="D12" s="475" t="s">
        <v>341</v>
      </c>
      <c r="E12" s="476">
        <v>45716</v>
      </c>
      <c r="F12" s="475" t="s">
        <v>193</v>
      </c>
      <c r="G12" s="477" t="s">
        <v>342</v>
      </c>
      <c r="H12" s="478">
        <v>44</v>
      </c>
      <c r="I12" s="483" t="s">
        <v>260</v>
      </c>
      <c r="J12" s="478" t="s">
        <v>64</v>
      </c>
      <c r="K12" s="478"/>
      <c r="L12" s="476">
        <v>45716</v>
      </c>
      <c r="M12" s="478" t="s">
        <v>57</v>
      </c>
      <c r="N12" s="541">
        <v>57973.5</v>
      </c>
      <c r="O12" s="478" t="s">
        <v>57</v>
      </c>
      <c r="P12" s="622" t="s">
        <v>261</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42"/>
    </row>
    <row r="13" spans="1:30" ht="39.75" customHeight="1">
      <c r="A13" s="916" t="s">
        <v>343</v>
      </c>
      <c r="B13" s="825" t="s">
        <v>180</v>
      </c>
      <c r="C13" s="467">
        <v>45991</v>
      </c>
      <c r="D13" s="475" t="s">
        <v>192</v>
      </c>
      <c r="E13" s="476">
        <v>45880</v>
      </c>
      <c r="F13" s="475" t="s">
        <v>193</v>
      </c>
      <c r="G13" s="819" t="s">
        <v>344</v>
      </c>
      <c r="H13" s="478">
        <v>57</v>
      </c>
      <c r="I13" s="823" t="s">
        <v>260</v>
      </c>
      <c r="J13" s="478" t="s">
        <v>64</v>
      </c>
      <c r="K13" s="486"/>
      <c r="L13" s="476">
        <v>45863</v>
      </c>
      <c r="M13" s="478" t="s">
        <v>57</v>
      </c>
      <c r="N13" s="541">
        <v>49223.7</v>
      </c>
      <c r="O13" s="478" t="s">
        <v>57</v>
      </c>
      <c r="P13" s="622" t="s">
        <v>261</v>
      </c>
      <c r="Q13" s="479">
        <v>45863</v>
      </c>
      <c r="R13" s="479"/>
      <c r="S13" s="479"/>
      <c r="T13" s="479"/>
      <c r="U13" s="479"/>
      <c r="V13" s="472">
        <v>3394</v>
      </c>
      <c r="W13" s="507">
        <v>3394</v>
      </c>
      <c r="X13" s="472">
        <f t="shared" si="2"/>
        <v>0</v>
      </c>
      <c r="Y13" s="658">
        <f t="shared" si="3"/>
        <v>1</v>
      </c>
      <c r="Z13" s="479">
        <v>45916</v>
      </c>
      <c r="AA13" s="355">
        <v>1</v>
      </c>
      <c r="AB13" s="355">
        <v>1</v>
      </c>
      <c r="AC13" s="41">
        <v>0</v>
      </c>
      <c r="AD13" s="1442" t="s">
        <v>345</v>
      </c>
    </row>
    <row r="14" spans="1:30" ht="39.75" customHeight="1">
      <c r="A14" s="916" t="s">
        <v>346</v>
      </c>
      <c r="B14" s="825" t="s">
        <v>180</v>
      </c>
      <c r="C14" s="467">
        <v>45991</v>
      </c>
      <c r="D14" s="475" t="s">
        <v>192</v>
      </c>
      <c r="E14" s="476">
        <v>45880</v>
      </c>
      <c r="F14" s="475" t="s">
        <v>193</v>
      </c>
      <c r="G14" s="819" t="s">
        <v>347</v>
      </c>
      <c r="H14" s="478">
        <v>75</v>
      </c>
      <c r="I14" s="823" t="s">
        <v>260</v>
      </c>
      <c r="J14" s="478" t="s">
        <v>64</v>
      </c>
      <c r="K14" s="486"/>
      <c r="L14" s="476">
        <v>45879</v>
      </c>
      <c r="M14" s="478" t="s">
        <v>57</v>
      </c>
      <c r="N14" s="541">
        <v>68151.75</v>
      </c>
      <c r="O14" s="478" t="s">
        <v>57</v>
      </c>
      <c r="P14" s="622" t="s">
        <v>261</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42"/>
    </row>
    <row r="15" spans="1:30" ht="39.75" customHeight="1">
      <c r="A15" s="916" t="s">
        <v>348</v>
      </c>
      <c r="B15" s="825" t="s">
        <v>180</v>
      </c>
      <c r="C15" s="467">
        <v>45960</v>
      </c>
      <c r="D15" s="475" t="s">
        <v>268</v>
      </c>
      <c r="E15" s="476">
        <v>45966</v>
      </c>
      <c r="F15" s="475" t="s">
        <v>232</v>
      </c>
      <c r="G15" s="819"/>
      <c r="H15" s="478">
        <v>0</v>
      </c>
      <c r="I15" s="823" t="s">
        <v>260</v>
      </c>
      <c r="J15" s="478" t="s">
        <v>64</v>
      </c>
      <c r="K15" s="486"/>
      <c r="L15" s="476" t="s">
        <v>52</v>
      </c>
      <c r="M15" s="478" t="s">
        <v>57</v>
      </c>
      <c r="N15" s="541">
        <v>29960</v>
      </c>
      <c r="O15" s="478" t="s">
        <v>57</v>
      </c>
      <c r="P15" s="622" t="s">
        <v>261</v>
      </c>
      <c r="Q15" s="479">
        <v>45922</v>
      </c>
      <c r="R15" s="479"/>
      <c r="S15" s="479"/>
      <c r="T15" s="479"/>
      <c r="U15" s="479"/>
      <c r="V15" s="842">
        <v>2372</v>
      </c>
      <c r="W15" s="623">
        <v>2326</v>
      </c>
      <c r="X15" s="472">
        <f t="shared" ref="X15:X28" si="4">SUM(V15-W15)</f>
        <v>46</v>
      </c>
      <c r="Y15" s="658">
        <f t="shared" ref="Y15:Y28" si="5">IFERROR($W15/$V15, 0)</f>
        <v>0.98060708263069141</v>
      </c>
      <c r="Z15" s="479">
        <v>45968</v>
      </c>
      <c r="AA15" s="355">
        <v>0</v>
      </c>
      <c r="AB15" s="355">
        <v>0</v>
      </c>
      <c r="AC15" s="41">
        <v>2706</v>
      </c>
      <c r="AD15" s="1442" t="s">
        <v>349</v>
      </c>
    </row>
    <row r="16" spans="1:30" ht="39.75" customHeight="1">
      <c r="A16" s="1331" t="s">
        <v>350</v>
      </c>
      <c r="B16" s="825" t="s">
        <v>180</v>
      </c>
      <c r="C16" s="467" t="s">
        <v>351</v>
      </c>
      <c r="D16" s="475" t="s">
        <v>181</v>
      </c>
      <c r="E16" s="476">
        <v>45964</v>
      </c>
      <c r="F16" s="475" t="s">
        <v>352</v>
      </c>
      <c r="G16" s="819"/>
      <c r="H16" s="478">
        <v>0</v>
      </c>
      <c r="I16" s="469" t="s">
        <v>260</v>
      </c>
      <c r="J16" s="478" t="s">
        <v>64</v>
      </c>
      <c r="K16" s="469"/>
      <c r="L16" s="476" t="s">
        <v>52</v>
      </c>
      <c r="M16" s="478" t="s">
        <v>57</v>
      </c>
      <c r="N16" s="541">
        <v>2670.65</v>
      </c>
      <c r="O16" s="478" t="s">
        <v>57</v>
      </c>
      <c r="P16" s="622" t="s">
        <v>261</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5" t="s">
        <v>353</v>
      </c>
    </row>
    <row r="17" spans="1:30" ht="39.75" customHeight="1">
      <c r="A17" s="1245" t="s">
        <v>354</v>
      </c>
      <c r="B17" s="825" t="s">
        <v>180</v>
      </c>
      <c r="C17" s="1312">
        <v>46053</v>
      </c>
      <c r="D17" s="1313" t="s">
        <v>355</v>
      </c>
      <c r="E17" s="1314">
        <v>46030</v>
      </c>
      <c r="F17" s="475" t="s">
        <v>232</v>
      </c>
      <c r="G17" s="1196"/>
      <c r="H17" s="1197">
        <v>0</v>
      </c>
      <c r="I17" s="657" t="s">
        <v>260</v>
      </c>
      <c r="J17" s="1496" t="s">
        <v>64</v>
      </c>
      <c r="K17" s="1496"/>
      <c r="L17" s="476" t="s">
        <v>52</v>
      </c>
      <c r="M17" s="478" t="s">
        <v>57</v>
      </c>
      <c r="N17" s="1497">
        <v>1035</v>
      </c>
      <c r="O17" s="1197" t="s">
        <v>57</v>
      </c>
      <c r="P17" s="1246" t="s">
        <v>261</v>
      </c>
      <c r="Q17" s="1498">
        <v>46030</v>
      </c>
      <c r="R17" s="1308"/>
      <c r="S17" s="1308"/>
      <c r="T17" s="1308"/>
      <c r="U17" s="1308"/>
      <c r="V17" s="1499">
        <v>0</v>
      </c>
      <c r="W17" s="1503">
        <v>0</v>
      </c>
      <c r="X17" s="1500">
        <f>SUM(V17-W17)</f>
        <v>0</v>
      </c>
      <c r="Y17" s="658">
        <v>1</v>
      </c>
      <c r="Z17" s="1498">
        <v>46030</v>
      </c>
      <c r="AA17" s="1183">
        <v>0</v>
      </c>
      <c r="AB17" s="1183">
        <v>0</v>
      </c>
      <c r="AC17" s="1201">
        <v>0</v>
      </c>
      <c r="AD17" s="1445" t="s">
        <v>356</v>
      </c>
    </row>
    <row r="18" spans="1:30" ht="39.75" customHeight="1">
      <c r="A18" s="916" t="s">
        <v>357</v>
      </c>
      <c r="B18" s="825" t="s">
        <v>264</v>
      </c>
      <c r="C18" s="467">
        <v>46006</v>
      </c>
      <c r="D18" s="475" t="s">
        <v>268</v>
      </c>
      <c r="E18" s="476">
        <v>45987</v>
      </c>
      <c r="F18" s="475" t="s">
        <v>193</v>
      </c>
      <c r="G18" s="819" t="s">
        <v>358</v>
      </c>
      <c r="H18" s="478">
        <v>35</v>
      </c>
      <c r="I18" s="823" t="s">
        <v>260</v>
      </c>
      <c r="J18" s="478" t="s">
        <v>64</v>
      </c>
      <c r="K18" s="469"/>
      <c r="L18" s="476" t="s">
        <v>52</v>
      </c>
      <c r="M18" s="478" t="s">
        <v>57</v>
      </c>
      <c r="N18" s="541">
        <v>35942</v>
      </c>
      <c r="O18" s="478" t="s">
        <v>57</v>
      </c>
      <c r="P18" s="622" t="s">
        <v>261</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5" t="s">
        <v>359</v>
      </c>
    </row>
    <row r="19" spans="1:30" ht="39.75" customHeight="1">
      <c r="A19" s="1245" t="s">
        <v>360</v>
      </c>
      <c r="B19" s="825" t="s">
        <v>264</v>
      </c>
      <c r="C19" s="1175">
        <v>46006</v>
      </c>
      <c r="D19" s="1196" t="s">
        <v>268</v>
      </c>
      <c r="E19" s="1195">
        <v>45987</v>
      </c>
      <c r="F19" s="1196" t="s">
        <v>193</v>
      </c>
      <c r="G19" s="1196" t="s">
        <v>361</v>
      </c>
      <c r="H19" s="1197">
        <v>30</v>
      </c>
      <c r="I19" s="823" t="s">
        <v>260</v>
      </c>
      <c r="J19" s="826" t="s">
        <v>64</v>
      </c>
      <c r="K19" s="1177"/>
      <c r="L19" s="476" t="s">
        <v>52</v>
      </c>
      <c r="M19" s="1197" t="s">
        <v>57</v>
      </c>
      <c r="N19" s="1208">
        <v>31387.05</v>
      </c>
      <c r="O19" s="1197" t="s">
        <v>57</v>
      </c>
      <c r="P19" s="1246" t="s">
        <v>261</v>
      </c>
      <c r="Q19" s="1200">
        <v>45992</v>
      </c>
      <c r="R19" s="1308"/>
      <c r="S19" s="1308"/>
      <c r="T19" s="1308"/>
      <c r="U19" s="1308"/>
      <c r="V19" s="1201">
        <v>2580</v>
      </c>
      <c r="W19" s="1247">
        <v>2637</v>
      </c>
      <c r="X19" s="1181">
        <f t="shared" ref="X19" si="6">SUM(V19-W19)</f>
        <v>-57</v>
      </c>
      <c r="Y19" s="658">
        <f t="shared" ref="Y19" si="7">IFERROR($W19/$V19, 0)</f>
        <v>1.0220930232558139</v>
      </c>
      <c r="Z19" s="1200">
        <v>46001</v>
      </c>
      <c r="AA19" s="1183">
        <v>0</v>
      </c>
      <c r="AB19" s="1183">
        <v>0</v>
      </c>
      <c r="AC19" s="1201">
        <v>0</v>
      </c>
      <c r="AD19" s="1445" t="s">
        <v>362</v>
      </c>
    </row>
    <row r="20" spans="1:30" ht="39.75" customHeight="1">
      <c r="A20" s="916" t="s">
        <v>363</v>
      </c>
      <c r="B20" s="490" t="s">
        <v>264</v>
      </c>
      <c r="C20" s="467">
        <v>46006</v>
      </c>
      <c r="D20" s="475" t="s">
        <v>268</v>
      </c>
      <c r="E20" s="476">
        <v>45975</v>
      </c>
      <c r="F20" s="475" t="s">
        <v>193</v>
      </c>
      <c r="G20" s="477" t="s">
        <v>364</v>
      </c>
      <c r="H20" s="478">
        <v>86</v>
      </c>
      <c r="I20" s="823" t="s">
        <v>260</v>
      </c>
      <c r="J20" s="826" t="s">
        <v>64</v>
      </c>
      <c r="K20" s="469"/>
      <c r="L20" s="476" t="s">
        <v>52</v>
      </c>
      <c r="M20" s="478" t="s">
        <v>57</v>
      </c>
      <c r="N20" s="541">
        <v>111432</v>
      </c>
      <c r="O20" s="478" t="s">
        <v>57</v>
      </c>
      <c r="P20" s="622" t="s">
        <v>261</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5" t="s">
        <v>365</v>
      </c>
    </row>
    <row r="21" spans="1:30" ht="39.75" customHeight="1">
      <c r="A21" s="1245" t="s">
        <v>366</v>
      </c>
      <c r="B21" s="825" t="s">
        <v>264</v>
      </c>
      <c r="C21" s="1175">
        <v>46040</v>
      </c>
      <c r="D21" s="1196" t="s">
        <v>268</v>
      </c>
      <c r="E21" s="1195">
        <v>46031</v>
      </c>
      <c r="F21" s="1196" t="s">
        <v>193</v>
      </c>
      <c r="G21" s="1196" t="s">
        <v>367</v>
      </c>
      <c r="H21" s="1197">
        <v>73</v>
      </c>
      <c r="I21" s="823" t="s">
        <v>260</v>
      </c>
      <c r="J21" s="826" t="s">
        <v>64</v>
      </c>
      <c r="K21" s="1177"/>
      <c r="L21" s="476" t="s">
        <v>52</v>
      </c>
      <c r="M21" s="1197" t="s">
        <v>57</v>
      </c>
      <c r="N21" s="1208">
        <v>77814</v>
      </c>
      <c r="O21" s="1197" t="s">
        <v>57</v>
      </c>
      <c r="P21" s="1246" t="s">
        <v>261</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5" t="s">
        <v>368</v>
      </c>
    </row>
    <row r="22" spans="1:30" ht="39.75" customHeight="1">
      <c r="A22" s="916" t="s">
        <v>369</v>
      </c>
      <c r="B22" s="490" t="s">
        <v>264</v>
      </c>
      <c r="C22" s="467">
        <v>46053</v>
      </c>
      <c r="D22" s="475" t="s">
        <v>268</v>
      </c>
      <c r="E22" s="476">
        <v>45964</v>
      </c>
      <c r="F22" s="475" t="s">
        <v>193</v>
      </c>
      <c r="G22" s="477"/>
      <c r="H22" s="478">
        <v>82</v>
      </c>
      <c r="I22" s="823" t="s">
        <v>260</v>
      </c>
      <c r="J22" s="478" t="s">
        <v>64</v>
      </c>
      <c r="K22" s="469"/>
      <c r="L22" s="476" t="s">
        <v>52</v>
      </c>
      <c r="M22" s="478" t="s">
        <v>57</v>
      </c>
      <c r="N22" s="541">
        <v>101871</v>
      </c>
      <c r="O22" s="478" t="s">
        <v>57</v>
      </c>
      <c r="P22" s="622" t="s">
        <v>261</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5" t="s">
        <v>370</v>
      </c>
    </row>
    <row r="23" spans="1:30" ht="39.75" customHeight="1">
      <c r="A23" s="916" t="s">
        <v>371</v>
      </c>
      <c r="B23" s="490" t="s">
        <v>264</v>
      </c>
      <c r="C23" s="467">
        <v>46053</v>
      </c>
      <c r="D23" s="475" t="s">
        <v>268</v>
      </c>
      <c r="E23" s="476">
        <v>45974</v>
      </c>
      <c r="F23" s="475" t="s">
        <v>193</v>
      </c>
      <c r="G23" s="477" t="s">
        <v>372</v>
      </c>
      <c r="H23" s="478">
        <v>77</v>
      </c>
      <c r="I23" s="823" t="s">
        <v>260</v>
      </c>
      <c r="J23" s="478" t="s">
        <v>64</v>
      </c>
      <c r="K23" s="469"/>
      <c r="L23" s="476">
        <v>45965</v>
      </c>
      <c r="M23" s="478" t="s">
        <v>57</v>
      </c>
      <c r="N23" s="541">
        <v>90786</v>
      </c>
      <c r="O23" s="478" t="s">
        <v>57</v>
      </c>
      <c r="P23" s="622" t="s">
        <v>261</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5" t="s">
        <v>370</v>
      </c>
    </row>
    <row r="24" spans="1:30" ht="39.75" customHeight="1">
      <c r="A24" s="916" t="s">
        <v>373</v>
      </c>
      <c r="B24" s="490" t="s">
        <v>264</v>
      </c>
      <c r="C24" s="467">
        <v>46006</v>
      </c>
      <c r="D24" s="475" t="s">
        <v>268</v>
      </c>
      <c r="E24" s="476">
        <v>45980</v>
      </c>
      <c r="F24" s="475" t="s">
        <v>193</v>
      </c>
      <c r="G24" s="819" t="s">
        <v>374</v>
      </c>
      <c r="H24" s="478">
        <v>75</v>
      </c>
      <c r="I24" s="823" t="s">
        <v>260</v>
      </c>
      <c r="J24" s="478" t="s">
        <v>64</v>
      </c>
      <c r="K24" s="469"/>
      <c r="L24" s="476" t="s">
        <v>52</v>
      </c>
      <c r="M24" s="478" t="s">
        <v>57</v>
      </c>
      <c r="N24" s="541">
        <v>82330</v>
      </c>
      <c r="O24" s="478" t="s">
        <v>57</v>
      </c>
      <c r="P24" s="622" t="s">
        <v>261</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5" t="s">
        <v>359</v>
      </c>
    </row>
    <row r="25" spans="1:30" ht="39.75" customHeight="1">
      <c r="A25" s="1381" t="s">
        <v>375</v>
      </c>
      <c r="B25" s="1003" t="s">
        <v>264</v>
      </c>
      <c r="C25" s="1175">
        <v>46040</v>
      </c>
      <c r="D25" s="1196" t="s">
        <v>268</v>
      </c>
      <c r="E25" s="1195">
        <v>45996</v>
      </c>
      <c r="F25" s="1196" t="s">
        <v>193</v>
      </c>
      <c r="G25" s="1196" t="s">
        <v>376</v>
      </c>
      <c r="H25" s="1197">
        <v>78</v>
      </c>
      <c r="I25" s="823" t="s">
        <v>260</v>
      </c>
      <c r="J25" s="1197" t="s">
        <v>64</v>
      </c>
      <c r="K25" s="1177"/>
      <c r="L25" s="476" t="s">
        <v>52</v>
      </c>
      <c r="M25" s="1197" t="s">
        <v>57</v>
      </c>
      <c r="N25" s="1208">
        <v>84477</v>
      </c>
      <c r="O25" s="1197" t="s">
        <v>57</v>
      </c>
      <c r="P25" s="1246" t="s">
        <v>261</v>
      </c>
      <c r="Q25" s="1200">
        <v>46000</v>
      </c>
      <c r="R25" s="1200"/>
      <c r="S25" s="1200"/>
      <c r="T25" s="1200"/>
      <c r="U25" s="1200"/>
      <c r="V25" s="1201">
        <v>6758</v>
      </c>
      <c r="W25" s="1296">
        <v>6565</v>
      </c>
      <c r="X25" s="1236">
        <f t="shared" ref="X25" si="8">SUM(V25-W25)</f>
        <v>193</v>
      </c>
      <c r="Y25" s="653">
        <f t="shared" ref="Y25" si="9">IFERROR($W25/$V25, 0)</f>
        <v>0.97144125480911514</v>
      </c>
      <c r="Z25" s="1380">
        <v>46006</v>
      </c>
      <c r="AA25" s="1183">
        <v>0</v>
      </c>
      <c r="AB25" s="1440">
        <v>0</v>
      </c>
      <c r="AC25" s="1441">
        <v>0</v>
      </c>
      <c r="AD25" s="1446" t="s">
        <v>359</v>
      </c>
    </row>
    <row r="26" spans="1:30" ht="39.75" customHeight="1">
      <c r="A26" s="916" t="s">
        <v>377</v>
      </c>
      <c r="B26" s="465" t="s">
        <v>99</v>
      </c>
      <c r="C26" s="476">
        <v>45976</v>
      </c>
      <c r="D26" s="467" t="s">
        <v>113</v>
      </c>
      <c r="E26" s="467">
        <v>45959</v>
      </c>
      <c r="F26" s="465" t="s">
        <v>291</v>
      </c>
      <c r="G26" s="678"/>
      <c r="H26" s="469">
        <v>69</v>
      </c>
      <c r="I26" s="657" t="s">
        <v>260</v>
      </c>
      <c r="J26" s="469" t="s">
        <v>64</v>
      </c>
      <c r="K26" s="469"/>
      <c r="L26" s="467">
        <v>45962</v>
      </c>
      <c r="M26" s="469" t="s">
        <v>57</v>
      </c>
      <c r="N26" s="540">
        <v>37418</v>
      </c>
      <c r="O26" s="469" t="s">
        <v>57</v>
      </c>
      <c r="P26" s="622" t="s">
        <v>261</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7" t="s">
        <v>378</v>
      </c>
    </row>
    <row r="27" spans="1:30" ht="39.75" customHeight="1">
      <c r="A27" s="1245" t="s">
        <v>379</v>
      </c>
      <c r="B27" s="1176" t="s">
        <v>99</v>
      </c>
      <c r="C27" s="1175">
        <v>46052</v>
      </c>
      <c r="D27" s="1175" t="s">
        <v>105</v>
      </c>
      <c r="E27" s="1175">
        <v>46021</v>
      </c>
      <c r="F27" s="1176" t="s">
        <v>106</v>
      </c>
      <c r="G27" s="1176" t="s">
        <v>380</v>
      </c>
      <c r="H27" s="1177">
        <v>88</v>
      </c>
      <c r="I27" s="657" t="s">
        <v>260</v>
      </c>
      <c r="J27" s="1177" t="s">
        <v>64</v>
      </c>
      <c r="K27" s="469"/>
      <c r="L27" s="1175">
        <v>46021</v>
      </c>
      <c r="M27" s="1177" t="s">
        <v>57</v>
      </c>
      <c r="N27" s="1178">
        <v>77109.5</v>
      </c>
      <c r="O27" s="1177" t="s">
        <v>57</v>
      </c>
      <c r="P27" s="1246" t="s">
        <v>261</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381</v>
      </c>
    </row>
    <row r="28" spans="1:30" ht="39.75" customHeight="1">
      <c r="A28" s="1245" t="s">
        <v>382</v>
      </c>
      <c r="B28" s="1176" t="s">
        <v>99</v>
      </c>
      <c r="C28" s="1175">
        <v>46052</v>
      </c>
      <c r="D28" s="1175" t="s">
        <v>105</v>
      </c>
      <c r="E28" s="1175">
        <v>46045</v>
      </c>
      <c r="F28" s="1176" t="s">
        <v>106</v>
      </c>
      <c r="G28" s="1176" t="s">
        <v>383</v>
      </c>
      <c r="H28" s="1177">
        <v>69</v>
      </c>
      <c r="I28" s="657" t="s">
        <v>260</v>
      </c>
      <c r="J28" s="1177" t="s">
        <v>64</v>
      </c>
      <c r="K28" s="469"/>
      <c r="L28" s="1175">
        <v>46027</v>
      </c>
      <c r="M28" s="1177" t="s">
        <v>57</v>
      </c>
      <c r="N28" s="1178">
        <v>41834.75</v>
      </c>
      <c r="O28" s="1177" t="s">
        <v>57</v>
      </c>
      <c r="P28" s="1246" t="s">
        <v>261</v>
      </c>
      <c r="Q28" s="1180">
        <v>46027</v>
      </c>
      <c r="R28" s="1225"/>
      <c r="S28" s="1225"/>
      <c r="T28" s="1225"/>
      <c r="U28" s="1225"/>
      <c r="V28" s="1181">
        <v>3183</v>
      </c>
      <c r="W28" s="1247">
        <v>3121</v>
      </c>
      <c r="X28" s="1181">
        <f t="shared" si="4"/>
        <v>62</v>
      </c>
      <c r="Y28" s="658">
        <f t="shared" si="5"/>
        <v>0.98052152057807096</v>
      </c>
      <c r="Z28" s="1200">
        <v>46048</v>
      </c>
      <c r="AA28" s="1183">
        <v>0</v>
      </c>
      <c r="AB28" s="1183">
        <v>0</v>
      </c>
      <c r="AC28" s="782">
        <v>0</v>
      </c>
      <c r="AD28" s="1184" t="s">
        <v>384</v>
      </c>
    </row>
    <row r="29" spans="1:30" ht="39.75" customHeight="1">
      <c r="A29" s="916" t="s">
        <v>385</v>
      </c>
      <c r="B29" s="465" t="s">
        <v>99</v>
      </c>
      <c r="C29" s="467">
        <v>45991</v>
      </c>
      <c r="D29" s="467" t="s">
        <v>113</v>
      </c>
      <c r="E29" s="467">
        <v>45966</v>
      </c>
      <c r="F29" s="465" t="s">
        <v>100</v>
      </c>
      <c r="G29" s="678" t="s">
        <v>386</v>
      </c>
      <c r="H29" s="469">
        <v>83</v>
      </c>
      <c r="I29" s="657" t="s">
        <v>260</v>
      </c>
      <c r="J29" s="469" t="s">
        <v>64</v>
      </c>
      <c r="K29" s="469"/>
      <c r="L29" s="467">
        <v>45969</v>
      </c>
      <c r="M29" s="469" t="s">
        <v>57</v>
      </c>
      <c r="N29" s="540">
        <v>66402</v>
      </c>
      <c r="O29" s="469" t="s">
        <v>57</v>
      </c>
      <c r="P29" s="622" t="s">
        <v>261</v>
      </c>
      <c r="Q29" s="471">
        <v>45969</v>
      </c>
      <c r="R29" s="548"/>
      <c r="S29" s="548"/>
      <c r="T29" s="548"/>
      <c r="U29" s="548"/>
      <c r="V29" s="472">
        <v>5324</v>
      </c>
      <c r="W29" s="623">
        <v>5304</v>
      </c>
      <c r="X29" s="472">
        <f t="shared" ref="X29" si="10">SUM(V29-W29)</f>
        <v>20</v>
      </c>
      <c r="Y29" s="658">
        <f t="shared" ref="Y29" si="11">IFERROR($W29/$V29, 0)</f>
        <v>0.99624342599549209</v>
      </c>
      <c r="Z29" s="479">
        <v>45979</v>
      </c>
      <c r="AA29" s="34">
        <v>1</v>
      </c>
      <c r="AB29" s="34">
        <v>1</v>
      </c>
      <c r="AC29" s="1019">
        <v>0</v>
      </c>
      <c r="AD29" s="1446" t="s">
        <v>387</v>
      </c>
    </row>
    <row r="30" spans="1:30" ht="39.75" customHeight="1">
      <c r="A30" s="916" t="s">
        <v>388</v>
      </c>
      <c r="B30" s="465" t="s">
        <v>99</v>
      </c>
      <c r="C30" s="467">
        <v>46001</v>
      </c>
      <c r="D30" s="467" t="s">
        <v>113</v>
      </c>
      <c r="E30" s="467">
        <v>45966</v>
      </c>
      <c r="F30" s="465" t="s">
        <v>100</v>
      </c>
      <c r="G30" s="678" t="s">
        <v>389</v>
      </c>
      <c r="H30" s="469">
        <v>77</v>
      </c>
      <c r="I30" s="657" t="s">
        <v>260</v>
      </c>
      <c r="J30" s="469" t="s">
        <v>64</v>
      </c>
      <c r="K30" s="469"/>
      <c r="L30" s="467">
        <v>45967</v>
      </c>
      <c r="M30" s="469" t="s">
        <v>57</v>
      </c>
      <c r="N30" s="540">
        <v>63997.35</v>
      </c>
      <c r="O30" s="469" t="s">
        <v>57</v>
      </c>
      <c r="P30" s="622" t="s">
        <v>261</v>
      </c>
      <c r="Q30" s="471">
        <v>45967</v>
      </c>
      <c r="R30" s="548"/>
      <c r="S30" s="548"/>
      <c r="T30" s="548"/>
      <c r="U30" s="548"/>
      <c r="V30" s="472">
        <v>5053</v>
      </c>
      <c r="W30" s="623">
        <v>4915</v>
      </c>
      <c r="X30" s="472">
        <f>SUM(V30-W30)</f>
        <v>138</v>
      </c>
      <c r="Y30" s="658">
        <f>IFERROR($W30/$V30, 0)</f>
        <v>0.97268949139125271</v>
      </c>
      <c r="Z30" s="479">
        <v>45995</v>
      </c>
      <c r="AA30" s="1439">
        <v>1</v>
      </c>
      <c r="AB30" s="1439">
        <v>0</v>
      </c>
      <c r="AC30" s="1112">
        <v>0</v>
      </c>
      <c r="AD30" s="1445" t="s">
        <v>390</v>
      </c>
    </row>
    <row r="31" spans="1:30" ht="39.75" customHeight="1">
      <c r="A31" s="1436" t="s">
        <v>391</v>
      </c>
      <c r="B31" s="1402" t="s">
        <v>99</v>
      </c>
      <c r="C31" s="1312">
        <v>45959</v>
      </c>
      <c r="D31" s="1312" t="s">
        <v>113</v>
      </c>
      <c r="E31" s="1312">
        <v>45961</v>
      </c>
      <c r="F31" s="1402" t="s">
        <v>106</v>
      </c>
      <c r="G31" s="1176"/>
      <c r="H31" s="1496">
        <v>0</v>
      </c>
      <c r="I31" s="657" t="s">
        <v>260</v>
      </c>
      <c r="J31" s="1496" t="s">
        <v>64</v>
      </c>
      <c r="K31" s="1496"/>
      <c r="L31" s="1312" t="s">
        <v>136</v>
      </c>
      <c r="M31" s="1496" t="s">
        <v>57</v>
      </c>
      <c r="N31" s="1509">
        <v>15670.45</v>
      </c>
      <c r="O31" s="1496" t="s">
        <v>57</v>
      </c>
      <c r="P31" s="1502" t="s">
        <v>261</v>
      </c>
      <c r="Q31" s="1510">
        <v>46031</v>
      </c>
      <c r="R31" s="1510"/>
      <c r="S31" s="1510"/>
      <c r="T31" s="1510"/>
      <c r="U31" s="1510"/>
      <c r="V31" s="782">
        <v>1202</v>
      </c>
      <c r="W31" s="1247">
        <v>1208</v>
      </c>
      <c r="X31" s="1500">
        <f>SUM(V31-W31)</f>
        <v>-6</v>
      </c>
      <c r="Y31" s="658">
        <v>1</v>
      </c>
      <c r="Z31" s="1200">
        <v>46035</v>
      </c>
      <c r="AA31" s="355">
        <v>1</v>
      </c>
      <c r="AB31" s="1511">
        <v>0</v>
      </c>
      <c r="AC31" s="1500">
        <v>0</v>
      </c>
      <c r="AD31" s="1445" t="s">
        <v>392</v>
      </c>
    </row>
    <row r="32" spans="1:30" ht="39.75" customHeight="1">
      <c r="A32" s="1245" t="s">
        <v>393</v>
      </c>
      <c r="B32" s="1176" t="s">
        <v>99</v>
      </c>
      <c r="C32" s="1175">
        <v>45675</v>
      </c>
      <c r="D32" s="1175" t="s">
        <v>113</v>
      </c>
      <c r="E32" s="1175">
        <v>46006</v>
      </c>
      <c r="F32" s="1176" t="s">
        <v>106</v>
      </c>
      <c r="G32" s="1176"/>
      <c r="H32" s="1177">
        <v>0</v>
      </c>
      <c r="I32" s="1177" t="s">
        <v>260</v>
      </c>
      <c r="J32" s="1177" t="s">
        <v>64</v>
      </c>
      <c r="K32" s="1177"/>
      <c r="L32" s="1175">
        <v>46006</v>
      </c>
      <c r="M32" s="1177" t="s">
        <v>57</v>
      </c>
      <c r="N32" s="1178">
        <v>45512.75</v>
      </c>
      <c r="O32" s="1177" t="s">
        <v>57</v>
      </c>
      <c r="P32" s="1246" t="s">
        <v>261</v>
      </c>
      <c r="Q32" s="1180">
        <v>46006</v>
      </c>
      <c r="R32" s="1180"/>
      <c r="S32" s="1180"/>
      <c r="T32" s="1180"/>
      <c r="U32" s="1180"/>
      <c r="V32" s="782">
        <v>3675</v>
      </c>
      <c r="W32" s="1000">
        <v>3820</v>
      </c>
      <c r="X32" s="1181">
        <f>SUM(V32-W32)</f>
        <v>-145</v>
      </c>
      <c r="Y32" s="658">
        <f t="shared" ref="Y32" si="12">IFERROR($W32/$V32, 0)</f>
        <v>1.0394557823129251</v>
      </c>
      <c r="Z32" s="1200">
        <v>46027</v>
      </c>
      <c r="AA32" s="355">
        <v>1</v>
      </c>
      <c r="AB32" s="1183">
        <v>0</v>
      </c>
      <c r="AC32" s="950">
        <v>3507</v>
      </c>
      <c r="AD32" s="1445" t="s">
        <v>394</v>
      </c>
    </row>
    <row r="33" spans="1:30" ht="39.75" customHeight="1">
      <c r="A33" s="916" t="s">
        <v>395</v>
      </c>
      <c r="B33" s="465" t="s">
        <v>99</v>
      </c>
      <c r="C33" s="467">
        <v>46021</v>
      </c>
      <c r="D33" s="465" t="s">
        <v>51</v>
      </c>
      <c r="E33" s="467" t="s">
        <v>52</v>
      </c>
      <c r="F33" s="465" t="s">
        <v>106</v>
      </c>
      <c r="G33" s="468" t="s">
        <v>396</v>
      </c>
      <c r="H33" s="469">
        <v>0</v>
      </c>
      <c r="I33" s="469" t="s">
        <v>260</v>
      </c>
      <c r="J33" s="469" t="s">
        <v>64</v>
      </c>
      <c r="K33" s="469"/>
      <c r="L33" s="467" t="s">
        <v>136</v>
      </c>
      <c r="M33" s="469" t="s">
        <v>57</v>
      </c>
      <c r="N33" s="540">
        <v>1931.75</v>
      </c>
      <c r="O33" s="469" t="s">
        <v>57</v>
      </c>
      <c r="P33" s="1045" t="s">
        <v>261</v>
      </c>
      <c r="Q33" s="124"/>
      <c r="R33" s="648"/>
      <c r="S33" s="471"/>
      <c r="T33" s="471"/>
      <c r="U33" s="471"/>
      <c r="V33" s="416">
        <v>0</v>
      </c>
      <c r="W33" s="577">
        <v>0</v>
      </c>
      <c r="X33" s="472">
        <f>SUM(V33-W33)</f>
        <v>0</v>
      </c>
      <c r="Y33" s="658">
        <f t="shared" ref="Y33:Y77" si="13">IFERROR($W33/$V33, 0)</f>
        <v>0</v>
      </c>
      <c r="Z33" s="479">
        <v>45996</v>
      </c>
      <c r="AA33" s="355">
        <v>0</v>
      </c>
      <c r="AB33" s="355">
        <v>1</v>
      </c>
      <c r="AC33" s="472">
        <v>0</v>
      </c>
      <c r="AD33" s="1442" t="s">
        <v>397</v>
      </c>
    </row>
    <row r="34" spans="1:30" ht="39.75" customHeight="1">
      <c r="A34" s="916" t="s">
        <v>398</v>
      </c>
      <c r="B34" s="677" t="s">
        <v>99</v>
      </c>
      <c r="C34" s="476">
        <v>45991</v>
      </c>
      <c r="D34" s="465" t="s">
        <v>399</v>
      </c>
      <c r="E34" s="467">
        <v>45936</v>
      </c>
      <c r="F34" s="465" t="s">
        <v>100</v>
      </c>
      <c r="G34" s="678"/>
      <c r="H34" s="469">
        <v>0</v>
      </c>
      <c r="I34" s="469" t="s">
        <v>260</v>
      </c>
      <c r="J34" s="469" t="s">
        <v>64</v>
      </c>
      <c r="K34" s="469"/>
      <c r="L34" s="467" t="s">
        <v>136</v>
      </c>
      <c r="M34" s="469" t="s">
        <v>57</v>
      </c>
      <c r="N34" s="540">
        <v>74164.05</v>
      </c>
      <c r="O34" s="469" t="s">
        <v>57</v>
      </c>
      <c r="P34" s="1045" t="s">
        <v>261</v>
      </c>
      <c r="Q34" s="124">
        <v>45939</v>
      </c>
      <c r="R34" s="648"/>
      <c r="S34" s="471"/>
      <c r="T34" s="471"/>
      <c r="U34" s="471"/>
      <c r="V34" s="416">
        <v>5613</v>
      </c>
      <c r="W34" s="577">
        <v>5774</v>
      </c>
      <c r="X34" s="472">
        <f t="shared" ref="X34:X76" si="14">SUM(V34-W34)</f>
        <v>-161</v>
      </c>
      <c r="Y34" s="658">
        <f t="shared" si="13"/>
        <v>1.0286834135043648</v>
      </c>
      <c r="Z34" s="479">
        <v>45960</v>
      </c>
      <c r="AA34" s="355">
        <v>1</v>
      </c>
      <c r="AB34" s="355">
        <v>1</v>
      </c>
      <c r="AC34" s="472">
        <v>0</v>
      </c>
      <c r="AD34" s="1442" t="s">
        <v>400</v>
      </c>
    </row>
    <row r="35" spans="1:30" ht="39.75" customHeight="1">
      <c r="A35" s="1245" t="s">
        <v>401</v>
      </c>
      <c r="B35" s="677" t="s">
        <v>99</v>
      </c>
      <c r="C35" s="1175">
        <v>46020</v>
      </c>
      <c r="D35" s="1175" t="s">
        <v>402</v>
      </c>
      <c r="E35" s="1175">
        <v>45978</v>
      </c>
      <c r="F35" s="1176" t="s">
        <v>106</v>
      </c>
      <c r="G35" s="1176" t="s">
        <v>403</v>
      </c>
      <c r="H35" s="1177">
        <v>197</v>
      </c>
      <c r="I35" s="657" t="s">
        <v>260</v>
      </c>
      <c r="J35" s="1177" t="s">
        <v>56</v>
      </c>
      <c r="K35" s="469"/>
      <c r="L35" s="1175">
        <v>45978</v>
      </c>
      <c r="M35" s="1177" t="s">
        <v>57</v>
      </c>
      <c r="N35" s="1178">
        <v>87807.5</v>
      </c>
      <c r="O35" s="1177" t="s">
        <v>57</v>
      </c>
      <c r="P35" s="1246" t="s">
        <v>261</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404</v>
      </c>
    </row>
    <row r="36" spans="1:30" ht="39.75" customHeight="1">
      <c r="A36" s="1291" t="s">
        <v>405</v>
      </c>
      <c r="B36" s="1261" t="s">
        <v>284</v>
      </c>
      <c r="C36" s="1263">
        <v>46052</v>
      </c>
      <c r="D36" s="1345" t="s">
        <v>113</v>
      </c>
      <c r="E36" s="1262">
        <v>46027</v>
      </c>
      <c r="F36" s="1365" t="s">
        <v>291</v>
      </c>
      <c r="G36" s="1264"/>
      <c r="H36" s="52">
        <v>68</v>
      </c>
      <c r="I36" s="656" t="s">
        <v>260</v>
      </c>
      <c r="J36" s="1269" t="s">
        <v>64</v>
      </c>
      <c r="K36" s="1083"/>
      <c r="L36" s="1262">
        <v>46027</v>
      </c>
      <c r="M36" s="1197" t="s">
        <v>57</v>
      </c>
      <c r="N36" s="1292">
        <v>68608</v>
      </c>
      <c r="O36" s="1349" t="s">
        <v>57</v>
      </c>
      <c r="P36" s="1293" t="s">
        <v>261</v>
      </c>
      <c r="Q36" s="1226">
        <v>46027</v>
      </c>
      <c r="R36" s="1295"/>
      <c r="S36" s="1271"/>
      <c r="T36" s="1372"/>
      <c r="U36" s="1226">
        <v>46052</v>
      </c>
      <c r="V36" s="31">
        <v>5699</v>
      </c>
      <c r="W36" s="1296">
        <v>5669</v>
      </c>
      <c r="X36" s="1375">
        <f>SUM(V36-W36)</f>
        <v>30</v>
      </c>
      <c r="Y36" s="1130">
        <f>IFERROR($W36/$V36, 0)</f>
        <v>0.99473591858220745</v>
      </c>
      <c r="Z36" s="1226">
        <v>46034</v>
      </c>
      <c r="AA36" s="1256">
        <v>0</v>
      </c>
      <c r="AB36" s="1256">
        <v>0</v>
      </c>
      <c r="AC36" s="1255">
        <v>0</v>
      </c>
      <c r="AD36" s="1228" t="s">
        <v>406</v>
      </c>
    </row>
    <row r="37" spans="1:30" ht="39.75" customHeight="1">
      <c r="A37" s="1435" t="s">
        <v>407</v>
      </c>
      <c r="B37" s="1261" t="s">
        <v>284</v>
      </c>
      <c r="C37" s="1356">
        <v>46052</v>
      </c>
      <c r="D37" s="1345" t="s">
        <v>113</v>
      </c>
      <c r="E37" s="1262">
        <v>46027</v>
      </c>
      <c r="F37" s="1366" t="s">
        <v>291</v>
      </c>
      <c r="G37" s="1264"/>
      <c r="H37" s="52">
        <v>85</v>
      </c>
      <c r="I37" s="656" t="s">
        <v>260</v>
      </c>
      <c r="J37" s="1269" t="s">
        <v>64</v>
      </c>
      <c r="K37" s="1369"/>
      <c r="L37" s="1262">
        <v>46027</v>
      </c>
      <c r="M37" s="1197" t="s">
        <v>57</v>
      </c>
      <c r="N37" s="1292">
        <v>73334</v>
      </c>
      <c r="O37" s="1349" t="s">
        <v>57</v>
      </c>
      <c r="P37" s="1293" t="s">
        <v>261</v>
      </c>
      <c r="Q37" s="1226">
        <v>46027</v>
      </c>
      <c r="R37" s="1452"/>
      <c r="S37" s="1334"/>
      <c r="T37" s="1373"/>
      <c r="U37" s="1226">
        <v>46052</v>
      </c>
      <c r="V37" s="31">
        <v>5860</v>
      </c>
      <c r="W37" s="1512">
        <v>5829</v>
      </c>
      <c r="X37" s="1375">
        <f t="shared" ref="X37:X42" si="15">SUM(V37-W37)</f>
        <v>31</v>
      </c>
      <c r="Y37" s="1130">
        <f t="shared" si="13"/>
        <v>0.99470989761092155</v>
      </c>
      <c r="Z37" s="1505">
        <v>46034</v>
      </c>
      <c r="AA37" s="1256">
        <v>0</v>
      </c>
      <c r="AB37" s="1256">
        <v>0</v>
      </c>
      <c r="AC37" s="1255">
        <v>0</v>
      </c>
      <c r="AD37" s="1228" t="s">
        <v>408</v>
      </c>
    </row>
    <row r="38" spans="1:30" ht="39.75" customHeight="1">
      <c r="A38" s="1435" t="s">
        <v>409</v>
      </c>
      <c r="B38" s="1261" t="s">
        <v>284</v>
      </c>
      <c r="C38" s="1356">
        <v>46052</v>
      </c>
      <c r="D38" s="1345" t="s">
        <v>113</v>
      </c>
      <c r="E38" s="1262">
        <v>46027</v>
      </c>
      <c r="F38" s="1366" t="s">
        <v>291</v>
      </c>
      <c r="G38" s="1264"/>
      <c r="H38" s="52">
        <v>81</v>
      </c>
      <c r="I38" s="656" t="s">
        <v>260</v>
      </c>
      <c r="J38" s="1269" t="s">
        <v>64</v>
      </c>
      <c r="K38" s="1369"/>
      <c r="L38" s="1262">
        <v>46027</v>
      </c>
      <c r="M38" s="1197" t="s">
        <v>57</v>
      </c>
      <c r="N38" s="1292">
        <v>73885</v>
      </c>
      <c r="O38" s="1349" t="s">
        <v>57</v>
      </c>
      <c r="P38" s="1293" t="s">
        <v>261</v>
      </c>
      <c r="Q38" s="1226">
        <v>46027</v>
      </c>
      <c r="R38" s="1452"/>
      <c r="S38" s="1334"/>
      <c r="T38" s="1373"/>
      <c r="U38" s="1226">
        <v>46052</v>
      </c>
      <c r="V38" s="31">
        <v>6021</v>
      </c>
      <c r="W38" s="1512">
        <v>6080</v>
      </c>
      <c r="X38" s="1375">
        <f t="shared" si="15"/>
        <v>-59</v>
      </c>
      <c r="Y38" s="1130">
        <f t="shared" si="13"/>
        <v>1.0097990367048664</v>
      </c>
      <c r="Z38" s="1505">
        <v>46035</v>
      </c>
      <c r="AA38" s="1256">
        <v>0</v>
      </c>
      <c r="AB38" s="1256">
        <v>0</v>
      </c>
      <c r="AC38" s="1255">
        <v>0</v>
      </c>
      <c r="AD38" s="1228" t="s">
        <v>410</v>
      </c>
    </row>
    <row r="39" spans="1:30" ht="39.75" customHeight="1">
      <c r="A39" s="1435" t="s">
        <v>411</v>
      </c>
      <c r="B39" s="1261" t="s">
        <v>284</v>
      </c>
      <c r="C39" s="1356">
        <v>46052</v>
      </c>
      <c r="D39" s="1345" t="s">
        <v>113</v>
      </c>
      <c r="E39" s="1262">
        <v>46027</v>
      </c>
      <c r="F39" s="1366" t="s">
        <v>291</v>
      </c>
      <c r="G39" s="1264"/>
      <c r="H39" s="52">
        <v>68</v>
      </c>
      <c r="I39" s="656" t="s">
        <v>260</v>
      </c>
      <c r="J39" s="1269" t="s">
        <v>64</v>
      </c>
      <c r="K39" s="1369"/>
      <c r="L39" s="1262">
        <v>46027</v>
      </c>
      <c r="M39" s="1197" t="s">
        <v>57</v>
      </c>
      <c r="N39" s="1292">
        <v>59114.5</v>
      </c>
      <c r="O39" s="1349" t="s">
        <v>57</v>
      </c>
      <c r="P39" s="1293" t="s">
        <v>261</v>
      </c>
      <c r="Q39" s="1226">
        <v>46027</v>
      </c>
      <c r="R39" s="1452"/>
      <c r="S39" s="1334"/>
      <c r="T39" s="1373"/>
      <c r="U39" s="1226">
        <v>46052</v>
      </c>
      <c r="V39" s="31">
        <v>4836</v>
      </c>
      <c r="W39" s="1512">
        <v>4810</v>
      </c>
      <c r="X39" s="1376">
        <f t="shared" si="15"/>
        <v>26</v>
      </c>
      <c r="Y39" s="1363">
        <f t="shared" si="13"/>
        <v>0.9946236559139785</v>
      </c>
      <c r="Z39" s="1507">
        <v>46036</v>
      </c>
      <c r="AA39" s="1256">
        <v>1</v>
      </c>
      <c r="AB39" s="1256">
        <v>0</v>
      </c>
      <c r="AC39" s="1255">
        <v>404</v>
      </c>
      <c r="AD39" s="1228" t="s">
        <v>412</v>
      </c>
    </row>
    <row r="40" spans="1:30" ht="39.75" customHeight="1">
      <c r="A40" s="1472" t="s">
        <v>413</v>
      </c>
      <c r="B40" s="1261" t="s">
        <v>284</v>
      </c>
      <c r="C40" s="1356">
        <v>46052</v>
      </c>
      <c r="D40" s="1345" t="s">
        <v>113</v>
      </c>
      <c r="E40" s="1362">
        <v>46027</v>
      </c>
      <c r="F40" s="1365" t="s">
        <v>291</v>
      </c>
      <c r="G40" s="1264"/>
      <c r="H40" s="52">
        <v>90</v>
      </c>
      <c r="I40" s="656" t="s">
        <v>260</v>
      </c>
      <c r="J40" s="1269" t="s">
        <v>64</v>
      </c>
      <c r="K40" s="1464"/>
      <c r="L40" s="1262">
        <v>46027</v>
      </c>
      <c r="M40" s="1197" t="s">
        <v>57</v>
      </c>
      <c r="N40" s="1178">
        <v>86984</v>
      </c>
      <c r="O40" s="1349" t="s">
        <v>57</v>
      </c>
      <c r="P40" s="1293" t="s">
        <v>261</v>
      </c>
      <c r="Q40" s="1226">
        <v>46027</v>
      </c>
      <c r="R40" s="1453"/>
      <c r="S40" s="1336"/>
      <c r="T40" s="1374"/>
      <c r="U40" s="1474"/>
      <c r="V40" s="31">
        <v>7341</v>
      </c>
      <c r="W40" s="1513">
        <v>7151</v>
      </c>
      <c r="X40" s="1236">
        <f t="shared" si="15"/>
        <v>190</v>
      </c>
      <c r="Y40" s="868">
        <f t="shared" si="13"/>
        <v>0.97411796757934888</v>
      </c>
      <c r="Z40" s="1505">
        <v>46037</v>
      </c>
      <c r="AA40" s="1433">
        <v>1</v>
      </c>
      <c r="AB40" s="1256">
        <v>0</v>
      </c>
      <c r="AC40" s="1255">
        <v>1916</v>
      </c>
      <c r="AD40" s="1228" t="s">
        <v>414</v>
      </c>
    </row>
    <row r="41" spans="1:30" ht="39.75" customHeight="1">
      <c r="A41" s="1472" t="s">
        <v>415</v>
      </c>
      <c r="B41" s="1261" t="s">
        <v>284</v>
      </c>
      <c r="C41" s="1356">
        <v>46052</v>
      </c>
      <c r="D41" s="1345" t="s">
        <v>113</v>
      </c>
      <c r="E41" s="1362">
        <v>46027</v>
      </c>
      <c r="F41" s="1176" t="s">
        <v>139</v>
      </c>
      <c r="G41" s="1264"/>
      <c r="H41" s="1265">
        <v>0</v>
      </c>
      <c r="I41" s="656" t="s">
        <v>260</v>
      </c>
      <c r="J41" s="1269" t="s">
        <v>64</v>
      </c>
      <c r="K41" s="1464"/>
      <c r="L41" s="1262">
        <v>46027</v>
      </c>
      <c r="M41" s="1197" t="s">
        <v>57</v>
      </c>
      <c r="N41" s="1178">
        <v>54261.05</v>
      </c>
      <c r="O41" s="1349" t="s">
        <v>57</v>
      </c>
      <c r="P41" s="1293" t="s">
        <v>261</v>
      </c>
      <c r="Q41" s="1226">
        <v>46027</v>
      </c>
      <c r="R41" s="1475"/>
      <c r="S41" s="1377"/>
      <c r="T41" s="1225"/>
      <c r="U41" s="1271"/>
      <c r="V41" s="31">
        <v>4022</v>
      </c>
      <c r="W41" s="1296">
        <v>4019</v>
      </c>
      <c r="X41" s="1434">
        <f>SUM(V41-W41)</f>
        <v>3</v>
      </c>
      <c r="Y41" s="1363">
        <f>IFERROR($W41/$V41, 0)</f>
        <v>0.99925410243659873</v>
      </c>
      <c r="Z41" s="1476">
        <v>46037</v>
      </c>
      <c r="AA41" s="1256">
        <v>1</v>
      </c>
      <c r="AB41" s="1256">
        <v>0</v>
      </c>
      <c r="AC41" s="1255">
        <v>6116</v>
      </c>
      <c r="AD41" s="1228" t="s">
        <v>416</v>
      </c>
    </row>
    <row r="42" spans="1:30" ht="39.75" customHeight="1">
      <c r="A42" s="1435" t="s">
        <v>417</v>
      </c>
      <c r="B42" s="1261" t="s">
        <v>284</v>
      </c>
      <c r="C42" s="1356">
        <v>46052</v>
      </c>
      <c r="D42" s="1345" t="s">
        <v>113</v>
      </c>
      <c r="E42" s="1262">
        <v>46027</v>
      </c>
      <c r="F42" s="1176" t="s">
        <v>139</v>
      </c>
      <c r="G42" s="1264"/>
      <c r="H42" s="1265">
        <v>0</v>
      </c>
      <c r="I42" s="656" t="s">
        <v>260</v>
      </c>
      <c r="J42" s="1269" t="s">
        <v>64</v>
      </c>
      <c r="K42" s="1464"/>
      <c r="L42" s="1262">
        <v>46027</v>
      </c>
      <c r="M42" s="1197" t="s">
        <v>57</v>
      </c>
      <c r="N42" s="1292">
        <v>18078.28</v>
      </c>
      <c r="O42" s="1349" t="s">
        <v>57</v>
      </c>
      <c r="P42" s="1293" t="s">
        <v>261</v>
      </c>
      <c r="Q42" s="1226">
        <v>46027</v>
      </c>
      <c r="R42" s="1452"/>
      <c r="S42" s="1334"/>
      <c r="T42" s="1373"/>
      <c r="U42" s="1334"/>
      <c r="V42" s="31">
        <v>1284</v>
      </c>
      <c r="W42" s="1513">
        <v>1277</v>
      </c>
      <c r="X42" s="1236">
        <f t="shared" si="15"/>
        <v>7</v>
      </c>
      <c r="Y42" s="868">
        <f t="shared" si="13"/>
        <v>0.99454828660436134</v>
      </c>
      <c r="Z42" s="1505">
        <v>46042</v>
      </c>
      <c r="AA42" s="1433">
        <v>0</v>
      </c>
      <c r="AB42" s="1256">
        <v>0</v>
      </c>
      <c r="AC42" s="1255">
        <v>2058</v>
      </c>
      <c r="AD42" s="1228" t="s">
        <v>418</v>
      </c>
    </row>
    <row r="43" spans="1:30" ht="39.75" customHeight="1">
      <c r="A43" s="1128" t="s">
        <v>419</v>
      </c>
      <c r="B43" s="1129" t="s">
        <v>284</v>
      </c>
      <c r="C43" s="375">
        <v>46019</v>
      </c>
      <c r="D43" s="962" t="s">
        <v>113</v>
      </c>
      <c r="E43" s="375">
        <v>45959</v>
      </c>
      <c r="F43" s="374" t="s">
        <v>420</v>
      </c>
      <c r="G43" s="667" t="s">
        <v>421</v>
      </c>
      <c r="H43" s="1049">
        <v>89</v>
      </c>
      <c r="I43" s="963" t="s">
        <v>260</v>
      </c>
      <c r="J43" s="964" t="s">
        <v>64</v>
      </c>
      <c r="K43" s="469"/>
      <c r="L43" s="375">
        <v>45964</v>
      </c>
      <c r="M43" s="964" t="s">
        <v>57</v>
      </c>
      <c r="N43" s="1050">
        <v>62937.05</v>
      </c>
      <c r="O43" s="52" t="s">
        <v>57</v>
      </c>
      <c r="P43" s="1052" t="s">
        <v>261</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422</v>
      </c>
    </row>
    <row r="44" spans="1:30" ht="39.75" customHeight="1">
      <c r="A44" s="1291" t="s">
        <v>423</v>
      </c>
      <c r="B44" s="1129" t="s">
        <v>284</v>
      </c>
      <c r="C44" s="1356">
        <v>46052</v>
      </c>
      <c r="D44" s="962" t="s">
        <v>113</v>
      </c>
      <c r="E44" s="1263">
        <v>45959</v>
      </c>
      <c r="F44" s="1264" t="s">
        <v>420</v>
      </c>
      <c r="G44" s="1264" t="s">
        <v>424</v>
      </c>
      <c r="H44" s="1286">
        <v>83</v>
      </c>
      <c r="I44" s="963" t="s">
        <v>260</v>
      </c>
      <c r="J44" s="1250" t="s">
        <v>64</v>
      </c>
      <c r="K44" s="469"/>
      <c r="L44" s="1263" t="s">
        <v>52</v>
      </c>
      <c r="M44" s="1250" t="s">
        <v>57</v>
      </c>
      <c r="N44" s="1288">
        <v>45545.15</v>
      </c>
      <c r="O44" s="1269" t="s">
        <v>57</v>
      </c>
      <c r="P44" s="1293" t="s">
        <v>261</v>
      </c>
      <c r="Q44" s="1226">
        <v>45946</v>
      </c>
      <c r="R44" s="1474"/>
      <c r="S44" s="1474"/>
      <c r="T44" s="1474"/>
      <c r="U44" s="1474"/>
      <c r="V44" s="1290">
        <v>5827</v>
      </c>
      <c r="W44" s="1296">
        <v>5827</v>
      </c>
      <c r="X44" s="1290">
        <f>SUM(V44-W44)</f>
        <v>0</v>
      </c>
      <c r="Y44" s="1130">
        <f t="shared" ref="Y44" si="16">IFERROR($W44/$V44, 0)</f>
        <v>1</v>
      </c>
      <c r="Z44" s="1226">
        <v>45965</v>
      </c>
      <c r="AA44" s="1256">
        <v>1</v>
      </c>
      <c r="AB44" s="1256">
        <v>0</v>
      </c>
      <c r="AC44" s="1255">
        <v>0</v>
      </c>
      <c r="AD44" s="1228" t="s">
        <v>425</v>
      </c>
    </row>
    <row r="45" spans="1:30" ht="39.75" customHeight="1">
      <c r="A45" s="1067" t="s">
        <v>426</v>
      </c>
      <c r="B45" s="966" t="s">
        <v>284</v>
      </c>
      <c r="C45" s="467">
        <v>46045</v>
      </c>
      <c r="D45" s="638" t="s">
        <v>113</v>
      </c>
      <c r="E45" s="467"/>
      <c r="F45" s="465"/>
      <c r="G45" s="468"/>
      <c r="H45" s="1057">
        <v>77</v>
      </c>
      <c r="I45" s="823" t="s">
        <v>260</v>
      </c>
      <c r="J45" s="478" t="s">
        <v>64</v>
      </c>
      <c r="K45" s="1058"/>
      <c r="L45" s="476" t="s">
        <v>52</v>
      </c>
      <c r="M45" s="478" t="s">
        <v>57</v>
      </c>
      <c r="N45" s="1059">
        <v>4046.5</v>
      </c>
      <c r="O45" s="478" t="s">
        <v>57</v>
      </c>
      <c r="P45" s="622" t="s">
        <v>261</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427</v>
      </c>
    </row>
    <row r="46" spans="1:30" ht="39.75" customHeight="1">
      <c r="A46" s="1054" t="s">
        <v>428</v>
      </c>
      <c r="B46" s="966" t="s">
        <v>284</v>
      </c>
      <c r="C46" s="467">
        <v>46045</v>
      </c>
      <c r="D46" s="638" t="s">
        <v>113</v>
      </c>
      <c r="E46" s="467">
        <v>45959</v>
      </c>
      <c r="F46" s="465" t="s">
        <v>420</v>
      </c>
      <c r="G46" s="468" t="s">
        <v>429</v>
      </c>
      <c r="H46" s="1057">
        <v>78</v>
      </c>
      <c r="I46" s="823" t="s">
        <v>260</v>
      </c>
      <c r="J46" s="478" t="s">
        <v>64</v>
      </c>
      <c r="K46" s="1058"/>
      <c r="L46" s="467">
        <v>45964</v>
      </c>
      <c r="M46" s="478" t="s">
        <v>57</v>
      </c>
      <c r="N46" s="1059">
        <v>170</v>
      </c>
      <c r="O46" s="478" t="s">
        <v>57</v>
      </c>
      <c r="P46" s="622" t="s">
        <v>261</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430</v>
      </c>
    </row>
    <row r="47" spans="1:30" ht="39.75" customHeight="1">
      <c r="A47" s="1053" t="s">
        <v>431</v>
      </c>
      <c r="B47" s="450" t="s">
        <v>284</v>
      </c>
      <c r="C47" s="375">
        <v>46045</v>
      </c>
      <c r="D47" s="962" t="s">
        <v>113</v>
      </c>
      <c r="E47" s="375"/>
      <c r="F47" s="374"/>
      <c r="G47" s="633"/>
      <c r="H47" s="1049">
        <v>88</v>
      </c>
      <c r="I47" s="963" t="s">
        <v>260</v>
      </c>
      <c r="J47" s="964" t="s">
        <v>64</v>
      </c>
      <c r="K47" s="994"/>
      <c r="L47" s="476" t="s">
        <v>52</v>
      </c>
      <c r="M47" s="964" t="s">
        <v>57</v>
      </c>
      <c r="N47" s="1050">
        <v>5668</v>
      </c>
      <c r="O47" s="52" t="s">
        <v>57</v>
      </c>
      <c r="P47" s="1052" t="s">
        <v>261</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432</v>
      </c>
    </row>
    <row r="48" spans="1:30" ht="39.75" customHeight="1">
      <c r="A48" s="1053" t="s">
        <v>433</v>
      </c>
      <c r="B48" s="450" t="s">
        <v>284</v>
      </c>
      <c r="C48" s="375">
        <v>46045</v>
      </c>
      <c r="D48" s="962" t="s">
        <v>113</v>
      </c>
      <c r="E48" s="375"/>
      <c r="F48" s="374"/>
      <c r="G48" s="633"/>
      <c r="H48" s="1049">
        <v>30</v>
      </c>
      <c r="I48" s="963" t="s">
        <v>260</v>
      </c>
      <c r="J48" s="964" t="s">
        <v>64</v>
      </c>
      <c r="K48" s="994"/>
      <c r="L48" s="476" t="s">
        <v>52</v>
      </c>
      <c r="M48" s="964" t="s">
        <v>57</v>
      </c>
      <c r="N48" s="1050">
        <v>170</v>
      </c>
      <c r="O48" s="52" t="s">
        <v>57</v>
      </c>
      <c r="P48" s="1052" t="s">
        <v>261</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432</v>
      </c>
    </row>
    <row r="49" spans="1:30" ht="39.75" customHeight="1">
      <c r="A49" s="1291" t="s">
        <v>434</v>
      </c>
      <c r="B49" s="1129" t="s">
        <v>284</v>
      </c>
      <c r="C49" s="1356">
        <v>46052</v>
      </c>
      <c r="D49" s="962" t="s">
        <v>113</v>
      </c>
      <c r="E49" s="1263">
        <v>45993</v>
      </c>
      <c r="F49" s="1264" t="s">
        <v>139</v>
      </c>
      <c r="G49" s="1264" t="s">
        <v>435</v>
      </c>
      <c r="H49" s="1286">
        <v>89</v>
      </c>
      <c r="I49" s="963" t="s">
        <v>260</v>
      </c>
      <c r="J49" s="1250" t="s">
        <v>64</v>
      </c>
      <c r="K49" s="994"/>
      <c r="L49" s="1263">
        <v>45993</v>
      </c>
      <c r="M49" s="1250" t="s">
        <v>57</v>
      </c>
      <c r="N49" s="1288">
        <v>93349.5</v>
      </c>
      <c r="O49" s="1269" t="s">
        <v>57</v>
      </c>
      <c r="P49" s="1330" t="s">
        <v>261</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436</v>
      </c>
    </row>
    <row r="50" spans="1:30" ht="39.75" customHeight="1">
      <c r="A50" s="1053" t="s">
        <v>437</v>
      </c>
      <c r="B50" s="450" t="s">
        <v>284</v>
      </c>
      <c r="C50" s="375">
        <v>46045</v>
      </c>
      <c r="D50" s="962" t="s">
        <v>113</v>
      </c>
      <c r="E50" s="375">
        <v>45959</v>
      </c>
      <c r="F50" s="374" t="s">
        <v>139</v>
      </c>
      <c r="G50" s="633"/>
      <c r="H50" s="376">
        <v>89</v>
      </c>
      <c r="I50" s="963" t="s">
        <v>260</v>
      </c>
      <c r="J50" s="964" t="s">
        <v>64</v>
      </c>
      <c r="K50" s="646"/>
      <c r="L50" s="51">
        <v>45964</v>
      </c>
      <c r="M50" s="52" t="s">
        <v>57</v>
      </c>
      <c r="N50" s="833">
        <v>84750.5</v>
      </c>
      <c r="O50" s="52" t="s">
        <v>57</v>
      </c>
      <c r="P50" s="1052" t="s">
        <v>261</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438</v>
      </c>
    </row>
    <row r="51" spans="1:30" ht="39.75" customHeight="1">
      <c r="A51" s="1053" t="s">
        <v>439</v>
      </c>
      <c r="B51" s="450" t="s">
        <v>284</v>
      </c>
      <c r="C51" s="375">
        <v>45989</v>
      </c>
      <c r="D51" s="962" t="s">
        <v>113</v>
      </c>
      <c r="E51" s="375">
        <v>45959</v>
      </c>
      <c r="F51" s="374" t="s">
        <v>139</v>
      </c>
      <c r="G51" s="633" t="s">
        <v>440</v>
      </c>
      <c r="H51" s="376">
        <v>59</v>
      </c>
      <c r="I51" s="963" t="s">
        <v>260</v>
      </c>
      <c r="J51" s="964" t="s">
        <v>64</v>
      </c>
      <c r="K51" s="646"/>
      <c r="L51" s="51">
        <v>45964</v>
      </c>
      <c r="M51" s="964" t="s">
        <v>57</v>
      </c>
      <c r="N51" s="833">
        <v>65066.5</v>
      </c>
      <c r="O51" s="52" t="s">
        <v>57</v>
      </c>
      <c r="P51" s="1052" t="s">
        <v>261</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441</v>
      </c>
    </row>
    <row r="52" spans="1:30" ht="39.75" customHeight="1">
      <c r="A52" s="1053" t="s">
        <v>442</v>
      </c>
      <c r="B52" s="450" t="s">
        <v>284</v>
      </c>
      <c r="C52" s="375">
        <v>46010</v>
      </c>
      <c r="D52" s="962" t="s">
        <v>113</v>
      </c>
      <c r="E52" s="375">
        <v>45959</v>
      </c>
      <c r="F52" s="374" t="s">
        <v>139</v>
      </c>
      <c r="G52" s="633" t="s">
        <v>443</v>
      </c>
      <c r="H52" s="376">
        <v>89</v>
      </c>
      <c r="I52" s="963" t="s">
        <v>260</v>
      </c>
      <c r="J52" s="964" t="s">
        <v>64</v>
      </c>
      <c r="K52" s="646"/>
      <c r="L52" s="51">
        <v>45964</v>
      </c>
      <c r="M52" s="964" t="s">
        <v>57</v>
      </c>
      <c r="N52" s="833">
        <v>81602</v>
      </c>
      <c r="O52" s="52" t="s">
        <v>57</v>
      </c>
      <c r="P52" s="1052" t="s">
        <v>261</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444</v>
      </c>
    </row>
    <row r="53" spans="1:30" ht="39.75" customHeight="1">
      <c r="A53" s="1053" t="s">
        <v>445</v>
      </c>
      <c r="B53" s="450" t="s">
        <v>284</v>
      </c>
      <c r="C53" s="375">
        <v>46045</v>
      </c>
      <c r="D53" s="962" t="s">
        <v>113</v>
      </c>
      <c r="E53" s="375">
        <v>45959</v>
      </c>
      <c r="F53" s="374" t="s">
        <v>139</v>
      </c>
      <c r="G53" s="633"/>
      <c r="H53" s="376">
        <v>88</v>
      </c>
      <c r="I53" s="963" t="s">
        <v>260</v>
      </c>
      <c r="J53" s="964" t="s">
        <v>64</v>
      </c>
      <c r="K53" s="646"/>
      <c r="L53" s="51">
        <v>45961</v>
      </c>
      <c r="M53" s="52" t="s">
        <v>57</v>
      </c>
      <c r="N53" s="833">
        <v>88231.9</v>
      </c>
      <c r="O53" s="52" t="s">
        <v>57</v>
      </c>
      <c r="P53" s="1052" t="s">
        <v>261</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446</v>
      </c>
    </row>
    <row r="54" spans="1:30" ht="39.75" customHeight="1">
      <c r="A54" s="1053" t="s">
        <v>447</v>
      </c>
      <c r="B54" s="450" t="s">
        <v>284</v>
      </c>
      <c r="C54" s="375">
        <v>45989</v>
      </c>
      <c r="D54" s="962" t="s">
        <v>113</v>
      </c>
      <c r="E54" s="375">
        <v>45959</v>
      </c>
      <c r="F54" s="374" t="s">
        <v>139</v>
      </c>
      <c r="G54" s="633" t="s">
        <v>448</v>
      </c>
      <c r="H54" s="376">
        <v>87</v>
      </c>
      <c r="I54" s="963" t="s">
        <v>260</v>
      </c>
      <c r="J54" s="964" t="s">
        <v>64</v>
      </c>
      <c r="K54" s="646"/>
      <c r="L54" s="51">
        <v>45964</v>
      </c>
      <c r="M54" s="964" t="s">
        <v>57</v>
      </c>
      <c r="N54" s="833">
        <v>93578</v>
      </c>
      <c r="O54" s="52" t="s">
        <v>57</v>
      </c>
      <c r="P54" s="1052" t="s">
        <v>261</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449</v>
      </c>
    </row>
    <row r="55" spans="1:30" ht="39.75" customHeight="1">
      <c r="A55" s="1053" t="s">
        <v>450</v>
      </c>
      <c r="B55" s="450" t="s">
        <v>284</v>
      </c>
      <c r="C55" s="375">
        <v>46045</v>
      </c>
      <c r="D55" s="962" t="s">
        <v>113</v>
      </c>
      <c r="E55" s="375">
        <v>45959</v>
      </c>
      <c r="F55" s="374" t="s">
        <v>139</v>
      </c>
      <c r="G55" s="633"/>
      <c r="H55" s="376">
        <v>90</v>
      </c>
      <c r="I55" s="963" t="s">
        <v>260</v>
      </c>
      <c r="J55" s="964" t="s">
        <v>64</v>
      </c>
      <c r="K55" s="646"/>
      <c r="L55" s="51">
        <v>45964</v>
      </c>
      <c r="M55" s="52" t="s">
        <v>57</v>
      </c>
      <c r="N55" s="833">
        <v>84896</v>
      </c>
      <c r="O55" s="52" t="s">
        <v>57</v>
      </c>
      <c r="P55" s="1052" t="s">
        <v>261</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451</v>
      </c>
    </row>
    <row r="56" spans="1:30" ht="39.75" customHeight="1">
      <c r="A56" s="1291" t="s">
        <v>452</v>
      </c>
      <c r="B56" s="1129" t="s">
        <v>284</v>
      </c>
      <c r="C56" s="1263">
        <v>46019</v>
      </c>
      <c r="D56" s="962" t="s">
        <v>113</v>
      </c>
      <c r="E56" s="1263">
        <v>45959</v>
      </c>
      <c r="F56" s="1264" t="s">
        <v>139</v>
      </c>
      <c r="G56" s="1264" t="s">
        <v>453</v>
      </c>
      <c r="H56" s="1265">
        <v>90</v>
      </c>
      <c r="I56" s="963" t="s">
        <v>260</v>
      </c>
      <c r="J56" s="1250" t="s">
        <v>64</v>
      </c>
      <c r="K56" s="646"/>
      <c r="L56" s="1267">
        <v>45961</v>
      </c>
      <c r="M56" s="1250" t="s">
        <v>57</v>
      </c>
      <c r="N56" s="1292">
        <v>91897</v>
      </c>
      <c r="O56" s="1269" t="s">
        <v>57</v>
      </c>
      <c r="P56" s="1293" t="s">
        <v>261</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454</v>
      </c>
    </row>
    <row r="57" spans="1:30" ht="39.75" customHeight="1">
      <c r="A57" s="1053" t="s">
        <v>455</v>
      </c>
      <c r="B57" s="450" t="s">
        <v>284</v>
      </c>
      <c r="C57" s="375">
        <v>45989</v>
      </c>
      <c r="D57" s="962" t="s">
        <v>113</v>
      </c>
      <c r="E57" s="375">
        <v>45959</v>
      </c>
      <c r="F57" s="374" t="s">
        <v>139</v>
      </c>
      <c r="G57" s="633" t="s">
        <v>456</v>
      </c>
      <c r="H57" s="376">
        <v>90</v>
      </c>
      <c r="I57" s="963" t="s">
        <v>260</v>
      </c>
      <c r="J57" s="964" t="s">
        <v>64</v>
      </c>
      <c r="K57" s="646"/>
      <c r="L57" s="51">
        <v>45964</v>
      </c>
      <c r="M57" s="964" t="s">
        <v>57</v>
      </c>
      <c r="N57" s="833">
        <v>96685</v>
      </c>
      <c r="O57" s="52" t="s">
        <v>57</v>
      </c>
      <c r="P57" s="1052" t="s">
        <v>261</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457</v>
      </c>
    </row>
    <row r="58" spans="1:30" ht="39.75" customHeight="1">
      <c r="A58" s="1291" t="s">
        <v>458</v>
      </c>
      <c r="B58" s="1129" t="s">
        <v>284</v>
      </c>
      <c r="C58" s="1263">
        <v>46019</v>
      </c>
      <c r="D58" s="962" t="s">
        <v>113</v>
      </c>
      <c r="E58" s="1263">
        <v>45959</v>
      </c>
      <c r="F58" s="1264" t="s">
        <v>139</v>
      </c>
      <c r="G58" s="1264" t="s">
        <v>459</v>
      </c>
      <c r="H58" s="1265">
        <v>90</v>
      </c>
      <c r="I58" s="963" t="s">
        <v>260</v>
      </c>
      <c r="J58" s="1250" t="s">
        <v>64</v>
      </c>
      <c r="K58" s="1266"/>
      <c r="L58" s="1267">
        <v>45964</v>
      </c>
      <c r="M58" s="1250" t="s">
        <v>57</v>
      </c>
      <c r="N58" s="1292">
        <v>85815</v>
      </c>
      <c r="O58" s="1269" t="s">
        <v>57</v>
      </c>
      <c r="P58" s="1293" t="s">
        <v>261</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460</v>
      </c>
    </row>
    <row r="59" spans="1:30" ht="39.75" customHeight="1">
      <c r="A59" s="1053" t="s">
        <v>461</v>
      </c>
      <c r="B59" s="450" t="s">
        <v>284</v>
      </c>
      <c r="C59" s="375">
        <v>46021</v>
      </c>
      <c r="D59" s="962" t="s">
        <v>113</v>
      </c>
      <c r="E59" s="375">
        <v>45959</v>
      </c>
      <c r="F59" s="374" t="s">
        <v>139</v>
      </c>
      <c r="G59" s="633" t="s">
        <v>462</v>
      </c>
      <c r="H59" s="376">
        <v>89</v>
      </c>
      <c r="I59" s="963" t="s">
        <v>260</v>
      </c>
      <c r="J59" s="964" t="s">
        <v>64</v>
      </c>
      <c r="K59" s="646"/>
      <c r="L59" s="51">
        <v>45961</v>
      </c>
      <c r="M59" s="964" t="s">
        <v>57</v>
      </c>
      <c r="N59" s="833">
        <v>83615</v>
      </c>
      <c r="O59" s="52" t="s">
        <v>57</v>
      </c>
      <c r="P59" s="1052" t="s">
        <v>261</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463</v>
      </c>
    </row>
    <row r="60" spans="1:30" ht="39.75" customHeight="1">
      <c r="A60" s="1291" t="s">
        <v>464</v>
      </c>
      <c r="B60" s="1129" t="s">
        <v>284</v>
      </c>
      <c r="C60" s="1263">
        <v>46021</v>
      </c>
      <c r="D60" s="962" t="s">
        <v>113</v>
      </c>
      <c r="E60" s="1263">
        <v>45959</v>
      </c>
      <c r="F60" s="1264" t="s">
        <v>139</v>
      </c>
      <c r="G60" s="1264" t="s">
        <v>465</v>
      </c>
      <c r="H60" s="1265">
        <v>88</v>
      </c>
      <c r="I60" s="963" t="s">
        <v>260</v>
      </c>
      <c r="J60" s="1250" t="s">
        <v>64</v>
      </c>
      <c r="K60" s="646"/>
      <c r="L60" s="1267">
        <v>45964</v>
      </c>
      <c r="M60" s="1250" t="s">
        <v>57</v>
      </c>
      <c r="N60" s="1292">
        <v>78736.5</v>
      </c>
      <c r="O60" s="1269" t="s">
        <v>57</v>
      </c>
      <c r="P60" s="1293" t="s">
        <v>261</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466</v>
      </c>
    </row>
    <row r="61" spans="1:30" ht="39.75" customHeight="1">
      <c r="A61" s="1291" t="s">
        <v>467</v>
      </c>
      <c r="B61" s="1129" t="s">
        <v>284</v>
      </c>
      <c r="C61" s="1263">
        <v>46021</v>
      </c>
      <c r="D61" s="962" t="s">
        <v>113</v>
      </c>
      <c r="E61" s="1263">
        <v>45959</v>
      </c>
      <c r="F61" s="1264" t="s">
        <v>139</v>
      </c>
      <c r="G61" s="1264" t="s">
        <v>468</v>
      </c>
      <c r="H61" s="1265">
        <v>86</v>
      </c>
      <c r="I61" s="963" t="s">
        <v>260</v>
      </c>
      <c r="J61" s="1250" t="s">
        <v>64</v>
      </c>
      <c r="K61" s="646"/>
      <c r="L61" s="1267">
        <v>45964</v>
      </c>
      <c r="M61" s="1250" t="s">
        <v>57</v>
      </c>
      <c r="N61" s="1292">
        <v>80698</v>
      </c>
      <c r="O61" s="1269" t="s">
        <v>57</v>
      </c>
      <c r="P61" s="1293" t="s">
        <v>261</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469</v>
      </c>
    </row>
    <row r="62" spans="1:30" ht="39.75" customHeight="1">
      <c r="A62" s="1291" t="s">
        <v>470</v>
      </c>
      <c r="B62" s="1129" t="s">
        <v>284</v>
      </c>
      <c r="C62" s="1356">
        <v>46052</v>
      </c>
      <c r="D62" s="962" t="s">
        <v>113</v>
      </c>
      <c r="E62" s="1263">
        <v>45959</v>
      </c>
      <c r="F62" s="1264" t="s">
        <v>139</v>
      </c>
      <c r="G62" s="1264" t="s">
        <v>471</v>
      </c>
      <c r="H62" s="1265">
        <v>87</v>
      </c>
      <c r="I62" s="963" t="s">
        <v>260</v>
      </c>
      <c r="J62" s="1250" t="s">
        <v>64</v>
      </c>
      <c r="K62" s="646"/>
      <c r="L62" s="1267">
        <v>45964</v>
      </c>
      <c r="M62" s="1250" t="s">
        <v>57</v>
      </c>
      <c r="N62" s="1292">
        <v>79552</v>
      </c>
      <c r="O62" s="1269" t="s">
        <v>57</v>
      </c>
      <c r="P62" s="1293" t="s">
        <v>261</v>
      </c>
      <c r="Q62" s="1294">
        <v>45964</v>
      </c>
      <c r="R62" s="1474"/>
      <c r="S62" s="1474"/>
      <c r="T62" s="1474"/>
      <c r="U62" s="1474"/>
      <c r="V62" s="1236">
        <v>6577</v>
      </c>
      <c r="W62" s="1296">
        <v>6529</v>
      </c>
      <c r="X62" s="1181">
        <f>SUM(V62-W62)</f>
        <v>48</v>
      </c>
      <c r="Y62" s="1130">
        <f t="shared" si="17"/>
        <v>0.99270183974456438</v>
      </c>
      <c r="Z62" s="1226">
        <v>46000</v>
      </c>
      <c r="AA62" s="1256">
        <v>1</v>
      </c>
      <c r="AB62" s="1256">
        <v>1</v>
      </c>
      <c r="AC62" s="1255">
        <v>2562</v>
      </c>
      <c r="AD62" s="1228" t="s">
        <v>472</v>
      </c>
    </row>
    <row r="63" spans="1:30" ht="39.75" customHeight="1">
      <c r="A63" s="1291" t="s">
        <v>473</v>
      </c>
      <c r="B63" s="1129" t="s">
        <v>284</v>
      </c>
      <c r="C63" s="1263">
        <v>46021</v>
      </c>
      <c r="D63" s="962" t="s">
        <v>113</v>
      </c>
      <c r="E63" s="1263">
        <v>45959</v>
      </c>
      <c r="F63" s="1264" t="s">
        <v>139</v>
      </c>
      <c r="G63" s="1264" t="s">
        <v>474</v>
      </c>
      <c r="H63" s="1265">
        <v>85</v>
      </c>
      <c r="I63" s="963" t="s">
        <v>260</v>
      </c>
      <c r="J63" s="1250" t="s">
        <v>64</v>
      </c>
      <c r="K63" s="646"/>
      <c r="L63" s="1267">
        <v>45964</v>
      </c>
      <c r="M63" s="1250" t="s">
        <v>57</v>
      </c>
      <c r="N63" s="1292">
        <v>84770</v>
      </c>
      <c r="O63" s="1269" t="s">
        <v>57</v>
      </c>
      <c r="P63" s="1293" t="s">
        <v>261</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475</v>
      </c>
    </row>
    <row r="64" spans="1:30" ht="39.75" customHeight="1">
      <c r="A64" s="1291" t="s">
        <v>476</v>
      </c>
      <c r="B64" s="1129" t="s">
        <v>284</v>
      </c>
      <c r="C64" s="1263">
        <v>46019</v>
      </c>
      <c r="D64" s="962" t="s">
        <v>113</v>
      </c>
      <c r="E64" s="1263">
        <v>45959</v>
      </c>
      <c r="F64" s="1264" t="s">
        <v>139</v>
      </c>
      <c r="G64" s="1264" t="s">
        <v>477</v>
      </c>
      <c r="H64" s="1265">
        <v>87</v>
      </c>
      <c r="I64" s="963" t="s">
        <v>260</v>
      </c>
      <c r="J64" s="1250" t="s">
        <v>64</v>
      </c>
      <c r="K64" s="1266"/>
      <c r="L64" s="1267">
        <v>45964</v>
      </c>
      <c r="M64" s="1250" t="s">
        <v>57</v>
      </c>
      <c r="N64" s="1292">
        <v>87875</v>
      </c>
      <c r="O64" s="1269" t="s">
        <v>57</v>
      </c>
      <c r="P64" s="1293" t="s">
        <v>261</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478</v>
      </c>
      <c r="AD64" s="1448" t="s">
        <v>479</v>
      </c>
    </row>
    <row r="65" spans="1:30" ht="39.75" customHeight="1">
      <c r="A65" s="1291" t="s">
        <v>480</v>
      </c>
      <c r="B65" s="1129" t="s">
        <v>284</v>
      </c>
      <c r="C65" s="1356">
        <v>46052</v>
      </c>
      <c r="D65" s="962" t="s">
        <v>113</v>
      </c>
      <c r="E65" s="1263">
        <v>45987</v>
      </c>
      <c r="F65" s="1264" t="s">
        <v>139</v>
      </c>
      <c r="G65" s="1264" t="s">
        <v>481</v>
      </c>
      <c r="H65" s="1265">
        <v>85</v>
      </c>
      <c r="I65" s="963" t="s">
        <v>260</v>
      </c>
      <c r="J65" s="1250" t="s">
        <v>64</v>
      </c>
      <c r="K65" s="1266"/>
      <c r="L65" s="1267">
        <v>45987</v>
      </c>
      <c r="M65" s="1250" t="s">
        <v>57</v>
      </c>
      <c r="N65" s="1292">
        <v>84092.5</v>
      </c>
      <c r="O65" s="1269" t="s">
        <v>57</v>
      </c>
      <c r="P65" s="1330" t="s">
        <v>261</v>
      </c>
      <c r="Q65" s="1294">
        <v>45987</v>
      </c>
      <c r="R65" s="1474"/>
      <c r="S65" s="1474"/>
      <c r="T65" s="1474"/>
      <c r="U65" s="1474"/>
      <c r="V65" s="1236">
        <v>6897</v>
      </c>
      <c r="W65" s="1296">
        <v>6897</v>
      </c>
      <c r="X65" s="1236">
        <f>SUM(V65-W65)</f>
        <v>0</v>
      </c>
      <c r="Y65" s="1130">
        <f t="shared" si="18"/>
        <v>1</v>
      </c>
      <c r="Z65" s="1226">
        <v>46009</v>
      </c>
      <c r="AA65" s="1256">
        <v>0</v>
      </c>
      <c r="AB65" s="1256">
        <v>0</v>
      </c>
      <c r="AC65" s="1255">
        <v>0</v>
      </c>
      <c r="AD65" s="1228" t="s">
        <v>482</v>
      </c>
    </row>
    <row r="66" spans="1:30" ht="39.75" customHeight="1">
      <c r="A66" s="1291" t="s">
        <v>483</v>
      </c>
      <c r="B66" s="1129" t="s">
        <v>284</v>
      </c>
      <c r="C66" s="1356">
        <v>46052</v>
      </c>
      <c r="D66" s="962" t="s">
        <v>113</v>
      </c>
      <c r="E66" s="1263">
        <v>45987</v>
      </c>
      <c r="F66" s="1264" t="s">
        <v>139</v>
      </c>
      <c r="G66" s="1264" t="s">
        <v>484</v>
      </c>
      <c r="H66" s="1265">
        <v>76</v>
      </c>
      <c r="I66" s="963" t="s">
        <v>260</v>
      </c>
      <c r="J66" s="1250" t="s">
        <v>64</v>
      </c>
      <c r="K66" s="1266"/>
      <c r="L66" s="1267">
        <v>45987</v>
      </c>
      <c r="M66" s="1250" t="s">
        <v>57</v>
      </c>
      <c r="N66" s="1292">
        <v>74892.5</v>
      </c>
      <c r="O66" s="1269" t="s">
        <v>57</v>
      </c>
      <c r="P66" s="1330" t="s">
        <v>261</v>
      </c>
      <c r="Q66" s="1294">
        <v>45987</v>
      </c>
      <c r="R66" s="1271"/>
      <c r="S66" s="1271"/>
      <c r="T66" s="1271"/>
      <c r="U66" s="1226">
        <v>46052</v>
      </c>
      <c r="V66" s="1236">
        <v>6218</v>
      </c>
      <c r="W66" s="1296">
        <v>6250</v>
      </c>
      <c r="X66" s="1236">
        <f>SUM(V66-W66)</f>
        <v>-32</v>
      </c>
      <c r="Y66" s="1130">
        <f t="shared" si="18"/>
        <v>1.0051463493084594</v>
      </c>
      <c r="Z66" s="1226">
        <v>46386</v>
      </c>
      <c r="AA66" s="355">
        <v>1</v>
      </c>
      <c r="AB66" s="355">
        <v>1</v>
      </c>
      <c r="AC66" s="1255">
        <v>0</v>
      </c>
      <c r="AD66" s="1228" t="s">
        <v>485</v>
      </c>
    </row>
    <row r="67" spans="1:30" ht="39.75" customHeight="1">
      <c r="A67" s="1291" t="s">
        <v>486</v>
      </c>
      <c r="B67" s="1129" t="s">
        <v>284</v>
      </c>
      <c r="C67" s="1356">
        <v>46052</v>
      </c>
      <c r="D67" s="962" t="s">
        <v>113</v>
      </c>
      <c r="E67" s="1263">
        <v>45987</v>
      </c>
      <c r="F67" s="1365" t="s">
        <v>139</v>
      </c>
      <c r="G67" s="1264" t="s">
        <v>487</v>
      </c>
      <c r="H67" s="1265">
        <v>78</v>
      </c>
      <c r="I67" s="656" t="s">
        <v>260</v>
      </c>
      <c r="J67" s="1269" t="s">
        <v>64</v>
      </c>
      <c r="K67" s="1367"/>
      <c r="L67" s="1267">
        <v>45987</v>
      </c>
      <c r="M67" s="1250" t="s">
        <v>57</v>
      </c>
      <c r="N67" s="1292">
        <v>68606.5</v>
      </c>
      <c r="O67" s="1269" t="s">
        <v>57</v>
      </c>
      <c r="P67" s="1330" t="s">
        <v>261</v>
      </c>
      <c r="Q67" s="1294">
        <v>45987</v>
      </c>
      <c r="R67" s="1271"/>
      <c r="S67" s="1271"/>
      <c r="T67" s="1271"/>
      <c r="U67" s="1226">
        <v>46052</v>
      </c>
      <c r="V67" s="1338">
        <v>5456</v>
      </c>
      <c r="W67" s="1296">
        <v>5441</v>
      </c>
      <c r="X67" s="1236">
        <f>SUM(V67-W67)</f>
        <v>15</v>
      </c>
      <c r="Y67" s="1130">
        <f t="shared" si="18"/>
        <v>0.99725073313782986</v>
      </c>
      <c r="Z67" s="1226">
        <v>46028</v>
      </c>
      <c r="AA67" s="355">
        <v>1</v>
      </c>
      <c r="AB67" s="355">
        <v>1</v>
      </c>
      <c r="AC67" s="1255">
        <v>0</v>
      </c>
      <c r="AD67" s="1228" t="s">
        <v>488</v>
      </c>
    </row>
    <row r="68" spans="1:30" ht="39.75" customHeight="1">
      <c r="A68" s="1291" t="s">
        <v>489</v>
      </c>
      <c r="B68" s="1129" t="s">
        <v>284</v>
      </c>
      <c r="C68" s="1263">
        <v>46019</v>
      </c>
      <c r="D68" s="962" t="s">
        <v>113</v>
      </c>
      <c r="E68" s="1263">
        <v>45959</v>
      </c>
      <c r="F68" s="1264" t="s">
        <v>139</v>
      </c>
      <c r="G68" s="1264" t="s">
        <v>490</v>
      </c>
      <c r="H68" s="1265">
        <v>0</v>
      </c>
      <c r="I68" s="963" t="s">
        <v>260</v>
      </c>
      <c r="J68" s="1250" t="s">
        <v>64</v>
      </c>
      <c r="K68" s="1266"/>
      <c r="L68" s="1267">
        <v>45961</v>
      </c>
      <c r="M68" s="1250" t="s">
        <v>57</v>
      </c>
      <c r="N68" s="1292">
        <v>64985.65</v>
      </c>
      <c r="O68" s="1269" t="s">
        <v>57</v>
      </c>
      <c r="P68" s="1330" t="s">
        <v>261</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491</v>
      </c>
    </row>
    <row r="69" spans="1:30" ht="39.75" customHeight="1">
      <c r="A69" s="1291" t="s">
        <v>492</v>
      </c>
      <c r="B69" s="1129" t="s">
        <v>284</v>
      </c>
      <c r="C69" s="1263">
        <v>46019</v>
      </c>
      <c r="D69" s="962" t="s">
        <v>113</v>
      </c>
      <c r="E69" s="1263">
        <v>45959</v>
      </c>
      <c r="F69" s="1264" t="s">
        <v>139</v>
      </c>
      <c r="G69" s="1264" t="s">
        <v>493</v>
      </c>
      <c r="H69" s="1265">
        <v>0</v>
      </c>
      <c r="I69" s="963" t="s">
        <v>260</v>
      </c>
      <c r="J69" s="1250" t="s">
        <v>64</v>
      </c>
      <c r="K69" s="1266"/>
      <c r="L69" s="1267">
        <v>45961</v>
      </c>
      <c r="M69" s="1250" t="s">
        <v>57</v>
      </c>
      <c r="N69" s="1292">
        <v>54043.5</v>
      </c>
      <c r="O69" s="1269" t="s">
        <v>57</v>
      </c>
      <c r="P69" s="1293" t="s">
        <v>261</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494</v>
      </c>
    </row>
    <row r="70" spans="1:30" ht="39.75" customHeight="1">
      <c r="A70" s="1055" t="s">
        <v>495</v>
      </c>
      <c r="B70" s="783" t="s">
        <v>50</v>
      </c>
      <c r="C70" s="879">
        <v>45991</v>
      </c>
      <c r="D70" s="1069" t="s">
        <v>181</v>
      </c>
      <c r="E70" s="57">
        <v>45743</v>
      </c>
      <c r="F70" s="766" t="s">
        <v>62</v>
      </c>
      <c r="G70" s="784" t="s">
        <v>496</v>
      </c>
      <c r="H70" s="770">
        <v>69</v>
      </c>
      <c r="I70" s="657" t="s">
        <v>260</v>
      </c>
      <c r="J70" s="469" t="s">
        <v>64</v>
      </c>
      <c r="K70" s="893"/>
      <c r="L70" s="51">
        <v>45741</v>
      </c>
      <c r="M70" s="376" t="s">
        <v>57</v>
      </c>
      <c r="N70" s="833">
        <v>67734.5</v>
      </c>
      <c r="O70" s="376" t="s">
        <v>57</v>
      </c>
      <c r="P70" s="1052" t="s">
        <v>261</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497</v>
      </c>
    </row>
    <row r="71" spans="1:30" ht="39.75" customHeight="1">
      <c r="A71" s="1245" t="s">
        <v>498</v>
      </c>
      <c r="B71" s="818" t="s">
        <v>50</v>
      </c>
      <c r="C71" s="1175">
        <v>46008</v>
      </c>
      <c r="D71" s="1175" t="s">
        <v>499</v>
      </c>
      <c r="E71" s="1195">
        <v>45743</v>
      </c>
      <c r="F71" s="1196" t="s">
        <v>62</v>
      </c>
      <c r="G71" s="1196" t="s">
        <v>500</v>
      </c>
      <c r="H71" s="1197">
        <v>54</v>
      </c>
      <c r="I71" s="657" t="s">
        <v>260</v>
      </c>
      <c r="J71" s="1177" t="s">
        <v>64</v>
      </c>
      <c r="K71" s="1198"/>
      <c r="L71" s="1195">
        <v>45741</v>
      </c>
      <c r="M71" s="1177" t="s">
        <v>57</v>
      </c>
      <c r="N71" s="1208">
        <v>48215.5</v>
      </c>
      <c r="O71" s="1177" t="s">
        <v>57</v>
      </c>
      <c r="P71" s="1438" t="s">
        <v>261</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501</v>
      </c>
    </row>
    <row r="72" spans="1:30" ht="39.75" customHeight="1">
      <c r="A72" s="1055" t="s">
        <v>502</v>
      </c>
      <c r="B72" s="765" t="s">
        <v>50</v>
      </c>
      <c r="C72" s="879">
        <v>45991</v>
      </c>
      <c r="D72" s="1056" t="s">
        <v>503</v>
      </c>
      <c r="E72" s="767">
        <v>45735</v>
      </c>
      <c r="F72" s="766" t="s">
        <v>62</v>
      </c>
      <c r="G72" s="769" t="s">
        <v>504</v>
      </c>
      <c r="H72" s="770">
        <v>70</v>
      </c>
      <c r="I72" s="470" t="s">
        <v>260</v>
      </c>
      <c r="J72" s="478" t="s">
        <v>64</v>
      </c>
      <c r="K72" s="52"/>
      <c r="L72" s="375">
        <v>45716</v>
      </c>
      <c r="M72" s="52" t="s">
        <v>57</v>
      </c>
      <c r="N72" s="1060">
        <v>56262.5</v>
      </c>
      <c r="O72" s="52" t="s">
        <v>57</v>
      </c>
      <c r="P72" s="1052" t="s">
        <v>261</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505</v>
      </c>
    </row>
    <row r="73" spans="1:30" ht="39.75" customHeight="1">
      <c r="A73" s="916" t="s">
        <v>506</v>
      </c>
      <c r="B73" s="818" t="s">
        <v>50</v>
      </c>
      <c r="C73" s="467">
        <v>45991</v>
      </c>
      <c r="D73" s="467" t="s">
        <v>181</v>
      </c>
      <c r="E73" s="476">
        <v>45748</v>
      </c>
      <c r="F73" s="475" t="s">
        <v>62</v>
      </c>
      <c r="G73" s="819" t="s">
        <v>507</v>
      </c>
      <c r="H73" s="478">
        <v>0</v>
      </c>
      <c r="I73" s="478" t="s">
        <v>260</v>
      </c>
      <c r="J73" s="469" t="s">
        <v>64</v>
      </c>
      <c r="K73" s="820"/>
      <c r="L73" s="476">
        <v>45741</v>
      </c>
      <c r="M73" s="469" t="s">
        <v>57</v>
      </c>
      <c r="N73" s="541">
        <v>17203.45</v>
      </c>
      <c r="O73" s="469" t="s">
        <v>57</v>
      </c>
      <c r="P73" s="961" t="s">
        <v>261</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508</v>
      </c>
    </row>
    <row r="74" spans="1:30" ht="39.75" customHeight="1">
      <c r="A74" s="1245" t="s">
        <v>509</v>
      </c>
      <c r="B74" s="818" t="s">
        <v>50</v>
      </c>
      <c r="C74" s="1175">
        <v>46048</v>
      </c>
      <c r="D74" s="1175" t="s">
        <v>499</v>
      </c>
      <c r="E74" s="1195">
        <v>45748</v>
      </c>
      <c r="F74" s="821" t="s">
        <v>62</v>
      </c>
      <c r="G74" s="1196" t="s">
        <v>510</v>
      </c>
      <c r="H74" s="1197">
        <v>0</v>
      </c>
      <c r="I74" s="1197" t="s">
        <v>260</v>
      </c>
      <c r="J74" s="1177" t="s">
        <v>64</v>
      </c>
      <c r="K74" s="820"/>
      <c r="L74" s="1195">
        <v>45742</v>
      </c>
      <c r="M74" s="1177" t="s">
        <v>57</v>
      </c>
      <c r="N74" s="1208">
        <v>13442.35</v>
      </c>
      <c r="O74" s="1177" t="s">
        <v>57</v>
      </c>
      <c r="P74" s="1437" t="s">
        <v>261</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3" t="s">
        <v>511</v>
      </c>
    </row>
    <row r="75" spans="1:30" ht="39.75" customHeight="1">
      <c r="A75" s="1055" t="s">
        <v>512</v>
      </c>
      <c r="B75" s="783" t="s">
        <v>50</v>
      </c>
      <c r="C75" s="879">
        <v>45991</v>
      </c>
      <c r="D75" s="1069" t="s">
        <v>181</v>
      </c>
      <c r="E75" s="57">
        <v>45779</v>
      </c>
      <c r="F75" s="766" t="s">
        <v>62</v>
      </c>
      <c r="G75" s="784" t="s">
        <v>513</v>
      </c>
      <c r="H75" s="770">
        <v>0</v>
      </c>
      <c r="I75" s="478" t="s">
        <v>260</v>
      </c>
      <c r="J75" s="469" t="s">
        <v>64</v>
      </c>
      <c r="K75" s="893"/>
      <c r="L75" s="51">
        <v>45742</v>
      </c>
      <c r="M75" s="899" t="s">
        <v>57</v>
      </c>
      <c r="N75" s="1060">
        <v>23800.25</v>
      </c>
      <c r="O75" s="376" t="s">
        <v>57</v>
      </c>
      <c r="P75" s="1052" t="s">
        <v>261</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514</v>
      </c>
    </row>
    <row r="76" spans="1:30" ht="39.75" customHeight="1">
      <c r="A76" s="1245" t="s">
        <v>515</v>
      </c>
      <c r="B76" s="818" t="s">
        <v>50</v>
      </c>
      <c r="C76" s="1175">
        <v>46044</v>
      </c>
      <c r="D76" s="1175" t="s">
        <v>181</v>
      </c>
      <c r="E76" s="1195">
        <v>45700</v>
      </c>
      <c r="F76" s="1195" t="s">
        <v>62</v>
      </c>
      <c r="G76" s="1195" t="s">
        <v>516</v>
      </c>
      <c r="H76" s="1197">
        <v>0</v>
      </c>
      <c r="I76" s="1197" t="s">
        <v>260</v>
      </c>
      <c r="J76" s="1197" t="s">
        <v>64</v>
      </c>
      <c r="K76" s="1197"/>
      <c r="L76" s="1195">
        <v>45700</v>
      </c>
      <c r="M76" s="1197" t="s">
        <v>57</v>
      </c>
      <c r="N76" s="1208">
        <v>19745.25</v>
      </c>
      <c r="O76" s="1197" t="s">
        <v>57</v>
      </c>
      <c r="P76" s="1437" t="s">
        <v>261</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517</v>
      </c>
    </row>
    <row r="77" spans="1:30" ht="39.75" customHeight="1">
      <c r="A77" s="1245" t="s">
        <v>518</v>
      </c>
      <c r="B77" s="818" t="s">
        <v>50</v>
      </c>
      <c r="C77" s="1175">
        <v>46218</v>
      </c>
      <c r="D77" s="1175" t="s">
        <v>519</v>
      </c>
      <c r="E77" s="51" t="s">
        <v>52</v>
      </c>
      <c r="F77" s="1196" t="s">
        <v>62</v>
      </c>
      <c r="G77" s="1196" t="s">
        <v>520</v>
      </c>
      <c r="H77" s="1197">
        <v>380</v>
      </c>
      <c r="I77" s="657" t="s">
        <v>260</v>
      </c>
      <c r="J77" s="1177" t="s">
        <v>56</v>
      </c>
      <c r="K77" s="1220"/>
      <c r="L77" s="1195">
        <v>45964</v>
      </c>
      <c r="M77" s="1197" t="s">
        <v>57</v>
      </c>
      <c r="N77" s="1208">
        <v>117414</v>
      </c>
      <c r="O77" s="1197" t="s">
        <v>57</v>
      </c>
      <c r="P77" s="1246" t="s">
        <v>261</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521</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1:K52 K54 K57:K69 K1:K5 K71 K73:K77 K15:K46" xr:uid="{1F77D159-87F8-4334-B8DB-1D98E9EF8F0C}">
      <formula1>"Pending Locates,Permits, SOW Pending, NTP Pending, Materials, Reassigned, Door Tags"</formula1>
    </dataValidation>
    <dataValidation type="list" allowBlank="1" showInputMessage="1" showErrorMessage="1" sqref="I76 I19:I21 I26:I31 I11" xr:uid="{FF75A226-FC7F-404C-911A-49986724D48A}">
      <formula1>"On Track, In Jeopardy, Completed on Track, Completed, Completed -Missed TSD, On Hold Per Tillman"</formula1>
    </dataValidation>
    <dataValidation type="list" allowBlank="1" showInputMessage="1" showErrorMessage="1" sqref="I22:I25 I77 I32:I75 I2:I18" xr:uid="{FAE40925-7EC8-4626-B635-D815FEB73FF5}">
      <formula1>"On Track, In Jeopardy, Completed on Track, Completed, Completed -Missed TSD"</formula1>
    </dataValidation>
    <dataValidation type="list" allowBlank="1" showInputMessage="1" showErrorMessage="1" sqref="J6 J2:J4 J17:J18 J8:J15 J22:J77" xr:uid="{ECCD296E-320E-42DF-8A21-19E7E0361B1B}">
      <formula1>"Received, Pending, Not Required"</formula1>
    </dataValidation>
    <dataValidation allowBlank="1" showInputMessage="1" showErrorMessage="1" sqref="L51:L52 L54 Q54:T54 L71 E76:E77 D47:D70 Q51:T52 D75 R45:U46 U47 L45:L48 D36:D44 L73:L77 D72 Q71:U71 Q75:U77 Q45:Q48 L56:L69 R36:U42 U61:U62 Q56:T65 Q66:U69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260</v>
      </c>
      <c r="J2" s="469" t="s">
        <v>64</v>
      </c>
      <c r="K2" s="469"/>
      <c r="L2" s="467">
        <v>45852</v>
      </c>
      <c r="M2" s="469" t="s">
        <v>57</v>
      </c>
      <c r="N2" s="540">
        <v>42837.2</v>
      </c>
      <c r="O2" s="469" t="s">
        <v>57</v>
      </c>
      <c r="P2" s="801" t="s">
        <v>261</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260</v>
      </c>
      <c r="J3" s="478" t="s">
        <v>64</v>
      </c>
      <c r="K3" s="486"/>
      <c r="L3" s="467">
        <v>45716</v>
      </c>
      <c r="M3" s="478" t="s">
        <v>57</v>
      </c>
      <c r="N3" s="541">
        <v>64932.55</v>
      </c>
      <c r="O3" s="478" t="s">
        <v>57</v>
      </c>
      <c r="P3" s="801" t="s">
        <v>261</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260</v>
      </c>
      <c r="J4" s="899" t="s">
        <v>64</v>
      </c>
      <c r="K4" s="899"/>
      <c r="L4" s="51">
        <v>45960</v>
      </c>
      <c r="M4" s="1400" t="s">
        <v>57</v>
      </c>
      <c r="N4" s="974">
        <v>4911.8999999999996</v>
      </c>
      <c r="O4" s="964" t="s">
        <v>57</v>
      </c>
      <c r="P4" s="903" t="s">
        <v>261</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260</v>
      </c>
      <c r="J5" s="483" t="s">
        <v>64</v>
      </c>
      <c r="K5" s="483"/>
      <c r="L5" s="476">
        <v>45708</v>
      </c>
      <c r="M5" s="483" t="s">
        <v>57</v>
      </c>
      <c r="N5" s="542">
        <v>87944.4</v>
      </c>
      <c r="O5" s="483" t="s">
        <v>57</v>
      </c>
      <c r="P5" s="801" t="s">
        <v>261</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260</v>
      </c>
      <c r="J6" s="478" t="s">
        <v>64</v>
      </c>
      <c r="K6" s="838"/>
      <c r="L6" s="467">
        <v>45716</v>
      </c>
      <c r="M6" s="478" t="s">
        <v>57</v>
      </c>
      <c r="N6" s="540">
        <v>2812.95</v>
      </c>
      <c r="O6" s="478" t="s">
        <v>57</v>
      </c>
      <c r="P6" s="801" t="s">
        <v>261</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260</v>
      </c>
      <c r="J7" s="478" t="s">
        <v>64</v>
      </c>
      <c r="K7" s="486"/>
      <c r="L7" s="476">
        <v>45863</v>
      </c>
      <c r="M7" s="478" t="s">
        <v>57</v>
      </c>
      <c r="N7" s="541">
        <v>143407.25</v>
      </c>
      <c r="O7" s="478" t="s">
        <v>57</v>
      </c>
      <c r="P7" s="801" t="s">
        <v>261</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260</v>
      </c>
      <c r="J8" s="478" t="s">
        <v>64</v>
      </c>
      <c r="K8" s="486"/>
      <c r="L8" s="476">
        <v>45881</v>
      </c>
      <c r="M8" s="478" t="s">
        <v>57</v>
      </c>
      <c r="N8" s="541">
        <v>4815.6499999999996</v>
      </c>
      <c r="O8" s="478" t="s">
        <v>57</v>
      </c>
      <c r="P8" s="801" t="s">
        <v>261</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232</v>
      </c>
      <c r="G9" s="831" t="s">
        <v>542</v>
      </c>
      <c r="H9" s="393">
        <v>0</v>
      </c>
      <c r="I9" s="832" t="s">
        <v>260</v>
      </c>
      <c r="J9" s="393" t="s">
        <v>64</v>
      </c>
      <c r="K9" s="393"/>
      <c r="L9" s="830" t="s">
        <v>52</v>
      </c>
      <c r="M9" s="393" t="s">
        <v>57</v>
      </c>
      <c r="N9" s="833">
        <v>4646.75</v>
      </c>
      <c r="O9" s="393" t="s">
        <v>80</v>
      </c>
      <c r="P9" s="903" t="s">
        <v>261</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260</v>
      </c>
      <c r="J10" s="469" t="s">
        <v>64</v>
      </c>
      <c r="K10" s="469"/>
      <c r="L10" s="476">
        <v>45918</v>
      </c>
      <c r="M10" s="478" t="s">
        <v>57</v>
      </c>
      <c r="N10" s="541">
        <v>9611.9500000000007</v>
      </c>
      <c r="O10" s="478" t="s">
        <v>57</v>
      </c>
      <c r="P10" s="801" t="s">
        <v>261</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260</v>
      </c>
      <c r="J11" s="1177" t="s">
        <v>64</v>
      </c>
      <c r="K11" s="1177"/>
      <c r="L11" s="1175">
        <v>45994</v>
      </c>
      <c r="M11" s="1197" t="s">
        <v>57</v>
      </c>
      <c r="N11" s="1178">
        <v>42150</v>
      </c>
      <c r="O11" s="1197" t="s">
        <v>57</v>
      </c>
      <c r="P11" s="1341" t="s">
        <v>261</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260</v>
      </c>
      <c r="J12" s="478" t="s">
        <v>64</v>
      </c>
      <c r="K12" s="486"/>
      <c r="L12" s="476">
        <v>45888</v>
      </c>
      <c r="M12" s="478" t="s">
        <v>57</v>
      </c>
      <c r="N12" s="541">
        <v>53902</v>
      </c>
      <c r="O12" s="478" t="s">
        <v>57</v>
      </c>
      <c r="P12" s="801" t="s">
        <v>261</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260</v>
      </c>
      <c r="J13" s="469" t="s">
        <v>64</v>
      </c>
      <c r="K13" s="469"/>
      <c r="L13" s="467">
        <v>45897</v>
      </c>
      <c r="M13" s="469" t="s">
        <v>57</v>
      </c>
      <c r="N13" s="540">
        <v>44896.1</v>
      </c>
      <c r="O13" s="469" t="s">
        <v>57</v>
      </c>
      <c r="P13" s="801" t="s">
        <v>261</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260</v>
      </c>
      <c r="J14" s="469" t="s">
        <v>64</v>
      </c>
      <c r="K14" s="469"/>
      <c r="L14" s="467">
        <v>45903</v>
      </c>
      <c r="M14" s="469" t="s">
        <v>57</v>
      </c>
      <c r="N14" s="540">
        <v>59116.7</v>
      </c>
      <c r="O14" s="469" t="s">
        <v>57</v>
      </c>
      <c r="P14" s="801" t="s">
        <v>261</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260</v>
      </c>
      <c r="J15" s="1177" t="s">
        <v>64</v>
      </c>
      <c r="K15" s="1177"/>
      <c r="L15" s="1175">
        <v>45936</v>
      </c>
      <c r="M15" s="1177" t="s">
        <v>57</v>
      </c>
      <c r="N15" s="1178">
        <v>38192</v>
      </c>
      <c r="O15" s="1177" t="s">
        <v>57</v>
      </c>
      <c r="P15" s="1341" t="s">
        <v>261</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260</v>
      </c>
      <c r="J16" s="469" t="s">
        <v>64</v>
      </c>
      <c r="K16" s="469"/>
      <c r="L16" s="467">
        <v>45903</v>
      </c>
      <c r="M16" s="469" t="s">
        <v>57</v>
      </c>
      <c r="N16" s="540">
        <v>40406</v>
      </c>
      <c r="O16" s="469" t="s">
        <v>57</v>
      </c>
      <c r="P16" s="801" t="s">
        <v>261</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260</v>
      </c>
      <c r="J17" s="1177" t="s">
        <v>64</v>
      </c>
      <c r="K17" s="1177"/>
      <c r="L17" s="1175">
        <v>45936</v>
      </c>
      <c r="M17" s="1177" t="s">
        <v>57</v>
      </c>
      <c r="N17" s="1178">
        <v>37755.599999999999</v>
      </c>
      <c r="O17" s="1177" t="s">
        <v>57</v>
      </c>
      <c r="P17" s="1341" t="s">
        <v>261</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260</v>
      </c>
      <c r="J18" s="1177" t="s">
        <v>64</v>
      </c>
      <c r="K18" s="1177"/>
      <c r="L18" s="1175">
        <v>45972</v>
      </c>
      <c r="M18" s="1177" t="s">
        <v>57</v>
      </c>
      <c r="N18" s="1178">
        <v>27615.5</v>
      </c>
      <c r="O18" s="1177" t="s">
        <v>57</v>
      </c>
      <c r="P18" s="1341" t="s">
        <v>261</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260</v>
      </c>
      <c r="J19" s="1177" t="s">
        <v>64</v>
      </c>
      <c r="K19" s="469"/>
      <c r="L19" s="1175">
        <v>45999</v>
      </c>
      <c r="M19" s="1177" t="s">
        <v>57</v>
      </c>
      <c r="N19" s="1178">
        <v>74384</v>
      </c>
      <c r="O19" s="1177" t="s">
        <v>57</v>
      </c>
      <c r="P19" s="1341" t="s">
        <v>261</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260</v>
      </c>
      <c r="J20" s="469" t="s">
        <v>64</v>
      </c>
      <c r="K20" s="469"/>
      <c r="L20" s="467">
        <v>45979</v>
      </c>
      <c r="M20" s="469" t="s">
        <v>57</v>
      </c>
      <c r="N20" s="540">
        <v>29683</v>
      </c>
      <c r="O20" s="469" t="s">
        <v>57</v>
      </c>
      <c r="P20" s="801" t="s">
        <v>261</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260</v>
      </c>
      <c r="J21" s="469" t="s">
        <v>64</v>
      </c>
      <c r="K21" s="469"/>
      <c r="L21" s="467">
        <v>45933</v>
      </c>
      <c r="M21" s="469" t="s">
        <v>57</v>
      </c>
      <c r="N21" s="540">
        <v>26026</v>
      </c>
      <c r="O21" s="469" t="s">
        <v>57</v>
      </c>
      <c r="P21" s="801" t="s">
        <v>261</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260</v>
      </c>
      <c r="J22" s="469" t="s">
        <v>64</v>
      </c>
      <c r="K22" s="469"/>
      <c r="L22" s="467">
        <v>45912</v>
      </c>
      <c r="M22" s="469" t="s">
        <v>57</v>
      </c>
      <c r="N22" s="540">
        <v>82621.149999999994</v>
      </c>
      <c r="O22" s="469" t="s">
        <v>57</v>
      </c>
      <c r="P22" s="801" t="s">
        <v>261</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260</v>
      </c>
      <c r="J23" s="469" t="s">
        <v>64</v>
      </c>
      <c r="K23" s="469"/>
      <c r="L23" s="467">
        <v>45933</v>
      </c>
      <c r="M23" s="469" t="s">
        <v>57</v>
      </c>
      <c r="N23" s="540">
        <v>29646</v>
      </c>
      <c r="O23" s="469" t="s">
        <v>57</v>
      </c>
      <c r="P23" s="801" t="s">
        <v>261</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260</v>
      </c>
      <c r="J24" s="469" t="s">
        <v>64</v>
      </c>
      <c r="K24" s="469"/>
      <c r="L24" s="467">
        <v>45933</v>
      </c>
      <c r="M24" s="469" t="s">
        <v>57</v>
      </c>
      <c r="N24" s="540">
        <v>45014</v>
      </c>
      <c r="O24" s="469" t="s">
        <v>57</v>
      </c>
      <c r="P24" s="801" t="s">
        <v>261</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260</v>
      </c>
      <c r="J25" s="469" t="s">
        <v>64</v>
      </c>
      <c r="K25" s="469"/>
      <c r="L25" s="467">
        <v>45936</v>
      </c>
      <c r="M25" s="469" t="s">
        <v>57</v>
      </c>
      <c r="N25" s="540">
        <v>38796</v>
      </c>
      <c r="O25" s="469" t="s">
        <v>57</v>
      </c>
      <c r="P25" s="801" t="s">
        <v>261</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260</v>
      </c>
      <c r="J26" s="469" t="s">
        <v>64</v>
      </c>
      <c r="K26" s="469"/>
      <c r="L26" s="467">
        <v>45962</v>
      </c>
      <c r="M26" s="469" t="s">
        <v>57</v>
      </c>
      <c r="N26" s="540">
        <v>35050</v>
      </c>
      <c r="O26" s="469" t="s">
        <v>57</v>
      </c>
      <c r="P26" s="801" t="s">
        <v>261</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260</v>
      </c>
      <c r="J27" s="469" t="s">
        <v>64</v>
      </c>
      <c r="K27" s="469"/>
      <c r="L27" s="467">
        <v>45954</v>
      </c>
      <c r="M27" s="469" t="s">
        <v>57</v>
      </c>
      <c r="N27" s="540">
        <v>54228.7</v>
      </c>
      <c r="O27" s="469" t="s">
        <v>57</v>
      </c>
      <c r="P27" s="801" t="s">
        <v>261</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260</v>
      </c>
      <c r="J28" s="469" t="s">
        <v>64</v>
      </c>
      <c r="K28" s="469"/>
      <c r="L28" s="467">
        <v>45936</v>
      </c>
      <c r="M28" s="469" t="s">
        <v>57</v>
      </c>
      <c r="N28" s="540">
        <v>96748</v>
      </c>
      <c r="O28" s="469" t="s">
        <v>57</v>
      </c>
      <c r="P28" s="839" t="s">
        <v>261</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260</v>
      </c>
      <c r="J29" s="469" t="s">
        <v>64</v>
      </c>
      <c r="K29" s="469"/>
      <c r="L29" s="467">
        <v>45969</v>
      </c>
      <c r="M29" s="469" t="s">
        <v>57</v>
      </c>
      <c r="N29" s="540">
        <v>75672.100000000006</v>
      </c>
      <c r="O29" s="469" t="s">
        <v>57</v>
      </c>
      <c r="P29" s="1131" t="s">
        <v>261</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260</v>
      </c>
      <c r="J30" s="469" t="s">
        <v>64</v>
      </c>
      <c r="K30" s="469"/>
      <c r="L30" s="467">
        <v>45967</v>
      </c>
      <c r="M30" s="469" t="s">
        <v>57</v>
      </c>
      <c r="N30" s="540">
        <v>76565.850000000006</v>
      </c>
      <c r="O30" s="469" t="s">
        <v>57</v>
      </c>
      <c r="P30" s="1131" t="s">
        <v>261</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260</v>
      </c>
      <c r="J31" s="469" t="s">
        <v>64</v>
      </c>
      <c r="K31" s="469"/>
      <c r="L31" s="467">
        <v>45967</v>
      </c>
      <c r="M31" s="469" t="s">
        <v>57</v>
      </c>
      <c r="N31" s="540">
        <v>60620</v>
      </c>
      <c r="O31" s="469" t="s">
        <v>57</v>
      </c>
      <c r="P31" s="1386" t="s">
        <v>261</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260</v>
      </c>
      <c r="J32" s="1177" t="s">
        <v>64</v>
      </c>
      <c r="K32" s="1177"/>
      <c r="L32" s="1175">
        <v>45965</v>
      </c>
      <c r="M32" s="1177" t="s">
        <v>57</v>
      </c>
      <c r="N32" s="1178">
        <v>18021.7</v>
      </c>
      <c r="O32" s="1177" t="s">
        <v>57</v>
      </c>
      <c r="P32" s="1341" t="s">
        <v>261</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260</v>
      </c>
      <c r="J33" s="1177" t="s">
        <v>64</v>
      </c>
      <c r="K33" s="1177"/>
      <c r="L33" s="1175">
        <v>45965</v>
      </c>
      <c r="M33" s="1177" t="s">
        <v>57</v>
      </c>
      <c r="N33" s="1178">
        <v>20705</v>
      </c>
      <c r="O33" s="1177" t="s">
        <v>57</v>
      </c>
      <c r="P33" s="1341" t="s">
        <v>261</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260</v>
      </c>
      <c r="J34" s="469" t="s">
        <v>64</v>
      </c>
      <c r="K34" s="469"/>
      <c r="L34" s="467">
        <v>45968</v>
      </c>
      <c r="M34" s="469" t="s">
        <v>57</v>
      </c>
      <c r="N34" s="540">
        <v>12840.7</v>
      </c>
      <c r="O34" s="469" t="s">
        <v>57</v>
      </c>
      <c r="P34" s="801" t="s">
        <v>261</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260</v>
      </c>
      <c r="J35" s="1177" t="s">
        <v>64</v>
      </c>
      <c r="K35" s="469"/>
      <c r="L35" s="1175" t="s">
        <v>136</v>
      </c>
      <c r="M35" s="1177" t="s">
        <v>57</v>
      </c>
      <c r="N35" s="1178">
        <v>23475.5</v>
      </c>
      <c r="O35" s="1240" t="s">
        <v>57</v>
      </c>
      <c r="P35" s="1392" t="s">
        <v>261</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260</v>
      </c>
      <c r="J36" s="1177" t="s">
        <v>64</v>
      </c>
      <c r="K36" s="1177"/>
      <c r="L36" s="1175" t="s">
        <v>136</v>
      </c>
      <c r="M36" s="1177" t="s">
        <v>57</v>
      </c>
      <c r="N36" s="1178">
        <v>11500.3</v>
      </c>
      <c r="O36" s="1240" t="s">
        <v>57</v>
      </c>
      <c r="P36" s="1392" t="s">
        <v>261</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260</v>
      </c>
      <c r="J37" s="469" t="s">
        <v>64</v>
      </c>
      <c r="K37" s="469"/>
      <c r="L37" s="467" t="s">
        <v>136</v>
      </c>
      <c r="M37" s="469" t="s">
        <v>57</v>
      </c>
      <c r="N37" s="540">
        <v>51970</v>
      </c>
      <c r="O37" s="87" t="s">
        <v>57</v>
      </c>
      <c r="P37" s="1393" t="s">
        <v>261</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260</v>
      </c>
      <c r="J38" s="469" t="s">
        <v>64</v>
      </c>
      <c r="K38" s="469"/>
      <c r="L38" s="467" t="s">
        <v>136</v>
      </c>
      <c r="M38" s="469" t="s">
        <v>57</v>
      </c>
      <c r="N38" s="540">
        <v>39221.800000000003</v>
      </c>
      <c r="O38" s="1391" t="s">
        <v>57</v>
      </c>
      <c r="P38" s="1310" t="s">
        <v>261</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260</v>
      </c>
      <c r="J39" s="469" t="s">
        <v>56</v>
      </c>
      <c r="K39" s="469"/>
      <c r="L39" s="467">
        <v>45953</v>
      </c>
      <c r="M39" s="469" t="s">
        <v>57</v>
      </c>
      <c r="N39" s="540">
        <v>168480.8</v>
      </c>
      <c r="O39" s="469" t="s">
        <v>57</v>
      </c>
      <c r="P39" s="801" t="s">
        <v>261</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260</v>
      </c>
      <c r="J40" s="469" t="s">
        <v>56</v>
      </c>
      <c r="K40" s="469"/>
      <c r="L40" s="467">
        <v>45905</v>
      </c>
      <c r="M40" s="469" t="s">
        <v>57</v>
      </c>
      <c r="N40" s="540">
        <v>145985.5</v>
      </c>
      <c r="O40" s="469" t="s">
        <v>57</v>
      </c>
      <c r="P40" s="1086" t="s">
        <v>261</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260</v>
      </c>
      <c r="J41" s="469" t="s">
        <v>56</v>
      </c>
      <c r="K41" s="469"/>
      <c r="L41" s="465" t="s">
        <v>261</v>
      </c>
      <c r="M41" s="469" t="s">
        <v>57</v>
      </c>
      <c r="N41" s="540">
        <v>30892</v>
      </c>
      <c r="O41" s="469" t="s">
        <v>57</v>
      </c>
      <c r="P41" s="801" t="s">
        <v>261</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260</v>
      </c>
      <c r="J42" s="469" t="s">
        <v>56</v>
      </c>
      <c r="K42" s="469"/>
      <c r="L42" s="467">
        <v>45943</v>
      </c>
      <c r="M42" s="469" t="s">
        <v>57</v>
      </c>
      <c r="N42" s="540">
        <v>64059.5</v>
      </c>
      <c r="O42" s="469" t="s">
        <v>57</v>
      </c>
      <c r="P42" s="853" t="s">
        <v>261</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261</v>
      </c>
      <c r="M43" s="380" t="s">
        <v>57</v>
      </c>
      <c r="N43" s="1060">
        <v>64790.5</v>
      </c>
      <c r="O43" s="380" t="s">
        <v>57</v>
      </c>
      <c r="P43" s="1078" t="s">
        <v>261</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268</v>
      </c>
      <c r="E44" s="467">
        <v>45927</v>
      </c>
      <c r="F44" s="465" t="s">
        <v>636</v>
      </c>
      <c r="G44" s="678" t="s">
        <v>637</v>
      </c>
      <c r="H44" s="469">
        <v>86</v>
      </c>
      <c r="I44" s="657" t="s">
        <v>260</v>
      </c>
      <c r="J44" s="469" t="s">
        <v>64</v>
      </c>
      <c r="K44" s="478"/>
      <c r="L44" s="467">
        <v>45917</v>
      </c>
      <c r="M44" s="469" t="s">
        <v>57</v>
      </c>
      <c r="N44" s="540">
        <v>45500</v>
      </c>
      <c r="O44" s="469" t="s">
        <v>57</v>
      </c>
      <c r="P44" s="801" t="s">
        <v>261</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260</v>
      </c>
      <c r="J45" s="469" t="s">
        <v>64</v>
      </c>
      <c r="K45" s="820"/>
      <c r="L45" s="476">
        <v>45741</v>
      </c>
      <c r="M45" s="469" t="s">
        <v>57</v>
      </c>
      <c r="N45" s="541">
        <v>67735.5</v>
      </c>
      <c r="O45" s="469" t="s">
        <v>57</v>
      </c>
      <c r="P45" s="801" t="s">
        <v>261</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261</v>
      </c>
      <c r="J46" s="823" t="s">
        <v>64</v>
      </c>
      <c r="K46" s="823"/>
      <c r="L46" s="821">
        <v>45705</v>
      </c>
      <c r="M46" s="823" t="s">
        <v>57</v>
      </c>
      <c r="N46" s="844">
        <v>1295</v>
      </c>
      <c r="O46" s="823" t="s">
        <v>57</v>
      </c>
      <c r="P46" s="801" t="s">
        <v>261</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260</v>
      </c>
      <c r="J47" s="469" t="s">
        <v>56</v>
      </c>
      <c r="K47" s="823"/>
      <c r="L47" s="821">
        <v>46303</v>
      </c>
      <c r="M47" s="851" t="s">
        <v>57</v>
      </c>
      <c r="N47" s="1060">
        <v>86136</v>
      </c>
      <c r="O47" s="851" t="s">
        <v>57</v>
      </c>
      <c r="P47" s="853" t="s">
        <v>261</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260</v>
      </c>
      <c r="J48" s="469" t="s">
        <v>56</v>
      </c>
      <c r="K48" s="770"/>
      <c r="L48" s="57" t="s">
        <v>52</v>
      </c>
      <c r="M48" s="964" t="s">
        <v>57</v>
      </c>
      <c r="N48" s="1060">
        <v>42766.5</v>
      </c>
      <c r="O48" s="52" t="s">
        <v>57</v>
      </c>
      <c r="P48" s="1078" t="s">
        <v>261</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261</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315</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260</v>
      </c>
      <c r="J2" s="52" t="s">
        <v>64</v>
      </c>
      <c r="K2" s="51">
        <v>45701</v>
      </c>
      <c r="L2" s="380" t="s">
        <v>57</v>
      </c>
      <c r="M2" s="426">
        <v>55089</v>
      </c>
      <c r="N2" s="550">
        <v>57509</v>
      </c>
      <c r="O2" s="764" t="s">
        <v>57</v>
      </c>
      <c r="P2" s="376" t="s">
        <v>261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260</v>
      </c>
      <c r="J3" s="478" t="s">
        <v>64</v>
      </c>
      <c r="K3" s="467">
        <v>45716</v>
      </c>
      <c r="L3" s="478" t="s">
        <v>57</v>
      </c>
      <c r="M3" s="772">
        <v>28777</v>
      </c>
      <c r="N3" s="550">
        <v>28496.799999999999</v>
      </c>
      <c r="O3" s="478" t="s">
        <v>57</v>
      </c>
      <c r="P3" s="780" t="s">
        <v>261</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260</v>
      </c>
      <c r="J4" s="52" t="s">
        <v>64</v>
      </c>
      <c r="K4" s="608">
        <v>45718</v>
      </c>
      <c r="L4" s="52" t="s">
        <v>57</v>
      </c>
      <c r="M4" s="426">
        <v>200394.1</v>
      </c>
      <c r="N4" s="426">
        <v>209003.94</v>
      </c>
      <c r="O4" s="52" t="s">
        <v>57</v>
      </c>
      <c r="P4" s="437" t="s">
        <v>261</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260</v>
      </c>
      <c r="J5" s="52" t="s">
        <v>64</v>
      </c>
      <c r="K5" s="51">
        <v>45708</v>
      </c>
      <c r="L5" s="52" t="s">
        <v>57</v>
      </c>
      <c r="M5" s="426">
        <v>62460.45</v>
      </c>
      <c r="N5" s="550">
        <v>61491.05</v>
      </c>
      <c r="O5" s="52" t="s">
        <v>57</v>
      </c>
      <c r="P5" s="52" t="s">
        <v>261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260</v>
      </c>
      <c r="J6" s="376" t="s">
        <v>64</v>
      </c>
      <c r="K6" s="375">
        <v>45735</v>
      </c>
      <c r="L6" s="376" t="s">
        <v>57</v>
      </c>
      <c r="M6" s="429">
        <v>15690.1</v>
      </c>
      <c r="N6" s="550">
        <v>16153.75</v>
      </c>
      <c r="O6" s="376" t="s">
        <v>57</v>
      </c>
      <c r="P6" s="376" t="s">
        <v>261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260</v>
      </c>
      <c r="J7" s="376" t="s">
        <v>64</v>
      </c>
      <c r="K7" s="375">
        <v>45793</v>
      </c>
      <c r="L7" s="376" t="s">
        <v>57</v>
      </c>
      <c r="M7" s="429">
        <v>104070.8</v>
      </c>
      <c r="N7" s="426">
        <v>106593.55</v>
      </c>
      <c r="O7" s="376" t="s">
        <v>57</v>
      </c>
      <c r="P7" s="437" t="s">
        <v>261</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260</v>
      </c>
      <c r="J8" s="376" t="s">
        <v>64</v>
      </c>
      <c r="K8" s="375">
        <v>45782</v>
      </c>
      <c r="L8" s="376" t="s">
        <v>57</v>
      </c>
      <c r="M8" s="429">
        <v>119135.3</v>
      </c>
      <c r="N8" s="426">
        <v>121256.65</v>
      </c>
      <c r="O8" s="376" t="s">
        <v>57</v>
      </c>
      <c r="P8" s="376" t="s">
        <v>261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260</v>
      </c>
      <c r="J9" s="52" t="s">
        <v>64</v>
      </c>
      <c r="K9" s="50" t="s">
        <v>261</v>
      </c>
      <c r="L9" s="52" t="s">
        <v>57</v>
      </c>
      <c r="M9" s="426">
        <v>12601.45</v>
      </c>
      <c r="N9" s="550">
        <v>13008.1</v>
      </c>
      <c r="O9" s="52" t="s">
        <v>57</v>
      </c>
      <c r="P9" s="52" t="s">
        <v>261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260</v>
      </c>
      <c r="J10" s="52" t="s">
        <v>64</v>
      </c>
      <c r="K10" s="375">
        <v>45826</v>
      </c>
      <c r="L10" s="376" t="s">
        <v>57</v>
      </c>
      <c r="M10" s="429">
        <v>144886</v>
      </c>
      <c r="N10" s="426">
        <v>138688</v>
      </c>
      <c r="O10" s="376" t="s">
        <v>57</v>
      </c>
      <c r="P10" s="437" t="s">
        <v>261</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261</v>
      </c>
      <c r="L11" s="663" t="s">
        <v>57</v>
      </c>
      <c r="M11" s="429">
        <v>47461.5</v>
      </c>
      <c r="N11" s="565">
        <v>45340</v>
      </c>
      <c r="O11" s="663" t="s">
        <v>57</v>
      </c>
      <c r="P11" s="376" t="s">
        <v>261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261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261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260</v>
      </c>
      <c r="J14" s="52" t="s">
        <v>64</v>
      </c>
      <c r="K14" s="661">
        <v>45756</v>
      </c>
      <c r="L14" s="52" t="s">
        <v>57</v>
      </c>
      <c r="M14" s="426">
        <v>67171.5</v>
      </c>
      <c r="N14" s="550">
        <v>64739</v>
      </c>
      <c r="O14" s="52" t="s">
        <v>57</v>
      </c>
      <c r="P14" s="52" t="s">
        <v>261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260</v>
      </c>
      <c r="J15" s="52" t="s">
        <v>64</v>
      </c>
      <c r="K15" s="51">
        <v>45749</v>
      </c>
      <c r="L15" s="52" t="s">
        <v>57</v>
      </c>
      <c r="M15" s="426">
        <v>72492</v>
      </c>
      <c r="N15" s="550">
        <v>73087.5</v>
      </c>
      <c r="O15" s="52" t="s">
        <v>57</v>
      </c>
      <c r="P15" s="52" t="s">
        <v>261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260</v>
      </c>
      <c r="J16" s="52" t="s">
        <v>64</v>
      </c>
      <c r="K16" s="51">
        <v>45750</v>
      </c>
      <c r="L16" s="52" t="s">
        <v>57</v>
      </c>
      <c r="M16" s="426">
        <v>51295</v>
      </c>
      <c r="N16" s="550">
        <v>51485.5</v>
      </c>
      <c r="O16" s="52" t="s">
        <v>57</v>
      </c>
      <c r="P16" s="52" t="s">
        <v>261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260</v>
      </c>
      <c r="J17" s="52" t="s">
        <v>64</v>
      </c>
      <c r="K17" s="50" t="s">
        <v>261</v>
      </c>
      <c r="L17" s="656" t="s">
        <v>57</v>
      </c>
      <c r="M17" s="426">
        <v>26617</v>
      </c>
      <c r="N17" s="566">
        <v>25405</v>
      </c>
      <c r="O17" s="656" t="s">
        <v>57</v>
      </c>
      <c r="P17" s="52" t="s">
        <v>261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261</v>
      </c>
      <c r="L18" s="656" t="s">
        <v>57</v>
      </c>
      <c r="M18" s="426">
        <v>72118</v>
      </c>
      <c r="N18" s="669">
        <v>70778</v>
      </c>
      <c r="O18" s="656" t="s">
        <v>57</v>
      </c>
      <c r="P18" s="52" t="s">
        <v>261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261</v>
      </c>
      <c r="L19" s="656" t="s">
        <v>57</v>
      </c>
      <c r="M19" s="426">
        <v>69288</v>
      </c>
      <c r="N19" s="566">
        <v>70664</v>
      </c>
      <c r="O19" s="656" t="s">
        <v>57</v>
      </c>
      <c r="P19" s="52" t="s">
        <v>261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261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261</v>
      </c>
      <c r="L21" s="656" t="s">
        <v>57</v>
      </c>
      <c r="M21" s="426">
        <v>83754</v>
      </c>
      <c r="N21" s="566">
        <v>80572.5</v>
      </c>
      <c r="O21" s="656" t="s">
        <v>57</v>
      </c>
      <c r="P21" s="52" t="s">
        <v>261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261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260</v>
      </c>
      <c r="J23" s="52" t="s">
        <v>64</v>
      </c>
      <c r="K23" s="51">
        <v>45733</v>
      </c>
      <c r="L23" s="52" t="s">
        <v>57</v>
      </c>
      <c r="M23" s="426">
        <v>50824.5</v>
      </c>
      <c r="N23" s="566">
        <v>50928.5</v>
      </c>
      <c r="O23" s="52" t="s">
        <v>57</v>
      </c>
      <c r="P23" s="52" t="s">
        <v>261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260</v>
      </c>
      <c r="J24" s="52" t="s">
        <v>64</v>
      </c>
      <c r="K24" s="51">
        <v>45737</v>
      </c>
      <c r="L24" s="52" t="s">
        <v>57</v>
      </c>
      <c r="M24" s="426">
        <v>83462</v>
      </c>
      <c r="N24" s="566">
        <v>83033</v>
      </c>
      <c r="O24" s="52" t="s">
        <v>57</v>
      </c>
      <c r="P24" s="52" t="s">
        <v>261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261</v>
      </c>
      <c r="L25" s="52" t="s">
        <v>57</v>
      </c>
      <c r="M25" s="426">
        <v>47414</v>
      </c>
      <c r="N25" s="566">
        <v>45744</v>
      </c>
      <c r="O25" s="52" t="s">
        <v>57</v>
      </c>
      <c r="P25" s="52" t="s">
        <v>261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260</v>
      </c>
      <c r="J26" s="52" t="s">
        <v>64</v>
      </c>
      <c r="K26" s="51">
        <v>45736</v>
      </c>
      <c r="L26" s="52" t="s">
        <v>57</v>
      </c>
      <c r="M26" s="426">
        <v>59562.5</v>
      </c>
      <c r="N26" s="566">
        <v>52525.5</v>
      </c>
      <c r="O26" s="52" t="s">
        <v>57</v>
      </c>
      <c r="P26" s="52" t="s">
        <v>261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260</v>
      </c>
      <c r="J27" s="52" t="s">
        <v>64</v>
      </c>
      <c r="K27" s="51">
        <v>45735</v>
      </c>
      <c r="L27" s="52" t="s">
        <v>57</v>
      </c>
      <c r="M27" s="426">
        <v>41187</v>
      </c>
      <c r="N27" s="566">
        <v>39597.5</v>
      </c>
      <c r="O27" s="52" t="s">
        <v>57</v>
      </c>
      <c r="P27" s="52" t="s">
        <v>261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260</v>
      </c>
      <c r="J28" s="52" t="s">
        <v>64</v>
      </c>
      <c r="K28" s="50" t="s">
        <v>261</v>
      </c>
      <c r="L28" s="52" t="s">
        <v>57</v>
      </c>
      <c r="M28" s="426">
        <v>14497.5</v>
      </c>
      <c r="N28" s="566">
        <v>14042</v>
      </c>
      <c r="O28" s="52" t="s">
        <v>57</v>
      </c>
      <c r="P28" s="52" t="s">
        <v>261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260</v>
      </c>
      <c r="J29" s="376" t="s">
        <v>64</v>
      </c>
      <c r="K29" s="375">
        <v>45840</v>
      </c>
      <c r="L29" s="376" t="s">
        <v>57</v>
      </c>
      <c r="M29" s="429">
        <v>10430.549999999999</v>
      </c>
      <c r="N29" s="426">
        <v>37639.800000000003</v>
      </c>
      <c r="O29" s="376" t="s">
        <v>57</v>
      </c>
      <c r="P29" s="1379" t="s">
        <v>261</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260</v>
      </c>
      <c r="J30" s="376" t="s">
        <v>64</v>
      </c>
      <c r="K30" s="375">
        <v>45912</v>
      </c>
      <c r="L30" s="376" t="s">
        <v>57</v>
      </c>
      <c r="M30" s="429">
        <v>60115.95</v>
      </c>
      <c r="N30" s="426">
        <v>58210</v>
      </c>
      <c r="O30" s="376" t="s">
        <v>57</v>
      </c>
      <c r="P30" s="1035" t="s">
        <v>261</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260</v>
      </c>
      <c r="J31" s="376" t="s">
        <v>64</v>
      </c>
      <c r="K31" s="375">
        <v>45847</v>
      </c>
      <c r="L31" s="376" t="s">
        <v>57</v>
      </c>
      <c r="M31" s="429">
        <v>71310.899999999994</v>
      </c>
      <c r="N31" s="426">
        <v>62984.35</v>
      </c>
      <c r="O31" s="376" t="s">
        <v>57</v>
      </c>
      <c r="P31" s="437" t="s">
        <v>261</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260</v>
      </c>
      <c r="J32" s="376" t="s">
        <v>64</v>
      </c>
      <c r="K32" s="375">
        <v>45840</v>
      </c>
      <c r="L32" s="376" t="s">
        <v>57</v>
      </c>
      <c r="M32" s="429">
        <v>53605.2</v>
      </c>
      <c r="N32" s="426">
        <v>52185.2</v>
      </c>
      <c r="O32" s="376" t="s">
        <v>57</v>
      </c>
      <c r="P32" s="437" t="s">
        <v>261</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260</v>
      </c>
      <c r="J33" s="376" t="s">
        <v>64</v>
      </c>
      <c r="K33" s="375">
        <v>45833</v>
      </c>
      <c r="L33" s="376" t="s">
        <v>57</v>
      </c>
      <c r="M33" s="429">
        <v>32940.449999999997</v>
      </c>
      <c r="N33" s="426">
        <v>43258.2</v>
      </c>
      <c r="O33" s="376" t="s">
        <v>57</v>
      </c>
      <c r="P33" s="1028" t="s">
        <v>261</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260</v>
      </c>
      <c r="J34" s="376" t="s">
        <v>64</v>
      </c>
      <c r="K34" s="375">
        <v>45840</v>
      </c>
      <c r="L34" s="376" t="s">
        <v>57</v>
      </c>
      <c r="M34" s="429">
        <v>23404.75</v>
      </c>
      <c r="N34" s="426">
        <v>18702.400000000001</v>
      </c>
      <c r="O34" s="376" t="s">
        <v>57</v>
      </c>
      <c r="P34" s="1035" t="s">
        <v>261</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260</v>
      </c>
      <c r="J35" s="376" t="s">
        <v>64</v>
      </c>
      <c r="K35" s="375">
        <v>45887</v>
      </c>
      <c r="L35" s="376" t="s">
        <v>57</v>
      </c>
      <c r="M35" s="429">
        <v>37930</v>
      </c>
      <c r="N35" s="426">
        <v>38208</v>
      </c>
      <c r="O35" s="376" t="s">
        <v>57</v>
      </c>
      <c r="P35" s="1028" t="s">
        <v>261</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260</v>
      </c>
      <c r="J36" s="52" t="s">
        <v>64</v>
      </c>
      <c r="K36" s="51">
        <v>45762</v>
      </c>
      <c r="L36" s="52" t="s">
        <v>57</v>
      </c>
      <c r="M36" s="426">
        <v>62502</v>
      </c>
      <c r="N36" s="550">
        <v>59129.5</v>
      </c>
      <c r="O36" s="52" t="s">
        <v>57</v>
      </c>
      <c r="P36" s="52" t="s">
        <v>261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260</v>
      </c>
      <c r="J37" s="52" t="s">
        <v>64</v>
      </c>
      <c r="K37" s="51">
        <v>45762</v>
      </c>
      <c r="L37" s="52" t="s">
        <v>57</v>
      </c>
      <c r="M37" s="426">
        <v>70705.5</v>
      </c>
      <c r="N37" s="550">
        <v>67666</v>
      </c>
      <c r="O37" s="52" t="s">
        <v>57</v>
      </c>
      <c r="P37" s="52" t="s">
        <v>261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260</v>
      </c>
      <c r="J38" s="52" t="s">
        <v>64</v>
      </c>
      <c r="K38" s="51">
        <v>45762</v>
      </c>
      <c r="L38" s="52" t="s">
        <v>57</v>
      </c>
      <c r="M38" s="426">
        <v>66004.5</v>
      </c>
      <c r="N38" s="550">
        <v>64943.5</v>
      </c>
      <c r="O38" s="52" t="s">
        <v>57</v>
      </c>
      <c r="P38" s="52" t="s">
        <v>261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260</v>
      </c>
      <c r="J39" s="376" t="s">
        <v>64</v>
      </c>
      <c r="K39" s="375">
        <v>45790</v>
      </c>
      <c r="L39" s="376" t="s">
        <v>57</v>
      </c>
      <c r="M39" s="429">
        <v>57237</v>
      </c>
      <c r="N39" s="564">
        <v>55777</v>
      </c>
      <c r="O39" s="52" t="s">
        <v>57</v>
      </c>
      <c r="P39" s="376" t="s">
        <v>261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261</v>
      </c>
      <c r="J40" s="116" t="s">
        <v>64</v>
      </c>
      <c r="K40" s="508">
        <v>45673</v>
      </c>
      <c r="L40" s="503" t="s">
        <v>57</v>
      </c>
      <c r="M40" s="771">
        <v>24886.5</v>
      </c>
      <c r="N40" s="802">
        <v>7262</v>
      </c>
      <c r="O40" s="503" t="s">
        <v>57</v>
      </c>
      <c r="P40" s="808" t="s">
        <v>261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260</v>
      </c>
      <c r="J41" s="899" t="s">
        <v>64</v>
      </c>
      <c r="K41" s="375">
        <v>45848</v>
      </c>
      <c r="L41" s="376" t="s">
        <v>57</v>
      </c>
      <c r="M41" s="986">
        <v>23436.55</v>
      </c>
      <c r="N41" s="426">
        <v>15484.65</v>
      </c>
      <c r="O41" s="376" t="s">
        <v>57</v>
      </c>
      <c r="P41" s="1035" t="s">
        <v>261</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260</v>
      </c>
      <c r="J42" s="1141" t="s">
        <v>64</v>
      </c>
      <c r="K42" s="51" t="s">
        <v>52</v>
      </c>
      <c r="L42" s="376" t="s">
        <v>57</v>
      </c>
      <c r="M42" s="429">
        <v>1343</v>
      </c>
      <c r="N42" s="1143">
        <v>2310</v>
      </c>
      <c r="O42" s="376" t="s">
        <v>57</v>
      </c>
      <c r="P42" s="1035" t="s">
        <v>261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260</v>
      </c>
      <c r="J43" s="469" t="s">
        <v>64</v>
      </c>
      <c r="K43" s="476">
        <v>45902</v>
      </c>
      <c r="L43" s="469" t="s">
        <v>57</v>
      </c>
      <c r="M43" s="986">
        <v>5604.6</v>
      </c>
      <c r="N43" s="550">
        <v>7746.35</v>
      </c>
      <c r="O43" s="469" t="s">
        <v>57</v>
      </c>
      <c r="P43" s="485" t="s">
        <v>261</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260</v>
      </c>
      <c r="J44" s="947" t="s">
        <v>64</v>
      </c>
      <c r="K44" s="930">
        <v>45870</v>
      </c>
      <c r="L44" s="947" t="s">
        <v>57</v>
      </c>
      <c r="M44" s="949">
        <v>49307.5</v>
      </c>
      <c r="N44" s="426">
        <v>47409</v>
      </c>
      <c r="O44" s="947" t="s">
        <v>57</v>
      </c>
      <c r="P44" s="1159" t="s">
        <v>261</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260</v>
      </c>
      <c r="J45" s="376" t="s">
        <v>64</v>
      </c>
      <c r="K45" s="375">
        <v>45705</v>
      </c>
      <c r="L45" s="376" t="s">
        <v>57</v>
      </c>
      <c r="M45" s="429">
        <v>88491.8</v>
      </c>
      <c r="N45" s="426">
        <v>85791.25</v>
      </c>
      <c r="O45" s="376" t="s">
        <v>57</v>
      </c>
      <c r="P45" s="376" t="s">
        <v>261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260</v>
      </c>
      <c r="J46" s="947" t="s">
        <v>64</v>
      </c>
      <c r="K46" s="930">
        <v>45870</v>
      </c>
      <c r="L46" s="947" t="s">
        <v>57</v>
      </c>
      <c r="M46" s="949">
        <v>12886.4</v>
      </c>
      <c r="N46" s="1143">
        <v>18418.349999999999</v>
      </c>
      <c r="O46" s="947" t="s">
        <v>57</v>
      </c>
      <c r="P46" s="1160" t="s">
        <v>261</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260</v>
      </c>
      <c r="J47" s="786" t="s">
        <v>64</v>
      </c>
      <c r="K47" s="375">
        <v>45882</v>
      </c>
      <c r="L47" s="376" t="s">
        <v>57</v>
      </c>
      <c r="M47" s="429">
        <v>13056.5</v>
      </c>
      <c r="N47" s="635">
        <v>15624.85</v>
      </c>
      <c r="O47" s="376" t="s">
        <v>57</v>
      </c>
      <c r="P47" s="437" t="s">
        <v>261</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260</v>
      </c>
      <c r="J48" s="469" t="s">
        <v>64</v>
      </c>
      <c r="K48" s="467">
        <v>45790</v>
      </c>
      <c r="L48" s="469" t="s">
        <v>57</v>
      </c>
      <c r="M48" s="986">
        <v>63283</v>
      </c>
      <c r="N48" s="550">
        <v>84546.7</v>
      </c>
      <c r="O48" s="469" t="s">
        <v>57</v>
      </c>
      <c r="P48" s="780" t="s">
        <v>261</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260</v>
      </c>
      <c r="J49" s="1141" t="s">
        <v>64</v>
      </c>
      <c r="K49" s="930">
        <v>45868</v>
      </c>
      <c r="L49" s="947" t="s">
        <v>57</v>
      </c>
      <c r="M49" s="949">
        <v>14179.65</v>
      </c>
      <c r="N49" s="1143">
        <v>15936.8</v>
      </c>
      <c r="O49" s="947" t="s">
        <v>57</v>
      </c>
      <c r="P49" s="1159" t="s">
        <v>261</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260</v>
      </c>
      <c r="J50" s="478" t="s">
        <v>64</v>
      </c>
      <c r="K50" s="508">
        <v>45838</v>
      </c>
      <c r="L50" s="1013" t="s">
        <v>57</v>
      </c>
      <c r="M50" s="772">
        <v>72566</v>
      </c>
      <c r="N50" s="426">
        <v>9904.1</v>
      </c>
      <c r="O50" s="478" t="s">
        <v>57</v>
      </c>
      <c r="P50" s="780" t="s">
        <v>261</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260</v>
      </c>
      <c r="J51" s="1152" t="s">
        <v>64</v>
      </c>
      <c r="K51" s="897">
        <v>45902</v>
      </c>
      <c r="L51" s="899" t="s">
        <v>57</v>
      </c>
      <c r="M51" s="1149">
        <v>3067.9</v>
      </c>
      <c r="N51" s="1143">
        <v>8729.7000000000007</v>
      </c>
      <c r="O51" s="899" t="s">
        <v>57</v>
      </c>
      <c r="P51" s="1022" t="s">
        <v>261</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260</v>
      </c>
      <c r="J52" s="899" t="s">
        <v>64</v>
      </c>
      <c r="K52" s="375">
        <v>45848</v>
      </c>
      <c r="L52" s="376" t="s">
        <v>57</v>
      </c>
      <c r="M52" s="429">
        <v>1206</v>
      </c>
      <c r="N52" s="426">
        <v>1195</v>
      </c>
      <c r="O52" s="376" t="s">
        <v>57</v>
      </c>
      <c r="P52" s="1035" t="s">
        <v>261</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260</v>
      </c>
      <c r="J53" s="899" t="s">
        <v>64</v>
      </c>
      <c r="K53" s="897" t="s">
        <v>52</v>
      </c>
      <c r="L53" s="899" t="s">
        <v>57</v>
      </c>
      <c r="M53" s="1149">
        <v>18903.7</v>
      </c>
      <c r="N53" s="426">
        <v>7007.75</v>
      </c>
      <c r="O53" s="899" t="s">
        <v>57</v>
      </c>
      <c r="P53" s="1022" t="s">
        <v>261</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260</v>
      </c>
      <c r="J54" s="501" t="s">
        <v>64</v>
      </c>
      <c r="K54" s="502" t="s">
        <v>789</v>
      </c>
      <c r="L54" s="501" t="s">
        <v>57</v>
      </c>
      <c r="M54" s="887">
        <v>21888.65</v>
      </c>
      <c r="N54" s="426">
        <v>21950.85</v>
      </c>
      <c r="O54" s="501" t="s">
        <v>57</v>
      </c>
      <c r="P54" s="1076" t="s">
        <v>261</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261</v>
      </c>
      <c r="J55" s="52" t="s">
        <v>64</v>
      </c>
      <c r="K55" s="50" t="s">
        <v>261</v>
      </c>
      <c r="L55" s="52" t="s">
        <v>57</v>
      </c>
      <c r="M55" s="426">
        <v>3425.55</v>
      </c>
      <c r="N55" s="550">
        <v>7741.4</v>
      </c>
      <c r="O55" s="52" t="s">
        <v>57</v>
      </c>
      <c r="P55" s="52" t="s">
        <v>261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260</v>
      </c>
      <c r="J56" s="376" t="s">
        <v>64</v>
      </c>
      <c r="K56" s="374" t="s">
        <v>261</v>
      </c>
      <c r="L56" s="376" t="s">
        <v>57</v>
      </c>
      <c r="M56" s="429">
        <v>3707.3</v>
      </c>
      <c r="N56" s="426">
        <v>8209.69</v>
      </c>
      <c r="O56" s="376" t="s">
        <v>57</v>
      </c>
      <c r="P56" s="376" t="s">
        <v>261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261</v>
      </c>
      <c r="L57" s="52" t="s">
        <v>57</v>
      </c>
      <c r="M57" s="426">
        <v>21648.75</v>
      </c>
      <c r="N57" s="550">
        <v>35235</v>
      </c>
      <c r="O57" s="52" t="s">
        <v>57</v>
      </c>
      <c r="P57" s="52" t="s">
        <v>261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260</v>
      </c>
      <c r="J58" s="786" t="s">
        <v>64</v>
      </c>
      <c r="K58" s="502">
        <v>45817</v>
      </c>
      <c r="L58" s="501" t="s">
        <v>57</v>
      </c>
      <c r="M58" s="887">
        <v>75953</v>
      </c>
      <c r="N58" s="955">
        <v>61562</v>
      </c>
      <c r="O58" s="501" t="s">
        <v>57</v>
      </c>
      <c r="P58" s="1306" t="s">
        <v>261</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260</v>
      </c>
      <c r="J59" s="52" t="s">
        <v>64</v>
      </c>
      <c r="K59" s="51">
        <v>45716</v>
      </c>
      <c r="L59" s="52" t="s">
        <v>57</v>
      </c>
      <c r="M59" s="426">
        <v>64727</v>
      </c>
      <c r="N59" s="550">
        <v>68203</v>
      </c>
      <c r="O59" s="52" t="s">
        <v>57</v>
      </c>
      <c r="P59" s="376" t="s">
        <v>261</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261</v>
      </c>
      <c r="J60" s="52" t="s">
        <v>64</v>
      </c>
      <c r="K60" s="51">
        <v>45728</v>
      </c>
      <c r="L60" s="52" t="s">
        <v>57</v>
      </c>
      <c r="M60" s="426">
        <v>88033.5</v>
      </c>
      <c r="N60" s="550">
        <v>88045.5</v>
      </c>
      <c r="O60" s="52" t="s">
        <v>57</v>
      </c>
      <c r="P60" s="52" t="s">
        <v>261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261</v>
      </c>
      <c r="J61" s="52" t="s">
        <v>64</v>
      </c>
      <c r="K61" s="51">
        <v>45728</v>
      </c>
      <c r="L61" s="52" t="s">
        <v>57</v>
      </c>
      <c r="M61" s="426">
        <v>82979.5</v>
      </c>
      <c r="N61" s="550">
        <v>78032</v>
      </c>
      <c r="O61" s="52" t="s">
        <v>57</v>
      </c>
      <c r="P61" s="376" t="s">
        <v>261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260</v>
      </c>
      <c r="J62" s="478" t="s">
        <v>64</v>
      </c>
      <c r="K62" s="476">
        <v>45728</v>
      </c>
      <c r="L62" s="478" t="s">
        <v>57</v>
      </c>
      <c r="M62" s="772">
        <v>60843.5</v>
      </c>
      <c r="N62" s="550">
        <v>59355.5</v>
      </c>
      <c r="O62" s="478" t="s">
        <v>57</v>
      </c>
      <c r="P62" s="780" t="s">
        <v>261</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261</v>
      </c>
      <c r="J63" s="52" t="s">
        <v>64</v>
      </c>
      <c r="K63" s="51">
        <v>45716</v>
      </c>
      <c r="L63" s="52" t="s">
        <v>57</v>
      </c>
      <c r="M63" s="426">
        <v>74446</v>
      </c>
      <c r="N63" s="564">
        <v>73894</v>
      </c>
      <c r="O63" s="52" t="s">
        <v>57</v>
      </c>
      <c r="P63" s="376" t="s">
        <v>261</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261</v>
      </c>
      <c r="J64" s="52" t="s">
        <v>64</v>
      </c>
      <c r="K64" s="608">
        <v>45716</v>
      </c>
      <c r="L64" s="52" t="s">
        <v>57</v>
      </c>
      <c r="M64" s="670">
        <v>84935.5</v>
      </c>
      <c r="N64" s="565">
        <v>81445</v>
      </c>
      <c r="O64" s="52" t="s">
        <v>57</v>
      </c>
      <c r="P64" s="376" t="s">
        <v>261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260</v>
      </c>
      <c r="J65" s="503" t="s">
        <v>64</v>
      </c>
      <c r="K65" s="510">
        <v>45714</v>
      </c>
      <c r="L65" s="503" t="s">
        <v>57</v>
      </c>
      <c r="M65" s="1420">
        <v>94170.5</v>
      </c>
      <c r="N65" s="1419">
        <v>90860.5</v>
      </c>
      <c r="O65" s="503" t="s">
        <v>57</v>
      </c>
      <c r="P65" s="1076" t="s">
        <v>261</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260</v>
      </c>
      <c r="J66" s="656" t="s">
        <v>64</v>
      </c>
      <c r="K66" s="654">
        <v>45692</v>
      </c>
      <c r="L66" s="656" t="s">
        <v>57</v>
      </c>
      <c r="M66" s="659">
        <v>90302</v>
      </c>
      <c r="N66" s="426">
        <v>98764.5</v>
      </c>
      <c r="O66" s="656" t="s">
        <v>57</v>
      </c>
      <c r="P66" s="376" t="s">
        <v>261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260</v>
      </c>
      <c r="J67" s="503" t="s">
        <v>64</v>
      </c>
      <c r="K67" s="510">
        <v>45695</v>
      </c>
      <c r="L67" s="503" t="s">
        <v>57</v>
      </c>
      <c r="M67" s="1416">
        <v>89698.5</v>
      </c>
      <c r="N67" s="550">
        <v>86876.5</v>
      </c>
      <c r="O67" s="503" t="s">
        <v>57</v>
      </c>
      <c r="P67" s="1076" t="s">
        <v>261</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260</v>
      </c>
      <c r="J68" s="380" t="s">
        <v>64</v>
      </c>
      <c r="K68" s="381">
        <v>45698</v>
      </c>
      <c r="L68" s="380" t="s">
        <v>57</v>
      </c>
      <c r="M68" s="636">
        <v>71361</v>
      </c>
      <c r="N68" s="550">
        <v>72125</v>
      </c>
      <c r="O68" s="380" t="s">
        <v>57</v>
      </c>
      <c r="P68" s="52" t="s">
        <v>261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260</v>
      </c>
      <c r="J69" s="823" t="s">
        <v>64</v>
      </c>
      <c r="K69" s="821">
        <v>45686</v>
      </c>
      <c r="L69" s="823" t="s">
        <v>57</v>
      </c>
      <c r="M69" s="1418">
        <v>61924</v>
      </c>
      <c r="N69" s="550">
        <v>61494</v>
      </c>
      <c r="O69" s="823" t="s">
        <v>57</v>
      </c>
      <c r="P69" s="780" t="s">
        <v>261</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260</v>
      </c>
      <c r="J70" s="380" t="s">
        <v>64</v>
      </c>
      <c r="K70" s="381">
        <v>45700</v>
      </c>
      <c r="L70" s="380" t="s">
        <v>57</v>
      </c>
      <c r="M70" s="636">
        <v>76139.5</v>
      </c>
      <c r="N70" s="564">
        <v>79581.5</v>
      </c>
      <c r="O70" s="380" t="s">
        <v>57</v>
      </c>
      <c r="P70" s="376" t="s">
        <v>261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260</v>
      </c>
      <c r="J71" s="380" t="s">
        <v>64</v>
      </c>
      <c r="K71" s="381">
        <v>45699</v>
      </c>
      <c r="L71" s="380" t="s">
        <v>57</v>
      </c>
      <c r="M71" s="636">
        <v>73583.5</v>
      </c>
      <c r="N71" s="550">
        <v>84066</v>
      </c>
      <c r="O71" s="764" t="s">
        <v>57</v>
      </c>
      <c r="P71" s="376" t="s">
        <v>261</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260</v>
      </c>
      <c r="J72" s="823" t="s">
        <v>64</v>
      </c>
      <c r="K72" s="821">
        <v>45698</v>
      </c>
      <c r="L72" s="823" t="s">
        <v>57</v>
      </c>
      <c r="M72" s="1418">
        <v>63402.5</v>
      </c>
      <c r="N72" s="550">
        <v>62670.5</v>
      </c>
      <c r="O72" s="823" t="s">
        <v>57</v>
      </c>
      <c r="P72" s="780" t="s">
        <v>261</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261</v>
      </c>
      <c r="L73" s="380" t="s">
        <v>57</v>
      </c>
      <c r="M73" s="636">
        <v>51958</v>
      </c>
      <c r="N73" s="550">
        <v>20330.259999999998</v>
      </c>
      <c r="O73" s="380" t="s">
        <v>57</v>
      </c>
      <c r="P73" s="52" t="s">
        <v>261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261</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261</v>
      </c>
      <c r="L75" s="656" t="s">
        <v>57</v>
      </c>
      <c r="M75" s="426">
        <v>82480.5</v>
      </c>
      <c r="N75" s="426">
        <v>77870.5</v>
      </c>
      <c r="O75" s="656" t="s">
        <v>57</v>
      </c>
      <c r="P75" s="376" t="s">
        <v>261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261</v>
      </c>
      <c r="L76" s="900" t="s">
        <v>57</v>
      </c>
      <c r="M76" s="429">
        <v>43130</v>
      </c>
      <c r="N76" s="426">
        <v>43560</v>
      </c>
      <c r="O76" s="663" t="s">
        <v>57</v>
      </c>
      <c r="P76" s="1035" t="s">
        <v>261</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261</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260</v>
      </c>
      <c r="J78" s="376" t="s">
        <v>64</v>
      </c>
      <c r="K78" s="51">
        <v>45741</v>
      </c>
      <c r="L78" s="376" t="s">
        <v>57</v>
      </c>
      <c r="M78" s="426">
        <v>74508.5</v>
      </c>
      <c r="N78" s="550">
        <v>75008.5</v>
      </c>
      <c r="O78" s="376" t="s">
        <v>57</v>
      </c>
      <c r="P78" s="376" t="s">
        <v>261</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260</v>
      </c>
      <c r="J79" s="52" t="s">
        <v>64</v>
      </c>
      <c r="K79" s="51">
        <v>45741</v>
      </c>
      <c r="L79" s="52" t="s">
        <v>57</v>
      </c>
      <c r="M79" s="426">
        <v>73070.5</v>
      </c>
      <c r="N79" s="550">
        <v>72678</v>
      </c>
      <c r="O79" s="52" t="s">
        <v>57</v>
      </c>
      <c r="P79" s="52" t="s">
        <v>261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260</v>
      </c>
      <c r="J80" s="899" t="s">
        <v>64</v>
      </c>
      <c r="K80" s="972">
        <v>45741</v>
      </c>
      <c r="L80" s="899" t="s">
        <v>57</v>
      </c>
      <c r="M80" s="426">
        <v>49071</v>
      </c>
      <c r="N80" s="426">
        <v>51376.61</v>
      </c>
      <c r="O80" s="376" t="s">
        <v>57</v>
      </c>
      <c r="P80" s="1035" t="s">
        <v>261</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261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261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260</v>
      </c>
      <c r="J83" s="376" t="s">
        <v>64</v>
      </c>
      <c r="K83" s="51">
        <v>45741</v>
      </c>
      <c r="L83" s="376" t="s">
        <v>57</v>
      </c>
      <c r="M83" s="426">
        <v>62104</v>
      </c>
      <c r="N83" s="565">
        <v>64186</v>
      </c>
      <c r="O83" s="376" t="s">
        <v>57</v>
      </c>
      <c r="P83" s="376" t="s">
        <v>261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260</v>
      </c>
      <c r="J84" s="376" t="s">
        <v>64</v>
      </c>
      <c r="K84" s="51">
        <v>45741</v>
      </c>
      <c r="L84" s="376" t="s">
        <v>57</v>
      </c>
      <c r="M84" s="426">
        <v>63756.5</v>
      </c>
      <c r="N84" s="565">
        <v>64902.5</v>
      </c>
      <c r="O84" s="376" t="s">
        <v>57</v>
      </c>
      <c r="P84" s="376" t="s">
        <v>261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260</v>
      </c>
      <c r="J85" s="52" t="s">
        <v>64</v>
      </c>
      <c r="K85" s="51">
        <v>45741</v>
      </c>
      <c r="L85" s="52" t="s">
        <v>57</v>
      </c>
      <c r="M85" s="426">
        <v>67840.5</v>
      </c>
      <c r="N85" s="550">
        <v>66607.5</v>
      </c>
      <c r="O85" s="52" t="s">
        <v>57</v>
      </c>
      <c r="P85" s="52" t="s">
        <v>261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260</v>
      </c>
      <c r="J86" s="52" t="s">
        <v>64</v>
      </c>
      <c r="K86" s="51">
        <v>45757</v>
      </c>
      <c r="L86" s="52" t="s">
        <v>57</v>
      </c>
      <c r="M86" s="426">
        <v>53906.75</v>
      </c>
      <c r="N86" s="550">
        <v>54578.5</v>
      </c>
      <c r="O86" s="52" t="s">
        <v>57</v>
      </c>
      <c r="P86" s="52" t="s">
        <v>261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260</v>
      </c>
      <c r="J87" s="376" t="s">
        <v>64</v>
      </c>
      <c r="K87" s="375">
        <v>45757</v>
      </c>
      <c r="L87" s="376" t="s">
        <v>57</v>
      </c>
      <c r="M87" s="429">
        <v>47432.5</v>
      </c>
      <c r="N87" s="550">
        <v>54385.09</v>
      </c>
      <c r="O87" s="376" t="s">
        <v>57</v>
      </c>
      <c r="P87" s="376" t="s">
        <v>261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261</v>
      </c>
      <c r="J88" s="52" t="s">
        <v>64</v>
      </c>
      <c r="K88" s="51">
        <v>45757</v>
      </c>
      <c r="L88" s="52" t="s">
        <v>57</v>
      </c>
      <c r="M88" s="426">
        <v>62383</v>
      </c>
      <c r="N88" s="550">
        <v>61939</v>
      </c>
      <c r="O88" s="52" t="s">
        <v>57</v>
      </c>
      <c r="P88" s="52" t="s">
        <v>261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261</v>
      </c>
      <c r="J89" s="376" t="s">
        <v>64</v>
      </c>
      <c r="K89" s="375">
        <v>45757</v>
      </c>
      <c r="L89" s="376" t="s">
        <v>57</v>
      </c>
      <c r="M89" s="429">
        <v>80443.5</v>
      </c>
      <c r="N89" s="550">
        <v>81941</v>
      </c>
      <c r="O89" s="376" t="s">
        <v>57</v>
      </c>
      <c r="P89" s="376" t="s">
        <v>261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260</v>
      </c>
      <c r="J90" s="376" t="s">
        <v>64</v>
      </c>
      <c r="K90" s="375">
        <v>45757</v>
      </c>
      <c r="L90" s="376" t="s">
        <v>57</v>
      </c>
      <c r="M90" s="429">
        <v>68736.5</v>
      </c>
      <c r="N90" s="550">
        <v>68249</v>
      </c>
      <c r="O90" s="376" t="s">
        <v>57</v>
      </c>
      <c r="P90" s="376" t="s">
        <v>261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260</v>
      </c>
      <c r="J91" s="376" t="s">
        <v>64</v>
      </c>
      <c r="K91" s="51">
        <v>45741</v>
      </c>
      <c r="L91" s="376" t="s">
        <v>57</v>
      </c>
      <c r="M91" s="426">
        <v>73491.5</v>
      </c>
      <c r="N91" s="564">
        <v>202651</v>
      </c>
      <c r="O91" s="376" t="s">
        <v>57</v>
      </c>
      <c r="P91" s="376" t="s">
        <v>261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260</v>
      </c>
      <c r="J92" s="376" t="s">
        <v>64</v>
      </c>
      <c r="K92" s="375">
        <v>45757</v>
      </c>
      <c r="L92" s="393" t="s">
        <v>57</v>
      </c>
      <c r="M92" s="429">
        <v>78331</v>
      </c>
      <c r="N92" s="426">
        <v>82072.25</v>
      </c>
      <c r="O92" s="376" t="s">
        <v>57</v>
      </c>
      <c r="P92" s="437" t="s">
        <v>261</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260</v>
      </c>
      <c r="J93" s="376" t="s">
        <v>64</v>
      </c>
      <c r="K93" s="51">
        <v>45741</v>
      </c>
      <c r="L93" s="376" t="s">
        <v>57</v>
      </c>
      <c r="M93" s="426">
        <v>74961</v>
      </c>
      <c r="N93" s="426">
        <v>77123</v>
      </c>
      <c r="O93" s="376" t="s">
        <v>57</v>
      </c>
      <c r="P93" s="376" t="s">
        <v>261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260</v>
      </c>
      <c r="J94" s="376" t="s">
        <v>64</v>
      </c>
      <c r="K94" s="51">
        <v>45741</v>
      </c>
      <c r="L94" s="376" t="s">
        <v>57</v>
      </c>
      <c r="M94" s="426">
        <v>70235</v>
      </c>
      <c r="N94" s="564">
        <v>134171.5</v>
      </c>
      <c r="O94" s="376" t="s">
        <v>57</v>
      </c>
      <c r="P94" s="376" t="s">
        <v>261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261</v>
      </c>
      <c r="L95" s="656" t="s">
        <v>57</v>
      </c>
      <c r="M95" s="426">
        <v>60625.5</v>
      </c>
      <c r="N95" s="550">
        <v>59084</v>
      </c>
      <c r="O95" s="656" t="s">
        <v>57</v>
      </c>
      <c r="P95" s="52" t="s">
        <v>261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260</v>
      </c>
      <c r="J96" s="52" t="s">
        <v>64</v>
      </c>
      <c r="K96" s="51">
        <v>45721</v>
      </c>
      <c r="L96" s="52" t="s">
        <v>57</v>
      </c>
      <c r="M96" s="587">
        <v>79507</v>
      </c>
      <c r="N96" s="550">
        <v>86709.5</v>
      </c>
      <c r="O96" s="52" t="s">
        <v>57</v>
      </c>
      <c r="P96" s="52" t="s">
        <v>261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261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260</v>
      </c>
      <c r="J98" s="52" t="s">
        <v>64</v>
      </c>
      <c r="K98" s="51">
        <v>45716</v>
      </c>
      <c r="L98" s="52" t="s">
        <v>57</v>
      </c>
      <c r="M98" s="426">
        <v>64609</v>
      </c>
      <c r="N98" s="564">
        <v>76965</v>
      </c>
      <c r="O98" s="52" t="s">
        <v>57</v>
      </c>
      <c r="P98" s="376" t="s">
        <v>261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260</v>
      </c>
      <c r="J99" s="52" t="s">
        <v>64</v>
      </c>
      <c r="K99" s="51">
        <v>45701</v>
      </c>
      <c r="L99" s="380" t="s">
        <v>57</v>
      </c>
      <c r="M99" s="426">
        <v>48609</v>
      </c>
      <c r="N99" s="550">
        <v>48682.5</v>
      </c>
      <c r="O99" s="764" t="s">
        <v>57</v>
      </c>
      <c r="P99" s="376" t="s">
        <v>261</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260</v>
      </c>
      <c r="J100" s="52" t="s">
        <v>64</v>
      </c>
      <c r="K100" s="51">
        <v>45698</v>
      </c>
      <c r="L100" s="656" t="s">
        <v>57</v>
      </c>
      <c r="M100" s="426">
        <v>52222</v>
      </c>
      <c r="N100" s="550">
        <v>51838</v>
      </c>
      <c r="O100" s="656" t="s">
        <v>57</v>
      </c>
      <c r="P100" s="52" t="s">
        <v>261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260</v>
      </c>
      <c r="J101" s="52" t="s">
        <v>64</v>
      </c>
      <c r="K101" s="51">
        <v>45698</v>
      </c>
      <c r="L101" s="1165" t="s">
        <v>57</v>
      </c>
      <c r="M101" s="426">
        <v>67892.5</v>
      </c>
      <c r="N101" s="426">
        <v>65771.429999999993</v>
      </c>
      <c r="O101" s="656" t="s">
        <v>57</v>
      </c>
      <c r="P101" s="354" t="s">
        <v>261</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261</v>
      </c>
      <c r="J102" s="52" t="s">
        <v>64</v>
      </c>
      <c r="K102" s="51">
        <v>45716</v>
      </c>
      <c r="L102" s="52" t="s">
        <v>57</v>
      </c>
      <c r="M102" s="587">
        <v>67463</v>
      </c>
      <c r="N102" s="550">
        <v>69992</v>
      </c>
      <c r="O102" s="52" t="s">
        <v>57</v>
      </c>
      <c r="P102" s="52" t="s">
        <v>261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261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260</v>
      </c>
      <c r="J104" s="770" t="s">
        <v>64</v>
      </c>
      <c r="K104" s="57">
        <v>45707</v>
      </c>
      <c r="L104" s="770" t="s">
        <v>57</v>
      </c>
      <c r="M104" s="426" t="s">
        <v>925</v>
      </c>
      <c r="N104" s="565">
        <v>67080</v>
      </c>
      <c r="O104" s="52" t="s">
        <v>57</v>
      </c>
      <c r="P104" s="1035" t="s">
        <v>261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260</v>
      </c>
      <c r="J105" s="786" t="s">
        <v>64</v>
      </c>
      <c r="K105" s="57">
        <v>45741</v>
      </c>
      <c r="L105" s="786" t="s">
        <v>57</v>
      </c>
      <c r="M105" s="426">
        <v>79069.5</v>
      </c>
      <c r="N105" s="564">
        <v>73300</v>
      </c>
      <c r="O105" s="376" t="s">
        <v>57</v>
      </c>
      <c r="P105" s="437" t="s">
        <v>261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260</v>
      </c>
      <c r="J106" s="786" t="s">
        <v>64</v>
      </c>
      <c r="K106" s="57">
        <v>45741</v>
      </c>
      <c r="L106" s="786" t="s">
        <v>57</v>
      </c>
      <c r="M106" s="426">
        <v>16398</v>
      </c>
      <c r="N106" s="550">
        <v>15664</v>
      </c>
      <c r="O106" s="376" t="s">
        <v>57</v>
      </c>
      <c r="P106" s="1028" t="s">
        <v>261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260</v>
      </c>
      <c r="J107" s="786" t="s">
        <v>64</v>
      </c>
      <c r="K107" s="495">
        <v>45741</v>
      </c>
      <c r="L107" s="501" t="s">
        <v>57</v>
      </c>
      <c r="M107" s="771">
        <v>75396.5</v>
      </c>
      <c r="N107" s="635">
        <v>75756.5</v>
      </c>
      <c r="O107" s="501" t="s">
        <v>57</v>
      </c>
      <c r="P107" s="1306" t="s">
        <v>261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260</v>
      </c>
      <c r="J108" s="478" t="s">
        <v>64</v>
      </c>
      <c r="K108" s="476">
        <v>45698</v>
      </c>
      <c r="L108" s="823" t="s">
        <v>57</v>
      </c>
      <c r="M108" s="772">
        <v>68216.5</v>
      </c>
      <c r="N108" s="635">
        <v>65624.5</v>
      </c>
      <c r="O108" s="823" t="s">
        <v>57</v>
      </c>
      <c r="P108" s="1022" t="s">
        <v>261</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261</v>
      </c>
      <c r="J109" s="770" t="s">
        <v>64</v>
      </c>
      <c r="K109" s="57">
        <v>45708</v>
      </c>
      <c r="L109" s="770" t="s">
        <v>57</v>
      </c>
      <c r="M109" s="635">
        <v>56854</v>
      </c>
      <c r="N109" s="802">
        <v>62254</v>
      </c>
      <c r="O109" s="770" t="s">
        <v>57</v>
      </c>
      <c r="P109" s="770" t="s">
        <v>261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261</v>
      </c>
      <c r="J110" s="76" t="s">
        <v>64</v>
      </c>
      <c r="K110" s="77">
        <v>45708</v>
      </c>
      <c r="L110" s="103" t="s">
        <v>57</v>
      </c>
      <c r="M110" s="806">
        <v>73639</v>
      </c>
      <c r="N110" s="1034">
        <v>73025</v>
      </c>
      <c r="O110" s="103" t="s">
        <v>57</v>
      </c>
      <c r="P110" s="105" t="s">
        <v>261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261</v>
      </c>
      <c r="J111" s="76" t="s">
        <v>64</v>
      </c>
      <c r="K111" s="77">
        <v>45698</v>
      </c>
      <c r="L111" s="103" t="s">
        <v>57</v>
      </c>
      <c r="M111" s="806">
        <v>54861</v>
      </c>
      <c r="N111" s="807">
        <v>55197</v>
      </c>
      <c r="O111" s="103" t="s">
        <v>57</v>
      </c>
      <c r="P111" s="76" t="s">
        <v>261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261</v>
      </c>
      <c r="J112" s="478" t="s">
        <v>64</v>
      </c>
      <c r="K112" s="476">
        <v>45699</v>
      </c>
      <c r="L112" s="483" t="s">
        <v>57</v>
      </c>
      <c r="M112" s="772">
        <v>72566</v>
      </c>
      <c r="N112" s="426">
        <v>83382</v>
      </c>
      <c r="O112" s="483" t="s">
        <v>57</v>
      </c>
      <c r="P112" s="780" t="s">
        <v>261</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260</v>
      </c>
      <c r="J113" s="770" t="s">
        <v>64</v>
      </c>
      <c r="K113" s="57">
        <v>45735</v>
      </c>
      <c r="L113" s="770" t="s">
        <v>57</v>
      </c>
      <c r="M113" s="635">
        <v>41285</v>
      </c>
      <c r="N113" s="802">
        <v>40484</v>
      </c>
      <c r="O113" s="770" t="s">
        <v>57</v>
      </c>
      <c r="P113" s="786" t="s">
        <v>261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261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261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261</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260</v>
      </c>
      <c r="J117" s="776" t="s">
        <v>64</v>
      </c>
      <c r="K117" s="885" t="s">
        <v>261</v>
      </c>
      <c r="L117" s="776" t="s">
        <v>57</v>
      </c>
      <c r="M117" s="883">
        <v>289634.75</v>
      </c>
      <c r="N117" s="802">
        <v>296306.83</v>
      </c>
      <c r="O117" s="884" t="s">
        <v>57</v>
      </c>
      <c r="P117" s="786" t="s">
        <v>261</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260</v>
      </c>
      <c r="J118" s="770" t="s">
        <v>64</v>
      </c>
      <c r="K118" s="476">
        <v>45741</v>
      </c>
      <c r="L118" s="469" t="s">
        <v>57</v>
      </c>
      <c r="M118" s="772">
        <v>47849</v>
      </c>
      <c r="N118" s="635">
        <v>51778</v>
      </c>
      <c r="O118" s="469" t="s">
        <v>57</v>
      </c>
      <c r="P118" s="780" t="s">
        <v>261</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260</v>
      </c>
      <c r="J119" s="770" t="s">
        <v>64</v>
      </c>
      <c r="K119" s="476" t="s">
        <v>52</v>
      </c>
      <c r="L119" s="823" t="s">
        <v>57</v>
      </c>
      <c r="M119" s="772">
        <v>1594</v>
      </c>
      <c r="N119" s="635">
        <v>1187.5</v>
      </c>
      <c r="O119" s="823" t="s">
        <v>57</v>
      </c>
      <c r="P119" s="780" t="s">
        <v>261</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284</v>
      </c>
      <c r="C120" s="51">
        <v>46045</v>
      </c>
      <c r="D120" s="654" t="s">
        <v>113</v>
      </c>
      <c r="E120" s="51"/>
      <c r="F120" s="50" t="s">
        <v>420</v>
      </c>
      <c r="G120" s="379"/>
      <c r="H120" s="1301">
        <v>80</v>
      </c>
      <c r="I120" s="656" t="s">
        <v>260</v>
      </c>
      <c r="J120" s="52" t="s">
        <v>64</v>
      </c>
      <c r="K120" s="51" t="s">
        <v>52</v>
      </c>
      <c r="L120" s="478" t="s">
        <v>57</v>
      </c>
      <c r="M120" s="1410">
        <v>170</v>
      </c>
      <c r="N120" s="426">
        <v>588.79999999999995</v>
      </c>
      <c r="O120" s="478" t="s">
        <v>57</v>
      </c>
      <c r="P120" s="1455" t="s">
        <v>261</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284</v>
      </c>
      <c r="C121" s="51">
        <v>46045</v>
      </c>
      <c r="D121" s="654" t="s">
        <v>113</v>
      </c>
      <c r="E121" s="51"/>
      <c r="F121" s="50" t="s">
        <v>420</v>
      </c>
      <c r="G121" s="379"/>
      <c r="H121" s="1301">
        <v>89</v>
      </c>
      <c r="I121" s="656" t="s">
        <v>260</v>
      </c>
      <c r="J121" s="52" t="s">
        <v>64</v>
      </c>
      <c r="K121" s="51" t="s">
        <v>52</v>
      </c>
      <c r="L121" s="52" t="s">
        <v>57</v>
      </c>
      <c r="M121" s="1432">
        <v>26696</v>
      </c>
      <c r="N121" s="426">
        <v>499.4</v>
      </c>
      <c r="O121" s="52" t="s">
        <v>57</v>
      </c>
      <c r="P121" s="376" t="s">
        <v>261</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284</v>
      </c>
      <c r="C122" s="467">
        <v>46045</v>
      </c>
      <c r="D122" s="638" t="s">
        <v>113</v>
      </c>
      <c r="E122" s="467"/>
      <c r="F122" s="766" t="s">
        <v>420</v>
      </c>
      <c r="G122" s="468"/>
      <c r="H122" s="1057">
        <v>62</v>
      </c>
      <c r="I122" s="823" t="s">
        <v>260</v>
      </c>
      <c r="J122" s="478" t="s">
        <v>64</v>
      </c>
      <c r="K122" s="476" t="s">
        <v>52</v>
      </c>
      <c r="L122" s="478" t="s">
        <v>57</v>
      </c>
      <c r="M122" s="1410">
        <v>170</v>
      </c>
      <c r="N122" s="426">
        <v>948</v>
      </c>
      <c r="O122" s="478" t="s">
        <v>57</v>
      </c>
      <c r="P122" s="1456" t="s">
        <v>261</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315</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260</v>
      </c>
      <c r="J129" s="52" t="s">
        <v>64</v>
      </c>
      <c r="K129" s="51">
        <v>45701</v>
      </c>
      <c r="L129" s="52" t="s">
        <v>57</v>
      </c>
      <c r="M129" s="426">
        <v>111163</v>
      </c>
      <c r="N129" s="731"/>
      <c r="O129" s="52" t="s">
        <v>57</v>
      </c>
      <c r="P129" s="582" t="s">
        <v>261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268</v>
      </c>
      <c r="E130" s="476">
        <v>45944</v>
      </c>
      <c r="F130" s="475" t="s">
        <v>232</v>
      </c>
      <c r="G130" s="819"/>
      <c r="H130" s="478">
        <v>0</v>
      </c>
      <c r="I130" s="823" t="s">
        <v>260</v>
      </c>
      <c r="J130" s="478" t="s">
        <v>64</v>
      </c>
      <c r="K130" s="476" t="s">
        <v>52</v>
      </c>
      <c r="L130" s="478" t="s">
        <v>57</v>
      </c>
      <c r="M130" s="541">
        <v>50539.6</v>
      </c>
      <c r="N130" s="731"/>
      <c r="O130" s="478" t="s">
        <v>57</v>
      </c>
      <c r="P130" s="744" t="s">
        <v>261</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260</v>
      </c>
      <c r="J131" s="376" t="s">
        <v>56</v>
      </c>
      <c r="K131" s="375">
        <v>45874</v>
      </c>
      <c r="L131" s="376" t="s">
        <v>57</v>
      </c>
      <c r="M131" s="429">
        <v>11894.25</v>
      </c>
      <c r="N131" s="96"/>
      <c r="O131" s="376" t="s">
        <v>57</v>
      </c>
      <c r="P131" s="583" t="s">
        <v>261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260</v>
      </c>
      <c r="J132" s="469" t="s">
        <v>64</v>
      </c>
      <c r="K132" s="467">
        <v>45786</v>
      </c>
      <c r="L132" s="469" t="s">
        <v>57</v>
      </c>
      <c r="M132" s="986">
        <v>133172.15</v>
      </c>
      <c r="N132" s="731"/>
      <c r="O132" s="469" t="s">
        <v>57</v>
      </c>
      <c r="P132" s="744" t="s">
        <v>261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260</v>
      </c>
      <c r="J133" s="52" t="s">
        <v>64</v>
      </c>
      <c r="K133" s="51">
        <v>45918</v>
      </c>
      <c r="L133" s="376" t="s">
        <v>57</v>
      </c>
      <c r="M133" s="429">
        <v>10840.25</v>
      </c>
      <c r="N133" s="731"/>
      <c r="O133" s="376" t="s">
        <v>57</v>
      </c>
      <c r="P133" s="735" t="s">
        <v>261</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260</v>
      </c>
      <c r="J134" s="52" t="s">
        <v>64</v>
      </c>
      <c r="K134" s="375">
        <v>45853</v>
      </c>
      <c r="L134" s="380" t="s">
        <v>57</v>
      </c>
      <c r="M134" s="429">
        <v>60849.9</v>
      </c>
      <c r="N134" s="96"/>
      <c r="O134" s="380" t="s">
        <v>57</v>
      </c>
      <c r="P134" s="735" t="s">
        <v>261</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260</v>
      </c>
      <c r="J135" s="469" t="s">
        <v>64</v>
      </c>
      <c r="K135" s="467">
        <v>45793</v>
      </c>
      <c r="L135" s="469" t="s">
        <v>57</v>
      </c>
      <c r="M135" s="986">
        <v>53589.8</v>
      </c>
      <c r="N135" s="96"/>
      <c r="O135" s="469" t="s">
        <v>57</v>
      </c>
      <c r="P135" s="744" t="s">
        <v>261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260</v>
      </c>
      <c r="J136" s="52" t="s">
        <v>64</v>
      </c>
      <c r="K136" s="375">
        <v>45884</v>
      </c>
      <c r="L136" s="376" t="s">
        <v>57</v>
      </c>
      <c r="M136" s="429">
        <v>67441</v>
      </c>
      <c r="N136" s="96"/>
      <c r="O136" s="376" t="s">
        <v>57</v>
      </c>
      <c r="P136" s="735" t="s">
        <v>261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260</v>
      </c>
      <c r="J137" s="376" t="s">
        <v>64</v>
      </c>
      <c r="K137" s="375">
        <v>45797</v>
      </c>
      <c r="L137" s="376" t="s">
        <v>57</v>
      </c>
      <c r="M137" s="429">
        <v>43097.65</v>
      </c>
      <c r="N137" s="731"/>
      <c r="O137" s="376" t="s">
        <v>57</v>
      </c>
      <c r="P137" s="735" t="s">
        <v>261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260</v>
      </c>
      <c r="J138" s="478" t="s">
        <v>64</v>
      </c>
      <c r="K138" s="467">
        <v>45880</v>
      </c>
      <c r="L138" s="469" t="s">
        <v>57</v>
      </c>
      <c r="M138" s="986">
        <v>56807.95</v>
      </c>
      <c r="N138" s="731"/>
      <c r="O138" s="469" t="s">
        <v>57</v>
      </c>
      <c r="P138" s="744" t="s">
        <v>261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260</v>
      </c>
      <c r="J139" s="376" t="s">
        <v>64</v>
      </c>
      <c r="K139" s="375">
        <v>45882</v>
      </c>
      <c r="L139" s="376" t="s">
        <v>57</v>
      </c>
      <c r="M139" s="429">
        <v>59869.5</v>
      </c>
      <c r="N139" s="731"/>
      <c r="O139" s="376" t="s">
        <v>57</v>
      </c>
      <c r="P139" s="583" t="s">
        <v>261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260</v>
      </c>
      <c r="J140" s="376" t="s">
        <v>64</v>
      </c>
      <c r="K140" s="375">
        <v>45897</v>
      </c>
      <c r="L140" s="376" t="s">
        <v>57</v>
      </c>
      <c r="M140" s="429">
        <v>50874.95</v>
      </c>
      <c r="N140" s="731"/>
      <c r="O140" s="376" t="s">
        <v>57</v>
      </c>
      <c r="P140" s="591" t="s">
        <v>261</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260</v>
      </c>
      <c r="J141" s="376" t="s">
        <v>64</v>
      </c>
      <c r="K141" s="375">
        <v>45903</v>
      </c>
      <c r="L141" s="376" t="s">
        <v>57</v>
      </c>
      <c r="M141" s="429">
        <v>27186</v>
      </c>
      <c r="N141" s="731"/>
      <c r="O141" s="376" t="s">
        <v>57</v>
      </c>
      <c r="P141" s="735" t="s">
        <v>261</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260</v>
      </c>
      <c r="J142" s="52" t="s">
        <v>64</v>
      </c>
      <c r="K142" s="375">
        <v>45887</v>
      </c>
      <c r="L142" s="376" t="s">
        <v>57</v>
      </c>
      <c r="M142" s="429">
        <v>69889</v>
      </c>
      <c r="N142" s="96"/>
      <c r="O142" s="376" t="s">
        <v>57</v>
      </c>
      <c r="P142" s="583" t="s">
        <v>261</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260</v>
      </c>
      <c r="J143" s="52" t="s">
        <v>64</v>
      </c>
      <c r="K143" s="375">
        <v>45887</v>
      </c>
      <c r="L143" s="376" t="s">
        <v>57</v>
      </c>
      <c r="M143" s="429">
        <v>52110</v>
      </c>
      <c r="N143" s="731"/>
      <c r="O143" s="376" t="s">
        <v>57</v>
      </c>
      <c r="P143" s="583" t="s">
        <v>261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260</v>
      </c>
      <c r="J144" s="52" t="s">
        <v>64</v>
      </c>
      <c r="K144" s="375">
        <v>45897</v>
      </c>
      <c r="L144" s="376" t="s">
        <v>57</v>
      </c>
      <c r="M144" s="429">
        <v>52204</v>
      </c>
      <c r="N144" s="731"/>
      <c r="O144" s="376" t="s">
        <v>57</v>
      </c>
      <c r="P144" s="735" t="s">
        <v>261</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260</v>
      </c>
      <c r="J145" s="1177" t="s">
        <v>64</v>
      </c>
      <c r="K145" s="1175">
        <v>46006</v>
      </c>
      <c r="L145" s="1177" t="s">
        <v>57</v>
      </c>
      <c r="M145" s="1461">
        <v>20891</v>
      </c>
      <c r="N145" s="731"/>
      <c r="O145" s="1177" t="s">
        <v>57</v>
      </c>
      <c r="P145" s="1462" t="s">
        <v>261</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260</v>
      </c>
      <c r="J146" s="52" t="s">
        <v>64</v>
      </c>
      <c r="K146" s="375">
        <v>45912</v>
      </c>
      <c r="L146" s="376" t="s">
        <v>57</v>
      </c>
      <c r="M146" s="429">
        <v>47676</v>
      </c>
      <c r="N146" s="731"/>
      <c r="O146" s="376" t="s">
        <v>57</v>
      </c>
      <c r="P146" s="735" t="s">
        <v>261</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260</v>
      </c>
      <c r="J147" s="52" t="s">
        <v>64</v>
      </c>
      <c r="K147" s="375">
        <v>45933</v>
      </c>
      <c r="L147" s="376" t="s">
        <v>57</v>
      </c>
      <c r="M147" s="429">
        <v>44697.599999999999</v>
      </c>
      <c r="N147" s="731"/>
      <c r="O147" s="376" t="s">
        <v>57</v>
      </c>
      <c r="P147" s="735" t="s">
        <v>261</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260</v>
      </c>
      <c r="J148" s="52" t="s">
        <v>64</v>
      </c>
      <c r="K148" s="375">
        <v>45933</v>
      </c>
      <c r="L148" s="376" t="s">
        <v>57</v>
      </c>
      <c r="M148" s="429">
        <v>58864</v>
      </c>
      <c r="N148" s="731"/>
      <c r="O148" s="376" t="s">
        <v>57</v>
      </c>
      <c r="P148" s="735" t="s">
        <v>261</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260</v>
      </c>
      <c r="J149" s="1177" t="s">
        <v>64</v>
      </c>
      <c r="K149" s="1175">
        <v>46027</v>
      </c>
      <c r="L149" s="1177" t="s">
        <v>57</v>
      </c>
      <c r="M149" s="1461">
        <v>38323.550000000003</v>
      </c>
      <c r="N149" s="731"/>
      <c r="O149" s="1177" t="s">
        <v>57</v>
      </c>
      <c r="P149" s="1462" t="s">
        <v>261</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260</v>
      </c>
      <c r="J150" s="1177" t="s">
        <v>64</v>
      </c>
      <c r="K150" s="1175">
        <v>46027</v>
      </c>
      <c r="L150" s="1177" t="s">
        <v>57</v>
      </c>
      <c r="M150" s="1461">
        <v>63322.45</v>
      </c>
      <c r="N150" s="731"/>
      <c r="O150" s="1177" t="s">
        <v>57</v>
      </c>
      <c r="P150" s="1462" t="s">
        <v>261</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260</v>
      </c>
      <c r="J151" s="52" t="s">
        <v>64</v>
      </c>
      <c r="K151" s="375">
        <v>45902</v>
      </c>
      <c r="L151" s="376" t="s">
        <v>57</v>
      </c>
      <c r="M151" s="429">
        <v>12695</v>
      </c>
      <c r="N151" s="731"/>
      <c r="O151" s="376" t="s">
        <v>57</v>
      </c>
      <c r="P151" s="735" t="s">
        <v>261</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260</v>
      </c>
      <c r="J152" s="947" t="s">
        <v>64</v>
      </c>
      <c r="K152" s="1156">
        <v>45821</v>
      </c>
      <c r="L152" s="1018" t="s">
        <v>57</v>
      </c>
      <c r="M152" s="949">
        <v>23436.55</v>
      </c>
      <c r="N152" s="731"/>
      <c r="O152" s="1018" t="s">
        <v>57</v>
      </c>
      <c r="P152" s="762" t="s">
        <v>261</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260</v>
      </c>
      <c r="J153" s="947" t="s">
        <v>64</v>
      </c>
      <c r="K153" s="930">
        <v>45876</v>
      </c>
      <c r="L153" s="947" t="s">
        <v>57</v>
      </c>
      <c r="M153" s="949">
        <v>1462.85</v>
      </c>
      <c r="N153" s="96"/>
      <c r="O153" s="947" t="s">
        <v>57</v>
      </c>
      <c r="P153" s="762" t="s">
        <v>261</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260</v>
      </c>
      <c r="J154" s="786" t="s">
        <v>64</v>
      </c>
      <c r="K154" s="375">
        <v>45882</v>
      </c>
      <c r="L154" s="376" t="s">
        <v>57</v>
      </c>
      <c r="M154" s="429">
        <v>13056.5</v>
      </c>
      <c r="N154" s="779"/>
      <c r="O154" s="376" t="s">
        <v>57</v>
      </c>
      <c r="P154" s="583" t="s">
        <v>261</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260</v>
      </c>
      <c r="J155" s="786" t="s">
        <v>64</v>
      </c>
      <c r="K155" s="467">
        <v>45853</v>
      </c>
      <c r="L155" s="469" t="s">
        <v>57</v>
      </c>
      <c r="M155" s="986">
        <v>68216.5</v>
      </c>
      <c r="N155" s="773"/>
      <c r="O155" s="469" t="s">
        <v>57</v>
      </c>
      <c r="P155" s="744" t="s">
        <v>261</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260</v>
      </c>
      <c r="J156" s="52" t="s">
        <v>64</v>
      </c>
      <c r="K156" s="375">
        <v>45936</v>
      </c>
      <c r="L156" s="376" t="s">
        <v>57</v>
      </c>
      <c r="M156" s="429">
        <v>4235.8</v>
      </c>
      <c r="N156" s="731"/>
      <c r="O156" s="376" t="s">
        <v>57</v>
      </c>
      <c r="P156" s="583" t="s">
        <v>261</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260</v>
      </c>
      <c r="J157" s="469" t="s">
        <v>56</v>
      </c>
      <c r="K157" s="467">
        <v>45937</v>
      </c>
      <c r="L157" s="469" t="s">
        <v>57</v>
      </c>
      <c r="M157" s="986">
        <v>210533.1</v>
      </c>
      <c r="N157" s="731"/>
      <c r="O157" s="469" t="s">
        <v>57</v>
      </c>
      <c r="P157" s="744" t="s">
        <v>261</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260</v>
      </c>
      <c r="J158" s="770" t="s">
        <v>56</v>
      </c>
      <c r="K158" s="467">
        <v>45876</v>
      </c>
      <c r="L158" s="469" t="s">
        <v>57</v>
      </c>
      <c r="M158" s="986">
        <v>124980</v>
      </c>
      <c r="N158" s="779"/>
      <c r="O158" s="469" t="s">
        <v>57</v>
      </c>
      <c r="P158" s="744" t="s">
        <v>261</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260</v>
      </c>
      <c r="J159" s="770" t="s">
        <v>64</v>
      </c>
      <c r="K159" s="502">
        <v>45716</v>
      </c>
      <c r="L159" s="116" t="s">
        <v>57</v>
      </c>
      <c r="M159" s="771">
        <v>45321.5</v>
      </c>
      <c r="N159" s="779"/>
      <c r="O159" s="116" t="s">
        <v>57</v>
      </c>
      <c r="P159" s="761" t="s">
        <v>261</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260</v>
      </c>
      <c r="J160" s="786" t="s">
        <v>64</v>
      </c>
      <c r="K160" s="1008">
        <v>45741</v>
      </c>
      <c r="L160" s="851" t="s">
        <v>57</v>
      </c>
      <c r="M160" s="1009">
        <v>41813</v>
      </c>
      <c r="N160" s="779"/>
      <c r="O160" s="851" t="s">
        <v>57</v>
      </c>
      <c r="P160" s="1001" t="s">
        <v>261</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260</v>
      </c>
      <c r="J161" s="770" t="s">
        <v>64</v>
      </c>
      <c r="K161" s="495">
        <v>45698</v>
      </c>
      <c r="L161" s="503" t="s">
        <v>57</v>
      </c>
      <c r="M161" s="771">
        <v>71979</v>
      </c>
      <c r="N161" s="773"/>
      <c r="O161" s="503" t="s">
        <v>57</v>
      </c>
      <c r="P161" s="778" t="s">
        <v>261</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261</v>
      </c>
      <c r="J162" s="478" t="s">
        <v>64</v>
      </c>
      <c r="K162" s="476">
        <v>45712</v>
      </c>
      <c r="L162" s="478" t="s">
        <v>57</v>
      </c>
      <c r="M162" s="772">
        <v>14262</v>
      </c>
      <c r="N162" s="731"/>
      <c r="O162" s="478" t="s">
        <v>57</v>
      </c>
      <c r="P162" s="744" t="s">
        <v>261</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260</v>
      </c>
      <c r="J163" s="770" t="s">
        <v>64</v>
      </c>
      <c r="K163" s="476">
        <v>45714</v>
      </c>
      <c r="L163" s="478" t="s">
        <v>57</v>
      </c>
      <c r="M163" s="772">
        <v>93462.85</v>
      </c>
      <c r="N163" s="773"/>
      <c r="O163" s="478" t="s">
        <v>57</v>
      </c>
      <c r="P163" s="744" t="s">
        <v>261</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260</v>
      </c>
      <c r="J164" s="770" t="s">
        <v>64</v>
      </c>
      <c r="K164" s="475" t="s">
        <v>52</v>
      </c>
      <c r="L164" s="469" t="s">
        <v>57</v>
      </c>
      <c r="M164" s="986">
        <v>4397.6499999999996</v>
      </c>
      <c r="N164" s="773"/>
      <c r="O164" s="469" t="s">
        <v>57</v>
      </c>
      <c r="P164" s="744" t="s">
        <v>261</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284</v>
      </c>
      <c r="C165" s="57">
        <v>46045</v>
      </c>
      <c r="D165" s="787" t="s">
        <v>113</v>
      </c>
      <c r="E165" s="57"/>
      <c r="F165" s="766" t="s">
        <v>420</v>
      </c>
      <c r="G165" s="769"/>
      <c r="H165" s="1303">
        <v>85</v>
      </c>
      <c r="I165" s="785" t="s">
        <v>260</v>
      </c>
      <c r="J165" s="770" t="s">
        <v>64</v>
      </c>
      <c r="K165" s="476" t="s">
        <v>52</v>
      </c>
      <c r="L165" s="478" t="s">
        <v>57</v>
      </c>
      <c r="M165" s="1410">
        <v>29180.45</v>
      </c>
      <c r="N165" s="773"/>
      <c r="O165" s="478" t="s">
        <v>57</v>
      </c>
      <c r="P165" s="744" t="s">
        <v>261</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284</v>
      </c>
      <c r="C166" s="375">
        <v>46045</v>
      </c>
      <c r="D166" s="962" t="s">
        <v>113</v>
      </c>
      <c r="E166" s="375"/>
      <c r="F166" s="766" t="s">
        <v>420</v>
      </c>
      <c r="G166" s="633"/>
      <c r="H166" s="1049">
        <v>80</v>
      </c>
      <c r="I166" s="963" t="s">
        <v>260</v>
      </c>
      <c r="J166" s="964" t="s">
        <v>64</v>
      </c>
      <c r="K166" s="476" t="s">
        <v>52</v>
      </c>
      <c r="L166" s="964" t="s">
        <v>57</v>
      </c>
      <c r="M166" s="1411">
        <v>25891</v>
      </c>
      <c r="N166" s="731"/>
      <c r="O166" s="52" t="s">
        <v>57</v>
      </c>
      <c r="P166" s="1412" t="s">
        <v>261</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284</v>
      </c>
      <c r="C167" s="57">
        <v>46045</v>
      </c>
      <c r="D167" s="787" t="s">
        <v>113</v>
      </c>
      <c r="E167" s="57"/>
      <c r="F167" s="766" t="s">
        <v>420</v>
      </c>
      <c r="G167" s="769"/>
      <c r="H167" s="1303">
        <v>83</v>
      </c>
      <c r="I167" s="785" t="s">
        <v>260</v>
      </c>
      <c r="J167" s="770" t="s">
        <v>64</v>
      </c>
      <c r="K167" s="476" t="s">
        <v>52</v>
      </c>
      <c r="L167" s="964" t="s">
        <v>57</v>
      </c>
      <c r="M167" s="1411">
        <v>170</v>
      </c>
      <c r="N167" s="773"/>
      <c r="O167" s="52" t="s">
        <v>57</v>
      </c>
      <c r="P167" s="1412" t="s">
        <v>261</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284</v>
      </c>
      <c r="C168" s="57">
        <v>46045</v>
      </c>
      <c r="D168" s="787" t="s">
        <v>113</v>
      </c>
      <c r="E168" s="57"/>
      <c r="F168" s="766" t="s">
        <v>420</v>
      </c>
      <c r="G168" s="769"/>
      <c r="H168" s="1303">
        <v>85</v>
      </c>
      <c r="I168" s="785" t="s">
        <v>260</v>
      </c>
      <c r="J168" s="770" t="s">
        <v>64</v>
      </c>
      <c r="K168" s="476" t="s">
        <v>52</v>
      </c>
      <c r="L168" s="964" t="s">
        <v>57</v>
      </c>
      <c r="M168" s="1411">
        <v>30788</v>
      </c>
      <c r="N168" s="773"/>
      <c r="O168" s="52" t="s">
        <v>57</v>
      </c>
      <c r="P168" s="1412" t="s">
        <v>261</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315</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260</v>
      </c>
      <c r="J174" s="478" t="s">
        <v>56</v>
      </c>
      <c r="K174" s="838"/>
      <c r="L174" s="467">
        <v>45716</v>
      </c>
      <c r="M174" s="478" t="s">
        <v>57</v>
      </c>
      <c r="N174" s="540">
        <v>2075.6999999999998</v>
      </c>
      <c r="O174" s="478" t="s">
        <v>57</v>
      </c>
      <c r="P174" s="909" t="s">
        <v>261</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260</v>
      </c>
      <c r="J175" s="478" t="s">
        <v>56</v>
      </c>
      <c r="K175" s="486"/>
      <c r="L175" s="467">
        <v>45716</v>
      </c>
      <c r="M175" s="478" t="s">
        <v>57</v>
      </c>
      <c r="N175" s="541">
        <v>2947.5</v>
      </c>
      <c r="O175" s="478" t="s">
        <v>57</v>
      </c>
      <c r="P175" s="910" t="s">
        <v>261</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260</v>
      </c>
      <c r="J176" s="478" t="s">
        <v>56</v>
      </c>
      <c r="K176" s="486"/>
      <c r="L176" s="467">
        <v>45716</v>
      </c>
      <c r="M176" s="478" t="s">
        <v>57</v>
      </c>
      <c r="N176" s="541">
        <v>2908.95</v>
      </c>
      <c r="O176" s="478" t="s">
        <v>57</v>
      </c>
      <c r="P176" s="910" t="s">
        <v>261</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261</v>
      </c>
      <c r="J177" s="478" t="s">
        <v>56</v>
      </c>
      <c r="K177" s="478"/>
      <c r="L177" s="824">
        <v>45716</v>
      </c>
      <c r="M177" s="478" t="s">
        <v>57</v>
      </c>
      <c r="N177" s="541">
        <v>1134</v>
      </c>
      <c r="O177" s="478" t="s">
        <v>57</v>
      </c>
      <c r="P177" s="911" t="s">
        <v>261</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261</v>
      </c>
      <c r="J178" s="478" t="s">
        <v>56</v>
      </c>
      <c r="K178" s="486"/>
      <c r="L178" s="467">
        <v>45716</v>
      </c>
      <c r="M178" s="478" t="s">
        <v>57</v>
      </c>
      <c r="N178" s="541">
        <v>870</v>
      </c>
      <c r="O178" s="478" t="s">
        <v>57</v>
      </c>
      <c r="P178" s="911" t="s">
        <v>261</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260</v>
      </c>
      <c r="J179" s="478" t="s">
        <v>64</v>
      </c>
      <c r="K179" s="478"/>
      <c r="L179" s="824">
        <v>45716</v>
      </c>
      <c r="M179" s="823" t="s">
        <v>57</v>
      </c>
      <c r="N179" s="541">
        <v>2025.6</v>
      </c>
      <c r="O179" s="823" t="s">
        <v>57</v>
      </c>
      <c r="P179" s="911" t="s">
        <v>261</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261</v>
      </c>
      <c r="J180" s="478" t="s">
        <v>56</v>
      </c>
      <c r="K180" s="478"/>
      <c r="L180" s="476">
        <v>45715</v>
      </c>
      <c r="M180" s="478" t="s">
        <v>57</v>
      </c>
      <c r="N180" s="541">
        <v>3801.75</v>
      </c>
      <c r="O180" s="478" t="s">
        <v>57</v>
      </c>
      <c r="P180" s="911" t="s">
        <v>261</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261</v>
      </c>
      <c r="J183" s="899" t="s">
        <v>56</v>
      </c>
      <c r="K183" s="896"/>
      <c r="L183" s="901" t="s">
        <v>56</v>
      </c>
      <c r="M183" s="899" t="s">
        <v>80</v>
      </c>
      <c r="N183" s="902">
        <v>0</v>
      </c>
      <c r="O183" s="899" t="s">
        <v>80</v>
      </c>
      <c r="P183" s="903" t="s">
        <v>261</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261</v>
      </c>
      <c r="J184" s="851" t="s">
        <v>56</v>
      </c>
      <c r="K184" s="856"/>
      <c r="L184" s="858" t="s">
        <v>56</v>
      </c>
      <c r="M184" s="851" t="s">
        <v>80</v>
      </c>
      <c r="N184" s="852">
        <v>0</v>
      </c>
      <c r="O184" s="851" t="s">
        <v>80</v>
      </c>
      <c r="P184" s="853" t="s">
        <v>261</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230</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230</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230</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316</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316</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230</v>
      </c>
      <c r="D767">
        <v>362</v>
      </c>
      <c r="E767">
        <v>399</v>
      </c>
      <c r="G767">
        <v>761</v>
      </c>
    </row>
    <row r="768" spans="1:7">
      <c r="A768" t="s">
        <v>1012</v>
      </c>
    </row>
    <row r="769" spans="1:7">
      <c r="A769" t="s">
        <v>1002</v>
      </c>
    </row>
    <row r="770" spans="1:7">
      <c r="A770" t="s">
        <v>343</v>
      </c>
      <c r="C770">
        <v>120</v>
      </c>
      <c r="D770">
        <v>190</v>
      </c>
      <c r="G770">
        <v>310</v>
      </c>
    </row>
    <row r="771" spans="1:7">
      <c r="A771" t="s">
        <v>316</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316</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316</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319</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230</v>
      </c>
      <c r="E838">
        <v>170</v>
      </c>
      <c r="G838">
        <v>170</v>
      </c>
    </row>
    <row r="839" spans="1:7">
      <c r="A839" t="s">
        <v>316</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322</v>
      </c>
      <c r="B847">
        <v>60</v>
      </c>
      <c r="C847">
        <v>219</v>
      </c>
      <c r="G847">
        <v>279</v>
      </c>
    </row>
    <row r="848" spans="1:7">
      <c r="A848" t="s">
        <v>1039</v>
      </c>
      <c r="D848">
        <v>240</v>
      </c>
      <c r="G848">
        <v>240</v>
      </c>
    </row>
    <row r="849" spans="1:7">
      <c r="A849" t="s">
        <v>1153</v>
      </c>
      <c r="C849">
        <v>1603</v>
      </c>
      <c r="D849">
        <v>791</v>
      </c>
      <c r="E849">
        <v>2803</v>
      </c>
      <c r="G849">
        <v>5197</v>
      </c>
    </row>
    <row r="850" spans="1:7">
      <c r="A850" t="s">
        <v>330</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330</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230</v>
      </c>
    </row>
    <row r="885" spans="1:7">
      <c r="A885" t="s">
        <v>316</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330</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325</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316</v>
      </c>
    </row>
    <row r="911" spans="1:7">
      <c r="A911" t="s">
        <v>346</v>
      </c>
      <c r="F911">
        <v>569</v>
      </c>
      <c r="G911">
        <v>569</v>
      </c>
    </row>
    <row r="912" spans="1:7">
      <c r="A912" t="s">
        <v>643</v>
      </c>
    </row>
    <row r="913" spans="1:7">
      <c r="A913" t="s">
        <v>322</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325</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319</v>
      </c>
    </row>
    <row r="940" spans="1:7">
      <c r="A940" t="s">
        <v>643</v>
      </c>
      <c r="B940">
        <v>560</v>
      </c>
      <c r="G940">
        <v>560</v>
      </c>
    </row>
    <row r="941" spans="1:7">
      <c r="A941" t="s">
        <v>336</v>
      </c>
    </row>
    <row r="942" spans="1:7">
      <c r="A942" t="s">
        <v>588</v>
      </c>
      <c r="B942">
        <v>138</v>
      </c>
      <c r="G942">
        <v>138</v>
      </c>
    </row>
    <row r="943" spans="1:7">
      <c r="A943" t="s">
        <v>334</v>
      </c>
    </row>
    <row r="944" spans="1:7">
      <c r="A944" t="s">
        <v>325</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327</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230</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327</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319</v>
      </c>
    </row>
    <row r="1008" spans="1:7">
      <c r="A1008" t="s">
        <v>977</v>
      </c>
    </row>
    <row r="1009" spans="1:7">
      <c r="A1009" t="s">
        <v>334</v>
      </c>
    </row>
    <row r="1010" spans="1:7">
      <c r="A1010" t="s">
        <v>325</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327</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263</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263</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283</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263</v>
      </c>
      <c r="B1147">
        <v>154</v>
      </c>
      <c r="G1147">
        <v>154</v>
      </c>
    </row>
    <row r="1148" spans="1:7">
      <c r="A1148" t="s">
        <v>568</v>
      </c>
      <c r="B1148">
        <v>342</v>
      </c>
      <c r="G1148">
        <v>342</v>
      </c>
    </row>
    <row r="1149" spans="1:7">
      <c r="A1149" t="s">
        <v>467</v>
      </c>
    </row>
    <row r="1150" spans="1:7">
      <c r="A1150" t="s">
        <v>283</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263</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287</v>
      </c>
      <c r="E1195">
        <v>2367</v>
      </c>
      <c r="F1195">
        <v>447</v>
      </c>
      <c r="G1195">
        <v>2814</v>
      </c>
    </row>
    <row r="1196" spans="1:7">
      <c r="A1196" t="s">
        <v>247</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230</v>
      </c>
      <c r="D1206">
        <v>1200</v>
      </c>
      <c r="E1206">
        <v>445</v>
      </c>
      <c r="F1206">
        <v>686</v>
      </c>
      <c r="G1206">
        <v>2331</v>
      </c>
    </row>
    <row r="1207" spans="1:7">
      <c r="A1207" t="s">
        <v>538</v>
      </c>
    </row>
    <row r="1208" spans="1:7">
      <c r="A1208" t="s">
        <v>319</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287</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290</v>
      </c>
      <c r="C1224">
        <v>822</v>
      </c>
      <c r="D1224">
        <v>2611</v>
      </c>
      <c r="G1224">
        <v>3433</v>
      </c>
    </row>
    <row r="1225" spans="1:7">
      <c r="A1225" t="s">
        <v>293</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259</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230</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287</v>
      </c>
      <c r="E1243">
        <v>1940</v>
      </c>
      <c r="G1243">
        <v>1940</v>
      </c>
    </row>
    <row r="1244" spans="1:7">
      <c r="A1244" t="s">
        <v>509</v>
      </c>
      <c r="C1244">
        <v>183</v>
      </c>
      <c r="D1244">
        <v>182</v>
      </c>
      <c r="E1244">
        <v>186</v>
      </c>
      <c r="G1244">
        <v>551</v>
      </c>
    </row>
    <row r="1245" spans="1:7">
      <c r="A1245" t="s">
        <v>405</v>
      </c>
      <c r="E1245">
        <v>1776</v>
      </c>
      <c r="G1245">
        <v>1776</v>
      </c>
    </row>
    <row r="1246" spans="1:7">
      <c r="A1246" t="s">
        <v>293</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267</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275</v>
      </c>
      <c r="D1256">
        <v>2000</v>
      </c>
      <c r="E1256">
        <v>970</v>
      </c>
      <c r="G1256">
        <v>2970</v>
      </c>
    </row>
    <row r="1257" spans="1:7">
      <c r="A1257" t="s">
        <v>331</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230</v>
      </c>
      <c r="C1263">
        <v>511</v>
      </c>
      <c r="D1263">
        <v>324</v>
      </c>
      <c r="E1263">
        <v>838</v>
      </c>
      <c r="F1263">
        <v>481</v>
      </c>
      <c r="G1263">
        <v>2154</v>
      </c>
    </row>
    <row r="1264" spans="1:7">
      <c r="A1264" t="s">
        <v>1143</v>
      </c>
      <c r="C1264">
        <v>343</v>
      </c>
      <c r="D1264">
        <v>62</v>
      </c>
      <c r="E1264">
        <v>329</v>
      </c>
      <c r="G1264">
        <v>734</v>
      </c>
    </row>
    <row r="1265" spans="1:7">
      <c r="A1265" t="s">
        <v>283</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287</v>
      </c>
    </row>
    <row r="1273" spans="1:7">
      <c r="A1273" t="s">
        <v>407</v>
      </c>
    </row>
    <row r="1274" spans="1:7">
      <c r="A1274" t="s">
        <v>405</v>
      </c>
    </row>
    <row r="1275" spans="1:7">
      <c r="A1275" t="s">
        <v>409</v>
      </c>
    </row>
    <row r="1276" spans="1:7">
      <c r="A1276" t="s">
        <v>290</v>
      </c>
      <c r="B1276">
        <v>1908</v>
      </c>
      <c r="G1276">
        <v>1908</v>
      </c>
    </row>
    <row r="1277" spans="1:7">
      <c r="A1277" t="s">
        <v>293</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331</v>
      </c>
      <c r="B1287">
        <v>1530</v>
      </c>
      <c r="C1287">
        <v>388</v>
      </c>
      <c r="E1287">
        <v>470</v>
      </c>
      <c r="G1287">
        <v>2388</v>
      </c>
    </row>
    <row r="1288" spans="1:7">
      <c r="A1288" t="s">
        <v>382</v>
      </c>
      <c r="C1288">
        <v>1758</v>
      </c>
      <c r="D1288">
        <v>1363</v>
      </c>
      <c r="G1288">
        <v>3121</v>
      </c>
    </row>
    <row r="1289" spans="1:7">
      <c r="A1289" t="s">
        <v>244</v>
      </c>
      <c r="D1289">
        <v>881</v>
      </c>
      <c r="E1289">
        <v>1143</v>
      </c>
      <c r="G1289">
        <v>2024</v>
      </c>
    </row>
    <row r="1290" spans="1:7">
      <c r="A1290" t="s">
        <v>271</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230</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230</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230</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230</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230</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316</v>
      </c>
      <c r="B1563" s="627" t="s">
        <v>317</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316</v>
      </c>
      <c r="B1570" s="247" t="s">
        <v>317</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316</v>
      </c>
      <c r="B1574" s="247" t="s">
        <v>317</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316</v>
      </c>
      <c r="B1579" s="247" t="s">
        <v>317</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316</v>
      </c>
      <c r="B1585" s="247" t="s">
        <v>317</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316</v>
      </c>
      <c r="B1593" s="141" t="s">
        <v>317</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316</v>
      </c>
      <c r="B1603" s="247" t="s">
        <v>317</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316</v>
      </c>
      <c r="B1608" s="247" t="s">
        <v>317</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316</v>
      </c>
      <c r="B1616" s="141" t="s">
        <v>317</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316</v>
      </c>
      <c r="B1625" s="247" t="s">
        <v>317</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316</v>
      </c>
      <c r="B1636" s="399" t="s">
        <v>317</v>
      </c>
      <c r="C1636" s="344">
        <v>45924</v>
      </c>
      <c r="D1636" s="43">
        <v>616</v>
      </c>
      <c r="F1636" s="91"/>
      <c r="G1636" t="s">
        <v>1659</v>
      </c>
    </row>
    <row r="1637" spans="1:7">
      <c r="A1637" s="644" t="s">
        <v>343</v>
      </c>
      <c r="B1637" s="751" t="s">
        <v>192</v>
      </c>
      <c r="C1637" s="56">
        <v>45924</v>
      </c>
      <c r="D1637" s="43">
        <v>190</v>
      </c>
      <c r="F1637" s="69"/>
      <c r="G1637" t="s">
        <v>1659</v>
      </c>
    </row>
    <row r="1638" spans="1:7">
      <c r="A1638" s="157" t="s">
        <v>230</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316</v>
      </c>
      <c r="B1651" s="247" t="s">
        <v>317</v>
      </c>
      <c r="C1651" s="56">
        <v>45925</v>
      </c>
      <c r="D1651" s="43">
        <v>969</v>
      </c>
      <c r="G1651" t="s">
        <v>1659</v>
      </c>
    </row>
    <row r="1652" spans="1:7">
      <c r="A1652" s="644" t="s">
        <v>343</v>
      </c>
      <c r="B1652" s="751" t="s">
        <v>192</v>
      </c>
      <c r="C1652" s="56">
        <v>45925</v>
      </c>
      <c r="F1652" s="141" t="s">
        <v>1246</v>
      </c>
      <c r="G1652" t="s">
        <v>1659</v>
      </c>
    </row>
    <row r="1653" spans="1:7">
      <c r="A1653" s="157" t="s">
        <v>230</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317</v>
      </c>
      <c r="C1657" s="56">
        <v>45926</v>
      </c>
      <c r="D1657" s="43">
        <v>300</v>
      </c>
      <c r="G1657" t="s">
        <v>1659</v>
      </c>
    </row>
    <row r="1658" spans="1:7">
      <c r="A1658" s="304" t="s">
        <v>1149</v>
      </c>
      <c r="B1658" s="734" t="s">
        <v>1716</v>
      </c>
      <c r="C1658" s="56">
        <v>45926</v>
      </c>
      <c r="D1658" s="43">
        <v>364</v>
      </c>
      <c r="G1658" t="s">
        <v>1659</v>
      </c>
    </row>
    <row r="1659" spans="1:7">
      <c r="A1659" s="134" t="s">
        <v>316</v>
      </c>
      <c r="B1659" s="141" t="s">
        <v>317</v>
      </c>
      <c r="C1659" s="56">
        <v>45926</v>
      </c>
      <c r="D1659" s="43">
        <v>552</v>
      </c>
      <c r="G1659" t="s">
        <v>1659</v>
      </c>
    </row>
    <row r="1660" spans="1:7">
      <c r="A1660" s="741" t="s">
        <v>346</v>
      </c>
      <c r="B1660" s="304" t="s">
        <v>192</v>
      </c>
      <c r="C1660" s="56">
        <v>45926</v>
      </c>
      <c r="D1660" s="43">
        <v>551</v>
      </c>
      <c r="G1660" t="s">
        <v>1659</v>
      </c>
    </row>
    <row r="1661" spans="1:7">
      <c r="A1661" s="325" t="s">
        <v>230</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316</v>
      </c>
      <c r="B1669" s="141" t="s">
        <v>317</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316</v>
      </c>
      <c r="B1682" s="304" t="s">
        <v>317</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316</v>
      </c>
      <c r="B1693" s="141" t="s">
        <v>317</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316</v>
      </c>
      <c r="B1703" s="141" t="s">
        <v>317</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316</v>
      </c>
      <c r="B1713" s="141" t="s">
        <v>317</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316</v>
      </c>
      <c r="B1724" s="141" t="s">
        <v>317</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316</v>
      </c>
      <c r="B1734" s="141" t="s">
        <v>317</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316</v>
      </c>
      <c r="B1755" s="247" t="s">
        <v>317</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319</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322</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330</v>
      </c>
      <c r="B1786" s="315" t="s">
        <v>192</v>
      </c>
      <c r="C1786" s="56">
        <v>45944</v>
      </c>
      <c r="D1786" s="43">
        <v>927</v>
      </c>
      <c r="F1786" s="43" t="s">
        <v>1732</v>
      </c>
      <c r="G1786" t="s">
        <v>1725</v>
      </c>
    </row>
    <row r="1787" spans="1:7">
      <c r="A1787" s="247" t="s">
        <v>322</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316</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330</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230</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330</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330</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330</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330</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230</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330</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330</v>
      </c>
      <c r="B1884" s="318" t="s">
        <v>192</v>
      </c>
      <c r="C1884" s="56">
        <v>45958</v>
      </c>
      <c r="D1884" s="155">
        <v>1224</v>
      </c>
      <c r="G1884" t="s">
        <v>1725</v>
      </c>
    </row>
    <row r="1885" spans="1:7">
      <c r="A1885" s="43" t="s">
        <v>330</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330</v>
      </c>
      <c r="B1895" s="651" t="s">
        <v>192</v>
      </c>
      <c r="C1895" s="56">
        <v>45959</v>
      </c>
      <c r="D1895" s="43">
        <v>343</v>
      </c>
      <c r="G1895" t="s">
        <v>1725</v>
      </c>
    </row>
    <row r="1896" spans="1:7">
      <c r="A1896" s="69" t="s">
        <v>325</v>
      </c>
      <c r="B1896" s="43" t="s">
        <v>192</v>
      </c>
      <c r="C1896" s="56">
        <v>45959</v>
      </c>
      <c r="D1896" s="155">
        <v>3179</v>
      </c>
      <c r="G1896" t="s">
        <v>1725</v>
      </c>
    </row>
    <row r="1897" spans="1:7">
      <c r="A1897" s="311" t="s">
        <v>316</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330</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316</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325</v>
      </c>
      <c r="B1934" s="304" t="s">
        <v>192</v>
      </c>
      <c r="C1934" s="56">
        <v>45964</v>
      </c>
      <c r="D1934" s="43">
        <v>882</v>
      </c>
      <c r="F1934" s="43" t="s">
        <v>1838</v>
      </c>
      <c r="G1934" t="s">
        <v>1835</v>
      </c>
    </row>
    <row r="1935" spans="1:7">
      <c r="A1935" s="141" t="s">
        <v>316</v>
      </c>
      <c r="B1935" s="349" t="s">
        <v>1100</v>
      </c>
      <c r="C1935" s="56">
        <v>45964</v>
      </c>
      <c r="F1935" s="43" t="s">
        <v>1572</v>
      </c>
      <c r="G1935" t="s">
        <v>1835</v>
      </c>
    </row>
    <row r="1936" spans="1:7">
      <c r="A1936" s="141" t="s">
        <v>316</v>
      </c>
      <c r="B1936" s="349" t="s">
        <v>1839</v>
      </c>
      <c r="C1936" s="56">
        <v>45964</v>
      </c>
      <c r="E1936" s="321">
        <v>3846</v>
      </c>
      <c r="F1936" s="43" t="s">
        <v>1840</v>
      </c>
      <c r="G1936" t="s">
        <v>1835</v>
      </c>
    </row>
    <row r="1937" spans="1:7">
      <c r="A1937" s="141" t="s">
        <v>316</v>
      </c>
      <c r="B1937" s="349" t="s">
        <v>317</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268</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325</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268</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325</v>
      </c>
      <c r="B1965" s="304" t="s">
        <v>192</v>
      </c>
      <c r="C1965" s="56">
        <v>45966</v>
      </c>
      <c r="D1965" s="155">
        <v>1034</v>
      </c>
      <c r="G1965" t="s">
        <v>1835</v>
      </c>
    </row>
    <row r="1966" spans="1:7">
      <c r="A1966" s="311" t="s">
        <v>322</v>
      </c>
      <c r="B1966" s="993" t="s">
        <v>1541</v>
      </c>
      <c r="C1966" s="56">
        <v>45966</v>
      </c>
      <c r="D1966" s="43">
        <v>150</v>
      </c>
      <c r="G1966" t="s">
        <v>1835</v>
      </c>
    </row>
    <row r="1967" spans="1:7">
      <c r="A1967" s="247" t="s">
        <v>316</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325</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325</v>
      </c>
      <c r="B1998" s="797" t="s">
        <v>192</v>
      </c>
      <c r="C1998" s="56">
        <v>45971</v>
      </c>
      <c r="D1998" s="43">
        <v>96</v>
      </c>
      <c r="G1998" t="s">
        <v>1835</v>
      </c>
    </row>
    <row r="1999" spans="1:7">
      <c r="A1999" s="304" t="s">
        <v>199</v>
      </c>
      <c r="B1999" s="349" t="s">
        <v>1834</v>
      </c>
      <c r="C1999" s="56">
        <v>45971</v>
      </c>
      <c r="D1999" s="43">
        <v>562</v>
      </c>
      <c r="G1999" t="s">
        <v>1835</v>
      </c>
    </row>
    <row r="2000" spans="1:7">
      <c r="A2000" s="141" t="s">
        <v>327</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327</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319</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230</v>
      </c>
      <c r="B2046" s="318" t="s">
        <v>1100</v>
      </c>
      <c r="C2046" s="56">
        <v>45978</v>
      </c>
      <c r="D2046" s="43">
        <v>176</v>
      </c>
      <c r="G2046" t="s">
        <v>1835</v>
      </c>
    </row>
    <row r="2047" spans="1:7">
      <c r="A2047" s="141" t="s">
        <v>230</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230</v>
      </c>
      <c r="B2061" s="43" t="s">
        <v>1541</v>
      </c>
      <c r="C2061" s="56">
        <v>45979</v>
      </c>
      <c r="D2061" s="43">
        <v>120</v>
      </c>
      <c r="F2061" s="69"/>
      <c r="G2061" t="s">
        <v>1835</v>
      </c>
    </row>
    <row r="2062" spans="1:7">
      <c r="A2062" s="614" t="s">
        <v>327</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230</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230</v>
      </c>
      <c r="B2082" s="304" t="s">
        <v>1541</v>
      </c>
      <c r="C2082" s="56">
        <v>45981</v>
      </c>
      <c r="F2082" s="69" t="s">
        <v>1890</v>
      </c>
      <c r="G2082" t="s">
        <v>1835</v>
      </c>
    </row>
    <row r="2083" spans="1:7">
      <c r="A2083" s="304" t="s">
        <v>327</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327</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325</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327</v>
      </c>
      <c r="B2156" s="141" t="s">
        <v>192</v>
      </c>
      <c r="C2156" s="56">
        <v>45987</v>
      </c>
      <c r="D2156" s="423"/>
      <c r="E2156" s="43"/>
      <c r="F2156" s="141" t="s">
        <v>1908</v>
      </c>
      <c r="G2156" t="s">
        <v>1835</v>
      </c>
    </row>
    <row r="2157" spans="1:7">
      <c r="A2157" s="141" t="s">
        <v>319</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263</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263</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263</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283</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263</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283</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263</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263</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283</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283</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263</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268</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268</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268</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268</v>
      </c>
      <c r="C2456" s="56">
        <v>46030</v>
      </c>
      <c r="D2456" s="1414">
        <v>1926</v>
      </c>
      <c r="E2456" s="43"/>
      <c r="F2456" s="1426"/>
      <c r="G2456" t="s">
        <v>2033</v>
      </c>
    </row>
    <row r="2457" spans="1:7">
      <c r="A2457" s="247" t="s">
        <v>287</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247</v>
      </c>
      <c r="B2460" s="157" t="s">
        <v>2040</v>
      </c>
      <c r="C2460" s="56">
        <v>46031</v>
      </c>
      <c r="D2460" s="88">
        <v>0</v>
      </c>
      <c r="E2460" s="88"/>
      <c r="F2460" s="1426" t="s">
        <v>1229</v>
      </c>
      <c r="G2460" t="s">
        <v>2033</v>
      </c>
    </row>
    <row r="2461" spans="1:7">
      <c r="A2461" s="247" t="s">
        <v>337</v>
      </c>
      <c r="B2461" s="157" t="s">
        <v>268</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287</v>
      </c>
      <c r="B2465" s="157" t="s">
        <v>113</v>
      </c>
      <c r="C2465" s="56">
        <v>46031</v>
      </c>
      <c r="D2465" s="88">
        <v>447</v>
      </c>
      <c r="E2465" s="88"/>
      <c r="F2465" s="1428"/>
      <c r="G2465" t="s">
        <v>2033</v>
      </c>
    </row>
    <row r="2466" spans="1:7">
      <c r="A2466" s="247" t="s">
        <v>366</v>
      </c>
      <c r="B2466" s="157" t="s">
        <v>268</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287</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259</v>
      </c>
      <c r="B2475" s="157" t="s">
        <v>61</v>
      </c>
      <c r="C2475" s="56">
        <v>46034</v>
      </c>
      <c r="D2475" s="88">
        <v>607</v>
      </c>
      <c r="E2475" s="88"/>
      <c r="F2475" s="1428"/>
      <c r="G2475" t="s">
        <v>2033</v>
      </c>
    </row>
    <row r="2476" spans="1:7">
      <c r="A2476" s="247" t="s">
        <v>337</v>
      </c>
      <c r="B2476" s="157" t="s">
        <v>268</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268</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290</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268</v>
      </c>
      <c r="C2487" s="56">
        <v>46035</v>
      </c>
      <c r="D2487" s="1414">
        <v>1838</v>
      </c>
      <c r="E2487" s="88"/>
      <c r="F2487" s="1426"/>
      <c r="G2487" t="s">
        <v>2033</v>
      </c>
    </row>
    <row r="2488" spans="1:7">
      <c r="A2488" s="247" t="s">
        <v>319</v>
      </c>
      <c r="B2488" s="157" t="s">
        <v>2047</v>
      </c>
      <c r="C2488" s="56">
        <v>46035</v>
      </c>
      <c r="D2488" s="88"/>
      <c r="E2488" s="1414">
        <v>5312</v>
      </c>
      <c r="F2488" s="1428" t="s">
        <v>2048</v>
      </c>
      <c r="G2488" t="s">
        <v>2033</v>
      </c>
    </row>
    <row r="2489" spans="1:7">
      <c r="A2489" s="247" t="s">
        <v>259</v>
      </c>
      <c r="B2489" s="157" t="s">
        <v>61</v>
      </c>
      <c r="C2489" s="56">
        <v>46035</v>
      </c>
      <c r="D2489" s="88">
        <v>662</v>
      </c>
      <c r="E2489" s="88"/>
      <c r="F2489" s="1428"/>
      <c r="G2489" t="s">
        <v>2033</v>
      </c>
    </row>
    <row r="2490" spans="1:7">
      <c r="A2490" s="247" t="s">
        <v>366</v>
      </c>
      <c r="B2490" s="157" t="s">
        <v>268</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290</v>
      </c>
      <c r="B2495" s="157" t="s">
        <v>113</v>
      </c>
      <c r="C2495" s="56">
        <v>46036</v>
      </c>
      <c r="D2495" s="1414">
        <v>2611</v>
      </c>
      <c r="E2495" s="43"/>
      <c r="F2495" s="1428"/>
      <c r="G2495" t="s">
        <v>2033</v>
      </c>
    </row>
    <row r="2496" spans="1:7">
      <c r="A2496" s="247" t="s">
        <v>259</v>
      </c>
      <c r="B2496" s="157" t="s">
        <v>61</v>
      </c>
      <c r="C2496" s="56">
        <v>46036</v>
      </c>
      <c r="D2496" s="88">
        <v>877</v>
      </c>
      <c r="E2496" s="43"/>
      <c r="F2496" s="1428" t="s">
        <v>2051</v>
      </c>
      <c r="G2496" t="s">
        <v>2033</v>
      </c>
    </row>
    <row r="2497" spans="1:7">
      <c r="A2497" s="247" t="s">
        <v>230</v>
      </c>
      <c r="B2497" s="157" t="s">
        <v>268</v>
      </c>
      <c r="C2497" s="56">
        <v>46036</v>
      </c>
      <c r="D2497" s="1414">
        <v>1200</v>
      </c>
      <c r="E2497" s="43"/>
      <c r="F2497" s="1428"/>
      <c r="G2497" t="s">
        <v>2033</v>
      </c>
    </row>
    <row r="2498" spans="1:7">
      <c r="A2498" s="247" t="s">
        <v>366</v>
      </c>
      <c r="B2498" s="157" t="s">
        <v>268</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293</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293</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230</v>
      </c>
      <c r="B2509" s="157" t="s">
        <v>268</v>
      </c>
      <c r="C2509" s="56">
        <v>46037</v>
      </c>
      <c r="D2509" s="88">
        <v>445</v>
      </c>
      <c r="E2509" s="43"/>
      <c r="F2509" s="1428"/>
      <c r="G2509" t="s">
        <v>2033</v>
      </c>
    </row>
    <row r="2510" spans="1:7">
      <c r="A2510" s="247" t="s">
        <v>259</v>
      </c>
      <c r="B2510" s="157" t="s">
        <v>61</v>
      </c>
      <c r="C2510" s="56">
        <v>46037</v>
      </c>
      <c r="D2510" s="88">
        <v>499</v>
      </c>
      <c r="E2510" s="43"/>
      <c r="F2510" s="1428" t="s">
        <v>2057</v>
      </c>
      <c r="G2510" t="s">
        <v>2033</v>
      </c>
    </row>
    <row r="2511" spans="1:7">
      <c r="A2511" s="247" t="s">
        <v>366</v>
      </c>
      <c r="B2511" s="157" t="s">
        <v>268</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268</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293</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259</v>
      </c>
      <c r="B2517" s="157" t="s">
        <v>61</v>
      </c>
      <c r="C2517" s="56">
        <v>46038</v>
      </c>
      <c r="D2517" s="88">
        <v>186</v>
      </c>
      <c r="F2517" s="1428" t="s">
        <v>2054</v>
      </c>
      <c r="G2517" t="s">
        <v>2033</v>
      </c>
    </row>
    <row r="2518" spans="1:7">
      <c r="A2518" s="247" t="s">
        <v>230</v>
      </c>
      <c r="B2518" s="157" t="s">
        <v>268</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268</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230</v>
      </c>
      <c r="B2527" s="311" t="s">
        <v>268</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267</v>
      </c>
      <c r="B2530" s="315" t="s">
        <v>268</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293</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267</v>
      </c>
      <c r="B2542" s="315" t="s">
        <v>268</v>
      </c>
      <c r="C2542" s="56">
        <v>46043</v>
      </c>
      <c r="D2542" s="155">
        <v>408</v>
      </c>
      <c r="F2542" s="1426"/>
      <c r="G2542" t="s">
        <v>2033</v>
      </c>
    </row>
    <row r="2543" spans="1:7">
      <c r="A2543" s="315" t="s">
        <v>275</v>
      </c>
      <c r="B2543" s="315" t="s">
        <v>268</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287</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331</v>
      </c>
      <c r="B2554" s="315" t="s">
        <v>268</v>
      </c>
      <c r="C2554" s="56">
        <v>46044</v>
      </c>
      <c r="D2554" s="155">
        <v>2031</v>
      </c>
      <c r="F2554" s="1426" t="s">
        <v>2073</v>
      </c>
      <c r="G2554" t="s">
        <v>2033</v>
      </c>
    </row>
    <row r="2555" spans="1:7">
      <c r="A2555" s="315" t="s">
        <v>275</v>
      </c>
      <c r="B2555" s="315" t="s">
        <v>268</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287</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331</v>
      </c>
      <c r="B2562" s="315" t="s">
        <v>268</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331</v>
      </c>
      <c r="B2574" s="935" t="s">
        <v>268</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290</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331</v>
      </c>
      <c r="B2578" s="751" t="s">
        <v>268</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230</v>
      </c>
      <c r="B2585" s="935" t="s">
        <v>268</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293</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230</v>
      </c>
      <c r="B2598" s="751" t="s">
        <v>268</v>
      </c>
      <c r="C2598" s="56">
        <v>46050</v>
      </c>
      <c r="D2598" s="201">
        <v>324</v>
      </c>
      <c r="E2598" s="43"/>
      <c r="F2598" s="751" t="s">
        <v>1567</v>
      </c>
      <c r="G2598" t="s">
        <v>2033</v>
      </c>
    </row>
    <row r="2599" spans="1:7">
      <c r="A2599" s="134" t="s">
        <v>337</v>
      </c>
      <c r="B2599" s="141" t="s">
        <v>268</v>
      </c>
      <c r="C2599" s="56">
        <v>46050</v>
      </c>
      <c r="D2599" s="43">
        <v>149</v>
      </c>
      <c r="E2599" s="169"/>
      <c r="F2599" s="169"/>
      <c r="G2599" t="s">
        <v>2033</v>
      </c>
    </row>
    <row r="2600" spans="1:7">
      <c r="A2600" s="134" t="s">
        <v>244</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283</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287</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230</v>
      </c>
      <c r="B2611" s="732" t="s">
        <v>268</v>
      </c>
      <c r="C2611" s="56">
        <v>46051</v>
      </c>
      <c r="D2611" s="43">
        <v>838</v>
      </c>
      <c r="G2611" t="s">
        <v>2033</v>
      </c>
    </row>
    <row r="2612" spans="1:7">
      <c r="A2612" s="134" t="s">
        <v>244</v>
      </c>
      <c r="B2612" s="141" t="s">
        <v>192</v>
      </c>
      <c r="C2612" s="1485">
        <v>46051</v>
      </c>
      <c r="D2612" s="1477">
        <v>1143</v>
      </c>
      <c r="E2612" s="201"/>
      <c r="F2612" s="115"/>
      <c r="G2612" t="s">
        <v>2033</v>
      </c>
    </row>
    <row r="2613" spans="1:7">
      <c r="A2613" s="134" t="s">
        <v>271</v>
      </c>
      <c r="B2613" s="141" t="s">
        <v>268</v>
      </c>
      <c r="C2613" s="310">
        <v>46051</v>
      </c>
      <c r="D2613" s="155">
        <v>1468</v>
      </c>
      <c r="E2613" s="43"/>
      <c r="F2613" s="43" t="s">
        <v>2099</v>
      </c>
      <c r="G2613" t="s">
        <v>2033</v>
      </c>
    </row>
    <row r="2614" spans="1:7">
      <c r="A2614" s="134" t="s">
        <v>331</v>
      </c>
      <c r="B2614" s="141" t="s">
        <v>268</v>
      </c>
      <c r="C2614" s="310">
        <v>46051</v>
      </c>
      <c r="D2614" s="155">
        <v>470</v>
      </c>
      <c r="E2614" s="43"/>
      <c r="F2614" s="43" t="s">
        <v>1690</v>
      </c>
      <c r="G2614" t="s">
        <v>2033</v>
      </c>
    </row>
    <row r="2615" spans="1:7">
      <c r="A2615" s="732" t="s">
        <v>290</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244</v>
      </c>
      <c r="B2621" s="315" t="s">
        <v>192</v>
      </c>
      <c r="C2621" s="56">
        <v>46052</v>
      </c>
      <c r="F2621" s="315" t="s">
        <v>2102</v>
      </c>
      <c r="G2621" t="s">
        <v>2033</v>
      </c>
    </row>
    <row r="2622" spans="1:7">
      <c r="A2622" s="612" t="s">
        <v>271</v>
      </c>
      <c r="B2622" s="315" t="s">
        <v>268</v>
      </c>
      <c r="C2622" s="56">
        <v>46052</v>
      </c>
      <c r="D2622" s="155">
        <v>1637</v>
      </c>
      <c r="F2622" s="43" t="s">
        <v>2103</v>
      </c>
      <c r="G2622" t="s">
        <v>2033</v>
      </c>
    </row>
    <row r="2623" spans="1:7">
      <c r="A2623" s="612" t="s">
        <v>230</v>
      </c>
      <c r="B2623" s="315" t="s">
        <v>268</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8"/>
      <c r="B1" s="1488"/>
      <c r="C1" s="1488"/>
      <c r="D1" s="1488"/>
      <c r="E1" s="1488"/>
      <c r="F1" s="1488"/>
      <c r="G1" s="1488"/>
      <c r="H1" s="1488"/>
      <c r="I1" s="1488"/>
      <c r="J1" s="1"/>
      <c r="K1" s="1"/>
      <c r="L1" s="1"/>
      <c r="M1" s="1"/>
      <c r="N1" s="1"/>
      <c r="O1" s="1"/>
      <c r="P1" s="1489" t="s">
        <v>34</v>
      </c>
      <c r="Q1" s="1489"/>
      <c r="R1" s="1489"/>
      <c r="S1" s="1489"/>
      <c r="T1" s="1489"/>
      <c r="U1" s="1489"/>
      <c r="V1" s="1489"/>
      <c r="W1" s="1489"/>
      <c r="X1" s="1489"/>
      <c r="Y1" s="1489"/>
      <c r="Z1" s="1489"/>
      <c r="AA1" s="1489"/>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261</v>
      </c>
      <c r="O3" s="54">
        <v>45721</v>
      </c>
      <c r="P3" s="87" t="s">
        <v>261</v>
      </c>
      <c r="Q3" s="69" t="s">
        <v>261</v>
      </c>
      <c r="R3" s="69" t="s">
        <v>261</v>
      </c>
      <c r="S3" s="69" t="s">
        <v>56</v>
      </c>
      <c r="T3" s="69" t="s">
        <v>261</v>
      </c>
      <c r="U3" s="69" t="s">
        <v>261</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261</v>
      </c>
      <c r="O6" s="356">
        <v>45718</v>
      </c>
      <c r="P6" s="30" t="s">
        <v>261</v>
      </c>
      <c r="Q6" s="334" t="s">
        <v>261</v>
      </c>
      <c r="R6" s="43" t="s">
        <v>2179</v>
      </c>
      <c r="S6" s="43" t="s">
        <v>261</v>
      </c>
      <c r="T6" s="43" t="s">
        <v>261</v>
      </c>
      <c r="U6" s="157" t="s">
        <v>261</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261</v>
      </c>
      <c r="O7" s="79" t="s">
        <v>261</v>
      </c>
      <c r="P7" s="30" t="s">
        <v>261</v>
      </c>
      <c r="Q7" s="334" t="s">
        <v>261</v>
      </c>
      <c r="R7" s="43" t="s">
        <v>2179</v>
      </c>
      <c r="S7" s="43" t="s">
        <v>261</v>
      </c>
      <c r="T7" s="43" t="s">
        <v>261</v>
      </c>
      <c r="U7" s="43" t="s">
        <v>261</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261</v>
      </c>
      <c r="O8" s="30" t="s">
        <v>261</v>
      </c>
      <c r="P8" s="707" t="s">
        <v>261</v>
      </c>
      <c r="Q8" s="69" t="s">
        <v>261</v>
      </c>
      <c r="R8" s="43" t="s">
        <v>2179</v>
      </c>
      <c r="S8" s="43" t="s">
        <v>261</v>
      </c>
      <c r="T8" s="43" t="s">
        <v>261</v>
      </c>
      <c r="U8" s="43" t="s">
        <v>261</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261</v>
      </c>
      <c r="O9" s="54">
        <v>45718</v>
      </c>
      <c r="P9" s="119" t="s">
        <v>261</v>
      </c>
      <c r="Q9" s="69" t="s">
        <v>261</v>
      </c>
      <c r="R9" s="43" t="s">
        <v>2179</v>
      </c>
      <c r="S9" s="43" t="s">
        <v>261</v>
      </c>
      <c r="T9" s="43" t="s">
        <v>261</v>
      </c>
      <c r="U9" s="43" t="s">
        <v>261</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261</v>
      </c>
      <c r="O10" s="30" t="s">
        <v>261</v>
      </c>
      <c r="P10" s="30" t="s">
        <v>261</v>
      </c>
      <c r="Q10" s="43" t="s">
        <v>261</v>
      </c>
      <c r="R10" s="43" t="s">
        <v>2179</v>
      </c>
      <c r="S10" s="43" t="s">
        <v>261</v>
      </c>
      <c r="T10" s="43" t="s">
        <v>261</v>
      </c>
      <c r="U10" s="161" t="s">
        <v>261</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261</v>
      </c>
      <c r="Q11" s="69" t="s">
        <v>261</v>
      </c>
      <c r="R11" s="43" t="s">
        <v>2179</v>
      </c>
      <c r="S11" s="43" t="s">
        <v>261</v>
      </c>
      <c r="T11" s="43" t="s">
        <v>261</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261</v>
      </c>
      <c r="Q12" s="69" t="s">
        <v>261</v>
      </c>
      <c r="R12" s="43" t="s">
        <v>2179</v>
      </c>
      <c r="S12" s="43" t="s">
        <v>261</v>
      </c>
      <c r="T12" s="43" t="s">
        <v>261</v>
      </c>
      <c r="U12" s="69" t="s">
        <v>79</v>
      </c>
      <c r="V12" s="69" t="s">
        <v>79</v>
      </c>
      <c r="W12" s="30"/>
      <c r="X12" s="69" t="s">
        <v>79</v>
      </c>
      <c r="Y12" t="e">
        <f>VLOOKUP(A12,#REF!,2,FALSE)</f>
        <v>#REF!</v>
      </c>
    </row>
    <row r="13" spans="1:25">
      <c r="A13" s="178" t="s">
        <v>230</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261</v>
      </c>
      <c r="O15" s="54">
        <v>45718</v>
      </c>
      <c r="P15" s="30" t="s">
        <v>261</v>
      </c>
      <c r="Q15" s="43" t="s">
        <v>261</v>
      </c>
      <c r="R15" s="43" t="s">
        <v>261</v>
      </c>
      <c r="S15" s="43" t="s">
        <v>56</v>
      </c>
      <c r="T15" s="43" t="s">
        <v>261</v>
      </c>
      <c r="U15" s="43" t="s">
        <v>261</v>
      </c>
      <c r="V15" s="43" t="s">
        <v>261</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261</v>
      </c>
      <c r="O16" s="54" t="s">
        <v>2183</v>
      </c>
      <c r="P16" s="30" t="s">
        <v>261</v>
      </c>
      <c r="Q16" s="69" t="s">
        <v>261</v>
      </c>
      <c r="R16" s="43" t="s">
        <v>261</v>
      </c>
      <c r="S16" s="43" t="s">
        <v>56</v>
      </c>
      <c r="T16" s="43" t="s">
        <v>261</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261</v>
      </c>
      <c r="O17" s="54">
        <v>45863</v>
      </c>
      <c r="P17" s="30" t="s">
        <v>261</v>
      </c>
      <c r="Q17" s="69" t="s">
        <v>261</v>
      </c>
      <c r="R17" s="43" t="s">
        <v>261</v>
      </c>
      <c r="S17" s="43" t="s">
        <v>56</v>
      </c>
      <c r="T17" s="43" t="s">
        <v>261</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261</v>
      </c>
      <c r="O18" s="195">
        <v>45881</v>
      </c>
      <c r="P18" s="30" t="s">
        <v>261</v>
      </c>
      <c r="Q18" s="69" t="s">
        <v>261</v>
      </c>
      <c r="R18" s="43" t="s">
        <v>261</v>
      </c>
      <c r="S18" s="43" t="s">
        <v>56</v>
      </c>
      <c r="T18" s="43" t="s">
        <v>261</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261</v>
      </c>
      <c r="O19" s="54">
        <v>45873</v>
      </c>
      <c r="P19" s="87" t="s">
        <v>261</v>
      </c>
      <c r="Q19" s="69" t="s">
        <v>261</v>
      </c>
      <c r="R19" s="69" t="s">
        <v>261</v>
      </c>
      <c r="S19" s="69" t="s">
        <v>56</v>
      </c>
      <c r="T19" s="69" t="s">
        <v>261</v>
      </c>
      <c r="U19" s="69" t="s">
        <v>261</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261</v>
      </c>
      <c r="O20" s="124">
        <v>45709</v>
      </c>
      <c r="P20" s="87" t="s">
        <v>261</v>
      </c>
      <c r="Q20" s="69" t="s">
        <v>261</v>
      </c>
      <c r="R20" s="69" t="s">
        <v>261</v>
      </c>
      <c r="S20" s="69" t="s">
        <v>56</v>
      </c>
      <c r="T20" s="69" t="s">
        <v>261</v>
      </c>
      <c r="U20" s="69" t="s">
        <v>261</v>
      </c>
      <c r="V20" s="69" t="s">
        <v>261</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261</v>
      </c>
      <c r="O21" s="54">
        <v>45737</v>
      </c>
      <c r="P21" s="87" t="s">
        <v>261</v>
      </c>
      <c r="Q21" s="69" t="s">
        <v>261</v>
      </c>
      <c r="R21" s="69" t="s">
        <v>261</v>
      </c>
      <c r="S21" s="69" t="s">
        <v>56</v>
      </c>
      <c r="T21" s="69" t="s">
        <v>261</v>
      </c>
      <c r="U21" s="69" t="s">
        <v>261</v>
      </c>
      <c r="V21" s="69" t="s">
        <v>261</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261</v>
      </c>
      <c r="O22" s="54">
        <v>45814</v>
      </c>
      <c r="P22" s="87" t="s">
        <v>261</v>
      </c>
      <c r="Q22" s="69" t="s">
        <v>261</v>
      </c>
      <c r="R22" s="69" t="s">
        <v>261</v>
      </c>
      <c r="S22" s="69" t="s">
        <v>56</v>
      </c>
      <c r="T22" s="69" t="s">
        <v>261</v>
      </c>
      <c r="U22" s="69" t="s">
        <v>261</v>
      </c>
      <c r="V22" s="69" t="s">
        <v>261</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261</v>
      </c>
      <c r="O23" s="54">
        <v>45789</v>
      </c>
      <c r="P23" s="87" t="s">
        <v>261</v>
      </c>
      <c r="Q23" s="69" t="s">
        <v>261</v>
      </c>
      <c r="R23" s="69" t="s">
        <v>261</v>
      </c>
      <c r="S23" s="69" t="s">
        <v>56</v>
      </c>
      <c r="T23" s="69" t="s">
        <v>261</v>
      </c>
      <c r="U23" s="69" t="s">
        <v>261</v>
      </c>
      <c r="V23" s="69" t="s">
        <v>261</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261</v>
      </c>
      <c r="O24" s="54">
        <v>45782</v>
      </c>
      <c r="P24" s="87" t="s">
        <v>261</v>
      </c>
      <c r="Q24" s="69" t="s">
        <v>261</v>
      </c>
      <c r="R24" s="69" t="s">
        <v>261</v>
      </c>
      <c r="S24" s="69" t="s">
        <v>56</v>
      </c>
      <c r="T24" s="69" t="s">
        <v>261</v>
      </c>
      <c r="U24" s="69" t="s">
        <v>261</v>
      </c>
      <c r="V24" s="69" t="s">
        <v>261</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261</v>
      </c>
      <c r="O25" s="124">
        <v>45716</v>
      </c>
      <c r="P25" s="87" t="s">
        <v>261</v>
      </c>
      <c r="Q25" s="69" t="s">
        <v>261</v>
      </c>
      <c r="R25" s="69" t="s">
        <v>261</v>
      </c>
      <c r="S25" s="69" t="s">
        <v>56</v>
      </c>
      <c r="T25" s="69" t="s">
        <v>261</v>
      </c>
      <c r="U25" s="69" t="s">
        <v>261</v>
      </c>
      <c r="V25" s="69" t="s">
        <v>261</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261</v>
      </c>
      <c r="O26" s="54">
        <v>45840</v>
      </c>
      <c r="P26" s="87" t="s">
        <v>261</v>
      </c>
      <c r="Q26" s="69" t="s">
        <v>261</v>
      </c>
      <c r="R26" s="69" t="s">
        <v>261</v>
      </c>
      <c r="S26" s="69" t="s">
        <v>56</v>
      </c>
      <c r="T26" s="69" t="s">
        <v>261</v>
      </c>
      <c r="U26" s="69" t="s">
        <v>261</v>
      </c>
      <c r="V26" s="69" t="s">
        <v>261</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261</v>
      </c>
      <c r="O27" s="54">
        <v>45853</v>
      </c>
      <c r="P27" s="87" t="s">
        <v>261</v>
      </c>
      <c r="Q27" s="69" t="s">
        <v>261</v>
      </c>
      <c r="R27" s="69" t="s">
        <v>261</v>
      </c>
      <c r="S27" s="69" t="s">
        <v>56</v>
      </c>
      <c r="T27" s="69" t="s">
        <v>261</v>
      </c>
      <c r="U27" s="69" t="s">
        <v>261</v>
      </c>
      <c r="V27" s="69" t="s">
        <v>261</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261</v>
      </c>
      <c r="O28" s="54">
        <v>45793</v>
      </c>
      <c r="P28" s="87" t="s">
        <v>261</v>
      </c>
      <c r="Q28" s="69" t="s">
        <v>261</v>
      </c>
      <c r="R28" s="69" t="s">
        <v>261</v>
      </c>
      <c r="S28" s="69" t="s">
        <v>56</v>
      </c>
      <c r="T28" s="69" t="s">
        <v>261</v>
      </c>
      <c r="U28" s="69" t="s">
        <v>261</v>
      </c>
      <c r="V28" s="69" t="s">
        <v>261</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261</v>
      </c>
      <c r="O29" s="124">
        <v>45692</v>
      </c>
      <c r="P29" s="30" t="s">
        <v>261</v>
      </c>
      <c r="Q29" s="43" t="s">
        <v>261</v>
      </c>
      <c r="R29" s="43" t="s">
        <v>261</v>
      </c>
      <c r="S29" s="43" t="s">
        <v>261</v>
      </c>
      <c r="T29" s="43" t="s">
        <v>261</v>
      </c>
      <c r="U29" s="43" t="s">
        <v>261</v>
      </c>
      <c r="V29" s="69" t="s">
        <v>261</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261</v>
      </c>
      <c r="O30" s="124">
        <v>45692</v>
      </c>
      <c r="P30" s="30" t="s">
        <v>261</v>
      </c>
      <c r="Q30" s="43" t="s">
        <v>261</v>
      </c>
      <c r="R30" s="43" t="s">
        <v>261</v>
      </c>
      <c r="S30" s="43" t="s">
        <v>261</v>
      </c>
      <c r="T30" s="43" t="s">
        <v>261</v>
      </c>
      <c r="U30" s="115" t="s">
        <v>261</v>
      </c>
      <c r="V30" s="69" t="s">
        <v>261</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261</v>
      </c>
      <c r="O31" s="54">
        <v>45707</v>
      </c>
      <c r="P31" s="87" t="s">
        <v>261</v>
      </c>
      <c r="Q31" s="43" t="s">
        <v>261</v>
      </c>
      <c r="R31" s="43" t="s">
        <v>2179</v>
      </c>
      <c r="S31" s="43" t="s">
        <v>261</v>
      </c>
      <c r="T31" s="139" t="s">
        <v>261</v>
      </c>
      <c r="U31" s="115" t="s">
        <v>261</v>
      </c>
      <c r="V31" s="69" t="s">
        <v>261</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261</v>
      </c>
      <c r="O32" s="54">
        <v>45756</v>
      </c>
      <c r="P32" s="30" t="s">
        <v>261</v>
      </c>
      <c r="Q32" s="69" t="s">
        <v>261</v>
      </c>
      <c r="R32" s="69" t="s">
        <v>2179</v>
      </c>
      <c r="S32" s="43" t="s">
        <v>261</v>
      </c>
      <c r="T32" s="139" t="s">
        <v>261</v>
      </c>
      <c r="U32" s="43" t="s">
        <v>261</v>
      </c>
      <c r="V32" s="69" t="s">
        <v>261</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261</v>
      </c>
      <c r="O33" s="124">
        <v>45749</v>
      </c>
      <c r="P33" s="30" t="s">
        <v>261</v>
      </c>
      <c r="Q33" s="69" t="s">
        <v>261</v>
      </c>
      <c r="R33" s="69" t="s">
        <v>2179</v>
      </c>
      <c r="S33" s="43" t="s">
        <v>261</v>
      </c>
      <c r="T33" s="139" t="s">
        <v>261</v>
      </c>
      <c r="U33" s="43" t="s">
        <v>261</v>
      </c>
      <c r="V33" s="334" t="s">
        <v>261</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261</v>
      </c>
      <c r="O34" s="124">
        <v>45750</v>
      </c>
      <c r="P34" s="30" t="s">
        <v>261</v>
      </c>
      <c r="Q34" s="69" t="s">
        <v>261</v>
      </c>
      <c r="R34" s="69" t="s">
        <v>2179</v>
      </c>
      <c r="S34" s="43" t="s">
        <v>261</v>
      </c>
      <c r="T34" s="139" t="s">
        <v>261</v>
      </c>
      <c r="U34" s="43" t="s">
        <v>261</v>
      </c>
      <c r="V34" s="404" t="s">
        <v>261</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261</v>
      </c>
      <c r="O35" s="124">
        <v>45659</v>
      </c>
      <c r="P35" s="87" t="s">
        <v>261</v>
      </c>
      <c r="Q35" s="43" t="s">
        <v>261</v>
      </c>
      <c r="R35" s="43" t="s">
        <v>2179</v>
      </c>
      <c r="S35" s="43" t="s">
        <v>261</v>
      </c>
      <c r="T35" s="139" t="s">
        <v>261</v>
      </c>
      <c r="U35" s="169" t="s">
        <v>261</v>
      </c>
      <c r="V35" s="69" t="s">
        <v>261</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261</v>
      </c>
      <c r="O36" s="124">
        <v>45659</v>
      </c>
      <c r="P36" s="87" t="s">
        <v>261</v>
      </c>
      <c r="Q36" s="43" t="s">
        <v>261</v>
      </c>
      <c r="R36" s="43" t="s">
        <v>2179</v>
      </c>
      <c r="S36" s="43" t="s">
        <v>261</v>
      </c>
      <c r="T36" s="139" t="s">
        <v>261</v>
      </c>
      <c r="U36" s="43" t="s">
        <v>261</v>
      </c>
      <c r="V36" s="69" t="s">
        <v>261</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261</v>
      </c>
      <c r="N37" s="30" t="s">
        <v>261</v>
      </c>
      <c r="O37" s="124">
        <v>45672</v>
      </c>
      <c r="P37" s="30" t="s">
        <v>261</v>
      </c>
      <c r="Q37" s="43" t="s">
        <v>261</v>
      </c>
      <c r="R37" s="43" t="s">
        <v>2179</v>
      </c>
      <c r="S37" s="43" t="s">
        <v>261</v>
      </c>
      <c r="T37" s="43" t="s">
        <v>261</v>
      </c>
      <c r="U37" s="169" t="s">
        <v>261</v>
      </c>
      <c r="V37" s="69" t="s">
        <v>261</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261</v>
      </c>
      <c r="O38" s="124">
        <v>45673</v>
      </c>
      <c r="P38" s="30" t="s">
        <v>261</v>
      </c>
      <c r="Q38" s="43" t="s">
        <v>261</v>
      </c>
      <c r="R38" s="43" t="s">
        <v>2179</v>
      </c>
      <c r="S38" s="43" t="s">
        <v>261</v>
      </c>
      <c r="T38" s="43" t="s">
        <v>261</v>
      </c>
      <c r="U38" s="169" t="s">
        <v>261</v>
      </c>
      <c r="V38" s="69" t="s">
        <v>261</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261</v>
      </c>
      <c r="N39" s="30" t="s">
        <v>261</v>
      </c>
      <c r="O39" s="124">
        <v>45672</v>
      </c>
      <c r="P39" s="30" t="s">
        <v>261</v>
      </c>
      <c r="Q39" s="43" t="s">
        <v>261</v>
      </c>
      <c r="R39" s="43" t="s">
        <v>2179</v>
      </c>
      <c r="S39" s="43" t="s">
        <v>261</v>
      </c>
      <c r="T39" s="43" t="s">
        <v>261</v>
      </c>
      <c r="U39" s="169" t="s">
        <v>261</v>
      </c>
      <c r="V39" s="69" t="s">
        <v>261</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261</v>
      </c>
      <c r="O40" s="124">
        <v>45715</v>
      </c>
      <c r="P40" s="30" t="s">
        <v>261</v>
      </c>
      <c r="Q40" s="43" t="s">
        <v>261</v>
      </c>
      <c r="R40" s="43" t="s">
        <v>261</v>
      </c>
      <c r="S40" s="43" t="s">
        <v>261</v>
      </c>
      <c r="T40" s="43" t="s">
        <v>261</v>
      </c>
      <c r="U40" s="43" t="s">
        <v>261</v>
      </c>
      <c r="V40" s="69" t="s">
        <v>261</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261</v>
      </c>
      <c r="O41" s="54">
        <v>45729</v>
      </c>
      <c r="P41" s="87" t="s">
        <v>261</v>
      </c>
      <c r="Q41" s="43" t="s">
        <v>261</v>
      </c>
      <c r="R41" s="43" t="s">
        <v>261</v>
      </c>
      <c r="S41" s="43" t="s">
        <v>261</v>
      </c>
      <c r="T41" s="43" t="s">
        <v>261</v>
      </c>
      <c r="U41" s="169" t="s">
        <v>261</v>
      </c>
      <c r="V41" s="69" t="s">
        <v>261</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261</v>
      </c>
      <c r="O42" s="54">
        <v>45737</v>
      </c>
      <c r="P42" s="87" t="s">
        <v>261</v>
      </c>
      <c r="Q42" s="43" t="s">
        <v>261</v>
      </c>
      <c r="R42" s="43" t="s">
        <v>261</v>
      </c>
      <c r="S42" s="43" t="s">
        <v>261</v>
      </c>
      <c r="T42" s="43" t="s">
        <v>261</v>
      </c>
      <c r="U42" s="43" t="s">
        <v>261</v>
      </c>
      <c r="V42" s="69" t="s">
        <v>261</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261</v>
      </c>
      <c r="N43" s="30" t="s">
        <v>261</v>
      </c>
      <c r="O43" s="124">
        <v>45726</v>
      </c>
      <c r="P43" s="30" t="s">
        <v>261</v>
      </c>
      <c r="Q43" s="43" t="s">
        <v>261</v>
      </c>
      <c r="R43" s="43" t="s">
        <v>261</v>
      </c>
      <c r="S43" s="43" t="s">
        <v>261</v>
      </c>
      <c r="T43" s="43" t="s">
        <v>261</v>
      </c>
      <c r="U43" s="43" t="s">
        <v>261</v>
      </c>
      <c r="V43" s="69" t="s">
        <v>261</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261</v>
      </c>
      <c r="O44" s="54">
        <v>45741</v>
      </c>
      <c r="P44" s="30" t="s">
        <v>261</v>
      </c>
      <c r="Q44" s="43" t="s">
        <v>261</v>
      </c>
      <c r="R44" s="43" t="s">
        <v>261</v>
      </c>
      <c r="S44" s="43" t="s">
        <v>261</v>
      </c>
      <c r="T44" s="43" t="s">
        <v>261</v>
      </c>
      <c r="U44" s="43" t="s">
        <v>261</v>
      </c>
      <c r="V44" s="69" t="s">
        <v>261</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261</v>
      </c>
      <c r="N45" s="30" t="s">
        <v>261</v>
      </c>
      <c r="O45" s="124">
        <v>45695</v>
      </c>
      <c r="P45" s="30" t="s">
        <v>261</v>
      </c>
      <c r="Q45" s="43" t="s">
        <v>261</v>
      </c>
      <c r="R45" s="43" t="s">
        <v>261</v>
      </c>
      <c r="S45" s="43" t="s">
        <v>261</v>
      </c>
      <c r="T45" s="43" t="s">
        <v>261</v>
      </c>
      <c r="U45" s="43" t="s">
        <v>261</v>
      </c>
      <c r="V45" s="69" t="s">
        <v>261</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261</v>
      </c>
      <c r="O46" s="124">
        <v>45810</v>
      </c>
      <c r="P46" s="30" t="s">
        <v>261</v>
      </c>
      <c r="Q46" s="43" t="s">
        <v>261</v>
      </c>
      <c r="R46" s="43" t="s">
        <v>261</v>
      </c>
      <c r="S46" s="43" t="s">
        <v>261</v>
      </c>
      <c r="T46" s="43" t="s">
        <v>261</v>
      </c>
      <c r="U46" s="43" t="s">
        <v>261</v>
      </c>
      <c r="V46" s="69" t="s">
        <v>261</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261</v>
      </c>
      <c r="O47" s="54">
        <v>45880</v>
      </c>
      <c r="P47" s="87" t="s">
        <v>261</v>
      </c>
      <c r="Q47" s="43" t="s">
        <v>261</v>
      </c>
      <c r="R47" s="43" t="s">
        <v>261</v>
      </c>
      <c r="S47" s="43" t="s">
        <v>56</v>
      </c>
      <c r="T47" s="43" t="s">
        <v>261</v>
      </c>
      <c r="U47" s="43" t="s">
        <v>261</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261</v>
      </c>
      <c r="O48" s="54">
        <v>45882</v>
      </c>
      <c r="P48" s="87" t="s">
        <v>261</v>
      </c>
      <c r="Q48" s="157" t="s">
        <v>261</v>
      </c>
      <c r="R48" s="157" t="s">
        <v>261</v>
      </c>
      <c r="S48" s="43" t="s">
        <v>261</v>
      </c>
      <c r="T48" s="43" t="s">
        <v>261</v>
      </c>
      <c r="U48" s="69" t="s">
        <v>261</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261</v>
      </c>
      <c r="O49" s="54">
        <v>45840</v>
      </c>
      <c r="P49" s="87" t="s">
        <v>261</v>
      </c>
      <c r="Q49" s="43" t="s">
        <v>261</v>
      </c>
      <c r="R49" s="43" t="s">
        <v>261</v>
      </c>
      <c r="S49" s="43" t="s">
        <v>56</v>
      </c>
      <c r="T49" s="43" t="s">
        <v>261</v>
      </c>
      <c r="U49" s="43" t="s">
        <v>261</v>
      </c>
      <c r="V49" s="69" t="s">
        <v>261</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261</v>
      </c>
      <c r="O50" s="54">
        <v>45847</v>
      </c>
      <c r="P50" s="87" t="s">
        <v>261</v>
      </c>
      <c r="Q50" s="43" t="s">
        <v>261</v>
      </c>
      <c r="R50" s="43" t="s">
        <v>261</v>
      </c>
      <c r="S50" s="43" t="s">
        <v>56</v>
      </c>
      <c r="T50" s="43" t="s">
        <v>261</v>
      </c>
      <c r="U50" s="43" t="s">
        <v>261</v>
      </c>
      <c r="V50" s="69" t="s">
        <v>261</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261</v>
      </c>
      <c r="O51" s="54">
        <v>45840</v>
      </c>
      <c r="P51" s="87" t="s">
        <v>261</v>
      </c>
      <c r="Q51" s="43" t="s">
        <v>261</v>
      </c>
      <c r="R51" s="43" t="s">
        <v>261</v>
      </c>
      <c r="S51" s="43" t="s">
        <v>56</v>
      </c>
      <c r="T51" s="43" t="s">
        <v>261</v>
      </c>
      <c r="U51" s="43" t="s">
        <v>261</v>
      </c>
      <c r="V51" s="69" t="s">
        <v>261</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261</v>
      </c>
      <c r="O52" s="54">
        <v>45833</v>
      </c>
      <c r="P52" s="30" t="s">
        <v>261</v>
      </c>
      <c r="Q52" s="43" t="s">
        <v>261</v>
      </c>
      <c r="R52" s="43" t="s">
        <v>261</v>
      </c>
      <c r="S52" s="43" t="s">
        <v>261</v>
      </c>
      <c r="T52" s="43" t="s">
        <v>261</v>
      </c>
      <c r="U52" s="43" t="s">
        <v>261</v>
      </c>
      <c r="V52" s="69" t="s">
        <v>261</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261</v>
      </c>
      <c r="O53" s="54">
        <v>45840</v>
      </c>
      <c r="P53" s="87" t="s">
        <v>261</v>
      </c>
      <c r="Q53" s="43" t="s">
        <v>56</v>
      </c>
      <c r="R53" s="43" t="s">
        <v>261</v>
      </c>
      <c r="S53" s="43" t="s">
        <v>261</v>
      </c>
      <c r="T53" s="43" t="s">
        <v>261</v>
      </c>
      <c r="U53" s="43" t="s">
        <v>261</v>
      </c>
      <c r="V53" s="69" t="s">
        <v>261</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261</v>
      </c>
      <c r="O54" s="54">
        <v>45887</v>
      </c>
      <c r="P54" s="87" t="s">
        <v>261</v>
      </c>
      <c r="Q54" s="43" t="s">
        <v>261</v>
      </c>
      <c r="R54" s="43" t="s">
        <v>261</v>
      </c>
      <c r="S54" s="43" t="s">
        <v>261</v>
      </c>
      <c r="T54" s="43" t="s">
        <v>261</v>
      </c>
      <c r="U54" s="43" t="s">
        <v>261</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261</v>
      </c>
      <c r="O55" s="54">
        <v>45887</v>
      </c>
      <c r="P55" s="87" t="s">
        <v>261</v>
      </c>
      <c r="Q55" s="115" t="s">
        <v>261</v>
      </c>
      <c r="R55" s="115" t="s">
        <v>261</v>
      </c>
      <c r="S55" s="115" t="s">
        <v>261</v>
      </c>
      <c r="T55" s="115" t="s">
        <v>261</v>
      </c>
      <c r="U55" s="43" t="s">
        <v>261</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261</v>
      </c>
      <c r="O56" s="54">
        <v>45887</v>
      </c>
      <c r="P56" s="328" t="s">
        <v>261</v>
      </c>
      <c r="Q56" s="43" t="s">
        <v>261</v>
      </c>
      <c r="R56" s="43" t="s">
        <v>261</v>
      </c>
      <c r="S56" s="43" t="s">
        <v>261</v>
      </c>
      <c r="T56" s="43" t="s">
        <v>261</v>
      </c>
      <c r="U56" s="43" t="s">
        <v>261</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261</v>
      </c>
      <c r="O57" s="124">
        <v>45783</v>
      </c>
      <c r="P57" s="328" t="s">
        <v>261</v>
      </c>
      <c r="Q57" s="43" t="s">
        <v>261</v>
      </c>
      <c r="R57" s="43" t="s">
        <v>2179</v>
      </c>
      <c r="S57" s="43" t="s">
        <v>261</v>
      </c>
      <c r="T57" s="43" t="s">
        <v>261</v>
      </c>
      <c r="U57" s="43" t="s">
        <v>261</v>
      </c>
      <c r="V57" s="69" t="s">
        <v>261</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261</v>
      </c>
      <c r="O58" s="54">
        <v>45776</v>
      </c>
      <c r="P58" s="328" t="s">
        <v>261</v>
      </c>
      <c r="Q58" s="43" t="s">
        <v>261</v>
      </c>
      <c r="R58" s="43" t="s">
        <v>2179</v>
      </c>
      <c r="S58" s="43" t="s">
        <v>261</v>
      </c>
      <c r="T58" s="43" t="s">
        <v>261</v>
      </c>
      <c r="U58" s="43" t="s">
        <v>261</v>
      </c>
      <c r="V58" s="334" t="s">
        <v>261</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261</v>
      </c>
      <c r="O59" s="30" t="s">
        <v>2161</v>
      </c>
      <c r="P59" s="328" t="s">
        <v>261</v>
      </c>
      <c r="Q59" s="43" t="s">
        <v>261</v>
      </c>
      <c r="R59" s="43" t="s">
        <v>2179</v>
      </c>
      <c r="S59" s="43" t="s">
        <v>261</v>
      </c>
      <c r="T59" s="43" t="s">
        <v>261</v>
      </c>
      <c r="U59" s="43" t="s">
        <v>261</v>
      </c>
      <c r="V59" s="334" t="s">
        <v>261</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261</v>
      </c>
      <c r="O60" s="54">
        <v>45812</v>
      </c>
      <c r="P60" s="328" t="s">
        <v>261</v>
      </c>
      <c r="Q60" s="43" t="s">
        <v>261</v>
      </c>
      <c r="R60" s="43" t="s">
        <v>2179</v>
      </c>
      <c r="S60" s="43" t="s">
        <v>261</v>
      </c>
      <c r="T60" s="43" t="s">
        <v>261</v>
      </c>
      <c r="U60" s="43" t="s">
        <v>261</v>
      </c>
      <c r="V60" s="334" t="s">
        <v>261</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261</v>
      </c>
      <c r="N61" s="87" t="s">
        <v>261</v>
      </c>
      <c r="O61" s="124">
        <v>45673</v>
      </c>
      <c r="P61" s="328" t="s">
        <v>261</v>
      </c>
      <c r="Q61" s="43" t="s">
        <v>261</v>
      </c>
      <c r="R61" s="69" t="s">
        <v>65</v>
      </c>
      <c r="S61" s="43" t="s">
        <v>56</v>
      </c>
      <c r="T61" s="43" t="s">
        <v>261</v>
      </c>
      <c r="U61" s="161" t="s">
        <v>261</v>
      </c>
      <c r="V61" s="69" t="s">
        <v>261</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261</v>
      </c>
      <c r="O62" s="54">
        <v>45848</v>
      </c>
      <c r="P62" s="328" t="s">
        <v>261</v>
      </c>
      <c r="Q62" s="43" t="s">
        <v>261</v>
      </c>
      <c r="R62" s="43" t="s">
        <v>261</v>
      </c>
      <c r="S62" s="43" t="s">
        <v>56</v>
      </c>
      <c r="T62" s="43" t="s">
        <v>261</v>
      </c>
      <c r="U62" s="43" t="s">
        <v>261</v>
      </c>
      <c r="V62" s="43" t="s">
        <v>261</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261</v>
      </c>
      <c r="O63" s="54">
        <v>45882</v>
      </c>
      <c r="P63" s="328" t="s">
        <v>261</v>
      </c>
      <c r="Q63" s="43" t="s">
        <v>261</v>
      </c>
      <c r="R63" s="43" t="s">
        <v>261</v>
      </c>
      <c r="S63" s="43" t="s">
        <v>56</v>
      </c>
      <c r="T63" s="43" t="s">
        <v>261</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261</v>
      </c>
      <c r="O64" s="54">
        <v>45884</v>
      </c>
      <c r="P64" s="328" t="s">
        <v>261</v>
      </c>
      <c r="Q64" s="43" t="s">
        <v>261</v>
      </c>
      <c r="R64" s="43" t="s">
        <v>261</v>
      </c>
      <c r="S64" s="43" t="s">
        <v>56</v>
      </c>
      <c r="T64" s="43" t="s">
        <v>261</v>
      </c>
      <c r="U64" s="43" t="s">
        <v>261</v>
      </c>
      <c r="V64" s="43" t="s">
        <v>261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261</v>
      </c>
      <c r="O65" s="54">
        <v>45824</v>
      </c>
      <c r="P65" s="328" t="s">
        <v>261</v>
      </c>
      <c r="Q65" s="43" t="s">
        <v>261</v>
      </c>
      <c r="R65" s="43" t="s">
        <v>261</v>
      </c>
      <c r="S65" s="43" t="s">
        <v>56</v>
      </c>
      <c r="T65" s="43" t="s">
        <v>261</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261</v>
      </c>
      <c r="O66" s="124">
        <v>45817</v>
      </c>
      <c r="P66" s="328" t="s">
        <v>261</v>
      </c>
      <c r="Q66" s="157" t="s">
        <v>261</v>
      </c>
      <c r="R66" s="43" t="s">
        <v>261</v>
      </c>
      <c r="S66" s="43" t="s">
        <v>56</v>
      </c>
      <c r="T66" s="43" t="s">
        <v>261</v>
      </c>
      <c r="U66" s="43" t="s">
        <v>261</v>
      </c>
      <c r="V66" s="43" t="s">
        <v>261</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261</v>
      </c>
      <c r="O67" s="54">
        <v>45876</v>
      </c>
      <c r="P67" s="328" t="s">
        <v>261</v>
      </c>
      <c r="Q67" s="157" t="s">
        <v>261</v>
      </c>
      <c r="R67" s="157" t="s">
        <v>261</v>
      </c>
      <c r="S67" s="43" t="s">
        <v>56</v>
      </c>
      <c r="T67" s="43" t="s">
        <v>261</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261</v>
      </c>
      <c r="N68" s="87" t="s">
        <v>261</v>
      </c>
      <c r="O68" s="87" t="s">
        <v>261</v>
      </c>
      <c r="P68" s="328" t="s">
        <v>261</v>
      </c>
      <c r="Q68" s="43" t="s">
        <v>261</v>
      </c>
      <c r="R68" s="43" t="s">
        <v>261</v>
      </c>
      <c r="S68" s="43" t="s">
        <v>56</v>
      </c>
      <c r="T68" s="43" t="s">
        <v>261</v>
      </c>
      <c r="U68" s="43" t="s">
        <v>261</v>
      </c>
      <c r="V68" s="334" t="s">
        <v>261</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261</v>
      </c>
      <c r="O69" s="54">
        <v>45870</v>
      </c>
      <c r="P69" s="328" t="s">
        <v>261</v>
      </c>
      <c r="Q69" s="43" t="s">
        <v>261</v>
      </c>
      <c r="R69" s="43" t="s">
        <v>261</v>
      </c>
      <c r="S69" s="43" t="s">
        <v>56</v>
      </c>
      <c r="T69" s="43" t="s">
        <v>261</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261</v>
      </c>
      <c r="O70" s="124">
        <v>45705</v>
      </c>
      <c r="P70" s="79" t="s">
        <v>261</v>
      </c>
      <c r="Q70" s="43" t="s">
        <v>261</v>
      </c>
      <c r="R70" s="43" t="s">
        <v>261</v>
      </c>
      <c r="S70" s="43" t="s">
        <v>56</v>
      </c>
      <c r="T70" s="43" t="s">
        <v>261</v>
      </c>
      <c r="U70" s="43" t="s">
        <v>261</v>
      </c>
      <c r="V70" s="334" t="s">
        <v>261</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261</v>
      </c>
      <c r="O71" s="54">
        <v>45870</v>
      </c>
      <c r="P71" s="79" t="s">
        <v>261</v>
      </c>
      <c r="Q71" s="43" t="s">
        <v>261</v>
      </c>
      <c r="R71" s="43" t="s">
        <v>261</v>
      </c>
      <c r="S71" s="43" t="s">
        <v>56</v>
      </c>
      <c r="T71" s="43" t="s">
        <v>261</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261</v>
      </c>
      <c r="O72" s="54">
        <v>45882</v>
      </c>
      <c r="P72" s="328" t="s">
        <v>261</v>
      </c>
      <c r="Q72" s="157" t="s">
        <v>261</v>
      </c>
      <c r="R72" s="43" t="s">
        <v>261</v>
      </c>
      <c r="S72" s="43" t="s">
        <v>56</v>
      </c>
      <c r="T72" s="43" t="s">
        <v>261</v>
      </c>
      <c r="U72" s="43" t="s">
        <v>261</v>
      </c>
      <c r="V72" s="43" t="s">
        <v>261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261</v>
      </c>
      <c r="O73" s="124">
        <v>45790</v>
      </c>
      <c r="P73" s="79" t="s">
        <v>261</v>
      </c>
      <c r="Q73" s="43" t="s">
        <v>261</v>
      </c>
      <c r="R73" s="43" t="s">
        <v>261</v>
      </c>
      <c r="S73" s="43" t="s">
        <v>56</v>
      </c>
      <c r="T73" s="43" t="s">
        <v>261</v>
      </c>
      <c r="U73" s="43" t="s">
        <v>261</v>
      </c>
      <c r="V73" s="334" t="s">
        <v>261</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261</v>
      </c>
      <c r="O74" s="54">
        <v>45871</v>
      </c>
      <c r="P74" s="79" t="s">
        <v>261</v>
      </c>
      <c r="Q74" s="43" t="s">
        <v>261</v>
      </c>
      <c r="R74" s="43" t="s">
        <v>261</v>
      </c>
      <c r="S74" s="43" t="s">
        <v>56</v>
      </c>
      <c r="T74" s="43" t="s">
        <v>261</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261</v>
      </c>
      <c r="O75" s="54">
        <v>45853</v>
      </c>
      <c r="P75" s="79" t="s">
        <v>261</v>
      </c>
      <c r="Q75" s="43" t="s">
        <v>261</v>
      </c>
      <c r="R75" s="43" t="s">
        <v>261</v>
      </c>
      <c r="S75" s="43" t="s">
        <v>56</v>
      </c>
      <c r="T75" s="43" t="s">
        <v>261</v>
      </c>
      <c r="U75" s="43" t="s">
        <v>261</v>
      </c>
      <c r="V75" s="43" t="s">
        <v>261</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261</v>
      </c>
      <c r="O76" s="54">
        <v>45838</v>
      </c>
      <c r="P76" s="87" t="s">
        <v>261</v>
      </c>
      <c r="Q76" s="169" t="s">
        <v>261</v>
      </c>
      <c r="R76" s="169" t="s">
        <v>261</v>
      </c>
      <c r="S76" s="169" t="s">
        <v>56</v>
      </c>
      <c r="T76" s="169" t="s">
        <v>261</v>
      </c>
      <c r="U76" s="43" t="s">
        <v>261</v>
      </c>
      <c r="V76" s="43" t="s">
        <v>261</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261</v>
      </c>
      <c r="O77" s="54">
        <v>45902</v>
      </c>
      <c r="P77" s="328" t="s">
        <v>261</v>
      </c>
      <c r="Q77" s="43" t="s">
        <v>261</v>
      </c>
      <c r="R77" s="43" t="s">
        <v>261</v>
      </c>
      <c r="S77" s="43" t="s">
        <v>56</v>
      </c>
      <c r="T77" s="43" t="s">
        <v>261</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261</v>
      </c>
      <c r="O78" s="54">
        <v>45902</v>
      </c>
      <c r="P78" s="328" t="s">
        <v>261</v>
      </c>
      <c r="Q78" s="43" t="s">
        <v>261</v>
      </c>
      <c r="R78" s="43" t="s">
        <v>261</v>
      </c>
      <c r="S78" s="43" t="s">
        <v>56</v>
      </c>
      <c r="T78" s="43" t="s">
        <v>261</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261</v>
      </c>
      <c r="N79" s="87" t="s">
        <v>261</v>
      </c>
      <c r="O79" s="87" t="s">
        <v>261</v>
      </c>
      <c r="P79" s="87" t="s">
        <v>261</v>
      </c>
      <c r="Q79" s="43" t="s">
        <v>56</v>
      </c>
      <c r="R79" s="43" t="s">
        <v>56</v>
      </c>
      <c r="S79" s="43" t="s">
        <v>56</v>
      </c>
      <c r="T79" s="43" t="s">
        <v>261</v>
      </c>
      <c r="U79" s="43" t="s">
        <v>261</v>
      </c>
      <c r="V79" s="334" t="s">
        <v>261</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261</v>
      </c>
      <c r="O80" s="30" t="s">
        <v>52</v>
      </c>
      <c r="P80" s="87" t="s">
        <v>261</v>
      </c>
      <c r="Q80" s="43" t="s">
        <v>56</v>
      </c>
      <c r="R80" s="43" t="s">
        <v>56</v>
      </c>
      <c r="S80" s="43" t="s">
        <v>56</v>
      </c>
      <c r="T80" s="43" t="s">
        <v>261</v>
      </c>
      <c r="U80" s="43" t="s">
        <v>261</v>
      </c>
      <c r="V80" s="69" t="s">
        <v>261</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261</v>
      </c>
      <c r="N81" s="87" t="s">
        <v>261</v>
      </c>
      <c r="O81" s="124">
        <v>45678</v>
      </c>
      <c r="P81" s="87" t="s">
        <v>261</v>
      </c>
      <c r="Q81" s="43" t="s">
        <v>261</v>
      </c>
      <c r="R81" s="43" t="s">
        <v>2179</v>
      </c>
      <c r="S81" s="43" t="s">
        <v>261</v>
      </c>
      <c r="T81" s="43" t="s">
        <v>261</v>
      </c>
      <c r="U81" s="115" t="s">
        <v>261</v>
      </c>
      <c r="V81" s="69" t="s">
        <v>261</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261</v>
      </c>
      <c r="O82" s="54">
        <v>45874</v>
      </c>
      <c r="P82" s="87" t="s">
        <v>261</v>
      </c>
      <c r="Q82" s="43" t="s">
        <v>261</v>
      </c>
      <c r="R82" s="43" t="s">
        <v>2179</v>
      </c>
      <c r="S82" s="43" t="s">
        <v>261</v>
      </c>
      <c r="T82" s="43" t="s">
        <v>261</v>
      </c>
      <c r="U82" s="115" t="s">
        <v>261</v>
      </c>
      <c r="V82" s="69" t="s">
        <v>261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261</v>
      </c>
      <c r="O83" s="54">
        <v>45706</v>
      </c>
      <c r="P83" s="87" t="s">
        <v>261</v>
      </c>
      <c r="Q83" s="165" t="s">
        <v>261</v>
      </c>
      <c r="R83" s="69" t="s">
        <v>261</v>
      </c>
      <c r="S83" s="69" t="s">
        <v>56</v>
      </c>
      <c r="T83" s="69" t="s">
        <v>261</v>
      </c>
      <c r="U83" s="43" t="s">
        <v>261</v>
      </c>
      <c r="V83" s="43" t="s">
        <v>261</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261</v>
      </c>
      <c r="O84" s="54">
        <v>45728</v>
      </c>
      <c r="P84" s="30" t="s">
        <v>261</v>
      </c>
      <c r="Q84" s="169" t="s">
        <v>261</v>
      </c>
      <c r="R84" s="169" t="s">
        <v>2179</v>
      </c>
      <c r="S84" s="169" t="s">
        <v>261</v>
      </c>
      <c r="T84" s="169" t="s">
        <v>261</v>
      </c>
      <c r="U84" s="91" t="s">
        <v>261</v>
      </c>
      <c r="V84" s="69" t="s">
        <v>261</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261</v>
      </c>
      <c r="O85" s="54">
        <v>45719</v>
      </c>
      <c r="P85" s="30" t="s">
        <v>261</v>
      </c>
      <c r="Q85" s="43" t="s">
        <v>261</v>
      </c>
      <c r="R85" s="169" t="s">
        <v>2179</v>
      </c>
      <c r="S85" s="169" t="s">
        <v>261</v>
      </c>
      <c r="T85" s="169" t="s">
        <v>261</v>
      </c>
      <c r="U85" s="91" t="s">
        <v>261</v>
      </c>
      <c r="V85" s="91" t="s">
        <v>261</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261</v>
      </c>
      <c r="O86" s="195">
        <v>45728</v>
      </c>
      <c r="P86" s="30" t="s">
        <v>261</v>
      </c>
      <c r="Q86" s="43" t="s">
        <v>261</v>
      </c>
      <c r="R86" s="43" t="s">
        <v>2179</v>
      </c>
      <c r="S86" s="43" t="s">
        <v>261</v>
      </c>
      <c r="T86" s="43" t="s">
        <v>261</v>
      </c>
      <c r="U86" s="69" t="s">
        <v>261</v>
      </c>
      <c r="V86" s="69" t="s">
        <v>261</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261</v>
      </c>
      <c r="O87" s="30" t="s">
        <v>261</v>
      </c>
      <c r="P87" s="30" t="s">
        <v>261</v>
      </c>
      <c r="Q87" s="43" t="s">
        <v>261</v>
      </c>
      <c r="R87" s="43" t="s">
        <v>2179</v>
      </c>
      <c r="S87" s="43" t="s">
        <v>261</v>
      </c>
      <c r="T87" s="43" t="s">
        <v>261</v>
      </c>
      <c r="U87" s="157" t="s">
        <v>261</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261</v>
      </c>
      <c r="O88" s="54">
        <v>45728</v>
      </c>
      <c r="P88" s="30" t="s">
        <v>261</v>
      </c>
      <c r="Q88" s="43" t="s">
        <v>261</v>
      </c>
      <c r="R88" s="43" t="s">
        <v>2179</v>
      </c>
      <c r="S88" s="43" t="s">
        <v>261</v>
      </c>
      <c r="T88" s="43" t="s">
        <v>261</v>
      </c>
      <c r="U88" s="157" t="s">
        <v>261</v>
      </c>
      <c r="V88" s="157" t="s">
        <v>261</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261</v>
      </c>
      <c r="O89" s="54">
        <v>45722</v>
      </c>
      <c r="P89" s="30" t="s">
        <v>261</v>
      </c>
      <c r="Q89" s="69" t="s">
        <v>261</v>
      </c>
      <c r="R89" s="43" t="s">
        <v>2179</v>
      </c>
      <c r="S89" s="69" t="s">
        <v>261</v>
      </c>
      <c r="T89" s="69" t="s">
        <v>261</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261</v>
      </c>
      <c r="O90" s="54">
        <v>45727</v>
      </c>
      <c r="P90" s="30" t="s">
        <v>261</v>
      </c>
      <c r="Q90" s="69" t="s">
        <v>261</v>
      </c>
      <c r="R90" s="43" t="s">
        <v>2179</v>
      </c>
      <c r="S90" s="69" t="s">
        <v>261</v>
      </c>
      <c r="T90" s="69" t="s">
        <v>261</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261</v>
      </c>
      <c r="O91" s="54">
        <v>45723</v>
      </c>
      <c r="P91" s="30" t="s">
        <v>261</v>
      </c>
      <c r="Q91" s="69" t="s">
        <v>261</v>
      </c>
      <c r="R91" s="43" t="s">
        <v>2179</v>
      </c>
      <c r="S91" s="69" t="s">
        <v>261</v>
      </c>
      <c r="T91" s="69" t="s">
        <v>261</v>
      </c>
      <c r="U91" s="69" t="s">
        <v>261</v>
      </c>
      <c r="V91" s="69" t="s">
        <v>261</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261</v>
      </c>
      <c r="O92" s="54">
        <v>45726</v>
      </c>
      <c r="P92" s="30" t="s">
        <v>261</v>
      </c>
      <c r="Q92" s="148" t="s">
        <v>261</v>
      </c>
      <c r="R92" s="43" t="s">
        <v>2179</v>
      </c>
      <c r="S92" s="69" t="s">
        <v>261</v>
      </c>
      <c r="T92" s="69" t="s">
        <v>261</v>
      </c>
      <c r="U92" s="334" t="s">
        <v>261</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261</v>
      </c>
      <c r="O93" s="54">
        <v>45727</v>
      </c>
      <c r="P93" s="79" t="s">
        <v>261</v>
      </c>
      <c r="Q93" s="43" t="s">
        <v>261</v>
      </c>
      <c r="R93" s="43" t="s">
        <v>2179</v>
      </c>
      <c r="S93" s="43" t="s">
        <v>261</v>
      </c>
      <c r="T93" s="43" t="s">
        <v>261</v>
      </c>
      <c r="U93" s="334" t="s">
        <v>261</v>
      </c>
      <c r="V93" s="69" t="s">
        <v>261</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261</v>
      </c>
      <c r="O94" s="54">
        <v>45693</v>
      </c>
      <c r="P94" s="79" t="s">
        <v>261</v>
      </c>
      <c r="Q94" s="69" t="s">
        <v>261</v>
      </c>
      <c r="R94" s="69" t="s">
        <v>2179</v>
      </c>
      <c r="S94" s="69" t="s">
        <v>261</v>
      </c>
      <c r="T94" s="69" t="s">
        <v>261</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261</v>
      </c>
      <c r="O95" s="195">
        <v>45694</v>
      </c>
      <c r="P95" s="79" t="s">
        <v>261</v>
      </c>
      <c r="Q95" s="69" t="s">
        <v>261</v>
      </c>
      <c r="R95" s="69" t="s">
        <v>2179</v>
      </c>
      <c r="S95" s="69" t="s">
        <v>261</v>
      </c>
      <c r="T95" s="43" t="s">
        <v>261</v>
      </c>
      <c r="U95" s="69" t="s">
        <v>261</v>
      </c>
      <c r="V95" s="69" t="s">
        <v>261</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261</v>
      </c>
      <c r="O96" s="54">
        <v>45694</v>
      </c>
      <c r="P96" s="30" t="s">
        <v>261</v>
      </c>
      <c r="Q96" s="69" t="s">
        <v>261</v>
      </c>
      <c r="R96" s="91" t="s">
        <v>2179</v>
      </c>
      <c r="S96" s="69" t="s">
        <v>261</v>
      </c>
      <c r="T96" s="69" t="s">
        <v>261</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261</v>
      </c>
      <c r="O97" s="54">
        <v>45688</v>
      </c>
      <c r="P97" s="30" t="s">
        <v>261</v>
      </c>
      <c r="Q97" s="69" t="s">
        <v>261</v>
      </c>
      <c r="R97" s="69" t="s">
        <v>2179</v>
      </c>
      <c r="S97" s="69" t="s">
        <v>261</v>
      </c>
      <c r="T97" s="69" t="s">
        <v>261</v>
      </c>
      <c r="U97" s="69" t="s">
        <v>261</v>
      </c>
      <c r="V97" s="43" t="s">
        <v>261</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261</v>
      </c>
      <c r="O98" s="54">
        <v>45692</v>
      </c>
      <c r="P98" s="30" t="s">
        <v>261</v>
      </c>
      <c r="Q98" s="43" t="s">
        <v>261</v>
      </c>
      <c r="R98" s="43" t="s">
        <v>2179</v>
      </c>
      <c r="S98" s="43" t="s">
        <v>261</v>
      </c>
      <c r="T98" s="43" t="s">
        <v>261</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261</v>
      </c>
      <c r="O99" s="54">
        <v>45692</v>
      </c>
      <c r="P99" s="30" t="s">
        <v>261</v>
      </c>
      <c r="Q99" s="43" t="s">
        <v>261</v>
      </c>
      <c r="R99" s="43" t="s">
        <v>2179</v>
      </c>
      <c r="S99" s="43" t="s">
        <v>261</v>
      </c>
      <c r="T99" s="115" t="s">
        <v>261</v>
      </c>
      <c r="U99" s="148" t="s">
        <v>261</v>
      </c>
      <c r="V99" s="69" t="s">
        <v>261</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261</v>
      </c>
      <c r="O100" s="166">
        <v>45691</v>
      </c>
      <c r="P100" s="30" t="s">
        <v>261</v>
      </c>
      <c r="Q100" s="43" t="s">
        <v>261</v>
      </c>
      <c r="R100" s="43" t="s">
        <v>2179</v>
      </c>
      <c r="S100" s="43" t="s">
        <v>261</v>
      </c>
      <c r="T100" s="43" t="s">
        <v>261</v>
      </c>
      <c r="U100" s="69" t="s">
        <v>261</v>
      </c>
      <c r="V100" s="157" t="s">
        <v>261</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261</v>
      </c>
      <c r="O101" s="54">
        <v>45695</v>
      </c>
      <c r="P101" s="30" t="s">
        <v>261</v>
      </c>
      <c r="Q101" s="43" t="s">
        <v>261</v>
      </c>
      <c r="R101" s="43" t="s">
        <v>2179</v>
      </c>
      <c r="S101" s="43" t="s">
        <v>261</v>
      </c>
      <c r="T101" s="43" t="s">
        <v>261</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261</v>
      </c>
      <c r="N102" s="30" t="s">
        <v>261</v>
      </c>
      <c r="O102" s="54">
        <v>45699</v>
      </c>
      <c r="P102" s="87" t="s">
        <v>261</v>
      </c>
      <c r="Q102" s="88" t="s">
        <v>261</v>
      </c>
      <c r="R102" s="43" t="s">
        <v>2179</v>
      </c>
      <c r="S102" s="43" t="s">
        <v>261</v>
      </c>
      <c r="T102" s="43" t="s">
        <v>261</v>
      </c>
      <c r="U102" s="43" t="s">
        <v>261</v>
      </c>
      <c r="V102" s="165" t="s">
        <v>261</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261</v>
      </c>
      <c r="O103" s="54">
        <v>45675</v>
      </c>
      <c r="P103" s="87" t="s">
        <v>261</v>
      </c>
      <c r="Q103" s="43" t="s">
        <v>261</v>
      </c>
      <c r="R103" s="43" t="s">
        <v>2179</v>
      </c>
      <c r="S103" s="43" t="s">
        <v>261</v>
      </c>
      <c r="T103" s="43" t="s">
        <v>261</v>
      </c>
      <c r="U103" s="43" t="s">
        <v>261</v>
      </c>
      <c r="V103" s="139" t="s">
        <v>261</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261</v>
      </c>
      <c r="N104" s="119" t="s">
        <v>261</v>
      </c>
      <c r="O104" s="54">
        <v>45675</v>
      </c>
      <c r="P104" s="213" t="s">
        <v>261</v>
      </c>
      <c r="Q104" s="43" t="s">
        <v>261</v>
      </c>
      <c r="R104" s="43" t="s">
        <v>2179</v>
      </c>
      <c r="S104" s="43" t="s">
        <v>261</v>
      </c>
      <c r="T104" s="43" t="s">
        <v>261</v>
      </c>
      <c r="U104" s="43" t="s">
        <v>261</v>
      </c>
      <c r="V104" s="139" t="s">
        <v>261</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261</v>
      </c>
      <c r="O105" s="54">
        <v>45743</v>
      </c>
      <c r="P105" s="87" t="s">
        <v>261</v>
      </c>
      <c r="Q105" s="157" t="s">
        <v>261</v>
      </c>
      <c r="R105" s="69" t="s">
        <v>2179</v>
      </c>
      <c r="S105" s="43" t="s">
        <v>261</v>
      </c>
      <c r="T105" s="43" t="s">
        <v>261</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261</v>
      </c>
      <c r="O106" s="54">
        <v>45679</v>
      </c>
      <c r="P106" s="87" t="s">
        <v>261</v>
      </c>
      <c r="Q106" s="43" t="s">
        <v>261</v>
      </c>
      <c r="R106" s="43" t="s">
        <v>2179</v>
      </c>
      <c r="S106" s="43" t="s">
        <v>261</v>
      </c>
      <c r="T106" s="43" t="s">
        <v>261</v>
      </c>
      <c r="U106" s="43" t="s">
        <v>261</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261</v>
      </c>
      <c r="O107" s="54">
        <v>45749</v>
      </c>
      <c r="P107" s="30" t="s">
        <v>261</v>
      </c>
      <c r="Q107" s="43" t="s">
        <v>261</v>
      </c>
      <c r="R107" s="43" t="s">
        <v>2179</v>
      </c>
      <c r="S107" s="43" t="s">
        <v>261</v>
      </c>
      <c r="T107" s="43" t="s">
        <v>261</v>
      </c>
      <c r="U107" s="43" t="s">
        <v>261</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261</v>
      </c>
      <c r="O108" s="54">
        <v>45749</v>
      </c>
      <c r="P108" s="30" t="s">
        <v>261</v>
      </c>
      <c r="Q108" s="43" t="s">
        <v>261</v>
      </c>
      <c r="R108" s="334" t="s">
        <v>2179</v>
      </c>
      <c r="S108" s="43" t="s">
        <v>261</v>
      </c>
      <c r="T108" s="43" t="s">
        <v>261</v>
      </c>
      <c r="U108" s="88" t="s">
        <v>261</v>
      </c>
      <c r="V108" s="481" t="s">
        <v>261</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261</v>
      </c>
      <c r="O109" s="54">
        <v>45744</v>
      </c>
      <c r="P109" s="79" t="s">
        <v>261</v>
      </c>
      <c r="Q109" s="43" t="s">
        <v>261</v>
      </c>
      <c r="R109" s="334" t="s">
        <v>2179</v>
      </c>
      <c r="S109" s="43" t="s">
        <v>261</v>
      </c>
      <c r="T109" s="43" t="s">
        <v>261</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261</v>
      </c>
      <c r="O110" s="54">
        <v>45691</v>
      </c>
      <c r="P110" s="79" t="s">
        <v>261</v>
      </c>
      <c r="Q110" s="43" t="s">
        <v>261</v>
      </c>
      <c r="R110" s="334" t="s">
        <v>2179</v>
      </c>
      <c r="S110" s="43" t="s">
        <v>261</v>
      </c>
      <c r="T110" s="43" t="s">
        <v>261</v>
      </c>
      <c r="U110" s="88" t="s">
        <v>261</v>
      </c>
      <c r="V110" s="481" t="s">
        <v>261</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261</v>
      </c>
      <c r="O111" s="54">
        <v>45708</v>
      </c>
      <c r="P111" s="30" t="s">
        <v>261</v>
      </c>
      <c r="Q111" s="169" t="s">
        <v>261</v>
      </c>
      <c r="R111" s="69" t="s">
        <v>2179</v>
      </c>
      <c r="S111" s="43" t="s">
        <v>261</v>
      </c>
      <c r="T111" s="43" t="s">
        <v>261</v>
      </c>
      <c r="U111" s="43" t="s">
        <v>261</v>
      </c>
      <c r="V111" s="201" t="s">
        <v>261</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261</v>
      </c>
      <c r="O112" s="166">
        <v>45744</v>
      </c>
      <c r="P112" s="114" t="s">
        <v>261</v>
      </c>
      <c r="Q112" s="115" t="s">
        <v>261</v>
      </c>
      <c r="R112" s="148" t="s">
        <v>2179</v>
      </c>
      <c r="S112" s="43" t="s">
        <v>261</v>
      </c>
      <c r="T112" s="43" t="s">
        <v>261</v>
      </c>
      <c r="U112" s="43" t="s">
        <v>261</v>
      </c>
      <c r="V112" s="201" t="s">
        <v>261</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261</v>
      </c>
      <c r="O113" s="166">
        <v>45755</v>
      </c>
      <c r="P113" s="114" t="s">
        <v>261</v>
      </c>
      <c r="Q113" s="115" t="s">
        <v>261</v>
      </c>
      <c r="R113" s="148" t="s">
        <v>2179</v>
      </c>
      <c r="S113" s="115" t="s">
        <v>261</v>
      </c>
      <c r="T113" s="43" t="s">
        <v>261</v>
      </c>
      <c r="U113" s="43" t="s">
        <v>261</v>
      </c>
      <c r="V113" s="201" t="s">
        <v>261</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261</v>
      </c>
      <c r="O114" s="54">
        <v>45747</v>
      </c>
      <c r="P114" s="114" t="s">
        <v>261</v>
      </c>
      <c r="Q114" s="115" t="s">
        <v>261</v>
      </c>
      <c r="R114" s="148" t="s">
        <v>2179</v>
      </c>
      <c r="S114" s="115" t="s">
        <v>261</v>
      </c>
      <c r="T114" s="43" t="s">
        <v>261</v>
      </c>
      <c r="U114" s="157" t="s">
        <v>261</v>
      </c>
      <c r="V114" s="201" t="s">
        <v>261</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261</v>
      </c>
      <c r="O115" s="124">
        <v>45757</v>
      </c>
      <c r="P115" s="30" t="s">
        <v>261</v>
      </c>
      <c r="Q115" s="43" t="s">
        <v>261</v>
      </c>
      <c r="R115" s="69" t="s">
        <v>2179</v>
      </c>
      <c r="S115" s="43" t="s">
        <v>261</v>
      </c>
      <c r="T115" s="43" t="s">
        <v>261</v>
      </c>
      <c r="U115" s="43" t="s">
        <v>261</v>
      </c>
      <c r="V115" s="88" t="s">
        <v>261</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261</v>
      </c>
      <c r="O116" s="124">
        <v>45757</v>
      </c>
      <c r="P116" s="30" t="s">
        <v>261</v>
      </c>
      <c r="Q116" s="43" t="s">
        <v>261</v>
      </c>
      <c r="R116" s="69" t="s">
        <v>2179</v>
      </c>
      <c r="S116" s="43" t="s">
        <v>261</v>
      </c>
      <c r="T116" s="43" t="s">
        <v>261</v>
      </c>
      <c r="U116" s="43" t="s">
        <v>261</v>
      </c>
      <c r="V116" s="481" t="s">
        <v>261</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261</v>
      </c>
      <c r="O117" s="124">
        <v>45757</v>
      </c>
      <c r="P117" s="30" t="s">
        <v>261</v>
      </c>
      <c r="Q117" s="43" t="s">
        <v>261</v>
      </c>
      <c r="R117" s="69" t="s">
        <v>2179</v>
      </c>
      <c r="S117" s="43" t="s">
        <v>261</v>
      </c>
      <c r="T117" s="43" t="s">
        <v>261</v>
      </c>
      <c r="U117" s="43" t="s">
        <v>261</v>
      </c>
      <c r="V117" s="88" t="s">
        <v>261</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261</v>
      </c>
      <c r="O118" s="124">
        <v>45757</v>
      </c>
      <c r="P118" s="87" t="s">
        <v>261</v>
      </c>
      <c r="Q118" s="43" t="s">
        <v>261</v>
      </c>
      <c r="R118" s="43" t="s">
        <v>2179</v>
      </c>
      <c r="S118" s="43" t="s">
        <v>261</v>
      </c>
      <c r="T118" s="43" t="s">
        <v>261</v>
      </c>
      <c r="U118" s="157" t="s">
        <v>261</v>
      </c>
      <c r="V118" s="88" t="s">
        <v>261</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261</v>
      </c>
      <c r="O119" s="124">
        <v>45757</v>
      </c>
      <c r="P119" s="30" t="s">
        <v>261</v>
      </c>
      <c r="Q119" s="69" t="s">
        <v>261</v>
      </c>
      <c r="R119" s="69" t="s">
        <v>2179</v>
      </c>
      <c r="S119" s="43" t="s">
        <v>261</v>
      </c>
      <c r="T119" s="43" t="s">
        <v>261</v>
      </c>
      <c r="U119" s="157" t="s">
        <v>261</v>
      </c>
      <c r="V119" s="88" t="s">
        <v>261</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261</v>
      </c>
      <c r="O120" s="54">
        <v>45748</v>
      </c>
      <c r="P120" s="30" t="s">
        <v>261</v>
      </c>
      <c r="Q120" s="43" t="s">
        <v>261</v>
      </c>
      <c r="R120" s="69" t="s">
        <v>2179</v>
      </c>
      <c r="S120" s="43" t="s">
        <v>261</v>
      </c>
      <c r="T120" s="43" t="s">
        <v>261</v>
      </c>
      <c r="U120" s="43" t="s">
        <v>261</v>
      </c>
      <c r="V120" s="88" t="s">
        <v>261</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261</v>
      </c>
      <c r="O121" s="124">
        <v>45757</v>
      </c>
      <c r="P121" s="30" t="s">
        <v>261</v>
      </c>
      <c r="Q121" s="69" t="s">
        <v>261</v>
      </c>
      <c r="R121" s="69" t="s">
        <v>2179</v>
      </c>
      <c r="S121" s="43" t="s">
        <v>261</v>
      </c>
      <c r="T121" s="43" t="s">
        <v>261</v>
      </c>
      <c r="U121" s="43" t="s">
        <v>261</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261</v>
      </c>
      <c r="O122" s="54">
        <v>45747</v>
      </c>
      <c r="P122" s="30" t="s">
        <v>261</v>
      </c>
      <c r="Q122" s="69" t="s">
        <v>261</v>
      </c>
      <c r="R122" s="69" t="s">
        <v>2179</v>
      </c>
      <c r="S122" s="43" t="s">
        <v>261</v>
      </c>
      <c r="T122" s="43" t="s">
        <v>261</v>
      </c>
      <c r="U122" s="157" t="s">
        <v>261</v>
      </c>
      <c r="V122" s="157" t="s">
        <v>261</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261</v>
      </c>
      <c r="O123" s="54">
        <v>45744</v>
      </c>
      <c r="P123" s="30" t="s">
        <v>261</v>
      </c>
      <c r="Q123" s="43" t="s">
        <v>261</v>
      </c>
      <c r="R123" s="69" t="s">
        <v>2179</v>
      </c>
      <c r="S123" s="43" t="s">
        <v>261</v>
      </c>
      <c r="T123" s="43" t="s">
        <v>261</v>
      </c>
      <c r="U123" s="43" t="s">
        <v>261</v>
      </c>
      <c r="V123" s="69" t="s">
        <v>261</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261</v>
      </c>
      <c r="O124" s="54">
        <v>45744</v>
      </c>
      <c r="P124" s="30" t="s">
        <v>261</v>
      </c>
      <c r="Q124" s="43" t="s">
        <v>261</v>
      </c>
      <c r="R124" s="69" t="s">
        <v>2179</v>
      </c>
      <c r="S124" s="43" t="s">
        <v>261</v>
      </c>
      <c r="T124" s="43" t="s">
        <v>261</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261</v>
      </c>
      <c r="N125" s="30" t="s">
        <v>261</v>
      </c>
      <c r="O125" s="54">
        <v>45679</v>
      </c>
      <c r="P125" s="30" t="s">
        <v>261</v>
      </c>
      <c r="Q125" s="69" t="s">
        <v>261</v>
      </c>
      <c r="R125" s="43" t="s">
        <v>2179</v>
      </c>
      <c r="S125" s="43" t="s">
        <v>261</v>
      </c>
      <c r="T125" s="43" t="s">
        <v>261</v>
      </c>
      <c r="U125" s="43" t="s">
        <v>261</v>
      </c>
      <c r="V125" s="43" t="s">
        <v>261</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261</v>
      </c>
      <c r="N126" s="30" t="s">
        <v>261</v>
      </c>
      <c r="O126" s="54">
        <v>45720</v>
      </c>
      <c r="P126" s="30" t="s">
        <v>261</v>
      </c>
      <c r="Q126" s="69" t="s">
        <v>261</v>
      </c>
      <c r="R126" s="43" t="s">
        <v>2179</v>
      </c>
      <c r="S126" s="43" t="s">
        <v>261</v>
      </c>
      <c r="T126" s="43" t="s">
        <v>261</v>
      </c>
      <c r="U126" s="43" t="s">
        <v>261</v>
      </c>
      <c r="V126" s="88" t="s">
        <v>261</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261</v>
      </c>
      <c r="O127" s="54">
        <v>45679</v>
      </c>
      <c r="P127" s="30" t="s">
        <v>261</v>
      </c>
      <c r="Q127" s="43" t="s">
        <v>261</v>
      </c>
      <c r="R127" s="43" t="s">
        <v>2179</v>
      </c>
      <c r="S127" s="43" t="s">
        <v>261</v>
      </c>
      <c r="T127" s="43" t="s">
        <v>261</v>
      </c>
      <c r="U127" s="43" t="s">
        <v>261</v>
      </c>
      <c r="V127" s="88" t="s">
        <v>261</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261</v>
      </c>
      <c r="O128" s="347">
        <v>45694</v>
      </c>
      <c r="P128" s="87" t="s">
        <v>261</v>
      </c>
      <c r="Q128" s="43" t="s">
        <v>261</v>
      </c>
      <c r="R128" s="43" t="s">
        <v>2179</v>
      </c>
      <c r="S128" s="43" t="s">
        <v>261</v>
      </c>
      <c r="T128" s="43" t="s">
        <v>261</v>
      </c>
      <c r="U128" s="43" t="s">
        <v>261</v>
      </c>
      <c r="V128" s="88" t="s">
        <v>261</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261</v>
      </c>
      <c r="O129" s="166">
        <v>45720</v>
      </c>
      <c r="P129" s="114" t="s">
        <v>261</v>
      </c>
      <c r="Q129" s="148" t="s">
        <v>261</v>
      </c>
      <c r="R129" s="43" t="s">
        <v>2179</v>
      </c>
      <c r="S129" s="43" t="s">
        <v>261</v>
      </c>
      <c r="T129" s="115" t="s">
        <v>261</v>
      </c>
      <c r="U129" s="115" t="s">
        <v>261</v>
      </c>
      <c r="V129" s="88" t="s">
        <v>261</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261</v>
      </c>
      <c r="O130" s="54">
        <v>45698</v>
      </c>
      <c r="P130" s="30" t="s">
        <v>261</v>
      </c>
      <c r="Q130" s="69" t="s">
        <v>261</v>
      </c>
      <c r="R130" s="43" t="s">
        <v>2179</v>
      </c>
      <c r="S130" s="43" t="s">
        <v>261</v>
      </c>
      <c r="T130" s="43" t="s">
        <v>261</v>
      </c>
      <c r="U130" s="43" t="s">
        <v>261</v>
      </c>
      <c r="V130" s="88" t="s">
        <v>261</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261</v>
      </c>
      <c r="N131" s="49" t="s">
        <v>261</v>
      </c>
      <c r="O131" s="30" t="s">
        <v>261</v>
      </c>
      <c r="P131" s="30" t="s">
        <v>261</v>
      </c>
      <c r="Q131" s="43" t="s">
        <v>261</v>
      </c>
      <c r="R131" s="43" t="s">
        <v>2179</v>
      </c>
      <c r="S131" s="43" t="s">
        <v>261</v>
      </c>
      <c r="T131" s="157" t="s">
        <v>261</v>
      </c>
      <c r="U131" s="157" t="s">
        <v>261</v>
      </c>
      <c r="V131" s="88" t="s">
        <v>261</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261</v>
      </c>
      <c r="O132" s="54">
        <v>45691</v>
      </c>
      <c r="P132" s="87" t="s">
        <v>261</v>
      </c>
      <c r="Q132" s="43" t="s">
        <v>261</v>
      </c>
      <c r="R132" s="43" t="s">
        <v>2179</v>
      </c>
      <c r="S132" s="43" t="s">
        <v>261</v>
      </c>
      <c r="T132" s="43" t="s">
        <v>261</v>
      </c>
      <c r="U132" s="43" t="s">
        <v>261</v>
      </c>
      <c r="V132" s="43" t="s">
        <v>261</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261</v>
      </c>
      <c r="N133" s="49" t="s">
        <v>261</v>
      </c>
      <c r="O133" s="54">
        <v>45701</v>
      </c>
      <c r="P133" s="30" t="s">
        <v>261</v>
      </c>
      <c r="Q133" s="69" t="s">
        <v>261</v>
      </c>
      <c r="R133" s="43" t="s">
        <v>2179</v>
      </c>
      <c r="S133" s="43" t="s">
        <v>261</v>
      </c>
      <c r="T133" s="43" t="s">
        <v>261</v>
      </c>
      <c r="U133" s="43" t="s">
        <v>261</v>
      </c>
      <c r="V133" s="69" t="s">
        <v>261</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261</v>
      </c>
      <c r="O134" s="54">
        <v>45709</v>
      </c>
      <c r="P134" s="30" t="s">
        <v>261</v>
      </c>
      <c r="Q134" s="43" t="s">
        <v>261</v>
      </c>
      <c r="R134" s="43" t="s">
        <v>2179</v>
      </c>
      <c r="S134" s="43" t="s">
        <v>261</v>
      </c>
      <c r="T134" s="43" t="s">
        <v>261</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261</v>
      </c>
      <c r="N135" s="49" t="s">
        <v>261</v>
      </c>
      <c r="O135" s="195">
        <v>45720</v>
      </c>
      <c r="P135" s="49" t="s">
        <v>261</v>
      </c>
      <c r="Q135" s="69" t="s">
        <v>261</v>
      </c>
      <c r="R135" s="43" t="s">
        <v>2179</v>
      </c>
      <c r="S135" s="43" t="s">
        <v>261</v>
      </c>
      <c r="T135" s="43" t="s">
        <v>261</v>
      </c>
      <c r="U135" s="157" t="s">
        <v>261</v>
      </c>
      <c r="V135" s="43" t="s">
        <v>261</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261</v>
      </c>
      <c r="O136" s="54">
        <v>45691</v>
      </c>
      <c r="P136" s="30" t="s">
        <v>261</v>
      </c>
      <c r="Q136" s="43" t="s">
        <v>261</v>
      </c>
      <c r="R136" s="43" t="s">
        <v>2179</v>
      </c>
      <c r="S136" s="43" t="s">
        <v>261</v>
      </c>
      <c r="T136" s="43" t="s">
        <v>261</v>
      </c>
      <c r="U136" s="43" t="s">
        <v>261</v>
      </c>
      <c r="V136" s="43" t="s">
        <v>261</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261</v>
      </c>
      <c r="O137" s="30" t="s">
        <v>261</v>
      </c>
      <c r="P137" s="49" t="s">
        <v>261</v>
      </c>
      <c r="Q137" s="69" t="s">
        <v>261</v>
      </c>
      <c r="R137" s="43" t="s">
        <v>2179</v>
      </c>
      <c r="S137" s="43" t="s">
        <v>261</v>
      </c>
      <c r="T137" s="43" t="s">
        <v>261</v>
      </c>
      <c r="U137" s="157" t="s">
        <v>261</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261</v>
      </c>
      <c r="O138" s="124">
        <v>45707</v>
      </c>
      <c r="P138" s="30" t="s">
        <v>261</v>
      </c>
      <c r="Q138" s="43" t="s">
        <v>261</v>
      </c>
      <c r="R138" s="43" t="s">
        <v>2179</v>
      </c>
      <c r="S138" s="43" t="s">
        <v>261</v>
      </c>
      <c r="T138" s="43" t="s">
        <v>261</v>
      </c>
      <c r="U138" s="43" t="s">
        <v>261</v>
      </c>
      <c r="V138" s="43" t="s">
        <v>261</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261</v>
      </c>
      <c r="N139" s="30" t="s">
        <v>261</v>
      </c>
      <c r="O139" s="30" t="s">
        <v>261</v>
      </c>
      <c r="P139" s="30" t="s">
        <v>261</v>
      </c>
      <c r="Q139" s="43" t="s">
        <v>261</v>
      </c>
      <c r="R139" s="43" t="s">
        <v>2179</v>
      </c>
      <c r="S139" s="43" t="s">
        <v>261</v>
      </c>
      <c r="T139" s="43" t="s">
        <v>261</v>
      </c>
      <c r="U139" s="157" t="s">
        <v>261</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261</v>
      </c>
      <c r="O140" s="54">
        <v>45743</v>
      </c>
      <c r="P140" s="87" t="s">
        <v>261</v>
      </c>
      <c r="Q140" s="88" t="s">
        <v>261</v>
      </c>
      <c r="R140" s="43" t="s">
        <v>2179</v>
      </c>
      <c r="S140" s="43" t="s">
        <v>261</v>
      </c>
      <c r="T140" s="43" t="s">
        <v>261</v>
      </c>
      <c r="U140" s="88" t="s">
        <v>261</v>
      </c>
      <c r="V140" s="69" t="s">
        <v>261</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261</v>
      </c>
      <c r="O141" s="195">
        <v>45743</v>
      </c>
      <c r="P141" s="87" t="s">
        <v>261</v>
      </c>
      <c r="Q141" s="88" t="s">
        <v>261</v>
      </c>
      <c r="R141" s="43" t="s">
        <v>2179</v>
      </c>
      <c r="S141" s="43" t="s">
        <v>261</v>
      </c>
      <c r="T141" s="43" t="s">
        <v>261</v>
      </c>
      <c r="U141" s="88" t="s">
        <v>261</v>
      </c>
      <c r="V141" s="88" t="s">
        <v>261</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261</v>
      </c>
      <c r="N142" s="49" t="s">
        <v>261</v>
      </c>
      <c r="O142" s="195">
        <v>45691</v>
      </c>
      <c r="P142" s="30" t="s">
        <v>261</v>
      </c>
      <c r="Q142" s="69" t="s">
        <v>261</v>
      </c>
      <c r="R142" s="43" t="s">
        <v>2179</v>
      </c>
      <c r="S142" s="43" t="s">
        <v>261</v>
      </c>
      <c r="T142" s="43" t="s">
        <v>261</v>
      </c>
      <c r="U142" s="157" t="s">
        <v>261</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261</v>
      </c>
      <c r="N143" s="49" t="s">
        <v>261</v>
      </c>
      <c r="O143" s="195">
        <v>45675</v>
      </c>
      <c r="P143" s="30" t="s">
        <v>261</v>
      </c>
      <c r="Q143" s="69" t="s">
        <v>261</v>
      </c>
      <c r="R143" s="43" t="s">
        <v>2179</v>
      </c>
      <c r="S143" s="43" t="s">
        <v>261</v>
      </c>
      <c r="T143" s="43" t="s">
        <v>261</v>
      </c>
      <c r="U143" s="157" t="s">
        <v>261</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261</v>
      </c>
      <c r="O144" s="195">
        <v>45749</v>
      </c>
      <c r="P144" s="30" t="s">
        <v>261</v>
      </c>
      <c r="Q144" s="43" t="s">
        <v>261</v>
      </c>
      <c r="R144" s="43" t="s">
        <v>261</v>
      </c>
      <c r="S144" s="43" t="s">
        <v>56</v>
      </c>
      <c r="T144" s="43" t="s">
        <v>261</v>
      </c>
      <c r="U144" s="88" t="s">
        <v>261</v>
      </c>
      <c r="V144" s="88" t="s">
        <v>261</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261</v>
      </c>
      <c r="O148" s="195">
        <v>45744</v>
      </c>
      <c r="P148" s="49" t="s">
        <v>261</v>
      </c>
      <c r="Q148" s="43" t="s">
        <v>261</v>
      </c>
      <c r="R148" s="43" t="s">
        <v>261</v>
      </c>
      <c r="S148" s="43" t="s">
        <v>56</v>
      </c>
      <c r="T148" s="43" t="s">
        <v>261</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261</v>
      </c>
      <c r="O150" s="195">
        <v>45744</v>
      </c>
      <c r="P150" s="100" t="s">
        <v>261</v>
      </c>
      <c r="Q150" s="69" t="s">
        <v>261</v>
      </c>
      <c r="R150" s="43" t="s">
        <v>2179</v>
      </c>
      <c r="S150" s="43" t="s">
        <v>261</v>
      </c>
      <c r="T150" s="43" t="s">
        <v>261</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261</v>
      </c>
      <c r="O151" s="195">
        <v>45698</v>
      </c>
      <c r="P151" s="100" t="s">
        <v>261</v>
      </c>
      <c r="Q151" s="69" t="s">
        <v>261</v>
      </c>
      <c r="R151" s="43" t="s">
        <v>2179</v>
      </c>
      <c r="S151" s="43" t="s">
        <v>261</v>
      </c>
      <c r="T151" s="43" t="s">
        <v>261</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261</v>
      </c>
      <c r="O153" s="195">
        <v>45696</v>
      </c>
      <c r="P153" s="30" t="s">
        <v>261</v>
      </c>
      <c r="Q153" s="69" t="s">
        <v>261</v>
      </c>
      <c r="R153" s="43" t="s">
        <v>2179</v>
      </c>
      <c r="S153" s="43" t="s">
        <v>261</v>
      </c>
      <c r="T153" s="157" t="s">
        <v>261</v>
      </c>
      <c r="U153" s="157" t="s">
        <v>261</v>
      </c>
      <c r="V153" s="43" t="s">
        <v>261</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261</v>
      </c>
      <c r="O154" s="347">
        <v>45696</v>
      </c>
      <c r="P154" s="30" t="s">
        <v>261</v>
      </c>
      <c r="Q154" s="69" t="s">
        <v>261</v>
      </c>
      <c r="R154" s="43" t="s">
        <v>2179</v>
      </c>
      <c r="S154" s="43" t="s">
        <v>261</v>
      </c>
      <c r="T154" s="157" t="s">
        <v>261</v>
      </c>
      <c r="U154" s="157" t="s">
        <v>261</v>
      </c>
      <c r="V154" s="43" t="s">
        <v>261</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261</v>
      </c>
      <c r="O155" s="54">
        <v>45699</v>
      </c>
      <c r="P155" s="49" t="s">
        <v>261</v>
      </c>
      <c r="Q155" s="69" t="s">
        <v>261</v>
      </c>
      <c r="R155" s="43" t="s">
        <v>2179</v>
      </c>
      <c r="S155" s="43" t="s">
        <v>261</v>
      </c>
      <c r="T155" s="43" t="s">
        <v>261</v>
      </c>
      <c r="U155" s="157" t="s">
        <v>261</v>
      </c>
      <c r="V155" s="43" t="s">
        <v>261</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261</v>
      </c>
      <c r="O156" s="54">
        <v>45699</v>
      </c>
      <c r="P156" s="49" t="s">
        <v>261</v>
      </c>
      <c r="Q156" s="69" t="s">
        <v>261</v>
      </c>
      <c r="R156" s="43" t="s">
        <v>2179</v>
      </c>
      <c r="S156" s="43" t="s">
        <v>261</v>
      </c>
      <c r="T156" s="43" t="s">
        <v>261</v>
      </c>
      <c r="U156" s="69" t="s">
        <v>261</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261</v>
      </c>
      <c r="O158" s="54">
        <v>45736</v>
      </c>
      <c r="P158" s="49" t="s">
        <v>261</v>
      </c>
      <c r="Q158" s="69" t="s">
        <v>261</v>
      </c>
      <c r="R158" s="43" t="s">
        <v>2179</v>
      </c>
      <c r="S158" s="43" t="s">
        <v>261</v>
      </c>
      <c r="T158" s="43" t="s">
        <v>261</v>
      </c>
      <c r="U158" s="157" t="s">
        <v>261</v>
      </c>
      <c r="V158" s="157" t="s">
        <v>261</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261</v>
      </c>
      <c r="O159" s="30" t="s">
        <v>261</v>
      </c>
      <c r="P159" s="49" t="s">
        <v>261</v>
      </c>
      <c r="Q159" s="43" t="s">
        <v>261</v>
      </c>
      <c r="R159" s="43" t="s">
        <v>261</v>
      </c>
      <c r="S159" s="43" t="s">
        <v>56</v>
      </c>
      <c r="T159" s="43" t="s">
        <v>261</v>
      </c>
      <c r="U159" s="43" t="s">
        <v>261</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261</v>
      </c>
      <c r="O160" s="54">
        <v>45723</v>
      </c>
      <c r="P160" s="49" t="s">
        <v>261</v>
      </c>
      <c r="Q160" s="43" t="s">
        <v>261</v>
      </c>
      <c r="R160" s="43" t="s">
        <v>261</v>
      </c>
      <c r="S160" s="43" t="s">
        <v>56</v>
      </c>
      <c r="T160" s="43" t="s">
        <v>261</v>
      </c>
      <c r="U160" s="43" t="s">
        <v>261</v>
      </c>
      <c r="V160" s="69" t="s">
        <v>261</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261</v>
      </c>
      <c r="O161" s="156">
        <v>45726</v>
      </c>
      <c r="P161" s="49" t="s">
        <v>261</v>
      </c>
      <c r="Q161" s="43" t="s">
        <v>261</v>
      </c>
      <c r="R161" s="43" t="s">
        <v>261</v>
      </c>
      <c r="S161" s="43" t="s">
        <v>56</v>
      </c>
      <c r="T161" s="43" t="s">
        <v>261</v>
      </c>
      <c r="U161" s="43" t="s">
        <v>261</v>
      </c>
      <c r="V161" s="88" t="s">
        <v>261</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261</v>
      </c>
      <c r="O162" s="578">
        <v>45693</v>
      </c>
      <c r="P162" s="30" t="s">
        <v>261</v>
      </c>
      <c r="Q162" s="43" t="s">
        <v>261</v>
      </c>
      <c r="R162" s="43" t="s">
        <v>261</v>
      </c>
      <c r="S162" s="43" t="s">
        <v>56</v>
      </c>
      <c r="T162" s="43" t="s">
        <v>261</v>
      </c>
      <c r="U162" s="43" t="s">
        <v>261</v>
      </c>
      <c r="V162" s="88" t="s">
        <v>261</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261</v>
      </c>
      <c r="O163" s="54">
        <v>45693</v>
      </c>
      <c r="P163" s="30" t="s">
        <v>261</v>
      </c>
      <c r="Q163" s="69" t="s">
        <v>261</v>
      </c>
      <c r="R163" s="69" t="s">
        <v>261</v>
      </c>
      <c r="S163" s="43" t="s">
        <v>56</v>
      </c>
      <c r="T163" s="43" t="s">
        <v>261</v>
      </c>
      <c r="U163" s="69" t="s">
        <v>261</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261</v>
      </c>
      <c r="N164" s="30" t="s">
        <v>261</v>
      </c>
      <c r="O164" s="40" t="s">
        <v>261</v>
      </c>
      <c r="P164" s="87" t="s">
        <v>261</v>
      </c>
      <c r="Q164" s="43" t="s">
        <v>261</v>
      </c>
      <c r="R164" s="43" t="s">
        <v>261</v>
      </c>
      <c r="S164" s="43" t="s">
        <v>56</v>
      </c>
      <c r="T164" s="43" t="s">
        <v>261</v>
      </c>
      <c r="U164" s="43" t="s">
        <v>261</v>
      </c>
      <c r="V164" s="43" t="s">
        <v>261</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261</v>
      </c>
      <c r="N165" s="30" t="s">
        <v>261</v>
      </c>
      <c r="O165" s="578">
        <v>45818</v>
      </c>
      <c r="P165" s="87" t="s">
        <v>261</v>
      </c>
      <c r="Q165" s="43" t="s">
        <v>261</v>
      </c>
      <c r="R165" s="43" t="s">
        <v>261</v>
      </c>
      <c r="S165" s="43" t="s">
        <v>56</v>
      </c>
      <c r="T165" s="43" t="s">
        <v>261</v>
      </c>
      <c r="U165" s="43" t="s">
        <v>261</v>
      </c>
      <c r="V165" s="43" t="s">
        <v>261</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261</v>
      </c>
      <c r="N166" s="30" t="s">
        <v>261</v>
      </c>
      <c r="O166" s="578">
        <v>45693</v>
      </c>
      <c r="P166" s="87" t="s">
        <v>261</v>
      </c>
      <c r="Q166" s="43" t="s">
        <v>261</v>
      </c>
      <c r="R166" s="43" t="s">
        <v>261</v>
      </c>
      <c r="S166" s="43" t="s">
        <v>56</v>
      </c>
      <c r="T166" s="43" t="s">
        <v>261</v>
      </c>
      <c r="U166" s="43" t="s">
        <v>261</v>
      </c>
      <c r="V166" s="43" t="s">
        <v>261</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261</v>
      </c>
      <c r="O167" s="578">
        <v>45720</v>
      </c>
      <c r="P167" s="87" t="s">
        <v>261</v>
      </c>
      <c r="Q167" s="43" t="s">
        <v>261</v>
      </c>
      <c r="R167" s="43" t="s">
        <v>261</v>
      </c>
      <c r="S167" s="43" t="s">
        <v>56</v>
      </c>
      <c r="T167" s="43" t="s">
        <v>261</v>
      </c>
      <c r="U167" s="43" t="s">
        <v>261</v>
      </c>
      <c r="V167" s="43" t="s">
        <v>261</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261</v>
      </c>
      <c r="O172" s="40" t="s">
        <v>52</v>
      </c>
      <c r="P172" s="87" t="s">
        <v>261</v>
      </c>
      <c r="Q172" s="43" t="s">
        <v>56</v>
      </c>
      <c r="R172" s="43" t="s">
        <v>56</v>
      </c>
      <c r="S172" s="43" t="s">
        <v>56</v>
      </c>
      <c r="T172" s="43" t="s">
        <v>261</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90" t="s">
        <v>2192</v>
      </c>
      <c r="C1" s="1490"/>
      <c r="D1" s="554"/>
      <c r="E1" s="1490" t="s">
        <v>2193</v>
      </c>
      <c r="F1" s="1490"/>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268</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231</v>
      </c>
      <c r="C14">
        <v>8622</v>
      </c>
      <c r="L14" t="s">
        <v>879</v>
      </c>
      <c r="M14">
        <v>1</v>
      </c>
      <c r="P14" t="s">
        <v>2213</v>
      </c>
      <c r="R14">
        <v>5</v>
      </c>
    </row>
    <row r="15" spans="1:25">
      <c r="B15" t="s">
        <v>257</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1"/>
      <c r="B1" s="1491"/>
      <c r="C1" s="1491"/>
      <c r="D1" s="1491"/>
      <c r="E1" s="1491"/>
      <c r="F1" s="1491"/>
      <c r="G1" s="1491"/>
      <c r="H1" s="1492" t="s">
        <v>2219</v>
      </c>
      <c r="I1" s="1492"/>
      <c r="J1" s="1492"/>
      <c r="K1" s="1492"/>
      <c r="L1" s="1492"/>
      <c r="M1" s="1492"/>
      <c r="N1" s="1492"/>
      <c r="O1" s="1492"/>
      <c r="P1" s="260"/>
      <c r="Q1" s="1493" t="s">
        <v>34</v>
      </c>
      <c r="R1" s="1493"/>
      <c r="S1" s="1489"/>
      <c r="T1" s="1493"/>
      <c r="U1" s="1493"/>
      <c r="V1" s="1493"/>
      <c r="W1" s="1493"/>
      <c r="X1" s="1493"/>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FB087AE-068D-4DD8-92D6-A63663D4613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2026-02-02T12:53:41Z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