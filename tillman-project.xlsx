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09" documentId="8_{E14B221E-02E2-46A3-8CEC-C736815F2DD5}" xr6:coauthVersionLast="47" xr6:coauthVersionMax="47" xr10:uidLastSave="{D9E40D41-390C-4713-8C3C-068C19A14A41}"/>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2584" r:id="rId12"/>
    <pivotCache cacheId="2585" r:id="rId13"/>
    <pivotCache cacheId="2586" r:id="rId14"/>
    <pivotCache cacheId="2587" r:id="rId15"/>
    <pivotCache cacheId="25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<sst xmlns="http://schemas.openxmlformats.org/spreadsheetml/2006/main" count="15915" uniqueCount="2053">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</sst>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472222"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70370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819445"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819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64422881944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m/>
    <m/>
    <m/>
  </r>
  <r>
    <x v="293"/>
    <x v="46"/>
    <x v="219"/>
    <m/>
    <m/>
    <s v="Proofing Hub 1,2, and 3"/>
  </r>
  <r>
    <x v="243"/>
    <x v="46"/>
    <x v="219"/>
    <m/>
    <m/>
    <m/>
  </r>
  <r>
    <x v="243"/>
    <x v="32"/>
    <x v="219"/>
    <m/>
    <m/>
    <m/>
  </r>
  <r>
    <x v="300"/>
    <x v="36"/>
    <x v="219"/>
    <n v="752"/>
    <m/>
    <s v="5 Toby Boxes / 5 Daps / 10 Splices"/>
  </r>
  <r>
    <x v="310"/>
    <x v="6"/>
    <x v="219"/>
    <m/>
    <m/>
    <m/>
  </r>
  <r>
    <x v="312"/>
    <x v="5"/>
    <x v="219"/>
    <n v="1095"/>
    <m/>
    <m/>
  </r>
  <r>
    <x v="313"/>
    <x v="5"/>
    <x v="219"/>
    <m/>
    <m/>
    <m/>
  </r>
  <r>
    <x v="263"/>
    <x v="5"/>
    <x v="219"/>
    <m/>
    <m/>
    <s v="1 FDH / 1 HH / 1 Swing Arm / 1 Ground Rod"/>
  </r>
  <r>
    <x v="314"/>
    <x v="35"/>
    <x v="219"/>
    <m/>
    <m/>
    <m/>
  </r>
  <r>
    <x v="311"/>
    <x v="27"/>
    <x v="219"/>
    <m/>
    <m/>
    <m/>
  </r>
  <r>
    <x v="315"/>
    <x v="45"/>
    <x v="219"/>
    <m/>
    <m/>
    <m/>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n v="752"/>
    <m/>
    <s v="5 Toby Boxes / 5 Daps / 10 Splices"/>
    <x v="11"/>
  </r>
  <r>
    <s v="D-HWP817"/>
    <x v="6"/>
    <d v="2025-12-15T00:00:00"/>
    <m/>
    <m/>
    <m/>
    <x v="11"/>
  </r>
  <r>
    <s v="D-HWP808-1"/>
    <x v="5"/>
    <d v="2025-12-15T00:00:00"/>
    <n v="1095"/>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28" activePane="topRight" state="frozen"/>
      <selection pane="topRight" activeCell="A31" sqref="A31"/>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214">
        <v>1520</v>
      </c>
      <c r="X4" s="1214">
        <f t="shared" si="0"/>
        <v>2276</v>
      </c>
      <c r="Y4" s="663">
        <f t="shared" si="1"/>
        <v>0.40042149631190727</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58</v>
      </c>
      <c r="Q34" s="1261">
        <v>45999</v>
      </c>
      <c r="R34" s="1262"/>
      <c r="S34" s="1260"/>
      <c r="T34" s="1260"/>
      <c r="U34" s="1260"/>
      <c r="V34" s="1214">
        <v>6130</v>
      </c>
      <c r="W34" s="1214"/>
      <c r="X34" s="1214">
        <f t="shared" si="3"/>
        <v>6130</v>
      </c>
      <c r="Y34" s="663">
        <f t="shared" si="1"/>
        <v>0</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3" activePane="topRight" state="frozen"/>
      <selection pane="topRight" activeCell="A39" sqref="A39: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row>
    <row r="1109" spans="1:3">
      <c r="A1109" t="s">
        <v>99</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row>
    <row r="1116" spans="1:3">
      <c r="A1116" t="s">
        <v>324</v>
      </c>
    </row>
    <row r="1117" spans="1:3">
      <c r="A1117" t="s">
        <v>136</v>
      </c>
      <c r="B1117">
        <v>1095</v>
      </c>
      <c r="C1117">
        <v>1095</v>
      </c>
    </row>
    <row r="1118" spans="1:3">
      <c r="A1118" t="s">
        <v>150</v>
      </c>
    </row>
    <row r="1119" spans="1:3">
      <c r="A1119" t="s">
        <v>248</v>
      </c>
    </row>
    <row r="1120" spans="1:3">
      <c r="A1120" t="s">
        <v>333</v>
      </c>
    </row>
    <row r="1121" spans="1:3">
      <c r="A1121" t="s">
        <v>1017</v>
      </c>
      <c r="B1121">
        <v>1847</v>
      </c>
      <c r="C1121">
        <v>1847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G2301" t="s">
        <v>1844</v>
      </c>
    </row>
    <row r="2302" spans="1:7">
      <c r="A2302" s="148" t="s">
        <v>1091</v>
      </c>
      <c r="B2302" s="148" t="s">
        <v>1711</v>
      </c>
      <c r="C2302" s="56">
        <v>46006</v>
      </c>
      <c r="F2302" s="1344" t="s">
        <v>1903</v>
      </c>
      <c r="G2302" t="s">
        <v>1844</v>
      </c>
    </row>
    <row r="2303" spans="1:7">
      <c r="A2303" s="148" t="s">
        <v>99</v>
      </c>
      <c r="B2303" s="148" t="s">
        <v>1711</v>
      </c>
      <c r="C2303" s="56">
        <v>46006</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G2306" t="s">
        <v>1844</v>
      </c>
    </row>
    <row r="2307" spans="1:7">
      <c r="A2307" s="1098" t="s">
        <v>136</v>
      </c>
      <c r="B2307" s="247" t="s">
        <v>137</v>
      </c>
      <c r="C2307" s="310">
        <v>46006</v>
      </c>
      <c r="D2307" s="155">
        <v>1095</v>
      </c>
      <c r="G2307" t="s">
        <v>1844</v>
      </c>
    </row>
    <row r="2308" spans="1:7">
      <c r="A2308" s="1354" t="s">
        <v>150</v>
      </c>
      <c r="B2308" s="43" t="s">
        <v>137</v>
      </c>
      <c r="C2308" s="310">
        <v>46006</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626</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2" t="s">
        <v>50</v>
      </c>
      <c r="C28" s="1115">
        <v>45991</v>
      </c>
      <c r="D28" s="375" t="s">
        <v>72</v>
      </c>
      <c r="E28" s="77">
        <v>45734</v>
      </c>
      <c r="F28" s="1113" t="s">
        <v>61</v>
      </c>
      <c r="G28" s="1124" t="s">
        <v>1956</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2" t="s">
        <v>50</v>
      </c>
      <c r="C29" s="1115">
        <v>46021</v>
      </c>
      <c r="D29" s="375" t="s">
        <v>72</v>
      </c>
      <c r="E29" s="77">
        <v>45743</v>
      </c>
      <c r="F29" s="1113" t="s">
        <v>61</v>
      </c>
      <c r="G29" s="1123" t="s">
        <v>1958</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1959</v>
      </c>
      <c r="AC29" s="1119"/>
      <c r="AD29" s="1121"/>
    </row>
    <row r="30" spans="1:30" ht="24.75" customHeight="1">
      <c r="A30" s="374" t="s">
        <v>1960</v>
      </c>
      <c r="B30" s="670" t="s">
        <v>50</v>
      </c>
      <c r="C30" s="375">
        <v>45991</v>
      </c>
      <c r="D30" s="50" t="s">
        <v>72</v>
      </c>
      <c r="E30" s="51">
        <v>45743</v>
      </c>
      <c r="F30" s="50" t="s">
        <v>61</v>
      </c>
      <c r="G30" s="379" t="s">
        <v>1961</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1964</v>
      </c>
      <c r="W31" s="34">
        <v>0</v>
      </c>
      <c r="X31" s="34">
        <v>0</v>
      </c>
      <c r="Y31" s="31">
        <v>0</v>
      </c>
      <c r="Z31" s="34">
        <v>0</v>
      </c>
      <c r="AA31" s="31">
        <v>0</v>
      </c>
      <c r="AB31" s="353" t="s">
        <v>1959</v>
      </c>
    </row>
    <row r="32" spans="1:30" ht="24.75" customHeight="1">
      <c r="A32" s="907" t="s">
        <v>1965</v>
      </c>
      <c r="B32" s="1114" t="s">
        <v>50</v>
      </c>
      <c r="C32" s="989">
        <v>45717</v>
      </c>
      <c r="D32" s="989" t="s">
        <v>1947</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1966</v>
      </c>
      <c r="B33" s="993" t="s">
        <v>50</v>
      </c>
      <c r="C33" s="909">
        <v>45989</v>
      </c>
      <c r="D33" s="909" t="s">
        <v>1967</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1968</v>
      </c>
    </row>
    <row r="34" spans="1:30" ht="24.75" customHeight="1">
      <c r="A34" s="907" t="s">
        <v>1969</v>
      </c>
      <c r="B34" s="1114" t="s">
        <v>50</v>
      </c>
      <c r="C34" s="989">
        <v>45717</v>
      </c>
      <c r="D34" s="989" t="s">
        <v>1947</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1970</v>
      </c>
      <c r="B35" s="1114" t="s">
        <v>50</v>
      </c>
      <c r="C35" s="989">
        <v>45717</v>
      </c>
      <c r="D35" s="989" t="s">
        <v>1947</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1971</v>
      </c>
      <c r="B36" s="1114" t="s">
        <v>50</v>
      </c>
      <c r="C36" s="989">
        <v>45717</v>
      </c>
      <c r="D36" s="989" t="s">
        <v>1947</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534</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849</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1995</v>
      </c>
      <c r="C1" s="1358"/>
      <c r="D1" s="559"/>
      <c r="E1" s="1358" t="s">
        <v>1996</v>
      </c>
      <c r="F1" s="1358"/>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v>113260</v>
      </c>
      <c r="E4" s="44" t="s">
        <v>1997</v>
      </c>
      <c r="F4" t="s">
        <v>1020</v>
      </c>
      <c r="W4" t="s">
        <v>2001</v>
      </c>
      <c r="X4">
        <v>22</v>
      </c>
    </row>
    <row r="5" spans="1:25">
      <c r="B5" t="s">
        <v>72</v>
      </c>
      <c r="C5">
        <v>32741</v>
      </c>
      <c r="E5" t="s">
        <v>1020</v>
      </c>
      <c r="F5">
        <v>176043</v>
      </c>
      <c r="K5" s="44" t="s">
        <v>2002</v>
      </c>
      <c r="P5" s="44" t="s">
        <v>2002</v>
      </c>
      <c r="W5" t="s">
        <v>2003</v>
      </c>
      <c r="X5">
        <v>13</v>
      </c>
    </row>
    <row r="6" spans="1:25">
      <c r="B6" t="s">
        <v>100</v>
      </c>
      <c r="C6">
        <v>22387</v>
      </c>
      <c r="K6" s="44" t="s">
        <v>27</v>
      </c>
      <c r="L6" s="44" t="s">
        <v>2004</v>
      </c>
      <c r="M6" t="s">
        <v>1020</v>
      </c>
      <c r="P6" s="44" t="s">
        <v>2005</v>
      </c>
      <c r="Q6" s="44" t="s">
        <v>2004</v>
      </c>
      <c r="R6" t="s">
        <v>1020</v>
      </c>
    </row>
    <row r="7" spans="1:25">
      <c r="B7" t="s">
        <v>1047</v>
      </c>
      <c r="C7">
        <v>212091</v>
      </c>
      <c r="K7" t="s">
        <v>1998</v>
      </c>
      <c r="L7" t="s">
        <v>635</v>
      </c>
      <c r="M7">
        <v>1</v>
      </c>
      <c r="P7" t="s">
        <v>2006</v>
      </c>
      <c r="R7">
        <v>1</v>
      </c>
      <c r="X7" t="s">
        <v>2007</v>
      </c>
      <c r="Y7" t="s">
        <v>2008</v>
      </c>
    </row>
    <row r="8" spans="1:25">
      <c r="B8" t="s">
        <v>51</v>
      </c>
      <c r="C8">
        <v>446</v>
      </c>
      <c r="L8" t="s">
        <v>637</v>
      </c>
      <c r="M8">
        <v>1</v>
      </c>
      <c r="P8" t="s">
        <v>2009</v>
      </c>
      <c r="R8">
        <v>1</v>
      </c>
      <c r="V8" t="s">
        <v>2010</v>
      </c>
      <c r="W8" s="257">
        <v>203521</v>
      </c>
      <c r="X8" s="313">
        <f>X5/X4</f>
        <v>0.59090909090909094</v>
      </c>
      <c r="Y8" s="313">
        <f>W9/W8</f>
        <v>0.31446386367991508</v>
      </c>
    </row>
    <row r="9" spans="1:25">
      <c r="B9" t="s">
        <v>22</v>
      </c>
      <c r="C9">
        <v>0</v>
      </c>
      <c r="L9" t="s">
        <v>2011</v>
      </c>
      <c r="M9">
        <v>1</v>
      </c>
      <c r="P9" t="s">
        <v>2012</v>
      </c>
      <c r="Q9" t="s">
        <v>2011</v>
      </c>
      <c r="R9">
        <v>1</v>
      </c>
      <c r="V9" t="s">
        <v>2013</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2014</v>
      </c>
      <c r="R12">
        <v>1</v>
      </c>
    </row>
    <row r="13" spans="1:25">
      <c r="B13" t="s">
        <v>233</v>
      </c>
      <c r="C13">
        <v>8065</v>
      </c>
      <c r="L13" t="s">
        <v>2015</v>
      </c>
      <c r="M13">
        <v>1</v>
      </c>
      <c r="Q13" t="s">
        <v>969</v>
      </c>
      <c r="R13">
        <v>1</v>
      </c>
    </row>
    <row r="14" spans="1:25">
      <c r="B14" t="s">
        <v>141</v>
      </c>
      <c r="C14">
        <v>7655</v>
      </c>
      <c r="L14" t="s">
        <v>814</v>
      </c>
      <c r="M14">
        <v>1</v>
      </c>
      <c r="P14" t="s">
        <v>2016</v>
      </c>
      <c r="R14">
        <v>5</v>
      </c>
    </row>
    <row r="15" spans="1:25">
      <c r="B15" t="s">
        <v>201</v>
      </c>
      <c r="C15">
        <v>3</v>
      </c>
      <c r="L15" t="s">
        <v>2014</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2017</v>
      </c>
      <c r="M21">
        <v>1</v>
      </c>
    </row>
    <row r="22" spans="2:13">
      <c r="L22" t="s">
        <v>969</v>
      </c>
      <c r="M22">
        <v>1</v>
      </c>
    </row>
    <row r="23" spans="2:13">
      <c r="L23" t="s">
        <v>862</v>
      </c>
      <c r="M23">
        <v>1</v>
      </c>
    </row>
    <row r="24" spans="2:13">
      <c r="L24" t="s">
        <v>883</v>
      </c>
      <c r="M24">
        <v>1</v>
      </c>
    </row>
    <row r="25" spans="2:13">
      <c r="L25" t="s">
        <v>195</v>
      </c>
      <c r="M25">
        <v>1</v>
      </c>
    </row>
    <row r="26" spans="2:13">
      <c r="K26" t="s">
        <v>2018</v>
      </c>
      <c r="M26">
        <v>19</v>
      </c>
    </row>
    <row r="27" spans="2:13">
      <c r="K27" t="s">
        <v>2019</v>
      </c>
      <c r="L27" t="s">
        <v>808</v>
      </c>
      <c r="M27">
        <v>1</v>
      </c>
    </row>
    <row r="28" spans="2:13">
      <c r="L28" t="s">
        <v>810</v>
      </c>
      <c r="M28">
        <v>1</v>
      </c>
    </row>
    <row r="29" spans="2:13">
      <c r="L29" t="s">
        <v>812</v>
      </c>
      <c r="M29">
        <v>1</v>
      </c>
    </row>
    <row r="30" spans="2:13">
      <c r="L30" t="s">
        <v>828</v>
      </c>
      <c r="M30">
        <v>1</v>
      </c>
    </row>
    <row r="31" spans="2:13">
      <c r="L31" t="s">
        <v>832</v>
      </c>
      <c r="M31">
        <v>1</v>
      </c>
    </row>
    <row r="32" spans="2:13">
      <c r="L32" t="s">
        <v>2020</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2021</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2022</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626</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515</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511</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883</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862</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865</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808</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810</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793</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797</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800</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969</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828</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832</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820</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814</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816</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812</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822</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826</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830</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518</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635</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637</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686</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680</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678</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684</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660</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662</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658</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708</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658</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660</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662</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E4B71B5-00B1-4D4A-B2CA-4758AE2A5BB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2025-12-15T21:52:44Z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