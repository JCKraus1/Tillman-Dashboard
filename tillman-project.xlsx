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67" documentId="8_{E14B221E-02E2-46A3-8CEC-C736815F2DD5}" xr6:coauthVersionLast="47" xr6:coauthVersionMax="47" xr10:uidLastSave="{86C8A584-7815-4B2C-8B61-E3FBDCA66678}"/>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888" r:id="rId12"/>
    <pivotCache cacheId="2889" r:id="rId13"/>
    <pivotCache cacheId="2890" r:id="rId14"/>
    <pivotCache cacheId="2891" r:id="rId15"/>
    <pivotCache cacheId="28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<sst xmlns="http://schemas.openxmlformats.org/spreadsheetml/2006/main" count="15438" uniqueCount="1983">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</sst>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12-4-2025 Confirmed Actual Completed Footage.</text>
  </threadedComment>
  <threadedComment ref="Y20" dT="2025-11-28T18:52:25.95" personId="{79160F3F-A2CD-4B5D-ACD4-80E02EA51DFF}" id="{F54E00BC-6DB3-4AC5-BC14-56EB60B697A2}">
    <text>12-4-2025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opLeftCell="A19" zoomScale="115" zoomScaleNormal="115" workbookViewId="0">
      <pane xSplit="1" topLeftCell="AC108"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5">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5">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148</v>
      </c>
      <c r="AE35" s="1212"/>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123</v>
      </c>
      <c r="AE36" s="1212"/>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46010</v>
      </c>
      <c r="D114" s="1024" t="s">
        <v>143</v>
      </c>
      <c r="E114" s="386">
        <v>45959</v>
      </c>
      <c r="F114" s="385" t="s">
        <v>139</v>
      </c>
      <c r="G114" s="653" t="s">
        <v>354</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355</v>
      </c>
      <c r="AE114" s="400"/>
    </row>
    <row r="115" spans="1:31" ht="24.75" customHeight="1">
      <c r="A115" s="1067" t="s">
        <v>356</v>
      </c>
      <c r="B115" s="463" t="s">
        <v>343</v>
      </c>
      <c r="C115" s="386">
        <v>45989</v>
      </c>
      <c r="D115" s="1024" t="s">
        <v>143</v>
      </c>
      <c r="E115" s="386">
        <v>45959</v>
      </c>
      <c r="F115" s="385" t="s">
        <v>139</v>
      </c>
      <c r="G115" s="653" t="s">
        <v>357</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364</v>
      </c>
      <c r="AE117" s="400"/>
    </row>
    <row r="118" spans="1:31" ht="24.75" customHeight="1">
      <c r="A118" s="1046" t="s">
        <v>365</v>
      </c>
      <c r="B118" s="463" t="s">
        <v>343</v>
      </c>
      <c r="C118" s="386">
        <v>45989</v>
      </c>
      <c r="D118" s="1024" t="s">
        <v>143</v>
      </c>
      <c r="E118" s="386">
        <v>45959</v>
      </c>
      <c r="F118" s="385" t="s">
        <v>139</v>
      </c>
      <c r="G118" s="653" t="s">
        <v>366</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370</v>
      </c>
      <c r="AE119" s="400"/>
    </row>
    <row r="120" spans="1:31" ht="24.75" customHeight="1">
      <c r="A120" s="1046" t="s">
        <v>371</v>
      </c>
      <c r="B120" s="463" t="s">
        <v>343</v>
      </c>
      <c r="C120" s="386">
        <v>46021</v>
      </c>
      <c r="D120" s="1024" t="s">
        <v>143</v>
      </c>
      <c r="E120" s="386">
        <v>45959</v>
      </c>
      <c r="F120" s="385" t="s">
        <v>139</v>
      </c>
      <c r="G120" s="653" t="s">
        <v>372</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370</v>
      </c>
      <c r="AE120" s="400"/>
    </row>
    <row r="121" spans="1:31" ht="24.75" customHeight="1">
      <c r="A121" s="1046" t="s">
        <v>373</v>
      </c>
      <c r="B121" s="463" t="s">
        <v>343</v>
      </c>
      <c r="C121" s="386">
        <v>46021</v>
      </c>
      <c r="D121" s="1024" t="s">
        <v>143</v>
      </c>
      <c r="E121" s="386">
        <v>45959</v>
      </c>
      <c r="F121" s="385" t="s">
        <v>139</v>
      </c>
      <c r="G121" s="653" t="s">
        <v>374</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375</v>
      </c>
      <c r="AE121" s="400"/>
    </row>
    <row r="122" spans="1:31" ht="24.75" customHeight="1">
      <c r="A122" s="1046" t="s">
        <v>376</v>
      </c>
      <c r="B122" s="463" t="s">
        <v>343</v>
      </c>
      <c r="C122" s="386">
        <v>46021</v>
      </c>
      <c r="D122" s="1024" t="s">
        <v>143</v>
      </c>
      <c r="E122" s="386">
        <v>45959</v>
      </c>
      <c r="F122" s="385" t="s">
        <v>139</v>
      </c>
      <c r="G122" s="653" t="s">
        <v>377</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370</v>
      </c>
      <c r="AE122" s="400"/>
    </row>
    <row r="123" spans="1:31" ht="24.75" customHeight="1">
      <c r="A123" s="1046" t="s">
        <v>378</v>
      </c>
      <c r="B123" s="463" t="s">
        <v>343</v>
      </c>
      <c r="C123" s="386">
        <v>45989</v>
      </c>
      <c r="D123" s="1024" t="s">
        <v>143</v>
      </c>
      <c r="E123" s="386">
        <v>45959</v>
      </c>
      <c r="F123" s="385" t="s">
        <v>139</v>
      </c>
      <c r="G123" s="653" t="s">
        <v>379</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383</v>
      </c>
      <c r="AE124" s="400"/>
    </row>
    <row r="125" spans="1:31" ht="24.75" customHeight="1">
      <c r="A125" s="1046" t="s">
        <v>384</v>
      </c>
      <c r="B125" s="463" t="s">
        <v>343</v>
      </c>
      <c r="C125" s="386">
        <v>46021</v>
      </c>
      <c r="D125" s="1024" t="s">
        <v>143</v>
      </c>
      <c r="E125" s="386">
        <v>45987</v>
      </c>
      <c r="F125" s="385" t="s">
        <v>139</v>
      </c>
      <c r="G125" s="653" t="s">
        <v>385</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383</v>
      </c>
      <c r="AE125" s="400"/>
    </row>
    <row r="126" spans="1:31" ht="24.75" customHeight="1">
      <c r="A126" s="1046" t="s">
        <v>386</v>
      </c>
      <c r="B126" s="463" t="s">
        <v>343</v>
      </c>
      <c r="C126" s="386">
        <v>46021</v>
      </c>
      <c r="D126" s="1024" t="s">
        <v>143</v>
      </c>
      <c r="E126" s="386">
        <v>45987</v>
      </c>
      <c r="F126" s="385" t="s">
        <v>139</v>
      </c>
      <c r="G126" s="653" t="s">
        <v>387</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383</v>
      </c>
      <c r="AE126" s="400"/>
    </row>
    <row r="127" spans="1:31" ht="24.75" customHeight="1">
      <c r="A127" s="1046" t="s">
        <v>388</v>
      </c>
      <c r="B127" s="463" t="s">
        <v>343</v>
      </c>
      <c r="C127" s="386">
        <v>46021</v>
      </c>
      <c r="D127" s="1024" t="s">
        <v>143</v>
      </c>
      <c r="E127" s="386">
        <v>45987</v>
      </c>
      <c r="F127" s="385" t="s">
        <v>139</v>
      </c>
      <c r="G127" s="653" t="s">
        <v>389</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383</v>
      </c>
      <c r="AE127" s="400"/>
    </row>
    <row r="128" spans="1:31" ht="24.75" customHeight="1">
      <c r="A128" s="1046" t="s">
        <v>390</v>
      </c>
      <c r="B128" s="463" t="s">
        <v>343</v>
      </c>
      <c r="C128" s="386">
        <v>46021</v>
      </c>
      <c r="D128" s="1024" t="s">
        <v>143</v>
      </c>
      <c r="E128" s="386">
        <v>45987</v>
      </c>
      <c r="F128" s="385" t="s">
        <v>139</v>
      </c>
      <c r="G128" s="653" t="s">
        <v>391</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383</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394</v>
      </c>
      <c r="AE129" s="400"/>
    </row>
    <row r="130" spans="1:31" ht="24.75" customHeight="1">
      <c r="A130" s="1047" t="s">
        <v>395</v>
      </c>
      <c r="B130" s="463" t="s">
        <v>343</v>
      </c>
      <c r="C130" s="386">
        <v>45989</v>
      </c>
      <c r="D130" s="1024" t="s">
        <v>143</v>
      </c>
      <c r="E130" s="386">
        <v>45959</v>
      </c>
      <c r="F130" s="385" t="s">
        <v>139</v>
      </c>
      <c r="G130" s="653" t="s">
        <v>396</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397</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W17" activePane="topRight" state="frozen"/>
      <selection pane="topRight" activeCell="AA26" sqref="AA26:AB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239</v>
      </c>
      <c r="C2" s="480">
        <v>45960</v>
      </c>
      <c r="D2" s="480" t="s">
        <v>400</v>
      </c>
      <c r="E2" s="480">
        <v>45897</v>
      </c>
      <c r="F2" s="478" t="s">
        <v>261</v>
      </c>
      <c r="G2" s="701"/>
      <c r="H2" s="482">
        <v>0</v>
      </c>
      <c r="I2" s="680" t="s">
        <v>401</v>
      </c>
      <c r="J2" s="482" t="s">
        <v>63</v>
      </c>
      <c r="K2" s="482"/>
      <c r="L2" s="480">
        <v>45891</v>
      </c>
      <c r="M2" s="482" t="s">
        <v>57</v>
      </c>
      <c r="N2" s="558">
        <v>184994.5</v>
      </c>
      <c r="O2" s="482" t="s">
        <v>57</v>
      </c>
      <c r="P2" s="642" t="s">
        <v>402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403</v>
      </c>
    </row>
    <row r="3" spans="1:30" ht="39.75" customHeight="1">
      <c r="A3" s="964" t="s">
        <v>404</v>
      </c>
      <c r="B3" s="857" t="s">
        <v>239</v>
      </c>
      <c r="C3" s="480">
        <v>45960</v>
      </c>
      <c r="D3" s="480" t="s">
        <v>405</v>
      </c>
      <c r="E3" s="480">
        <v>45909</v>
      </c>
      <c r="F3" s="480" t="s">
        <v>240</v>
      </c>
      <c r="G3" s="701"/>
      <c r="H3" s="482">
        <v>0</v>
      </c>
      <c r="I3" s="482" t="s">
        <v>401</v>
      </c>
      <c r="J3" s="482" t="s">
        <v>63</v>
      </c>
      <c r="K3" s="482"/>
      <c r="L3" s="480">
        <v>45905</v>
      </c>
      <c r="M3" s="482" t="s">
        <v>57</v>
      </c>
      <c r="N3" s="558">
        <v>98170.1</v>
      </c>
      <c r="O3" s="482" t="s">
        <v>57</v>
      </c>
      <c r="P3" s="642" t="s">
        <v>402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406</v>
      </c>
    </row>
    <row r="4" spans="1:30" ht="39.75" customHeight="1">
      <c r="A4" s="964" t="s">
        <v>407</v>
      </c>
      <c r="B4" s="857" t="s">
        <v>239</v>
      </c>
      <c r="C4" s="480">
        <v>45960</v>
      </c>
      <c r="D4" s="480" t="s">
        <v>71</v>
      </c>
      <c r="E4" s="480">
        <v>45905</v>
      </c>
      <c r="F4" s="480" t="s">
        <v>240</v>
      </c>
      <c r="G4" s="701"/>
      <c r="H4" s="482">
        <v>0</v>
      </c>
      <c r="I4" s="680" t="s">
        <v>401</v>
      </c>
      <c r="J4" s="482" t="s">
        <v>63</v>
      </c>
      <c r="K4" s="491"/>
      <c r="L4" s="386">
        <v>45943</v>
      </c>
      <c r="M4" s="1178" t="s">
        <v>57</v>
      </c>
      <c r="N4" s="558">
        <v>2167.3000000000002</v>
      </c>
      <c r="O4" s="482" t="s">
        <v>57</v>
      </c>
      <c r="P4" s="642" t="s">
        <v>402</v>
      </c>
      <c r="Q4" s="484">
        <v>45908</v>
      </c>
      <c r="R4" s="484"/>
      <c r="S4" s="484"/>
      <c r="T4" s="484"/>
      <c r="U4" s="484"/>
      <c r="V4" s="429">
        <v>158</v>
      </c>
      <c r="W4" s="597">
        <v>429</v>
      </c>
      <c r="X4" s="107">
        <f>SUM(V4-W4)</f>
        <v>-271</v>
      </c>
      <c r="Y4" s="676">
        <f>IFERROR($W4/$V4, 0)</f>
        <v>2.7151898734177213</v>
      </c>
      <c r="Z4" s="72" t="s">
        <v>408</v>
      </c>
      <c r="AA4" s="366">
        <v>0</v>
      </c>
      <c r="AB4" s="366">
        <v>0</v>
      </c>
      <c r="AC4" s="41">
        <v>0</v>
      </c>
      <c r="AD4" s="173" t="s">
        <v>409</v>
      </c>
    </row>
    <row r="5" spans="1:30" ht="39.75" customHeight="1">
      <c r="A5" s="964" t="s">
        <v>410</v>
      </c>
      <c r="B5" s="857" t="s">
        <v>239</v>
      </c>
      <c r="C5" s="480">
        <v>45999</v>
      </c>
      <c r="D5" s="488" t="s">
        <v>71</v>
      </c>
      <c r="E5" s="489">
        <v>45975</v>
      </c>
      <c r="F5" s="488" t="s">
        <v>240</v>
      </c>
      <c r="G5" s="490" t="s">
        <v>411</v>
      </c>
      <c r="H5" s="491">
        <v>0</v>
      </c>
      <c r="I5" s="680" t="s">
        <v>401</v>
      </c>
      <c r="J5" s="482" t="s">
        <v>63</v>
      </c>
      <c r="K5" s="482"/>
      <c r="L5" s="51">
        <v>45960</v>
      </c>
      <c r="M5" s="1055" t="s">
        <v>57</v>
      </c>
      <c r="N5" s="559">
        <v>4911.8999999999996</v>
      </c>
      <c r="O5" s="491" t="s">
        <v>57</v>
      </c>
      <c r="P5" s="642" t="s">
        <v>402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412</v>
      </c>
    </row>
    <row r="6" spans="1:30" ht="39.75" customHeight="1">
      <c r="A6" s="868" t="s">
        <v>413</v>
      </c>
      <c r="B6" s="857" t="s">
        <v>239</v>
      </c>
      <c r="C6" s="480">
        <v>45991</v>
      </c>
      <c r="D6" s="489" t="s">
        <v>250</v>
      </c>
      <c r="E6" s="489">
        <v>45950</v>
      </c>
      <c r="F6" s="488" t="s">
        <v>251</v>
      </c>
      <c r="G6" s="853"/>
      <c r="H6" s="858">
        <v>82</v>
      </c>
      <c r="I6" s="854" t="s">
        <v>401</v>
      </c>
      <c r="J6" s="858" t="s">
        <v>63</v>
      </c>
      <c r="K6" s="502"/>
      <c r="L6" s="51">
        <v>45902</v>
      </c>
      <c r="M6" s="1179" t="s">
        <v>57</v>
      </c>
      <c r="N6" s="859">
        <v>87830</v>
      </c>
      <c r="O6" s="854" t="s">
        <v>57</v>
      </c>
      <c r="P6" s="642" t="s">
        <v>402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414</v>
      </c>
    </row>
    <row r="7" spans="1:30" ht="39.75" customHeight="1">
      <c r="A7" s="964" t="s">
        <v>415</v>
      </c>
      <c r="B7" s="857" t="s">
        <v>239</v>
      </c>
      <c r="C7" s="480">
        <v>45989</v>
      </c>
      <c r="D7" s="489" t="s">
        <v>250</v>
      </c>
      <c r="E7" s="489">
        <v>45964</v>
      </c>
      <c r="F7" s="488" t="s">
        <v>251</v>
      </c>
      <c r="G7" s="853" t="s">
        <v>416</v>
      </c>
      <c r="H7" s="858">
        <v>74</v>
      </c>
      <c r="I7" s="482" t="s">
        <v>401</v>
      </c>
      <c r="J7" s="482" t="s">
        <v>63</v>
      </c>
      <c r="K7" s="482"/>
      <c r="L7" s="51">
        <v>45932</v>
      </c>
      <c r="M7" s="1179" t="s">
        <v>57</v>
      </c>
      <c r="N7" s="859">
        <v>47064</v>
      </c>
      <c r="O7" s="854" t="s">
        <v>57</v>
      </c>
      <c r="P7" s="642" t="s">
        <v>402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417</v>
      </c>
      <c r="B8" s="857" t="s">
        <v>239</v>
      </c>
      <c r="C8" s="480">
        <v>45960</v>
      </c>
      <c r="D8" s="489" t="s">
        <v>250</v>
      </c>
      <c r="E8" s="489">
        <v>45930</v>
      </c>
      <c r="F8" s="488" t="s">
        <v>251</v>
      </c>
      <c r="G8" s="853"/>
      <c r="H8" s="858">
        <v>80</v>
      </c>
      <c r="I8" s="854" t="s">
        <v>401</v>
      </c>
      <c r="J8" s="858" t="s">
        <v>63</v>
      </c>
      <c r="K8" s="854"/>
      <c r="L8" s="51">
        <v>45902</v>
      </c>
      <c r="M8" s="1179" t="s">
        <v>57</v>
      </c>
      <c r="N8" s="859">
        <v>90173</v>
      </c>
      <c r="O8" s="854" t="s">
        <v>57</v>
      </c>
      <c r="P8" s="642" t="s">
        <v>402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414</v>
      </c>
    </row>
    <row r="9" spans="1:30" ht="39.75" customHeight="1">
      <c r="A9" s="964" t="s">
        <v>418</v>
      </c>
      <c r="B9" s="857" t="s">
        <v>239</v>
      </c>
      <c r="C9" s="480">
        <v>45960</v>
      </c>
      <c r="D9" s="489" t="s">
        <v>260</v>
      </c>
      <c r="E9" s="489">
        <v>45950</v>
      </c>
      <c r="F9" s="488" t="s">
        <v>261</v>
      </c>
      <c r="G9" s="853"/>
      <c r="H9" s="858">
        <v>80</v>
      </c>
      <c r="I9" s="854" t="s">
        <v>401</v>
      </c>
      <c r="J9" s="858" t="s">
        <v>63</v>
      </c>
      <c r="K9" s="854"/>
      <c r="L9" s="1180">
        <v>45905</v>
      </c>
      <c r="M9" s="854" t="s">
        <v>57</v>
      </c>
      <c r="N9" s="859">
        <v>66674.3</v>
      </c>
      <c r="O9" s="854" t="s">
        <v>57</v>
      </c>
      <c r="P9" s="642" t="s">
        <v>402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419</v>
      </c>
    </row>
    <row r="10" spans="1:30" ht="39.75" customHeight="1">
      <c r="A10" s="964" t="s">
        <v>420</v>
      </c>
      <c r="B10" s="857" t="s">
        <v>239</v>
      </c>
      <c r="C10" s="480">
        <v>45960</v>
      </c>
      <c r="D10" s="489" t="s">
        <v>260</v>
      </c>
      <c r="E10" s="489">
        <v>45937</v>
      </c>
      <c r="F10" s="488" t="s">
        <v>261</v>
      </c>
      <c r="G10" s="853"/>
      <c r="H10" s="858">
        <v>82</v>
      </c>
      <c r="I10" s="854" t="s">
        <v>401</v>
      </c>
      <c r="J10" s="858" t="s">
        <v>63</v>
      </c>
      <c r="K10" s="482"/>
      <c r="L10" s="489">
        <v>45903</v>
      </c>
      <c r="M10" s="854" t="s">
        <v>57</v>
      </c>
      <c r="N10" s="859">
        <v>93666.75</v>
      </c>
      <c r="O10" s="854" t="s">
        <v>57</v>
      </c>
      <c r="P10" s="642" t="s">
        <v>402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414</v>
      </c>
    </row>
    <row r="11" spans="1:30" ht="39.75" customHeight="1">
      <c r="A11" s="964" t="s">
        <v>421</v>
      </c>
      <c r="B11" s="506" t="s">
        <v>239</v>
      </c>
      <c r="C11" s="480">
        <v>45991</v>
      </c>
      <c r="D11" s="488" t="s">
        <v>422</v>
      </c>
      <c r="E11" s="489">
        <v>45716</v>
      </c>
      <c r="F11" s="488" t="s">
        <v>251</v>
      </c>
      <c r="G11" s="490" t="s">
        <v>423</v>
      </c>
      <c r="H11" s="491">
        <v>44</v>
      </c>
      <c r="I11" s="497" t="s">
        <v>401</v>
      </c>
      <c r="J11" s="491" t="s">
        <v>63</v>
      </c>
      <c r="K11" s="491"/>
      <c r="L11" s="489">
        <v>45716</v>
      </c>
      <c r="M11" s="491" t="s">
        <v>57</v>
      </c>
      <c r="N11" s="559">
        <v>57973.5</v>
      </c>
      <c r="O11" s="491" t="s">
        <v>57</v>
      </c>
      <c r="P11" s="642" t="s">
        <v>402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424</v>
      </c>
      <c r="B12" s="857" t="s">
        <v>239</v>
      </c>
      <c r="C12" s="480">
        <v>45991</v>
      </c>
      <c r="D12" s="488" t="s">
        <v>250</v>
      </c>
      <c r="E12" s="489">
        <v>45880</v>
      </c>
      <c r="F12" s="488" t="s">
        <v>251</v>
      </c>
      <c r="G12" s="849" t="s">
        <v>425</v>
      </c>
      <c r="H12" s="491">
        <v>57</v>
      </c>
      <c r="I12" s="854" t="s">
        <v>401</v>
      </c>
      <c r="J12" s="491" t="s">
        <v>63</v>
      </c>
      <c r="K12" s="502"/>
      <c r="L12" s="489">
        <v>45863</v>
      </c>
      <c r="M12" s="491" t="s">
        <v>57</v>
      </c>
      <c r="N12" s="559">
        <v>49223.7</v>
      </c>
      <c r="O12" s="491" t="s">
        <v>57</v>
      </c>
      <c r="P12" s="642" t="s">
        <v>402</v>
      </c>
      <c r="Q12" s="492">
        <v>45863</v>
      </c>
      <c r="R12" s="492"/>
      <c r="S12" s="492"/>
      <c r="T12" s="492"/>
      <c r="U12" s="492"/>
      <c r="V12" s="485">
        <v>3394</v>
      </c>
      <c r="W12" s="524">
        <v>3394</v>
      </c>
      <c r="X12" s="485">
        <f t="shared" si="4"/>
        <v>0</v>
      </c>
      <c r="Y12" s="681">
        <f t="shared" si="5"/>
        <v>1</v>
      </c>
      <c r="Z12" s="492">
        <v>45916</v>
      </c>
      <c r="AA12" s="366">
        <v>1</v>
      </c>
      <c r="AB12" s="366">
        <v>1</v>
      </c>
      <c r="AC12" s="41">
        <v>0</v>
      </c>
      <c r="AD12" s="173" t="s">
        <v>426</v>
      </c>
    </row>
    <row r="13" spans="1:30" ht="39.75" customHeight="1">
      <c r="A13" s="964" t="s">
        <v>427</v>
      </c>
      <c r="B13" s="857" t="s">
        <v>239</v>
      </c>
      <c r="C13" s="480">
        <v>45991</v>
      </c>
      <c r="D13" s="488" t="s">
        <v>250</v>
      </c>
      <c r="E13" s="489">
        <v>45880</v>
      </c>
      <c r="F13" s="488" t="s">
        <v>251</v>
      </c>
      <c r="G13" s="849" t="s">
        <v>428</v>
      </c>
      <c r="H13" s="491">
        <v>75</v>
      </c>
      <c r="I13" s="854" t="s">
        <v>401</v>
      </c>
      <c r="J13" s="491" t="s">
        <v>63</v>
      </c>
      <c r="K13" s="502"/>
      <c r="L13" s="489">
        <v>45879</v>
      </c>
      <c r="M13" s="491" t="s">
        <v>57</v>
      </c>
      <c r="N13" s="559">
        <v>68151.75</v>
      </c>
      <c r="O13" s="491" t="s">
        <v>57</v>
      </c>
      <c r="P13" s="642" t="s">
        <v>402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429</v>
      </c>
      <c r="B14" s="857" t="s">
        <v>239</v>
      </c>
      <c r="C14" s="480">
        <v>45960</v>
      </c>
      <c r="D14" s="488" t="s">
        <v>260</v>
      </c>
      <c r="E14" s="489">
        <v>45966</v>
      </c>
      <c r="F14" s="488" t="s">
        <v>261</v>
      </c>
      <c r="G14" s="849"/>
      <c r="H14" s="491">
        <v>0</v>
      </c>
      <c r="I14" s="854" t="s">
        <v>401</v>
      </c>
      <c r="J14" s="491" t="s">
        <v>63</v>
      </c>
      <c r="K14" s="502"/>
      <c r="L14" s="489" t="s">
        <v>52</v>
      </c>
      <c r="M14" s="491" t="s">
        <v>57</v>
      </c>
      <c r="N14" s="559">
        <v>29960</v>
      </c>
      <c r="O14" s="491" t="s">
        <v>57</v>
      </c>
      <c r="P14" s="642" t="s">
        <v>402</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309</v>
      </c>
    </row>
    <row r="15" spans="1:30" ht="39.75" customHeight="1">
      <c r="A15" s="964" t="s">
        <v>430</v>
      </c>
      <c r="B15" s="857" t="s">
        <v>239</v>
      </c>
      <c r="C15" s="480">
        <v>45960</v>
      </c>
      <c r="D15" s="488" t="s">
        <v>260</v>
      </c>
      <c r="E15" s="489">
        <v>45944</v>
      </c>
      <c r="F15" s="488" t="s">
        <v>261</v>
      </c>
      <c r="G15" s="849"/>
      <c r="H15" s="491">
        <v>0</v>
      </c>
      <c r="I15" s="854" t="s">
        <v>401</v>
      </c>
      <c r="J15" s="491" t="s">
        <v>63</v>
      </c>
      <c r="K15" s="502"/>
      <c r="L15" s="489" t="s">
        <v>52</v>
      </c>
      <c r="M15" s="491" t="s">
        <v>57</v>
      </c>
      <c r="N15" s="559">
        <v>50539.6</v>
      </c>
      <c r="O15" s="491" t="s">
        <v>57</v>
      </c>
      <c r="P15" s="642" t="s">
        <v>402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431</v>
      </c>
    </row>
    <row r="16" spans="1:30" ht="39.75" customHeight="1">
      <c r="A16" s="964" t="s">
        <v>432</v>
      </c>
      <c r="B16" s="857" t="s">
        <v>239</v>
      </c>
      <c r="C16" s="480" t="s">
        <v>433</v>
      </c>
      <c r="D16" s="488" t="s">
        <v>71</v>
      </c>
      <c r="E16" s="489">
        <v>45964</v>
      </c>
      <c r="F16" s="488" t="s">
        <v>434</v>
      </c>
      <c r="G16" s="849"/>
      <c r="H16" s="491">
        <v>0</v>
      </c>
      <c r="I16" s="482" t="s">
        <v>401</v>
      </c>
      <c r="J16" s="491" t="s">
        <v>63</v>
      </c>
      <c r="K16" s="482"/>
      <c r="L16" s="489" t="s">
        <v>52</v>
      </c>
      <c r="M16" s="491" t="s">
        <v>57</v>
      </c>
      <c r="N16" s="559">
        <v>2670.65</v>
      </c>
      <c r="O16" s="491" t="s">
        <v>57</v>
      </c>
      <c r="P16" s="642" t="s">
        <v>402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435</v>
      </c>
      <c r="B17" s="506" t="s">
        <v>315</v>
      </c>
      <c r="C17" s="480">
        <v>46053</v>
      </c>
      <c r="D17" s="488" t="s">
        <v>260</v>
      </c>
      <c r="E17" s="489">
        <v>45964</v>
      </c>
      <c r="F17" s="488" t="s">
        <v>251</v>
      </c>
      <c r="G17" s="490"/>
      <c r="H17" s="491">
        <v>82</v>
      </c>
      <c r="I17" s="854" t="s">
        <v>401</v>
      </c>
      <c r="J17" s="491" t="s">
        <v>63</v>
      </c>
      <c r="K17" s="482"/>
      <c r="L17" s="489" t="s">
        <v>52</v>
      </c>
      <c r="M17" s="491" t="s">
        <v>57</v>
      </c>
      <c r="N17" s="559">
        <v>101871</v>
      </c>
      <c r="O17" s="491" t="s">
        <v>57</v>
      </c>
      <c r="P17" s="642" t="s">
        <v>402</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436</v>
      </c>
      <c r="B18" s="506" t="s">
        <v>315</v>
      </c>
      <c r="C18" s="480">
        <v>46053</v>
      </c>
      <c r="D18" s="488" t="s">
        <v>260</v>
      </c>
      <c r="E18" s="489">
        <v>45974</v>
      </c>
      <c r="F18" s="488" t="s">
        <v>251</v>
      </c>
      <c r="G18" s="490" t="s">
        <v>437</v>
      </c>
      <c r="H18" s="491">
        <v>77</v>
      </c>
      <c r="I18" s="854" t="s">
        <v>401</v>
      </c>
      <c r="J18" s="491" t="s">
        <v>63</v>
      </c>
      <c r="K18" s="482"/>
      <c r="L18" s="489">
        <v>45965</v>
      </c>
      <c r="M18" s="491" t="s">
        <v>57</v>
      </c>
      <c r="N18" s="559">
        <v>90786</v>
      </c>
      <c r="O18" s="491" t="s">
        <v>57</v>
      </c>
      <c r="P18" s="642" t="s">
        <v>402</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438</v>
      </c>
      <c r="B19" s="478" t="s">
        <v>110</v>
      </c>
      <c r="C19" s="480">
        <v>45868</v>
      </c>
      <c r="D19" s="480" t="s">
        <v>71</v>
      </c>
      <c r="E19" s="480">
        <v>45793</v>
      </c>
      <c r="F19" s="503" t="s">
        <v>111</v>
      </c>
      <c r="G19" s="1056" t="s">
        <v>439</v>
      </c>
      <c r="H19" s="482">
        <v>0</v>
      </c>
      <c r="I19" s="482" t="s">
        <v>401</v>
      </c>
      <c r="J19" s="482" t="s">
        <v>63</v>
      </c>
      <c r="K19" s="977"/>
      <c r="L19" s="480">
        <v>45793</v>
      </c>
      <c r="M19" s="482" t="s">
        <v>57</v>
      </c>
      <c r="N19" s="558">
        <v>53589.8</v>
      </c>
      <c r="O19" s="482" t="s">
        <v>57</v>
      </c>
      <c r="P19" s="642" t="s">
        <v>402</v>
      </c>
      <c r="Q19" s="484">
        <v>45793</v>
      </c>
      <c r="R19" s="484" t="s">
        <v>440</v>
      </c>
      <c r="S19" s="484"/>
      <c r="T19" s="484"/>
      <c r="U19" s="484">
        <v>45917</v>
      </c>
      <c r="V19" s="485">
        <v>8305</v>
      </c>
      <c r="W19" s="643">
        <v>8818</v>
      </c>
      <c r="X19" s="107">
        <f t="shared" si="6"/>
        <v>-513</v>
      </c>
      <c r="Y19" s="22">
        <f t="shared" si="7"/>
        <v>1.0617700180614087</v>
      </c>
      <c r="Z19" s="671">
        <v>45810</v>
      </c>
      <c r="AA19" s="366">
        <v>1</v>
      </c>
      <c r="AB19" s="366">
        <v>1</v>
      </c>
      <c r="AC19" s="661">
        <v>0</v>
      </c>
      <c r="AD19" s="426" t="s">
        <v>441</v>
      </c>
    </row>
    <row r="20" spans="1:30" ht="39.75" customHeight="1">
      <c r="A20" s="964" t="s">
        <v>442</v>
      </c>
      <c r="B20" s="478" t="s">
        <v>110</v>
      </c>
      <c r="C20" s="489">
        <v>45976</v>
      </c>
      <c r="D20" s="480" t="s">
        <v>143</v>
      </c>
      <c r="E20" s="480">
        <v>45959</v>
      </c>
      <c r="F20" s="478" t="s">
        <v>152</v>
      </c>
      <c r="G20" s="701"/>
      <c r="H20" s="482">
        <v>61</v>
      </c>
      <c r="I20" s="680" t="s">
        <v>401</v>
      </c>
      <c r="J20" s="482" t="s">
        <v>63</v>
      </c>
      <c r="K20" s="482"/>
      <c r="L20" s="480">
        <v>45962</v>
      </c>
      <c r="M20" s="482" t="s">
        <v>57</v>
      </c>
      <c r="N20" s="558">
        <v>35050</v>
      </c>
      <c r="O20" s="482" t="s">
        <v>57</v>
      </c>
      <c r="P20" s="642" t="s">
        <v>402</v>
      </c>
      <c r="Q20" s="484">
        <v>45961</v>
      </c>
      <c r="R20" s="568"/>
      <c r="S20" s="568"/>
      <c r="T20" s="568"/>
      <c r="U20" s="568"/>
      <c r="V20" s="485">
        <v>2527</v>
      </c>
      <c r="W20" s="643">
        <v>2647</v>
      </c>
      <c r="X20" s="485">
        <f t="shared" si="6"/>
        <v>-120</v>
      </c>
      <c r="Y20" s="681">
        <f t="shared" si="7"/>
        <v>1.0474871388998812</v>
      </c>
      <c r="Z20" s="492">
        <v>45973</v>
      </c>
      <c r="AA20" s="366">
        <v>1</v>
      </c>
      <c r="AB20" s="366">
        <v>1</v>
      </c>
      <c r="AC20" s="808">
        <v>0</v>
      </c>
      <c r="AD20" s="449" t="s">
        <v>443</v>
      </c>
    </row>
    <row r="21" spans="1:30" ht="39.75" customHeight="1">
      <c r="A21" s="964" t="s">
        <v>444</v>
      </c>
      <c r="B21" s="478" t="s">
        <v>110</v>
      </c>
      <c r="C21" s="489">
        <v>45976</v>
      </c>
      <c r="D21" s="480" t="s">
        <v>143</v>
      </c>
      <c r="E21" s="480">
        <v>45959</v>
      </c>
      <c r="F21" s="478" t="s">
        <v>165</v>
      </c>
      <c r="G21" s="701"/>
      <c r="H21" s="482">
        <v>69</v>
      </c>
      <c r="I21" s="680" t="s">
        <v>401</v>
      </c>
      <c r="J21" s="482" t="s">
        <v>63</v>
      </c>
      <c r="K21" s="482"/>
      <c r="L21" s="480">
        <v>45962</v>
      </c>
      <c r="M21" s="482" t="s">
        <v>57</v>
      </c>
      <c r="N21" s="558">
        <v>37418</v>
      </c>
      <c r="O21" s="482" t="s">
        <v>57</v>
      </c>
      <c r="P21" s="642" t="s">
        <v>402</v>
      </c>
      <c r="Q21" s="484">
        <v>45961</v>
      </c>
      <c r="R21" s="568"/>
      <c r="S21" s="568"/>
      <c r="T21" s="568"/>
      <c r="U21" s="568"/>
      <c r="V21" s="485">
        <v>2851</v>
      </c>
      <c r="W21" s="643">
        <v>2838</v>
      </c>
      <c r="X21" s="485">
        <f t="shared" si="6"/>
        <v>13</v>
      </c>
      <c r="Y21" s="681">
        <f t="shared" si="7"/>
        <v>0.99544019642230797</v>
      </c>
      <c r="Z21" s="492">
        <v>45973</v>
      </c>
      <c r="AA21" s="366">
        <v>1</v>
      </c>
      <c r="AB21" s="366">
        <v>1</v>
      </c>
      <c r="AC21" s="808">
        <v>0</v>
      </c>
      <c r="AD21" s="43" t="s">
        <v>445</v>
      </c>
    </row>
    <row r="22" spans="1:30" ht="39.75" customHeight="1">
      <c r="A22" s="964" t="s">
        <v>446</v>
      </c>
      <c r="B22" s="478" t="s">
        <v>110</v>
      </c>
      <c r="C22" s="480">
        <v>45991</v>
      </c>
      <c r="D22" s="480" t="s">
        <v>143</v>
      </c>
      <c r="E22" s="480">
        <v>45966</v>
      </c>
      <c r="F22" s="478" t="s">
        <v>111</v>
      </c>
      <c r="G22" s="481" t="s">
        <v>447</v>
      </c>
      <c r="H22" s="482">
        <v>69</v>
      </c>
      <c r="I22" s="680" t="s">
        <v>401</v>
      </c>
      <c r="J22" s="482" t="s">
        <v>63</v>
      </c>
      <c r="K22" s="482"/>
      <c r="L22" s="480">
        <v>45969</v>
      </c>
      <c r="M22" s="482" t="s">
        <v>57</v>
      </c>
      <c r="N22" s="558">
        <v>75672.100000000006</v>
      </c>
      <c r="O22" s="482" t="s">
        <v>57</v>
      </c>
      <c r="P22" s="642" t="s">
        <v>402</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1</v>
      </c>
      <c r="AC22" s="808">
        <v>0</v>
      </c>
      <c r="AD22" s="487" t="s">
        <v>448</v>
      </c>
    </row>
    <row r="23" spans="1:30" ht="39.75" customHeight="1">
      <c r="A23" s="964" t="s">
        <v>449</v>
      </c>
      <c r="B23" s="478" t="s">
        <v>110</v>
      </c>
      <c r="C23" s="480">
        <v>46001</v>
      </c>
      <c r="D23" s="480" t="s">
        <v>143</v>
      </c>
      <c r="E23" s="480">
        <v>45966</v>
      </c>
      <c r="F23" s="478" t="s">
        <v>111</v>
      </c>
      <c r="G23" s="701" t="s">
        <v>450</v>
      </c>
      <c r="H23" s="482">
        <v>88</v>
      </c>
      <c r="I23" s="680" t="s">
        <v>401</v>
      </c>
      <c r="J23" s="482" t="s">
        <v>63</v>
      </c>
      <c r="K23" s="482"/>
      <c r="L23" s="480">
        <v>45967</v>
      </c>
      <c r="M23" s="482" t="s">
        <v>57</v>
      </c>
      <c r="N23" s="558">
        <v>76565.850000000006</v>
      </c>
      <c r="O23" s="482" t="s">
        <v>57</v>
      </c>
      <c r="P23" s="642" t="s">
        <v>402</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451</v>
      </c>
    </row>
    <row r="24" spans="1:30" ht="39.75" customHeight="1">
      <c r="A24" s="964" t="s">
        <v>452</v>
      </c>
      <c r="B24" s="478" t="s">
        <v>110</v>
      </c>
      <c r="C24" s="480">
        <v>45991</v>
      </c>
      <c r="D24" s="480" t="s">
        <v>143</v>
      </c>
      <c r="E24" s="480">
        <v>45966</v>
      </c>
      <c r="F24" s="478" t="s">
        <v>111</v>
      </c>
      <c r="G24" s="701" t="s">
        <v>453</v>
      </c>
      <c r="H24" s="482">
        <v>83</v>
      </c>
      <c r="I24" s="680" t="s">
        <v>401</v>
      </c>
      <c r="J24" s="482" t="s">
        <v>63</v>
      </c>
      <c r="K24" s="482"/>
      <c r="L24" s="480">
        <v>45969</v>
      </c>
      <c r="M24" s="482" t="s">
        <v>57</v>
      </c>
      <c r="N24" s="558">
        <v>66402</v>
      </c>
      <c r="O24" s="482" t="s">
        <v>57</v>
      </c>
      <c r="P24" s="642" t="s">
        <v>402</v>
      </c>
      <c r="Q24" s="484">
        <v>45969</v>
      </c>
      <c r="R24" s="568"/>
      <c r="S24" s="568"/>
      <c r="T24" s="568"/>
      <c r="U24" s="568"/>
      <c r="V24" s="485">
        <v>5324</v>
      </c>
      <c r="W24" s="643">
        <v>5304</v>
      </c>
      <c r="X24" s="485">
        <f t="shared" si="8"/>
        <v>20</v>
      </c>
      <c r="Y24" s="681">
        <f t="shared" si="9"/>
        <v>0.99624342599549209</v>
      </c>
      <c r="Z24" s="492">
        <v>45979</v>
      </c>
      <c r="AA24" s="366">
        <v>1</v>
      </c>
      <c r="AB24" s="366">
        <v>1</v>
      </c>
      <c r="AC24" s="808">
        <v>0</v>
      </c>
      <c r="AD24" s="487" t="s">
        <v>454</v>
      </c>
    </row>
    <row r="25" spans="1:30" ht="39.75" customHeight="1">
      <c r="A25" s="964" t="s">
        <v>455</v>
      </c>
      <c r="B25" s="478" t="s">
        <v>110</v>
      </c>
      <c r="C25" s="480">
        <v>45991</v>
      </c>
      <c r="D25" s="480" t="s">
        <v>143</v>
      </c>
      <c r="E25" s="480">
        <v>45966</v>
      </c>
      <c r="F25" s="478" t="s">
        <v>152</v>
      </c>
      <c r="G25" s="701" t="s">
        <v>456</v>
      </c>
      <c r="H25" s="482">
        <v>75</v>
      </c>
      <c r="I25" s="680" t="s">
        <v>401</v>
      </c>
      <c r="J25" s="482" t="s">
        <v>63</v>
      </c>
      <c r="K25" s="482"/>
      <c r="L25" s="480">
        <v>45967</v>
      </c>
      <c r="M25" s="482" t="s">
        <v>57</v>
      </c>
      <c r="N25" s="558">
        <v>60620</v>
      </c>
      <c r="O25" s="482" t="s">
        <v>57</v>
      </c>
      <c r="P25" s="642" t="s">
        <v>402</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457</v>
      </c>
    </row>
    <row r="26" spans="1:30" ht="39.75" customHeight="1">
      <c r="A26" s="964" t="s">
        <v>458</v>
      </c>
      <c r="B26" s="478" t="s">
        <v>110</v>
      </c>
      <c r="C26" s="480">
        <v>45975</v>
      </c>
      <c r="D26" s="480" t="s">
        <v>169</v>
      </c>
      <c r="E26" s="480">
        <v>45982</v>
      </c>
      <c r="F26" s="658" t="s">
        <v>111</v>
      </c>
      <c r="G26" s="701" t="s">
        <v>459</v>
      </c>
      <c r="H26" s="482">
        <v>0</v>
      </c>
      <c r="I26" s="482" t="s">
        <v>401</v>
      </c>
      <c r="J26" s="482" t="s">
        <v>63</v>
      </c>
      <c r="K26" s="482"/>
      <c r="L26" s="480">
        <v>45968</v>
      </c>
      <c r="M26" s="482" t="s">
        <v>57</v>
      </c>
      <c r="N26" s="558">
        <v>12840.7</v>
      </c>
      <c r="O26" s="482" t="s">
        <v>57</v>
      </c>
      <c r="P26" s="642" t="s">
        <v>402</v>
      </c>
      <c r="Q26" s="125">
        <v>45937</v>
      </c>
      <c r="R26" s="671"/>
      <c r="S26" s="484"/>
      <c r="T26" s="484"/>
      <c r="U26" s="125"/>
      <c r="V26" s="1100">
        <v>911</v>
      </c>
      <c r="W26" s="1168">
        <v>974</v>
      </c>
      <c r="X26" s="662">
        <f>SUM(V26-W26)</f>
        <v>-63</v>
      </c>
      <c r="Y26" s="681">
        <f>IFERROR($W26/$V26, 0)</f>
        <v>1.0691547749725576</v>
      </c>
      <c r="Z26" s="492">
        <v>45985</v>
      </c>
      <c r="AA26" s="366">
        <v>1</v>
      </c>
      <c r="AB26" s="366">
        <v>1</v>
      </c>
      <c r="AC26" s="1003">
        <v>0</v>
      </c>
      <c r="AD26" s="777" t="s">
        <v>460</v>
      </c>
    </row>
    <row r="27" spans="1:30" ht="39.75" customHeight="1">
      <c r="A27" s="964" t="s">
        <v>461</v>
      </c>
      <c r="B27" s="478" t="s">
        <v>110</v>
      </c>
      <c r="C27" s="489">
        <v>45991</v>
      </c>
      <c r="D27" s="480" t="s">
        <v>226</v>
      </c>
      <c r="E27" s="480">
        <v>45953</v>
      </c>
      <c r="F27" s="478" t="s">
        <v>152</v>
      </c>
      <c r="G27" s="701" t="s">
        <v>462</v>
      </c>
      <c r="H27" s="482">
        <v>0</v>
      </c>
      <c r="I27" s="482" t="s">
        <v>401</v>
      </c>
      <c r="J27" s="482" t="s">
        <v>63</v>
      </c>
      <c r="K27" s="482"/>
      <c r="L27" s="480" t="s">
        <v>179</v>
      </c>
      <c r="M27" s="482" t="s">
        <v>57</v>
      </c>
      <c r="N27" s="558">
        <v>51970</v>
      </c>
      <c r="O27" s="482" t="s">
        <v>57</v>
      </c>
      <c r="P27" s="642" t="s">
        <v>402</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463</v>
      </c>
    </row>
    <row r="28" spans="1:30" ht="39.75" customHeight="1">
      <c r="A28" s="964" t="s">
        <v>464</v>
      </c>
      <c r="B28" s="478" t="s">
        <v>110</v>
      </c>
      <c r="C28" s="503">
        <v>45838</v>
      </c>
      <c r="D28" s="503" t="s">
        <v>143</v>
      </c>
      <c r="E28" s="489">
        <v>45786</v>
      </c>
      <c r="F28" s="503" t="s">
        <v>139</v>
      </c>
      <c r="G28" s="975" t="s">
        <v>465</v>
      </c>
      <c r="H28" s="482">
        <v>0</v>
      </c>
      <c r="I28" s="483" t="s">
        <v>401</v>
      </c>
      <c r="J28" s="482" t="s">
        <v>63</v>
      </c>
      <c r="K28" s="482"/>
      <c r="L28" s="480">
        <v>45790</v>
      </c>
      <c r="M28" s="482" t="s">
        <v>57</v>
      </c>
      <c r="N28" s="558">
        <v>63283</v>
      </c>
      <c r="O28" s="482" t="s">
        <v>57</v>
      </c>
      <c r="P28" s="642" t="s">
        <v>402</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466</v>
      </c>
    </row>
    <row r="29" spans="1:30" ht="39.75" customHeight="1">
      <c r="A29" s="964" t="s">
        <v>467</v>
      </c>
      <c r="B29" s="700" t="s">
        <v>110</v>
      </c>
      <c r="C29" s="489">
        <v>45991</v>
      </c>
      <c r="D29" s="478" t="s">
        <v>468</v>
      </c>
      <c r="E29" s="480">
        <v>45936</v>
      </c>
      <c r="F29" s="478" t="s">
        <v>111</v>
      </c>
      <c r="G29" s="701"/>
      <c r="H29" s="482">
        <v>0</v>
      </c>
      <c r="I29" s="482" t="s">
        <v>401</v>
      </c>
      <c r="J29" s="482" t="s">
        <v>63</v>
      </c>
      <c r="K29" s="482"/>
      <c r="L29" s="480" t="s">
        <v>179</v>
      </c>
      <c r="M29" s="482" t="s">
        <v>57</v>
      </c>
      <c r="N29" s="558">
        <v>74164.05</v>
      </c>
      <c r="O29" s="482" t="s">
        <v>57</v>
      </c>
      <c r="P29" s="1130" t="s">
        <v>402</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469</v>
      </c>
    </row>
    <row r="30" spans="1:30" ht="39.75" customHeight="1">
      <c r="A30" s="964" t="s">
        <v>470</v>
      </c>
      <c r="B30" s="478" t="s">
        <v>110</v>
      </c>
      <c r="C30" s="489">
        <v>45960</v>
      </c>
      <c r="D30" s="480" t="s">
        <v>234</v>
      </c>
      <c r="E30" s="480">
        <v>45939</v>
      </c>
      <c r="F30" s="478" t="s">
        <v>139</v>
      </c>
      <c r="G30" s="701"/>
      <c r="H30" s="482">
        <v>385</v>
      </c>
      <c r="I30" s="680" t="s">
        <v>401</v>
      </c>
      <c r="J30" s="482" t="s">
        <v>56</v>
      </c>
      <c r="K30" s="482"/>
      <c r="L30" s="480">
        <v>45937</v>
      </c>
      <c r="M30" s="482" t="s">
        <v>57</v>
      </c>
      <c r="N30" s="558">
        <v>210533.1</v>
      </c>
      <c r="O30" s="482" t="s">
        <v>57</v>
      </c>
      <c r="P30" s="642" t="s">
        <v>402</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471</v>
      </c>
    </row>
    <row r="31" spans="1:30" ht="39.75" customHeight="1">
      <c r="A31" s="964" t="s">
        <v>472</v>
      </c>
      <c r="B31" s="478" t="s">
        <v>110</v>
      </c>
      <c r="C31" s="480">
        <v>46017</v>
      </c>
      <c r="D31" s="480" t="s">
        <v>230</v>
      </c>
      <c r="E31" s="480">
        <v>45936</v>
      </c>
      <c r="F31" s="478" t="s">
        <v>111</v>
      </c>
      <c r="G31" s="481"/>
      <c r="H31" s="482">
        <v>157</v>
      </c>
      <c r="I31" s="680" t="s">
        <v>401</v>
      </c>
      <c r="J31" s="482" t="s">
        <v>56</v>
      </c>
      <c r="K31" s="482"/>
      <c r="L31" s="480">
        <v>45943</v>
      </c>
      <c r="M31" s="482" t="s">
        <v>57</v>
      </c>
      <c r="N31" s="558">
        <v>64059.5</v>
      </c>
      <c r="O31" s="482" t="s">
        <v>57</v>
      </c>
      <c r="P31" s="642" t="s">
        <v>402</v>
      </c>
      <c r="Q31" s="484">
        <v>45943</v>
      </c>
      <c r="R31" s="484"/>
      <c r="S31" s="484"/>
      <c r="T31" s="484"/>
      <c r="U31" s="484"/>
      <c r="V31" s="485">
        <v>4725</v>
      </c>
      <c r="W31" s="643">
        <v>4725</v>
      </c>
      <c r="X31" s="485">
        <f t="shared" si="10"/>
        <v>0</v>
      </c>
      <c r="Y31" s="681">
        <f t="shared" si="11"/>
        <v>1</v>
      </c>
      <c r="Z31" s="492">
        <v>45971</v>
      </c>
      <c r="AA31" s="366">
        <v>1</v>
      </c>
      <c r="AB31" s="366">
        <v>1</v>
      </c>
      <c r="AC31" s="485">
        <v>0</v>
      </c>
      <c r="AD31" s="777" t="s">
        <v>473</v>
      </c>
    </row>
    <row r="32" spans="1:30" ht="39.75" customHeight="1">
      <c r="A32" s="1153" t="s">
        <v>474</v>
      </c>
      <c r="B32" s="1031" t="s">
        <v>343</v>
      </c>
      <c r="C32" s="480">
        <v>46045</v>
      </c>
      <c r="D32" s="658" t="s">
        <v>143</v>
      </c>
      <c r="E32" s="480"/>
      <c r="F32" s="478"/>
      <c r="G32" s="481"/>
      <c r="H32" s="1142">
        <v>77</v>
      </c>
      <c r="I32" s="854" t="s">
        <v>401</v>
      </c>
      <c r="J32" s="491" t="s">
        <v>63</v>
      </c>
      <c r="K32" s="1143"/>
      <c r="L32" s="489" t="s">
        <v>52</v>
      </c>
      <c r="M32" s="491" t="s">
        <v>57</v>
      </c>
      <c r="N32" s="1144">
        <v>4046.5</v>
      </c>
      <c r="O32" s="491" t="s">
        <v>57</v>
      </c>
      <c r="P32" s="642" t="s">
        <v>402</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475</v>
      </c>
    </row>
    <row r="33" spans="1:30" ht="39.75" customHeight="1">
      <c r="A33" s="1139" t="s">
        <v>476</v>
      </c>
      <c r="B33" s="1031" t="s">
        <v>343</v>
      </c>
      <c r="C33" s="480">
        <v>46045</v>
      </c>
      <c r="D33" s="658" t="s">
        <v>143</v>
      </c>
      <c r="E33" s="480"/>
      <c r="F33" s="478"/>
      <c r="G33" s="481"/>
      <c r="H33" s="1142">
        <v>85</v>
      </c>
      <c r="I33" s="854" t="s">
        <v>401</v>
      </c>
      <c r="J33" s="491" t="s">
        <v>63</v>
      </c>
      <c r="K33" s="1143"/>
      <c r="L33" s="489" t="s">
        <v>52</v>
      </c>
      <c r="M33" s="491" t="s">
        <v>57</v>
      </c>
      <c r="N33" s="1144">
        <v>29180.45</v>
      </c>
      <c r="O33" s="491" t="s">
        <v>57</v>
      </c>
      <c r="P33" s="642" t="s">
        <v>402</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477</v>
      </c>
    </row>
    <row r="34" spans="1:30" ht="39.75" customHeight="1">
      <c r="A34" s="1154" t="s">
        <v>478</v>
      </c>
      <c r="B34" s="1031" t="s">
        <v>343</v>
      </c>
      <c r="C34" s="480">
        <v>46045</v>
      </c>
      <c r="D34" s="658" t="s">
        <v>143</v>
      </c>
      <c r="E34" s="480"/>
      <c r="F34" s="478"/>
      <c r="G34" s="481"/>
      <c r="H34" s="1142">
        <v>62</v>
      </c>
      <c r="I34" s="854" t="s">
        <v>401</v>
      </c>
      <c r="J34" s="491" t="s">
        <v>63</v>
      </c>
      <c r="K34" s="1143"/>
      <c r="L34" s="489" t="s">
        <v>52</v>
      </c>
      <c r="M34" s="491" t="s">
        <v>57</v>
      </c>
      <c r="N34" s="1144">
        <v>170</v>
      </c>
      <c r="O34" s="491" t="s">
        <v>57</v>
      </c>
      <c r="P34" s="731" t="s">
        <v>402</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479</v>
      </c>
    </row>
    <row r="35" spans="1:30" ht="39.75" customHeight="1">
      <c r="A35" s="1139" t="s">
        <v>480</v>
      </c>
      <c r="B35" s="1031" t="s">
        <v>343</v>
      </c>
      <c r="C35" s="480">
        <v>46045</v>
      </c>
      <c r="D35" s="658" t="s">
        <v>143</v>
      </c>
      <c r="E35" s="480"/>
      <c r="F35" s="478" t="s">
        <v>344</v>
      </c>
      <c r="G35" s="481"/>
      <c r="H35" s="1142">
        <v>80</v>
      </c>
      <c r="I35" s="854" t="s">
        <v>401</v>
      </c>
      <c r="J35" s="491" t="s">
        <v>63</v>
      </c>
      <c r="K35" s="1143"/>
      <c r="L35" s="489" t="s">
        <v>52</v>
      </c>
      <c r="M35" s="491" t="s">
        <v>57</v>
      </c>
      <c r="N35" s="1144">
        <v>170</v>
      </c>
      <c r="O35" s="491" t="s">
        <v>57</v>
      </c>
      <c r="P35" s="1015" t="s">
        <v>402</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481</v>
      </c>
    </row>
    <row r="36" spans="1:30" ht="39.75" customHeight="1">
      <c r="A36" s="1139" t="s">
        <v>482</v>
      </c>
      <c r="B36" s="1031" t="s">
        <v>343</v>
      </c>
      <c r="C36" s="480">
        <v>46045</v>
      </c>
      <c r="D36" s="658" t="s">
        <v>143</v>
      </c>
      <c r="E36" s="480"/>
      <c r="F36" s="478" t="s">
        <v>344</v>
      </c>
      <c r="G36" s="481"/>
      <c r="H36" s="1142">
        <v>89</v>
      </c>
      <c r="I36" s="854" t="s">
        <v>401</v>
      </c>
      <c r="J36" s="491" t="s">
        <v>63</v>
      </c>
      <c r="K36" s="1143"/>
      <c r="L36" s="489" t="s">
        <v>52</v>
      </c>
      <c r="M36" s="491" t="s">
        <v>57</v>
      </c>
      <c r="N36" s="1144">
        <v>26696</v>
      </c>
      <c r="O36" s="491" t="s">
        <v>57</v>
      </c>
      <c r="P36" s="642" t="s">
        <v>402</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483</v>
      </c>
    </row>
    <row r="37" spans="1:30" ht="39.75" customHeight="1">
      <c r="A37" s="1139" t="s">
        <v>484</v>
      </c>
      <c r="B37" s="1031" t="s">
        <v>343</v>
      </c>
      <c r="C37" s="480">
        <v>46045</v>
      </c>
      <c r="D37" s="658" t="s">
        <v>143</v>
      </c>
      <c r="E37" s="480">
        <v>45959</v>
      </c>
      <c r="F37" s="478" t="s">
        <v>344</v>
      </c>
      <c r="G37" s="481" t="s">
        <v>485</v>
      </c>
      <c r="H37" s="1142">
        <v>78</v>
      </c>
      <c r="I37" s="854" t="s">
        <v>401</v>
      </c>
      <c r="J37" s="491" t="s">
        <v>63</v>
      </c>
      <c r="K37" s="1143"/>
      <c r="L37" s="480">
        <v>45964</v>
      </c>
      <c r="M37" s="491" t="s">
        <v>57</v>
      </c>
      <c r="N37" s="1144">
        <v>170</v>
      </c>
      <c r="O37" s="491" t="s">
        <v>57</v>
      </c>
      <c r="P37" s="642" t="s">
        <v>402</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486</v>
      </c>
    </row>
    <row r="38" spans="1:30" ht="39.75" customHeight="1">
      <c r="A38" s="1138" t="s">
        <v>487</v>
      </c>
      <c r="B38" s="463" t="s">
        <v>343</v>
      </c>
      <c r="C38" s="386">
        <v>46045</v>
      </c>
      <c r="D38" s="1024" t="s">
        <v>143</v>
      </c>
      <c r="E38" s="386"/>
      <c r="F38" s="385"/>
      <c r="G38" s="653"/>
      <c r="H38" s="1134">
        <v>80</v>
      </c>
      <c r="I38" s="1028" t="s">
        <v>401</v>
      </c>
      <c r="J38" s="1029" t="s">
        <v>63</v>
      </c>
      <c r="K38" s="1068"/>
      <c r="L38" s="489" t="s">
        <v>52</v>
      </c>
      <c r="M38" s="1029" t="s">
        <v>57</v>
      </c>
      <c r="N38" s="1135">
        <v>25891</v>
      </c>
      <c r="O38" s="52" t="s">
        <v>57</v>
      </c>
      <c r="P38" s="1137" t="s">
        <v>402</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479</v>
      </c>
    </row>
    <row r="39" spans="1:30" ht="39.75" customHeight="1">
      <c r="A39" s="1138" t="s">
        <v>488</v>
      </c>
      <c r="B39" s="463" t="s">
        <v>343</v>
      </c>
      <c r="C39" s="386">
        <v>46045</v>
      </c>
      <c r="D39" s="1024" t="s">
        <v>143</v>
      </c>
      <c r="E39" s="386"/>
      <c r="F39" s="385"/>
      <c r="G39" s="653"/>
      <c r="H39" s="1134">
        <v>83</v>
      </c>
      <c r="I39" s="1028" t="s">
        <v>401</v>
      </c>
      <c r="J39" s="1029" t="s">
        <v>63</v>
      </c>
      <c r="K39" s="1068"/>
      <c r="L39" s="489" t="s">
        <v>52</v>
      </c>
      <c r="M39" s="1029" t="s">
        <v>57</v>
      </c>
      <c r="N39" s="1135">
        <v>170</v>
      </c>
      <c r="O39" s="52" t="s">
        <v>57</v>
      </c>
      <c r="P39" s="1137" t="s">
        <v>402</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489</v>
      </c>
    </row>
    <row r="40" spans="1:30" ht="39.75" customHeight="1">
      <c r="A40" s="1138" t="s">
        <v>490</v>
      </c>
      <c r="B40" s="463" t="s">
        <v>343</v>
      </c>
      <c r="C40" s="386">
        <v>46045</v>
      </c>
      <c r="D40" s="1024" t="s">
        <v>143</v>
      </c>
      <c r="E40" s="386"/>
      <c r="F40" s="385"/>
      <c r="G40" s="653"/>
      <c r="H40" s="1134">
        <v>85</v>
      </c>
      <c r="I40" s="1028" t="s">
        <v>401</v>
      </c>
      <c r="J40" s="1029" t="s">
        <v>63</v>
      </c>
      <c r="K40" s="1068"/>
      <c r="L40" s="489" t="s">
        <v>52</v>
      </c>
      <c r="M40" s="1029" t="s">
        <v>57</v>
      </c>
      <c r="N40" s="1135">
        <v>30788</v>
      </c>
      <c r="O40" s="52" t="s">
        <v>57</v>
      </c>
      <c r="P40" s="1137" t="s">
        <v>402</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491</v>
      </c>
    </row>
    <row r="41" spans="1:30" ht="39.75" customHeight="1">
      <c r="A41" s="1138" t="s">
        <v>492</v>
      </c>
      <c r="B41" s="463" t="s">
        <v>343</v>
      </c>
      <c r="C41" s="386">
        <v>46045</v>
      </c>
      <c r="D41" s="1024" t="s">
        <v>143</v>
      </c>
      <c r="E41" s="386"/>
      <c r="F41" s="385"/>
      <c r="G41" s="653"/>
      <c r="H41" s="1134">
        <v>88</v>
      </c>
      <c r="I41" s="1028" t="s">
        <v>401</v>
      </c>
      <c r="J41" s="1029" t="s">
        <v>63</v>
      </c>
      <c r="K41" s="1068"/>
      <c r="L41" s="489" t="s">
        <v>52</v>
      </c>
      <c r="M41" s="1029" t="s">
        <v>57</v>
      </c>
      <c r="N41" s="1135">
        <v>5668</v>
      </c>
      <c r="O41" s="52" t="s">
        <v>57</v>
      </c>
      <c r="P41" s="1137" t="s">
        <v>402</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479</v>
      </c>
    </row>
    <row r="42" spans="1:30" ht="39.75" customHeight="1">
      <c r="A42" s="1138" t="s">
        <v>493</v>
      </c>
      <c r="B42" s="463" t="s">
        <v>343</v>
      </c>
      <c r="C42" s="386">
        <v>46045</v>
      </c>
      <c r="D42" s="1024" t="s">
        <v>143</v>
      </c>
      <c r="E42" s="386"/>
      <c r="F42" s="385"/>
      <c r="G42" s="653"/>
      <c r="H42" s="1134">
        <v>30</v>
      </c>
      <c r="I42" s="1028" t="s">
        <v>401</v>
      </c>
      <c r="J42" s="1029" t="s">
        <v>63</v>
      </c>
      <c r="K42" s="1068"/>
      <c r="L42" s="489" t="s">
        <v>52</v>
      </c>
      <c r="M42" s="1029" t="s">
        <v>57</v>
      </c>
      <c r="N42" s="1135">
        <v>170</v>
      </c>
      <c r="O42" s="52" t="s">
        <v>57</v>
      </c>
      <c r="P42" s="1137" t="s">
        <v>402</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479</v>
      </c>
    </row>
    <row r="43" spans="1:30" ht="39.75" customHeight="1">
      <c r="A43" s="1138" t="s">
        <v>494</v>
      </c>
      <c r="B43" s="463" t="s">
        <v>343</v>
      </c>
      <c r="C43" s="386">
        <v>46045</v>
      </c>
      <c r="D43" s="1024" t="s">
        <v>143</v>
      </c>
      <c r="E43" s="386">
        <v>45959</v>
      </c>
      <c r="F43" s="385" t="s">
        <v>139</v>
      </c>
      <c r="G43" s="653"/>
      <c r="H43" s="387">
        <v>89</v>
      </c>
      <c r="I43" s="1028" t="s">
        <v>401</v>
      </c>
      <c r="J43" s="1029" t="s">
        <v>63</v>
      </c>
      <c r="K43" s="666"/>
      <c r="L43" s="51">
        <v>45964</v>
      </c>
      <c r="M43" s="52" t="s">
        <v>57</v>
      </c>
      <c r="N43" s="865">
        <v>84750.5</v>
      </c>
      <c r="O43" s="52" t="s">
        <v>57</v>
      </c>
      <c r="P43" s="1137" t="s">
        <v>402</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495</v>
      </c>
    </row>
    <row r="44" spans="1:30" ht="39.75" customHeight="1">
      <c r="A44" s="1138" t="s">
        <v>496</v>
      </c>
      <c r="B44" s="463" t="s">
        <v>343</v>
      </c>
      <c r="C44" s="386">
        <v>45989</v>
      </c>
      <c r="D44" s="1024" t="s">
        <v>143</v>
      </c>
      <c r="E44" s="386">
        <v>45959</v>
      </c>
      <c r="F44" s="385" t="s">
        <v>139</v>
      </c>
      <c r="G44" s="653" t="s">
        <v>497</v>
      </c>
      <c r="H44" s="387">
        <v>59</v>
      </c>
      <c r="I44" s="1028" t="s">
        <v>401</v>
      </c>
      <c r="J44" s="1029" t="s">
        <v>63</v>
      </c>
      <c r="K44" s="666"/>
      <c r="L44" s="51">
        <v>45964</v>
      </c>
      <c r="M44" s="1029" t="s">
        <v>57</v>
      </c>
      <c r="N44" s="865">
        <v>65066.5</v>
      </c>
      <c r="O44" s="52" t="s">
        <v>57</v>
      </c>
      <c r="P44" s="1137" t="s">
        <v>402</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498</v>
      </c>
    </row>
    <row r="45" spans="1:30" ht="39.75" customHeight="1">
      <c r="A45" s="1138" t="s">
        <v>499</v>
      </c>
      <c r="B45" s="463" t="s">
        <v>343</v>
      </c>
      <c r="C45" s="386">
        <v>46045</v>
      </c>
      <c r="D45" s="1024" t="s">
        <v>143</v>
      </c>
      <c r="E45" s="386">
        <v>45959</v>
      </c>
      <c r="F45" s="385" t="s">
        <v>139</v>
      </c>
      <c r="G45" s="653"/>
      <c r="H45" s="387">
        <v>88</v>
      </c>
      <c r="I45" s="1028" t="s">
        <v>401</v>
      </c>
      <c r="J45" s="1029" t="s">
        <v>63</v>
      </c>
      <c r="K45" s="666"/>
      <c r="L45" s="51">
        <v>45961</v>
      </c>
      <c r="M45" s="52" t="s">
        <v>57</v>
      </c>
      <c r="N45" s="865">
        <v>88231.9</v>
      </c>
      <c r="O45" s="52" t="s">
        <v>57</v>
      </c>
      <c r="P45" s="1137" t="s">
        <v>402</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343</v>
      </c>
      <c r="C46" s="386">
        <v>46045</v>
      </c>
      <c r="D46" s="1024" t="s">
        <v>143</v>
      </c>
      <c r="E46" s="386">
        <v>45959</v>
      </c>
      <c r="F46" s="385" t="s">
        <v>139</v>
      </c>
      <c r="G46" s="653"/>
      <c r="H46" s="387">
        <v>90</v>
      </c>
      <c r="I46" s="1028" t="s">
        <v>401</v>
      </c>
      <c r="J46" s="1029" t="s">
        <v>63</v>
      </c>
      <c r="K46" s="666"/>
      <c r="L46" s="51">
        <v>45964</v>
      </c>
      <c r="M46" s="52" t="s">
        <v>57</v>
      </c>
      <c r="N46" s="865">
        <v>84896</v>
      </c>
      <c r="O46" s="52" t="s">
        <v>57</v>
      </c>
      <c r="P46" s="1137" t="s">
        <v>402</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343</v>
      </c>
      <c r="C47" s="386">
        <v>46021</v>
      </c>
      <c r="D47" s="1024" t="s">
        <v>143</v>
      </c>
      <c r="E47" s="386">
        <v>45959</v>
      </c>
      <c r="F47" s="385" t="s">
        <v>139</v>
      </c>
      <c r="G47" s="653" t="s">
        <v>504</v>
      </c>
      <c r="H47" s="387">
        <v>89</v>
      </c>
      <c r="I47" s="1028" t="s">
        <v>401</v>
      </c>
      <c r="J47" s="1029" t="s">
        <v>63</v>
      </c>
      <c r="K47" s="666"/>
      <c r="L47" s="51">
        <v>45961</v>
      </c>
      <c r="M47" s="1029" t="s">
        <v>57</v>
      </c>
      <c r="N47" s="865">
        <v>83615</v>
      </c>
      <c r="O47" s="52" t="s">
        <v>57</v>
      </c>
      <c r="P47" s="1137" t="s">
        <v>402</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401</v>
      </c>
      <c r="J48" s="482" t="s">
        <v>63</v>
      </c>
      <c r="K48" s="941"/>
      <c r="L48" s="51">
        <v>45741</v>
      </c>
      <c r="M48" s="387" t="s">
        <v>57</v>
      </c>
      <c r="N48" s="865">
        <v>67734.5</v>
      </c>
      <c r="O48" s="387" t="s">
        <v>57</v>
      </c>
      <c r="P48" s="1137" t="s">
        <v>402</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401</v>
      </c>
      <c r="J49" s="491" t="s">
        <v>63</v>
      </c>
      <c r="K49" s="52"/>
      <c r="L49" s="386">
        <v>45716</v>
      </c>
      <c r="M49" s="52" t="s">
        <v>57</v>
      </c>
      <c r="N49" s="1145">
        <v>56262.5</v>
      </c>
      <c r="O49" s="52" t="s">
        <v>57</v>
      </c>
      <c r="P49" s="1137" t="s">
        <v>402</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401</v>
      </c>
      <c r="J50" s="482" t="s">
        <v>63</v>
      </c>
      <c r="K50" s="850"/>
      <c r="L50" s="489">
        <v>45741</v>
      </c>
      <c r="M50" s="482" t="s">
        <v>57</v>
      </c>
      <c r="N50" s="559">
        <v>17203.45</v>
      </c>
      <c r="O50" s="482" t="s">
        <v>57</v>
      </c>
      <c r="P50" s="1015" t="s">
        <v>402</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401</v>
      </c>
      <c r="J51" s="482" t="s">
        <v>63</v>
      </c>
      <c r="K51" s="941"/>
      <c r="L51" s="51">
        <v>45742</v>
      </c>
      <c r="M51" s="947" t="s">
        <v>57</v>
      </c>
      <c r="N51" s="1145">
        <v>23800.25</v>
      </c>
      <c r="O51" s="387" t="s">
        <v>57</v>
      </c>
      <c r="P51" s="1137" t="s">
        <v>402</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401</v>
      </c>
      <c r="J52" s="482" t="s">
        <v>56</v>
      </c>
      <c r="K52" s="52"/>
      <c r="L52" s="51" t="s">
        <v>52</v>
      </c>
      <c r="M52" s="1029" t="s">
        <v>57</v>
      </c>
      <c r="N52" s="1145">
        <v>42766.5</v>
      </c>
      <c r="O52" s="52" t="s">
        <v>57</v>
      </c>
      <c r="P52" s="1137" t="s">
        <v>402</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401</v>
      </c>
      <c r="J53" s="482" t="s">
        <v>56</v>
      </c>
      <c r="K53" s="97"/>
      <c r="L53" s="51" t="s">
        <v>52</v>
      </c>
      <c r="M53" s="1029" t="s">
        <v>57</v>
      </c>
      <c r="N53" s="1145">
        <v>86136</v>
      </c>
      <c r="O53" s="52" t="s">
        <v>57</v>
      </c>
      <c r="P53" s="1137" t="s">
        <v>402</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T12" activePane="topRight" state="frozen"/>
      <selection pane="topRight" activeCell="AC20" sqref="AC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239</v>
      </c>
      <c r="C2" s="480">
        <v>45960</v>
      </c>
      <c r="D2" s="480" t="s">
        <v>250</v>
      </c>
      <c r="E2" s="480">
        <v>45852</v>
      </c>
      <c r="F2" s="658" t="s">
        <v>251</v>
      </c>
      <c r="G2" s="701" t="s">
        <v>524</v>
      </c>
      <c r="H2" s="482">
        <v>0</v>
      </c>
      <c r="I2" s="482" t="s">
        <v>401</v>
      </c>
      <c r="J2" s="482" t="s">
        <v>63</v>
      </c>
      <c r="K2" s="482"/>
      <c r="L2" s="480">
        <v>45852</v>
      </c>
      <c r="M2" s="482" t="s">
        <v>57</v>
      </c>
      <c r="N2" s="558">
        <v>42837.2</v>
      </c>
      <c r="O2" s="482" t="s">
        <v>57</v>
      </c>
      <c r="P2" s="827" t="s">
        <v>402</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239</v>
      </c>
      <c r="C3" s="480">
        <v>45868</v>
      </c>
      <c r="D3" s="488" t="s">
        <v>527</v>
      </c>
      <c r="E3" s="489">
        <v>45716</v>
      </c>
      <c r="F3" s="488" t="s">
        <v>251</v>
      </c>
      <c r="G3" s="613" t="s">
        <v>528</v>
      </c>
      <c r="H3" s="491">
        <v>0</v>
      </c>
      <c r="I3" s="497" t="s">
        <v>401</v>
      </c>
      <c r="J3" s="491" t="s">
        <v>63</v>
      </c>
      <c r="K3" s="502"/>
      <c r="L3" s="480">
        <v>45716</v>
      </c>
      <c r="M3" s="491" t="s">
        <v>57</v>
      </c>
      <c r="N3" s="559">
        <v>64932.55</v>
      </c>
      <c r="O3" s="491" t="s">
        <v>57</v>
      </c>
      <c r="P3" s="827" t="s">
        <v>402</v>
      </c>
      <c r="Q3" s="492">
        <v>45721</v>
      </c>
      <c r="R3" s="54"/>
      <c r="S3" s="54"/>
      <c r="T3" s="54"/>
      <c r="U3" s="87" t="s">
        <v>525</v>
      </c>
      <c r="V3" s="1175">
        <v>5151</v>
      </c>
      <c r="W3" s="762">
        <v>5207</v>
      </c>
      <c r="X3" s="107">
        <f>SUM(V3-W3)</f>
        <v>-56</v>
      </c>
      <c r="Y3" s="22">
        <f>IFERROR($W3/$V3, 0)</f>
        <v>1.0108716754028344</v>
      </c>
      <c r="Z3" s="697">
        <v>45748</v>
      </c>
      <c r="AA3" s="366">
        <v>1</v>
      </c>
      <c r="AB3" s="366">
        <v>1</v>
      </c>
      <c r="AC3" s="41">
        <v>0</v>
      </c>
      <c r="AD3" s="905"/>
    </row>
    <row r="4" spans="1:30" ht="39.75" customHeight="1">
      <c r="A4" s="915" t="s">
        <v>529</v>
      </c>
      <c r="B4" s="506" t="s">
        <v>239</v>
      </c>
      <c r="C4" s="480">
        <v>45991</v>
      </c>
      <c r="D4" s="489" t="s">
        <v>422</v>
      </c>
      <c r="E4" s="441">
        <v>45707</v>
      </c>
      <c r="F4" s="488" t="s">
        <v>251</v>
      </c>
      <c r="G4" s="507" t="s">
        <v>530</v>
      </c>
      <c r="H4" s="497">
        <v>0</v>
      </c>
      <c r="I4" s="497" t="s">
        <v>401</v>
      </c>
      <c r="J4" s="497" t="s">
        <v>63</v>
      </c>
      <c r="K4" s="497"/>
      <c r="L4" s="489">
        <v>45708</v>
      </c>
      <c r="M4" s="497" t="s">
        <v>57</v>
      </c>
      <c r="N4" s="560">
        <v>87944.4</v>
      </c>
      <c r="O4" s="497" t="s">
        <v>57</v>
      </c>
      <c r="P4" s="827" t="s">
        <v>402</v>
      </c>
      <c r="Q4" s="492">
        <v>45709</v>
      </c>
      <c r="R4" s="1176"/>
      <c r="S4" s="1176"/>
      <c r="T4" s="1176"/>
      <c r="U4" s="1177"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239</v>
      </c>
      <c r="C5" s="489">
        <v>45807</v>
      </c>
      <c r="D5" s="478" t="s">
        <v>527</v>
      </c>
      <c r="E5" s="488" t="s">
        <v>52</v>
      </c>
      <c r="F5" s="478" t="s">
        <v>251</v>
      </c>
      <c r="G5" s="849" t="s">
        <v>533</v>
      </c>
      <c r="H5" s="482">
        <v>84</v>
      </c>
      <c r="I5" s="854" t="s">
        <v>401</v>
      </c>
      <c r="J5" s="491" t="s">
        <v>63</v>
      </c>
      <c r="K5" s="870"/>
      <c r="L5" s="480">
        <v>45716</v>
      </c>
      <c r="M5" s="491" t="s">
        <v>57</v>
      </c>
      <c r="N5" s="558">
        <v>2812.95</v>
      </c>
      <c r="O5" s="491" t="s">
        <v>57</v>
      </c>
      <c r="P5" s="827" t="s">
        <v>402</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239</v>
      </c>
      <c r="C6" s="480">
        <v>45991</v>
      </c>
      <c r="D6" s="488" t="s">
        <v>535</v>
      </c>
      <c r="E6" s="489">
        <v>45716</v>
      </c>
      <c r="F6" s="488" t="s">
        <v>240</v>
      </c>
      <c r="G6" s="490" t="s">
        <v>536</v>
      </c>
      <c r="H6" s="491">
        <v>31</v>
      </c>
      <c r="I6" s="497" t="s">
        <v>401</v>
      </c>
      <c r="J6" s="491" t="s">
        <v>63</v>
      </c>
      <c r="K6" s="502"/>
      <c r="L6" s="480">
        <v>45716</v>
      </c>
      <c r="M6" s="491" t="s">
        <v>57</v>
      </c>
      <c r="N6" s="559">
        <v>28777</v>
      </c>
      <c r="O6" s="491" t="s">
        <v>57</v>
      </c>
      <c r="P6" s="827" t="s">
        <v>402</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239</v>
      </c>
      <c r="C7" s="480">
        <v>45991</v>
      </c>
      <c r="D7" s="488" t="s">
        <v>422</v>
      </c>
      <c r="E7" s="489">
        <v>45866</v>
      </c>
      <c r="F7" s="488" t="s">
        <v>251</v>
      </c>
      <c r="G7" s="490" t="s">
        <v>538</v>
      </c>
      <c r="H7" s="491">
        <v>0</v>
      </c>
      <c r="I7" s="497" t="s">
        <v>401</v>
      </c>
      <c r="J7" s="491" t="s">
        <v>63</v>
      </c>
      <c r="K7" s="502"/>
      <c r="L7" s="489">
        <v>45863</v>
      </c>
      <c r="M7" s="491" t="s">
        <v>57</v>
      </c>
      <c r="N7" s="559">
        <v>143407.25</v>
      </c>
      <c r="O7" s="491" t="s">
        <v>57</v>
      </c>
      <c r="P7" s="827" t="s">
        <v>402</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239</v>
      </c>
      <c r="C8" s="480">
        <v>45991</v>
      </c>
      <c r="D8" s="488" t="s">
        <v>71</v>
      </c>
      <c r="E8" s="489">
        <v>45880</v>
      </c>
      <c r="F8" s="488" t="s">
        <v>240</v>
      </c>
      <c r="G8" s="490" t="s">
        <v>540</v>
      </c>
      <c r="H8" s="491">
        <v>0</v>
      </c>
      <c r="I8" s="497" t="s">
        <v>401</v>
      </c>
      <c r="J8" s="491" t="s">
        <v>63</v>
      </c>
      <c r="K8" s="502"/>
      <c r="L8" s="489">
        <v>45881</v>
      </c>
      <c r="M8" s="491" t="s">
        <v>57</v>
      </c>
      <c r="N8" s="559">
        <v>4815.6499999999996</v>
      </c>
      <c r="O8" s="491" t="s">
        <v>57</v>
      </c>
      <c r="P8" s="827" t="s">
        <v>402</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239</v>
      </c>
      <c r="C9" s="861">
        <v>45955</v>
      </c>
      <c r="D9" s="862" t="s">
        <v>143</v>
      </c>
      <c r="E9" s="862">
        <v>45919</v>
      </c>
      <c r="F9" s="862" t="s">
        <v>261</v>
      </c>
      <c r="G9" s="863" t="s">
        <v>542</v>
      </c>
      <c r="H9" s="405">
        <v>0</v>
      </c>
      <c r="I9" s="864" t="s">
        <v>401</v>
      </c>
      <c r="J9" s="405" t="s">
        <v>63</v>
      </c>
      <c r="K9" s="405"/>
      <c r="L9" s="862" t="s">
        <v>52</v>
      </c>
      <c r="M9" s="405" t="s">
        <v>57</v>
      </c>
      <c r="N9" s="865">
        <v>4646.75</v>
      </c>
      <c r="O9" s="405" t="s">
        <v>88</v>
      </c>
      <c r="P9" s="951" t="s">
        <v>402</v>
      </c>
      <c r="Q9" s="614"/>
      <c r="R9" s="614">
        <v>45947</v>
      </c>
      <c r="S9" s="614"/>
      <c r="T9" s="614"/>
      <c r="U9" s="500" t="s">
        <v>525</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401</v>
      </c>
      <c r="J10" s="482" t="s">
        <v>63</v>
      </c>
      <c r="K10" s="482"/>
      <c r="L10" s="489">
        <v>45918</v>
      </c>
      <c r="M10" s="491" t="s">
        <v>57</v>
      </c>
      <c r="N10" s="559">
        <v>9611.9500000000007</v>
      </c>
      <c r="O10" s="491" t="s">
        <v>57</v>
      </c>
      <c r="P10" s="827" t="s">
        <v>402</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401</v>
      </c>
      <c r="J11" s="491" t="s">
        <v>63</v>
      </c>
      <c r="K11" s="502"/>
      <c r="L11" s="489">
        <v>45888</v>
      </c>
      <c r="M11" s="491" t="s">
        <v>57</v>
      </c>
      <c r="N11" s="559">
        <v>53902</v>
      </c>
      <c r="O11" s="491" t="s">
        <v>57</v>
      </c>
      <c r="P11" s="827" t="s">
        <v>402</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401</v>
      </c>
      <c r="J12" s="482" t="s">
        <v>63</v>
      </c>
      <c r="K12" s="482"/>
      <c r="L12" s="480">
        <v>45897</v>
      </c>
      <c r="M12" s="482" t="s">
        <v>57</v>
      </c>
      <c r="N12" s="558">
        <v>44896.1</v>
      </c>
      <c r="O12" s="482" t="s">
        <v>57</v>
      </c>
      <c r="P12" s="827" t="s">
        <v>402</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401</v>
      </c>
      <c r="J13" s="482" t="s">
        <v>63</v>
      </c>
      <c r="K13" s="482"/>
      <c r="L13" s="480">
        <v>45903</v>
      </c>
      <c r="M13" s="482" t="s">
        <v>57</v>
      </c>
      <c r="N13" s="558">
        <v>59116.7</v>
      </c>
      <c r="O13" s="482" t="s">
        <v>57</v>
      </c>
      <c r="P13" s="827" t="s">
        <v>402</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401</v>
      </c>
      <c r="J14" s="482" t="s">
        <v>63</v>
      </c>
      <c r="K14" s="482"/>
      <c r="L14" s="480">
        <v>45903</v>
      </c>
      <c r="M14" s="482" t="s">
        <v>57</v>
      </c>
      <c r="N14" s="558">
        <v>40406</v>
      </c>
      <c r="O14" s="482" t="s">
        <v>57</v>
      </c>
      <c r="P14" s="827" t="s">
        <v>402</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152</v>
      </c>
      <c r="G15" s="701"/>
      <c r="H15" s="482">
        <v>35</v>
      </c>
      <c r="I15" s="680" t="s">
        <v>401</v>
      </c>
      <c r="J15" s="482" t="s">
        <v>63</v>
      </c>
      <c r="K15" s="482"/>
      <c r="L15" s="480">
        <v>45933</v>
      </c>
      <c r="M15" s="482" t="s">
        <v>57</v>
      </c>
      <c r="N15" s="558">
        <v>26026</v>
      </c>
      <c r="O15" s="482" t="s">
        <v>57</v>
      </c>
      <c r="P15" s="827" t="s">
        <v>402</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401</v>
      </c>
      <c r="J16" s="482" t="s">
        <v>63</v>
      </c>
      <c r="K16" s="482"/>
      <c r="L16" s="480">
        <v>45912</v>
      </c>
      <c r="M16" s="482" t="s">
        <v>57</v>
      </c>
      <c r="N16" s="558">
        <v>82621.149999999994</v>
      </c>
      <c r="O16" s="482" t="s">
        <v>57</v>
      </c>
      <c r="P16" s="827" t="s">
        <v>402</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401</v>
      </c>
      <c r="J17" s="482" t="s">
        <v>63</v>
      </c>
      <c r="K17" s="482"/>
      <c r="L17" s="480">
        <v>45933</v>
      </c>
      <c r="M17" s="482" t="s">
        <v>57</v>
      </c>
      <c r="N17" s="558">
        <v>29646</v>
      </c>
      <c r="O17" s="482" t="s">
        <v>57</v>
      </c>
      <c r="P17" s="827" t="s">
        <v>402</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226</v>
      </c>
      <c r="E18" s="480">
        <v>45932</v>
      </c>
      <c r="F18" s="478" t="s">
        <v>111</v>
      </c>
      <c r="G18" s="701"/>
      <c r="H18" s="482">
        <v>79</v>
      </c>
      <c r="I18" s="680" t="s">
        <v>401</v>
      </c>
      <c r="J18" s="482" t="s">
        <v>63</v>
      </c>
      <c r="K18" s="482"/>
      <c r="L18" s="480">
        <v>45933</v>
      </c>
      <c r="M18" s="482" t="s">
        <v>57</v>
      </c>
      <c r="N18" s="558">
        <v>45014</v>
      </c>
      <c r="O18" s="482" t="s">
        <v>57</v>
      </c>
      <c r="P18" s="827" t="s">
        <v>402</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401</v>
      </c>
      <c r="J19" s="482" t="s">
        <v>63</v>
      </c>
      <c r="K19" s="482"/>
      <c r="L19" s="480">
        <v>45936</v>
      </c>
      <c r="M19" s="482" t="s">
        <v>57</v>
      </c>
      <c r="N19" s="558">
        <v>38796</v>
      </c>
      <c r="O19" s="482" t="s">
        <v>57</v>
      </c>
      <c r="P19" s="827" t="s">
        <v>402</v>
      </c>
      <c r="Q19" s="484">
        <v>45936</v>
      </c>
      <c r="R19" s="568"/>
      <c r="S19" s="568"/>
      <c r="T19" s="568"/>
      <c r="U19" s="500" t="s">
        <v>525</v>
      </c>
      <c r="V19" s="429">
        <v>2874</v>
      </c>
      <c r="W19" s="991">
        <v>2875</v>
      </c>
      <c r="X19" s="107">
        <f t="shared" ref="X19:X21" si="10">SUM(V19-W19)</f>
        <v>-1</v>
      </c>
      <c r="Y19" s="676">
        <f t="shared" ref="Y19:Y21"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45958</v>
      </c>
      <c r="F20" s="478" t="s">
        <v>152</v>
      </c>
      <c r="G20" s="701"/>
      <c r="H20" s="482">
        <v>48</v>
      </c>
      <c r="I20" s="680" t="s">
        <v>401</v>
      </c>
      <c r="J20" s="482" t="s">
        <v>63</v>
      </c>
      <c r="K20" s="482"/>
      <c r="L20" s="480">
        <v>45954</v>
      </c>
      <c r="M20" s="482" t="s">
        <v>57</v>
      </c>
      <c r="N20" s="558">
        <v>54228.7</v>
      </c>
      <c r="O20" s="482" t="s">
        <v>57</v>
      </c>
      <c r="P20" s="827" t="s">
        <v>402</v>
      </c>
      <c r="Q20" s="484">
        <v>45953</v>
      </c>
      <c r="R20" s="568"/>
      <c r="S20" s="568"/>
      <c r="T20" s="568"/>
      <c r="U20" s="500" t="s">
        <v>525</v>
      </c>
      <c r="V20" s="485">
        <v>4141</v>
      </c>
      <c r="W20" s="762">
        <v>4316</v>
      </c>
      <c r="X20" s="485">
        <f t="shared" si="10"/>
        <v>-175</v>
      </c>
      <c r="Y20" s="681">
        <f t="shared" si="11"/>
        <v>1.042260323593335</v>
      </c>
      <c r="Z20" s="492">
        <v>45964</v>
      </c>
      <c r="AA20" s="366">
        <v>1</v>
      </c>
      <c r="AB20" s="366">
        <v>1</v>
      </c>
      <c r="AC20" s="808">
        <v>0</v>
      </c>
      <c r="AD20" s="449" t="s">
        <v>568</v>
      </c>
    </row>
    <row r="21" spans="1:30" ht="39.75" customHeight="1">
      <c r="A21" s="967" t="s">
        <v>569</v>
      </c>
      <c r="B21" s="478" t="s">
        <v>110</v>
      </c>
      <c r="C21" s="489">
        <v>45991</v>
      </c>
      <c r="D21" s="480" t="s">
        <v>226</v>
      </c>
      <c r="E21" s="480">
        <v>45936</v>
      </c>
      <c r="F21" s="478" t="s">
        <v>152</v>
      </c>
      <c r="G21" s="701"/>
      <c r="H21" s="482">
        <v>83</v>
      </c>
      <c r="I21" s="680" t="s">
        <v>401</v>
      </c>
      <c r="J21" s="482" t="s">
        <v>63</v>
      </c>
      <c r="K21" s="482"/>
      <c r="L21" s="480">
        <v>45936</v>
      </c>
      <c r="M21" s="482" t="s">
        <v>57</v>
      </c>
      <c r="N21" s="558">
        <v>96748</v>
      </c>
      <c r="O21" s="482" t="s">
        <v>57</v>
      </c>
      <c r="P21" s="827" t="s">
        <v>402</v>
      </c>
      <c r="Q21" s="484">
        <v>45936</v>
      </c>
      <c r="R21" s="568"/>
      <c r="S21" s="568"/>
      <c r="T21" s="568"/>
      <c r="U21" s="500" t="s">
        <v>525</v>
      </c>
      <c r="V21" s="485">
        <v>6240</v>
      </c>
      <c r="W21" s="762">
        <v>6203</v>
      </c>
      <c r="X21" s="485">
        <f t="shared" si="10"/>
        <v>37</v>
      </c>
      <c r="Y21" s="681">
        <f t="shared" si="11"/>
        <v>0.99407051282051284</v>
      </c>
      <c r="Z21" s="492">
        <v>45951</v>
      </c>
      <c r="AA21" s="366">
        <v>1</v>
      </c>
      <c r="AB21" s="366">
        <v>0</v>
      </c>
      <c r="AC21" s="661">
        <v>0</v>
      </c>
      <c r="AD21" s="1136" t="s">
        <v>570</v>
      </c>
    </row>
    <row r="22" spans="1:30" ht="39.75" customHeight="1">
      <c r="A22" s="869" t="s">
        <v>571</v>
      </c>
      <c r="B22" s="700" t="s">
        <v>110</v>
      </c>
      <c r="C22" s="489">
        <v>45930</v>
      </c>
      <c r="D22" s="658" t="s">
        <v>71</v>
      </c>
      <c r="E22" s="480">
        <v>45902</v>
      </c>
      <c r="F22" s="478" t="s">
        <v>111</v>
      </c>
      <c r="G22" s="778"/>
      <c r="H22" s="482">
        <v>0</v>
      </c>
      <c r="I22" s="680" t="s">
        <v>401</v>
      </c>
      <c r="J22" s="482" t="s">
        <v>63</v>
      </c>
      <c r="K22" s="482"/>
      <c r="L22" s="489">
        <v>45902</v>
      </c>
      <c r="M22" s="482" t="s">
        <v>57</v>
      </c>
      <c r="N22" s="558">
        <v>5604.6</v>
      </c>
      <c r="O22" s="482" t="s">
        <v>57</v>
      </c>
      <c r="P22" s="827" t="s">
        <v>402</v>
      </c>
      <c r="Q22" s="492">
        <v>45902</v>
      </c>
      <c r="R22" s="484"/>
      <c r="S22" s="484"/>
      <c r="T22" s="484"/>
      <c r="U22" s="500" t="s">
        <v>525</v>
      </c>
      <c r="V22" s="485">
        <v>328</v>
      </c>
      <c r="W22" s="762">
        <v>335</v>
      </c>
      <c r="X22" s="485">
        <f t="shared" si="6"/>
        <v>-7</v>
      </c>
      <c r="Y22" s="486">
        <f t="shared" si="7"/>
        <v>1.0213414634146341</v>
      </c>
      <c r="Z22" s="492">
        <v>45922</v>
      </c>
      <c r="AA22" s="366">
        <v>1</v>
      </c>
      <c r="AB22" s="366">
        <v>1</v>
      </c>
      <c r="AC22" s="485">
        <v>0</v>
      </c>
      <c r="AD22" s="777" t="s">
        <v>572</v>
      </c>
    </row>
    <row r="23" spans="1:30" ht="39.75" customHeight="1">
      <c r="A23" s="967" t="s">
        <v>573</v>
      </c>
      <c r="B23" s="700" t="s">
        <v>110</v>
      </c>
      <c r="C23" s="489">
        <v>45991</v>
      </c>
      <c r="D23" s="480" t="s">
        <v>226</v>
      </c>
      <c r="E23" s="480">
        <v>45961</v>
      </c>
      <c r="F23" s="478" t="s">
        <v>111</v>
      </c>
      <c r="G23" s="701"/>
      <c r="H23" s="482">
        <v>0</v>
      </c>
      <c r="I23" s="482" t="s">
        <v>401</v>
      </c>
      <c r="J23" s="482" t="s">
        <v>63</v>
      </c>
      <c r="K23" s="482"/>
      <c r="L23" s="480" t="s">
        <v>179</v>
      </c>
      <c r="M23" s="482" t="s">
        <v>57</v>
      </c>
      <c r="N23" s="558">
        <v>39221.800000000003</v>
      </c>
      <c r="O23" s="482" t="s">
        <v>57</v>
      </c>
      <c r="P23" s="1182" t="s">
        <v>402</v>
      </c>
      <c r="Q23" s="1060">
        <v>45950</v>
      </c>
      <c r="R23" s="484"/>
      <c r="S23" s="484"/>
      <c r="T23" s="484"/>
      <c r="U23" s="500" t="s">
        <v>525</v>
      </c>
      <c r="V23" s="429">
        <v>3078</v>
      </c>
      <c r="W23" s="991">
        <v>3272</v>
      </c>
      <c r="X23" s="485">
        <f t="shared" si="6"/>
        <v>-194</v>
      </c>
      <c r="Y23" s="681">
        <f t="shared" si="7"/>
        <v>1.0630279402209226</v>
      </c>
      <c r="Z23" s="492">
        <v>45966</v>
      </c>
      <c r="AA23" s="366">
        <v>1</v>
      </c>
      <c r="AB23" s="366">
        <v>1</v>
      </c>
      <c r="AC23" s="485">
        <v>0</v>
      </c>
      <c r="AD23" s="173" t="s">
        <v>574</v>
      </c>
    </row>
    <row r="24" spans="1:30" ht="39.75" customHeight="1">
      <c r="A24" s="869" t="s">
        <v>575</v>
      </c>
      <c r="B24" s="478" t="s">
        <v>110</v>
      </c>
      <c r="C24" s="489">
        <v>45960</v>
      </c>
      <c r="D24" s="480" t="s">
        <v>576</v>
      </c>
      <c r="E24" s="480">
        <v>45915</v>
      </c>
      <c r="F24" s="478" t="s">
        <v>577</v>
      </c>
      <c r="G24" s="701"/>
      <c r="H24" s="482">
        <v>384</v>
      </c>
      <c r="I24" s="680" t="s">
        <v>401</v>
      </c>
      <c r="J24" s="482" t="s">
        <v>56</v>
      </c>
      <c r="K24" s="482"/>
      <c r="L24" s="480">
        <v>45905</v>
      </c>
      <c r="M24" s="482" t="s">
        <v>57</v>
      </c>
      <c r="N24" s="558">
        <v>145985.5</v>
      </c>
      <c r="O24" s="482" t="s">
        <v>57</v>
      </c>
      <c r="P24" s="827" t="s">
        <v>402</v>
      </c>
      <c r="Q24" s="484">
        <v>45906</v>
      </c>
      <c r="R24" s="484"/>
      <c r="S24" s="484"/>
      <c r="T24" s="484"/>
      <c r="U24" s="500" t="s">
        <v>525</v>
      </c>
      <c r="V24" s="808">
        <v>14150</v>
      </c>
      <c r="W24" s="916">
        <v>15469</v>
      </c>
      <c r="X24" s="107">
        <f t="shared" si="6"/>
        <v>-1319</v>
      </c>
      <c r="Y24" s="676">
        <f t="shared" si="7"/>
        <v>1.0932155477031802</v>
      </c>
      <c r="Z24" s="697">
        <v>45926</v>
      </c>
      <c r="AA24" s="366">
        <v>1</v>
      </c>
      <c r="AB24" s="366">
        <v>1</v>
      </c>
      <c r="AC24" s="485">
        <v>0</v>
      </c>
      <c r="AD24" s="905" t="s">
        <v>578</v>
      </c>
    </row>
    <row r="25" spans="1:30" ht="39.75" customHeight="1">
      <c r="A25" s="967" t="s">
        <v>579</v>
      </c>
      <c r="B25" s="478" t="s">
        <v>110</v>
      </c>
      <c r="C25" s="489">
        <v>45930</v>
      </c>
      <c r="D25" s="480" t="s">
        <v>580</v>
      </c>
      <c r="E25" s="480">
        <v>45916</v>
      </c>
      <c r="F25" s="478" t="s">
        <v>111</v>
      </c>
      <c r="G25" s="701"/>
      <c r="H25" s="482">
        <v>84</v>
      </c>
      <c r="I25" s="680" t="s">
        <v>401</v>
      </c>
      <c r="J25" s="482" t="s">
        <v>56</v>
      </c>
      <c r="K25" s="482"/>
      <c r="L25" s="478" t="s">
        <v>402</v>
      </c>
      <c r="M25" s="482" t="s">
        <v>57</v>
      </c>
      <c r="N25" s="558">
        <v>30892</v>
      </c>
      <c r="O25" s="482" t="s">
        <v>57</v>
      </c>
      <c r="P25" s="827" t="s">
        <v>402</v>
      </c>
      <c r="Q25" s="484">
        <v>45911</v>
      </c>
      <c r="R25" s="484"/>
      <c r="S25" s="484"/>
      <c r="T25" s="484"/>
      <c r="U25" s="500" t="s">
        <v>525</v>
      </c>
      <c r="V25" s="808">
        <v>2811</v>
      </c>
      <c r="W25" s="916">
        <v>2732</v>
      </c>
      <c r="X25" s="107">
        <f>SUM(V25-W25)</f>
        <v>79</v>
      </c>
      <c r="Y25" s="22">
        <f>IFERROR($W25/$V25, 0)</f>
        <v>0.97189612237637857</v>
      </c>
      <c r="Z25" s="697">
        <v>45922</v>
      </c>
      <c r="AA25" s="366">
        <v>1</v>
      </c>
      <c r="AB25" s="366">
        <v>1</v>
      </c>
      <c r="AC25" s="485">
        <v>0</v>
      </c>
      <c r="AD25" s="683" t="s">
        <v>581</v>
      </c>
    </row>
    <row r="26" spans="1:30" ht="39.75" customHeight="1">
      <c r="A26" s="869" t="s">
        <v>582</v>
      </c>
      <c r="B26" s="848" t="s">
        <v>50</v>
      </c>
      <c r="C26" s="658">
        <v>45838</v>
      </c>
      <c r="D26" s="488" t="s">
        <v>583</v>
      </c>
      <c r="E26" s="489">
        <v>45727</v>
      </c>
      <c r="F26" s="488" t="s">
        <v>61</v>
      </c>
      <c r="G26" s="873" t="s">
        <v>584</v>
      </c>
      <c r="H26" s="491">
        <v>71</v>
      </c>
      <c r="I26" s="854" t="s">
        <v>401</v>
      </c>
      <c r="J26" s="491" t="s">
        <v>63</v>
      </c>
      <c r="K26" s="502"/>
      <c r="L26" s="489">
        <v>45728</v>
      </c>
      <c r="M26" s="491" t="s">
        <v>57</v>
      </c>
      <c r="N26" s="559">
        <v>60843.5</v>
      </c>
      <c r="O26" s="491" t="s">
        <v>57</v>
      </c>
      <c r="P26" s="827" t="s">
        <v>402</v>
      </c>
      <c r="Q26" s="492">
        <v>45722</v>
      </c>
      <c r="R26" s="492">
        <v>45917</v>
      </c>
      <c r="S26" s="492">
        <v>45939</v>
      </c>
      <c r="T26" s="492"/>
      <c r="U26" s="500" t="s">
        <v>525</v>
      </c>
      <c r="V26" s="874">
        <v>4979</v>
      </c>
      <c r="W26" s="762">
        <v>5020</v>
      </c>
      <c r="X26" s="485">
        <f t="shared" si="6"/>
        <v>-41</v>
      </c>
      <c r="Y26" s="681">
        <f t="shared" si="7"/>
        <v>1.0082345852580838</v>
      </c>
      <c r="Z26" s="492">
        <v>45741</v>
      </c>
      <c r="AA26" s="681">
        <v>1</v>
      </c>
      <c r="AB26" s="681">
        <v>1</v>
      </c>
      <c r="AC26" s="363">
        <v>0</v>
      </c>
      <c r="AD26" s="683" t="s">
        <v>585</v>
      </c>
    </row>
    <row r="27" spans="1:30" ht="39.75" customHeight="1">
      <c r="A27" s="965" t="s">
        <v>586</v>
      </c>
      <c r="B27" s="526" t="s">
        <v>50</v>
      </c>
      <c r="C27" s="512">
        <v>45772</v>
      </c>
      <c r="D27" s="527" t="s">
        <v>587</v>
      </c>
      <c r="E27" s="527">
        <v>45693</v>
      </c>
      <c r="F27" s="517" t="s">
        <v>61</v>
      </c>
      <c r="G27" s="528" t="s">
        <v>588</v>
      </c>
      <c r="H27" s="520">
        <v>86</v>
      </c>
      <c r="I27" s="522" t="s">
        <v>401</v>
      </c>
      <c r="J27" s="520" t="s">
        <v>63</v>
      </c>
      <c r="K27" s="520"/>
      <c r="L27" s="527">
        <v>45714</v>
      </c>
      <c r="M27" s="520" t="s">
        <v>57</v>
      </c>
      <c r="N27" s="561">
        <v>94170.5</v>
      </c>
      <c r="O27" s="520" t="s">
        <v>57</v>
      </c>
      <c r="P27" s="966" t="s">
        <v>402</v>
      </c>
      <c r="Q27" s="492">
        <v>45693</v>
      </c>
      <c r="R27" s="492">
        <v>45869</v>
      </c>
      <c r="S27" s="492">
        <v>45903</v>
      </c>
      <c r="T27" s="492"/>
      <c r="U27" s="500" t="s">
        <v>525</v>
      </c>
      <c r="V27" s="508">
        <v>7980</v>
      </c>
      <c r="W27" s="761">
        <v>7901</v>
      </c>
      <c r="X27" s="107">
        <f t="shared" si="6"/>
        <v>79</v>
      </c>
      <c r="Y27" s="22">
        <f t="shared" si="7"/>
        <v>0.99010025062656637</v>
      </c>
      <c r="Z27" s="697">
        <v>45713</v>
      </c>
      <c r="AA27" s="486">
        <v>1</v>
      </c>
      <c r="AB27" s="486">
        <v>1</v>
      </c>
      <c r="AC27" s="836">
        <v>0</v>
      </c>
      <c r="AD27" s="176" t="s">
        <v>589</v>
      </c>
    </row>
    <row r="28" spans="1:30" ht="39.75" customHeight="1">
      <c r="A28" s="965" t="s">
        <v>590</v>
      </c>
      <c r="B28" s="526" t="s">
        <v>50</v>
      </c>
      <c r="C28" s="512">
        <v>45772</v>
      </c>
      <c r="D28" s="527" t="s">
        <v>587</v>
      </c>
      <c r="E28" s="527">
        <v>45698</v>
      </c>
      <c r="F28" s="512" t="s">
        <v>61</v>
      </c>
      <c r="G28" s="528" t="s">
        <v>591</v>
      </c>
      <c r="H28" s="520">
        <v>89</v>
      </c>
      <c r="I28" s="520" t="s">
        <v>401</v>
      </c>
      <c r="J28" s="520" t="s">
        <v>63</v>
      </c>
      <c r="K28" s="520"/>
      <c r="L28" s="527">
        <v>45695</v>
      </c>
      <c r="M28" s="520" t="s">
        <v>57</v>
      </c>
      <c r="N28" s="562">
        <v>89698.5</v>
      </c>
      <c r="O28" s="520" t="s">
        <v>57</v>
      </c>
      <c r="P28" s="966" t="s">
        <v>402</v>
      </c>
      <c r="Q28" s="492">
        <v>45694</v>
      </c>
      <c r="R28" s="492">
        <v>45917</v>
      </c>
      <c r="S28" s="492">
        <v>45936</v>
      </c>
      <c r="T28" s="492"/>
      <c r="U28" s="500" t="s">
        <v>525</v>
      </c>
      <c r="V28" s="508">
        <v>7562</v>
      </c>
      <c r="W28" s="761">
        <v>7556</v>
      </c>
      <c r="X28" s="107">
        <f t="shared" si="6"/>
        <v>6</v>
      </c>
      <c r="Y28" s="22">
        <f t="shared" si="7"/>
        <v>0.99920655911134626</v>
      </c>
      <c r="Z28" s="697">
        <v>45709</v>
      </c>
      <c r="AA28" s="486">
        <v>1</v>
      </c>
      <c r="AB28" s="486">
        <v>1</v>
      </c>
      <c r="AC28" s="836">
        <v>0</v>
      </c>
      <c r="AD28" s="204" t="s">
        <v>592</v>
      </c>
    </row>
    <row r="29" spans="1:30" ht="39.75" customHeight="1">
      <c r="A29" s="875" t="s">
        <v>593</v>
      </c>
      <c r="B29" s="848" t="s">
        <v>50</v>
      </c>
      <c r="C29" s="489">
        <v>45772</v>
      </c>
      <c r="D29" s="489" t="s">
        <v>583</v>
      </c>
      <c r="E29" s="851">
        <v>45686</v>
      </c>
      <c r="F29" s="488" t="s">
        <v>61</v>
      </c>
      <c r="G29" s="876" t="s">
        <v>594</v>
      </c>
      <c r="H29" s="854">
        <v>77</v>
      </c>
      <c r="I29" s="680" t="s">
        <v>401</v>
      </c>
      <c r="J29" s="854" t="s">
        <v>63</v>
      </c>
      <c r="K29" s="854"/>
      <c r="L29" s="851">
        <v>45686</v>
      </c>
      <c r="M29" s="854" t="s">
        <v>57</v>
      </c>
      <c r="N29" s="877">
        <v>61924</v>
      </c>
      <c r="O29" s="854" t="s">
        <v>57</v>
      </c>
      <c r="P29" s="827" t="s">
        <v>402</v>
      </c>
      <c r="Q29" s="492">
        <v>45692</v>
      </c>
      <c r="R29" s="492">
        <v>45847</v>
      </c>
      <c r="S29" s="492">
        <v>45852</v>
      </c>
      <c r="T29" s="492"/>
      <c r="U29" s="500" t="s">
        <v>525</v>
      </c>
      <c r="V29" s="878">
        <v>5005</v>
      </c>
      <c r="W29" s="879">
        <v>4996</v>
      </c>
      <c r="X29" s="485">
        <f t="shared" si="6"/>
        <v>9</v>
      </c>
      <c r="Y29" s="681">
        <f t="shared" si="7"/>
        <v>0.99820179820179822</v>
      </c>
      <c r="Z29" s="492">
        <v>45708</v>
      </c>
      <c r="AA29" s="681">
        <v>1</v>
      </c>
      <c r="AB29" s="681">
        <v>1</v>
      </c>
      <c r="AC29" s="836">
        <v>0</v>
      </c>
      <c r="AD29" s="882" t="s">
        <v>595</v>
      </c>
    </row>
    <row r="30" spans="1:30" ht="39.75" customHeight="1">
      <c r="A30" s="875" t="s">
        <v>596</v>
      </c>
      <c r="B30" s="848" t="s">
        <v>50</v>
      </c>
      <c r="C30" s="489">
        <v>45772</v>
      </c>
      <c r="D30" s="851" t="s">
        <v>597</v>
      </c>
      <c r="E30" s="851">
        <v>45694</v>
      </c>
      <c r="F30" s="851" t="s">
        <v>61</v>
      </c>
      <c r="G30" s="876" t="s">
        <v>598</v>
      </c>
      <c r="H30" s="854">
        <v>84</v>
      </c>
      <c r="I30" s="680" t="s">
        <v>401</v>
      </c>
      <c r="J30" s="854" t="s">
        <v>63</v>
      </c>
      <c r="K30" s="854"/>
      <c r="L30" s="851">
        <v>45698</v>
      </c>
      <c r="M30" s="854" t="s">
        <v>57</v>
      </c>
      <c r="N30" s="877">
        <v>63402.5</v>
      </c>
      <c r="O30" s="854" t="s">
        <v>57</v>
      </c>
      <c r="P30" s="827" t="s">
        <v>402</v>
      </c>
      <c r="Q30" s="492">
        <v>45695</v>
      </c>
      <c r="R30" s="492">
        <v>45847</v>
      </c>
      <c r="S30" s="492">
        <v>45852</v>
      </c>
      <c r="T30" s="492"/>
      <c r="U30" s="500" t="s">
        <v>525</v>
      </c>
      <c r="V30" s="874">
        <v>4979</v>
      </c>
      <c r="W30" s="879">
        <v>4984</v>
      </c>
      <c r="X30" s="485">
        <f t="shared" si="6"/>
        <v>-5</v>
      </c>
      <c r="Y30" s="681">
        <f t="shared" si="7"/>
        <v>1.0010042177144005</v>
      </c>
      <c r="Z30" s="492">
        <v>45714</v>
      </c>
      <c r="AA30" s="681">
        <v>1</v>
      </c>
      <c r="AB30" s="681">
        <v>1</v>
      </c>
      <c r="AC30" s="836">
        <v>0</v>
      </c>
      <c r="AD30" s="149" t="s">
        <v>599</v>
      </c>
    </row>
    <row r="31" spans="1:30" ht="39.75" customHeight="1">
      <c r="A31" s="869" t="s">
        <v>600</v>
      </c>
      <c r="B31" s="880" t="s">
        <v>50</v>
      </c>
      <c r="C31" s="658">
        <v>45688</v>
      </c>
      <c r="D31" s="658" t="s">
        <v>587</v>
      </c>
      <c r="E31" s="658">
        <v>45695</v>
      </c>
      <c r="F31" s="480" t="s">
        <v>61</v>
      </c>
      <c r="G31" s="881" t="s">
        <v>601</v>
      </c>
      <c r="H31" s="482">
        <v>88</v>
      </c>
      <c r="I31" s="680" t="s">
        <v>602</v>
      </c>
      <c r="J31" s="482" t="s">
        <v>63</v>
      </c>
      <c r="K31" s="854"/>
      <c r="L31" s="478" t="s">
        <v>402</v>
      </c>
      <c r="M31" s="680" t="s">
        <v>57</v>
      </c>
      <c r="N31" s="558">
        <v>43130</v>
      </c>
      <c r="O31" s="680" t="s">
        <v>57</v>
      </c>
      <c r="P31" s="827" t="s">
        <v>402</v>
      </c>
      <c r="Q31" s="484">
        <v>45691</v>
      </c>
      <c r="R31" s="484">
        <v>45870</v>
      </c>
      <c r="S31" s="484">
        <v>45908</v>
      </c>
      <c r="T31" s="484"/>
      <c r="U31" s="500" t="s">
        <v>525</v>
      </c>
      <c r="V31" s="485">
        <v>2931</v>
      </c>
      <c r="W31" s="762">
        <v>3257</v>
      </c>
      <c r="X31" s="485">
        <f t="shared" si="6"/>
        <v>-326</v>
      </c>
      <c r="Y31" s="681">
        <f t="shared" si="7"/>
        <v>1.11122483793927</v>
      </c>
      <c r="Z31" s="484">
        <v>45750</v>
      </c>
      <c r="AA31" s="514">
        <v>1</v>
      </c>
      <c r="AB31" s="514">
        <v>1</v>
      </c>
      <c r="AC31" s="661">
        <v>0</v>
      </c>
      <c r="AD31" s="918" t="s">
        <v>603</v>
      </c>
    </row>
    <row r="32" spans="1:30" ht="39.75" customHeight="1">
      <c r="A32" s="869" t="s">
        <v>604</v>
      </c>
      <c r="B32" s="848" t="s">
        <v>50</v>
      </c>
      <c r="C32" s="851">
        <v>45688</v>
      </c>
      <c r="D32" s="489" t="s">
        <v>71</v>
      </c>
      <c r="E32" s="851">
        <v>45686</v>
      </c>
      <c r="F32" s="851" t="s">
        <v>61</v>
      </c>
      <c r="G32" s="876" t="s">
        <v>605</v>
      </c>
      <c r="H32" s="491">
        <v>88</v>
      </c>
      <c r="I32" s="854" t="s">
        <v>602</v>
      </c>
      <c r="J32" s="491" t="s">
        <v>63</v>
      </c>
      <c r="K32" s="491"/>
      <c r="L32" s="855">
        <v>45706</v>
      </c>
      <c r="M32" s="854" t="s">
        <v>57</v>
      </c>
      <c r="N32" s="559">
        <v>69212.5</v>
      </c>
      <c r="O32" s="854" t="s">
        <v>57</v>
      </c>
      <c r="P32" s="827" t="s">
        <v>402</v>
      </c>
      <c r="Q32" s="492">
        <v>45679</v>
      </c>
      <c r="R32" s="492">
        <v>45917</v>
      </c>
      <c r="S32" s="492">
        <v>45918</v>
      </c>
      <c r="T32" s="492"/>
      <c r="U32" s="500" t="s">
        <v>525</v>
      </c>
      <c r="V32" s="41">
        <v>5661</v>
      </c>
      <c r="W32" s="762">
        <v>5752</v>
      </c>
      <c r="X32" s="485">
        <f t="shared" si="6"/>
        <v>-91</v>
      </c>
      <c r="Y32" s="681">
        <f t="shared" si="7"/>
        <v>1.0160748984278396</v>
      </c>
      <c r="Z32" s="492">
        <v>45681</v>
      </c>
      <c r="AA32" s="681">
        <v>1</v>
      </c>
      <c r="AB32" s="681">
        <v>1</v>
      </c>
      <c r="AC32" s="836">
        <v>0</v>
      </c>
      <c r="AD32" s="149" t="s">
        <v>606</v>
      </c>
    </row>
    <row r="33" spans="1:30" ht="39.75" customHeight="1">
      <c r="A33" s="869" t="s">
        <v>607</v>
      </c>
      <c r="B33" s="848" t="s">
        <v>50</v>
      </c>
      <c r="C33" s="489">
        <v>45772</v>
      </c>
      <c r="D33" s="488" t="s">
        <v>597</v>
      </c>
      <c r="E33" s="489">
        <v>45743</v>
      </c>
      <c r="F33" s="488" t="s">
        <v>61</v>
      </c>
      <c r="G33" s="849" t="s">
        <v>608</v>
      </c>
      <c r="H33" s="491">
        <v>57</v>
      </c>
      <c r="I33" s="854" t="s">
        <v>401</v>
      </c>
      <c r="J33" s="482" t="s">
        <v>63</v>
      </c>
      <c r="K33" s="850"/>
      <c r="L33" s="489">
        <v>45741</v>
      </c>
      <c r="M33" s="482" t="s">
        <v>57</v>
      </c>
      <c r="N33" s="559">
        <v>49071</v>
      </c>
      <c r="O33" s="482" t="s">
        <v>57</v>
      </c>
      <c r="P33" s="827" t="s">
        <v>402</v>
      </c>
      <c r="Q33" s="492">
        <v>45745</v>
      </c>
      <c r="R33" s="492">
        <v>45832</v>
      </c>
      <c r="S33" s="492">
        <v>45839</v>
      </c>
      <c r="T33" s="492"/>
      <c r="U33" s="500" t="s">
        <v>525</v>
      </c>
      <c r="V33" s="41">
        <v>3967</v>
      </c>
      <c r="W33" s="762">
        <v>3936</v>
      </c>
      <c r="X33" s="107">
        <f t="shared" si="6"/>
        <v>31</v>
      </c>
      <c r="Y33" s="676">
        <f t="shared" si="7"/>
        <v>0.99218553062767834</v>
      </c>
      <c r="Z33" s="697">
        <v>45756</v>
      </c>
      <c r="AA33" s="681">
        <v>1</v>
      </c>
      <c r="AB33" s="681">
        <v>1</v>
      </c>
      <c r="AC33" s="661">
        <v>0</v>
      </c>
      <c r="AD33" s="917" t="s">
        <v>609</v>
      </c>
    </row>
    <row r="34" spans="1:30" ht="39.75" customHeight="1">
      <c r="A34" s="1170" t="s">
        <v>610</v>
      </c>
      <c r="B34" s="389" t="s">
        <v>50</v>
      </c>
      <c r="C34" s="51">
        <v>45742</v>
      </c>
      <c r="D34" s="1155" t="s">
        <v>611</v>
      </c>
      <c r="E34" s="392">
        <v>45680</v>
      </c>
      <c r="F34" s="50" t="s">
        <v>61</v>
      </c>
      <c r="G34" s="588" t="s">
        <v>612</v>
      </c>
      <c r="H34" s="52">
        <v>79</v>
      </c>
      <c r="I34" s="1157" t="s">
        <v>602</v>
      </c>
      <c r="J34" s="1029" t="s">
        <v>63</v>
      </c>
      <c r="K34" s="52"/>
      <c r="L34" s="385" t="s">
        <v>402</v>
      </c>
      <c r="M34" s="391" t="s">
        <v>57</v>
      </c>
      <c r="N34" s="1145">
        <v>64790.5</v>
      </c>
      <c r="O34" s="391" t="s">
        <v>57</v>
      </c>
      <c r="P34" s="1171" t="s">
        <v>402</v>
      </c>
      <c r="Q34" s="54">
        <v>45675</v>
      </c>
      <c r="R34" s="54">
        <v>45917</v>
      </c>
      <c r="S34" s="54">
        <v>45931</v>
      </c>
      <c r="T34" s="54"/>
      <c r="U34" s="500" t="s">
        <v>525</v>
      </c>
      <c r="V34" s="31">
        <v>4975</v>
      </c>
      <c r="W34" s="1172">
        <v>4975</v>
      </c>
      <c r="X34" s="107">
        <f t="shared" si="6"/>
        <v>0</v>
      </c>
      <c r="Y34" s="22">
        <f t="shared" si="7"/>
        <v>1</v>
      </c>
      <c r="Z34" s="198">
        <v>45680</v>
      </c>
      <c r="AA34" s="366">
        <v>0</v>
      </c>
      <c r="AB34" s="366">
        <v>0</v>
      </c>
      <c r="AC34" s="836">
        <v>0</v>
      </c>
      <c r="AD34" s="69" t="s">
        <v>613</v>
      </c>
    </row>
    <row r="35" spans="1:30" ht="39.75" customHeight="1">
      <c r="A35" s="869" t="s">
        <v>614</v>
      </c>
      <c r="B35" s="848" t="s">
        <v>50</v>
      </c>
      <c r="C35" s="480">
        <v>45960</v>
      </c>
      <c r="D35" s="478" t="s">
        <v>260</v>
      </c>
      <c r="E35" s="480">
        <v>45927</v>
      </c>
      <c r="F35" s="478" t="s">
        <v>95</v>
      </c>
      <c r="G35" s="701" t="s">
        <v>615</v>
      </c>
      <c r="H35" s="482">
        <v>86</v>
      </c>
      <c r="I35" s="680" t="s">
        <v>401</v>
      </c>
      <c r="J35" s="482" t="s">
        <v>63</v>
      </c>
      <c r="K35" s="491"/>
      <c r="L35" s="480">
        <v>45917</v>
      </c>
      <c r="M35" s="482" t="s">
        <v>57</v>
      </c>
      <c r="N35" s="558">
        <v>45500</v>
      </c>
      <c r="O35" s="482" t="s">
        <v>57</v>
      </c>
      <c r="P35" s="827" t="s">
        <v>402</v>
      </c>
      <c r="Q35" s="484">
        <v>45917</v>
      </c>
      <c r="R35" s="484">
        <v>45944</v>
      </c>
      <c r="S35" s="484">
        <v>45951</v>
      </c>
      <c r="T35" s="484"/>
      <c r="U35" s="500" t="s">
        <v>525</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616</v>
      </c>
      <c r="B36" s="848" t="s">
        <v>50</v>
      </c>
      <c r="C36" s="480">
        <v>45991</v>
      </c>
      <c r="D36" s="480" t="s">
        <v>71</v>
      </c>
      <c r="E36" s="489">
        <v>45743</v>
      </c>
      <c r="F36" s="488" t="s">
        <v>61</v>
      </c>
      <c r="G36" s="849" t="s">
        <v>617</v>
      </c>
      <c r="H36" s="491">
        <v>70</v>
      </c>
      <c r="I36" s="680" t="s">
        <v>401</v>
      </c>
      <c r="J36" s="482" t="s">
        <v>63</v>
      </c>
      <c r="K36" s="850"/>
      <c r="L36" s="489">
        <v>45741</v>
      </c>
      <c r="M36" s="482" t="s">
        <v>57</v>
      </c>
      <c r="N36" s="559">
        <v>67735.5</v>
      </c>
      <c r="O36" s="482" t="s">
        <v>57</v>
      </c>
      <c r="P36" s="827" t="s">
        <v>402</v>
      </c>
      <c r="Q36" s="492">
        <v>45779</v>
      </c>
      <c r="R36" s="492"/>
      <c r="S36" s="492"/>
      <c r="T36" s="492"/>
      <c r="U36" s="500" t="s">
        <v>525</v>
      </c>
      <c r="V36" s="41">
        <v>6152</v>
      </c>
      <c r="W36" s="762">
        <v>5723</v>
      </c>
      <c r="X36" s="107">
        <f>SUM(V36-W36)</f>
        <v>429</v>
      </c>
      <c r="Y36" s="676">
        <f>IFERROR($W36/$V36, 0)</f>
        <v>0.9302665799739922</v>
      </c>
      <c r="Z36" s="697">
        <v>45792</v>
      </c>
      <c r="AA36" s="366">
        <v>0</v>
      </c>
      <c r="AB36" s="366">
        <v>0</v>
      </c>
      <c r="AC36" s="661">
        <v>0</v>
      </c>
      <c r="AD36" s="364" t="s">
        <v>618</v>
      </c>
    </row>
    <row r="37" spans="1:30" ht="39.75" customHeight="1">
      <c r="A37" s="915" t="s">
        <v>619</v>
      </c>
      <c r="B37" s="848" t="s">
        <v>50</v>
      </c>
      <c r="C37" s="851">
        <v>45716</v>
      </c>
      <c r="D37" s="851" t="s">
        <v>71</v>
      </c>
      <c r="E37" s="851">
        <v>45701</v>
      </c>
      <c r="F37" s="488" t="s">
        <v>61</v>
      </c>
      <c r="G37" s="876" t="s">
        <v>530</v>
      </c>
      <c r="H37" s="854">
        <v>0</v>
      </c>
      <c r="I37" s="854" t="s">
        <v>402</v>
      </c>
      <c r="J37" s="854" t="s">
        <v>63</v>
      </c>
      <c r="K37" s="854"/>
      <c r="L37" s="851">
        <v>45705</v>
      </c>
      <c r="M37" s="854" t="s">
        <v>57</v>
      </c>
      <c r="N37" s="877">
        <v>1295</v>
      </c>
      <c r="O37" s="854" t="s">
        <v>57</v>
      </c>
      <c r="P37" s="827" t="s">
        <v>402</v>
      </c>
      <c r="Q37" s="529">
        <v>45706</v>
      </c>
      <c r="R37" s="529">
        <v>45826</v>
      </c>
      <c r="S37" s="529"/>
      <c r="T37" s="529"/>
      <c r="U37" s="500" t="s">
        <v>525</v>
      </c>
      <c r="V37" s="878">
        <v>153</v>
      </c>
      <c r="W37" s="761">
        <v>153</v>
      </c>
      <c r="X37" s="107">
        <f t="shared" si="6"/>
        <v>0</v>
      </c>
      <c r="Y37" s="676">
        <f t="shared" si="7"/>
        <v>1</v>
      </c>
      <c r="Z37" s="697">
        <v>45754</v>
      </c>
      <c r="AA37" s="486">
        <v>1</v>
      </c>
      <c r="AB37" s="486">
        <v>1</v>
      </c>
      <c r="AC37" s="836">
        <v>0</v>
      </c>
      <c r="AD37" s="176" t="s">
        <v>620</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401</v>
      </c>
      <c r="J2" s="52" t="s">
        <v>63</v>
      </c>
      <c r="K2" s="51">
        <v>45701</v>
      </c>
      <c r="L2" s="391" t="s">
        <v>57</v>
      </c>
      <c r="M2" s="439">
        <v>55089</v>
      </c>
      <c r="N2" s="570">
        <v>57509</v>
      </c>
      <c r="O2" s="789" t="s">
        <v>57</v>
      </c>
      <c r="P2" s="387" t="s">
        <v>402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401</v>
      </c>
      <c r="J3" s="52" t="s">
        <v>63</v>
      </c>
      <c r="K3" s="628">
        <v>45718</v>
      </c>
      <c r="L3" s="52" t="s">
        <v>57</v>
      </c>
      <c r="M3" s="439">
        <v>200394.1</v>
      </c>
      <c r="N3" s="439">
        <v>209003.94</v>
      </c>
      <c r="O3" s="52" t="s">
        <v>57</v>
      </c>
      <c r="P3" s="450" t="s">
        <v>402</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401</v>
      </c>
      <c r="J4" s="52" t="s">
        <v>63</v>
      </c>
      <c r="K4" s="51">
        <v>45708</v>
      </c>
      <c r="L4" s="52" t="s">
        <v>57</v>
      </c>
      <c r="M4" s="439">
        <v>62460.45</v>
      </c>
      <c r="N4" s="570">
        <v>61491.05</v>
      </c>
      <c r="O4" s="52" t="s">
        <v>57</v>
      </c>
      <c r="P4" s="52" t="s">
        <v>402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401</v>
      </c>
      <c r="J5" s="387" t="s">
        <v>63</v>
      </c>
      <c r="K5" s="386">
        <v>45735</v>
      </c>
      <c r="L5" s="387" t="s">
        <v>57</v>
      </c>
      <c r="M5" s="442">
        <v>15690.1</v>
      </c>
      <c r="N5" s="570">
        <v>16153.75</v>
      </c>
      <c r="O5" s="387" t="s">
        <v>57</v>
      </c>
      <c r="P5" s="387" t="s">
        <v>402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401</v>
      </c>
      <c r="J6" s="387" t="s">
        <v>63</v>
      </c>
      <c r="K6" s="386">
        <v>45782</v>
      </c>
      <c r="L6" s="387" t="s">
        <v>57</v>
      </c>
      <c r="M6" s="442">
        <v>119135.3</v>
      </c>
      <c r="N6" s="439">
        <v>121256.65</v>
      </c>
      <c r="O6" s="387" t="s">
        <v>57</v>
      </c>
      <c r="P6" s="387" t="s">
        <v>402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401</v>
      </c>
      <c r="J7" s="52" t="s">
        <v>63</v>
      </c>
      <c r="K7" s="50" t="s">
        <v>402</v>
      </c>
      <c r="L7" s="52" t="s">
        <v>57</v>
      </c>
      <c r="M7" s="439">
        <v>12601.45</v>
      </c>
      <c r="N7" s="570">
        <v>13008.1</v>
      </c>
      <c r="O7" s="52" t="s">
        <v>57</v>
      </c>
      <c r="P7" s="52" t="s">
        <v>402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402</v>
      </c>
      <c r="L8" s="686" t="s">
        <v>57</v>
      </c>
      <c r="M8" s="442">
        <v>47461.5</v>
      </c>
      <c r="N8" s="585">
        <v>45340</v>
      </c>
      <c r="O8" s="686" t="s">
        <v>57</v>
      </c>
      <c r="P8" s="387" t="s">
        <v>402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402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402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401</v>
      </c>
      <c r="J11" s="52" t="s">
        <v>63</v>
      </c>
      <c r="K11" s="684">
        <v>45756</v>
      </c>
      <c r="L11" s="52" t="s">
        <v>57</v>
      </c>
      <c r="M11" s="439">
        <v>67171.5</v>
      </c>
      <c r="N11" s="570">
        <v>64739</v>
      </c>
      <c r="O11" s="52" t="s">
        <v>57</v>
      </c>
      <c r="P11" s="52" t="s">
        <v>402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401</v>
      </c>
      <c r="J12" s="52" t="s">
        <v>63</v>
      </c>
      <c r="K12" s="51">
        <v>45749</v>
      </c>
      <c r="L12" s="52" t="s">
        <v>57</v>
      </c>
      <c r="M12" s="439">
        <v>72492</v>
      </c>
      <c r="N12" s="570">
        <v>73087.5</v>
      </c>
      <c r="O12" s="52" t="s">
        <v>57</v>
      </c>
      <c r="P12" s="52" t="s">
        <v>402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401</v>
      </c>
      <c r="J13" s="52" t="s">
        <v>63</v>
      </c>
      <c r="K13" s="51">
        <v>45750</v>
      </c>
      <c r="L13" s="52" t="s">
        <v>57</v>
      </c>
      <c r="M13" s="439">
        <v>51295</v>
      </c>
      <c r="N13" s="570">
        <v>51485.5</v>
      </c>
      <c r="O13" s="52" t="s">
        <v>57</v>
      </c>
      <c r="P13" s="52" t="s">
        <v>402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401</v>
      </c>
      <c r="J14" s="52" t="s">
        <v>63</v>
      </c>
      <c r="K14" s="50" t="s">
        <v>402</v>
      </c>
      <c r="L14" s="679" t="s">
        <v>57</v>
      </c>
      <c r="M14" s="439">
        <v>26617</v>
      </c>
      <c r="N14" s="586">
        <v>25405</v>
      </c>
      <c r="O14" s="679" t="s">
        <v>57</v>
      </c>
      <c r="P14" s="52" t="s">
        <v>402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402</v>
      </c>
      <c r="L15" s="679" t="s">
        <v>57</v>
      </c>
      <c r="M15" s="439">
        <v>72118</v>
      </c>
      <c r="N15" s="692">
        <v>70778</v>
      </c>
      <c r="O15" s="679" t="s">
        <v>57</v>
      </c>
      <c r="P15" s="52" t="s">
        <v>402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402</v>
      </c>
      <c r="L16" s="679" t="s">
        <v>57</v>
      </c>
      <c r="M16" s="439">
        <v>69288</v>
      </c>
      <c r="N16" s="586">
        <v>70664</v>
      </c>
      <c r="O16" s="679" t="s">
        <v>57</v>
      </c>
      <c r="P16" s="52" t="s">
        <v>402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402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402</v>
      </c>
      <c r="L18" s="679" t="s">
        <v>57</v>
      </c>
      <c r="M18" s="439">
        <v>83754</v>
      </c>
      <c r="N18" s="586">
        <v>80572.5</v>
      </c>
      <c r="O18" s="679" t="s">
        <v>57</v>
      </c>
      <c r="P18" s="52" t="s">
        <v>402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402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401</v>
      </c>
      <c r="J20" s="52" t="s">
        <v>63</v>
      </c>
      <c r="K20" s="51">
        <v>45733</v>
      </c>
      <c r="L20" s="52" t="s">
        <v>57</v>
      </c>
      <c r="M20" s="439">
        <v>50824.5</v>
      </c>
      <c r="N20" s="586">
        <v>50928.5</v>
      </c>
      <c r="O20" s="52" t="s">
        <v>57</v>
      </c>
      <c r="P20" s="52" t="s">
        <v>402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401</v>
      </c>
      <c r="J21" s="52" t="s">
        <v>63</v>
      </c>
      <c r="K21" s="51">
        <v>45737</v>
      </c>
      <c r="L21" s="52" t="s">
        <v>57</v>
      </c>
      <c r="M21" s="439">
        <v>83462</v>
      </c>
      <c r="N21" s="586">
        <v>83033</v>
      </c>
      <c r="O21" s="52" t="s">
        <v>57</v>
      </c>
      <c r="P21" s="52" t="s">
        <v>402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402</v>
      </c>
      <c r="L22" s="52" t="s">
        <v>57</v>
      </c>
      <c r="M22" s="439">
        <v>47414</v>
      </c>
      <c r="N22" s="586">
        <v>45744</v>
      </c>
      <c r="O22" s="52" t="s">
        <v>57</v>
      </c>
      <c r="P22" s="52" t="s">
        <v>402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401</v>
      </c>
      <c r="J23" s="52" t="s">
        <v>63</v>
      </c>
      <c r="K23" s="51">
        <v>45736</v>
      </c>
      <c r="L23" s="52" t="s">
        <v>57</v>
      </c>
      <c r="M23" s="439">
        <v>59562.5</v>
      </c>
      <c r="N23" s="586">
        <v>52525.5</v>
      </c>
      <c r="O23" s="52" t="s">
        <v>57</v>
      </c>
      <c r="P23" s="52" t="s">
        <v>402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401</v>
      </c>
      <c r="J24" s="52" t="s">
        <v>63</v>
      </c>
      <c r="K24" s="51">
        <v>45735</v>
      </c>
      <c r="L24" s="52" t="s">
        <v>57</v>
      </c>
      <c r="M24" s="439">
        <v>41187</v>
      </c>
      <c r="N24" s="586">
        <v>39597.5</v>
      </c>
      <c r="O24" s="52" t="s">
        <v>57</v>
      </c>
      <c r="P24" s="52" t="s">
        <v>402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401</v>
      </c>
      <c r="J25" s="52" t="s">
        <v>63</v>
      </c>
      <c r="K25" s="50" t="s">
        <v>402</v>
      </c>
      <c r="L25" s="52" t="s">
        <v>57</v>
      </c>
      <c r="M25" s="439">
        <v>14497.5</v>
      </c>
      <c r="N25" s="586">
        <v>14042</v>
      </c>
      <c r="O25" s="52" t="s">
        <v>57</v>
      </c>
      <c r="P25" s="52" t="s">
        <v>402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401</v>
      </c>
      <c r="J26" s="52" t="s">
        <v>63</v>
      </c>
      <c r="K26" s="51">
        <v>45762</v>
      </c>
      <c r="L26" s="52" t="s">
        <v>57</v>
      </c>
      <c r="M26" s="439">
        <v>62502</v>
      </c>
      <c r="N26" s="570">
        <v>59129.5</v>
      </c>
      <c r="O26" s="52" t="s">
        <v>57</v>
      </c>
      <c r="P26" s="52" t="s">
        <v>402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401</v>
      </c>
      <c r="J27" s="52" t="s">
        <v>63</v>
      </c>
      <c r="K27" s="51">
        <v>45762</v>
      </c>
      <c r="L27" s="52" t="s">
        <v>57</v>
      </c>
      <c r="M27" s="439">
        <v>70705.5</v>
      </c>
      <c r="N27" s="570">
        <v>67666</v>
      </c>
      <c r="O27" s="52" t="s">
        <v>57</v>
      </c>
      <c r="P27" s="52" t="s">
        <v>402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401</v>
      </c>
      <c r="J28" s="52" t="s">
        <v>63</v>
      </c>
      <c r="K28" s="51">
        <v>45762</v>
      </c>
      <c r="L28" s="52" t="s">
        <v>57</v>
      </c>
      <c r="M28" s="439">
        <v>66004.5</v>
      </c>
      <c r="N28" s="570">
        <v>64943.5</v>
      </c>
      <c r="O28" s="52" t="s">
        <v>57</v>
      </c>
      <c r="P28" s="52" t="s">
        <v>402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401</v>
      </c>
      <c r="J29" s="387" t="s">
        <v>63</v>
      </c>
      <c r="K29" s="386">
        <v>45790</v>
      </c>
      <c r="L29" s="387" t="s">
        <v>57</v>
      </c>
      <c r="M29" s="442">
        <v>57237</v>
      </c>
      <c r="N29" s="584">
        <v>55777</v>
      </c>
      <c r="O29" s="52" t="s">
        <v>57</v>
      </c>
      <c r="P29" s="387" t="s">
        <v>402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402</v>
      </c>
      <c r="J30" s="117" t="s">
        <v>63</v>
      </c>
      <c r="K30" s="525">
        <v>45673</v>
      </c>
      <c r="L30" s="520" t="s">
        <v>57</v>
      </c>
      <c r="M30" s="796">
        <v>24886.5</v>
      </c>
      <c r="N30" s="828">
        <v>7262</v>
      </c>
      <c r="O30" s="520" t="s">
        <v>57</v>
      </c>
      <c r="P30" s="834" t="s">
        <v>402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401</v>
      </c>
      <c r="J31" s="387" t="s">
        <v>63</v>
      </c>
      <c r="K31" s="386">
        <v>45705</v>
      </c>
      <c r="L31" s="387" t="s">
        <v>57</v>
      </c>
      <c r="M31" s="442">
        <v>88491.8</v>
      </c>
      <c r="N31" s="439">
        <v>85791.25</v>
      </c>
      <c r="O31" s="387" t="s">
        <v>57</v>
      </c>
      <c r="P31" s="387" t="s">
        <v>402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402</v>
      </c>
      <c r="J32" s="52" t="s">
        <v>63</v>
      </c>
      <c r="K32" s="50" t="s">
        <v>402</v>
      </c>
      <c r="L32" s="52" t="s">
        <v>57</v>
      </c>
      <c r="M32" s="439">
        <v>3425.55</v>
      </c>
      <c r="N32" s="570">
        <v>7741.4</v>
      </c>
      <c r="O32" s="52" t="s">
        <v>57</v>
      </c>
      <c r="P32" s="52" t="s">
        <v>402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401</v>
      </c>
      <c r="J33" s="387" t="s">
        <v>63</v>
      </c>
      <c r="K33" s="385" t="s">
        <v>402</v>
      </c>
      <c r="L33" s="387" t="s">
        <v>57</v>
      </c>
      <c r="M33" s="442">
        <v>3707.3</v>
      </c>
      <c r="N33" s="439">
        <v>8209.69</v>
      </c>
      <c r="O33" s="387" t="s">
        <v>57</v>
      </c>
      <c r="P33" s="387" t="s">
        <v>402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402</v>
      </c>
      <c r="L34" s="52" t="s">
        <v>57</v>
      </c>
      <c r="M34" s="439">
        <v>21648.75</v>
      </c>
      <c r="N34" s="570">
        <v>35235</v>
      </c>
      <c r="O34" s="52" t="s">
        <v>57</v>
      </c>
      <c r="P34" s="52" t="s">
        <v>402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401</v>
      </c>
      <c r="J35" s="52" t="s">
        <v>63</v>
      </c>
      <c r="K35" s="51">
        <v>45716</v>
      </c>
      <c r="L35" s="52" t="s">
        <v>57</v>
      </c>
      <c r="M35" s="439">
        <v>64727</v>
      </c>
      <c r="N35" s="570">
        <v>68203</v>
      </c>
      <c r="O35" s="52" t="s">
        <v>57</v>
      </c>
      <c r="P35" s="387" t="s">
        <v>402</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527</v>
      </c>
      <c r="E36" s="51">
        <v>45727</v>
      </c>
      <c r="F36" s="50" t="s">
        <v>706</v>
      </c>
      <c r="G36" s="604" t="s">
        <v>707</v>
      </c>
      <c r="H36" s="52">
        <v>80</v>
      </c>
      <c r="I36" s="52" t="s">
        <v>402</v>
      </c>
      <c r="J36" s="52" t="s">
        <v>63</v>
      </c>
      <c r="K36" s="51">
        <v>45728</v>
      </c>
      <c r="L36" s="52" t="s">
        <v>57</v>
      </c>
      <c r="M36" s="439">
        <v>88033.5</v>
      </c>
      <c r="N36" s="570">
        <v>88045.5</v>
      </c>
      <c r="O36" s="52" t="s">
        <v>57</v>
      </c>
      <c r="P36" s="52" t="s">
        <v>402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402</v>
      </c>
      <c r="J37" s="52" t="s">
        <v>63</v>
      </c>
      <c r="K37" s="51">
        <v>45728</v>
      </c>
      <c r="L37" s="52" t="s">
        <v>57</v>
      </c>
      <c r="M37" s="439">
        <v>82979.5</v>
      </c>
      <c r="N37" s="570">
        <v>78032</v>
      </c>
      <c r="O37" s="52" t="s">
        <v>57</v>
      </c>
      <c r="P37" s="387" t="s">
        <v>402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402</v>
      </c>
      <c r="J38" s="52" t="s">
        <v>63</v>
      </c>
      <c r="K38" s="51">
        <v>45716</v>
      </c>
      <c r="L38" s="52" t="s">
        <v>57</v>
      </c>
      <c r="M38" s="439">
        <v>74446</v>
      </c>
      <c r="N38" s="584">
        <v>73894</v>
      </c>
      <c r="O38" s="52" t="s">
        <v>57</v>
      </c>
      <c r="P38" s="387" t="s">
        <v>402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402</v>
      </c>
      <c r="J39" s="52" t="s">
        <v>63</v>
      </c>
      <c r="K39" s="628">
        <v>45716</v>
      </c>
      <c r="L39" s="52" t="s">
        <v>57</v>
      </c>
      <c r="M39" s="693">
        <v>84935.5</v>
      </c>
      <c r="N39" s="585">
        <v>81445</v>
      </c>
      <c r="O39" s="52" t="s">
        <v>57</v>
      </c>
      <c r="P39" s="387" t="s">
        <v>402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401</v>
      </c>
      <c r="J40" s="679" t="s">
        <v>63</v>
      </c>
      <c r="K40" s="677">
        <v>45692</v>
      </c>
      <c r="L40" s="679" t="s">
        <v>57</v>
      </c>
      <c r="M40" s="682">
        <v>90302</v>
      </c>
      <c r="N40" s="439">
        <v>98764.5</v>
      </c>
      <c r="O40" s="679" t="s">
        <v>57</v>
      </c>
      <c r="P40" s="387" t="s">
        <v>402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401</v>
      </c>
      <c r="J41" s="391" t="s">
        <v>63</v>
      </c>
      <c r="K41" s="392">
        <v>45698</v>
      </c>
      <c r="L41" s="391" t="s">
        <v>57</v>
      </c>
      <c r="M41" s="656">
        <v>71361</v>
      </c>
      <c r="N41" s="570">
        <v>72125</v>
      </c>
      <c r="O41" s="391" t="s">
        <v>57</v>
      </c>
      <c r="P41" s="52" t="s">
        <v>402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401</v>
      </c>
      <c r="J42" s="391" t="s">
        <v>63</v>
      </c>
      <c r="K42" s="392">
        <v>45700</v>
      </c>
      <c r="L42" s="391" t="s">
        <v>57</v>
      </c>
      <c r="M42" s="656">
        <v>76139.5</v>
      </c>
      <c r="N42" s="584">
        <v>79581.5</v>
      </c>
      <c r="O42" s="391" t="s">
        <v>57</v>
      </c>
      <c r="P42" s="387" t="s">
        <v>402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401</v>
      </c>
      <c r="J43" s="391" t="s">
        <v>63</v>
      </c>
      <c r="K43" s="392">
        <v>45699</v>
      </c>
      <c r="L43" s="391" t="s">
        <v>57</v>
      </c>
      <c r="M43" s="656">
        <v>73583.5</v>
      </c>
      <c r="N43" s="570">
        <v>84066</v>
      </c>
      <c r="O43" s="789" t="s">
        <v>57</v>
      </c>
      <c r="P43" s="387" t="s">
        <v>402</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402</v>
      </c>
      <c r="L44" s="391" t="s">
        <v>57</v>
      </c>
      <c r="M44" s="656">
        <v>51958</v>
      </c>
      <c r="N44" s="570">
        <v>20330.259999999998</v>
      </c>
      <c r="O44" s="391" t="s">
        <v>57</v>
      </c>
      <c r="P44" s="52" t="s">
        <v>402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402</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402</v>
      </c>
      <c r="L46" s="679" t="s">
        <v>57</v>
      </c>
      <c r="M46" s="439">
        <v>82480.5</v>
      </c>
      <c r="N46" s="439">
        <v>77870.5</v>
      </c>
      <c r="O46" s="679" t="s">
        <v>57</v>
      </c>
      <c r="P46" s="387" t="s">
        <v>402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401</v>
      </c>
      <c r="J47" s="387" t="s">
        <v>63</v>
      </c>
      <c r="K47" s="51">
        <v>45741</v>
      </c>
      <c r="L47" s="387" t="s">
        <v>57</v>
      </c>
      <c r="M47" s="439">
        <v>74508.5</v>
      </c>
      <c r="N47" s="570">
        <v>75008.5</v>
      </c>
      <c r="O47" s="387" t="s">
        <v>57</v>
      </c>
      <c r="P47" s="387" t="s">
        <v>402</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401</v>
      </c>
      <c r="J48" s="52" t="s">
        <v>63</v>
      </c>
      <c r="K48" s="51">
        <v>45741</v>
      </c>
      <c r="L48" s="52" t="s">
        <v>57</v>
      </c>
      <c r="M48" s="439">
        <v>73070.5</v>
      </c>
      <c r="N48" s="570">
        <v>72678</v>
      </c>
      <c r="O48" s="52" t="s">
        <v>57</v>
      </c>
      <c r="P48" s="52" t="s">
        <v>402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402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402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401</v>
      </c>
      <c r="J51" s="387" t="s">
        <v>63</v>
      </c>
      <c r="K51" s="51">
        <v>45741</v>
      </c>
      <c r="L51" s="387" t="s">
        <v>57</v>
      </c>
      <c r="M51" s="439">
        <v>62104</v>
      </c>
      <c r="N51" s="585">
        <v>64186</v>
      </c>
      <c r="O51" s="387" t="s">
        <v>57</v>
      </c>
      <c r="P51" s="387" t="s">
        <v>402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401</v>
      </c>
      <c r="J52" s="387" t="s">
        <v>63</v>
      </c>
      <c r="K52" s="51">
        <v>45741</v>
      </c>
      <c r="L52" s="387" t="s">
        <v>57</v>
      </c>
      <c r="M52" s="439">
        <v>63756.5</v>
      </c>
      <c r="N52" s="585">
        <v>64902.5</v>
      </c>
      <c r="O52" s="387" t="s">
        <v>57</v>
      </c>
      <c r="P52" s="387" t="s">
        <v>402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401</v>
      </c>
      <c r="J53" s="52" t="s">
        <v>63</v>
      </c>
      <c r="K53" s="51">
        <v>45741</v>
      </c>
      <c r="L53" s="52" t="s">
        <v>57</v>
      </c>
      <c r="M53" s="439">
        <v>67840.5</v>
      </c>
      <c r="N53" s="570">
        <v>66607.5</v>
      </c>
      <c r="O53" s="52" t="s">
        <v>57</v>
      </c>
      <c r="P53" s="52" t="s">
        <v>402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401</v>
      </c>
      <c r="J54" s="52" t="s">
        <v>63</v>
      </c>
      <c r="K54" s="51">
        <v>45757</v>
      </c>
      <c r="L54" s="52" t="s">
        <v>57</v>
      </c>
      <c r="M54" s="439">
        <v>53906.75</v>
      </c>
      <c r="N54" s="570">
        <v>54578.5</v>
      </c>
      <c r="O54" s="52" t="s">
        <v>57</v>
      </c>
      <c r="P54" s="52" t="s">
        <v>402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401</v>
      </c>
      <c r="J55" s="387" t="s">
        <v>63</v>
      </c>
      <c r="K55" s="386">
        <v>45757</v>
      </c>
      <c r="L55" s="387" t="s">
        <v>57</v>
      </c>
      <c r="M55" s="442">
        <v>47432.5</v>
      </c>
      <c r="N55" s="570">
        <v>54385.09</v>
      </c>
      <c r="O55" s="387" t="s">
        <v>57</v>
      </c>
      <c r="P55" s="387" t="s">
        <v>402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402</v>
      </c>
      <c r="J56" s="52" t="s">
        <v>63</v>
      </c>
      <c r="K56" s="51">
        <v>45757</v>
      </c>
      <c r="L56" s="52" t="s">
        <v>57</v>
      </c>
      <c r="M56" s="439">
        <v>62383</v>
      </c>
      <c r="N56" s="570">
        <v>61939</v>
      </c>
      <c r="O56" s="52" t="s">
        <v>57</v>
      </c>
      <c r="P56" s="52" t="s">
        <v>402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402</v>
      </c>
      <c r="J57" s="387" t="s">
        <v>63</v>
      </c>
      <c r="K57" s="386">
        <v>45757</v>
      </c>
      <c r="L57" s="387" t="s">
        <v>57</v>
      </c>
      <c r="M57" s="442">
        <v>80443.5</v>
      </c>
      <c r="N57" s="570">
        <v>81941</v>
      </c>
      <c r="O57" s="387" t="s">
        <v>57</v>
      </c>
      <c r="P57" s="387" t="s">
        <v>402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401</v>
      </c>
      <c r="J58" s="387" t="s">
        <v>63</v>
      </c>
      <c r="K58" s="386">
        <v>45757</v>
      </c>
      <c r="L58" s="387" t="s">
        <v>57</v>
      </c>
      <c r="M58" s="442">
        <v>68736.5</v>
      </c>
      <c r="N58" s="570">
        <v>68249</v>
      </c>
      <c r="O58" s="387" t="s">
        <v>57</v>
      </c>
      <c r="P58" s="387" t="s">
        <v>402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401</v>
      </c>
      <c r="J59" s="387" t="s">
        <v>63</v>
      </c>
      <c r="K59" s="51">
        <v>45741</v>
      </c>
      <c r="L59" s="387" t="s">
        <v>57</v>
      </c>
      <c r="M59" s="439">
        <v>73491.5</v>
      </c>
      <c r="N59" s="584">
        <v>202651</v>
      </c>
      <c r="O59" s="387" t="s">
        <v>57</v>
      </c>
      <c r="P59" s="387" t="s">
        <v>402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401</v>
      </c>
      <c r="J60" s="387" t="s">
        <v>63</v>
      </c>
      <c r="K60" s="51">
        <v>45741</v>
      </c>
      <c r="L60" s="387" t="s">
        <v>57</v>
      </c>
      <c r="M60" s="439">
        <v>74961</v>
      </c>
      <c r="N60" s="439">
        <v>77123</v>
      </c>
      <c r="O60" s="387" t="s">
        <v>57</v>
      </c>
      <c r="P60" s="387" t="s">
        <v>402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401</v>
      </c>
      <c r="J61" s="387" t="s">
        <v>63</v>
      </c>
      <c r="K61" s="51">
        <v>45741</v>
      </c>
      <c r="L61" s="387" t="s">
        <v>57</v>
      </c>
      <c r="M61" s="439">
        <v>70235</v>
      </c>
      <c r="N61" s="584">
        <v>134171.5</v>
      </c>
      <c r="O61" s="387" t="s">
        <v>57</v>
      </c>
      <c r="P61" s="387" t="s">
        <v>402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402</v>
      </c>
      <c r="L62" s="679" t="s">
        <v>57</v>
      </c>
      <c r="M62" s="439">
        <v>60625.5</v>
      </c>
      <c r="N62" s="570">
        <v>59084</v>
      </c>
      <c r="O62" s="679" t="s">
        <v>57</v>
      </c>
      <c r="P62" s="52" t="s">
        <v>402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401</v>
      </c>
      <c r="J63" s="52" t="s">
        <v>63</v>
      </c>
      <c r="K63" s="51">
        <v>45721</v>
      </c>
      <c r="L63" s="52" t="s">
        <v>57</v>
      </c>
      <c r="M63" s="607">
        <v>79507</v>
      </c>
      <c r="N63" s="570">
        <v>86709.5</v>
      </c>
      <c r="O63" s="52" t="s">
        <v>57</v>
      </c>
      <c r="P63" s="52" t="s">
        <v>402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402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401</v>
      </c>
      <c r="J65" s="52" t="s">
        <v>63</v>
      </c>
      <c r="K65" s="51">
        <v>45716</v>
      </c>
      <c r="L65" s="52" t="s">
        <v>57</v>
      </c>
      <c r="M65" s="439">
        <v>64609</v>
      </c>
      <c r="N65" s="584">
        <v>76965</v>
      </c>
      <c r="O65" s="52" t="s">
        <v>57</v>
      </c>
      <c r="P65" s="387" t="s">
        <v>402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401</v>
      </c>
      <c r="J66" s="52" t="s">
        <v>63</v>
      </c>
      <c r="K66" s="51">
        <v>45701</v>
      </c>
      <c r="L66" s="391" t="s">
        <v>57</v>
      </c>
      <c r="M66" s="439">
        <v>48609</v>
      </c>
      <c r="N66" s="570">
        <v>48682.5</v>
      </c>
      <c r="O66" s="789" t="s">
        <v>57</v>
      </c>
      <c r="P66" s="387" t="s">
        <v>402</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401</v>
      </c>
      <c r="J67" s="52" t="s">
        <v>63</v>
      </c>
      <c r="K67" s="51">
        <v>45698</v>
      </c>
      <c r="L67" s="679" t="s">
        <v>57</v>
      </c>
      <c r="M67" s="439">
        <v>52222</v>
      </c>
      <c r="N67" s="570">
        <v>51838</v>
      </c>
      <c r="O67" s="679" t="s">
        <v>57</v>
      </c>
      <c r="P67" s="52" t="s">
        <v>402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402</v>
      </c>
      <c r="J68" s="52" t="s">
        <v>63</v>
      </c>
      <c r="K68" s="51">
        <v>45716</v>
      </c>
      <c r="L68" s="52" t="s">
        <v>57</v>
      </c>
      <c r="M68" s="607">
        <v>67463</v>
      </c>
      <c r="N68" s="570">
        <v>69992</v>
      </c>
      <c r="O68" s="52" t="s">
        <v>57</v>
      </c>
      <c r="P68" s="52" t="s">
        <v>402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402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401</v>
      </c>
      <c r="J70" s="795" t="s">
        <v>63</v>
      </c>
      <c r="K70" s="57">
        <v>45707</v>
      </c>
      <c r="L70" s="795" t="s">
        <v>57</v>
      </c>
      <c r="M70" s="439" t="s">
        <v>796</v>
      </c>
      <c r="N70" s="585">
        <v>67080</v>
      </c>
      <c r="O70" s="52" t="s">
        <v>57</v>
      </c>
      <c r="P70" s="1119" t="s">
        <v>402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401</v>
      </c>
      <c r="J71" s="812" t="s">
        <v>63</v>
      </c>
      <c r="K71" s="57">
        <v>45741</v>
      </c>
      <c r="L71" s="812" t="s">
        <v>57</v>
      </c>
      <c r="M71" s="439">
        <v>79069.5</v>
      </c>
      <c r="N71" s="584">
        <v>73300</v>
      </c>
      <c r="O71" s="387" t="s">
        <v>57</v>
      </c>
      <c r="P71" s="450" t="s">
        <v>402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401</v>
      </c>
      <c r="J72" s="812" t="s">
        <v>63</v>
      </c>
      <c r="K72" s="57">
        <v>45741</v>
      </c>
      <c r="L72" s="812" t="s">
        <v>57</v>
      </c>
      <c r="M72" s="439">
        <v>16398</v>
      </c>
      <c r="N72" s="570">
        <v>15664</v>
      </c>
      <c r="O72" s="387" t="s">
        <v>57</v>
      </c>
      <c r="P72" s="1111" t="s">
        <v>402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402</v>
      </c>
      <c r="J73" s="795" t="s">
        <v>63</v>
      </c>
      <c r="K73" s="57">
        <v>45708</v>
      </c>
      <c r="L73" s="795" t="s">
        <v>57</v>
      </c>
      <c r="M73" s="655">
        <v>56854</v>
      </c>
      <c r="N73" s="828">
        <v>62254</v>
      </c>
      <c r="O73" s="795" t="s">
        <v>57</v>
      </c>
      <c r="P73" s="795" t="s">
        <v>402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402</v>
      </c>
      <c r="J74" s="76" t="s">
        <v>63</v>
      </c>
      <c r="K74" s="77">
        <v>45708</v>
      </c>
      <c r="L74" s="104" t="s">
        <v>57</v>
      </c>
      <c r="M74" s="832">
        <v>73639</v>
      </c>
      <c r="N74" s="1118">
        <v>73025</v>
      </c>
      <c r="O74" s="104" t="s">
        <v>57</v>
      </c>
      <c r="P74" s="106" t="s">
        <v>402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402</v>
      </c>
      <c r="J75" s="76" t="s">
        <v>63</v>
      </c>
      <c r="K75" s="77">
        <v>45698</v>
      </c>
      <c r="L75" s="104" t="s">
        <v>57</v>
      </c>
      <c r="M75" s="832">
        <v>54861</v>
      </c>
      <c r="N75" s="833">
        <v>55197</v>
      </c>
      <c r="O75" s="104" t="s">
        <v>57</v>
      </c>
      <c r="P75" s="76" t="s">
        <v>402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401</v>
      </c>
      <c r="J76" s="795" t="s">
        <v>63</v>
      </c>
      <c r="K76" s="57">
        <v>45735</v>
      </c>
      <c r="L76" s="795" t="s">
        <v>57</v>
      </c>
      <c r="M76" s="655">
        <v>41285</v>
      </c>
      <c r="N76" s="828">
        <v>40484</v>
      </c>
      <c r="O76" s="795" t="s">
        <v>57</v>
      </c>
      <c r="P76" s="812" t="s">
        <v>402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402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402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401</v>
      </c>
      <c r="J79" s="801" t="s">
        <v>63</v>
      </c>
      <c r="K79" s="931" t="s">
        <v>402</v>
      </c>
      <c r="L79" s="801" t="s">
        <v>57</v>
      </c>
      <c r="M79" s="929">
        <v>289634.75</v>
      </c>
      <c r="N79" s="828">
        <v>296306.83</v>
      </c>
      <c r="O79" s="930" t="s">
        <v>57</v>
      </c>
      <c r="P79" s="812" t="s">
        <v>402</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401</v>
      </c>
      <c r="J80" s="795" t="s">
        <v>63</v>
      </c>
      <c r="K80" s="489">
        <v>45741</v>
      </c>
      <c r="L80" s="482" t="s">
        <v>57</v>
      </c>
      <c r="M80" s="797">
        <v>47849</v>
      </c>
      <c r="N80" s="655">
        <v>51778</v>
      </c>
      <c r="O80" s="482" t="s">
        <v>57</v>
      </c>
      <c r="P80" s="806" t="s">
        <v>402</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401</v>
      </c>
      <c r="J81" s="491" t="s">
        <v>63</v>
      </c>
      <c r="K81" s="489">
        <v>45698</v>
      </c>
      <c r="L81" s="497" t="s">
        <v>57</v>
      </c>
      <c r="M81" s="797">
        <v>68216.5</v>
      </c>
      <c r="N81" s="655">
        <v>65624.5</v>
      </c>
      <c r="O81" s="497" t="s">
        <v>57</v>
      </c>
      <c r="P81" s="1103" t="s">
        <v>402</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401</v>
      </c>
      <c r="J82" s="387" t="s">
        <v>63</v>
      </c>
      <c r="K82" s="386">
        <v>45757</v>
      </c>
      <c r="L82" s="405" t="s">
        <v>57</v>
      </c>
      <c r="M82" s="442">
        <v>78331</v>
      </c>
      <c r="N82" s="439">
        <v>82072.25</v>
      </c>
      <c r="O82" s="387" t="s">
        <v>57</v>
      </c>
      <c r="P82" s="450" t="s">
        <v>402</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401</v>
      </c>
      <c r="J83" s="52" t="s">
        <v>63</v>
      </c>
      <c r="K83" s="51">
        <v>45698</v>
      </c>
      <c r="L83" s="1107" t="s">
        <v>57</v>
      </c>
      <c r="M83" s="439">
        <v>67892.5</v>
      </c>
      <c r="N83" s="439">
        <v>65771.429999999993</v>
      </c>
      <c r="O83" s="391" t="s">
        <v>57</v>
      </c>
      <c r="P83" s="365" t="s">
        <v>402</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401</v>
      </c>
      <c r="J90" s="52" t="s">
        <v>63</v>
      </c>
      <c r="K90" s="51">
        <v>45701</v>
      </c>
      <c r="L90" s="52" t="s">
        <v>57</v>
      </c>
      <c r="M90" s="439">
        <v>111163</v>
      </c>
      <c r="N90" s="755"/>
      <c r="O90" s="52" t="s">
        <v>57</v>
      </c>
      <c r="P90" s="602" t="s">
        <v>402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401</v>
      </c>
      <c r="J91" s="387" t="s">
        <v>56</v>
      </c>
      <c r="K91" s="386">
        <v>45874</v>
      </c>
      <c r="L91" s="387" t="s">
        <v>57</v>
      </c>
      <c r="M91" s="442">
        <v>11894.25</v>
      </c>
      <c r="N91" s="97"/>
      <c r="O91" s="387" t="s">
        <v>57</v>
      </c>
      <c r="P91" s="603" t="s">
        <v>402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401</v>
      </c>
      <c r="J92" s="387" t="s">
        <v>63</v>
      </c>
      <c r="K92" s="386">
        <v>45793</v>
      </c>
      <c r="L92" s="387" t="s">
        <v>57</v>
      </c>
      <c r="M92" s="442">
        <v>104070.8</v>
      </c>
      <c r="N92" s="755"/>
      <c r="O92" s="387" t="s">
        <v>57</v>
      </c>
      <c r="P92" s="603" t="s">
        <v>402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401</v>
      </c>
      <c r="J93" s="482" t="s">
        <v>63</v>
      </c>
      <c r="K93" s="480">
        <v>45786</v>
      </c>
      <c r="L93" s="482" t="s">
        <v>57</v>
      </c>
      <c r="M93" s="1058">
        <v>133172.15</v>
      </c>
      <c r="N93" s="755"/>
      <c r="O93" s="482" t="s">
        <v>57</v>
      </c>
      <c r="P93" s="769" t="s">
        <v>402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401</v>
      </c>
      <c r="J94" s="52" t="s">
        <v>63</v>
      </c>
      <c r="K94" s="386">
        <v>45826</v>
      </c>
      <c r="L94" s="387" t="s">
        <v>57</v>
      </c>
      <c r="M94" s="442">
        <v>144886</v>
      </c>
      <c r="N94" s="97"/>
      <c r="O94" s="387" t="s">
        <v>57</v>
      </c>
      <c r="P94" s="603" t="s">
        <v>402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401</v>
      </c>
      <c r="J95" s="52" t="s">
        <v>63</v>
      </c>
      <c r="K95" s="51">
        <v>45918</v>
      </c>
      <c r="L95" s="387" t="s">
        <v>57</v>
      </c>
      <c r="M95" s="442">
        <v>10840.25</v>
      </c>
      <c r="N95" s="755"/>
      <c r="O95" s="387" t="s">
        <v>57</v>
      </c>
      <c r="P95" s="759" t="s">
        <v>402</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401</v>
      </c>
      <c r="J96" s="52" t="s">
        <v>63</v>
      </c>
      <c r="K96" s="386">
        <v>45853</v>
      </c>
      <c r="L96" s="391" t="s">
        <v>57</v>
      </c>
      <c r="M96" s="442">
        <v>60849.9</v>
      </c>
      <c r="N96" s="97"/>
      <c r="O96" s="391" t="s">
        <v>57</v>
      </c>
      <c r="P96" s="759" t="s">
        <v>402</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401</v>
      </c>
      <c r="J97" s="52" t="s">
        <v>63</v>
      </c>
      <c r="K97" s="386">
        <v>45884</v>
      </c>
      <c r="L97" s="387" t="s">
        <v>57</v>
      </c>
      <c r="M97" s="442">
        <v>67441</v>
      </c>
      <c r="N97" s="97"/>
      <c r="O97" s="387" t="s">
        <v>57</v>
      </c>
      <c r="P97" s="759" t="s">
        <v>402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401</v>
      </c>
      <c r="J98" s="387" t="s">
        <v>63</v>
      </c>
      <c r="K98" s="386">
        <v>45797</v>
      </c>
      <c r="L98" s="387" t="s">
        <v>57</v>
      </c>
      <c r="M98" s="442">
        <v>43097.65</v>
      </c>
      <c r="N98" s="755"/>
      <c r="O98" s="387" t="s">
        <v>57</v>
      </c>
      <c r="P98" s="759" t="s">
        <v>402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401</v>
      </c>
      <c r="J99" s="491" t="s">
        <v>63</v>
      </c>
      <c r="K99" s="480">
        <v>45880</v>
      </c>
      <c r="L99" s="482" t="s">
        <v>57</v>
      </c>
      <c r="M99" s="1058">
        <v>56807.95</v>
      </c>
      <c r="N99" s="755"/>
      <c r="O99" s="482" t="s">
        <v>57</v>
      </c>
      <c r="P99" s="769" t="s">
        <v>402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401</v>
      </c>
      <c r="J100" s="387" t="s">
        <v>63</v>
      </c>
      <c r="K100" s="386">
        <v>45882</v>
      </c>
      <c r="L100" s="387" t="s">
        <v>57</v>
      </c>
      <c r="M100" s="442">
        <v>59869.5</v>
      </c>
      <c r="N100" s="755"/>
      <c r="O100" s="387" t="s">
        <v>57</v>
      </c>
      <c r="P100" s="603" t="s">
        <v>402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401</v>
      </c>
      <c r="J101" s="387" t="s">
        <v>63</v>
      </c>
      <c r="K101" s="386">
        <v>45897</v>
      </c>
      <c r="L101" s="387" t="s">
        <v>57</v>
      </c>
      <c r="M101" s="442">
        <v>50874.95</v>
      </c>
      <c r="N101" s="755"/>
      <c r="O101" s="387" t="s">
        <v>57</v>
      </c>
      <c r="P101" s="611" t="s">
        <v>402</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401</v>
      </c>
      <c r="J102" s="387" t="s">
        <v>63</v>
      </c>
      <c r="K102" s="386">
        <v>45840</v>
      </c>
      <c r="L102" s="387" t="s">
        <v>57</v>
      </c>
      <c r="M102" s="442">
        <v>10430.549999999999</v>
      </c>
      <c r="N102" s="755"/>
      <c r="O102" s="387" t="s">
        <v>57</v>
      </c>
      <c r="P102" s="760" t="s">
        <v>402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401</v>
      </c>
      <c r="J103" s="387" t="s">
        <v>63</v>
      </c>
      <c r="K103" s="386">
        <v>45912</v>
      </c>
      <c r="L103" s="387" t="s">
        <v>57</v>
      </c>
      <c r="M103" s="442">
        <v>60115.95</v>
      </c>
      <c r="N103" s="755"/>
      <c r="O103" s="387" t="s">
        <v>57</v>
      </c>
      <c r="P103" s="759" t="s">
        <v>402</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401</v>
      </c>
      <c r="J104" s="387" t="s">
        <v>63</v>
      </c>
      <c r="K104" s="386">
        <v>45847</v>
      </c>
      <c r="L104" s="387" t="s">
        <v>57</v>
      </c>
      <c r="M104" s="442">
        <v>71310.899999999994</v>
      </c>
      <c r="N104" s="755"/>
      <c r="O104" s="387" t="s">
        <v>57</v>
      </c>
      <c r="P104" s="603" t="s">
        <v>402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401</v>
      </c>
      <c r="J105" s="387" t="s">
        <v>63</v>
      </c>
      <c r="K105" s="386">
        <v>45840</v>
      </c>
      <c r="L105" s="387" t="s">
        <v>57</v>
      </c>
      <c r="M105" s="442">
        <v>53605.2</v>
      </c>
      <c r="N105" s="755"/>
      <c r="O105" s="387" t="s">
        <v>57</v>
      </c>
      <c r="P105" s="603" t="s">
        <v>402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401</v>
      </c>
      <c r="J106" s="387" t="s">
        <v>63</v>
      </c>
      <c r="K106" s="386">
        <v>45833</v>
      </c>
      <c r="L106" s="387" t="s">
        <v>57</v>
      </c>
      <c r="M106" s="442">
        <v>32940.449999999997</v>
      </c>
      <c r="N106" s="755"/>
      <c r="O106" s="387" t="s">
        <v>57</v>
      </c>
      <c r="P106" s="602" t="s">
        <v>402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401</v>
      </c>
      <c r="J107" s="387" t="s">
        <v>63</v>
      </c>
      <c r="K107" s="386">
        <v>45840</v>
      </c>
      <c r="L107" s="387" t="s">
        <v>57</v>
      </c>
      <c r="M107" s="442">
        <v>23404.75</v>
      </c>
      <c r="N107" s="755"/>
      <c r="O107" s="387" t="s">
        <v>57</v>
      </c>
      <c r="P107" s="759" t="s">
        <v>402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401</v>
      </c>
      <c r="J108" s="387" t="s">
        <v>63</v>
      </c>
      <c r="K108" s="386">
        <v>45903</v>
      </c>
      <c r="L108" s="387" t="s">
        <v>57</v>
      </c>
      <c r="M108" s="442">
        <v>27186</v>
      </c>
      <c r="N108" s="755"/>
      <c r="O108" s="387" t="s">
        <v>57</v>
      </c>
      <c r="P108" s="759" t="s">
        <v>402</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401</v>
      </c>
      <c r="J109" s="387" t="s">
        <v>63</v>
      </c>
      <c r="K109" s="386">
        <v>45887</v>
      </c>
      <c r="L109" s="387" t="s">
        <v>57</v>
      </c>
      <c r="M109" s="442">
        <v>37930</v>
      </c>
      <c r="N109" s="97"/>
      <c r="O109" s="387" t="s">
        <v>57</v>
      </c>
      <c r="P109" s="602" t="s">
        <v>402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401</v>
      </c>
      <c r="J110" s="52" t="s">
        <v>63</v>
      </c>
      <c r="K110" s="386">
        <v>45887</v>
      </c>
      <c r="L110" s="387" t="s">
        <v>57</v>
      </c>
      <c r="M110" s="442">
        <v>69889</v>
      </c>
      <c r="N110" s="97"/>
      <c r="O110" s="387" t="s">
        <v>57</v>
      </c>
      <c r="P110" s="603" t="s">
        <v>402</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401</v>
      </c>
      <c r="J111" s="52" t="s">
        <v>63</v>
      </c>
      <c r="K111" s="386">
        <v>45887</v>
      </c>
      <c r="L111" s="387" t="s">
        <v>57</v>
      </c>
      <c r="M111" s="442">
        <v>52110</v>
      </c>
      <c r="N111" s="755"/>
      <c r="O111" s="387" t="s">
        <v>57</v>
      </c>
      <c r="P111" s="603" t="s">
        <v>402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401</v>
      </c>
      <c r="J112" s="52" t="s">
        <v>63</v>
      </c>
      <c r="K112" s="386">
        <v>45897</v>
      </c>
      <c r="L112" s="387" t="s">
        <v>57</v>
      </c>
      <c r="M112" s="442">
        <v>52204</v>
      </c>
      <c r="N112" s="755"/>
      <c r="O112" s="387" t="s">
        <v>57</v>
      </c>
      <c r="P112" s="759" t="s">
        <v>402</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401</v>
      </c>
      <c r="J113" s="52" t="s">
        <v>63</v>
      </c>
      <c r="K113" s="386">
        <v>45912</v>
      </c>
      <c r="L113" s="387" t="s">
        <v>57</v>
      </c>
      <c r="M113" s="442">
        <v>47676</v>
      </c>
      <c r="N113" s="755"/>
      <c r="O113" s="387" t="s">
        <v>57</v>
      </c>
      <c r="P113" s="759" t="s">
        <v>402</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401</v>
      </c>
      <c r="J114" s="52" t="s">
        <v>63</v>
      </c>
      <c r="K114" s="386">
        <v>45933</v>
      </c>
      <c r="L114" s="387" t="s">
        <v>57</v>
      </c>
      <c r="M114" s="442">
        <v>44697.599999999999</v>
      </c>
      <c r="N114" s="755"/>
      <c r="O114" s="387" t="s">
        <v>57</v>
      </c>
      <c r="P114" s="759" t="s">
        <v>402</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401</v>
      </c>
      <c r="J115" s="52" t="s">
        <v>63</v>
      </c>
      <c r="K115" s="386">
        <v>45933</v>
      </c>
      <c r="L115" s="387" t="s">
        <v>57</v>
      </c>
      <c r="M115" s="442">
        <v>58864</v>
      </c>
      <c r="N115" s="755"/>
      <c r="O115" s="387" t="s">
        <v>57</v>
      </c>
      <c r="P115" s="759" t="s">
        <v>402</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401</v>
      </c>
      <c r="J116" s="52" t="s">
        <v>63</v>
      </c>
      <c r="K116" s="386">
        <v>45902</v>
      </c>
      <c r="L116" s="387" t="s">
        <v>57</v>
      </c>
      <c r="M116" s="442">
        <v>12695</v>
      </c>
      <c r="N116" s="755"/>
      <c r="O116" s="387" t="s">
        <v>57</v>
      </c>
      <c r="P116" s="759" t="s">
        <v>402</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401</v>
      </c>
      <c r="J117" s="482" t="s">
        <v>63</v>
      </c>
      <c r="K117" s="386">
        <v>45848</v>
      </c>
      <c r="L117" s="387" t="s">
        <v>57</v>
      </c>
      <c r="M117" s="442">
        <v>1206</v>
      </c>
      <c r="N117" s="755"/>
      <c r="O117" s="387" t="s">
        <v>57</v>
      </c>
      <c r="P117" s="603" t="s">
        <v>402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401</v>
      </c>
      <c r="J118" s="518" t="s">
        <v>63</v>
      </c>
      <c r="K118" s="1088">
        <v>45821</v>
      </c>
      <c r="L118" s="522" t="s">
        <v>57</v>
      </c>
      <c r="M118" s="933">
        <v>23436.55</v>
      </c>
      <c r="N118" s="755"/>
      <c r="O118" s="522" t="s">
        <v>57</v>
      </c>
      <c r="P118" s="786" t="s">
        <v>402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401</v>
      </c>
      <c r="J119" s="482" t="s">
        <v>63</v>
      </c>
      <c r="K119" s="480" t="s">
        <v>52</v>
      </c>
      <c r="L119" s="482" t="s">
        <v>57</v>
      </c>
      <c r="M119" s="1058">
        <v>18903.7</v>
      </c>
      <c r="N119" s="97"/>
      <c r="O119" s="482" t="s">
        <v>57</v>
      </c>
      <c r="P119" s="769" t="s">
        <v>402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401</v>
      </c>
      <c r="J120" s="518" t="s">
        <v>63</v>
      </c>
      <c r="K120" s="519" t="s">
        <v>913</v>
      </c>
      <c r="L120" s="518" t="s">
        <v>57</v>
      </c>
      <c r="M120" s="933">
        <v>21888.65</v>
      </c>
      <c r="N120" s="97"/>
      <c r="O120" s="518" t="s">
        <v>57</v>
      </c>
      <c r="P120" s="786" t="s">
        <v>402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401</v>
      </c>
      <c r="J121" s="999" t="s">
        <v>63</v>
      </c>
      <c r="K121" s="981">
        <v>45876</v>
      </c>
      <c r="L121" s="999" t="s">
        <v>57</v>
      </c>
      <c r="M121" s="1001">
        <v>1462.85</v>
      </c>
      <c r="N121" s="97"/>
      <c r="O121" s="999" t="s">
        <v>57</v>
      </c>
      <c r="P121" s="787" t="s">
        <v>402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401</v>
      </c>
      <c r="J123" s="518" t="s">
        <v>63</v>
      </c>
      <c r="K123" s="519">
        <v>45870</v>
      </c>
      <c r="L123" s="518" t="s">
        <v>57</v>
      </c>
      <c r="M123" s="933">
        <v>49307.5</v>
      </c>
      <c r="N123" s="97"/>
      <c r="O123" s="518" t="s">
        <v>57</v>
      </c>
      <c r="P123" s="804" t="s">
        <v>402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401</v>
      </c>
      <c r="J124" s="518" t="s">
        <v>63</v>
      </c>
      <c r="K124" s="519">
        <v>45870</v>
      </c>
      <c r="L124" s="518" t="s">
        <v>57</v>
      </c>
      <c r="M124" s="933">
        <v>12886.4</v>
      </c>
      <c r="N124" s="805"/>
      <c r="O124" s="518" t="s">
        <v>57</v>
      </c>
      <c r="P124" s="786" t="s">
        <v>402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401</v>
      </c>
      <c r="J125" s="812" t="s">
        <v>63</v>
      </c>
      <c r="K125" s="386">
        <v>45882</v>
      </c>
      <c r="L125" s="387" t="s">
        <v>57</v>
      </c>
      <c r="M125" s="442">
        <v>13056.5</v>
      </c>
      <c r="N125" s="805"/>
      <c r="O125" s="387" t="s">
        <v>57</v>
      </c>
      <c r="P125" s="603" t="s">
        <v>402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401</v>
      </c>
      <c r="J126" s="812" t="s">
        <v>63</v>
      </c>
      <c r="K126" s="519">
        <v>45868</v>
      </c>
      <c r="L126" s="518" t="s">
        <v>57</v>
      </c>
      <c r="M126" s="933">
        <v>14179.65</v>
      </c>
      <c r="N126" s="805"/>
      <c r="O126" s="518" t="s">
        <v>57</v>
      </c>
      <c r="P126" s="804" t="s">
        <v>402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401</v>
      </c>
      <c r="J127" s="812" t="s">
        <v>63</v>
      </c>
      <c r="K127" s="480">
        <v>45853</v>
      </c>
      <c r="L127" s="482" t="s">
        <v>57</v>
      </c>
      <c r="M127" s="1058">
        <v>68216.5</v>
      </c>
      <c r="N127" s="798"/>
      <c r="O127" s="482" t="s">
        <v>57</v>
      </c>
      <c r="P127" s="769" t="s">
        <v>402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401</v>
      </c>
      <c r="J128" s="491" t="s">
        <v>63</v>
      </c>
      <c r="K128" s="525">
        <v>45838</v>
      </c>
      <c r="L128" s="1089" t="s">
        <v>57</v>
      </c>
      <c r="M128" s="797">
        <v>72566</v>
      </c>
      <c r="N128" s="755"/>
      <c r="O128" s="491" t="s">
        <v>57</v>
      </c>
      <c r="P128" s="769" t="s">
        <v>402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401</v>
      </c>
      <c r="J129" s="52" t="s">
        <v>63</v>
      </c>
      <c r="K129" s="386">
        <v>45936</v>
      </c>
      <c r="L129" s="387" t="s">
        <v>57</v>
      </c>
      <c r="M129" s="442">
        <v>4235.8</v>
      </c>
      <c r="N129" s="755"/>
      <c r="O129" s="387" t="s">
        <v>57</v>
      </c>
      <c r="P129" s="603" t="s">
        <v>402</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401</v>
      </c>
      <c r="J130" s="795" t="s">
        <v>63</v>
      </c>
      <c r="K130" s="480">
        <v>45902</v>
      </c>
      <c r="L130" s="482" t="s">
        <v>57</v>
      </c>
      <c r="M130" s="1058">
        <v>3067.9</v>
      </c>
      <c r="N130" s="805"/>
      <c r="O130" s="482" t="s">
        <v>57</v>
      </c>
      <c r="P130" s="769" t="s">
        <v>402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401</v>
      </c>
      <c r="J131" s="795" t="s">
        <v>56</v>
      </c>
      <c r="K131" s="480">
        <v>45876</v>
      </c>
      <c r="L131" s="482" t="s">
        <v>57</v>
      </c>
      <c r="M131" s="1058">
        <v>124980</v>
      </c>
      <c r="N131" s="805"/>
      <c r="O131" s="482" t="s">
        <v>57</v>
      </c>
      <c r="P131" s="769" t="s">
        <v>402</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401</v>
      </c>
      <c r="J132" s="812" t="s">
        <v>63</v>
      </c>
      <c r="K132" s="519">
        <v>45817</v>
      </c>
      <c r="L132" s="518" t="s">
        <v>57</v>
      </c>
      <c r="M132" s="933">
        <v>75953</v>
      </c>
      <c r="N132" s="1009"/>
      <c r="O132" s="518" t="s">
        <v>57</v>
      </c>
      <c r="P132" s="804" t="s">
        <v>402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401</v>
      </c>
      <c r="J133" s="795" t="s">
        <v>63</v>
      </c>
      <c r="K133" s="519">
        <v>45716</v>
      </c>
      <c r="L133" s="117" t="s">
        <v>57</v>
      </c>
      <c r="M133" s="796">
        <v>45321.5</v>
      </c>
      <c r="N133" s="805"/>
      <c r="O133" s="117" t="s">
        <v>57</v>
      </c>
      <c r="P133" s="786" t="s">
        <v>402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401</v>
      </c>
      <c r="J134" s="812" t="s">
        <v>63</v>
      </c>
      <c r="K134" s="1082">
        <v>45741</v>
      </c>
      <c r="L134" s="887" t="s">
        <v>57</v>
      </c>
      <c r="M134" s="1083">
        <v>41813</v>
      </c>
      <c r="N134" s="805"/>
      <c r="O134" s="887" t="s">
        <v>57</v>
      </c>
      <c r="P134" s="1075" t="s">
        <v>402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401</v>
      </c>
      <c r="J135" s="795" t="s">
        <v>63</v>
      </c>
      <c r="K135" s="512">
        <v>45698</v>
      </c>
      <c r="L135" s="520" t="s">
        <v>57</v>
      </c>
      <c r="M135" s="796">
        <v>71979</v>
      </c>
      <c r="N135" s="798"/>
      <c r="O135" s="520" t="s">
        <v>57</v>
      </c>
      <c r="P135" s="804" t="s">
        <v>402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401</v>
      </c>
      <c r="J136" s="812" t="s">
        <v>63</v>
      </c>
      <c r="K136" s="512">
        <v>45741</v>
      </c>
      <c r="L136" s="518" t="s">
        <v>57</v>
      </c>
      <c r="M136" s="796">
        <v>75396.5</v>
      </c>
      <c r="N136" s="798"/>
      <c r="O136" s="518" t="s">
        <v>57</v>
      </c>
      <c r="P136" s="804" t="s">
        <v>402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402</v>
      </c>
      <c r="J137" s="491" t="s">
        <v>63</v>
      </c>
      <c r="K137" s="489">
        <v>45699</v>
      </c>
      <c r="L137" s="497" t="s">
        <v>57</v>
      </c>
      <c r="M137" s="797">
        <v>72566</v>
      </c>
      <c r="N137" s="97"/>
      <c r="O137" s="497" t="s">
        <v>57</v>
      </c>
      <c r="P137" s="769" t="s">
        <v>402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402</v>
      </c>
      <c r="J138" s="491" t="s">
        <v>63</v>
      </c>
      <c r="K138" s="489">
        <v>45712</v>
      </c>
      <c r="L138" s="491" t="s">
        <v>57</v>
      </c>
      <c r="M138" s="797">
        <v>14262</v>
      </c>
      <c r="N138" s="755"/>
      <c r="O138" s="491" t="s">
        <v>57</v>
      </c>
      <c r="P138" s="769" t="s">
        <v>402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527</v>
      </c>
      <c r="E139" s="57">
        <v>45694</v>
      </c>
      <c r="F139" s="57" t="s">
        <v>706</v>
      </c>
      <c r="G139" s="815" t="s">
        <v>964</v>
      </c>
      <c r="H139" s="795">
        <v>0</v>
      </c>
      <c r="I139" s="811" t="s">
        <v>602</v>
      </c>
      <c r="J139" s="795" t="s">
        <v>63</v>
      </c>
      <c r="K139" s="489">
        <v>45686</v>
      </c>
      <c r="L139" s="854" t="s">
        <v>57</v>
      </c>
      <c r="M139" s="797">
        <v>22755.7</v>
      </c>
      <c r="N139" s="805"/>
      <c r="O139" s="854" t="s">
        <v>57</v>
      </c>
      <c r="P139" s="769" t="s">
        <v>402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401</v>
      </c>
      <c r="J140" s="52" t="s">
        <v>63</v>
      </c>
      <c r="K140" s="489" t="s">
        <v>52</v>
      </c>
      <c r="L140" s="497" t="s">
        <v>57</v>
      </c>
      <c r="M140" s="797">
        <v>1594</v>
      </c>
      <c r="N140" s="755"/>
      <c r="O140" s="497" t="s">
        <v>57</v>
      </c>
      <c r="P140" s="769" t="s">
        <v>402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401</v>
      </c>
      <c r="J141" s="795" t="s">
        <v>63</v>
      </c>
      <c r="K141" s="489">
        <v>45714</v>
      </c>
      <c r="L141" s="491" t="s">
        <v>57</v>
      </c>
      <c r="M141" s="797">
        <v>93462.85</v>
      </c>
      <c r="N141" s="798"/>
      <c r="O141" s="491" t="s">
        <v>57</v>
      </c>
      <c r="P141" s="769" t="s">
        <v>402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401</v>
      </c>
      <c r="J142" s="795" t="s">
        <v>63</v>
      </c>
      <c r="K142" s="488" t="s">
        <v>52</v>
      </c>
      <c r="L142" s="482" t="s">
        <v>57</v>
      </c>
      <c r="M142" s="1058">
        <v>4397.6499999999996</v>
      </c>
      <c r="N142" s="798"/>
      <c r="O142" s="482" t="s">
        <v>57</v>
      </c>
      <c r="P142" s="769" t="s">
        <v>402</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536</v>
      </c>
      <c r="H147" s="482">
        <v>60</v>
      </c>
      <c r="I147" s="854" t="s">
        <v>401</v>
      </c>
      <c r="J147" s="491" t="s">
        <v>56</v>
      </c>
      <c r="K147" s="870"/>
      <c r="L147" s="480">
        <v>45716</v>
      </c>
      <c r="M147" s="491" t="s">
        <v>57</v>
      </c>
      <c r="N147" s="558">
        <v>2075.6999999999998</v>
      </c>
      <c r="O147" s="491" t="s">
        <v>57</v>
      </c>
      <c r="P147" s="957" t="s">
        <v>402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401</v>
      </c>
      <c r="J148" s="491" t="s">
        <v>56</v>
      </c>
      <c r="K148" s="502"/>
      <c r="L148" s="480">
        <v>45716</v>
      </c>
      <c r="M148" s="491" t="s">
        <v>57</v>
      </c>
      <c r="N148" s="559">
        <v>2947.5</v>
      </c>
      <c r="O148" s="491" t="s">
        <v>57</v>
      </c>
      <c r="P148" s="958" t="s">
        <v>402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401</v>
      </c>
      <c r="J149" s="491" t="s">
        <v>56</v>
      </c>
      <c r="K149" s="502"/>
      <c r="L149" s="480">
        <v>45716</v>
      </c>
      <c r="M149" s="491" t="s">
        <v>57</v>
      </c>
      <c r="N149" s="559">
        <v>2908.95</v>
      </c>
      <c r="O149" s="491" t="s">
        <v>57</v>
      </c>
      <c r="P149" s="958" t="s">
        <v>402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402</v>
      </c>
      <c r="J150" s="491" t="s">
        <v>56</v>
      </c>
      <c r="K150" s="491"/>
      <c r="L150" s="855">
        <v>45716</v>
      </c>
      <c r="M150" s="491" t="s">
        <v>57</v>
      </c>
      <c r="N150" s="559">
        <v>1134</v>
      </c>
      <c r="O150" s="491" t="s">
        <v>57</v>
      </c>
      <c r="P150" s="959" t="s">
        <v>402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402</v>
      </c>
      <c r="J151" s="491" t="s">
        <v>56</v>
      </c>
      <c r="K151" s="502"/>
      <c r="L151" s="480">
        <v>45716</v>
      </c>
      <c r="M151" s="491" t="s">
        <v>57</v>
      </c>
      <c r="N151" s="559">
        <v>870</v>
      </c>
      <c r="O151" s="491" t="s">
        <v>57</v>
      </c>
      <c r="P151" s="959" t="s">
        <v>402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401</v>
      </c>
      <c r="J152" s="491" t="s">
        <v>63</v>
      </c>
      <c r="K152" s="491"/>
      <c r="L152" s="855">
        <v>45716</v>
      </c>
      <c r="M152" s="854" t="s">
        <v>57</v>
      </c>
      <c r="N152" s="559">
        <v>2025.6</v>
      </c>
      <c r="O152" s="854" t="s">
        <v>57</v>
      </c>
      <c r="P152" s="959" t="s">
        <v>402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402</v>
      </c>
      <c r="J153" s="491" t="s">
        <v>56</v>
      </c>
      <c r="K153" s="491"/>
      <c r="L153" s="489">
        <v>45715</v>
      </c>
      <c r="M153" s="491" t="s">
        <v>57</v>
      </c>
      <c r="N153" s="559">
        <v>3801.75</v>
      </c>
      <c r="O153" s="491" t="s">
        <v>57</v>
      </c>
      <c r="P153" s="959" t="s">
        <v>402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402</v>
      </c>
      <c r="J156" s="947" t="s">
        <v>56</v>
      </c>
      <c r="K156" s="944"/>
      <c r="L156" s="949" t="s">
        <v>56</v>
      </c>
      <c r="M156" s="947" t="s">
        <v>88</v>
      </c>
      <c r="N156" s="950">
        <v>0</v>
      </c>
      <c r="O156" s="947" t="s">
        <v>88</v>
      </c>
      <c r="P156" s="951" t="s">
        <v>402</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402</v>
      </c>
      <c r="J157" s="887" t="s">
        <v>56</v>
      </c>
      <c r="K157" s="892"/>
      <c r="L157" s="894" t="s">
        <v>56</v>
      </c>
      <c r="M157" s="887" t="s">
        <v>88</v>
      </c>
      <c r="N157" s="888">
        <v>0</v>
      </c>
      <c r="O157" s="887" t="s">
        <v>88</v>
      </c>
      <c r="P157" s="889" t="s">
        <v>402</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527</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421</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421</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529</v>
      </c>
      <c r="B284">
        <v>2227</v>
      </c>
      <c r="G284">
        <v>2227</v>
      </c>
    </row>
    <row r="285" spans="1:7">
      <c r="A285" t="s">
        <v>600</v>
      </c>
      <c r="C285">
        <v>0</v>
      </c>
      <c r="D285">
        <v>0</v>
      </c>
      <c r="E285">
        <v>344</v>
      </c>
      <c r="G285">
        <v>344</v>
      </c>
    </row>
    <row r="286" spans="1:7">
      <c r="A286" t="s">
        <v>526</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534</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526</v>
      </c>
    </row>
    <row r="311" spans="1:7">
      <c r="A311" t="s">
        <v>800</v>
      </c>
    </row>
    <row r="312" spans="1:7">
      <c r="A312" t="s">
        <v>676</v>
      </c>
      <c r="B312">
        <v>618</v>
      </c>
      <c r="C312">
        <v>700</v>
      </c>
      <c r="G312">
        <v>1318</v>
      </c>
    </row>
    <row r="313" spans="1:7">
      <c r="A313" t="s">
        <v>668</v>
      </c>
    </row>
    <row r="314" spans="1:7">
      <c r="A314" t="s">
        <v>534</v>
      </c>
    </row>
    <row r="315" spans="1:7">
      <c r="A315" t="s">
        <v>797</v>
      </c>
      <c r="B315">
        <v>990</v>
      </c>
      <c r="C315">
        <v>1871</v>
      </c>
      <c r="D315">
        <v>1307</v>
      </c>
      <c r="G315">
        <v>4168</v>
      </c>
    </row>
    <row r="316" spans="1:7">
      <c r="A316" t="s">
        <v>509</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509</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513</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516</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464</v>
      </c>
      <c r="B470">
        <v>644</v>
      </c>
      <c r="C470">
        <v>1430</v>
      </c>
      <c r="D470">
        <v>970</v>
      </c>
      <c r="G470">
        <v>3044</v>
      </c>
    </row>
    <row r="471" spans="1:7">
      <c r="A471" t="s">
        <v>532</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464</v>
      </c>
      <c r="B485">
        <v>948</v>
      </c>
      <c r="D485">
        <v>736</v>
      </c>
      <c r="F485">
        <v>1684</v>
      </c>
    </row>
    <row r="486" spans="1:7">
      <c r="A486" t="s">
        <v>438</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509</v>
      </c>
      <c r="E501">
        <v>341</v>
      </c>
      <c r="G501">
        <v>341</v>
      </c>
    </row>
    <row r="502" spans="1:7">
      <c r="A502" t="s">
        <v>1032</v>
      </c>
    </row>
    <row r="503" spans="1:7">
      <c r="A503" t="s">
        <v>464</v>
      </c>
      <c r="B503">
        <v>1957</v>
      </c>
      <c r="G503">
        <v>1957</v>
      </c>
    </row>
    <row r="504" spans="1:7">
      <c r="A504" t="s">
        <v>438</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438</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526</v>
      </c>
      <c r="E534">
        <v>977</v>
      </c>
      <c r="G534">
        <v>977</v>
      </c>
    </row>
    <row r="535" spans="1:7">
      <c r="A535" t="s">
        <v>1031</v>
      </c>
      <c r="D535">
        <v>81</v>
      </c>
      <c r="F535">
        <v>114</v>
      </c>
      <c r="G535">
        <v>195</v>
      </c>
    </row>
    <row r="536" spans="1:7">
      <c r="A536" t="s">
        <v>637</v>
      </c>
    </row>
    <row r="537" spans="1:7">
      <c r="A537" t="s">
        <v>464</v>
      </c>
    </row>
    <row r="538" spans="1:7">
      <c r="A538" t="s">
        <v>438</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526</v>
      </c>
      <c r="E549">
        <v>676</v>
      </c>
      <c r="F549">
        <v>430</v>
      </c>
      <c r="G549">
        <v>1106</v>
      </c>
    </row>
    <row r="550" spans="1:7">
      <c r="A550" t="s">
        <v>509</v>
      </c>
      <c r="D550">
        <v>649</v>
      </c>
      <c r="G550">
        <v>649</v>
      </c>
    </row>
    <row r="551" spans="1:7">
      <c r="A551" t="s">
        <v>1031</v>
      </c>
      <c r="B551">
        <v>237</v>
      </c>
      <c r="C551">
        <v>322</v>
      </c>
      <c r="D551">
        <v>245</v>
      </c>
      <c r="E551">
        <v>1091</v>
      </c>
      <c r="F551">
        <v>303</v>
      </c>
      <c r="G551">
        <v>2198</v>
      </c>
    </row>
    <row r="552" spans="1:7">
      <c r="A552" t="s">
        <v>438</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526</v>
      </c>
      <c r="B565">
        <v>885</v>
      </c>
      <c r="C565">
        <v>478</v>
      </c>
      <c r="D565">
        <v>490</v>
      </c>
      <c r="E565">
        <v>372</v>
      </c>
      <c r="G565">
        <v>2225</v>
      </c>
    </row>
    <row r="566" spans="1:7">
      <c r="A566" t="s">
        <v>1024</v>
      </c>
    </row>
    <row r="567" spans="1:7">
      <c r="A567" t="s">
        <v>1031</v>
      </c>
      <c r="B567">
        <v>360</v>
      </c>
      <c r="G567">
        <v>360</v>
      </c>
    </row>
    <row r="568" spans="1:7">
      <c r="A568" t="s">
        <v>464</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529</v>
      </c>
      <c r="F578">
        <v>198</v>
      </c>
      <c r="G578">
        <v>198</v>
      </c>
    </row>
    <row r="579" spans="1:7">
      <c r="A579" t="s">
        <v>526</v>
      </c>
    </row>
    <row r="580" spans="1:7">
      <c r="A580" t="s">
        <v>534</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421</v>
      </c>
      <c r="C590">
        <v>403</v>
      </c>
      <c r="D590">
        <v>39</v>
      </c>
      <c r="G590">
        <v>442</v>
      </c>
    </row>
    <row r="591" spans="1:7">
      <c r="A591" t="s">
        <v>529</v>
      </c>
      <c r="B591">
        <v>862</v>
      </c>
      <c r="G591">
        <v>862</v>
      </c>
    </row>
    <row r="592" spans="1:7">
      <c r="A592" t="s">
        <v>1026</v>
      </c>
      <c r="C592">
        <v>203</v>
      </c>
      <c r="D592">
        <v>170</v>
      </c>
      <c r="E592">
        <v>106</v>
      </c>
      <c r="G592">
        <v>479</v>
      </c>
    </row>
    <row r="593" spans="1:7">
      <c r="A593" t="s">
        <v>438</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421</v>
      </c>
      <c r="C604">
        <v>318</v>
      </c>
      <c r="G604">
        <v>318</v>
      </c>
    </row>
    <row r="605" spans="1:7">
      <c r="A605" t="s">
        <v>529</v>
      </c>
      <c r="D605">
        <v>461</v>
      </c>
      <c r="E605">
        <v>880</v>
      </c>
      <c r="F605">
        <v>585</v>
      </c>
      <c r="G605">
        <v>1926</v>
      </c>
    </row>
    <row r="606" spans="1:7">
      <c r="A606" t="s">
        <v>534</v>
      </c>
      <c r="E606">
        <v>868</v>
      </c>
      <c r="G606">
        <v>868</v>
      </c>
    </row>
    <row r="607" spans="1:7">
      <c r="A607" t="s">
        <v>1026</v>
      </c>
      <c r="D607">
        <v>272</v>
      </c>
      <c r="E607">
        <v>79</v>
      </c>
      <c r="G607">
        <v>351</v>
      </c>
    </row>
    <row r="608" spans="1:7">
      <c r="A608" t="s">
        <v>438</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529</v>
      </c>
      <c r="B625">
        <v>345</v>
      </c>
      <c r="G625">
        <v>345</v>
      </c>
    </row>
    <row r="626" spans="1:7">
      <c r="A626" t="s">
        <v>438</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523</v>
      </c>
      <c r="D632">
        <v>314</v>
      </c>
      <c r="G632">
        <v>314</v>
      </c>
    </row>
    <row r="633" spans="1:7">
      <c r="A633" t="s">
        <v>537</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523</v>
      </c>
    </row>
    <row r="642" spans="1:7">
      <c r="A642" t="s">
        <v>537</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421</v>
      </c>
      <c r="C651">
        <v>319</v>
      </c>
      <c r="G651">
        <v>319</v>
      </c>
    </row>
    <row r="652" spans="1:7">
      <c r="A652" t="s">
        <v>1026</v>
      </c>
      <c r="B652">
        <v>376</v>
      </c>
      <c r="C652">
        <v>35</v>
      </c>
      <c r="D652">
        <v>48</v>
      </c>
      <c r="E652">
        <v>144</v>
      </c>
      <c r="F652">
        <v>64</v>
      </c>
      <c r="G652">
        <v>667</v>
      </c>
    </row>
    <row r="653" spans="1:7">
      <c r="A653" t="s">
        <v>537</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534</v>
      </c>
      <c r="D665">
        <v>499</v>
      </c>
      <c r="E665">
        <v>231</v>
      </c>
      <c r="F665">
        <v>316</v>
      </c>
      <c r="G665">
        <v>1046</v>
      </c>
    </row>
    <row r="666" spans="1:7">
      <c r="A666" t="s">
        <v>509</v>
      </c>
    </row>
    <row r="667" spans="1:7">
      <c r="A667" t="s">
        <v>1026</v>
      </c>
      <c r="B667">
        <v>141</v>
      </c>
      <c r="D667">
        <v>181</v>
      </c>
      <c r="E667">
        <v>82</v>
      </c>
      <c r="F667">
        <v>96</v>
      </c>
      <c r="G667">
        <v>500</v>
      </c>
    </row>
    <row r="668" spans="1:7">
      <c r="A668" t="s">
        <v>911</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421</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1026</v>
      </c>
      <c r="B688">
        <v>20</v>
      </c>
      <c r="E688">
        <v>250</v>
      </c>
      <c r="F688">
        <v>177</v>
      </c>
      <c r="G688">
        <v>447</v>
      </c>
    </row>
    <row r="689" spans="1:7">
      <c r="A689" t="s">
        <v>537</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421</v>
      </c>
      <c r="E706">
        <v>99</v>
      </c>
      <c r="G706">
        <v>99</v>
      </c>
    </row>
    <row r="707" spans="1:7">
      <c r="A707" t="s">
        <v>529</v>
      </c>
    </row>
    <row r="708" spans="1:7">
      <c r="A708" t="s">
        <v>800</v>
      </c>
    </row>
    <row r="709" spans="1:7">
      <c r="A709" t="s">
        <v>534</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546</v>
      </c>
      <c r="E719">
        <v>903</v>
      </c>
      <c r="G719">
        <v>903</v>
      </c>
    </row>
    <row r="720" spans="1:7">
      <c r="A720" t="s">
        <v>539</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509</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546</v>
      </c>
      <c r="B731">
        <v>254</v>
      </c>
      <c r="C731">
        <v>1686</v>
      </c>
      <c r="D731">
        <v>611</v>
      </c>
      <c r="G731">
        <v>2551</v>
      </c>
    </row>
    <row r="732" spans="1:7">
      <c r="A732" t="s">
        <v>539</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399</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421</v>
      </c>
    </row>
    <row r="743" spans="1:7">
      <c r="A743" t="s">
        <v>529</v>
      </c>
      <c r="D743">
        <v>139</v>
      </c>
      <c r="G743">
        <v>139</v>
      </c>
    </row>
    <row r="744" spans="1:7">
      <c r="A744" t="s">
        <v>534</v>
      </c>
    </row>
    <row r="745" spans="1:7">
      <c r="A745" t="s">
        <v>516</v>
      </c>
      <c r="E745">
        <v>97</v>
      </c>
      <c r="G745">
        <v>97</v>
      </c>
    </row>
    <row r="746" spans="1:7">
      <c r="A746" t="s">
        <v>1031</v>
      </c>
      <c r="B746">
        <v>42</v>
      </c>
      <c r="C746">
        <v>219</v>
      </c>
      <c r="F746">
        <v>70</v>
      </c>
      <c r="G746">
        <v>331</v>
      </c>
    </row>
    <row r="747" spans="1:7">
      <c r="A747" t="s">
        <v>1050</v>
      </c>
    </row>
    <row r="748" spans="1:7">
      <c r="A748" t="s">
        <v>546</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424</v>
      </c>
      <c r="C753">
        <v>251</v>
      </c>
      <c r="D753">
        <v>253</v>
      </c>
      <c r="E753">
        <v>1076</v>
      </c>
      <c r="G753">
        <v>1580</v>
      </c>
    </row>
    <row r="754" spans="1:7">
      <c r="A754" t="s">
        <v>399</v>
      </c>
      <c r="B754">
        <v>829</v>
      </c>
      <c r="D754">
        <v>863</v>
      </c>
      <c r="E754">
        <v>499</v>
      </c>
      <c r="F754">
        <v>475</v>
      </c>
      <c r="G754">
        <v>2666</v>
      </c>
    </row>
    <row r="755" spans="1:7">
      <c r="A755" t="s">
        <v>882</v>
      </c>
      <c r="E755">
        <v>754</v>
      </c>
      <c r="G755">
        <v>754</v>
      </c>
    </row>
    <row r="756" spans="1:7">
      <c r="A756" t="s">
        <v>548</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421</v>
      </c>
    </row>
    <row r="763" spans="1:7">
      <c r="A763" t="s">
        <v>529</v>
      </c>
      <c r="B763">
        <v>60</v>
      </c>
      <c r="G763">
        <v>60</v>
      </c>
    </row>
    <row r="764" spans="1:7">
      <c r="A764" t="s">
        <v>513</v>
      </c>
      <c r="E764">
        <v>175</v>
      </c>
      <c r="G764">
        <v>175</v>
      </c>
    </row>
    <row r="765" spans="1:7">
      <c r="A765" t="s">
        <v>1031</v>
      </c>
      <c r="C765">
        <v>224</v>
      </c>
      <c r="G765">
        <v>224</v>
      </c>
    </row>
    <row r="766" spans="1:7">
      <c r="A766" t="s">
        <v>523</v>
      </c>
      <c r="D766">
        <v>406</v>
      </c>
      <c r="G766">
        <v>406</v>
      </c>
    </row>
    <row r="767" spans="1:7">
      <c r="A767" t="s">
        <v>300</v>
      </c>
      <c r="D767">
        <v>362</v>
      </c>
      <c r="E767">
        <v>399</v>
      </c>
      <c r="G767">
        <v>761</v>
      </c>
    </row>
    <row r="768" spans="1:7">
      <c r="A768" t="s">
        <v>893</v>
      </c>
    </row>
    <row r="769" spans="1:7">
      <c r="A769" t="s">
        <v>863</v>
      </c>
    </row>
    <row r="770" spans="1:7">
      <c r="A770" t="s">
        <v>424</v>
      </c>
      <c r="C770">
        <v>120</v>
      </c>
      <c r="D770">
        <v>190</v>
      </c>
      <c r="G770">
        <v>310</v>
      </c>
    </row>
    <row r="771" spans="1:7">
      <c r="A771" t="s">
        <v>399</v>
      </c>
      <c r="B771">
        <v>839</v>
      </c>
      <c r="D771">
        <v>616</v>
      </c>
      <c r="E771">
        <v>969</v>
      </c>
      <c r="F771">
        <v>552</v>
      </c>
      <c r="G771">
        <v>2976</v>
      </c>
    </row>
    <row r="772" spans="1:7">
      <c r="A772" t="s">
        <v>882</v>
      </c>
      <c r="B772">
        <v>1285</v>
      </c>
      <c r="G772">
        <v>1285</v>
      </c>
    </row>
    <row r="773" spans="1:7">
      <c r="A773" t="s">
        <v>548</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847</v>
      </c>
      <c r="D780">
        <v>240</v>
      </c>
      <c r="E780">
        <v>504</v>
      </c>
      <c r="G780">
        <v>744</v>
      </c>
    </row>
    <row r="781" spans="1:7">
      <c r="A781" t="s">
        <v>1057</v>
      </c>
      <c r="F781">
        <v>4135</v>
      </c>
      <c r="G781">
        <v>4135</v>
      </c>
    </row>
    <row r="782" spans="1:7">
      <c r="A782" t="s">
        <v>427</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421</v>
      </c>
    </row>
    <row r="790" spans="1:7">
      <c r="A790" t="s">
        <v>513</v>
      </c>
      <c r="B790">
        <v>229</v>
      </c>
      <c r="G790">
        <v>229</v>
      </c>
    </row>
    <row r="791" spans="1:7">
      <c r="A791" t="s">
        <v>516</v>
      </c>
      <c r="C791">
        <v>134</v>
      </c>
      <c r="E791">
        <v>450</v>
      </c>
      <c r="F791">
        <v>352</v>
      </c>
      <c r="G791">
        <v>936</v>
      </c>
    </row>
    <row r="792" spans="1:7">
      <c r="A792" t="s">
        <v>1031</v>
      </c>
      <c r="D792">
        <v>201</v>
      </c>
      <c r="F792">
        <v>352</v>
      </c>
      <c r="G792">
        <v>553</v>
      </c>
    </row>
    <row r="793" spans="1:7">
      <c r="A793" t="s">
        <v>523</v>
      </c>
      <c r="C793">
        <v>665</v>
      </c>
      <c r="D793">
        <v>753</v>
      </c>
      <c r="E793">
        <v>305</v>
      </c>
      <c r="G793">
        <v>1723</v>
      </c>
    </row>
    <row r="794" spans="1:7">
      <c r="A794" t="s">
        <v>424</v>
      </c>
      <c r="B794">
        <v>479</v>
      </c>
      <c r="E794">
        <v>170</v>
      </c>
      <c r="G794">
        <v>649</v>
      </c>
    </row>
    <row r="795" spans="1:7">
      <c r="A795" t="s">
        <v>399</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427</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559</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513</v>
      </c>
      <c r="E813">
        <v>270</v>
      </c>
      <c r="F813">
        <v>268</v>
      </c>
      <c r="G813">
        <v>538</v>
      </c>
    </row>
    <row r="814" spans="1:7">
      <c r="A814" t="s">
        <v>1025</v>
      </c>
      <c r="D814">
        <v>126</v>
      </c>
      <c r="E814">
        <v>229</v>
      </c>
      <c r="G814">
        <v>355</v>
      </c>
    </row>
    <row r="815" spans="1:7">
      <c r="A815" t="s">
        <v>516</v>
      </c>
      <c r="B815">
        <v>175</v>
      </c>
      <c r="C815">
        <v>270</v>
      </c>
      <c r="G815">
        <v>445</v>
      </c>
    </row>
    <row r="816" spans="1:7">
      <c r="A816" t="s">
        <v>1031</v>
      </c>
      <c r="B816">
        <v>65</v>
      </c>
      <c r="C816">
        <v>55</v>
      </c>
      <c r="G816">
        <v>120</v>
      </c>
    </row>
    <row r="817" spans="1:7">
      <c r="A817" t="s">
        <v>523</v>
      </c>
    </row>
    <row r="818" spans="1:7">
      <c r="A818" t="s">
        <v>424</v>
      </c>
      <c r="E818">
        <v>725</v>
      </c>
      <c r="G818">
        <v>725</v>
      </c>
    </row>
    <row r="819" spans="1:7">
      <c r="A819" t="s">
        <v>399</v>
      </c>
      <c r="B819">
        <v>768</v>
      </c>
      <c r="C819">
        <v>1014</v>
      </c>
      <c r="G819">
        <v>1782</v>
      </c>
    </row>
    <row r="820" spans="1:7">
      <c r="A820" t="s">
        <v>1056</v>
      </c>
      <c r="B820">
        <v>225</v>
      </c>
      <c r="C820">
        <v>1287</v>
      </c>
      <c r="D820">
        <v>1185</v>
      </c>
      <c r="E820">
        <v>508</v>
      </c>
      <c r="G820">
        <v>3205</v>
      </c>
    </row>
    <row r="821" spans="1:7">
      <c r="A821" t="s">
        <v>554</v>
      </c>
      <c r="D821">
        <v>334</v>
      </c>
      <c r="G821">
        <v>334</v>
      </c>
    </row>
    <row r="822" spans="1:7">
      <c r="A822" t="s">
        <v>1057</v>
      </c>
      <c r="C822">
        <v>216</v>
      </c>
      <c r="G822">
        <v>216</v>
      </c>
    </row>
    <row r="823" spans="1:7">
      <c r="A823" t="s">
        <v>427</v>
      </c>
      <c r="B823">
        <v>1088</v>
      </c>
      <c r="C823">
        <v>557</v>
      </c>
      <c r="D823">
        <v>512</v>
      </c>
      <c r="E823">
        <v>369</v>
      </c>
      <c r="G823">
        <v>2526</v>
      </c>
    </row>
    <row r="824" spans="1:7">
      <c r="A824" t="s">
        <v>614</v>
      </c>
      <c r="B824">
        <v>192</v>
      </c>
      <c r="G824">
        <v>192</v>
      </c>
    </row>
    <row r="825" spans="1:7">
      <c r="A825" t="s">
        <v>559</v>
      </c>
      <c r="B825">
        <v>1174</v>
      </c>
      <c r="C825">
        <v>1597</v>
      </c>
      <c r="D825">
        <v>308</v>
      </c>
      <c r="G825">
        <v>3079</v>
      </c>
    </row>
    <row r="826" spans="1:7">
      <c r="A826" t="s">
        <v>895</v>
      </c>
      <c r="B826">
        <v>1545</v>
      </c>
      <c r="C826">
        <v>995</v>
      </c>
      <c r="G826">
        <v>2540</v>
      </c>
    </row>
    <row r="827" spans="1:7">
      <c r="A827" t="s">
        <v>543</v>
      </c>
      <c r="D827">
        <v>333</v>
      </c>
      <c r="G827">
        <v>333</v>
      </c>
    </row>
    <row r="828" spans="1:7">
      <c r="A828" t="s">
        <v>1059</v>
      </c>
      <c r="D828">
        <v>160</v>
      </c>
      <c r="G828">
        <v>160</v>
      </c>
    </row>
    <row r="829" spans="1:7">
      <c r="A829" t="s">
        <v>177</v>
      </c>
      <c r="D829">
        <v>1282</v>
      </c>
      <c r="E829">
        <v>980</v>
      </c>
      <c r="G829">
        <v>2262</v>
      </c>
    </row>
    <row r="830" spans="1:7">
      <c r="A830" t="s">
        <v>404</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399</v>
      </c>
      <c r="D839">
        <v>986</v>
      </c>
      <c r="G839">
        <v>986</v>
      </c>
    </row>
    <row r="840" spans="1:7">
      <c r="A840" t="s">
        <v>1056</v>
      </c>
      <c r="B840">
        <v>916</v>
      </c>
      <c r="C840">
        <v>144</v>
      </c>
      <c r="G840">
        <v>1060</v>
      </c>
    </row>
    <row r="841" spans="1:7">
      <c r="A841" t="s">
        <v>559</v>
      </c>
    </row>
    <row r="842" spans="1:7">
      <c r="A842" t="s">
        <v>895</v>
      </c>
    </row>
    <row r="843" spans="1:7">
      <c r="A843" t="s">
        <v>177</v>
      </c>
      <c r="B843">
        <v>828</v>
      </c>
      <c r="C843">
        <v>150</v>
      </c>
      <c r="E843">
        <v>688</v>
      </c>
      <c r="G843">
        <v>1666</v>
      </c>
    </row>
    <row r="844" spans="1:7">
      <c r="A844" t="s">
        <v>1060</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407</v>
      </c>
      <c r="B847">
        <v>60</v>
      </c>
      <c r="C847">
        <v>219</v>
      </c>
      <c r="G847">
        <v>279</v>
      </c>
    </row>
    <row r="848" spans="1:7">
      <c r="A848" t="s">
        <v>940</v>
      </c>
      <c r="D848">
        <v>240</v>
      </c>
      <c r="G848">
        <v>240</v>
      </c>
    </row>
    <row r="849" spans="1:7">
      <c r="A849" t="s">
        <v>1061</v>
      </c>
      <c r="C849">
        <v>1603</v>
      </c>
      <c r="D849">
        <v>791</v>
      </c>
      <c r="E849">
        <v>2803</v>
      </c>
      <c r="G849">
        <v>5197</v>
      </c>
    </row>
    <row r="850" spans="1:7">
      <c r="A850" t="s">
        <v>417</v>
      </c>
      <c r="C850">
        <v>927</v>
      </c>
      <c r="D850">
        <v>1221</v>
      </c>
      <c r="E850">
        <v>1023</v>
      </c>
      <c r="G850">
        <v>3171</v>
      </c>
    </row>
    <row r="851" spans="1:7">
      <c r="A851" t="s">
        <v>565</v>
      </c>
      <c r="C851">
        <v>974</v>
      </c>
      <c r="D851">
        <v>1312</v>
      </c>
      <c r="E851">
        <v>359</v>
      </c>
      <c r="G851">
        <v>2645</v>
      </c>
    </row>
    <row r="852" spans="1:7">
      <c r="A852" t="s">
        <v>897</v>
      </c>
      <c r="D852">
        <v>1239</v>
      </c>
      <c r="E852">
        <v>1220</v>
      </c>
      <c r="G852">
        <v>2459</v>
      </c>
    </row>
    <row r="853" spans="1:7">
      <c r="A853" t="s">
        <v>420</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516</v>
      </c>
      <c r="B860">
        <v>153</v>
      </c>
      <c r="C860">
        <v>244</v>
      </c>
      <c r="E860">
        <v>237</v>
      </c>
      <c r="G860">
        <v>634</v>
      </c>
    </row>
    <row r="861" spans="1:7">
      <c r="A861" t="s">
        <v>1031</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1061</v>
      </c>
      <c r="B866">
        <v>3343</v>
      </c>
      <c r="C866">
        <v>714</v>
      </c>
      <c r="D866">
        <v>2013</v>
      </c>
      <c r="E866">
        <v>1500</v>
      </c>
      <c r="F866">
        <v>1933</v>
      </c>
      <c r="G866">
        <v>9503</v>
      </c>
    </row>
    <row r="867" spans="1:7">
      <c r="A867" t="s">
        <v>417</v>
      </c>
      <c r="B867">
        <v>1100</v>
      </c>
      <c r="C867">
        <v>527</v>
      </c>
      <c r="D867">
        <v>553</v>
      </c>
      <c r="G867">
        <v>2180</v>
      </c>
    </row>
    <row r="868" spans="1:7">
      <c r="A868" t="s">
        <v>565</v>
      </c>
      <c r="C868">
        <v>230</v>
      </c>
      <c r="G868">
        <v>230</v>
      </c>
    </row>
    <row r="869" spans="1:7">
      <c r="A869" t="s">
        <v>897</v>
      </c>
      <c r="B869">
        <v>853</v>
      </c>
      <c r="G869">
        <v>853</v>
      </c>
    </row>
    <row r="870" spans="1:7">
      <c r="A870" t="s">
        <v>420</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430</v>
      </c>
      <c r="D873">
        <v>1624</v>
      </c>
      <c r="E873">
        <v>551</v>
      </c>
      <c r="G873">
        <v>2175</v>
      </c>
    </row>
    <row r="874" spans="1:7">
      <c r="A874" t="s">
        <v>418</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513</v>
      </c>
      <c r="D880">
        <v>171</v>
      </c>
      <c r="G880">
        <v>171</v>
      </c>
    </row>
    <row r="881" spans="1:7">
      <c r="A881" t="s">
        <v>1025</v>
      </c>
      <c r="B881">
        <v>567</v>
      </c>
      <c r="G881">
        <v>567</v>
      </c>
    </row>
    <row r="882" spans="1:7">
      <c r="A882" t="s">
        <v>523</v>
      </c>
    </row>
    <row r="883" spans="1:7">
      <c r="A883" t="s">
        <v>537</v>
      </c>
      <c r="F883">
        <v>60</v>
      </c>
      <c r="G883">
        <v>60</v>
      </c>
    </row>
    <row r="884" spans="1:7">
      <c r="A884" t="s">
        <v>300</v>
      </c>
    </row>
    <row r="885" spans="1:7">
      <c r="A885" t="s">
        <v>399</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1061</v>
      </c>
      <c r="B890">
        <v>820</v>
      </c>
      <c r="C890">
        <v>2077</v>
      </c>
      <c r="D890">
        <v>1096</v>
      </c>
      <c r="G890">
        <v>3993</v>
      </c>
    </row>
    <row r="891" spans="1:7">
      <c r="A891" t="s">
        <v>417</v>
      </c>
      <c r="C891">
        <v>1647</v>
      </c>
      <c r="D891">
        <v>343</v>
      </c>
      <c r="G891">
        <v>1990</v>
      </c>
    </row>
    <row r="892" spans="1:7">
      <c r="A892" t="s">
        <v>899</v>
      </c>
      <c r="B892">
        <v>587</v>
      </c>
      <c r="C892">
        <v>115</v>
      </c>
      <c r="G892">
        <v>702</v>
      </c>
    </row>
    <row r="893" spans="1:7">
      <c r="A893" t="s">
        <v>563</v>
      </c>
      <c r="C893">
        <v>1509</v>
      </c>
      <c r="D893">
        <v>1087</v>
      </c>
      <c r="E893">
        <v>777</v>
      </c>
      <c r="G893">
        <v>3373</v>
      </c>
    </row>
    <row r="894" spans="1:7">
      <c r="A894" t="s">
        <v>569</v>
      </c>
      <c r="B894">
        <v>1310</v>
      </c>
      <c r="G894">
        <v>1310</v>
      </c>
    </row>
    <row r="895" spans="1:7">
      <c r="A895" t="s">
        <v>430</v>
      </c>
      <c r="F895">
        <v>168</v>
      </c>
      <c r="G895">
        <v>168</v>
      </c>
    </row>
    <row r="896" spans="1:7">
      <c r="A896" t="s">
        <v>418</v>
      </c>
      <c r="B896">
        <v>1323</v>
      </c>
      <c r="C896">
        <v>1516</v>
      </c>
      <c r="D896">
        <v>790</v>
      </c>
      <c r="E896">
        <v>930</v>
      </c>
      <c r="F896">
        <v>408</v>
      </c>
      <c r="G896">
        <v>4967</v>
      </c>
    </row>
    <row r="897" spans="1:7">
      <c r="A897" t="s">
        <v>1062</v>
      </c>
      <c r="B897">
        <v>1224</v>
      </c>
      <c r="C897">
        <v>988</v>
      </c>
      <c r="D897">
        <v>2316</v>
      </c>
      <c r="E897">
        <v>2066</v>
      </c>
      <c r="G897">
        <v>6594</v>
      </c>
    </row>
    <row r="898" spans="1:7">
      <c r="A898" t="s">
        <v>557</v>
      </c>
      <c r="C898">
        <v>1678</v>
      </c>
      <c r="E898">
        <v>394</v>
      </c>
      <c r="G898">
        <v>2072</v>
      </c>
    </row>
    <row r="899" spans="1:7">
      <c r="A899" t="s">
        <v>413</v>
      </c>
      <c r="D899">
        <v>3179</v>
      </c>
      <c r="G899">
        <v>3179</v>
      </c>
    </row>
    <row r="900" spans="1:7">
      <c r="A900" t="s">
        <v>461</v>
      </c>
      <c r="E900">
        <v>978</v>
      </c>
      <c r="G900">
        <v>978</v>
      </c>
    </row>
    <row r="901" spans="1:7">
      <c r="A901" t="s">
        <v>467</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539</v>
      </c>
    </row>
    <row r="910" spans="1:7">
      <c r="A910" t="s">
        <v>399</v>
      </c>
    </row>
    <row r="911" spans="1:7">
      <c r="A911" t="s">
        <v>427</v>
      </c>
      <c r="F911">
        <v>569</v>
      </c>
      <c r="G911">
        <v>569</v>
      </c>
    </row>
    <row r="912" spans="1:7">
      <c r="A912" t="s">
        <v>521</v>
      </c>
    </row>
    <row r="913" spans="1:7">
      <c r="A913" t="s">
        <v>407</v>
      </c>
      <c r="D913">
        <v>150</v>
      </c>
      <c r="G913">
        <v>150</v>
      </c>
    </row>
    <row r="914" spans="1:7">
      <c r="A914" t="s">
        <v>420</v>
      </c>
    </row>
    <row r="915" spans="1:7">
      <c r="A915" t="s">
        <v>569</v>
      </c>
      <c r="B915">
        <v>701</v>
      </c>
      <c r="G915">
        <v>701</v>
      </c>
    </row>
    <row r="916" spans="1:7">
      <c r="A916" t="s">
        <v>430</v>
      </c>
      <c r="B916">
        <v>463</v>
      </c>
      <c r="C916">
        <v>633</v>
      </c>
      <c r="D916">
        <v>625</v>
      </c>
      <c r="G916">
        <v>1721</v>
      </c>
    </row>
    <row r="917" spans="1:7">
      <c r="A917" t="s">
        <v>418</v>
      </c>
    </row>
    <row r="918" spans="1:7">
      <c r="A918" t="s">
        <v>413</v>
      </c>
      <c r="B918">
        <v>882</v>
      </c>
      <c r="C918">
        <v>1072</v>
      </c>
      <c r="D918">
        <v>1034</v>
      </c>
      <c r="E918">
        <v>209</v>
      </c>
      <c r="G918">
        <v>3197</v>
      </c>
    </row>
    <row r="919" spans="1:7">
      <c r="A919" t="s">
        <v>461</v>
      </c>
      <c r="B919">
        <v>1420</v>
      </c>
      <c r="C919">
        <v>990</v>
      </c>
      <c r="D919">
        <v>549</v>
      </c>
      <c r="G919">
        <v>2959</v>
      </c>
    </row>
    <row r="920" spans="1:7">
      <c r="A920" t="s">
        <v>467</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432</v>
      </c>
      <c r="B924">
        <v>207</v>
      </c>
      <c r="G924">
        <v>207</v>
      </c>
    </row>
    <row r="925" spans="1:7">
      <c r="A925" t="s">
        <v>93</v>
      </c>
      <c r="C925">
        <v>1691</v>
      </c>
      <c r="D925">
        <v>1998</v>
      </c>
      <c r="E925">
        <v>760</v>
      </c>
      <c r="F925">
        <v>3975</v>
      </c>
      <c r="G925">
        <v>8424</v>
      </c>
    </row>
    <row r="926" spans="1:7">
      <c r="A926" t="s">
        <v>573</v>
      </c>
      <c r="D926">
        <v>1031</v>
      </c>
      <c r="G926">
        <v>1031</v>
      </c>
    </row>
    <row r="927" spans="1:7">
      <c r="A927" t="s">
        <v>429</v>
      </c>
      <c r="E927">
        <v>1063</v>
      </c>
      <c r="F927">
        <v>1263</v>
      </c>
      <c r="G927">
        <v>2326</v>
      </c>
    </row>
    <row r="928" spans="1:7">
      <c r="A928" t="s">
        <v>519</v>
      </c>
      <c r="F928">
        <v>451</v>
      </c>
      <c r="G928">
        <v>451</v>
      </c>
    </row>
    <row r="929" spans="1:7">
      <c r="A929" t="s">
        <v>484</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499</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404</v>
      </c>
    </row>
    <row r="940" spans="1:7">
      <c r="A940" t="s">
        <v>521</v>
      </c>
      <c r="B940">
        <v>560</v>
      </c>
      <c r="G940">
        <v>560</v>
      </c>
    </row>
    <row r="941" spans="1:7">
      <c r="A941" t="s">
        <v>420</v>
      </c>
    </row>
    <row r="942" spans="1:7">
      <c r="A942" t="s">
        <v>569</v>
      </c>
      <c r="B942">
        <v>138</v>
      </c>
      <c r="G942">
        <v>138</v>
      </c>
    </row>
    <row r="943" spans="1:7">
      <c r="A943" t="s">
        <v>418</v>
      </c>
    </row>
    <row r="944" spans="1:7">
      <c r="A944" t="s">
        <v>413</v>
      </c>
      <c r="B944">
        <v>96</v>
      </c>
      <c r="G944">
        <v>96</v>
      </c>
    </row>
    <row r="945" spans="1:7">
      <c r="A945" t="s">
        <v>461</v>
      </c>
      <c r="B945">
        <v>632</v>
      </c>
      <c r="G945">
        <v>632</v>
      </c>
    </row>
    <row r="946" spans="1:7">
      <c r="A946" t="s">
        <v>467</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499</v>
      </c>
      <c r="B949">
        <v>4084</v>
      </c>
      <c r="D949">
        <v>242</v>
      </c>
      <c r="G949">
        <v>4326</v>
      </c>
    </row>
    <row r="950" spans="1:7">
      <c r="A950" t="s">
        <v>1064</v>
      </c>
      <c r="B950">
        <v>748</v>
      </c>
      <c r="C950">
        <v>1062</v>
      </c>
      <c r="G950">
        <v>1810</v>
      </c>
    </row>
    <row r="951" spans="1:7">
      <c r="A951" t="s">
        <v>415</v>
      </c>
      <c r="B951">
        <v>435</v>
      </c>
      <c r="E951">
        <v>1123</v>
      </c>
      <c r="G951">
        <v>1558</v>
      </c>
    </row>
    <row r="952" spans="1:7">
      <c r="A952" t="s">
        <v>444</v>
      </c>
      <c r="D952">
        <v>1580</v>
      </c>
      <c r="E952">
        <v>1258</v>
      </c>
      <c r="G952">
        <v>2838</v>
      </c>
    </row>
    <row r="953" spans="1:7">
      <c r="A953" t="s">
        <v>442</v>
      </c>
      <c r="D953">
        <v>877</v>
      </c>
      <c r="E953">
        <v>814</v>
      </c>
      <c r="G953">
        <v>1691</v>
      </c>
    </row>
    <row r="954" spans="1:7">
      <c r="A954" t="s">
        <v>243</v>
      </c>
      <c r="D954">
        <v>711</v>
      </c>
      <c r="E954">
        <v>325</v>
      </c>
      <c r="F954">
        <v>430</v>
      </c>
      <c r="G954">
        <v>1466</v>
      </c>
    </row>
    <row r="955" spans="1:7">
      <c r="A955" t="s">
        <v>435</v>
      </c>
      <c r="D955">
        <v>1486</v>
      </c>
      <c r="E955">
        <v>2912</v>
      </c>
      <c r="F955">
        <v>2125</v>
      </c>
      <c r="G955">
        <v>6523</v>
      </c>
    </row>
    <row r="956" spans="1:7">
      <c r="A956" t="s">
        <v>494</v>
      </c>
      <c r="D956">
        <v>1264</v>
      </c>
      <c r="E956">
        <v>1281</v>
      </c>
      <c r="G956">
        <v>2545</v>
      </c>
    </row>
    <row r="957" spans="1:7">
      <c r="A957" t="s">
        <v>1065</v>
      </c>
    </row>
    <row r="958" spans="1:7">
      <c r="A958" t="s">
        <v>501</v>
      </c>
      <c r="D958">
        <v>3678</v>
      </c>
      <c r="E958">
        <v>3382</v>
      </c>
      <c r="G958">
        <v>7060</v>
      </c>
    </row>
    <row r="959" spans="1:7">
      <c r="A959" t="s">
        <v>1066</v>
      </c>
      <c r="F959">
        <v>1505</v>
      </c>
      <c r="G959">
        <v>1505</v>
      </c>
    </row>
    <row r="960" spans="1:7">
      <c r="A960" t="s">
        <v>395</v>
      </c>
      <c r="E960">
        <v>424</v>
      </c>
      <c r="G960">
        <v>424</v>
      </c>
    </row>
    <row r="961" spans="1:7">
      <c r="A961" t="s">
        <v>359</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521</v>
      </c>
      <c r="C970">
        <v>17</v>
      </c>
      <c r="G970">
        <v>17</v>
      </c>
    </row>
    <row r="971" spans="1:7">
      <c r="A971" t="s">
        <v>569</v>
      </c>
    </row>
    <row r="972" spans="1:7">
      <c r="A972" t="s">
        <v>467</v>
      </c>
      <c r="B972">
        <v>127</v>
      </c>
      <c r="G972">
        <v>127</v>
      </c>
    </row>
    <row r="973" spans="1:7">
      <c r="A973" t="s">
        <v>256</v>
      </c>
      <c r="B973">
        <v>420</v>
      </c>
      <c r="G973">
        <v>420</v>
      </c>
    </row>
    <row r="974" spans="1:7">
      <c r="A974" t="s">
        <v>573</v>
      </c>
    </row>
    <row r="975" spans="1:7">
      <c r="A975" t="s">
        <v>415</v>
      </c>
      <c r="C975">
        <v>1917</v>
      </c>
      <c r="E975">
        <v>272</v>
      </c>
      <c r="G975">
        <v>2189</v>
      </c>
    </row>
    <row r="976" spans="1:7">
      <c r="A976" t="s">
        <v>442</v>
      </c>
      <c r="B976">
        <v>956</v>
      </c>
      <c r="G976">
        <v>956</v>
      </c>
    </row>
    <row r="977" spans="1:7">
      <c r="A977" t="s">
        <v>243</v>
      </c>
      <c r="E977">
        <v>195</v>
      </c>
      <c r="G977">
        <v>195</v>
      </c>
    </row>
    <row r="978" spans="1:7">
      <c r="A978" t="s">
        <v>435</v>
      </c>
      <c r="B978">
        <v>1449</v>
      </c>
      <c r="G978">
        <v>1449</v>
      </c>
    </row>
    <row r="979" spans="1:7">
      <c r="A979" t="s">
        <v>494</v>
      </c>
      <c r="B979">
        <v>1662</v>
      </c>
      <c r="C979">
        <v>2684</v>
      </c>
      <c r="F979">
        <v>51</v>
      </c>
      <c r="G979">
        <v>4397</v>
      </c>
    </row>
    <row r="980" spans="1:7">
      <c r="A980" t="s">
        <v>356</v>
      </c>
      <c r="B980">
        <v>5466</v>
      </c>
      <c r="E980">
        <v>2252</v>
      </c>
      <c r="G980">
        <v>7718</v>
      </c>
    </row>
    <row r="981" spans="1:7">
      <c r="A981" t="s">
        <v>1066</v>
      </c>
      <c r="B981">
        <v>907</v>
      </c>
      <c r="G981">
        <v>907</v>
      </c>
    </row>
    <row r="982" spans="1:7">
      <c r="A982" t="s">
        <v>395</v>
      </c>
      <c r="E982">
        <v>313</v>
      </c>
      <c r="F982">
        <v>3007</v>
      </c>
      <c r="G982">
        <v>3320</v>
      </c>
    </row>
    <row r="983" spans="1:7">
      <c r="A983" t="s">
        <v>359</v>
      </c>
      <c r="B983">
        <v>1498</v>
      </c>
      <c r="C983">
        <v>3613</v>
      </c>
      <c r="E983">
        <v>1027</v>
      </c>
      <c r="F983">
        <v>490</v>
      </c>
      <c r="G983">
        <v>6628</v>
      </c>
    </row>
    <row r="984" spans="1:7">
      <c r="A984" t="s">
        <v>1067</v>
      </c>
      <c r="B984">
        <v>1505</v>
      </c>
      <c r="C984">
        <v>1518</v>
      </c>
      <c r="D984">
        <v>1968</v>
      </c>
      <c r="E984">
        <v>345</v>
      </c>
      <c r="F984">
        <v>375</v>
      </c>
      <c r="G984">
        <v>5711</v>
      </c>
    </row>
    <row r="985" spans="1:7">
      <c r="A985" t="s">
        <v>449</v>
      </c>
      <c r="B985">
        <v>1471</v>
      </c>
      <c r="G985">
        <v>1471</v>
      </c>
    </row>
    <row r="986" spans="1:7">
      <c r="A986" t="s">
        <v>446</v>
      </c>
      <c r="B986">
        <v>762</v>
      </c>
      <c r="C986">
        <v>1530</v>
      </c>
      <c r="D986">
        <v>954</v>
      </c>
      <c r="E986">
        <v>1603</v>
      </c>
      <c r="G986">
        <v>4849</v>
      </c>
    </row>
    <row r="987" spans="1:7">
      <c r="A987" t="s">
        <v>452</v>
      </c>
      <c r="C987">
        <v>1679</v>
      </c>
      <c r="D987">
        <v>1429</v>
      </c>
      <c r="E987">
        <v>1624</v>
      </c>
      <c r="G987">
        <v>4732</v>
      </c>
    </row>
    <row r="988" spans="1:7">
      <c r="A988" t="s">
        <v>436</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480</v>
      </c>
    </row>
    <row r="992" spans="1:7">
      <c r="A992" t="s">
        <v>482</v>
      </c>
    </row>
    <row r="993" spans="1:7">
      <c r="A993" t="s">
        <v>410</v>
      </c>
      <c r="C993">
        <v>136</v>
      </c>
      <c r="D993">
        <v>170</v>
      </c>
      <c r="F993">
        <v>15</v>
      </c>
      <c r="G993">
        <v>321</v>
      </c>
    </row>
    <row r="994" spans="1:7">
      <c r="A994" t="s">
        <v>362</v>
      </c>
      <c r="E994">
        <v>1420</v>
      </c>
      <c r="F994">
        <v>3043</v>
      </c>
      <c r="G994">
        <v>4463</v>
      </c>
    </row>
    <row r="995" spans="1:7">
      <c r="A995" t="s">
        <v>365</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513</v>
      </c>
      <c r="C1005">
        <v>68</v>
      </c>
      <c r="G1005">
        <v>68</v>
      </c>
    </row>
    <row r="1006" spans="1:7">
      <c r="A1006" t="s">
        <v>1051</v>
      </c>
    </row>
    <row r="1007" spans="1:7">
      <c r="A1007" t="s">
        <v>404</v>
      </c>
    </row>
    <row r="1008" spans="1:7">
      <c r="A1008" t="s">
        <v>430</v>
      </c>
    </row>
    <row r="1009" spans="1:7">
      <c r="A1009" t="s">
        <v>418</v>
      </c>
    </row>
    <row r="1010" spans="1:7">
      <c r="A1010" t="s">
        <v>413</v>
      </c>
    </row>
    <row r="1011" spans="1:7">
      <c r="A1011" t="s">
        <v>256</v>
      </c>
      <c r="D1011">
        <v>426</v>
      </c>
      <c r="G1011">
        <v>426</v>
      </c>
    </row>
    <row r="1012" spans="1:7">
      <c r="A1012" t="s">
        <v>429</v>
      </c>
    </row>
    <row r="1013" spans="1:7">
      <c r="A1013" t="s">
        <v>484</v>
      </c>
    </row>
    <row r="1014" spans="1:7">
      <c r="A1014" t="s">
        <v>347</v>
      </c>
      <c r="C1014">
        <v>1175</v>
      </c>
      <c r="G1014">
        <v>1175</v>
      </c>
    </row>
    <row r="1015" spans="1:7">
      <c r="A1015" t="s">
        <v>342</v>
      </c>
      <c r="C1015">
        <v>996</v>
      </c>
      <c r="G1015">
        <v>996</v>
      </c>
    </row>
    <row r="1016" spans="1:7">
      <c r="A1016" t="s">
        <v>415</v>
      </c>
      <c r="B1016">
        <v>900</v>
      </c>
      <c r="G1016">
        <v>900</v>
      </c>
    </row>
    <row r="1017" spans="1:7">
      <c r="A1017" t="s">
        <v>444</v>
      </c>
    </row>
    <row r="1018" spans="1:7">
      <c r="A1018" t="s">
        <v>442</v>
      </c>
    </row>
    <row r="1019" spans="1:7">
      <c r="A1019" t="s">
        <v>1067</v>
      </c>
      <c r="B1019">
        <v>2805</v>
      </c>
      <c r="C1019">
        <v>1397</v>
      </c>
      <c r="G1019">
        <v>4202</v>
      </c>
    </row>
    <row r="1020" spans="1:7">
      <c r="A1020" t="s">
        <v>449</v>
      </c>
      <c r="B1020">
        <v>665</v>
      </c>
      <c r="C1020">
        <v>1360</v>
      </c>
      <c r="D1020">
        <v>1024</v>
      </c>
      <c r="G1020">
        <v>3049</v>
      </c>
    </row>
    <row r="1021" spans="1:7">
      <c r="A1021" t="s">
        <v>446</v>
      </c>
      <c r="B1021">
        <v>805</v>
      </c>
      <c r="G1021">
        <v>805</v>
      </c>
    </row>
    <row r="1022" spans="1:7">
      <c r="A1022" t="s">
        <v>452</v>
      </c>
      <c r="B1022">
        <v>572</v>
      </c>
      <c r="G1022">
        <v>572</v>
      </c>
    </row>
    <row r="1023" spans="1:7">
      <c r="A1023" t="s">
        <v>1069</v>
      </c>
      <c r="B1023">
        <v>1718</v>
      </c>
      <c r="C1023">
        <v>2478</v>
      </c>
      <c r="D1023">
        <v>1567</v>
      </c>
      <c r="G1023">
        <v>5763</v>
      </c>
    </row>
    <row r="1024" spans="1:7">
      <c r="A1024" t="s">
        <v>362</v>
      </c>
      <c r="C1024">
        <v>3411</v>
      </c>
      <c r="G1024">
        <v>3411</v>
      </c>
    </row>
    <row r="1025" spans="1:7">
      <c r="A1025" t="s">
        <v>225</v>
      </c>
      <c r="B1025">
        <v>82</v>
      </c>
      <c r="G1025">
        <v>82</v>
      </c>
    </row>
    <row r="1026" spans="1:7">
      <c r="A1026" t="s">
        <v>365</v>
      </c>
      <c r="C1026">
        <v>3311</v>
      </c>
      <c r="G1026">
        <v>3311</v>
      </c>
    </row>
    <row r="1027" spans="1:7">
      <c r="A1027" t="s">
        <v>474</v>
      </c>
    </row>
    <row r="1028" spans="1:7">
      <c r="A1028" t="s">
        <v>335</v>
      </c>
      <c r="C1028">
        <v>2568</v>
      </c>
      <c r="G1028">
        <v>2568</v>
      </c>
    </row>
    <row r="1029" spans="1:7">
      <c r="A1029" t="s">
        <v>458</v>
      </c>
      <c r="B1029">
        <v>286</v>
      </c>
      <c r="C1029">
        <v>357</v>
      </c>
      <c r="D1029">
        <v>331</v>
      </c>
      <c r="G1029">
        <v>974</v>
      </c>
    </row>
    <row r="1030" spans="1:7">
      <c r="A1030" t="s">
        <v>320</v>
      </c>
      <c r="B1030">
        <v>1655</v>
      </c>
      <c r="C1030">
        <v>2537</v>
      </c>
      <c r="G1030">
        <v>4192</v>
      </c>
    </row>
    <row r="1031" spans="1:7">
      <c r="A1031" t="s">
        <v>496</v>
      </c>
      <c r="C1031">
        <v>2382</v>
      </c>
      <c r="G1031">
        <v>2382</v>
      </c>
    </row>
    <row r="1032" spans="1:7">
      <c r="A1032" t="s">
        <v>455</v>
      </c>
      <c r="C1032">
        <v>1100</v>
      </c>
      <c r="D1032">
        <v>855</v>
      </c>
      <c r="G1032">
        <v>1955</v>
      </c>
    </row>
    <row r="1033" spans="1:7">
      <c r="A1033" t="s">
        <v>1070</v>
      </c>
      <c r="C1033">
        <v>486</v>
      </c>
      <c r="G1033">
        <v>486</v>
      </c>
    </row>
    <row r="1034" spans="1:7">
      <c r="A1034" t="s">
        <v>503</v>
      </c>
      <c r="C1034">
        <v>3634</v>
      </c>
      <c r="G1034">
        <v>3634</v>
      </c>
    </row>
    <row r="1035" spans="1:7">
      <c r="A1035" t="s">
        <v>1071</v>
      </c>
      <c r="D1035">
        <v>955</v>
      </c>
      <c r="G1035">
        <v>955</v>
      </c>
    </row>
    <row r="1036" spans="1:7">
      <c r="A1036" t="s">
        <v>1072</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449</v>
      </c>
      <c r="B1053">
        <v>1610</v>
      </c>
      <c r="E1053">
        <v>1610</v>
      </c>
    </row>
    <row r="1054" spans="1:7">
      <c r="A1054" t="s">
        <v>320</v>
      </c>
      <c r="B1054">
        <v>2113</v>
      </c>
      <c r="D1054">
        <v>1677</v>
      </c>
      <c r="E1054">
        <v>3790</v>
      </c>
    </row>
    <row r="1055" spans="1:7">
      <c r="A1055" t="s">
        <v>496</v>
      </c>
      <c r="B1055">
        <v>3084</v>
      </c>
      <c r="E1055">
        <v>3084</v>
      </c>
    </row>
    <row r="1056" spans="1:7">
      <c r="A1056" t="s">
        <v>455</v>
      </c>
      <c r="B1056">
        <v>1622</v>
      </c>
      <c r="C1056">
        <v>1131</v>
      </c>
      <c r="E1056">
        <v>2753</v>
      </c>
    </row>
    <row r="1057" spans="1:5">
      <c r="A1057" t="s">
        <v>1070</v>
      </c>
      <c r="B1057">
        <v>600</v>
      </c>
      <c r="C1057">
        <v>610</v>
      </c>
      <c r="D1057">
        <v>974</v>
      </c>
      <c r="E1057">
        <v>2184</v>
      </c>
    </row>
    <row r="1058" spans="1:5">
      <c r="A1058" t="s">
        <v>503</v>
      </c>
      <c r="B1058">
        <v>3376</v>
      </c>
      <c r="E1058">
        <v>3376</v>
      </c>
    </row>
    <row r="1059" spans="1:5">
      <c r="A1059" t="s">
        <v>1071</v>
      </c>
      <c r="B1059">
        <v>1765</v>
      </c>
      <c r="C1059">
        <v>1153</v>
      </c>
      <c r="D1059">
        <v>383</v>
      </c>
      <c r="E1059">
        <v>3301</v>
      </c>
    </row>
    <row r="1060" spans="1:5">
      <c r="A1060" t="s">
        <v>1073</v>
      </c>
      <c r="B1060">
        <v>545</v>
      </c>
      <c r="C1060">
        <v>1172</v>
      </c>
      <c r="D1060">
        <v>535</v>
      </c>
      <c r="E1060">
        <v>2252</v>
      </c>
    </row>
    <row r="1061" spans="1:5">
      <c r="A1061" t="s">
        <v>392</v>
      </c>
      <c r="B1061">
        <v>1829</v>
      </c>
      <c r="C1061">
        <v>2302</v>
      </c>
      <c r="E1061">
        <v>4131</v>
      </c>
    </row>
    <row r="1062" spans="1:5">
      <c r="A1062" t="s">
        <v>353</v>
      </c>
      <c r="B1062">
        <v>1391</v>
      </c>
      <c r="C1062">
        <v>2916</v>
      </c>
      <c r="E1062">
        <v>4307</v>
      </c>
    </row>
    <row r="1063" spans="1:5">
      <c r="A1063" t="s">
        <v>135</v>
      </c>
      <c r="D1063">
        <v>466</v>
      </c>
      <c r="E1063">
        <v>466</v>
      </c>
    </row>
    <row r="1064" spans="1:5">
      <c r="A1064" t="s">
        <v>998</v>
      </c>
      <c r="B1064">
        <v>20575</v>
      </c>
      <c r="C1064">
        <v>10528</v>
      </c>
      <c r="D1064">
        <v>5164</v>
      </c>
      <c r="E1064">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97" activePane="bottomLeft" state="frozen"/>
      <selection pane="bottomLeft" activeCell="E2223" sqref="E222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421</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421</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421</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421</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529</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421</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526</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421</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526</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534</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526</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534</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526</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509</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509</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534</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526</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534</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526</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527</v>
      </c>
      <c r="C882" s="56">
        <v>45758</v>
      </c>
      <c r="E882" s="43"/>
      <c r="F882" s="142" t="s">
        <v>1274</v>
      </c>
      <c r="G882" t="str">
        <f t="shared" si="13"/>
        <v>April</v>
      </c>
    </row>
    <row r="883" spans="1:7">
      <c r="A883" s="142" t="s">
        <v>806</v>
      </c>
      <c r="B883" s="142" t="s">
        <v>527</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527</v>
      </c>
      <c r="C894" s="56">
        <v>45761</v>
      </c>
      <c r="E894" s="43"/>
      <c r="G894" t="str">
        <f t="shared" si="13"/>
        <v>April</v>
      </c>
    </row>
    <row r="895" spans="1:7">
      <c r="A895" s="142" t="s">
        <v>806</v>
      </c>
      <c r="B895" s="142" t="s">
        <v>527</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527</v>
      </c>
      <c r="C905" s="56">
        <v>45762</v>
      </c>
      <c r="E905" s="43"/>
      <c r="F905" s="142" t="s">
        <v>1286</v>
      </c>
      <c r="G905" t="str">
        <f t="shared" si="14"/>
        <v>April</v>
      </c>
    </row>
    <row r="906" spans="1:7">
      <c r="A906" s="142" t="s">
        <v>806</v>
      </c>
      <c r="B906" s="142" t="s">
        <v>527</v>
      </c>
      <c r="C906" s="56">
        <v>45762</v>
      </c>
      <c r="E906" s="43"/>
      <c r="F906" s="142" t="s">
        <v>1286</v>
      </c>
      <c r="G906" t="str">
        <f t="shared" si="14"/>
        <v>April</v>
      </c>
    </row>
    <row r="907" spans="1:7">
      <c r="A907" s="142" t="s">
        <v>787</v>
      </c>
      <c r="B907" s="142" t="s">
        <v>527</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527</v>
      </c>
      <c r="C920" s="56">
        <v>45763</v>
      </c>
      <c r="E920" s="43"/>
      <c r="F920" s="142" t="s">
        <v>1148</v>
      </c>
      <c r="G920" t="str">
        <f t="shared" si="14"/>
        <v>April</v>
      </c>
    </row>
    <row r="921" spans="1:7">
      <c r="A921" s="142" t="s">
        <v>787</v>
      </c>
      <c r="B921" s="142" t="s">
        <v>527</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527</v>
      </c>
      <c r="C946" s="56">
        <v>45765</v>
      </c>
      <c r="E946" s="43"/>
      <c r="F946" s="310" t="s">
        <v>1308</v>
      </c>
      <c r="G946" t="str">
        <f t="shared" si="14"/>
        <v>April</v>
      </c>
    </row>
    <row r="947" spans="1:7">
      <c r="A947" s="315" t="s">
        <v>787</v>
      </c>
      <c r="B947" s="315" t="s">
        <v>527</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527</v>
      </c>
      <c r="C959" s="56">
        <v>45768</v>
      </c>
      <c r="E959" s="43"/>
      <c r="F959" s="315" t="s">
        <v>1308</v>
      </c>
      <c r="G959" t="str">
        <f t="shared" si="15"/>
        <v>April</v>
      </c>
    </row>
    <row r="960" spans="1:7">
      <c r="A960" s="319" t="s">
        <v>806</v>
      </c>
      <c r="B960" s="142" t="s">
        <v>527</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513</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513</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509</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509</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516</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464</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464</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464</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532</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532</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464</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438</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464</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438</v>
      </c>
      <c r="B1204" s="311" t="s">
        <v>1007</v>
      </c>
      <c r="C1204" s="56">
        <v>45810</v>
      </c>
      <c r="D1204" s="43">
        <v>275</v>
      </c>
      <c r="G1204" t="s">
        <v>1452</v>
      </c>
    </row>
    <row r="1205" spans="1:7">
      <c r="A1205" s="360" t="s">
        <v>464</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438</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509</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438</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464</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509</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438</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438</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438</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438</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438</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438</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438</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438</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438</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526</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438</v>
      </c>
      <c r="B1269" s="315" t="s">
        <v>1007</v>
      </c>
      <c r="C1269" s="56">
        <v>45828</v>
      </c>
      <c r="D1269" s="43">
        <v>52</v>
      </c>
      <c r="F1269" s="43" t="s">
        <v>1131</v>
      </c>
      <c r="G1269" t="s">
        <v>1452</v>
      </c>
    </row>
    <row r="1270" spans="1:7">
      <c r="A1270" s="319" t="s">
        <v>464</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438</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438</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509</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526</v>
      </c>
      <c r="B1296" s="142" t="s">
        <v>587</v>
      </c>
      <c r="C1296" s="56">
        <v>45834</v>
      </c>
      <c r="D1296" s="43">
        <v>676</v>
      </c>
      <c r="F1296" s="43" t="s">
        <v>1445</v>
      </c>
      <c r="G1296" t="s">
        <v>1452</v>
      </c>
    </row>
    <row r="1297" spans="1:7">
      <c r="A1297" s="142" t="s">
        <v>628</v>
      </c>
      <c r="B1297" s="142" t="s">
        <v>422</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526</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526</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464</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526</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526</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526</v>
      </c>
      <c r="B1316" s="321" t="s">
        <v>587</v>
      </c>
      <c r="C1316" s="56">
        <v>45841</v>
      </c>
      <c r="D1316" s="43">
        <v>372</v>
      </c>
      <c r="F1316" s="116" t="s">
        <v>1131</v>
      </c>
      <c r="G1316" t="s">
        <v>1485</v>
      </c>
    </row>
    <row r="1317" spans="1:7" ht="15.75">
      <c r="A1317" s="142" t="s">
        <v>526</v>
      </c>
      <c r="B1317" s="321" t="s">
        <v>422</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526</v>
      </c>
      <c r="B1322" s="158" t="s">
        <v>422</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534</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529</v>
      </c>
      <c r="B1331" s="158" t="s">
        <v>422</v>
      </c>
      <c r="C1331" s="56">
        <v>45849</v>
      </c>
      <c r="D1331" s="43">
        <v>198</v>
      </c>
      <c r="G1331" t="s">
        <v>1485</v>
      </c>
    </row>
    <row r="1332" spans="1:7">
      <c r="A1332" s="251" t="s">
        <v>937</v>
      </c>
      <c r="B1332" s="411" t="s">
        <v>1007</v>
      </c>
      <c r="C1332" s="56">
        <v>45852</v>
      </c>
      <c r="F1332" s="43" t="s">
        <v>1148</v>
      </c>
      <c r="G1332" t="s">
        <v>1485</v>
      </c>
    </row>
    <row r="1333" spans="1:7">
      <c r="A1333" s="633" t="s">
        <v>529</v>
      </c>
      <c r="B1333" s="158" t="s">
        <v>422</v>
      </c>
      <c r="C1333" s="56">
        <v>45852</v>
      </c>
      <c r="D1333" s="43">
        <v>862</v>
      </c>
      <c r="G1333" t="s">
        <v>1485</v>
      </c>
    </row>
    <row r="1334" spans="1:7">
      <c r="A1334" s="322" t="s">
        <v>1026</v>
      </c>
      <c r="B1334" s="411" t="s">
        <v>1007</v>
      </c>
      <c r="C1334" s="56">
        <v>45853</v>
      </c>
      <c r="D1334" s="43">
        <v>203</v>
      </c>
      <c r="G1334" t="s">
        <v>1485</v>
      </c>
    </row>
    <row r="1335" spans="1:7">
      <c r="A1335" s="142" t="s">
        <v>438</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421</v>
      </c>
      <c r="B1337" s="158" t="s">
        <v>422</v>
      </c>
      <c r="C1337" s="56">
        <v>45853</v>
      </c>
      <c r="D1337" s="43">
        <v>403</v>
      </c>
      <c r="G1337" t="s">
        <v>1485</v>
      </c>
    </row>
    <row r="1338" spans="1:7">
      <c r="A1338" s="322" t="s">
        <v>1026</v>
      </c>
      <c r="B1338" s="315" t="s">
        <v>1007</v>
      </c>
      <c r="C1338" s="56">
        <v>45854</v>
      </c>
      <c r="D1338" s="43">
        <v>170</v>
      </c>
      <c r="G1338" t="s">
        <v>1485</v>
      </c>
    </row>
    <row r="1339" spans="1:7">
      <c r="A1339" s="142" t="s">
        <v>438</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421</v>
      </c>
      <c r="B1343" s="322" t="s">
        <v>422</v>
      </c>
      <c r="C1343" s="56">
        <v>45854</v>
      </c>
      <c r="D1343" s="43">
        <v>39</v>
      </c>
      <c r="G1343" t="s">
        <v>1485</v>
      </c>
    </row>
    <row r="1344" spans="1:7">
      <c r="A1344" s="142" t="s">
        <v>438</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438</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438</v>
      </c>
      <c r="B1350" s="411" t="s">
        <v>1007</v>
      </c>
      <c r="C1350" s="56">
        <v>45859</v>
      </c>
      <c r="D1350" s="43">
        <v>551</v>
      </c>
      <c r="G1350" t="s">
        <v>1485</v>
      </c>
    </row>
    <row r="1351" spans="1:7">
      <c r="A1351" s="408" t="s">
        <v>438</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421</v>
      </c>
      <c r="B1354" s="158" t="s">
        <v>422</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438</v>
      </c>
      <c r="B1358" s="411" t="s">
        <v>130</v>
      </c>
      <c r="C1358" s="56">
        <v>45860</v>
      </c>
      <c r="D1358" s="43">
        <v>300</v>
      </c>
      <c r="G1358" t="s">
        <v>1485</v>
      </c>
    </row>
    <row r="1359" spans="1:7">
      <c r="A1359" s="308" t="s">
        <v>438</v>
      </c>
      <c r="B1359" s="308" t="s">
        <v>763</v>
      </c>
      <c r="C1359" s="56">
        <v>45860</v>
      </c>
      <c r="D1359" s="156">
        <v>1107</v>
      </c>
      <c r="G1359" t="s">
        <v>1485</v>
      </c>
    </row>
    <row r="1360" spans="1:7">
      <c r="A1360" s="308" t="s">
        <v>438</v>
      </c>
      <c r="B1360" s="319" t="s">
        <v>1007</v>
      </c>
      <c r="C1360" s="56">
        <v>45860</v>
      </c>
      <c r="D1360" s="43">
        <v>316</v>
      </c>
      <c r="G1360" t="s">
        <v>1485</v>
      </c>
    </row>
    <row r="1361" spans="1:7">
      <c r="A1361" s="135" t="s">
        <v>421</v>
      </c>
      <c r="B1361" s="158" t="s">
        <v>422</v>
      </c>
      <c r="C1361" s="56">
        <v>45860</v>
      </c>
      <c r="D1361" s="43">
        <v>318</v>
      </c>
      <c r="G1361" t="s">
        <v>1485</v>
      </c>
    </row>
    <row r="1362" spans="1:7">
      <c r="A1362" s="251" t="s">
        <v>1047</v>
      </c>
      <c r="B1362" s="158" t="s">
        <v>422</v>
      </c>
      <c r="C1362" s="56">
        <v>45860</v>
      </c>
      <c r="D1362" s="43">
        <v>605</v>
      </c>
      <c r="G1362" t="s">
        <v>1485</v>
      </c>
    </row>
    <row r="1363" spans="1:7">
      <c r="A1363" s="322" t="s">
        <v>1026</v>
      </c>
      <c r="B1363" s="315" t="s">
        <v>1007</v>
      </c>
      <c r="C1363" s="56">
        <v>45861</v>
      </c>
      <c r="D1363" s="43">
        <v>272</v>
      </c>
      <c r="F1363" s="43" t="s">
        <v>1502</v>
      </c>
      <c r="G1363" t="s">
        <v>1485</v>
      </c>
    </row>
    <row r="1364" spans="1:7">
      <c r="A1364" s="142" t="s">
        <v>438</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529</v>
      </c>
      <c r="B1370" s="158" t="s">
        <v>422</v>
      </c>
      <c r="C1370" s="56">
        <v>45861</v>
      </c>
      <c r="D1370" s="43">
        <v>461</v>
      </c>
      <c r="G1370" t="s">
        <v>1485</v>
      </c>
    </row>
    <row r="1371" spans="1:7">
      <c r="A1371" s="322" t="s">
        <v>1026</v>
      </c>
      <c r="B1371" s="315" t="s">
        <v>1007</v>
      </c>
      <c r="C1371" s="56">
        <v>45862</v>
      </c>
      <c r="D1371" s="43">
        <v>79</v>
      </c>
      <c r="F1371" s="43" t="s">
        <v>1506</v>
      </c>
      <c r="G1371" t="s">
        <v>1485</v>
      </c>
    </row>
    <row r="1372" spans="1:7">
      <c r="A1372" s="142" t="s">
        <v>438</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438</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529</v>
      </c>
      <c r="B1378" s="322" t="s">
        <v>422</v>
      </c>
      <c r="C1378" s="56">
        <v>45862</v>
      </c>
      <c r="D1378" s="43">
        <v>880</v>
      </c>
      <c r="G1378" t="s">
        <v>1485</v>
      </c>
    </row>
    <row r="1379" spans="1:7">
      <c r="A1379" s="328" t="s">
        <v>534</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438</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529</v>
      </c>
      <c r="B1386" s="158" t="s">
        <v>422</v>
      </c>
      <c r="C1386" s="56">
        <v>45863</v>
      </c>
      <c r="D1386" s="43">
        <v>585</v>
      </c>
      <c r="F1386" s="43" t="s">
        <v>1143</v>
      </c>
      <c r="G1386" t="s">
        <v>1485</v>
      </c>
    </row>
    <row r="1387" spans="1:7">
      <c r="A1387" s="142" t="s">
        <v>438</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529</v>
      </c>
      <c r="B1392" s="158" t="s">
        <v>422</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438</v>
      </c>
      <c r="B1401" s="308" t="s">
        <v>1521</v>
      </c>
      <c r="C1401" s="56">
        <v>45868</v>
      </c>
      <c r="E1401" s="325">
        <v>6067</v>
      </c>
      <c r="G1401" t="s">
        <v>1485</v>
      </c>
    </row>
    <row r="1402" spans="1:7">
      <c r="A1402" s="135" t="s">
        <v>523</v>
      </c>
      <c r="B1402" s="322" t="s">
        <v>422</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438</v>
      </c>
      <c r="B1406" s="315" t="s">
        <v>1521</v>
      </c>
      <c r="C1406" s="56">
        <v>45869</v>
      </c>
      <c r="E1406" s="325">
        <v>2691</v>
      </c>
      <c r="G1406" t="s">
        <v>1485</v>
      </c>
    </row>
    <row r="1407" spans="1:7">
      <c r="A1407" s="357" t="s">
        <v>537</v>
      </c>
      <c r="B1407" s="158" t="s">
        <v>422</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537</v>
      </c>
      <c r="B1411" s="158" t="s">
        <v>422</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537</v>
      </c>
      <c r="B1415" s="315" t="s">
        <v>422</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537</v>
      </c>
      <c r="B1418" s="315" t="s">
        <v>422</v>
      </c>
      <c r="C1418" s="56">
        <v>45875</v>
      </c>
      <c r="D1418" s="43">
        <v>840</v>
      </c>
      <c r="G1418" t="s">
        <v>1524</v>
      </c>
    </row>
    <row r="1419" spans="1:7">
      <c r="A1419" s="142" t="s">
        <v>523</v>
      </c>
      <c r="B1419" s="566" t="s">
        <v>422</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537</v>
      </c>
      <c r="B1423" s="541" t="s">
        <v>422</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537</v>
      </c>
      <c r="B1426" s="315" t="s">
        <v>422</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537</v>
      </c>
      <c r="B1430" s="315" t="s">
        <v>422</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421</v>
      </c>
      <c r="B1435" s="315" t="s">
        <v>422</v>
      </c>
      <c r="C1435" s="56">
        <v>45881</v>
      </c>
      <c r="D1435" s="43">
        <v>319</v>
      </c>
      <c r="G1435" t="s">
        <v>1524</v>
      </c>
    </row>
    <row r="1436" spans="1:7">
      <c r="A1436" s="567" t="s">
        <v>537</v>
      </c>
      <c r="B1436" s="315" t="s">
        <v>422</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537</v>
      </c>
      <c r="B1443" s="315" t="s">
        <v>422</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537</v>
      </c>
      <c r="B1447" s="315" t="s">
        <v>422</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537</v>
      </c>
      <c r="B1453" s="315" t="s">
        <v>422</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537</v>
      </c>
      <c r="B1460" s="315" t="s">
        <v>422</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537</v>
      </c>
      <c r="B1466" s="315" t="s">
        <v>422</v>
      </c>
      <c r="C1466" s="56">
        <v>45888</v>
      </c>
      <c r="D1466" s="43">
        <v>408</v>
      </c>
      <c r="F1466" s="116"/>
      <c r="G1466" t="s">
        <v>1524</v>
      </c>
    </row>
    <row r="1467" spans="1:7">
      <c r="A1467" s="599" t="s">
        <v>534</v>
      </c>
      <c r="B1467" s="322" t="s">
        <v>1007</v>
      </c>
      <c r="C1467" s="56">
        <v>45888</v>
      </c>
      <c r="F1467" s="142" t="s">
        <v>1539</v>
      </c>
      <c r="G1467" t="s">
        <v>1524</v>
      </c>
    </row>
    <row r="1468" spans="1:7">
      <c r="A1468" s="251" t="s">
        <v>523</v>
      </c>
      <c r="B1468" s="315" t="s">
        <v>422</v>
      </c>
      <c r="C1468" s="56">
        <v>45888</v>
      </c>
      <c r="D1468" s="43">
        <v>430</v>
      </c>
      <c r="F1468" s="171"/>
      <c r="G1468" t="s">
        <v>1524</v>
      </c>
    </row>
    <row r="1469" spans="1:7">
      <c r="A1469" s="88" t="s">
        <v>1026</v>
      </c>
      <c r="B1469" s="411" t="s">
        <v>1007</v>
      </c>
      <c r="C1469" s="56">
        <v>45889</v>
      </c>
      <c r="D1469" s="43">
        <v>181</v>
      </c>
      <c r="G1469" t="s">
        <v>1524</v>
      </c>
    </row>
    <row r="1470" spans="1:7">
      <c r="A1470" s="88" t="s">
        <v>509</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537</v>
      </c>
      <c r="B1474" s="315" t="s">
        <v>422</v>
      </c>
      <c r="C1474" s="56">
        <v>45889</v>
      </c>
      <c r="D1474" s="43">
        <v>607</v>
      </c>
      <c r="F1474" s="43" t="s">
        <v>1540</v>
      </c>
      <c r="G1474" t="s">
        <v>1524</v>
      </c>
    </row>
    <row r="1475" spans="1:7">
      <c r="A1475" s="599" t="s">
        <v>534</v>
      </c>
      <c r="B1475" s="322" t="s">
        <v>1007</v>
      </c>
      <c r="C1475" s="56">
        <v>45889</v>
      </c>
      <c r="D1475" s="43">
        <v>499</v>
      </c>
      <c r="G1475" t="s">
        <v>1524</v>
      </c>
    </row>
    <row r="1476" spans="1:7">
      <c r="A1476" s="88" t="s">
        <v>1026</v>
      </c>
      <c r="B1476" s="411" t="s">
        <v>1007</v>
      </c>
      <c r="C1476" s="56">
        <v>45890</v>
      </c>
      <c r="D1476" s="43">
        <v>82</v>
      </c>
      <c r="G1476" t="s">
        <v>1524</v>
      </c>
    </row>
    <row r="1477" spans="1:7">
      <c r="A1477" s="88" t="s">
        <v>509</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537</v>
      </c>
      <c r="B1482" s="315" t="s">
        <v>422</v>
      </c>
      <c r="C1482" s="56">
        <v>45890</v>
      </c>
      <c r="D1482" s="156">
        <v>1022</v>
      </c>
      <c r="G1482" t="s">
        <v>1524</v>
      </c>
    </row>
    <row r="1483" spans="1:7">
      <c r="A1483" s="599" t="s">
        <v>534</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537</v>
      </c>
      <c r="B1488" s="315" t="s">
        <v>422</v>
      </c>
      <c r="C1488" s="56">
        <v>45891</v>
      </c>
      <c r="E1488" s="325">
        <v>6090</v>
      </c>
      <c r="F1488" s="43" t="s">
        <v>1544</v>
      </c>
      <c r="G1488" t="s">
        <v>1524</v>
      </c>
    </row>
    <row r="1489" spans="1:7">
      <c r="A1489" s="599" t="s">
        <v>534</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537</v>
      </c>
      <c r="B1495" s="315" t="s">
        <v>422</v>
      </c>
      <c r="C1495" s="56">
        <v>45894</v>
      </c>
      <c r="D1495" s="43">
        <v>639</v>
      </c>
      <c r="G1495" t="s">
        <v>1524</v>
      </c>
    </row>
    <row r="1496" spans="1:7">
      <c r="A1496" s="599" t="s">
        <v>534</v>
      </c>
      <c r="B1496" s="322" t="s">
        <v>1007</v>
      </c>
      <c r="C1496" s="56">
        <v>45894</v>
      </c>
      <c r="D1496" s="43">
        <v>503</v>
      </c>
      <c r="G1496" t="s">
        <v>1524</v>
      </c>
    </row>
    <row r="1497" spans="1:7">
      <c r="A1497" s="88" t="s">
        <v>1026</v>
      </c>
      <c r="B1497" s="411" t="s">
        <v>1007</v>
      </c>
      <c r="C1497" s="56">
        <v>45895</v>
      </c>
      <c r="F1497" s="43" t="s">
        <v>1281</v>
      </c>
      <c r="G1497" t="s">
        <v>1524</v>
      </c>
    </row>
    <row r="1498" spans="1:7">
      <c r="A1498" s="88" t="s">
        <v>509</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534</v>
      </c>
      <c r="B1504" s="647" t="s">
        <v>1007</v>
      </c>
      <c r="C1504" s="56">
        <v>45895</v>
      </c>
      <c r="D1504" s="43">
        <v>295</v>
      </c>
      <c r="G1504" t="s">
        <v>1524</v>
      </c>
    </row>
    <row r="1505" spans="1:7">
      <c r="A1505" s="644" t="s">
        <v>529</v>
      </c>
      <c r="B1505" s="360" t="s">
        <v>422</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421</v>
      </c>
      <c r="B1512" s="359" t="s">
        <v>422</v>
      </c>
      <c r="C1512" s="56">
        <v>45896</v>
      </c>
      <c r="D1512" s="43">
        <v>358</v>
      </c>
      <c r="F1512" s="43" t="s">
        <v>1553</v>
      </c>
      <c r="G1512" t="s">
        <v>1524</v>
      </c>
    </row>
    <row r="1513" spans="1:7">
      <c r="A1513" s="659" t="s">
        <v>529</v>
      </c>
      <c r="B1513" s="142" t="s">
        <v>422</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537</v>
      </c>
      <c r="B1518" s="315" t="s">
        <v>422</v>
      </c>
      <c r="C1518" s="56">
        <v>45897</v>
      </c>
      <c r="F1518" s="43" t="s">
        <v>1143</v>
      </c>
      <c r="G1518" t="s">
        <v>1524</v>
      </c>
    </row>
    <row r="1519" spans="1:7">
      <c r="A1519" s="599" t="s">
        <v>300</v>
      </c>
      <c r="B1519" s="647" t="s">
        <v>1007</v>
      </c>
      <c r="C1519" s="56">
        <v>45897</v>
      </c>
      <c r="D1519" s="43">
        <v>320</v>
      </c>
      <c r="G1519" t="s">
        <v>1524</v>
      </c>
    </row>
    <row r="1520" spans="1:7">
      <c r="A1520" s="644" t="s">
        <v>421</v>
      </c>
      <c r="B1520" s="360" t="s">
        <v>422</v>
      </c>
      <c r="C1520" s="56">
        <v>45897</v>
      </c>
      <c r="F1520" s="315" t="s">
        <v>1281</v>
      </c>
      <c r="G1520" t="s">
        <v>1524</v>
      </c>
    </row>
    <row r="1521" spans="1:7">
      <c r="A1521" s="124" t="s">
        <v>529</v>
      </c>
      <c r="B1521" s="359" t="s">
        <v>422</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529</v>
      </c>
      <c r="B1524" s="315" t="s">
        <v>422</v>
      </c>
      <c r="C1524" s="56">
        <v>45898</v>
      </c>
      <c r="F1524" s="142" t="s">
        <v>1131</v>
      </c>
      <c r="G1524" t="s">
        <v>1524</v>
      </c>
    </row>
    <row r="1525" spans="1:7">
      <c r="A1525" s="330" t="s">
        <v>534</v>
      </c>
      <c r="B1525" s="319" t="s">
        <v>1007</v>
      </c>
      <c r="C1525" s="56">
        <v>45898</v>
      </c>
      <c r="D1525" s="43">
        <v>6</v>
      </c>
      <c r="F1525" s="43" t="s">
        <v>1559</v>
      </c>
      <c r="G1525" t="s">
        <v>1524</v>
      </c>
    </row>
    <row r="1526" spans="1:7">
      <c r="A1526" s="348" t="s">
        <v>537</v>
      </c>
      <c r="B1526" s="315" t="s">
        <v>422</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534</v>
      </c>
      <c r="B1531" s="319" t="s">
        <v>1007</v>
      </c>
      <c r="C1531" s="56">
        <v>45902</v>
      </c>
      <c r="D1531" s="43">
        <v>15</v>
      </c>
      <c r="F1531" s="43" t="s">
        <v>1565</v>
      </c>
      <c r="G1531" t="s">
        <v>1562</v>
      </c>
    </row>
    <row r="1532" spans="1:7">
      <c r="A1532" s="251" t="s">
        <v>529</v>
      </c>
      <c r="B1532" s="315" t="s">
        <v>422</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534</v>
      </c>
      <c r="B1539" s="322" t="s">
        <v>1007</v>
      </c>
      <c r="C1539" s="56">
        <v>45903</v>
      </c>
      <c r="D1539" s="43">
        <v>65</v>
      </c>
      <c r="F1539" s="142" t="s">
        <v>1572</v>
      </c>
      <c r="G1539" t="s">
        <v>1562</v>
      </c>
    </row>
    <row r="1540" spans="1:7">
      <c r="A1540" s="664" t="s">
        <v>529</v>
      </c>
      <c r="B1540" s="359" t="s">
        <v>422</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546</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421</v>
      </c>
      <c r="B1546" s="315" t="s">
        <v>1007</v>
      </c>
      <c r="C1546" s="56">
        <v>45904</v>
      </c>
      <c r="D1546" s="43">
        <v>99</v>
      </c>
      <c r="F1546" s="43" t="s">
        <v>1576</v>
      </c>
      <c r="G1546" t="s">
        <v>1562</v>
      </c>
    </row>
    <row r="1547" spans="1:7">
      <c r="A1547" s="599" t="s">
        <v>534</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539</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546</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546</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546</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399</v>
      </c>
      <c r="B1563" s="647" t="s">
        <v>400</v>
      </c>
      <c r="C1563" s="56">
        <v>45910</v>
      </c>
      <c r="D1563" s="43">
        <v>307</v>
      </c>
      <c r="G1563" t="s">
        <v>1562</v>
      </c>
    </row>
    <row r="1564" spans="1:7">
      <c r="A1564" s="158" t="s">
        <v>539</v>
      </c>
      <c r="B1564" s="703" t="s">
        <v>1443</v>
      </c>
      <c r="C1564" s="56">
        <v>45910</v>
      </c>
      <c r="F1564" s="43" t="s">
        <v>1281</v>
      </c>
      <c r="G1564" t="s">
        <v>1562</v>
      </c>
    </row>
    <row r="1565" spans="1:7">
      <c r="A1565" s="88" t="s">
        <v>1031</v>
      </c>
      <c r="B1565" s="411" t="s">
        <v>1007</v>
      </c>
      <c r="C1565" s="56">
        <v>45911</v>
      </c>
      <c r="D1565" s="43">
        <v>302</v>
      </c>
      <c r="G1565" t="s">
        <v>1562</v>
      </c>
    </row>
    <row r="1566" spans="1:7">
      <c r="A1566" s="88" t="s">
        <v>509</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399</v>
      </c>
      <c r="B1570" s="251" t="s">
        <v>400</v>
      </c>
      <c r="C1570" s="56">
        <v>45911</v>
      </c>
      <c r="D1570" s="43">
        <v>920</v>
      </c>
      <c r="F1570" s="69"/>
      <c r="G1570" t="s">
        <v>1562</v>
      </c>
    </row>
    <row r="1571" spans="1:7">
      <c r="A1571" s="158" t="s">
        <v>539</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399</v>
      </c>
      <c r="B1574" s="251" t="s">
        <v>400</v>
      </c>
      <c r="C1574" s="56">
        <v>45912</v>
      </c>
      <c r="D1574" s="43">
        <v>610</v>
      </c>
      <c r="F1574" s="69"/>
      <c r="G1574" t="s">
        <v>1562</v>
      </c>
    </row>
    <row r="1575" spans="1:7">
      <c r="A1575" s="158" t="s">
        <v>539</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399</v>
      </c>
      <c r="B1579" s="251" t="s">
        <v>400</v>
      </c>
      <c r="C1579" s="56">
        <v>45915</v>
      </c>
      <c r="D1579" s="43">
        <v>829</v>
      </c>
      <c r="F1579" s="69" t="s">
        <v>1445</v>
      </c>
      <c r="G1579" t="s">
        <v>1562</v>
      </c>
    </row>
    <row r="1580" spans="1:7">
      <c r="A1580" s="116" t="s">
        <v>534</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399</v>
      </c>
      <c r="B1585" s="251" t="s">
        <v>400</v>
      </c>
      <c r="C1585" s="56">
        <v>45916</v>
      </c>
      <c r="F1585" s="753" t="s">
        <v>1131</v>
      </c>
      <c r="G1585" t="s">
        <v>1562</v>
      </c>
    </row>
    <row r="1586" spans="1:7">
      <c r="A1586" s="158" t="s">
        <v>421</v>
      </c>
      <c r="B1586" s="251" t="s">
        <v>1007</v>
      </c>
      <c r="C1586" s="56">
        <v>45916</v>
      </c>
      <c r="F1586" s="754" t="s">
        <v>1589</v>
      </c>
      <c r="G1586" t="s">
        <v>1562</v>
      </c>
    </row>
    <row r="1587" spans="1:7">
      <c r="A1587" s="116" t="s">
        <v>534</v>
      </c>
      <c r="B1587" s="382" t="s">
        <v>1007</v>
      </c>
      <c r="C1587" s="56">
        <v>45916</v>
      </c>
      <c r="F1587" s="752" t="s">
        <v>1589</v>
      </c>
      <c r="G1587" t="s">
        <v>1562</v>
      </c>
    </row>
    <row r="1588" spans="1:7">
      <c r="A1588" s="664" t="s">
        <v>424</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546</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399</v>
      </c>
      <c r="B1593" s="142" t="s">
        <v>400</v>
      </c>
      <c r="C1593" s="56">
        <v>45917</v>
      </c>
      <c r="D1593" s="43">
        <v>863</v>
      </c>
      <c r="F1593" s="753"/>
      <c r="G1593" t="s">
        <v>1562</v>
      </c>
    </row>
    <row r="1594" spans="1:7">
      <c r="A1594" s="757" t="s">
        <v>424</v>
      </c>
      <c r="B1594" s="309" t="s">
        <v>250</v>
      </c>
      <c r="C1594" s="56">
        <v>45917</v>
      </c>
      <c r="D1594" s="43">
        <v>253</v>
      </c>
      <c r="F1594" s="753"/>
      <c r="G1594" t="s">
        <v>1562</v>
      </c>
    </row>
    <row r="1595" spans="1:7">
      <c r="A1595" s="330" t="s">
        <v>421</v>
      </c>
      <c r="B1595" s="315" t="s">
        <v>1007</v>
      </c>
      <c r="C1595" s="56">
        <v>45917</v>
      </c>
      <c r="F1595" s="315" t="s">
        <v>1478</v>
      </c>
      <c r="G1595" t="s">
        <v>1562</v>
      </c>
    </row>
    <row r="1596" spans="1:7">
      <c r="A1596" s="251" t="s">
        <v>529</v>
      </c>
      <c r="B1596" s="315" t="s">
        <v>1007</v>
      </c>
      <c r="C1596" s="56">
        <v>45917</v>
      </c>
      <c r="D1596" s="43">
        <v>139</v>
      </c>
      <c r="F1596" s="753"/>
      <c r="G1596" t="s">
        <v>1562</v>
      </c>
    </row>
    <row r="1597" spans="1:7">
      <c r="A1597" s="88" t="s">
        <v>516</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548</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399</v>
      </c>
      <c r="B1603" s="251" t="s">
        <v>400</v>
      </c>
      <c r="C1603" s="56">
        <v>45918</v>
      </c>
      <c r="D1603" s="43">
        <v>499</v>
      </c>
      <c r="F1603" s="753"/>
      <c r="G1603" t="s">
        <v>1562</v>
      </c>
    </row>
    <row r="1604" spans="1:7">
      <c r="A1604" s="664" t="s">
        <v>424</v>
      </c>
      <c r="B1604" s="142" t="s">
        <v>250</v>
      </c>
      <c r="C1604" s="56">
        <v>45918</v>
      </c>
      <c r="D1604" s="156">
        <v>1076</v>
      </c>
      <c r="F1604" s="753"/>
      <c r="G1604" t="s">
        <v>1562</v>
      </c>
    </row>
    <row r="1605" spans="1:7">
      <c r="A1605" s="158" t="s">
        <v>421</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399</v>
      </c>
      <c r="B1608" s="251" t="s">
        <v>400</v>
      </c>
      <c r="C1608" s="56">
        <v>45919</v>
      </c>
      <c r="D1608" s="43">
        <v>475</v>
      </c>
      <c r="F1608" s="753"/>
      <c r="G1608" t="s">
        <v>1562</v>
      </c>
    </row>
    <row r="1609" spans="1:7">
      <c r="A1609" s="664" t="s">
        <v>424</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548</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399</v>
      </c>
      <c r="B1616" s="142" t="s">
        <v>400</v>
      </c>
      <c r="C1616" s="56">
        <v>45922</v>
      </c>
      <c r="D1616" s="43">
        <v>839</v>
      </c>
      <c r="F1616" s="753"/>
      <c r="G1616" t="s">
        <v>1562</v>
      </c>
    </row>
    <row r="1617" spans="1:7">
      <c r="A1617" s="766" t="s">
        <v>424</v>
      </c>
      <c r="B1617" s="308" t="s">
        <v>250</v>
      </c>
      <c r="C1617" s="56">
        <v>45922</v>
      </c>
      <c r="F1617" s="315" t="s">
        <v>1602</v>
      </c>
      <c r="G1617" t="s">
        <v>1562</v>
      </c>
    </row>
    <row r="1618" spans="1:7">
      <c r="A1618" s="329" t="s">
        <v>529</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548</v>
      </c>
      <c r="B1622" s="771" t="s">
        <v>143</v>
      </c>
      <c r="C1622" s="56">
        <v>45923</v>
      </c>
      <c r="D1622" s="43">
        <v>675</v>
      </c>
      <c r="F1622" s="69"/>
      <c r="G1622" t="s">
        <v>1562</v>
      </c>
    </row>
    <row r="1623" spans="1:7">
      <c r="A1623" s="69" t="s">
        <v>551</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399</v>
      </c>
      <c r="B1625" s="251" t="s">
        <v>400</v>
      </c>
      <c r="C1625" s="56">
        <v>45923</v>
      </c>
      <c r="F1625" s="779" t="s">
        <v>1607</v>
      </c>
      <c r="G1625" t="s">
        <v>1562</v>
      </c>
    </row>
    <row r="1626" spans="1:7">
      <c r="A1626" s="664" t="s">
        <v>424</v>
      </c>
      <c r="B1626" s="776" t="s">
        <v>250</v>
      </c>
      <c r="C1626" s="56">
        <v>45923</v>
      </c>
      <c r="D1626" s="43">
        <v>120</v>
      </c>
      <c r="F1626" s="69"/>
      <c r="G1626" t="s">
        <v>1562</v>
      </c>
    </row>
    <row r="1627" spans="1:7">
      <c r="A1627" s="158" t="s">
        <v>421</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554</v>
      </c>
      <c r="B1631" s="781" t="s">
        <v>143</v>
      </c>
      <c r="C1631" s="347">
        <v>45924</v>
      </c>
      <c r="D1631" s="156">
        <v>1205</v>
      </c>
      <c r="F1631" s="69" t="s">
        <v>1608</v>
      </c>
      <c r="G1631" t="s">
        <v>1562</v>
      </c>
    </row>
    <row r="1632" spans="1:7">
      <c r="A1632" s="69" t="s">
        <v>551</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548</v>
      </c>
      <c r="B1635" s="771" t="s">
        <v>143</v>
      </c>
      <c r="C1635" s="56">
        <v>45924</v>
      </c>
      <c r="D1635" s="162">
        <v>170</v>
      </c>
      <c r="F1635" s="142" t="s">
        <v>1611</v>
      </c>
      <c r="G1635" t="s">
        <v>1562</v>
      </c>
    </row>
    <row r="1636" spans="1:7">
      <c r="A1636" s="782" t="s">
        <v>399</v>
      </c>
      <c r="B1636" s="412" t="s">
        <v>400</v>
      </c>
      <c r="C1636" s="355">
        <v>45924</v>
      </c>
      <c r="D1636" s="43">
        <v>616</v>
      </c>
      <c r="F1636" s="92"/>
      <c r="G1636" t="s">
        <v>1562</v>
      </c>
    </row>
    <row r="1637" spans="1:7">
      <c r="A1637" s="664" t="s">
        <v>424</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523</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548</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513</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554</v>
      </c>
      <c r="B1647" s="771" t="s">
        <v>143</v>
      </c>
      <c r="C1647" s="56">
        <v>45925</v>
      </c>
      <c r="D1647" s="156">
        <v>1000</v>
      </c>
      <c r="F1647" s="30"/>
      <c r="G1647" t="s">
        <v>1562</v>
      </c>
    </row>
    <row r="1648" spans="1:7">
      <c r="A1648" s="69" t="s">
        <v>551</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399</v>
      </c>
      <c r="B1651" s="251" t="s">
        <v>400</v>
      </c>
      <c r="C1651" s="56">
        <v>45925</v>
      </c>
      <c r="D1651" s="43">
        <v>969</v>
      </c>
      <c r="G1651" t="s">
        <v>1562</v>
      </c>
    </row>
    <row r="1652" spans="1:7">
      <c r="A1652" s="664" t="s">
        <v>424</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400</v>
      </c>
      <c r="C1657" s="56">
        <v>45926</v>
      </c>
      <c r="D1657" s="43">
        <v>300</v>
      </c>
      <c r="G1657" t="s">
        <v>1562</v>
      </c>
    </row>
    <row r="1658" spans="1:7">
      <c r="A1658" s="308" t="s">
        <v>1057</v>
      </c>
      <c r="B1658" s="758" t="s">
        <v>1619</v>
      </c>
      <c r="C1658" s="56">
        <v>45926</v>
      </c>
      <c r="D1658" s="43">
        <v>364</v>
      </c>
      <c r="G1658" t="s">
        <v>1562</v>
      </c>
    </row>
    <row r="1659" spans="1:7">
      <c r="A1659" s="135" t="s">
        <v>399</v>
      </c>
      <c r="B1659" s="142" t="s">
        <v>400</v>
      </c>
      <c r="C1659" s="56">
        <v>45926</v>
      </c>
      <c r="D1659" s="43">
        <v>552</v>
      </c>
      <c r="G1659" t="s">
        <v>1562</v>
      </c>
    </row>
    <row r="1660" spans="1:7">
      <c r="A1660" s="766" t="s">
        <v>427</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513</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551</v>
      </c>
      <c r="B1667" s="756" t="s">
        <v>143</v>
      </c>
      <c r="C1667" s="56">
        <v>45929</v>
      </c>
      <c r="D1667" s="43">
        <v>600</v>
      </c>
      <c r="F1667" s="43" t="s">
        <v>1622</v>
      </c>
      <c r="G1667" t="s">
        <v>1562</v>
      </c>
    </row>
    <row r="1668" spans="1:7">
      <c r="A1668" s="315" t="s">
        <v>554</v>
      </c>
      <c r="B1668" s="315" t="s">
        <v>143</v>
      </c>
      <c r="C1668" s="56">
        <v>45929</v>
      </c>
      <c r="D1668" s="156">
        <v>1002</v>
      </c>
      <c r="F1668" s="43" t="s">
        <v>1623</v>
      </c>
      <c r="G1668" t="s">
        <v>1562</v>
      </c>
    </row>
    <row r="1669" spans="1:7">
      <c r="A1669" s="135" t="s">
        <v>399</v>
      </c>
      <c r="B1669" s="142" t="s">
        <v>400</v>
      </c>
      <c r="C1669" s="56">
        <v>45929</v>
      </c>
      <c r="D1669" s="156">
        <v>1375</v>
      </c>
      <c r="G1669" t="s">
        <v>1562</v>
      </c>
    </row>
    <row r="1670" spans="1:7">
      <c r="A1670" s="766" t="s">
        <v>421</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424</v>
      </c>
      <c r="B1672" s="322" t="s">
        <v>250</v>
      </c>
      <c r="C1672" s="56">
        <v>45929</v>
      </c>
      <c r="D1672" s="43">
        <v>479</v>
      </c>
      <c r="G1672" t="s">
        <v>1562</v>
      </c>
    </row>
    <row r="1673" spans="1:7">
      <c r="A1673" s="43" t="s">
        <v>427</v>
      </c>
      <c r="B1673" s="322" t="s">
        <v>250</v>
      </c>
      <c r="C1673" s="56">
        <v>45929</v>
      </c>
      <c r="D1673" s="43">
        <v>454</v>
      </c>
      <c r="G1673" t="s">
        <v>1562</v>
      </c>
    </row>
    <row r="1674" spans="1:7">
      <c r="A1674" s="315" t="s">
        <v>554</v>
      </c>
      <c r="B1674" s="315" t="s">
        <v>143</v>
      </c>
      <c r="C1674" s="56">
        <v>45930</v>
      </c>
      <c r="D1674" s="43">
        <v>268</v>
      </c>
      <c r="E1674" s="140">
        <v>413</v>
      </c>
      <c r="F1674" s="43" t="s">
        <v>1624</v>
      </c>
      <c r="G1674" t="s">
        <v>1562</v>
      </c>
    </row>
    <row r="1675" spans="1:7">
      <c r="A1675" s="88" t="s">
        <v>516</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551</v>
      </c>
      <c r="B1681" s="142" t="s">
        <v>1007</v>
      </c>
      <c r="C1681" s="314">
        <v>45930</v>
      </c>
      <c r="E1681" s="140">
        <v>886</v>
      </c>
      <c r="G1681" t="s">
        <v>1562</v>
      </c>
    </row>
    <row r="1682" spans="1:7">
      <c r="A1682" s="135" t="s">
        <v>399</v>
      </c>
      <c r="B1682" s="308" t="s">
        <v>400</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427</v>
      </c>
      <c r="B1685" s="322" t="s">
        <v>250</v>
      </c>
      <c r="C1685" s="56">
        <v>45930</v>
      </c>
      <c r="D1685" s="43">
        <v>251</v>
      </c>
      <c r="G1685" t="s">
        <v>1562</v>
      </c>
    </row>
    <row r="1686" spans="1:7">
      <c r="A1686" s="541" t="s">
        <v>523</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559</v>
      </c>
      <c r="B1692" s="756" t="s">
        <v>143</v>
      </c>
      <c r="C1692" s="56">
        <v>45931</v>
      </c>
      <c r="D1692" s="156">
        <v>1118</v>
      </c>
      <c r="G1692" t="s">
        <v>1628</v>
      </c>
    </row>
    <row r="1693" spans="1:7">
      <c r="A1693" s="135" t="s">
        <v>399</v>
      </c>
      <c r="B1693" s="142" t="s">
        <v>400</v>
      </c>
      <c r="C1693" s="56">
        <v>45931</v>
      </c>
      <c r="D1693" s="43">
        <v>312</v>
      </c>
      <c r="G1693" t="s">
        <v>1628</v>
      </c>
    </row>
    <row r="1694" spans="1:7">
      <c r="A1694" s="567" t="s">
        <v>523</v>
      </c>
      <c r="B1694" s="142" t="s">
        <v>250</v>
      </c>
      <c r="C1694" s="56">
        <v>45931</v>
      </c>
      <c r="D1694" s="43">
        <v>753</v>
      </c>
      <c r="G1694" t="s">
        <v>1628</v>
      </c>
    </row>
    <row r="1695" spans="1:7">
      <c r="A1695" s="309" t="s">
        <v>427</v>
      </c>
      <c r="B1695" s="359" t="s">
        <v>250</v>
      </c>
      <c r="C1695" s="56">
        <v>45931</v>
      </c>
      <c r="D1695" s="43">
        <v>224</v>
      </c>
      <c r="G1695" t="s">
        <v>1628</v>
      </c>
    </row>
    <row r="1696" spans="1:7">
      <c r="A1696" s="135" t="s">
        <v>516</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559</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399</v>
      </c>
      <c r="B1703" s="142" t="s">
        <v>400</v>
      </c>
      <c r="C1703" s="56">
        <v>45932</v>
      </c>
      <c r="D1703" s="156">
        <v>1304</v>
      </c>
      <c r="G1703" t="s">
        <v>1628</v>
      </c>
    </row>
    <row r="1704" spans="1:7">
      <c r="A1704" s="309" t="s">
        <v>1056</v>
      </c>
      <c r="B1704" s="309" t="s">
        <v>1007</v>
      </c>
      <c r="C1704" s="56">
        <v>45932</v>
      </c>
      <c r="D1704" s="43">
        <v>614</v>
      </c>
      <c r="G1704" t="s">
        <v>1628</v>
      </c>
    </row>
    <row r="1705" spans="1:7">
      <c r="A1705" s="567" t="s">
        <v>523</v>
      </c>
      <c r="B1705" s="142" t="s">
        <v>250</v>
      </c>
      <c r="C1705" s="56">
        <v>45932</v>
      </c>
      <c r="D1705" s="43">
        <v>305</v>
      </c>
      <c r="G1705" t="s">
        <v>1628</v>
      </c>
    </row>
    <row r="1706" spans="1:7">
      <c r="A1706" s="309" t="s">
        <v>427</v>
      </c>
      <c r="B1706" s="359" t="s">
        <v>250</v>
      </c>
      <c r="C1706" s="56">
        <v>45932</v>
      </c>
      <c r="D1706" s="43">
        <v>789</v>
      </c>
      <c r="F1706" s="43" t="s">
        <v>1634</v>
      </c>
      <c r="G1706" t="s">
        <v>1628</v>
      </c>
    </row>
    <row r="1707" spans="1:7">
      <c r="A1707" s="142" t="s">
        <v>424</v>
      </c>
      <c r="B1707" s="142" t="s">
        <v>250</v>
      </c>
      <c r="C1707" s="56">
        <v>45932</v>
      </c>
      <c r="D1707" s="43">
        <v>170</v>
      </c>
      <c r="G1707" t="s">
        <v>1628</v>
      </c>
    </row>
    <row r="1708" spans="1:7">
      <c r="A1708" s="135" t="s">
        <v>516</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399</v>
      </c>
      <c r="B1713" s="142" t="s">
        <v>400</v>
      </c>
      <c r="C1713" s="56">
        <v>45933</v>
      </c>
      <c r="D1713" s="43">
        <v>617</v>
      </c>
      <c r="G1713" t="s">
        <v>1628</v>
      </c>
    </row>
    <row r="1714" spans="1:7">
      <c r="A1714" s="309" t="s">
        <v>1056</v>
      </c>
      <c r="B1714" s="309" t="s">
        <v>1007</v>
      </c>
      <c r="C1714" s="56">
        <v>45933</v>
      </c>
      <c r="D1714" s="43">
        <v>486</v>
      </c>
      <c r="G1714" t="s">
        <v>1628</v>
      </c>
    </row>
    <row r="1715" spans="1:7">
      <c r="A1715" s="310" t="s">
        <v>427</v>
      </c>
      <c r="B1715" s="142" t="s">
        <v>250</v>
      </c>
      <c r="C1715" s="56">
        <v>45933</v>
      </c>
      <c r="F1715" s="43" t="s">
        <v>1637</v>
      </c>
      <c r="G1715" t="s">
        <v>1628</v>
      </c>
    </row>
    <row r="1716" spans="1:7">
      <c r="A1716" s="310" t="s">
        <v>424</v>
      </c>
      <c r="B1716" s="142" t="s">
        <v>250</v>
      </c>
      <c r="C1716" s="56">
        <v>45933</v>
      </c>
      <c r="F1716" s="43" t="s">
        <v>1637</v>
      </c>
      <c r="G1716" t="s">
        <v>1628</v>
      </c>
    </row>
    <row r="1717" spans="1:7">
      <c r="A1717" s="135" t="s">
        <v>1031</v>
      </c>
      <c r="B1717" s="315" t="s">
        <v>1007</v>
      </c>
      <c r="C1717" s="56">
        <v>45936</v>
      </c>
      <c r="D1717" s="43">
        <v>65</v>
      </c>
      <c r="G1717" t="s">
        <v>1628</v>
      </c>
    </row>
    <row r="1718" spans="1:7">
      <c r="A1718" s="599" t="s">
        <v>516</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559</v>
      </c>
      <c r="B1723" s="142" t="s">
        <v>143</v>
      </c>
      <c r="C1723" s="56">
        <v>45936</v>
      </c>
      <c r="D1723" s="156">
        <v>1174</v>
      </c>
      <c r="G1723" t="s">
        <v>1628</v>
      </c>
    </row>
    <row r="1724" spans="1:7">
      <c r="A1724" s="135" t="s">
        <v>399</v>
      </c>
      <c r="B1724" s="142" t="s">
        <v>400</v>
      </c>
      <c r="C1724" s="56">
        <v>45936</v>
      </c>
      <c r="D1724" s="43">
        <v>768</v>
      </c>
      <c r="G1724" t="s">
        <v>1628</v>
      </c>
    </row>
    <row r="1725" spans="1:7">
      <c r="A1725" s="309" t="s">
        <v>1056</v>
      </c>
      <c r="B1725" s="309" t="s">
        <v>763</v>
      </c>
      <c r="C1725" s="56">
        <v>45936</v>
      </c>
      <c r="D1725" s="43">
        <v>225</v>
      </c>
      <c r="G1725" t="s">
        <v>1628</v>
      </c>
    </row>
    <row r="1726" spans="1:7">
      <c r="A1726" s="565" t="s">
        <v>523</v>
      </c>
      <c r="B1726" s="310" t="s">
        <v>250</v>
      </c>
      <c r="C1726" s="56">
        <v>45936</v>
      </c>
      <c r="F1726" s="348" t="s">
        <v>1281</v>
      </c>
      <c r="G1726" t="s">
        <v>1628</v>
      </c>
    </row>
    <row r="1727" spans="1:7">
      <c r="A1727" s="315" t="s">
        <v>427</v>
      </c>
      <c r="B1727" s="315" t="s">
        <v>250</v>
      </c>
      <c r="C1727" s="56">
        <v>45936</v>
      </c>
      <c r="D1727" s="156">
        <v>1088</v>
      </c>
      <c r="F1727" s="43" t="s">
        <v>1632</v>
      </c>
      <c r="G1727" t="s">
        <v>1628</v>
      </c>
    </row>
    <row r="1728" spans="1:7">
      <c r="A1728" s="135" t="s">
        <v>516</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559</v>
      </c>
      <c r="B1733" s="142" t="s">
        <v>143</v>
      </c>
      <c r="C1733" s="314">
        <v>45937</v>
      </c>
      <c r="D1733" s="156">
        <v>1597</v>
      </c>
      <c r="F1733" s="43" t="s">
        <v>1641</v>
      </c>
      <c r="G1733" t="s">
        <v>1628</v>
      </c>
    </row>
    <row r="1734" spans="1:7">
      <c r="A1734" s="135" t="s">
        <v>399</v>
      </c>
      <c r="B1734" s="142" t="s">
        <v>400</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427</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559</v>
      </c>
      <c r="B1743" s="142" t="s">
        <v>143</v>
      </c>
      <c r="C1743" s="56">
        <v>45938</v>
      </c>
      <c r="D1743" s="43">
        <v>308</v>
      </c>
      <c r="F1743" s="43" t="s">
        <v>1644</v>
      </c>
      <c r="G1743" t="s">
        <v>1628</v>
      </c>
    </row>
    <row r="1744" spans="1:7">
      <c r="A1744" s="663" t="s">
        <v>554</v>
      </c>
      <c r="B1744" s="142" t="s">
        <v>143</v>
      </c>
      <c r="C1744" s="56">
        <v>45938</v>
      </c>
      <c r="D1744" s="43">
        <v>334</v>
      </c>
      <c r="F1744" s="43" t="s">
        <v>1579</v>
      </c>
      <c r="G1744" t="s">
        <v>1628</v>
      </c>
    </row>
    <row r="1745" spans="1:7">
      <c r="A1745" s="308" t="s">
        <v>543</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427</v>
      </c>
      <c r="B1748" s="321" t="s">
        <v>250</v>
      </c>
      <c r="C1748" s="56">
        <v>45938</v>
      </c>
      <c r="D1748" s="43">
        <v>512</v>
      </c>
      <c r="F1748" s="43" t="s">
        <v>1579</v>
      </c>
      <c r="G1748" t="s">
        <v>1628</v>
      </c>
    </row>
    <row r="1749" spans="1:7">
      <c r="A1749" s="609" t="s">
        <v>513</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559</v>
      </c>
      <c r="B1753" s="408" t="s">
        <v>143</v>
      </c>
      <c r="C1753" s="56">
        <v>45939</v>
      </c>
      <c r="F1753" s="634" t="s">
        <v>1148</v>
      </c>
      <c r="G1753" t="s">
        <v>1628</v>
      </c>
    </row>
    <row r="1754" spans="1:7">
      <c r="A1754" s="149" t="s">
        <v>543</v>
      </c>
      <c r="B1754" s="116" t="s">
        <v>1443</v>
      </c>
      <c r="C1754" s="56">
        <v>45939</v>
      </c>
      <c r="F1754" s="43" t="s">
        <v>1500</v>
      </c>
      <c r="G1754" t="s">
        <v>1628</v>
      </c>
    </row>
    <row r="1755" spans="1:7">
      <c r="A1755" s="135" t="s">
        <v>399</v>
      </c>
      <c r="B1755" s="251" t="s">
        <v>400</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427</v>
      </c>
      <c r="B1758" s="321" t="s">
        <v>250</v>
      </c>
      <c r="C1758" s="56">
        <v>45939</v>
      </c>
      <c r="D1758" s="43">
        <v>369</v>
      </c>
      <c r="G1758" t="s">
        <v>1628</v>
      </c>
    </row>
    <row r="1759" spans="1:7">
      <c r="A1759" s="116" t="s">
        <v>424</v>
      </c>
      <c r="B1759" s="321" t="s">
        <v>250</v>
      </c>
      <c r="C1759" s="56">
        <v>45939</v>
      </c>
      <c r="D1759" s="43">
        <v>725</v>
      </c>
      <c r="G1759" t="s">
        <v>1628</v>
      </c>
    </row>
    <row r="1760" spans="1:7">
      <c r="A1760" s="124" t="s">
        <v>513</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559</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404</v>
      </c>
      <c r="B1766" s="348" t="s">
        <v>1007</v>
      </c>
      <c r="C1766" s="56">
        <v>45940</v>
      </c>
      <c r="F1766" s="315" t="s">
        <v>1467</v>
      </c>
      <c r="G1766" t="s">
        <v>1628</v>
      </c>
    </row>
    <row r="1767" spans="1:7">
      <c r="A1767" s="319" t="s">
        <v>523</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521</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561</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407</v>
      </c>
      <c r="B1776" s="541" t="s">
        <v>1007</v>
      </c>
      <c r="C1776" s="56">
        <v>45943</v>
      </c>
      <c r="D1776" s="43">
        <v>60</v>
      </c>
      <c r="G1776" t="s">
        <v>1628</v>
      </c>
    </row>
    <row r="1777" spans="1:7">
      <c r="A1777" s="124" t="s">
        <v>1025</v>
      </c>
      <c r="B1777" s="315" t="s">
        <v>1007</v>
      </c>
      <c r="C1777" s="56">
        <v>45944</v>
      </c>
      <c r="D1777" s="43">
        <v>163</v>
      </c>
      <c r="G1777" t="s">
        <v>1628</v>
      </c>
    </row>
    <row r="1778" spans="1:7">
      <c r="A1778" s="632" t="s">
        <v>521</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561</v>
      </c>
      <c r="B1782" s="142" t="s">
        <v>143</v>
      </c>
      <c r="C1782" s="314">
        <v>45944</v>
      </c>
      <c r="D1782" s="43">
        <v>510</v>
      </c>
      <c r="F1782" s="43" t="s">
        <v>1655</v>
      </c>
      <c r="G1782" t="s">
        <v>1628</v>
      </c>
    </row>
    <row r="1783" spans="1:7">
      <c r="A1783" s="826" t="s">
        <v>565</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417</v>
      </c>
      <c r="B1786" s="319" t="s">
        <v>250</v>
      </c>
      <c r="C1786" s="56">
        <v>45944</v>
      </c>
      <c r="D1786" s="43">
        <v>927</v>
      </c>
      <c r="F1786" s="43" t="s">
        <v>1635</v>
      </c>
      <c r="G1786" t="s">
        <v>1628</v>
      </c>
    </row>
    <row r="1787" spans="1:7">
      <c r="A1787" s="251" t="s">
        <v>407</v>
      </c>
      <c r="B1787" s="315" t="s">
        <v>1007</v>
      </c>
      <c r="C1787" s="56">
        <v>45944</v>
      </c>
      <c r="D1787" s="43">
        <v>219</v>
      </c>
      <c r="G1787" t="s">
        <v>1628</v>
      </c>
    </row>
    <row r="1788" spans="1:7">
      <c r="A1788" s="124" t="s">
        <v>1025</v>
      </c>
      <c r="B1788" s="315" t="s">
        <v>1007</v>
      </c>
      <c r="C1788" s="56">
        <v>45945</v>
      </c>
      <c r="D1788" s="43">
        <v>535</v>
      </c>
      <c r="G1788" t="s">
        <v>1628</v>
      </c>
    </row>
    <row r="1789" spans="1:7">
      <c r="A1789" s="632" t="s">
        <v>521</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565</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399</v>
      </c>
      <c r="B1794" s="315" t="s">
        <v>1007</v>
      </c>
      <c r="C1794" s="56">
        <v>45945</v>
      </c>
      <c r="D1794" s="43">
        <v>986</v>
      </c>
      <c r="G1794" t="s">
        <v>1628</v>
      </c>
    </row>
    <row r="1795" spans="1:7">
      <c r="A1795" s="310" t="s">
        <v>420</v>
      </c>
      <c r="B1795" s="359" t="s">
        <v>1663</v>
      </c>
      <c r="C1795" s="56">
        <v>45945</v>
      </c>
      <c r="D1795" s="156">
        <v>1457</v>
      </c>
      <c r="F1795" s="43" t="s">
        <v>1664</v>
      </c>
      <c r="G1795" t="s">
        <v>1628</v>
      </c>
    </row>
    <row r="1796" spans="1:7">
      <c r="A1796" s="315" t="s">
        <v>417</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521</v>
      </c>
      <c r="B1799" s="142" t="s">
        <v>1619</v>
      </c>
      <c r="C1799" s="314">
        <v>45946</v>
      </c>
      <c r="D1799" s="43">
        <v>487</v>
      </c>
      <c r="F1799" s="43" t="s">
        <v>1666</v>
      </c>
      <c r="G1799" t="s">
        <v>1628</v>
      </c>
    </row>
    <row r="1800" spans="1:7">
      <c r="A1800" s="972" t="s">
        <v>565</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420</v>
      </c>
      <c r="B1805" s="142" t="s">
        <v>1663</v>
      </c>
      <c r="C1805" s="314">
        <v>45946</v>
      </c>
      <c r="D1805" s="156">
        <v>1142</v>
      </c>
      <c r="F1805" s="43" t="s">
        <v>1669</v>
      </c>
      <c r="G1805" t="s">
        <v>1628</v>
      </c>
    </row>
    <row r="1806" spans="1:7">
      <c r="A1806" s="308" t="s">
        <v>417</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521</v>
      </c>
      <c r="B1809" s="142" t="s">
        <v>1619</v>
      </c>
      <c r="C1809" s="56">
        <v>45947</v>
      </c>
      <c r="D1809" s="43">
        <v>123</v>
      </c>
      <c r="F1809" s="43" t="s">
        <v>1584</v>
      </c>
      <c r="G1809" t="s">
        <v>1628</v>
      </c>
    </row>
    <row r="1810" spans="1:7">
      <c r="A1810" s="702" t="s">
        <v>559</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420</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516</v>
      </c>
      <c r="B1814" s="779" t="s">
        <v>1007</v>
      </c>
      <c r="C1814" s="56">
        <v>45950</v>
      </c>
      <c r="D1814" s="43">
        <v>153</v>
      </c>
      <c r="F1814" s="988"/>
      <c r="G1814" t="s">
        <v>1628</v>
      </c>
    </row>
    <row r="1815" spans="1:7">
      <c r="A1815" s="986" t="s">
        <v>521</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523</v>
      </c>
      <c r="B1819" s="990" t="s">
        <v>1007</v>
      </c>
      <c r="C1819" s="56">
        <v>45950</v>
      </c>
      <c r="D1819" s="43">
        <v>151</v>
      </c>
      <c r="G1819" t="s">
        <v>1628</v>
      </c>
    </row>
    <row r="1820" spans="1:7">
      <c r="A1820" s="779" t="s">
        <v>420</v>
      </c>
      <c r="B1820" s="779" t="s">
        <v>1663</v>
      </c>
      <c r="C1820" s="56">
        <v>45950</v>
      </c>
      <c r="D1820" s="156">
        <v>1186</v>
      </c>
      <c r="F1820" s="43" t="s">
        <v>1503</v>
      </c>
      <c r="G1820" t="s">
        <v>1628</v>
      </c>
    </row>
    <row r="1821" spans="1:7">
      <c r="A1821" s="987" t="s">
        <v>417</v>
      </c>
      <c r="B1821" s="987" t="s">
        <v>250</v>
      </c>
      <c r="C1821" s="56">
        <v>45950</v>
      </c>
      <c r="D1821" s="156">
        <v>1100</v>
      </c>
      <c r="G1821" t="s">
        <v>1628</v>
      </c>
    </row>
    <row r="1822" spans="1:7">
      <c r="A1822" s="1006" t="s">
        <v>516</v>
      </c>
      <c r="B1822" s="998" t="s">
        <v>1007</v>
      </c>
      <c r="C1822" s="56">
        <v>45951</v>
      </c>
      <c r="D1822" s="156">
        <v>244</v>
      </c>
      <c r="G1822" t="s">
        <v>1628</v>
      </c>
    </row>
    <row r="1823" spans="1:7">
      <c r="A1823" s="88" t="s">
        <v>521</v>
      </c>
      <c r="B1823" s="993" t="s">
        <v>1619</v>
      </c>
      <c r="C1823" s="56">
        <v>45951</v>
      </c>
      <c r="D1823" s="43">
        <v>413</v>
      </c>
      <c r="F1823" s="43" t="s">
        <v>1097</v>
      </c>
      <c r="G1823" t="s">
        <v>1628</v>
      </c>
    </row>
    <row r="1824" spans="1:7">
      <c r="A1824" s="994" t="s">
        <v>565</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523</v>
      </c>
      <c r="B1828" s="998" t="s">
        <v>1007</v>
      </c>
      <c r="C1828" s="56">
        <v>45951</v>
      </c>
      <c r="D1828" s="43">
        <v>149</v>
      </c>
      <c r="G1828" t="s">
        <v>1628</v>
      </c>
    </row>
    <row r="1829" spans="1:7">
      <c r="A1829" s="752" t="s">
        <v>420</v>
      </c>
      <c r="B1829" s="116" t="s">
        <v>1663</v>
      </c>
      <c r="C1829" s="56">
        <v>45951</v>
      </c>
      <c r="D1829" s="156">
        <v>1564</v>
      </c>
      <c r="F1829" s="43" t="s">
        <v>1681</v>
      </c>
      <c r="G1829" t="s">
        <v>1628</v>
      </c>
    </row>
    <row r="1830" spans="1:7">
      <c r="A1830" s="43" t="s">
        <v>417</v>
      </c>
      <c r="B1830" s="142" t="s">
        <v>250</v>
      </c>
      <c r="C1830" s="56">
        <v>45951</v>
      </c>
      <c r="D1830" s="43">
        <v>527</v>
      </c>
      <c r="F1830" s="43" t="s">
        <v>1670</v>
      </c>
      <c r="G1830" t="s">
        <v>1628</v>
      </c>
    </row>
    <row r="1831" spans="1:7">
      <c r="A1831" s="92" t="s">
        <v>430</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521</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523</v>
      </c>
      <c r="B1837" s="1007" t="s">
        <v>1007</v>
      </c>
      <c r="C1837" s="56">
        <v>45952</v>
      </c>
      <c r="F1837" s="310" t="s">
        <v>1686</v>
      </c>
      <c r="G1837" t="s">
        <v>1628</v>
      </c>
    </row>
    <row r="1838" spans="1:7">
      <c r="A1838" s="634" t="s">
        <v>420</v>
      </c>
      <c r="B1838" s="162" t="s">
        <v>1663</v>
      </c>
      <c r="C1838" s="56">
        <v>45952</v>
      </c>
      <c r="D1838" s="156">
        <v>1012</v>
      </c>
      <c r="F1838" s="43" t="s">
        <v>1687</v>
      </c>
      <c r="G1838" t="s">
        <v>1628</v>
      </c>
    </row>
    <row r="1839" spans="1:7">
      <c r="A1839" s="43" t="s">
        <v>417</v>
      </c>
      <c r="B1839" s="322" t="s">
        <v>250</v>
      </c>
      <c r="C1839" s="56">
        <v>45952</v>
      </c>
      <c r="D1839" s="43">
        <v>553</v>
      </c>
      <c r="G1839" t="s">
        <v>1628</v>
      </c>
    </row>
    <row r="1840" spans="1:7">
      <c r="A1840" s="69" t="s">
        <v>430</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516</v>
      </c>
      <c r="B1842" s="1014" t="s">
        <v>1007</v>
      </c>
      <c r="C1842" s="56">
        <v>45953</v>
      </c>
      <c r="D1842" s="43">
        <v>237</v>
      </c>
      <c r="G1842" t="s">
        <v>1628</v>
      </c>
    </row>
    <row r="1843" spans="1:7">
      <c r="A1843" s="335" t="s">
        <v>521</v>
      </c>
      <c r="B1843" s="251" t="s">
        <v>1619</v>
      </c>
      <c r="C1843" s="314">
        <v>45953</v>
      </c>
      <c r="D1843" s="43">
        <v>844</v>
      </c>
      <c r="F1843" s="43" t="s">
        <v>1689</v>
      </c>
      <c r="G1843" t="s">
        <v>1628</v>
      </c>
    </row>
    <row r="1844" spans="1:7">
      <c r="A1844" s="335" t="s">
        <v>521</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543</v>
      </c>
      <c r="B1848" s="411" t="s">
        <v>1007</v>
      </c>
      <c r="C1848" s="56">
        <v>45953</v>
      </c>
      <c r="F1848" s="315" t="s">
        <v>1500</v>
      </c>
      <c r="G1848" t="s">
        <v>1628</v>
      </c>
    </row>
    <row r="1849" spans="1:7">
      <c r="A1849" s="969" t="s">
        <v>523</v>
      </c>
      <c r="B1849" s="1007" t="s">
        <v>1007</v>
      </c>
      <c r="C1849" s="56">
        <v>45953</v>
      </c>
      <c r="F1849" s="310" t="s">
        <v>1281</v>
      </c>
      <c r="G1849" t="s">
        <v>1628</v>
      </c>
    </row>
    <row r="1850" spans="1:7">
      <c r="A1850" s="634" t="s">
        <v>420</v>
      </c>
      <c r="B1850" s="162" t="s">
        <v>1663</v>
      </c>
      <c r="C1850" s="56">
        <v>45953</v>
      </c>
      <c r="D1850" s="43">
        <v>588</v>
      </c>
      <c r="F1850" s="43" t="s">
        <v>1694</v>
      </c>
      <c r="G1850" t="s">
        <v>1628</v>
      </c>
    </row>
    <row r="1851" spans="1:7">
      <c r="A1851" s="69" t="s">
        <v>430</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521</v>
      </c>
      <c r="B1854" s="251" t="s">
        <v>1619</v>
      </c>
      <c r="C1854" s="56">
        <v>45954</v>
      </c>
      <c r="D1854" s="43">
        <v>142</v>
      </c>
      <c r="F1854" s="43" t="s">
        <v>1696</v>
      </c>
      <c r="G1854" t="s">
        <v>1628</v>
      </c>
    </row>
    <row r="1855" spans="1:7">
      <c r="A1855" s="88" t="s">
        <v>521</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523</v>
      </c>
      <c r="B1857" s="1007" t="s">
        <v>1007</v>
      </c>
      <c r="C1857" s="56">
        <v>45954</v>
      </c>
      <c r="F1857" s="43" t="s">
        <v>1698</v>
      </c>
      <c r="G1857" t="s">
        <v>1628</v>
      </c>
    </row>
    <row r="1858" spans="1:7">
      <c r="A1858" s="634" t="s">
        <v>418</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521</v>
      </c>
      <c r="B1861" s="251" t="s">
        <v>1619</v>
      </c>
      <c r="C1861" s="56">
        <v>45957</v>
      </c>
      <c r="F1861" s="43" t="s">
        <v>1097</v>
      </c>
      <c r="G1861" t="s">
        <v>1628</v>
      </c>
    </row>
    <row r="1862" spans="1:7">
      <c r="A1862" s="88" t="s">
        <v>521</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543</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418</v>
      </c>
      <c r="B1870" s="162" t="s">
        <v>1663</v>
      </c>
      <c r="C1870" s="56">
        <v>45957</v>
      </c>
      <c r="D1870" s="156">
        <v>1323</v>
      </c>
      <c r="F1870" s="43" t="s">
        <v>1706</v>
      </c>
      <c r="G1870" t="s">
        <v>1628</v>
      </c>
    </row>
    <row r="1871" spans="1:7">
      <c r="A1871" s="43" t="s">
        <v>417</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521</v>
      </c>
      <c r="B1874" s="251" t="s">
        <v>1619</v>
      </c>
      <c r="C1874" s="56">
        <v>45958</v>
      </c>
      <c r="F1874" s="324" t="s">
        <v>1281</v>
      </c>
      <c r="G1874" t="s">
        <v>1628</v>
      </c>
    </row>
    <row r="1875" spans="1:7">
      <c r="A1875" s="88" t="s">
        <v>521</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563</v>
      </c>
      <c r="B1879" s="142" t="s">
        <v>143</v>
      </c>
      <c r="C1879" s="56">
        <v>45958</v>
      </c>
      <c r="D1879" s="156">
        <v>1509</v>
      </c>
      <c r="F1879" s="43" t="s">
        <v>1710</v>
      </c>
      <c r="G1879" t="s">
        <v>1628</v>
      </c>
    </row>
    <row r="1880" spans="1:7">
      <c r="A1880" s="1008" t="s">
        <v>557</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543</v>
      </c>
      <c r="B1882" s="171" t="s">
        <v>1007</v>
      </c>
      <c r="C1882" s="56">
        <v>45958</v>
      </c>
      <c r="D1882" s="43">
        <v>60</v>
      </c>
      <c r="E1882" s="140">
        <v>886</v>
      </c>
      <c r="F1882" s="43" t="s">
        <v>1712</v>
      </c>
      <c r="G1882" t="s">
        <v>1628</v>
      </c>
    </row>
    <row r="1883" spans="1:7">
      <c r="A1883" s="634" t="s">
        <v>418</v>
      </c>
      <c r="B1883" s="162" t="s">
        <v>1663</v>
      </c>
      <c r="C1883" s="56">
        <v>45958</v>
      </c>
      <c r="D1883" s="156">
        <v>1516</v>
      </c>
      <c r="F1883" s="43" t="s">
        <v>1713</v>
      </c>
      <c r="G1883" t="s">
        <v>1628</v>
      </c>
    </row>
    <row r="1884" spans="1:7">
      <c r="A1884" s="43" t="s">
        <v>417</v>
      </c>
      <c r="B1884" s="322" t="s">
        <v>250</v>
      </c>
      <c r="C1884" s="56">
        <v>45958</v>
      </c>
      <c r="D1884" s="156">
        <v>1224</v>
      </c>
      <c r="G1884" t="s">
        <v>1628</v>
      </c>
    </row>
    <row r="1885" spans="1:7">
      <c r="A1885" s="43" t="s">
        <v>417</v>
      </c>
      <c r="B1885" s="674" t="s">
        <v>250</v>
      </c>
      <c r="C1885" s="56">
        <v>45958</v>
      </c>
      <c r="D1885" s="156">
        <v>423</v>
      </c>
      <c r="G1885" t="s">
        <v>1628</v>
      </c>
    </row>
    <row r="1886" spans="1:7">
      <c r="A1886" s="88" t="s">
        <v>513</v>
      </c>
      <c r="B1886" s="411" t="s">
        <v>1007</v>
      </c>
      <c r="C1886" s="56">
        <v>45959</v>
      </c>
      <c r="D1886" s="43">
        <v>171</v>
      </c>
      <c r="G1886" t="s">
        <v>1628</v>
      </c>
    </row>
    <row r="1887" spans="1:7">
      <c r="A1887" s="88" t="s">
        <v>521</v>
      </c>
      <c r="B1887" s="251" t="s">
        <v>1619</v>
      </c>
      <c r="C1887" s="56">
        <v>45959</v>
      </c>
      <c r="F1887" s="43" t="s">
        <v>1714</v>
      </c>
      <c r="G1887" t="s">
        <v>1628</v>
      </c>
    </row>
    <row r="1888" spans="1:7">
      <c r="A1888" s="88" t="s">
        <v>521</v>
      </c>
      <c r="B1888" s="251" t="s">
        <v>1715</v>
      </c>
      <c r="C1888" s="56">
        <v>45959</v>
      </c>
      <c r="D1888" s="156">
        <v>1147</v>
      </c>
      <c r="F1888" s="43" t="s">
        <v>1716</v>
      </c>
      <c r="G1888" t="s">
        <v>1628</v>
      </c>
    </row>
    <row r="1889" spans="1:7">
      <c r="A1889" s="88" t="s">
        <v>521</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563</v>
      </c>
      <c r="B1893" s="674" t="s">
        <v>143</v>
      </c>
      <c r="C1893" s="56">
        <v>45959</v>
      </c>
      <c r="D1893" s="156">
        <v>1087</v>
      </c>
      <c r="F1893" s="43" t="s">
        <v>1719</v>
      </c>
      <c r="G1893" t="s">
        <v>1628</v>
      </c>
    </row>
    <row r="1894" spans="1:7">
      <c r="A1894" s="1032" t="s">
        <v>418</v>
      </c>
      <c r="B1894" s="162" t="s">
        <v>1663</v>
      </c>
      <c r="C1894" s="56">
        <v>45959</v>
      </c>
      <c r="D1894" s="43">
        <v>790</v>
      </c>
      <c r="F1894" s="43" t="s">
        <v>1720</v>
      </c>
      <c r="G1894" t="s">
        <v>1628</v>
      </c>
    </row>
    <row r="1895" spans="1:7">
      <c r="A1895" s="43" t="s">
        <v>417</v>
      </c>
      <c r="B1895" s="674" t="s">
        <v>250</v>
      </c>
      <c r="C1895" s="56">
        <v>45959</v>
      </c>
      <c r="D1895" s="43">
        <v>343</v>
      </c>
      <c r="G1895" t="s">
        <v>1628</v>
      </c>
    </row>
    <row r="1896" spans="1:7">
      <c r="A1896" s="69" t="s">
        <v>413</v>
      </c>
      <c r="B1896" s="43" t="s">
        <v>250</v>
      </c>
      <c r="C1896" s="56">
        <v>45959</v>
      </c>
      <c r="D1896" s="156">
        <v>3179</v>
      </c>
      <c r="G1896" t="s">
        <v>1628</v>
      </c>
    </row>
    <row r="1897" spans="1:7">
      <c r="A1897" s="315" t="s">
        <v>399</v>
      </c>
      <c r="B1897" s="315" t="s">
        <v>1007</v>
      </c>
      <c r="C1897" s="56">
        <v>45959</v>
      </c>
      <c r="F1897" s="43" t="s">
        <v>1721</v>
      </c>
      <c r="G1897" t="s">
        <v>1628</v>
      </c>
    </row>
    <row r="1898" spans="1:7">
      <c r="A1898" s="319" t="s">
        <v>523</v>
      </c>
      <c r="B1898" s="319" t="s">
        <v>1007</v>
      </c>
      <c r="C1898" s="56">
        <v>45959</v>
      </c>
      <c r="E1898" s="325">
        <v>5475</v>
      </c>
      <c r="F1898" s="43" t="s">
        <v>1722</v>
      </c>
      <c r="G1898" t="s">
        <v>1628</v>
      </c>
    </row>
    <row r="1899" spans="1:7">
      <c r="A1899" s="88" t="s">
        <v>521</v>
      </c>
      <c r="B1899" s="251" t="s">
        <v>1619</v>
      </c>
      <c r="C1899" s="56">
        <v>45960</v>
      </c>
      <c r="F1899" s="324" t="s">
        <v>1723</v>
      </c>
      <c r="G1899" t="s">
        <v>1628</v>
      </c>
    </row>
    <row r="1900" spans="1:7">
      <c r="A1900" s="88" t="s">
        <v>521</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563</v>
      </c>
      <c r="B1904" s="322" t="s">
        <v>143</v>
      </c>
      <c r="C1904" s="56">
        <v>45960</v>
      </c>
      <c r="D1904" s="43">
        <v>777</v>
      </c>
      <c r="F1904" s="43" t="s">
        <v>1728</v>
      </c>
      <c r="G1904" t="s">
        <v>1628</v>
      </c>
    </row>
    <row r="1905" spans="1:7">
      <c r="A1905" s="43" t="s">
        <v>557</v>
      </c>
      <c r="B1905" s="1053" t="s">
        <v>143</v>
      </c>
      <c r="C1905" s="56">
        <v>45960</v>
      </c>
      <c r="D1905" s="43">
        <v>394</v>
      </c>
      <c r="E1905" s="325">
        <v>1275</v>
      </c>
      <c r="F1905" s="43" t="s">
        <v>1729</v>
      </c>
      <c r="G1905" t="s">
        <v>1628</v>
      </c>
    </row>
    <row r="1906" spans="1:7">
      <c r="A1906" s="1054" t="s">
        <v>461</v>
      </c>
      <c r="B1906" s="171" t="s">
        <v>143</v>
      </c>
      <c r="C1906" s="56">
        <v>45960</v>
      </c>
      <c r="D1906" s="43">
        <v>978</v>
      </c>
      <c r="G1906" t="s">
        <v>1628</v>
      </c>
    </row>
    <row r="1907" spans="1:7">
      <c r="A1907" s="171" t="s">
        <v>467</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561</v>
      </c>
      <c r="B1909" s="171" t="s">
        <v>143</v>
      </c>
      <c r="C1909" s="56">
        <v>45960</v>
      </c>
      <c r="D1909" s="140"/>
      <c r="E1909" s="43"/>
      <c r="F1909" s="155" t="s">
        <v>1730</v>
      </c>
      <c r="G1909" t="s">
        <v>1628</v>
      </c>
    </row>
    <row r="1910" spans="1:7">
      <c r="A1910" s="43" t="s">
        <v>417</v>
      </c>
      <c r="B1910" s="322" t="s">
        <v>250</v>
      </c>
      <c r="C1910" s="56">
        <v>45960</v>
      </c>
      <c r="E1910" s="257"/>
      <c r="F1910" s="631" t="s">
        <v>1318</v>
      </c>
      <c r="G1910" t="s">
        <v>1628</v>
      </c>
    </row>
    <row r="1911" spans="1:7">
      <c r="A1911" s="634" t="s">
        <v>418</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399</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521</v>
      </c>
      <c r="B1915" s="251" t="s">
        <v>1619</v>
      </c>
      <c r="C1915" s="56">
        <v>45961</v>
      </c>
      <c r="F1915" s="324" t="s">
        <v>1304</v>
      </c>
      <c r="G1915" t="s">
        <v>1628</v>
      </c>
    </row>
    <row r="1916" spans="1:7">
      <c r="A1916" s="88" t="s">
        <v>521</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563</v>
      </c>
      <c r="B1920" s="142" t="s">
        <v>143</v>
      </c>
      <c r="C1920" s="56">
        <v>45961</v>
      </c>
      <c r="F1920" s="69" t="s">
        <v>1735</v>
      </c>
      <c r="G1920" t="s">
        <v>1628</v>
      </c>
    </row>
    <row r="1921" spans="1:7">
      <c r="A1921" s="43" t="s">
        <v>563</v>
      </c>
      <c r="B1921" s="408" t="s">
        <v>1007</v>
      </c>
      <c r="C1921" s="56">
        <v>45961</v>
      </c>
      <c r="E1921" s="325">
        <v>1862</v>
      </c>
      <c r="F1921" s="634" t="s">
        <v>1451</v>
      </c>
      <c r="G1921" t="s">
        <v>1628</v>
      </c>
    </row>
    <row r="1922" spans="1:7">
      <c r="A1922" s="43" t="s">
        <v>537</v>
      </c>
      <c r="B1922" s="171" t="s">
        <v>1007</v>
      </c>
      <c r="C1922" s="56">
        <v>45961</v>
      </c>
      <c r="D1922" s="43">
        <v>60</v>
      </c>
      <c r="G1922" t="s">
        <v>1628</v>
      </c>
    </row>
    <row r="1923" spans="1:7">
      <c r="A1923" s="634" t="s">
        <v>418</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430</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521</v>
      </c>
      <c r="B1927" s="319" t="s">
        <v>1715</v>
      </c>
      <c r="C1927" s="56">
        <v>45964</v>
      </c>
      <c r="F1927" s="324" t="s">
        <v>1388</v>
      </c>
      <c r="G1927" t="s">
        <v>1738</v>
      </c>
    </row>
    <row r="1928" spans="1:7">
      <c r="A1928" s="308" t="s">
        <v>461</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467</v>
      </c>
      <c r="B1932" s="308" t="s">
        <v>1007</v>
      </c>
      <c r="C1932" s="56">
        <v>45964</v>
      </c>
      <c r="D1932" s="43">
        <v>259</v>
      </c>
      <c r="G1932" t="s">
        <v>1738</v>
      </c>
    </row>
    <row r="1933" spans="1:7">
      <c r="A1933" s="142" t="s">
        <v>430</v>
      </c>
      <c r="B1933" s="322" t="s">
        <v>1663</v>
      </c>
      <c r="C1933" s="56">
        <v>45964</v>
      </c>
      <c r="D1933" s="43">
        <v>463</v>
      </c>
      <c r="G1933" t="s">
        <v>1738</v>
      </c>
    </row>
    <row r="1934" spans="1:7">
      <c r="A1934" s="309" t="s">
        <v>413</v>
      </c>
      <c r="B1934" s="308" t="s">
        <v>250</v>
      </c>
      <c r="C1934" s="56">
        <v>45964</v>
      </c>
      <c r="D1934" s="43">
        <v>882</v>
      </c>
      <c r="F1934" s="43" t="s">
        <v>1741</v>
      </c>
      <c r="G1934" t="s">
        <v>1738</v>
      </c>
    </row>
    <row r="1935" spans="1:7">
      <c r="A1935" s="142" t="s">
        <v>399</v>
      </c>
      <c r="B1935" s="360" t="s">
        <v>1007</v>
      </c>
      <c r="C1935" s="56">
        <v>45964</v>
      </c>
      <c r="F1935" s="43" t="s">
        <v>1474</v>
      </c>
      <c r="G1935" t="s">
        <v>1738</v>
      </c>
    </row>
    <row r="1936" spans="1:7">
      <c r="A1936" s="142" t="s">
        <v>399</v>
      </c>
      <c r="B1936" s="360" t="s">
        <v>1742</v>
      </c>
      <c r="C1936" s="56">
        <v>45964</v>
      </c>
      <c r="E1936" s="325">
        <v>3846</v>
      </c>
      <c r="F1936" s="43" t="s">
        <v>1743</v>
      </c>
      <c r="G1936" t="s">
        <v>1738</v>
      </c>
    </row>
    <row r="1937" spans="1:7">
      <c r="A1937" s="142" t="s">
        <v>399</v>
      </c>
      <c r="B1937" s="360" t="s">
        <v>400</v>
      </c>
      <c r="C1937" s="56">
        <v>45964</v>
      </c>
      <c r="F1937" s="961" t="s">
        <v>1744</v>
      </c>
      <c r="G1937" t="s">
        <v>1738</v>
      </c>
    </row>
    <row r="1938" spans="1:7">
      <c r="A1938" s="142" t="s">
        <v>432</v>
      </c>
      <c r="B1938" s="1062" t="s">
        <v>1007</v>
      </c>
      <c r="C1938" s="56">
        <v>45964</v>
      </c>
      <c r="D1938" s="43">
        <v>207</v>
      </c>
      <c r="G1938" t="s">
        <v>1738</v>
      </c>
    </row>
    <row r="1939" spans="1:7">
      <c r="A1939" s="142" t="s">
        <v>484</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521</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461</v>
      </c>
      <c r="B1946" s="142" t="s">
        <v>143</v>
      </c>
      <c r="C1946" s="56">
        <v>45965</v>
      </c>
      <c r="D1946" s="43">
        <v>990</v>
      </c>
      <c r="F1946" s="43" t="s">
        <v>1143</v>
      </c>
      <c r="G1946" t="s">
        <v>1738</v>
      </c>
    </row>
    <row r="1947" spans="1:7">
      <c r="A1947" s="43" t="s">
        <v>467</v>
      </c>
      <c r="B1947" s="43" t="s">
        <v>1747</v>
      </c>
      <c r="C1947" s="56">
        <v>45965</v>
      </c>
      <c r="D1947" s="43">
        <v>817</v>
      </c>
      <c r="G1947" t="s">
        <v>1738</v>
      </c>
    </row>
    <row r="1948" spans="1:7">
      <c r="A1948" s="43" t="s">
        <v>467</v>
      </c>
      <c r="B1948" s="43" t="s">
        <v>1007</v>
      </c>
      <c r="C1948" s="56">
        <v>45965</v>
      </c>
      <c r="D1948" s="43">
        <v>270</v>
      </c>
      <c r="G1948" t="s">
        <v>1738</v>
      </c>
    </row>
    <row r="1949" spans="1:7">
      <c r="A1949" s="634" t="s">
        <v>430</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413</v>
      </c>
      <c r="B1951" s="43" t="s">
        <v>250</v>
      </c>
      <c r="C1951" s="56">
        <v>45965</v>
      </c>
      <c r="D1951" s="156">
        <v>1072</v>
      </c>
      <c r="F1951" s="43" t="s">
        <v>1749</v>
      </c>
      <c r="G1951" t="s">
        <v>1738</v>
      </c>
    </row>
    <row r="1952" spans="1:7">
      <c r="A1952" s="1064" t="s">
        <v>420</v>
      </c>
      <c r="B1952" s="776" t="s">
        <v>1663</v>
      </c>
      <c r="C1952" s="56">
        <v>45965</v>
      </c>
      <c r="F1952" s="961" t="s">
        <v>1162</v>
      </c>
      <c r="G1952" t="s">
        <v>1738</v>
      </c>
    </row>
    <row r="1953" spans="1:7">
      <c r="A1953" s="382" t="s">
        <v>539</v>
      </c>
      <c r="B1953" s="116" t="s">
        <v>1007</v>
      </c>
      <c r="C1953" s="56">
        <v>45965</v>
      </c>
      <c r="E1953" s="204"/>
      <c r="F1953" s="961" t="s">
        <v>1445</v>
      </c>
      <c r="G1953" t="s">
        <v>1738</v>
      </c>
    </row>
    <row r="1954" spans="1:7">
      <c r="A1954" s="251" t="s">
        <v>484</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461</v>
      </c>
      <c r="B1959" s="308" t="s">
        <v>143</v>
      </c>
      <c r="C1959" s="56">
        <v>45966</v>
      </c>
      <c r="D1959" s="43">
        <v>549</v>
      </c>
      <c r="F1959" s="43" t="s">
        <v>1165</v>
      </c>
      <c r="G1959" t="s">
        <v>1738</v>
      </c>
    </row>
    <row r="1960" spans="1:7">
      <c r="A1960" s="308" t="s">
        <v>467</v>
      </c>
      <c r="B1960" s="308" t="s">
        <v>1747</v>
      </c>
      <c r="C1960" s="56">
        <v>45966</v>
      </c>
      <c r="D1960" s="156">
        <v>1377</v>
      </c>
      <c r="G1960" t="s">
        <v>1738</v>
      </c>
    </row>
    <row r="1961" spans="1:7">
      <c r="A1961" s="308" t="s">
        <v>467</v>
      </c>
      <c r="B1961" s="308" t="s">
        <v>1007</v>
      </c>
      <c r="C1961" s="56">
        <v>45966</v>
      </c>
      <c r="D1961" s="43">
        <v>829</v>
      </c>
      <c r="G1961" t="s">
        <v>1738</v>
      </c>
    </row>
    <row r="1962" spans="1:7">
      <c r="A1962" s="308" t="s">
        <v>573</v>
      </c>
      <c r="B1962" s="308" t="s">
        <v>143</v>
      </c>
      <c r="C1962" s="56">
        <v>45966</v>
      </c>
      <c r="D1962" s="156">
        <v>1031</v>
      </c>
      <c r="G1962" t="s">
        <v>1738</v>
      </c>
    </row>
    <row r="1963" spans="1:7">
      <c r="A1963" s="142" t="s">
        <v>430</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413</v>
      </c>
      <c r="B1965" s="308" t="s">
        <v>250</v>
      </c>
      <c r="C1965" s="56">
        <v>45966</v>
      </c>
      <c r="D1965" s="156">
        <v>1034</v>
      </c>
      <c r="G1965" t="s">
        <v>1738</v>
      </c>
    </row>
    <row r="1966" spans="1:7">
      <c r="A1966" s="315" t="s">
        <v>407</v>
      </c>
      <c r="B1966" s="1065" t="s">
        <v>1443</v>
      </c>
      <c r="C1966" s="56">
        <v>45966</v>
      </c>
      <c r="D1966" s="43">
        <v>150</v>
      </c>
      <c r="G1966" t="s">
        <v>1738</v>
      </c>
    </row>
    <row r="1967" spans="1:7">
      <c r="A1967" s="251" t="s">
        <v>399</v>
      </c>
      <c r="B1967" s="158" t="s">
        <v>1742</v>
      </c>
      <c r="C1967" s="56">
        <v>45966</v>
      </c>
      <c r="E1967" s="1072">
        <v>13112</v>
      </c>
      <c r="F1967" s="116" t="s">
        <v>1752</v>
      </c>
      <c r="G1967" t="s">
        <v>1738</v>
      </c>
    </row>
    <row r="1968" spans="1:7">
      <c r="A1968" s="251" t="s">
        <v>484</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467</v>
      </c>
      <c r="B1974" s="43" t="s">
        <v>1747</v>
      </c>
      <c r="C1974" s="56">
        <v>45967</v>
      </c>
      <c r="D1974" s="43">
        <v>183</v>
      </c>
      <c r="G1974" t="s">
        <v>1738</v>
      </c>
    </row>
    <row r="1975" spans="1:7">
      <c r="A1975" s="43" t="s">
        <v>467</v>
      </c>
      <c r="B1975" s="43" t="s">
        <v>1007</v>
      </c>
      <c r="C1975" s="56">
        <v>45967</v>
      </c>
      <c r="D1975" s="43">
        <v>270</v>
      </c>
      <c r="G1975" t="s">
        <v>1738</v>
      </c>
    </row>
    <row r="1976" spans="1:7">
      <c r="A1976" s="634" t="s">
        <v>430</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413</v>
      </c>
      <c r="B1978" s="43" t="s">
        <v>250</v>
      </c>
      <c r="C1978" s="56">
        <v>45967</v>
      </c>
      <c r="D1978" s="43">
        <v>209</v>
      </c>
      <c r="G1978" t="s">
        <v>1738</v>
      </c>
    </row>
    <row r="1979" spans="1:7">
      <c r="A1979" s="634" t="s">
        <v>429</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519</v>
      </c>
      <c r="B1983" s="357" t="s">
        <v>1690</v>
      </c>
      <c r="C1983" s="56">
        <v>45968</v>
      </c>
      <c r="D1983" s="43">
        <v>451</v>
      </c>
      <c r="G1983" t="s">
        <v>1738</v>
      </c>
    </row>
    <row r="1984" spans="1:7">
      <c r="A1984" s="308" t="s">
        <v>467</v>
      </c>
      <c r="B1984" s="142" t="s">
        <v>1747</v>
      </c>
      <c r="C1984" s="56">
        <v>45968</v>
      </c>
      <c r="G1984" t="s">
        <v>1738</v>
      </c>
    </row>
    <row r="1985" spans="1:7">
      <c r="A1985" s="142" t="s">
        <v>429</v>
      </c>
      <c r="B1985" s="308" t="s">
        <v>1007</v>
      </c>
      <c r="C1985" s="56">
        <v>45968</v>
      </c>
      <c r="D1985" s="43">
        <v>350</v>
      </c>
      <c r="G1985" t="s">
        <v>1738</v>
      </c>
    </row>
    <row r="1986" spans="1:7">
      <c r="A1986" s="142" t="s">
        <v>429</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418</v>
      </c>
      <c r="B1988" s="776" t="s">
        <v>1663</v>
      </c>
      <c r="C1988" s="56">
        <v>45968</v>
      </c>
      <c r="F1988" s="315" t="s">
        <v>1388</v>
      </c>
      <c r="G1988" t="s">
        <v>1738</v>
      </c>
    </row>
    <row r="1989" spans="1:7">
      <c r="A1989" s="251" t="s">
        <v>427</v>
      </c>
      <c r="B1989" s="43" t="s">
        <v>250</v>
      </c>
      <c r="C1989" s="56">
        <v>45968</v>
      </c>
      <c r="D1989" s="43">
        <v>569</v>
      </c>
      <c r="G1989" t="s">
        <v>1738</v>
      </c>
    </row>
    <row r="1990" spans="1:7">
      <c r="A1990" s="251" t="s">
        <v>499</v>
      </c>
      <c r="B1990" s="43" t="s">
        <v>143</v>
      </c>
      <c r="C1990" s="56">
        <v>45968</v>
      </c>
      <c r="D1990" s="156">
        <v>2948</v>
      </c>
      <c r="G1990" t="s">
        <v>1738</v>
      </c>
    </row>
    <row r="1991" spans="1:7">
      <c r="A1991" s="993" t="s">
        <v>521</v>
      </c>
      <c r="B1991" s="357" t="s">
        <v>1690</v>
      </c>
      <c r="C1991" s="56">
        <v>45971</v>
      </c>
      <c r="D1991" s="156">
        <v>560</v>
      </c>
      <c r="G1991" t="s">
        <v>1738</v>
      </c>
    </row>
    <row r="1992" spans="1:7">
      <c r="A1992" s="315" t="s">
        <v>467</v>
      </c>
      <c r="B1992" s="315" t="s">
        <v>1007</v>
      </c>
      <c r="C1992" s="56">
        <v>45971</v>
      </c>
      <c r="D1992" s="43">
        <v>558</v>
      </c>
      <c r="G1992" t="s">
        <v>1738</v>
      </c>
    </row>
    <row r="1993" spans="1:7">
      <c r="A1993" s="315" t="s">
        <v>467</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461</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413</v>
      </c>
      <c r="B1998" s="823" t="s">
        <v>250</v>
      </c>
      <c r="C1998" s="56">
        <v>45971</v>
      </c>
      <c r="D1998" s="43">
        <v>96</v>
      </c>
      <c r="G1998" t="s">
        <v>1738</v>
      </c>
    </row>
    <row r="1999" spans="1:7">
      <c r="A1999" s="308" t="s">
        <v>256</v>
      </c>
      <c r="B1999" s="360" t="s">
        <v>1737</v>
      </c>
      <c r="C1999" s="56">
        <v>45971</v>
      </c>
      <c r="D1999" s="43">
        <v>562</v>
      </c>
      <c r="G1999" t="s">
        <v>1738</v>
      </c>
    </row>
    <row r="2000" spans="1:7">
      <c r="A2000" s="142" t="s">
        <v>415</v>
      </c>
      <c r="B2000" s="823" t="s">
        <v>250</v>
      </c>
      <c r="C2000" s="56">
        <v>45971</v>
      </c>
      <c r="D2000" s="43">
        <v>435</v>
      </c>
      <c r="F2000" s="43" t="s">
        <v>1762</v>
      </c>
      <c r="G2000" t="s">
        <v>1738</v>
      </c>
    </row>
    <row r="2001" spans="1:7">
      <c r="A2001" s="1073" t="s">
        <v>499</v>
      </c>
      <c r="B2001" s="315" t="s">
        <v>143</v>
      </c>
      <c r="C2001" s="56">
        <v>45971</v>
      </c>
      <c r="D2001" s="156">
        <v>4084</v>
      </c>
      <c r="G2001" t="s">
        <v>1738</v>
      </c>
    </row>
    <row r="2002" spans="1:7">
      <c r="A2002" s="142" t="s">
        <v>461</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420</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467</v>
      </c>
      <c r="B2007" s="43" t="s">
        <v>1443</v>
      </c>
      <c r="C2007" s="56">
        <v>45973</v>
      </c>
      <c r="F2007" s="315" t="s">
        <v>1450</v>
      </c>
      <c r="G2007" t="s">
        <v>1738</v>
      </c>
    </row>
    <row r="2008" spans="1:7">
      <c r="A2008" s="43" t="s">
        <v>444</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442</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418</v>
      </c>
      <c r="B2014" s="43" t="s">
        <v>1663</v>
      </c>
      <c r="C2014" s="56">
        <v>45973</v>
      </c>
      <c r="F2014" s="315" t="s">
        <v>1769</v>
      </c>
      <c r="G2014" t="s">
        <v>1738</v>
      </c>
    </row>
    <row r="2015" spans="1:7">
      <c r="A2015" s="634" t="s">
        <v>435</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499</v>
      </c>
      <c r="B2017" s="43" t="s">
        <v>143</v>
      </c>
      <c r="C2017" s="56">
        <v>45973</v>
      </c>
      <c r="D2017" s="43">
        <v>242</v>
      </c>
      <c r="G2017" t="s">
        <v>1738</v>
      </c>
    </row>
    <row r="2018" spans="1:7">
      <c r="A2018" s="43" t="s">
        <v>494</v>
      </c>
      <c r="B2018" s="43" t="s">
        <v>143</v>
      </c>
      <c r="C2018" s="56">
        <v>45973</v>
      </c>
      <c r="D2018" s="156">
        <v>1264</v>
      </c>
      <c r="G2018" t="s">
        <v>1738</v>
      </c>
    </row>
    <row r="2019" spans="1:7">
      <c r="A2019" s="43" t="s">
        <v>501</v>
      </c>
      <c r="B2019" s="43" t="s">
        <v>143</v>
      </c>
      <c r="C2019" s="56">
        <v>45973</v>
      </c>
      <c r="D2019" s="156">
        <v>3678</v>
      </c>
      <c r="G2019" t="s">
        <v>1738</v>
      </c>
    </row>
    <row r="2020" spans="1:7">
      <c r="A2020" s="43" t="s">
        <v>467</v>
      </c>
      <c r="B2020" s="43" t="s">
        <v>1443</v>
      </c>
      <c r="C2020" s="56">
        <v>45974</v>
      </c>
      <c r="F2020" s="43" t="s">
        <v>1511</v>
      </c>
      <c r="G2020" t="s">
        <v>1738</v>
      </c>
    </row>
    <row r="2021" spans="1:7">
      <c r="A2021" s="43" t="s">
        <v>444</v>
      </c>
      <c r="B2021" s="43" t="s">
        <v>143</v>
      </c>
      <c r="C2021" s="56">
        <v>45974</v>
      </c>
      <c r="D2021" s="156">
        <v>1258</v>
      </c>
      <c r="F2021" s="43" t="s">
        <v>1771</v>
      </c>
      <c r="G2021" t="s">
        <v>1738</v>
      </c>
    </row>
    <row r="2022" spans="1:7">
      <c r="A2022" s="43" t="s">
        <v>442</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415</v>
      </c>
      <c r="B2026" s="1132" t="s">
        <v>250</v>
      </c>
      <c r="C2026" s="56">
        <v>45974</v>
      </c>
      <c r="D2026" s="156">
        <v>1123</v>
      </c>
      <c r="F2026" s="43" t="s">
        <v>1774</v>
      </c>
      <c r="G2026" t="s">
        <v>1738</v>
      </c>
    </row>
    <row r="2027" spans="1:7">
      <c r="A2027" s="634" t="s">
        <v>435</v>
      </c>
      <c r="B2027" s="43" t="s">
        <v>1663</v>
      </c>
      <c r="C2027" s="56">
        <v>45974</v>
      </c>
      <c r="D2027" s="156">
        <v>2912</v>
      </c>
      <c r="G2027" t="s">
        <v>1738</v>
      </c>
    </row>
    <row r="2028" spans="1:7">
      <c r="A2028" s="634" t="s">
        <v>404</v>
      </c>
      <c r="B2028" s="43" t="s">
        <v>1443</v>
      </c>
      <c r="C2028" s="56">
        <v>45974</v>
      </c>
      <c r="F2028" s="43" t="s">
        <v>1165</v>
      </c>
      <c r="G2028" t="s">
        <v>1738</v>
      </c>
    </row>
    <row r="2029" spans="1:7">
      <c r="A2029" s="43" t="s">
        <v>501</v>
      </c>
      <c r="B2029" s="43" t="s">
        <v>143</v>
      </c>
      <c r="C2029" s="56">
        <v>45974</v>
      </c>
      <c r="D2029" s="156">
        <v>3382</v>
      </c>
      <c r="G2029" t="s">
        <v>1738</v>
      </c>
    </row>
    <row r="2030" spans="1:7">
      <c r="A2030" s="43" t="s">
        <v>494</v>
      </c>
      <c r="B2030" s="43" t="s">
        <v>143</v>
      </c>
      <c r="C2030" s="56">
        <v>45974</v>
      </c>
      <c r="D2030" s="156">
        <v>1281</v>
      </c>
      <c r="G2030" t="s">
        <v>1738</v>
      </c>
    </row>
    <row r="2031" spans="1:7">
      <c r="A2031" s="251" t="s">
        <v>395</v>
      </c>
      <c r="B2031" s="43" t="s">
        <v>143</v>
      </c>
      <c r="C2031" s="56">
        <v>45974</v>
      </c>
      <c r="D2031" s="43">
        <v>424</v>
      </c>
      <c r="G2031" t="s">
        <v>1738</v>
      </c>
    </row>
    <row r="2032" spans="1:7">
      <c r="A2032" s="251" t="s">
        <v>359</v>
      </c>
      <c r="B2032" s="43" t="s">
        <v>143</v>
      </c>
      <c r="C2032" s="56">
        <v>45974</v>
      </c>
      <c r="D2032" s="43">
        <v>598</v>
      </c>
      <c r="G2032" t="s">
        <v>1738</v>
      </c>
    </row>
    <row r="2033" spans="1:7">
      <c r="A2033" s="142" t="s">
        <v>467</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435</v>
      </c>
      <c r="B2038" s="319" t="s">
        <v>1663</v>
      </c>
      <c r="C2038" s="56">
        <v>45975</v>
      </c>
      <c r="D2038" s="156">
        <v>2125</v>
      </c>
      <c r="G2038" t="s">
        <v>1738</v>
      </c>
    </row>
    <row r="2039" spans="1:7">
      <c r="A2039" s="142" t="s">
        <v>467</v>
      </c>
      <c r="B2039" s="142" t="s">
        <v>1443</v>
      </c>
      <c r="C2039" s="56">
        <v>45978</v>
      </c>
      <c r="D2039" s="43">
        <v>127</v>
      </c>
      <c r="G2039" t="s">
        <v>1738</v>
      </c>
    </row>
    <row r="2040" spans="1:7">
      <c r="A2040" s="142" t="s">
        <v>467</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449</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446</v>
      </c>
      <c r="B2044" s="360" t="s">
        <v>143</v>
      </c>
      <c r="C2044" s="56">
        <v>45978</v>
      </c>
      <c r="D2044" s="43">
        <v>762</v>
      </c>
      <c r="G2044" t="s">
        <v>1738</v>
      </c>
    </row>
    <row r="2045" spans="1:7">
      <c r="A2045" s="142" t="s">
        <v>442</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435</v>
      </c>
      <c r="B2049" s="308" t="s">
        <v>1663</v>
      </c>
      <c r="C2049" s="56">
        <v>45978</v>
      </c>
      <c r="D2049" s="156">
        <v>1449</v>
      </c>
      <c r="G2049" t="s">
        <v>1738</v>
      </c>
    </row>
    <row r="2050" spans="1:7">
      <c r="A2050" s="142" t="s">
        <v>356</v>
      </c>
      <c r="B2050" s="142" t="s">
        <v>143</v>
      </c>
      <c r="C2050" s="56">
        <v>45978</v>
      </c>
      <c r="D2050" s="156">
        <v>5466</v>
      </c>
      <c r="G2050" t="s">
        <v>1738</v>
      </c>
    </row>
    <row r="2051" spans="1:7">
      <c r="A2051" s="308" t="s">
        <v>494</v>
      </c>
      <c r="B2051" s="308" t="s">
        <v>143</v>
      </c>
      <c r="C2051" s="56">
        <v>45978</v>
      </c>
      <c r="D2051" s="156">
        <v>1662</v>
      </c>
      <c r="G2051" t="s">
        <v>1738</v>
      </c>
    </row>
    <row r="2052" spans="1:7">
      <c r="A2052" s="308" t="s">
        <v>359</v>
      </c>
      <c r="B2052" s="308" t="s">
        <v>143</v>
      </c>
      <c r="C2052" s="56">
        <v>45978</v>
      </c>
      <c r="D2052" s="156">
        <v>1498</v>
      </c>
      <c r="G2052" t="s">
        <v>1738</v>
      </c>
    </row>
    <row r="2053" spans="1:7">
      <c r="A2053" s="308" t="s">
        <v>521</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452</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446</v>
      </c>
      <c r="B2059" s="43" t="s">
        <v>143</v>
      </c>
      <c r="C2059" s="56">
        <v>45979</v>
      </c>
      <c r="D2059" s="156">
        <v>1530</v>
      </c>
      <c r="F2059" s="43" t="s">
        <v>1782</v>
      </c>
      <c r="G2059" t="s">
        <v>1738</v>
      </c>
    </row>
    <row r="2060" spans="1:7">
      <c r="A2060" s="752" t="s">
        <v>410</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415</v>
      </c>
      <c r="B2062" s="674" t="s">
        <v>250</v>
      </c>
      <c r="C2062" s="56">
        <v>45979</v>
      </c>
      <c r="D2062" s="156">
        <v>1917</v>
      </c>
      <c r="F2062" s="69"/>
      <c r="G2062" t="s">
        <v>1738</v>
      </c>
    </row>
    <row r="2063" spans="1:7">
      <c r="A2063" s="43" t="s">
        <v>436</v>
      </c>
      <c r="B2063" s="43" t="s">
        <v>1663</v>
      </c>
      <c r="C2063" s="56">
        <v>45979</v>
      </c>
      <c r="D2063" s="156">
        <v>2351</v>
      </c>
      <c r="F2063" s="69"/>
      <c r="G2063" t="s">
        <v>1738</v>
      </c>
    </row>
    <row r="2064" spans="1:7">
      <c r="A2064" s="69" t="s">
        <v>494</v>
      </c>
      <c r="B2064" s="43" t="s">
        <v>143</v>
      </c>
      <c r="C2064" s="56">
        <v>45979</v>
      </c>
      <c r="D2064" s="156">
        <v>2684</v>
      </c>
      <c r="F2064" s="69"/>
      <c r="G2064" t="s">
        <v>1738</v>
      </c>
    </row>
    <row r="2065" spans="1:7">
      <c r="A2065" s="149" t="s">
        <v>359</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452</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446</v>
      </c>
      <c r="B2071" s="311" t="s">
        <v>143</v>
      </c>
      <c r="C2071" s="56">
        <v>45980</v>
      </c>
      <c r="D2071" s="43">
        <v>954</v>
      </c>
      <c r="E2071" s="257"/>
      <c r="F2071" s="92" t="s">
        <v>1787</v>
      </c>
      <c r="G2071" t="s">
        <v>1738</v>
      </c>
    </row>
    <row r="2072" spans="1:7">
      <c r="A2072" s="752" t="s">
        <v>410</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436</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446</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452</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415</v>
      </c>
      <c r="B2083" s="1062" t="s">
        <v>250</v>
      </c>
      <c r="C2083" s="56">
        <v>45981</v>
      </c>
      <c r="D2083" s="43">
        <v>272</v>
      </c>
      <c r="F2083" s="69"/>
      <c r="G2083" t="s">
        <v>1738</v>
      </c>
    </row>
    <row r="2084" spans="1:7">
      <c r="A2084" s="43" t="s">
        <v>435</v>
      </c>
      <c r="B2084" s="43" t="s">
        <v>1663</v>
      </c>
      <c r="C2084" s="56">
        <v>45982</v>
      </c>
      <c r="E2084" s="257"/>
      <c r="F2084" s="315" t="s">
        <v>1794</v>
      </c>
      <c r="G2084" t="s">
        <v>1738</v>
      </c>
    </row>
    <row r="2085" spans="1:7">
      <c r="A2085" s="308" t="s">
        <v>436</v>
      </c>
      <c r="B2085" s="308" t="s">
        <v>1663</v>
      </c>
      <c r="C2085" s="56">
        <v>45981</v>
      </c>
      <c r="D2085" s="156">
        <v>2139</v>
      </c>
      <c r="F2085" s="69"/>
      <c r="G2085" t="s">
        <v>1738</v>
      </c>
    </row>
    <row r="2086" spans="1:7">
      <c r="A2086" s="359" t="s">
        <v>356</v>
      </c>
      <c r="B2086" s="368" t="s">
        <v>143</v>
      </c>
      <c r="C2086" s="56">
        <v>45981</v>
      </c>
      <c r="D2086" s="156">
        <v>2252</v>
      </c>
      <c r="F2086" s="69"/>
      <c r="G2086" t="s">
        <v>1738</v>
      </c>
    </row>
    <row r="2087" spans="1:7">
      <c r="A2087" s="322" t="s">
        <v>359</v>
      </c>
      <c r="B2087" s="398" t="s">
        <v>143</v>
      </c>
      <c r="C2087" s="56">
        <v>45981</v>
      </c>
      <c r="D2087" s="1152">
        <v>1027</v>
      </c>
      <c r="F2087" s="69"/>
      <c r="G2087" t="s">
        <v>1738</v>
      </c>
    </row>
    <row r="2088" spans="1:7">
      <c r="A2088" s="359" t="s">
        <v>362</v>
      </c>
      <c r="B2088" s="368" t="s">
        <v>143</v>
      </c>
      <c r="C2088" s="56">
        <v>45981</v>
      </c>
      <c r="D2088" s="156">
        <v>1420</v>
      </c>
      <c r="F2088" s="69"/>
      <c r="G2088" t="s">
        <v>1738</v>
      </c>
    </row>
    <row r="2089" spans="1:7">
      <c r="A2089" s="322" t="s">
        <v>365</v>
      </c>
      <c r="B2089" s="398" t="s">
        <v>143</v>
      </c>
      <c r="C2089" s="56">
        <v>45981</v>
      </c>
      <c r="D2089" s="156">
        <v>2376</v>
      </c>
      <c r="F2089" s="69"/>
      <c r="G2089" t="s">
        <v>1738</v>
      </c>
    </row>
    <row r="2090" spans="1:7">
      <c r="A2090" s="359" t="s">
        <v>395</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410</v>
      </c>
      <c r="B2094" s="322" t="s">
        <v>1007</v>
      </c>
      <c r="C2094" s="56">
        <v>45982</v>
      </c>
      <c r="D2094" s="140">
        <v>15</v>
      </c>
      <c r="E2094" s="156">
        <v>1159</v>
      </c>
      <c r="F2094" s="1151" t="s">
        <v>1796</v>
      </c>
      <c r="G2094" t="s">
        <v>1738</v>
      </c>
    </row>
    <row r="2095" spans="1:7">
      <c r="A2095" s="43" t="s">
        <v>436</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494</v>
      </c>
      <c r="B2097" s="166" t="s">
        <v>143</v>
      </c>
      <c r="C2097" s="56">
        <v>45982</v>
      </c>
      <c r="D2097" s="43">
        <v>51</v>
      </c>
      <c r="F2097" s="69"/>
      <c r="G2097" t="s">
        <v>1738</v>
      </c>
    </row>
    <row r="2098" spans="1:7">
      <c r="A2098" s="417" t="s">
        <v>395</v>
      </c>
      <c r="B2098" s="176" t="s">
        <v>143</v>
      </c>
      <c r="C2098" s="56">
        <v>45982</v>
      </c>
      <c r="D2098" s="156">
        <v>3007</v>
      </c>
      <c r="F2098" s="69"/>
      <c r="G2098" t="s">
        <v>1738</v>
      </c>
    </row>
    <row r="2099" spans="1:7">
      <c r="A2099" s="417" t="s">
        <v>359</v>
      </c>
      <c r="B2099" s="176" t="s">
        <v>143</v>
      </c>
      <c r="C2099" s="56">
        <v>45982</v>
      </c>
      <c r="D2099" s="43">
        <v>490</v>
      </c>
      <c r="F2099" s="69"/>
      <c r="G2099" t="s">
        <v>1738</v>
      </c>
    </row>
    <row r="2100" spans="1:7">
      <c r="A2100" s="417" t="s">
        <v>362</v>
      </c>
      <c r="B2100" s="176" t="s">
        <v>143</v>
      </c>
      <c r="C2100" s="56">
        <v>45982</v>
      </c>
      <c r="D2100" s="156">
        <v>3043</v>
      </c>
      <c r="F2100" s="69"/>
      <c r="G2100" t="s">
        <v>1738</v>
      </c>
    </row>
    <row r="2101" spans="1:7">
      <c r="A2101" s="417" t="s">
        <v>365</v>
      </c>
      <c r="B2101" s="176" t="s">
        <v>143</v>
      </c>
      <c r="C2101" s="56">
        <v>45982</v>
      </c>
      <c r="D2101" s="156">
        <v>1217</v>
      </c>
      <c r="F2101" s="69"/>
      <c r="G2101" t="s">
        <v>1738</v>
      </c>
    </row>
    <row r="2102" spans="1:7">
      <c r="A2102" s="69" t="s">
        <v>480</v>
      </c>
      <c r="B2102" s="43" t="s">
        <v>1007</v>
      </c>
      <c r="C2102" s="56">
        <v>45982</v>
      </c>
      <c r="E2102" s="325">
        <v>2257</v>
      </c>
      <c r="F2102" s="69" t="s">
        <v>1451</v>
      </c>
      <c r="G2102" t="s">
        <v>1738</v>
      </c>
    </row>
    <row r="2103" spans="1:7">
      <c r="A2103" s="69" t="s">
        <v>482</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513</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446</v>
      </c>
      <c r="B2111" s="1162" t="s">
        <v>143</v>
      </c>
      <c r="C2111" s="56">
        <v>45985</v>
      </c>
      <c r="D2111" s="43">
        <v>805</v>
      </c>
      <c r="F2111" s="69" t="s">
        <v>1802</v>
      </c>
      <c r="G2111" t="s">
        <v>1738</v>
      </c>
    </row>
    <row r="2112" spans="1:7">
      <c r="A2112" s="43" t="s">
        <v>449</v>
      </c>
      <c r="B2112" s="1162" t="s">
        <v>143</v>
      </c>
      <c r="C2112" s="56">
        <v>45985</v>
      </c>
      <c r="D2112" s="43">
        <v>665</v>
      </c>
      <c r="F2112" s="69"/>
      <c r="G2112" t="s">
        <v>1738</v>
      </c>
    </row>
    <row r="2113" spans="1:7">
      <c r="A2113" s="43" t="s">
        <v>452</v>
      </c>
      <c r="B2113" s="1162" t="s">
        <v>143</v>
      </c>
      <c r="C2113" s="56">
        <v>45985</v>
      </c>
      <c r="D2113" s="43">
        <v>572</v>
      </c>
      <c r="F2113" s="69" t="s">
        <v>1803</v>
      </c>
      <c r="G2113" t="s">
        <v>1738</v>
      </c>
    </row>
    <row r="2114" spans="1:7">
      <c r="A2114" s="171" t="s">
        <v>458</v>
      </c>
      <c r="B2114" s="171" t="s">
        <v>1007</v>
      </c>
      <c r="C2114" s="56">
        <v>45985</v>
      </c>
      <c r="D2114" s="43">
        <v>286</v>
      </c>
      <c r="E2114" s="204"/>
      <c r="F2114" s="149"/>
      <c r="G2114" t="s">
        <v>1738</v>
      </c>
    </row>
    <row r="2115" spans="1:7">
      <c r="A2115" s="43" t="s">
        <v>442</v>
      </c>
      <c r="B2115" s="43" t="s">
        <v>1007</v>
      </c>
      <c r="C2115" s="56">
        <v>45985</v>
      </c>
      <c r="D2115" s="140"/>
      <c r="E2115" s="43">
        <v>734</v>
      </c>
      <c r="F2115" s="69"/>
      <c r="G2115" t="s">
        <v>1738</v>
      </c>
    </row>
    <row r="2116" spans="1:7">
      <c r="A2116" s="43" t="s">
        <v>444</v>
      </c>
      <c r="B2116" s="43" t="s">
        <v>1007</v>
      </c>
      <c r="C2116" s="56">
        <v>45985</v>
      </c>
      <c r="D2116" s="140"/>
      <c r="E2116" s="43">
        <v>719</v>
      </c>
      <c r="F2116" s="69"/>
      <c r="G2116" t="s">
        <v>1738</v>
      </c>
    </row>
    <row r="2117" spans="1:7">
      <c r="A2117" s="310" t="s">
        <v>415</v>
      </c>
      <c r="B2117" s="322" t="s">
        <v>250</v>
      </c>
      <c r="C2117" s="56">
        <v>45985</v>
      </c>
      <c r="D2117" s="140">
        <v>900</v>
      </c>
      <c r="E2117" s="43"/>
      <c r="F2117" s="69" t="s">
        <v>1804</v>
      </c>
      <c r="G2117" t="s">
        <v>1738</v>
      </c>
    </row>
    <row r="2118" spans="1:7">
      <c r="A2118" s="445" t="s">
        <v>430</v>
      </c>
      <c r="B2118" s="382" t="s">
        <v>1663</v>
      </c>
      <c r="C2118" s="56">
        <v>45985</v>
      </c>
      <c r="D2118" s="140"/>
      <c r="E2118" s="43"/>
      <c r="F2118" s="1161" t="s">
        <v>1805</v>
      </c>
      <c r="G2118" t="s">
        <v>1738</v>
      </c>
    </row>
    <row r="2119" spans="1:7">
      <c r="A2119" s="443" t="s">
        <v>429</v>
      </c>
      <c r="B2119" s="251" t="s">
        <v>1663</v>
      </c>
      <c r="C2119" s="56">
        <v>45985</v>
      </c>
      <c r="D2119" s="140"/>
      <c r="E2119" s="43"/>
      <c r="F2119" s="1161" t="s">
        <v>1806</v>
      </c>
      <c r="G2119" t="s">
        <v>1738</v>
      </c>
    </row>
    <row r="2120" spans="1:7">
      <c r="A2120" s="43" t="s">
        <v>418</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513</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458</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455</v>
      </c>
      <c r="B2128" s="43" t="s">
        <v>143</v>
      </c>
      <c r="C2128" s="56">
        <v>45986</v>
      </c>
      <c r="D2128" s="156">
        <v>1100</v>
      </c>
      <c r="G2128" t="s">
        <v>1738</v>
      </c>
    </row>
    <row r="2129" spans="1:7">
      <c r="A2129" s="43" t="s">
        <v>449</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430</v>
      </c>
      <c r="B2131" s="382" t="s">
        <v>1663</v>
      </c>
      <c r="C2131" s="56">
        <v>45986</v>
      </c>
      <c r="D2131" s="140"/>
      <c r="E2131" s="43"/>
      <c r="F2131" s="776" t="s">
        <v>1811</v>
      </c>
      <c r="G2131" t="s">
        <v>1738</v>
      </c>
    </row>
    <row r="2132" spans="1:7">
      <c r="A2132" s="443" t="s">
        <v>429</v>
      </c>
      <c r="B2132" s="251" t="s">
        <v>1663</v>
      </c>
      <c r="C2132" s="56">
        <v>45986</v>
      </c>
      <c r="D2132" s="140"/>
      <c r="E2132" s="43"/>
      <c r="F2132" s="776" t="s">
        <v>1811</v>
      </c>
      <c r="G2132" t="s">
        <v>1738</v>
      </c>
    </row>
    <row r="2133" spans="1:7">
      <c r="A2133" s="43" t="s">
        <v>418</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496</v>
      </c>
      <c r="B2136" s="166" t="s">
        <v>143</v>
      </c>
      <c r="C2136" s="56">
        <v>45986</v>
      </c>
      <c r="D2136" s="156">
        <v>2382</v>
      </c>
      <c r="G2136" t="s">
        <v>1738</v>
      </c>
    </row>
    <row r="2137" spans="1:7">
      <c r="A2137" s="417" t="s">
        <v>342</v>
      </c>
      <c r="B2137" s="176" t="s">
        <v>143</v>
      </c>
      <c r="C2137" s="56">
        <v>45986</v>
      </c>
      <c r="D2137" s="43">
        <v>996</v>
      </c>
      <c r="G2137" t="s">
        <v>1738</v>
      </c>
    </row>
    <row r="2138" spans="1:7">
      <c r="A2138" s="417" t="s">
        <v>503</v>
      </c>
      <c r="B2138" s="176" t="s">
        <v>143</v>
      </c>
      <c r="C2138" s="56">
        <v>45986</v>
      </c>
      <c r="D2138" s="156">
        <v>3634</v>
      </c>
      <c r="G2138" t="s">
        <v>1738</v>
      </c>
    </row>
    <row r="2139" spans="1:7">
      <c r="A2139" s="69" t="s">
        <v>365</v>
      </c>
      <c r="B2139" s="176" t="s">
        <v>143</v>
      </c>
      <c r="C2139" s="56">
        <v>45986</v>
      </c>
      <c r="D2139" s="156">
        <v>3311</v>
      </c>
      <c r="G2139" t="s">
        <v>1738</v>
      </c>
    </row>
    <row r="2140" spans="1:7">
      <c r="A2140" s="69" t="s">
        <v>347</v>
      </c>
      <c r="B2140" s="176" t="s">
        <v>143</v>
      </c>
      <c r="C2140" s="56">
        <v>45986</v>
      </c>
      <c r="D2140" s="156">
        <v>1175</v>
      </c>
      <c r="G2140" t="s">
        <v>1738</v>
      </c>
    </row>
    <row r="2141" spans="1:7">
      <c r="A2141" s="251" t="s">
        <v>362</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513</v>
      </c>
      <c r="B2145" s="315" t="s">
        <v>1007</v>
      </c>
      <c r="C2145" s="56">
        <v>45987</v>
      </c>
      <c r="F2145" s="802" t="s">
        <v>1281</v>
      </c>
      <c r="G2145" t="s">
        <v>1738</v>
      </c>
    </row>
    <row r="2146" spans="1:7">
      <c r="A2146" s="826" t="s">
        <v>458</v>
      </c>
      <c r="B2146" s="826" t="s">
        <v>1007</v>
      </c>
      <c r="C2146" s="56">
        <v>45987</v>
      </c>
      <c r="D2146" s="43">
        <v>331</v>
      </c>
      <c r="E2146" s="325">
        <v>1063</v>
      </c>
      <c r="F2146" s="43" t="s">
        <v>1812</v>
      </c>
      <c r="G2146" t="s">
        <v>1738</v>
      </c>
    </row>
    <row r="2147" spans="1:7">
      <c r="A2147" s="1166" t="s">
        <v>449</v>
      </c>
      <c r="B2147" s="308" t="s">
        <v>143</v>
      </c>
      <c r="C2147" s="56">
        <v>45987</v>
      </c>
      <c r="D2147" s="156">
        <v>1024</v>
      </c>
      <c r="F2147" s="43" t="s">
        <v>1813</v>
      </c>
      <c r="G2147" t="s">
        <v>1738</v>
      </c>
    </row>
    <row r="2148" spans="1:7">
      <c r="A2148" s="310" t="s">
        <v>455</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430</v>
      </c>
      <c r="B2151" s="310" t="s">
        <v>1663</v>
      </c>
      <c r="C2151" s="56">
        <v>45987</v>
      </c>
      <c r="D2151" s="140"/>
      <c r="E2151" s="43"/>
      <c r="F2151" s="776" t="s">
        <v>1811</v>
      </c>
      <c r="G2151" t="s">
        <v>1738</v>
      </c>
    </row>
    <row r="2152" spans="1:7">
      <c r="A2152" s="142" t="s">
        <v>429</v>
      </c>
      <c r="B2152" s="142" t="s">
        <v>1663</v>
      </c>
      <c r="C2152" s="56">
        <v>45987</v>
      </c>
      <c r="D2152" s="140"/>
      <c r="E2152" s="43"/>
      <c r="F2152" s="776" t="s">
        <v>1811</v>
      </c>
      <c r="G2152" t="s">
        <v>1738</v>
      </c>
    </row>
    <row r="2153" spans="1:7">
      <c r="A2153" s="309" t="s">
        <v>418</v>
      </c>
      <c r="B2153" s="309" t="s">
        <v>1663</v>
      </c>
      <c r="C2153" s="347">
        <v>45987</v>
      </c>
      <c r="D2153" s="140"/>
      <c r="E2153" s="43"/>
      <c r="F2153" s="776" t="s">
        <v>1811</v>
      </c>
      <c r="G2153" t="s">
        <v>1738</v>
      </c>
    </row>
    <row r="2154" spans="1:7">
      <c r="A2154" s="142" t="s">
        <v>413</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415</v>
      </c>
      <c r="B2156" s="142" t="s">
        <v>250</v>
      </c>
      <c r="C2156" s="56">
        <v>45987</v>
      </c>
      <c r="D2156" s="436"/>
      <c r="E2156" s="43"/>
      <c r="F2156" s="142" t="s">
        <v>1811</v>
      </c>
      <c r="G2156" t="s">
        <v>1738</v>
      </c>
    </row>
    <row r="2157" spans="1:7">
      <c r="A2157" s="142" t="s">
        <v>404</v>
      </c>
      <c r="B2157" s="142" t="s">
        <v>1817</v>
      </c>
      <c r="C2157" s="56">
        <v>45987</v>
      </c>
      <c r="D2157" s="162"/>
      <c r="E2157" s="1167">
        <v>4668</v>
      </c>
      <c r="F2157" s="171" t="s">
        <v>1818</v>
      </c>
      <c r="G2157" t="s">
        <v>1738</v>
      </c>
    </row>
    <row r="2158" spans="1:7">
      <c r="A2158" s="251" t="s">
        <v>484</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474</v>
      </c>
      <c r="B2160" s="315" t="s">
        <v>1007</v>
      </c>
      <c r="C2160" s="56">
        <v>45987</v>
      </c>
      <c r="E2160" s="140">
        <v>175</v>
      </c>
      <c r="G2160" t="s">
        <v>1738</v>
      </c>
    </row>
    <row r="2161" spans="1:7">
      <c r="A2161" s="310" t="s">
        <v>474</v>
      </c>
      <c r="B2161" s="319" t="s">
        <v>143</v>
      </c>
      <c r="C2161" s="56">
        <v>45987</v>
      </c>
      <c r="E2161" s="325">
        <v>2455</v>
      </c>
      <c r="F2161" s="43" t="s">
        <v>1820</v>
      </c>
      <c r="G2161" t="s">
        <v>1738</v>
      </c>
    </row>
    <row r="2162" spans="1:7">
      <c r="A2162" s="310" t="s">
        <v>476</v>
      </c>
      <c r="B2162" s="319" t="s">
        <v>1007</v>
      </c>
      <c r="C2162" s="56">
        <v>45987</v>
      </c>
      <c r="E2162" s="140">
        <v>376</v>
      </c>
      <c r="G2162" t="s">
        <v>1738</v>
      </c>
    </row>
    <row r="2163" spans="1:7">
      <c r="A2163" s="310" t="s">
        <v>476</v>
      </c>
      <c r="B2163" s="756" t="s">
        <v>143</v>
      </c>
      <c r="C2163" s="56">
        <v>45987</v>
      </c>
      <c r="E2163" s="140">
        <v>404</v>
      </c>
      <c r="F2163" s="43" t="s">
        <v>1821</v>
      </c>
      <c r="G2163" t="s">
        <v>1738</v>
      </c>
    </row>
    <row r="2164" spans="1:7">
      <c r="A2164" s="315" t="s">
        <v>478</v>
      </c>
      <c r="B2164" s="315" t="s">
        <v>1007</v>
      </c>
      <c r="C2164" s="56">
        <v>45987</v>
      </c>
      <c r="E2164" s="325">
        <v>1264</v>
      </c>
      <c r="G2164" t="s">
        <v>1738</v>
      </c>
    </row>
    <row r="2165" spans="1:7">
      <c r="A2165" s="319" t="s">
        <v>487</v>
      </c>
      <c r="B2165" s="319" t="s">
        <v>1007</v>
      </c>
      <c r="C2165" s="56">
        <v>45987</v>
      </c>
      <c r="E2165" s="325">
        <v>1520</v>
      </c>
      <c r="G2165" t="s">
        <v>1738</v>
      </c>
    </row>
    <row r="2166" spans="1:7">
      <c r="A2166" s="319" t="s">
        <v>488</v>
      </c>
      <c r="B2166" s="319" t="s">
        <v>1443</v>
      </c>
      <c r="C2166" s="56">
        <v>45987</v>
      </c>
      <c r="E2166" s="325">
        <v>1739</v>
      </c>
      <c r="G2166" t="s">
        <v>1738</v>
      </c>
    </row>
    <row r="2167" spans="1:7">
      <c r="A2167" s="319" t="s">
        <v>490</v>
      </c>
      <c r="B2167" s="319" t="s">
        <v>1007</v>
      </c>
      <c r="C2167" s="56">
        <v>45987</v>
      </c>
      <c r="E2167" s="325">
        <v>1584</v>
      </c>
      <c r="G2167" t="s">
        <v>1738</v>
      </c>
    </row>
    <row r="2168" spans="1:7">
      <c r="A2168" s="319" t="s">
        <v>492</v>
      </c>
      <c r="B2168" s="319" t="s">
        <v>1007</v>
      </c>
      <c r="C2168" s="56">
        <v>45987</v>
      </c>
      <c r="E2168" s="325">
        <v>1140</v>
      </c>
      <c r="G2168" t="s">
        <v>1738</v>
      </c>
    </row>
    <row r="2169" spans="1:7">
      <c r="A2169" s="319" t="s">
        <v>493</v>
      </c>
      <c r="B2169" s="319" t="s">
        <v>1007</v>
      </c>
      <c r="C2169" s="56">
        <v>45987</v>
      </c>
      <c r="E2169" s="140">
        <v>692</v>
      </c>
      <c r="G2169" t="s">
        <v>1738</v>
      </c>
    </row>
    <row r="2170" spans="1:7">
      <c r="C2170" s="56">
        <v>45988</v>
      </c>
      <c r="G2170" t="s">
        <v>1738</v>
      </c>
    </row>
    <row r="2171" spans="1:7">
      <c r="A2171" s="251" t="s">
        <v>446</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449</v>
      </c>
      <c r="B2176" s="826" t="s">
        <v>143</v>
      </c>
      <c r="C2176" s="56">
        <v>45992</v>
      </c>
      <c r="D2176" s="156">
        <v>1610</v>
      </c>
      <c r="F2176" s="43" t="s">
        <v>1826</v>
      </c>
      <c r="G2176" t="s">
        <v>1823</v>
      </c>
    </row>
    <row r="2177" spans="1:7">
      <c r="A2177" s="1166" t="s">
        <v>455</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503</v>
      </c>
      <c r="B2182" s="368" t="s">
        <v>143</v>
      </c>
      <c r="C2182" s="56">
        <v>45992</v>
      </c>
      <c r="D2182" s="156">
        <v>3376</v>
      </c>
      <c r="G2182" t="s">
        <v>1823</v>
      </c>
    </row>
    <row r="2183" spans="1:7">
      <c r="A2183" s="321" t="s">
        <v>496</v>
      </c>
      <c r="B2183" s="312" t="s">
        <v>143</v>
      </c>
      <c r="C2183" s="56">
        <v>45992</v>
      </c>
      <c r="D2183" s="156">
        <v>3084</v>
      </c>
      <c r="G2183" t="s">
        <v>1823</v>
      </c>
    </row>
    <row r="2184" spans="1:7">
      <c r="A2184" s="315" t="s">
        <v>392</v>
      </c>
      <c r="B2184" s="315" t="s">
        <v>143</v>
      </c>
      <c r="C2184" s="56">
        <v>45992</v>
      </c>
      <c r="D2184" s="156">
        <v>1829</v>
      </c>
      <c r="G2184" t="s">
        <v>1823</v>
      </c>
    </row>
    <row r="2185" spans="1:7">
      <c r="A2185" s="251" t="s">
        <v>353</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455</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353</v>
      </c>
      <c r="B2194" s="315" t="s">
        <v>143</v>
      </c>
      <c r="C2194" s="56">
        <v>45993</v>
      </c>
      <c r="D2194" s="156">
        <v>2916</v>
      </c>
      <c r="G2194" t="s">
        <v>1823</v>
      </c>
    </row>
    <row r="2195" spans="1:7">
      <c r="A2195" s="319" t="s">
        <v>392</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5" t="s">
        <v>130</v>
      </c>
      <c r="C2202" s="56">
        <v>45994</v>
      </c>
      <c r="D2202" s="43">
        <v>466</v>
      </c>
      <c r="F2202" s="43" t="s">
        <v>1836</v>
      </c>
      <c r="G2202" t="s">
        <v>1823</v>
      </c>
    </row>
    <row r="2203" spans="1:7">
      <c r="A2203" s="776" t="s">
        <v>1071</v>
      </c>
      <c r="B2203" s="1205" t="s">
        <v>234</v>
      </c>
      <c r="C2203" s="56">
        <v>45994</v>
      </c>
      <c r="D2203" s="43">
        <v>383</v>
      </c>
      <c r="G2203" t="s">
        <v>1823</v>
      </c>
    </row>
    <row r="2204" spans="1:7">
      <c r="A2204" s="776" t="s">
        <v>320</v>
      </c>
      <c r="B2204" s="776" t="s">
        <v>1663</v>
      </c>
      <c r="C2204" s="56">
        <v>45994</v>
      </c>
      <c r="D2204" s="156">
        <v>1677</v>
      </c>
      <c r="G2204" t="s">
        <v>1823</v>
      </c>
    </row>
    <row r="2205" spans="1:7">
      <c r="A2205" s="1206" t="s">
        <v>353</v>
      </c>
      <c r="B2205" s="1207" t="s">
        <v>143</v>
      </c>
      <c r="C2205" s="56">
        <v>45994</v>
      </c>
      <c r="G2205" t="s">
        <v>1823</v>
      </c>
    </row>
    <row r="2206" spans="1:7">
      <c r="A2206" s="779" t="s">
        <v>392</v>
      </c>
      <c r="B2206" s="779" t="s">
        <v>143</v>
      </c>
      <c r="C2206" s="56">
        <v>45994</v>
      </c>
      <c r="G2206" t="s">
        <v>1823</v>
      </c>
    </row>
    <row r="2207" spans="1:7">
      <c r="A2207" s="310" t="s">
        <v>1073</v>
      </c>
      <c r="B2207" s="310" t="s">
        <v>1690</v>
      </c>
      <c r="C2207" s="56">
        <v>45995</v>
      </c>
      <c r="G2207" t="s">
        <v>1823</v>
      </c>
    </row>
    <row r="2208" spans="1:7">
      <c r="A2208" s="310" t="s">
        <v>93</v>
      </c>
      <c r="B2208" s="310" t="s">
        <v>1690</v>
      </c>
      <c r="C2208" s="56">
        <v>45995</v>
      </c>
      <c r="G2208" t="s">
        <v>1823</v>
      </c>
    </row>
    <row r="2209" spans="1:7">
      <c r="A2209" s="310" t="s">
        <v>93</v>
      </c>
      <c r="B2209" s="310" t="s">
        <v>1007</v>
      </c>
      <c r="C2209" s="56">
        <v>45995</v>
      </c>
      <c r="G2209" t="s">
        <v>1823</v>
      </c>
    </row>
    <row r="2210" spans="1:7">
      <c r="A2210" s="315" t="s">
        <v>93</v>
      </c>
      <c r="B2210" s="315" t="s">
        <v>1529</v>
      </c>
      <c r="C2210" s="56">
        <v>45995</v>
      </c>
      <c r="G2210" t="s">
        <v>1823</v>
      </c>
    </row>
    <row r="2211" spans="1:7">
      <c r="A2211" s="319" t="s">
        <v>93</v>
      </c>
      <c r="B2211" s="319" t="s">
        <v>1619</v>
      </c>
      <c r="C2211" s="56">
        <v>45995</v>
      </c>
      <c r="G2211" t="s">
        <v>1823</v>
      </c>
    </row>
    <row r="2212" spans="1:7">
      <c r="A2212" s="319" t="s">
        <v>93</v>
      </c>
      <c r="B2212" s="319" t="s">
        <v>1755</v>
      </c>
      <c r="C2212" s="56">
        <v>45995</v>
      </c>
      <c r="G2212" t="s">
        <v>1823</v>
      </c>
    </row>
    <row r="2213" spans="1:7">
      <c r="A2213" s="310" t="s">
        <v>164</v>
      </c>
      <c r="B2213" s="310" t="s">
        <v>143</v>
      </c>
      <c r="C2213" s="56">
        <v>45995</v>
      </c>
      <c r="G2213" t="s">
        <v>1823</v>
      </c>
    </row>
    <row r="2214" spans="1:7">
      <c r="A2214" s="315" t="s">
        <v>135</v>
      </c>
      <c r="B2214" s="315" t="s">
        <v>130</v>
      </c>
      <c r="C2214" s="56">
        <v>45995</v>
      </c>
      <c r="G2214" t="s">
        <v>1823</v>
      </c>
    </row>
    <row r="2215" spans="1:7">
      <c r="A2215" s="319" t="s">
        <v>1071</v>
      </c>
      <c r="B2215" s="319" t="s">
        <v>234</v>
      </c>
      <c r="C2215" s="56">
        <v>45995</v>
      </c>
      <c r="G2215" t="s">
        <v>1823</v>
      </c>
    </row>
    <row r="2216" spans="1:7">
      <c r="A2216" s="319" t="s">
        <v>142</v>
      </c>
      <c r="B2216" s="319" t="s">
        <v>1837</v>
      </c>
      <c r="C2216" s="56">
        <v>45995</v>
      </c>
      <c r="G2216" t="s">
        <v>1823</v>
      </c>
    </row>
    <row r="2217" spans="1:7">
      <c r="A2217" s="142" t="s">
        <v>320</v>
      </c>
      <c r="B2217" s="142" t="s">
        <v>1663</v>
      </c>
      <c r="C2217" s="56">
        <v>45995</v>
      </c>
      <c r="G2217" t="s">
        <v>1823</v>
      </c>
    </row>
    <row r="2218" spans="1:7">
      <c r="A2218" s="321" t="s">
        <v>353</v>
      </c>
      <c r="B2218" s="312" t="s">
        <v>143</v>
      </c>
      <c r="C2218" s="56">
        <v>45995</v>
      </c>
      <c r="G2218" t="s">
        <v>1823</v>
      </c>
    </row>
    <row r="2219" spans="1:7">
      <c r="A2219" s="321" t="s">
        <v>392</v>
      </c>
      <c r="B2219" s="312" t="s">
        <v>143</v>
      </c>
      <c r="C2219" s="56">
        <v>45995</v>
      </c>
      <c r="G2219" t="s">
        <v>1823</v>
      </c>
    </row>
    <row r="2220" spans="1:7">
      <c r="A2220" s="142" t="s">
        <v>347</v>
      </c>
      <c r="B2220" s="310" t="s">
        <v>143</v>
      </c>
      <c r="C2220" s="56">
        <v>45995</v>
      </c>
      <c r="G2220" t="s">
        <v>1823</v>
      </c>
    </row>
    <row r="2221" spans="1:7">
      <c r="A2221" s="308" t="s">
        <v>342</v>
      </c>
      <c r="B2221" s="315"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523</v>
      </c>
      <c r="B2" s="183" t="s">
        <v>239</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239</v>
      </c>
      <c r="C3" s="708">
        <v>45742</v>
      </c>
      <c r="D3" s="709" t="s">
        <v>528</v>
      </c>
      <c r="E3" s="194"/>
      <c r="F3" s="139"/>
      <c r="G3" s="139"/>
      <c r="H3" s="188">
        <v>0</v>
      </c>
      <c r="I3" s="184"/>
      <c r="J3" s="188" t="s">
        <v>57</v>
      </c>
      <c r="K3" s="188" t="s">
        <v>57</v>
      </c>
      <c r="L3" s="188" t="s">
        <v>63</v>
      </c>
      <c r="M3" s="196">
        <v>45716</v>
      </c>
      <c r="N3" s="87" t="s">
        <v>402</v>
      </c>
      <c r="O3" s="54">
        <v>45721</v>
      </c>
      <c r="P3" s="87" t="s">
        <v>402</v>
      </c>
      <c r="Q3" s="69" t="s">
        <v>402</v>
      </c>
      <c r="R3" s="69" t="s">
        <v>402</v>
      </c>
      <c r="S3" s="69" t="s">
        <v>56</v>
      </c>
      <c r="T3" s="69" t="s">
        <v>402</v>
      </c>
      <c r="U3" s="69" t="s">
        <v>402</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239</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402</v>
      </c>
      <c r="O6" s="367">
        <v>45718</v>
      </c>
      <c r="P6" s="30" t="s">
        <v>402</v>
      </c>
      <c r="Q6" s="345" t="s">
        <v>402</v>
      </c>
      <c r="R6" s="43" t="s">
        <v>1912</v>
      </c>
      <c r="S6" s="43" t="s">
        <v>402</v>
      </c>
      <c r="T6" s="43" t="s">
        <v>402</v>
      </c>
      <c r="U6" s="158" t="s">
        <v>402</v>
      </c>
      <c r="V6" s="69" t="s">
        <v>87</v>
      </c>
      <c r="W6" s="79"/>
      <c r="X6" s="69" t="s">
        <v>87</v>
      </c>
      <c r="Y6" t="e">
        <f>VLOOKUP(A6,#REF!,2,FALSE)</f>
        <v>#REF!</v>
      </c>
    </row>
    <row r="7" spans="1:25">
      <c r="A7" s="396" t="s">
        <v>975</v>
      </c>
      <c r="B7" s="705" t="s">
        <v>239</v>
      </c>
      <c r="C7" s="397">
        <v>45742</v>
      </c>
      <c r="D7" s="424" t="s">
        <v>536</v>
      </c>
      <c r="E7" s="538"/>
      <c r="F7" s="539"/>
      <c r="G7" s="539"/>
      <c r="H7" s="182">
        <v>60</v>
      </c>
      <c r="I7" s="184"/>
      <c r="J7" s="188" t="s">
        <v>57</v>
      </c>
      <c r="K7" s="188" t="s">
        <v>57</v>
      </c>
      <c r="L7" s="188" t="s">
        <v>63</v>
      </c>
      <c r="M7" s="196">
        <v>45716</v>
      </c>
      <c r="N7" s="30" t="s">
        <v>402</v>
      </c>
      <c r="O7" s="79" t="s">
        <v>402</v>
      </c>
      <c r="P7" s="30" t="s">
        <v>402</v>
      </c>
      <c r="Q7" s="345" t="s">
        <v>402</v>
      </c>
      <c r="R7" s="43" t="s">
        <v>1912</v>
      </c>
      <c r="S7" s="43" t="s">
        <v>402</v>
      </c>
      <c r="T7" s="43" t="s">
        <v>402</v>
      </c>
      <c r="U7" s="43" t="s">
        <v>402</v>
      </c>
      <c r="V7" s="69" t="s">
        <v>87</v>
      </c>
      <c r="W7" s="30"/>
      <c r="X7" s="69" t="s">
        <v>87</v>
      </c>
      <c r="Y7" t="e">
        <f>VLOOKUP(A7,#REF!,2,FALSE)</f>
        <v>#REF!</v>
      </c>
    </row>
    <row r="8" spans="1:25">
      <c r="A8" s="178" t="s">
        <v>532</v>
      </c>
      <c r="B8" s="183" t="s">
        <v>239</v>
      </c>
      <c r="C8" s="179">
        <v>45742</v>
      </c>
      <c r="D8" s="188" t="s">
        <v>1913</v>
      </c>
      <c r="E8" s="121"/>
      <c r="F8" s="109"/>
      <c r="G8" s="109"/>
      <c r="H8" s="182">
        <v>84</v>
      </c>
      <c r="I8" s="184"/>
      <c r="J8" s="188" t="s">
        <v>57</v>
      </c>
      <c r="K8" s="188" t="s">
        <v>57</v>
      </c>
      <c r="L8" s="188" t="s">
        <v>63</v>
      </c>
      <c r="M8" s="196">
        <v>45716</v>
      </c>
      <c r="N8" s="30" t="s">
        <v>402</v>
      </c>
      <c r="O8" s="30" t="s">
        <v>402</v>
      </c>
      <c r="P8" s="730" t="s">
        <v>402</v>
      </c>
      <c r="Q8" s="69" t="s">
        <v>402</v>
      </c>
      <c r="R8" s="43" t="s">
        <v>1912</v>
      </c>
      <c r="S8" s="43" t="s">
        <v>402</v>
      </c>
      <c r="T8" s="43" t="s">
        <v>402</v>
      </c>
      <c r="U8" s="43" t="s">
        <v>402</v>
      </c>
      <c r="V8" s="69" t="s">
        <v>87</v>
      </c>
      <c r="W8" s="30"/>
      <c r="X8" s="69" t="s">
        <v>87</v>
      </c>
      <c r="Y8" t="e">
        <f>VLOOKUP(A8,#REF!,2,FALSE)</f>
        <v>#REF!</v>
      </c>
    </row>
    <row r="9" spans="1:25">
      <c r="A9" s="178" t="s">
        <v>977</v>
      </c>
      <c r="B9" s="183" t="s">
        <v>239</v>
      </c>
      <c r="C9" s="179">
        <v>45742</v>
      </c>
      <c r="D9" s="535" t="s">
        <v>533</v>
      </c>
      <c r="E9" s="194"/>
      <c r="F9" s="139"/>
      <c r="G9" s="139"/>
      <c r="H9" s="188">
        <v>79</v>
      </c>
      <c r="I9" s="184"/>
      <c r="J9" s="188" t="s">
        <v>57</v>
      </c>
      <c r="K9" s="188" t="s">
        <v>57</v>
      </c>
      <c r="L9" s="188" t="s">
        <v>63</v>
      </c>
      <c r="M9" s="196">
        <v>45716</v>
      </c>
      <c r="N9" s="120" t="s">
        <v>402</v>
      </c>
      <c r="O9" s="54">
        <v>45718</v>
      </c>
      <c r="P9" s="120" t="s">
        <v>402</v>
      </c>
      <c r="Q9" s="69" t="s">
        <v>402</v>
      </c>
      <c r="R9" s="43" t="s">
        <v>1912</v>
      </c>
      <c r="S9" s="43" t="s">
        <v>402</v>
      </c>
      <c r="T9" s="43" t="s">
        <v>402</v>
      </c>
      <c r="U9" s="43" t="s">
        <v>402</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402</v>
      </c>
      <c r="O10" s="30" t="s">
        <v>402</v>
      </c>
      <c r="P10" s="30" t="s">
        <v>402</v>
      </c>
      <c r="Q10" s="43" t="s">
        <v>402</v>
      </c>
      <c r="R10" s="43" t="s">
        <v>1912</v>
      </c>
      <c r="S10" s="43" t="s">
        <v>402</v>
      </c>
      <c r="T10" s="43" t="s">
        <v>402</v>
      </c>
      <c r="U10" s="162" t="s">
        <v>402</v>
      </c>
      <c r="V10" s="345" t="s">
        <v>87</v>
      </c>
      <c r="W10" s="30"/>
      <c r="X10" s="69" t="s">
        <v>87</v>
      </c>
      <c r="Y10" t="e">
        <f>VLOOKUP(A10,#REF!,2,FALSE)</f>
        <v>#REF!</v>
      </c>
    </row>
    <row r="11" spans="1:25">
      <c r="A11" s="184" t="s">
        <v>534</v>
      </c>
      <c r="B11" s="435" t="s">
        <v>239</v>
      </c>
      <c r="C11" s="179">
        <v>45991</v>
      </c>
      <c r="D11" s="550" t="s">
        <v>536</v>
      </c>
      <c r="E11" s="121">
        <v>31</v>
      </c>
      <c r="F11" s="109"/>
      <c r="G11" s="109"/>
      <c r="H11" s="188">
        <v>31</v>
      </c>
      <c r="I11" s="184"/>
      <c r="J11" s="188" t="s">
        <v>57</v>
      </c>
      <c r="K11" s="188" t="s">
        <v>57</v>
      </c>
      <c r="L11" s="188" t="s">
        <v>63</v>
      </c>
      <c r="M11" s="198">
        <v>45716</v>
      </c>
      <c r="N11" s="30" t="s">
        <v>64</v>
      </c>
      <c r="O11" s="54">
        <v>45716</v>
      </c>
      <c r="P11" s="87" t="s">
        <v>402</v>
      </c>
      <c r="Q11" s="69" t="s">
        <v>402</v>
      </c>
      <c r="R11" s="43" t="s">
        <v>1912</v>
      </c>
      <c r="S11" s="43" t="s">
        <v>402</v>
      </c>
      <c r="T11" s="43" t="s">
        <v>402</v>
      </c>
      <c r="U11" s="345" t="s">
        <v>87</v>
      </c>
      <c r="V11" s="69" t="s">
        <v>87</v>
      </c>
      <c r="W11" s="30"/>
      <c r="X11" s="43"/>
    </row>
    <row r="12" spans="1:25">
      <c r="A12" s="178" t="s">
        <v>421</v>
      </c>
      <c r="B12" s="183" t="s">
        <v>239</v>
      </c>
      <c r="C12" s="179">
        <v>45772</v>
      </c>
      <c r="D12" s="202" t="s">
        <v>536</v>
      </c>
      <c r="E12" s="194"/>
      <c r="F12" s="139"/>
      <c r="G12" s="139"/>
      <c r="H12" s="188">
        <v>31</v>
      </c>
      <c r="I12" s="184"/>
      <c r="J12" s="188" t="s">
        <v>57</v>
      </c>
      <c r="K12" s="188" t="s">
        <v>57</v>
      </c>
      <c r="L12" s="188" t="s">
        <v>63</v>
      </c>
      <c r="M12" s="196">
        <v>45716</v>
      </c>
      <c r="N12" s="30" t="s">
        <v>64</v>
      </c>
      <c r="O12" s="54">
        <v>45716</v>
      </c>
      <c r="P12" s="87" t="s">
        <v>402</v>
      </c>
      <c r="Q12" s="69" t="s">
        <v>402</v>
      </c>
      <c r="R12" s="43" t="s">
        <v>1912</v>
      </c>
      <c r="S12" s="43" t="s">
        <v>402</v>
      </c>
      <c r="T12" s="43" t="s">
        <v>402</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424</v>
      </c>
      <c r="B14" s="183" t="s">
        <v>239</v>
      </c>
      <c r="C14" s="180">
        <v>45991</v>
      </c>
      <c r="D14" s="423"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402</v>
      </c>
      <c r="O15" s="54">
        <v>45718</v>
      </c>
      <c r="P15" s="30" t="s">
        <v>402</v>
      </c>
      <c r="Q15" s="43" t="s">
        <v>402</v>
      </c>
      <c r="R15" s="43" t="s">
        <v>402</v>
      </c>
      <c r="S15" s="43" t="s">
        <v>56</v>
      </c>
      <c r="T15" s="43" t="s">
        <v>402</v>
      </c>
      <c r="U15" s="43" t="s">
        <v>402</v>
      </c>
      <c r="V15" s="43" t="s">
        <v>402</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402</v>
      </c>
      <c r="O16" s="54" t="s">
        <v>1916</v>
      </c>
      <c r="P16" s="30" t="s">
        <v>402</v>
      </c>
      <c r="Q16" s="69" t="s">
        <v>402</v>
      </c>
      <c r="R16" s="43" t="s">
        <v>402</v>
      </c>
      <c r="S16" s="43" t="s">
        <v>56</v>
      </c>
      <c r="T16" s="43" t="s">
        <v>402</v>
      </c>
      <c r="U16" s="69" t="s">
        <v>87</v>
      </c>
      <c r="V16" s="69" t="s">
        <v>87</v>
      </c>
      <c r="W16" s="30"/>
      <c r="X16" s="69" t="s">
        <v>87</v>
      </c>
      <c r="Y16" t="e">
        <f>VLOOKUP(A16,#REF!,2,FALSE)</f>
        <v>#REF!</v>
      </c>
    </row>
    <row r="17" spans="1:25">
      <c r="A17" s="181" t="s">
        <v>537</v>
      </c>
      <c r="B17" s="183" t="s">
        <v>239</v>
      </c>
      <c r="C17" s="180">
        <v>45991</v>
      </c>
      <c r="D17" s="733" t="s">
        <v>538</v>
      </c>
      <c r="E17" s="194"/>
      <c r="F17" s="139"/>
      <c r="G17" s="139"/>
      <c r="H17" s="188">
        <v>0</v>
      </c>
      <c r="I17" s="184"/>
      <c r="J17" s="188" t="s">
        <v>57</v>
      </c>
      <c r="K17" s="188" t="s">
        <v>57</v>
      </c>
      <c r="L17" s="188" t="s">
        <v>63</v>
      </c>
      <c r="M17" s="198">
        <v>45863</v>
      </c>
      <c r="N17" s="30" t="s">
        <v>402</v>
      </c>
      <c r="O17" s="54">
        <v>45863</v>
      </c>
      <c r="P17" s="30" t="s">
        <v>402</v>
      </c>
      <c r="Q17" s="69" t="s">
        <v>402</v>
      </c>
      <c r="R17" s="43" t="s">
        <v>402</v>
      </c>
      <c r="S17" s="43" t="s">
        <v>56</v>
      </c>
      <c r="T17" s="43" t="s">
        <v>402</v>
      </c>
      <c r="U17" s="69" t="s">
        <v>87</v>
      </c>
      <c r="V17" s="69" t="s">
        <v>87</v>
      </c>
      <c r="W17" s="30"/>
      <c r="X17" s="43"/>
    </row>
    <row r="18" spans="1:25">
      <c r="A18" s="181" t="s">
        <v>539</v>
      </c>
      <c r="B18" s="183" t="s">
        <v>239</v>
      </c>
      <c r="C18" s="422">
        <v>45991</v>
      </c>
      <c r="D18" s="423" t="s">
        <v>540</v>
      </c>
      <c r="E18" s="194"/>
      <c r="F18" s="139"/>
      <c r="G18" s="139"/>
      <c r="H18" s="188">
        <v>0</v>
      </c>
      <c r="I18" s="184"/>
      <c r="J18" s="188" t="s">
        <v>57</v>
      </c>
      <c r="K18" s="188" t="s">
        <v>57</v>
      </c>
      <c r="L18" s="188" t="s">
        <v>63</v>
      </c>
      <c r="M18" s="198">
        <v>45881</v>
      </c>
      <c r="N18" s="30" t="s">
        <v>402</v>
      </c>
      <c r="O18" s="198">
        <v>45881</v>
      </c>
      <c r="P18" s="30" t="s">
        <v>402</v>
      </c>
      <c r="Q18" s="69" t="s">
        <v>402</v>
      </c>
      <c r="R18" s="43" t="s">
        <v>402</v>
      </c>
      <c r="S18" s="43" t="s">
        <v>56</v>
      </c>
      <c r="T18" s="43" t="s">
        <v>402</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402</v>
      </c>
      <c r="O19" s="54">
        <v>45873</v>
      </c>
      <c r="P19" s="87" t="s">
        <v>402</v>
      </c>
      <c r="Q19" s="69" t="s">
        <v>402</v>
      </c>
      <c r="R19" s="69" t="s">
        <v>402</v>
      </c>
      <c r="S19" s="69" t="s">
        <v>56</v>
      </c>
      <c r="T19" s="69" t="s">
        <v>402</v>
      </c>
      <c r="U19" s="69" t="s">
        <v>402</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402</v>
      </c>
      <c r="O20" s="125">
        <v>45709</v>
      </c>
      <c r="P20" s="87" t="s">
        <v>402</v>
      </c>
      <c r="Q20" s="69" t="s">
        <v>402</v>
      </c>
      <c r="R20" s="69" t="s">
        <v>402</v>
      </c>
      <c r="S20" s="69" t="s">
        <v>56</v>
      </c>
      <c r="T20" s="69" t="s">
        <v>402</v>
      </c>
      <c r="U20" s="69" t="s">
        <v>402</v>
      </c>
      <c r="V20" s="69" t="s">
        <v>402</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402</v>
      </c>
      <c r="O21" s="54">
        <v>45737</v>
      </c>
      <c r="P21" s="87" t="s">
        <v>402</v>
      </c>
      <c r="Q21" s="69" t="s">
        <v>402</v>
      </c>
      <c r="R21" s="69" t="s">
        <v>402</v>
      </c>
      <c r="S21" s="69" t="s">
        <v>56</v>
      </c>
      <c r="T21" s="69" t="s">
        <v>402</v>
      </c>
      <c r="U21" s="69" t="s">
        <v>402</v>
      </c>
      <c r="V21" s="69" t="s">
        <v>402</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402</v>
      </c>
      <c r="O22" s="54">
        <v>45814</v>
      </c>
      <c r="P22" s="87" t="s">
        <v>402</v>
      </c>
      <c r="Q22" s="69" t="s">
        <v>402</v>
      </c>
      <c r="R22" s="69" t="s">
        <v>402</v>
      </c>
      <c r="S22" s="69" t="s">
        <v>56</v>
      </c>
      <c r="T22" s="69" t="s">
        <v>402</v>
      </c>
      <c r="U22" s="69" t="s">
        <v>402</v>
      </c>
      <c r="V22" s="69" t="s">
        <v>402</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402</v>
      </c>
      <c r="O23" s="54">
        <v>45789</v>
      </c>
      <c r="P23" s="87" t="s">
        <v>402</v>
      </c>
      <c r="Q23" s="69" t="s">
        <v>402</v>
      </c>
      <c r="R23" s="69" t="s">
        <v>402</v>
      </c>
      <c r="S23" s="69" t="s">
        <v>56</v>
      </c>
      <c r="T23" s="69" t="s">
        <v>402</v>
      </c>
      <c r="U23" s="69" t="s">
        <v>402</v>
      </c>
      <c r="V23" s="69" t="s">
        <v>402</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402</v>
      </c>
      <c r="O24" s="54">
        <v>45782</v>
      </c>
      <c r="P24" s="87" t="s">
        <v>402</v>
      </c>
      <c r="Q24" s="69" t="s">
        <v>402</v>
      </c>
      <c r="R24" s="69" t="s">
        <v>402</v>
      </c>
      <c r="S24" s="69" t="s">
        <v>56</v>
      </c>
      <c r="T24" s="69" t="s">
        <v>402</v>
      </c>
      <c r="U24" s="69" t="s">
        <v>402</v>
      </c>
      <c r="V24" s="69" t="s">
        <v>402</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402</v>
      </c>
      <c r="O25" s="125">
        <v>45716</v>
      </c>
      <c r="P25" s="87" t="s">
        <v>402</v>
      </c>
      <c r="Q25" s="69" t="s">
        <v>402</v>
      </c>
      <c r="R25" s="69" t="s">
        <v>402</v>
      </c>
      <c r="S25" s="69" t="s">
        <v>56</v>
      </c>
      <c r="T25" s="69" t="s">
        <v>402</v>
      </c>
      <c r="U25" s="69" t="s">
        <v>402</v>
      </c>
      <c r="V25" s="69" t="s">
        <v>402</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402</v>
      </c>
      <c r="O26" s="54">
        <v>45840</v>
      </c>
      <c r="P26" s="87" t="s">
        <v>402</v>
      </c>
      <c r="Q26" s="69" t="s">
        <v>402</v>
      </c>
      <c r="R26" s="69" t="s">
        <v>402</v>
      </c>
      <c r="S26" s="69" t="s">
        <v>56</v>
      </c>
      <c r="T26" s="69" t="s">
        <v>402</v>
      </c>
      <c r="U26" s="69" t="s">
        <v>402</v>
      </c>
      <c r="V26" s="69" t="s">
        <v>402</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402</v>
      </c>
      <c r="O27" s="54">
        <v>45853</v>
      </c>
      <c r="P27" s="87" t="s">
        <v>402</v>
      </c>
      <c r="Q27" s="69" t="s">
        <v>402</v>
      </c>
      <c r="R27" s="69" t="s">
        <v>402</v>
      </c>
      <c r="S27" s="69" t="s">
        <v>56</v>
      </c>
      <c r="T27" s="69" t="s">
        <v>402</v>
      </c>
      <c r="U27" s="69" t="s">
        <v>402</v>
      </c>
      <c r="V27" s="69" t="s">
        <v>402</v>
      </c>
      <c r="W27" s="30"/>
      <c r="X27" s="69"/>
    </row>
    <row r="28" spans="1:25">
      <c r="A28" s="183" t="s">
        <v>438</v>
      </c>
      <c r="B28" s="178" t="s">
        <v>110</v>
      </c>
      <c r="C28" s="186">
        <v>45868</v>
      </c>
      <c r="D28" s="182" t="s">
        <v>439</v>
      </c>
      <c r="E28" s="195"/>
      <c r="F28" s="137"/>
      <c r="G28" s="137"/>
      <c r="H28" s="191">
        <v>0</v>
      </c>
      <c r="I28" s="184"/>
      <c r="J28" s="191" t="s">
        <v>57</v>
      </c>
      <c r="K28" s="191" t="s">
        <v>57</v>
      </c>
      <c r="L28" s="191" t="s">
        <v>63</v>
      </c>
      <c r="M28" s="198">
        <v>45793</v>
      </c>
      <c r="N28" s="87" t="s">
        <v>402</v>
      </c>
      <c r="O28" s="54">
        <v>45793</v>
      </c>
      <c r="P28" s="87" t="s">
        <v>402</v>
      </c>
      <c r="Q28" s="69" t="s">
        <v>402</v>
      </c>
      <c r="R28" s="69" t="s">
        <v>402</v>
      </c>
      <c r="S28" s="69" t="s">
        <v>56</v>
      </c>
      <c r="T28" s="69" t="s">
        <v>402</v>
      </c>
      <c r="U28" s="69" t="s">
        <v>402</v>
      </c>
      <c r="V28" s="69" t="s">
        <v>402</v>
      </c>
      <c r="W28" s="30"/>
      <c r="X28" s="69"/>
    </row>
    <row r="29" spans="1:25">
      <c r="A29" s="181" t="s">
        <v>642</v>
      </c>
      <c r="B29" s="178" t="s">
        <v>110</v>
      </c>
      <c r="C29" s="179">
        <v>45711</v>
      </c>
      <c r="D29" s="202" t="s">
        <v>423</v>
      </c>
      <c r="E29" s="720"/>
      <c r="F29" s="724"/>
      <c r="G29" s="724"/>
      <c r="H29" s="182">
        <v>54</v>
      </c>
      <c r="I29" s="184"/>
      <c r="J29" s="192" t="s">
        <v>57</v>
      </c>
      <c r="K29" s="192" t="s">
        <v>57</v>
      </c>
      <c r="L29" s="182" t="s">
        <v>63</v>
      </c>
      <c r="M29" s="198">
        <v>45659</v>
      </c>
      <c r="N29" s="30" t="s">
        <v>402</v>
      </c>
      <c r="O29" s="125">
        <v>45692</v>
      </c>
      <c r="P29" s="30" t="s">
        <v>402</v>
      </c>
      <c r="Q29" s="43" t="s">
        <v>402</v>
      </c>
      <c r="R29" s="43" t="s">
        <v>402</v>
      </c>
      <c r="S29" s="43" t="s">
        <v>402</v>
      </c>
      <c r="T29" s="43" t="s">
        <v>402</v>
      </c>
      <c r="U29" s="43" t="s">
        <v>402</v>
      </c>
      <c r="V29" s="69" t="s">
        <v>402</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402</v>
      </c>
      <c r="O30" s="125">
        <v>45692</v>
      </c>
      <c r="P30" s="30" t="s">
        <v>402</v>
      </c>
      <c r="Q30" s="43" t="s">
        <v>402</v>
      </c>
      <c r="R30" s="43" t="s">
        <v>402</v>
      </c>
      <c r="S30" s="43" t="s">
        <v>402</v>
      </c>
      <c r="T30" s="43" t="s">
        <v>402</v>
      </c>
      <c r="U30" s="116" t="s">
        <v>402</v>
      </c>
      <c r="V30" s="69" t="s">
        <v>402</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402</v>
      </c>
      <c r="O31" s="54">
        <v>45707</v>
      </c>
      <c r="P31" s="87" t="s">
        <v>402</v>
      </c>
      <c r="Q31" s="43" t="s">
        <v>402</v>
      </c>
      <c r="R31" s="43" t="s">
        <v>1912</v>
      </c>
      <c r="S31" s="43" t="s">
        <v>402</v>
      </c>
      <c r="T31" s="140" t="s">
        <v>402</v>
      </c>
      <c r="U31" s="116" t="s">
        <v>402</v>
      </c>
      <c r="V31" s="69" t="s">
        <v>402</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402</v>
      </c>
      <c r="O32" s="54">
        <v>45756</v>
      </c>
      <c r="P32" s="30" t="s">
        <v>402</v>
      </c>
      <c r="Q32" s="69" t="s">
        <v>402</v>
      </c>
      <c r="R32" s="69" t="s">
        <v>1912</v>
      </c>
      <c r="S32" s="43" t="s">
        <v>402</v>
      </c>
      <c r="T32" s="140" t="s">
        <v>402</v>
      </c>
      <c r="U32" s="43" t="s">
        <v>402</v>
      </c>
      <c r="V32" s="69" t="s">
        <v>402</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402</v>
      </c>
      <c r="O33" s="125">
        <v>45749</v>
      </c>
      <c r="P33" s="30" t="s">
        <v>402</v>
      </c>
      <c r="Q33" s="69" t="s">
        <v>402</v>
      </c>
      <c r="R33" s="69" t="s">
        <v>1912</v>
      </c>
      <c r="S33" s="43" t="s">
        <v>402</v>
      </c>
      <c r="T33" s="140" t="s">
        <v>402</v>
      </c>
      <c r="U33" s="43" t="s">
        <v>402</v>
      </c>
      <c r="V33" s="345" t="s">
        <v>402</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402</v>
      </c>
      <c r="O34" s="125">
        <v>45750</v>
      </c>
      <c r="P34" s="30" t="s">
        <v>402</v>
      </c>
      <c r="Q34" s="69" t="s">
        <v>402</v>
      </c>
      <c r="R34" s="69" t="s">
        <v>1912</v>
      </c>
      <c r="S34" s="43" t="s">
        <v>402</v>
      </c>
      <c r="T34" s="140" t="s">
        <v>402</v>
      </c>
      <c r="U34" s="43" t="s">
        <v>402</v>
      </c>
      <c r="V34" s="417" t="s">
        <v>402</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402</v>
      </c>
      <c r="O35" s="125">
        <v>45659</v>
      </c>
      <c r="P35" s="87" t="s">
        <v>402</v>
      </c>
      <c r="Q35" s="43" t="s">
        <v>402</v>
      </c>
      <c r="R35" s="43" t="s">
        <v>1912</v>
      </c>
      <c r="S35" s="43" t="s">
        <v>402</v>
      </c>
      <c r="T35" s="140" t="s">
        <v>402</v>
      </c>
      <c r="U35" s="171" t="s">
        <v>402</v>
      </c>
      <c r="V35" s="69" t="s">
        <v>402</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402</v>
      </c>
      <c r="O36" s="125">
        <v>45659</v>
      </c>
      <c r="P36" s="87" t="s">
        <v>402</v>
      </c>
      <c r="Q36" s="43" t="s">
        <v>402</v>
      </c>
      <c r="R36" s="43" t="s">
        <v>1912</v>
      </c>
      <c r="S36" s="43" t="s">
        <v>402</v>
      </c>
      <c r="T36" s="140" t="s">
        <v>402</v>
      </c>
      <c r="U36" s="43" t="s">
        <v>402</v>
      </c>
      <c r="V36" s="69" t="s">
        <v>402</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402</v>
      </c>
      <c r="N37" s="30" t="s">
        <v>402</v>
      </c>
      <c r="O37" s="125">
        <v>45672</v>
      </c>
      <c r="P37" s="30" t="s">
        <v>402</v>
      </c>
      <c r="Q37" s="43" t="s">
        <v>402</v>
      </c>
      <c r="R37" s="43" t="s">
        <v>1912</v>
      </c>
      <c r="S37" s="43" t="s">
        <v>402</v>
      </c>
      <c r="T37" s="43" t="s">
        <v>402</v>
      </c>
      <c r="U37" s="171" t="s">
        <v>402</v>
      </c>
      <c r="V37" s="69" t="s">
        <v>402</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402</v>
      </c>
      <c r="O38" s="125">
        <v>45673</v>
      </c>
      <c r="P38" s="30" t="s">
        <v>402</v>
      </c>
      <c r="Q38" s="43" t="s">
        <v>402</v>
      </c>
      <c r="R38" s="43" t="s">
        <v>1912</v>
      </c>
      <c r="S38" s="43" t="s">
        <v>402</v>
      </c>
      <c r="T38" s="43" t="s">
        <v>402</v>
      </c>
      <c r="U38" s="171" t="s">
        <v>402</v>
      </c>
      <c r="V38" s="69" t="s">
        <v>402</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402</v>
      </c>
      <c r="N39" s="30" t="s">
        <v>402</v>
      </c>
      <c r="O39" s="125">
        <v>45672</v>
      </c>
      <c r="P39" s="30" t="s">
        <v>402</v>
      </c>
      <c r="Q39" s="43" t="s">
        <v>402</v>
      </c>
      <c r="R39" s="43" t="s">
        <v>1912</v>
      </c>
      <c r="S39" s="43" t="s">
        <v>402</v>
      </c>
      <c r="T39" s="43" t="s">
        <v>402</v>
      </c>
      <c r="U39" s="171" t="s">
        <v>402</v>
      </c>
      <c r="V39" s="69" t="s">
        <v>402</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402</v>
      </c>
      <c r="O40" s="125">
        <v>45715</v>
      </c>
      <c r="P40" s="30" t="s">
        <v>402</v>
      </c>
      <c r="Q40" s="43" t="s">
        <v>402</v>
      </c>
      <c r="R40" s="43" t="s">
        <v>402</v>
      </c>
      <c r="S40" s="43" t="s">
        <v>402</v>
      </c>
      <c r="T40" s="43" t="s">
        <v>402</v>
      </c>
      <c r="U40" s="43" t="s">
        <v>402</v>
      </c>
      <c r="V40" s="69" t="s">
        <v>402</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402</v>
      </c>
      <c r="O41" s="54">
        <v>45729</v>
      </c>
      <c r="P41" s="87" t="s">
        <v>402</v>
      </c>
      <c r="Q41" s="43" t="s">
        <v>402</v>
      </c>
      <c r="R41" s="43" t="s">
        <v>402</v>
      </c>
      <c r="S41" s="43" t="s">
        <v>402</v>
      </c>
      <c r="T41" s="43" t="s">
        <v>402</v>
      </c>
      <c r="U41" s="171" t="s">
        <v>402</v>
      </c>
      <c r="V41" s="69" t="s">
        <v>402</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402</v>
      </c>
      <c r="O42" s="54">
        <v>45737</v>
      </c>
      <c r="P42" s="87" t="s">
        <v>402</v>
      </c>
      <c r="Q42" s="43" t="s">
        <v>402</v>
      </c>
      <c r="R42" s="43" t="s">
        <v>402</v>
      </c>
      <c r="S42" s="43" t="s">
        <v>402</v>
      </c>
      <c r="T42" s="43" t="s">
        <v>402</v>
      </c>
      <c r="U42" s="43" t="s">
        <v>402</v>
      </c>
      <c r="V42" s="69" t="s">
        <v>402</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402</v>
      </c>
      <c r="N43" s="30" t="s">
        <v>402</v>
      </c>
      <c r="O43" s="125">
        <v>45726</v>
      </c>
      <c r="P43" s="30" t="s">
        <v>402</v>
      </c>
      <c r="Q43" s="43" t="s">
        <v>402</v>
      </c>
      <c r="R43" s="43" t="s">
        <v>402</v>
      </c>
      <c r="S43" s="43" t="s">
        <v>402</v>
      </c>
      <c r="T43" s="43" t="s">
        <v>402</v>
      </c>
      <c r="U43" s="43" t="s">
        <v>402</v>
      </c>
      <c r="V43" s="69" t="s">
        <v>402</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402</v>
      </c>
      <c r="O44" s="54">
        <v>45741</v>
      </c>
      <c r="P44" s="30" t="s">
        <v>402</v>
      </c>
      <c r="Q44" s="43" t="s">
        <v>402</v>
      </c>
      <c r="R44" s="43" t="s">
        <v>402</v>
      </c>
      <c r="S44" s="43" t="s">
        <v>402</v>
      </c>
      <c r="T44" s="43" t="s">
        <v>402</v>
      </c>
      <c r="U44" s="43" t="s">
        <v>402</v>
      </c>
      <c r="V44" s="69" t="s">
        <v>402</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402</v>
      </c>
      <c r="N45" s="30" t="s">
        <v>402</v>
      </c>
      <c r="O45" s="125">
        <v>45695</v>
      </c>
      <c r="P45" s="30" t="s">
        <v>402</v>
      </c>
      <c r="Q45" s="43" t="s">
        <v>402</v>
      </c>
      <c r="R45" s="43" t="s">
        <v>402</v>
      </c>
      <c r="S45" s="43" t="s">
        <v>402</v>
      </c>
      <c r="T45" s="43" t="s">
        <v>402</v>
      </c>
      <c r="U45" s="43" t="s">
        <v>402</v>
      </c>
      <c r="V45" s="69" t="s">
        <v>402</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402</v>
      </c>
      <c r="O46" s="125">
        <v>45810</v>
      </c>
      <c r="P46" s="30" t="s">
        <v>402</v>
      </c>
      <c r="Q46" s="43" t="s">
        <v>402</v>
      </c>
      <c r="R46" s="43" t="s">
        <v>402</v>
      </c>
      <c r="S46" s="43" t="s">
        <v>402</v>
      </c>
      <c r="T46" s="43" t="s">
        <v>402</v>
      </c>
      <c r="U46" s="43" t="s">
        <v>402</v>
      </c>
      <c r="V46" s="69" t="s">
        <v>402</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402</v>
      </c>
      <c r="O47" s="54">
        <v>45880</v>
      </c>
      <c r="P47" s="87" t="s">
        <v>402</v>
      </c>
      <c r="Q47" s="43" t="s">
        <v>402</v>
      </c>
      <c r="R47" s="43" t="s">
        <v>402</v>
      </c>
      <c r="S47" s="43" t="s">
        <v>56</v>
      </c>
      <c r="T47" s="43" t="s">
        <v>402</v>
      </c>
      <c r="U47" s="43" t="s">
        <v>402</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402</v>
      </c>
      <c r="O48" s="54">
        <v>45882</v>
      </c>
      <c r="P48" s="87" t="s">
        <v>402</v>
      </c>
      <c r="Q48" s="158" t="s">
        <v>402</v>
      </c>
      <c r="R48" s="158" t="s">
        <v>402</v>
      </c>
      <c r="S48" s="43" t="s">
        <v>402</v>
      </c>
      <c r="T48" s="43" t="s">
        <v>402</v>
      </c>
      <c r="U48" s="69" t="s">
        <v>402</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402</v>
      </c>
      <c r="O49" s="54">
        <v>45840</v>
      </c>
      <c r="P49" s="87" t="s">
        <v>402</v>
      </c>
      <c r="Q49" s="43" t="s">
        <v>402</v>
      </c>
      <c r="R49" s="43" t="s">
        <v>402</v>
      </c>
      <c r="S49" s="43" t="s">
        <v>56</v>
      </c>
      <c r="T49" s="43" t="s">
        <v>402</v>
      </c>
      <c r="U49" s="43" t="s">
        <v>402</v>
      </c>
      <c r="V49" s="69" t="s">
        <v>402</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402</v>
      </c>
      <c r="O50" s="54">
        <v>45847</v>
      </c>
      <c r="P50" s="87" t="s">
        <v>402</v>
      </c>
      <c r="Q50" s="43" t="s">
        <v>402</v>
      </c>
      <c r="R50" s="43" t="s">
        <v>402</v>
      </c>
      <c r="S50" s="43" t="s">
        <v>56</v>
      </c>
      <c r="T50" s="43" t="s">
        <v>402</v>
      </c>
      <c r="U50" s="43" t="s">
        <v>402</v>
      </c>
      <c r="V50" s="69" t="s">
        <v>402</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402</v>
      </c>
      <c r="O51" s="54">
        <v>45840</v>
      </c>
      <c r="P51" s="87" t="s">
        <v>402</v>
      </c>
      <c r="Q51" s="43" t="s">
        <v>402</v>
      </c>
      <c r="R51" s="43" t="s">
        <v>402</v>
      </c>
      <c r="S51" s="43" t="s">
        <v>56</v>
      </c>
      <c r="T51" s="43" t="s">
        <v>402</v>
      </c>
      <c r="U51" s="43" t="s">
        <v>402</v>
      </c>
      <c r="V51" s="69" t="s">
        <v>402</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402</v>
      </c>
      <c r="O52" s="54">
        <v>45833</v>
      </c>
      <c r="P52" s="30" t="s">
        <v>402</v>
      </c>
      <c r="Q52" s="43" t="s">
        <v>402</v>
      </c>
      <c r="R52" s="43" t="s">
        <v>402</v>
      </c>
      <c r="S52" s="43" t="s">
        <v>402</v>
      </c>
      <c r="T52" s="43" t="s">
        <v>402</v>
      </c>
      <c r="U52" s="43" t="s">
        <v>402</v>
      </c>
      <c r="V52" s="69" t="s">
        <v>402</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402</v>
      </c>
      <c r="O53" s="54">
        <v>45840</v>
      </c>
      <c r="P53" s="87" t="s">
        <v>402</v>
      </c>
      <c r="Q53" s="43" t="s">
        <v>56</v>
      </c>
      <c r="R53" s="43" t="s">
        <v>402</v>
      </c>
      <c r="S53" s="43" t="s">
        <v>402</v>
      </c>
      <c r="T53" s="43" t="s">
        <v>402</v>
      </c>
      <c r="U53" s="43" t="s">
        <v>402</v>
      </c>
      <c r="V53" s="69" t="s">
        <v>402</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402</v>
      </c>
      <c r="O54" s="54">
        <v>45887</v>
      </c>
      <c r="P54" s="87" t="s">
        <v>402</v>
      </c>
      <c r="Q54" s="43" t="s">
        <v>402</v>
      </c>
      <c r="R54" s="43" t="s">
        <v>402</v>
      </c>
      <c r="S54" s="43" t="s">
        <v>402</v>
      </c>
      <c r="T54" s="43" t="s">
        <v>402</v>
      </c>
      <c r="U54" s="43" t="s">
        <v>402</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402</v>
      </c>
      <c r="O55" s="54">
        <v>45887</v>
      </c>
      <c r="P55" s="87" t="s">
        <v>402</v>
      </c>
      <c r="Q55" s="116" t="s">
        <v>402</v>
      </c>
      <c r="R55" s="116" t="s">
        <v>402</v>
      </c>
      <c r="S55" s="116" t="s">
        <v>402</v>
      </c>
      <c r="T55" s="116" t="s">
        <v>402</v>
      </c>
      <c r="U55" s="43" t="s">
        <v>402</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402</v>
      </c>
      <c r="O56" s="54">
        <v>45887</v>
      </c>
      <c r="P56" s="332" t="s">
        <v>402</v>
      </c>
      <c r="Q56" s="43" t="s">
        <v>402</v>
      </c>
      <c r="R56" s="43" t="s">
        <v>402</v>
      </c>
      <c r="S56" s="43" t="s">
        <v>402</v>
      </c>
      <c r="T56" s="43" t="s">
        <v>402</v>
      </c>
      <c r="U56" s="43" t="s">
        <v>402</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402</v>
      </c>
      <c r="O57" s="125">
        <v>45783</v>
      </c>
      <c r="P57" s="332" t="s">
        <v>402</v>
      </c>
      <c r="Q57" s="43" t="s">
        <v>402</v>
      </c>
      <c r="R57" s="43" t="s">
        <v>1912</v>
      </c>
      <c r="S57" s="43" t="s">
        <v>402</v>
      </c>
      <c r="T57" s="43" t="s">
        <v>402</v>
      </c>
      <c r="U57" s="43" t="s">
        <v>402</v>
      </c>
      <c r="V57" s="69" t="s">
        <v>402</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402</v>
      </c>
      <c r="O58" s="54">
        <v>45776</v>
      </c>
      <c r="P58" s="332" t="s">
        <v>402</v>
      </c>
      <c r="Q58" s="43" t="s">
        <v>402</v>
      </c>
      <c r="R58" s="43" t="s">
        <v>1912</v>
      </c>
      <c r="S58" s="43" t="s">
        <v>402</v>
      </c>
      <c r="T58" s="43" t="s">
        <v>402</v>
      </c>
      <c r="U58" s="43" t="s">
        <v>402</v>
      </c>
      <c r="V58" s="345" t="s">
        <v>402</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402</v>
      </c>
      <c r="O59" s="30" t="s">
        <v>1894</v>
      </c>
      <c r="P59" s="332" t="s">
        <v>402</v>
      </c>
      <c r="Q59" s="43" t="s">
        <v>402</v>
      </c>
      <c r="R59" s="43" t="s">
        <v>1912</v>
      </c>
      <c r="S59" s="43" t="s">
        <v>402</v>
      </c>
      <c r="T59" s="43" t="s">
        <v>402</v>
      </c>
      <c r="U59" s="43" t="s">
        <v>402</v>
      </c>
      <c r="V59" s="345" t="s">
        <v>402</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402</v>
      </c>
      <c r="O60" s="54">
        <v>45812</v>
      </c>
      <c r="P60" s="332" t="s">
        <v>402</v>
      </c>
      <c r="Q60" s="43" t="s">
        <v>402</v>
      </c>
      <c r="R60" s="43" t="s">
        <v>1912</v>
      </c>
      <c r="S60" s="43" t="s">
        <v>402</v>
      </c>
      <c r="T60" s="43" t="s">
        <v>402</v>
      </c>
      <c r="U60" s="43" t="s">
        <v>402</v>
      </c>
      <c r="V60" s="345" t="s">
        <v>402</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402</v>
      </c>
      <c r="N61" s="87" t="s">
        <v>402</v>
      </c>
      <c r="O61" s="125">
        <v>45673</v>
      </c>
      <c r="P61" s="332" t="s">
        <v>402</v>
      </c>
      <c r="Q61" s="43" t="s">
        <v>402</v>
      </c>
      <c r="R61" s="69" t="s">
        <v>64</v>
      </c>
      <c r="S61" s="43" t="s">
        <v>56</v>
      </c>
      <c r="T61" s="43" t="s">
        <v>402</v>
      </c>
      <c r="U61" s="162" t="s">
        <v>402</v>
      </c>
      <c r="V61" s="69" t="s">
        <v>402</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402</v>
      </c>
      <c r="O62" s="54">
        <v>45848</v>
      </c>
      <c r="P62" s="332" t="s">
        <v>402</v>
      </c>
      <c r="Q62" s="43" t="s">
        <v>402</v>
      </c>
      <c r="R62" s="43" t="s">
        <v>402</v>
      </c>
      <c r="S62" s="43" t="s">
        <v>56</v>
      </c>
      <c r="T62" s="43" t="s">
        <v>402</v>
      </c>
      <c r="U62" s="43" t="s">
        <v>402</v>
      </c>
      <c r="V62" s="43" t="s">
        <v>402</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402</v>
      </c>
      <c r="O63" s="54">
        <v>45882</v>
      </c>
      <c r="P63" s="332" t="s">
        <v>402</v>
      </c>
      <c r="Q63" s="43" t="s">
        <v>402</v>
      </c>
      <c r="R63" s="43" t="s">
        <v>402</v>
      </c>
      <c r="S63" s="43" t="s">
        <v>56</v>
      </c>
      <c r="T63" s="43" t="s">
        <v>402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402</v>
      </c>
      <c r="O64" s="54">
        <v>45884</v>
      </c>
      <c r="P64" s="332" t="s">
        <v>402</v>
      </c>
      <c r="Q64" s="43" t="s">
        <v>402</v>
      </c>
      <c r="R64" s="43" t="s">
        <v>402</v>
      </c>
      <c r="S64" s="43" t="s">
        <v>56</v>
      </c>
      <c r="T64" s="43" t="s">
        <v>402</v>
      </c>
      <c r="U64" s="43" t="s">
        <v>402</v>
      </c>
      <c r="V64" s="43" t="s">
        <v>402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402</v>
      </c>
      <c r="O65" s="54">
        <v>45824</v>
      </c>
      <c r="P65" s="332" t="s">
        <v>402</v>
      </c>
      <c r="Q65" s="43" t="s">
        <v>402</v>
      </c>
      <c r="R65" s="43" t="s">
        <v>402</v>
      </c>
      <c r="S65" s="43" t="s">
        <v>56</v>
      </c>
      <c r="T65" s="43" t="s">
        <v>402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402</v>
      </c>
      <c r="O66" s="125">
        <v>45817</v>
      </c>
      <c r="P66" s="332" t="s">
        <v>402</v>
      </c>
      <c r="Q66" s="158" t="s">
        <v>402</v>
      </c>
      <c r="R66" s="43" t="s">
        <v>402</v>
      </c>
      <c r="S66" s="43" t="s">
        <v>56</v>
      </c>
      <c r="T66" s="43" t="s">
        <v>402</v>
      </c>
      <c r="U66" s="43" t="s">
        <v>402</v>
      </c>
      <c r="V66" s="43" t="s">
        <v>402</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402</v>
      </c>
      <c r="O67" s="54">
        <v>45876</v>
      </c>
      <c r="P67" s="332" t="s">
        <v>402</v>
      </c>
      <c r="Q67" s="158" t="s">
        <v>402</v>
      </c>
      <c r="R67" s="158" t="s">
        <v>402</v>
      </c>
      <c r="S67" s="43" t="s">
        <v>56</v>
      </c>
      <c r="T67" s="43" t="s">
        <v>402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402</v>
      </c>
      <c r="N68" s="87" t="s">
        <v>402</v>
      </c>
      <c r="O68" s="87" t="s">
        <v>402</v>
      </c>
      <c r="P68" s="332" t="s">
        <v>402</v>
      </c>
      <c r="Q68" s="43" t="s">
        <v>402</v>
      </c>
      <c r="R68" s="43" t="s">
        <v>402</v>
      </c>
      <c r="S68" s="43" t="s">
        <v>56</v>
      </c>
      <c r="T68" s="43" t="s">
        <v>402</v>
      </c>
      <c r="U68" s="43" t="s">
        <v>402</v>
      </c>
      <c r="V68" s="345" t="s">
        <v>402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402</v>
      </c>
      <c r="O69" s="54">
        <v>45870</v>
      </c>
      <c r="P69" s="332" t="s">
        <v>402</v>
      </c>
      <c r="Q69" s="43" t="s">
        <v>402</v>
      </c>
      <c r="R69" s="43" t="s">
        <v>402</v>
      </c>
      <c r="S69" s="43" t="s">
        <v>56</v>
      </c>
      <c r="T69" s="43" t="s">
        <v>402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402</v>
      </c>
      <c r="O70" s="125">
        <v>45705</v>
      </c>
      <c r="P70" s="79" t="s">
        <v>402</v>
      </c>
      <c r="Q70" s="43" t="s">
        <v>402</v>
      </c>
      <c r="R70" s="43" t="s">
        <v>402</v>
      </c>
      <c r="S70" s="43" t="s">
        <v>56</v>
      </c>
      <c r="T70" s="43" t="s">
        <v>402</v>
      </c>
      <c r="U70" s="43" t="s">
        <v>402</v>
      </c>
      <c r="V70" s="345" t="s">
        <v>402</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402</v>
      </c>
      <c r="O71" s="54">
        <v>45870</v>
      </c>
      <c r="P71" s="79" t="s">
        <v>402</v>
      </c>
      <c r="Q71" s="43" t="s">
        <v>402</v>
      </c>
      <c r="R71" s="43" t="s">
        <v>402</v>
      </c>
      <c r="S71" s="43" t="s">
        <v>56</v>
      </c>
      <c r="T71" s="43" t="s">
        <v>402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402</v>
      </c>
      <c r="O72" s="54">
        <v>45882</v>
      </c>
      <c r="P72" s="332" t="s">
        <v>402</v>
      </c>
      <c r="Q72" s="158" t="s">
        <v>402</v>
      </c>
      <c r="R72" s="43" t="s">
        <v>402</v>
      </c>
      <c r="S72" s="43" t="s">
        <v>56</v>
      </c>
      <c r="T72" s="43" t="s">
        <v>402</v>
      </c>
      <c r="U72" s="43" t="s">
        <v>402</v>
      </c>
      <c r="V72" s="43" t="s">
        <v>402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110</v>
      </c>
      <c r="C73" s="186">
        <v>45838</v>
      </c>
      <c r="D73" s="635" t="s">
        <v>465</v>
      </c>
      <c r="E73" s="747"/>
      <c r="F73" s="748"/>
      <c r="G73" s="748"/>
      <c r="H73" s="182">
        <v>0</v>
      </c>
      <c r="I73" s="184"/>
      <c r="J73" s="182" t="s">
        <v>57</v>
      </c>
      <c r="K73" s="182" t="s">
        <v>57</v>
      </c>
      <c r="L73" s="182" t="s">
        <v>63</v>
      </c>
      <c r="M73" s="196">
        <v>45790</v>
      </c>
      <c r="N73" s="30" t="s">
        <v>402</v>
      </c>
      <c r="O73" s="125">
        <v>45790</v>
      </c>
      <c r="P73" s="79" t="s">
        <v>402</v>
      </c>
      <c r="Q73" s="43" t="s">
        <v>402</v>
      </c>
      <c r="R73" s="43" t="s">
        <v>402</v>
      </c>
      <c r="S73" s="43" t="s">
        <v>56</v>
      </c>
      <c r="T73" s="43" t="s">
        <v>402</v>
      </c>
      <c r="U73" s="43" t="s">
        <v>402</v>
      </c>
      <c r="V73" s="345" t="s">
        <v>402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402</v>
      </c>
      <c r="O74" s="54">
        <v>45871</v>
      </c>
      <c r="P74" s="79" t="s">
        <v>402</v>
      </c>
      <c r="Q74" s="43" t="s">
        <v>402</v>
      </c>
      <c r="R74" s="43" t="s">
        <v>402</v>
      </c>
      <c r="S74" s="43" t="s">
        <v>56</v>
      </c>
      <c r="T74" s="43" t="s">
        <v>402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402</v>
      </c>
      <c r="O75" s="54">
        <v>45853</v>
      </c>
      <c r="P75" s="79" t="s">
        <v>402</v>
      </c>
      <c r="Q75" s="43" t="s">
        <v>402</v>
      </c>
      <c r="R75" s="43" t="s">
        <v>402</v>
      </c>
      <c r="S75" s="43" t="s">
        <v>56</v>
      </c>
      <c r="T75" s="43" t="s">
        <v>402</v>
      </c>
      <c r="U75" s="43" t="s">
        <v>402</v>
      </c>
      <c r="V75" s="43" t="s">
        <v>402</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402</v>
      </c>
      <c r="O76" s="54">
        <v>45838</v>
      </c>
      <c r="P76" s="87" t="s">
        <v>402</v>
      </c>
      <c r="Q76" s="171" t="s">
        <v>402</v>
      </c>
      <c r="R76" s="171" t="s">
        <v>402</v>
      </c>
      <c r="S76" s="171" t="s">
        <v>56</v>
      </c>
      <c r="T76" s="171" t="s">
        <v>402</v>
      </c>
      <c r="U76" s="43" t="s">
        <v>402</v>
      </c>
      <c r="V76" s="43" t="s">
        <v>402</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402</v>
      </c>
      <c r="O77" s="54">
        <v>45902</v>
      </c>
      <c r="P77" s="332" t="s">
        <v>402</v>
      </c>
      <c r="Q77" s="43" t="s">
        <v>402</v>
      </c>
      <c r="R77" s="43" t="s">
        <v>402</v>
      </c>
      <c r="S77" s="43" t="s">
        <v>56</v>
      </c>
      <c r="T77" s="43" t="s">
        <v>402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402</v>
      </c>
      <c r="O78" s="54">
        <v>45902</v>
      </c>
      <c r="P78" s="332" t="s">
        <v>402</v>
      </c>
      <c r="Q78" s="43" t="s">
        <v>402</v>
      </c>
      <c r="R78" s="43" t="s">
        <v>402</v>
      </c>
      <c r="S78" s="43" t="s">
        <v>56</v>
      </c>
      <c r="T78" s="43" t="s">
        <v>402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402</v>
      </c>
      <c r="N79" s="87" t="s">
        <v>402</v>
      </c>
      <c r="O79" s="87" t="s">
        <v>402</v>
      </c>
      <c r="P79" s="87" t="s">
        <v>402</v>
      </c>
      <c r="Q79" s="43" t="s">
        <v>56</v>
      </c>
      <c r="R79" s="43" t="s">
        <v>56</v>
      </c>
      <c r="S79" s="43" t="s">
        <v>56</v>
      </c>
      <c r="T79" s="43" t="s">
        <v>402</v>
      </c>
      <c r="U79" s="43" t="s">
        <v>402</v>
      </c>
      <c r="V79" s="345" t="s">
        <v>402</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402</v>
      </c>
      <c r="O80" s="30" t="s">
        <v>52</v>
      </c>
      <c r="P80" s="87" t="s">
        <v>402</v>
      </c>
      <c r="Q80" s="43" t="s">
        <v>56</v>
      </c>
      <c r="R80" s="43" t="s">
        <v>56</v>
      </c>
      <c r="S80" s="43" t="s">
        <v>56</v>
      </c>
      <c r="T80" s="43" t="s">
        <v>402</v>
      </c>
      <c r="U80" s="43" t="s">
        <v>402</v>
      </c>
      <c r="V80" s="69" t="s">
        <v>402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402</v>
      </c>
      <c r="N81" s="87" t="s">
        <v>402</v>
      </c>
      <c r="O81" s="125">
        <v>45678</v>
      </c>
      <c r="P81" s="87" t="s">
        <v>402</v>
      </c>
      <c r="Q81" s="43" t="s">
        <v>402</v>
      </c>
      <c r="R81" s="43" t="s">
        <v>1912</v>
      </c>
      <c r="S81" s="43" t="s">
        <v>402</v>
      </c>
      <c r="T81" s="43" t="s">
        <v>402</v>
      </c>
      <c r="U81" s="116" t="s">
        <v>402</v>
      </c>
      <c r="V81" s="69" t="s">
        <v>402</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402</v>
      </c>
      <c r="O82" s="54">
        <v>45874</v>
      </c>
      <c r="P82" s="87" t="s">
        <v>402</v>
      </c>
      <c r="Q82" s="43" t="s">
        <v>402</v>
      </c>
      <c r="R82" s="43" t="s">
        <v>1912</v>
      </c>
      <c r="S82" s="43" t="s">
        <v>402</v>
      </c>
      <c r="T82" s="43" t="s">
        <v>402</v>
      </c>
      <c r="U82" s="116" t="s">
        <v>402</v>
      </c>
      <c r="V82" s="69" t="s">
        <v>402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530</v>
      </c>
      <c r="E83" s="195"/>
      <c r="F83" s="137"/>
      <c r="G83" s="137"/>
      <c r="H83" s="191">
        <v>0</v>
      </c>
      <c r="I83" s="184"/>
      <c r="J83" s="191" t="s">
        <v>57</v>
      </c>
      <c r="K83" s="191" t="s">
        <v>57</v>
      </c>
      <c r="L83" s="182" t="s">
        <v>63</v>
      </c>
      <c r="M83" s="197">
        <v>45705</v>
      </c>
      <c r="N83" s="87" t="s">
        <v>402</v>
      </c>
      <c r="O83" s="54">
        <v>45706</v>
      </c>
      <c r="P83" s="87" t="s">
        <v>402</v>
      </c>
      <c r="Q83" s="166" t="s">
        <v>402</v>
      </c>
      <c r="R83" s="69" t="s">
        <v>402</v>
      </c>
      <c r="S83" s="69" t="s">
        <v>56</v>
      </c>
      <c r="T83" s="69" t="s">
        <v>402</v>
      </c>
      <c r="U83" s="43" t="s">
        <v>402</v>
      </c>
      <c r="V83" s="43" t="s">
        <v>402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402</v>
      </c>
      <c r="O84" s="54">
        <v>45728</v>
      </c>
      <c r="P84" s="30" t="s">
        <v>402</v>
      </c>
      <c r="Q84" s="171" t="s">
        <v>402</v>
      </c>
      <c r="R84" s="171" t="s">
        <v>1912</v>
      </c>
      <c r="S84" s="171" t="s">
        <v>402</v>
      </c>
      <c r="T84" s="171" t="s">
        <v>402</v>
      </c>
      <c r="U84" s="92" t="s">
        <v>402</v>
      </c>
      <c r="V84" s="69" t="s">
        <v>402</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402</v>
      </c>
      <c r="O85" s="54">
        <v>45719</v>
      </c>
      <c r="P85" s="30" t="s">
        <v>402</v>
      </c>
      <c r="Q85" s="43" t="s">
        <v>402</v>
      </c>
      <c r="R85" s="171" t="s">
        <v>1912</v>
      </c>
      <c r="S85" s="171" t="s">
        <v>402</v>
      </c>
      <c r="T85" s="171" t="s">
        <v>402</v>
      </c>
      <c r="U85" s="92" t="s">
        <v>402</v>
      </c>
      <c r="V85" s="92" t="s">
        <v>402</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402</v>
      </c>
      <c r="O86" s="198">
        <v>45728</v>
      </c>
      <c r="P86" s="30" t="s">
        <v>402</v>
      </c>
      <c r="Q86" s="43" t="s">
        <v>402</v>
      </c>
      <c r="R86" s="43" t="s">
        <v>1912</v>
      </c>
      <c r="S86" s="43" t="s">
        <v>402</v>
      </c>
      <c r="T86" s="43" t="s">
        <v>402</v>
      </c>
      <c r="U86" s="69" t="s">
        <v>402</v>
      </c>
      <c r="V86" s="69" t="s">
        <v>402</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402</v>
      </c>
      <c r="O87" s="30" t="s">
        <v>402</v>
      </c>
      <c r="P87" s="30" t="s">
        <v>402</v>
      </c>
      <c r="Q87" s="43" t="s">
        <v>402</v>
      </c>
      <c r="R87" s="43" t="s">
        <v>1912</v>
      </c>
      <c r="S87" s="43" t="s">
        <v>402</v>
      </c>
      <c r="T87" s="43" t="s">
        <v>402</v>
      </c>
      <c r="U87" s="158" t="s">
        <v>402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402</v>
      </c>
      <c r="O88" s="54">
        <v>45728</v>
      </c>
      <c r="P88" s="30" t="s">
        <v>402</v>
      </c>
      <c r="Q88" s="43" t="s">
        <v>402</v>
      </c>
      <c r="R88" s="43" t="s">
        <v>1912</v>
      </c>
      <c r="S88" s="43" t="s">
        <v>402</v>
      </c>
      <c r="T88" s="43" t="s">
        <v>402</v>
      </c>
      <c r="U88" s="158" t="s">
        <v>402</v>
      </c>
      <c r="V88" s="158" t="s">
        <v>402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402</v>
      </c>
      <c r="O89" s="54">
        <v>45722</v>
      </c>
      <c r="P89" s="30" t="s">
        <v>402</v>
      </c>
      <c r="Q89" s="69" t="s">
        <v>402</v>
      </c>
      <c r="R89" s="43" t="s">
        <v>1912</v>
      </c>
      <c r="S89" s="69" t="s">
        <v>402</v>
      </c>
      <c r="T89" s="69" t="s">
        <v>402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402</v>
      </c>
      <c r="O90" s="54">
        <v>45727</v>
      </c>
      <c r="P90" s="30" t="s">
        <v>402</v>
      </c>
      <c r="Q90" s="69" t="s">
        <v>402</v>
      </c>
      <c r="R90" s="43" t="s">
        <v>1912</v>
      </c>
      <c r="S90" s="69" t="s">
        <v>402</v>
      </c>
      <c r="T90" s="69" t="s">
        <v>402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402</v>
      </c>
      <c r="O91" s="54">
        <v>45723</v>
      </c>
      <c r="P91" s="30" t="s">
        <v>402</v>
      </c>
      <c r="Q91" s="69" t="s">
        <v>402</v>
      </c>
      <c r="R91" s="43" t="s">
        <v>1912</v>
      </c>
      <c r="S91" s="69" t="s">
        <v>402</v>
      </c>
      <c r="T91" s="69" t="s">
        <v>402</v>
      </c>
      <c r="U91" s="69" t="s">
        <v>402</v>
      </c>
      <c r="V91" s="69" t="s">
        <v>402</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402</v>
      </c>
      <c r="O92" s="54">
        <v>45726</v>
      </c>
      <c r="P92" s="30" t="s">
        <v>402</v>
      </c>
      <c r="Q92" s="149" t="s">
        <v>402</v>
      </c>
      <c r="R92" s="43" t="s">
        <v>1912</v>
      </c>
      <c r="S92" s="69" t="s">
        <v>402</v>
      </c>
      <c r="T92" s="69" t="s">
        <v>402</v>
      </c>
      <c r="U92" s="345" t="s">
        <v>402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402</v>
      </c>
      <c r="O93" s="54">
        <v>45727</v>
      </c>
      <c r="P93" s="79" t="s">
        <v>402</v>
      </c>
      <c r="Q93" s="43" t="s">
        <v>402</v>
      </c>
      <c r="R93" s="43" t="s">
        <v>1912</v>
      </c>
      <c r="S93" s="43" t="s">
        <v>402</v>
      </c>
      <c r="T93" s="43" t="s">
        <v>402</v>
      </c>
      <c r="U93" s="345" t="s">
        <v>402</v>
      </c>
      <c r="V93" s="69" t="s">
        <v>402</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402</v>
      </c>
      <c r="O94" s="54">
        <v>45693</v>
      </c>
      <c r="P94" s="79" t="s">
        <v>402</v>
      </c>
      <c r="Q94" s="69" t="s">
        <v>402</v>
      </c>
      <c r="R94" s="69" t="s">
        <v>1912</v>
      </c>
      <c r="S94" s="69" t="s">
        <v>402</v>
      </c>
      <c r="T94" s="69" t="s">
        <v>402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402</v>
      </c>
      <c r="O95" s="198">
        <v>45694</v>
      </c>
      <c r="P95" s="79" t="s">
        <v>402</v>
      </c>
      <c r="Q95" s="69" t="s">
        <v>402</v>
      </c>
      <c r="R95" s="69" t="s">
        <v>1912</v>
      </c>
      <c r="S95" s="69" t="s">
        <v>402</v>
      </c>
      <c r="T95" s="43" t="s">
        <v>402</v>
      </c>
      <c r="U95" s="69" t="s">
        <v>402</v>
      </c>
      <c r="V95" s="69" t="s">
        <v>402</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402</v>
      </c>
      <c r="O96" s="54">
        <v>45694</v>
      </c>
      <c r="P96" s="30" t="s">
        <v>402</v>
      </c>
      <c r="Q96" s="69" t="s">
        <v>402</v>
      </c>
      <c r="R96" s="92" t="s">
        <v>1912</v>
      </c>
      <c r="S96" s="69" t="s">
        <v>402</v>
      </c>
      <c r="T96" s="69" t="s">
        <v>402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402</v>
      </c>
      <c r="O97" s="54">
        <v>45688</v>
      </c>
      <c r="P97" s="30" t="s">
        <v>402</v>
      </c>
      <c r="Q97" s="69" t="s">
        <v>402</v>
      </c>
      <c r="R97" s="69" t="s">
        <v>1912</v>
      </c>
      <c r="S97" s="69" t="s">
        <v>402</v>
      </c>
      <c r="T97" s="69" t="s">
        <v>402</v>
      </c>
      <c r="U97" s="69" t="s">
        <v>402</v>
      </c>
      <c r="V97" s="43" t="s">
        <v>402</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402</v>
      </c>
      <c r="O98" s="54">
        <v>45692</v>
      </c>
      <c r="P98" s="30" t="s">
        <v>402</v>
      </c>
      <c r="Q98" s="43" t="s">
        <v>402</v>
      </c>
      <c r="R98" s="43" t="s">
        <v>1912</v>
      </c>
      <c r="S98" s="43" t="s">
        <v>402</v>
      </c>
      <c r="T98" s="43" t="s">
        <v>402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402</v>
      </c>
      <c r="O99" s="54">
        <v>45692</v>
      </c>
      <c r="P99" s="30" t="s">
        <v>402</v>
      </c>
      <c r="Q99" s="43" t="s">
        <v>402</v>
      </c>
      <c r="R99" s="43" t="s">
        <v>1912</v>
      </c>
      <c r="S99" s="43" t="s">
        <v>402</v>
      </c>
      <c r="T99" s="116" t="s">
        <v>402</v>
      </c>
      <c r="U99" s="149" t="s">
        <v>402</v>
      </c>
      <c r="V99" s="69" t="s">
        <v>402</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402</v>
      </c>
      <c r="O100" s="168">
        <v>45691</v>
      </c>
      <c r="P100" s="30" t="s">
        <v>402</v>
      </c>
      <c r="Q100" s="43" t="s">
        <v>402</v>
      </c>
      <c r="R100" s="43" t="s">
        <v>1912</v>
      </c>
      <c r="S100" s="43" t="s">
        <v>402</v>
      </c>
      <c r="T100" s="43" t="s">
        <v>402</v>
      </c>
      <c r="U100" s="69" t="s">
        <v>402</v>
      </c>
      <c r="V100" s="158" t="s">
        <v>402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402</v>
      </c>
      <c r="O101" s="54">
        <v>45695</v>
      </c>
      <c r="P101" s="30" t="s">
        <v>402</v>
      </c>
      <c r="Q101" s="43" t="s">
        <v>402</v>
      </c>
      <c r="R101" s="43" t="s">
        <v>1912</v>
      </c>
      <c r="S101" s="43" t="s">
        <v>402</v>
      </c>
      <c r="T101" s="43" t="s">
        <v>402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402</v>
      </c>
      <c r="N102" s="30" t="s">
        <v>402</v>
      </c>
      <c r="O102" s="54">
        <v>45699</v>
      </c>
      <c r="P102" s="87" t="s">
        <v>402</v>
      </c>
      <c r="Q102" s="88" t="s">
        <v>402</v>
      </c>
      <c r="R102" s="43" t="s">
        <v>1912</v>
      </c>
      <c r="S102" s="43" t="s">
        <v>402</v>
      </c>
      <c r="T102" s="43" t="s">
        <v>402</v>
      </c>
      <c r="U102" s="43" t="s">
        <v>402</v>
      </c>
      <c r="V102" s="166" t="s">
        <v>402</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402</v>
      </c>
      <c r="O103" s="54">
        <v>45675</v>
      </c>
      <c r="P103" s="87" t="s">
        <v>402</v>
      </c>
      <c r="Q103" s="43" t="s">
        <v>402</v>
      </c>
      <c r="R103" s="43" t="s">
        <v>1912</v>
      </c>
      <c r="S103" s="43" t="s">
        <v>402</v>
      </c>
      <c r="T103" s="43" t="s">
        <v>402</v>
      </c>
      <c r="U103" s="43" t="s">
        <v>402</v>
      </c>
      <c r="V103" s="140" t="s">
        <v>402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402</v>
      </c>
      <c r="N104" s="120" t="s">
        <v>402</v>
      </c>
      <c r="O104" s="54">
        <v>45675</v>
      </c>
      <c r="P104" s="217" t="s">
        <v>402</v>
      </c>
      <c r="Q104" s="43" t="s">
        <v>402</v>
      </c>
      <c r="R104" s="43" t="s">
        <v>1912</v>
      </c>
      <c r="S104" s="43" t="s">
        <v>402</v>
      </c>
      <c r="T104" s="43" t="s">
        <v>402</v>
      </c>
      <c r="U104" s="43" t="s">
        <v>402</v>
      </c>
      <c r="V104" s="140" t="s">
        <v>402</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402</v>
      </c>
      <c r="O105" s="54">
        <v>45743</v>
      </c>
      <c r="P105" s="87" t="s">
        <v>402</v>
      </c>
      <c r="Q105" s="158" t="s">
        <v>402</v>
      </c>
      <c r="R105" s="69" t="s">
        <v>1912</v>
      </c>
      <c r="S105" s="43" t="s">
        <v>402</v>
      </c>
      <c r="T105" s="43" t="s">
        <v>402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402</v>
      </c>
      <c r="O106" s="54">
        <v>45679</v>
      </c>
      <c r="P106" s="87" t="s">
        <v>402</v>
      </c>
      <c r="Q106" s="43" t="s">
        <v>402</v>
      </c>
      <c r="R106" s="43" t="s">
        <v>1912</v>
      </c>
      <c r="S106" s="43" t="s">
        <v>402</v>
      </c>
      <c r="T106" s="43" t="s">
        <v>402</v>
      </c>
      <c r="U106" s="43" t="s">
        <v>402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402</v>
      </c>
      <c r="O107" s="54">
        <v>45749</v>
      </c>
      <c r="P107" s="30" t="s">
        <v>402</v>
      </c>
      <c r="Q107" s="43" t="s">
        <v>402</v>
      </c>
      <c r="R107" s="43" t="s">
        <v>1912</v>
      </c>
      <c r="S107" s="43" t="s">
        <v>402</v>
      </c>
      <c r="T107" s="43" t="s">
        <v>402</v>
      </c>
      <c r="U107" s="43" t="s">
        <v>402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402</v>
      </c>
      <c r="O108" s="54">
        <v>45749</v>
      </c>
      <c r="P108" s="30" t="s">
        <v>402</v>
      </c>
      <c r="Q108" s="43" t="s">
        <v>402</v>
      </c>
      <c r="R108" s="345" t="s">
        <v>1912</v>
      </c>
      <c r="S108" s="43" t="s">
        <v>402</v>
      </c>
      <c r="T108" s="43" t="s">
        <v>402</v>
      </c>
      <c r="U108" s="88" t="s">
        <v>402</v>
      </c>
      <c r="V108" s="494" t="s">
        <v>402</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402</v>
      </c>
      <c r="O109" s="54">
        <v>45744</v>
      </c>
      <c r="P109" s="79" t="s">
        <v>402</v>
      </c>
      <c r="Q109" s="43" t="s">
        <v>402</v>
      </c>
      <c r="R109" s="345" t="s">
        <v>1912</v>
      </c>
      <c r="S109" s="43" t="s">
        <v>402</v>
      </c>
      <c r="T109" s="43" t="s">
        <v>402</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402</v>
      </c>
      <c r="O110" s="54">
        <v>45691</v>
      </c>
      <c r="P110" s="79" t="s">
        <v>402</v>
      </c>
      <c r="Q110" s="43" t="s">
        <v>402</v>
      </c>
      <c r="R110" s="345" t="s">
        <v>1912</v>
      </c>
      <c r="S110" s="43" t="s">
        <v>402</v>
      </c>
      <c r="T110" s="43" t="s">
        <v>402</v>
      </c>
      <c r="U110" s="88" t="s">
        <v>402</v>
      </c>
      <c r="V110" s="494" t="s">
        <v>402</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402</v>
      </c>
      <c r="O111" s="54">
        <v>45708</v>
      </c>
      <c r="P111" s="30" t="s">
        <v>402</v>
      </c>
      <c r="Q111" s="171" t="s">
        <v>402</v>
      </c>
      <c r="R111" s="69" t="s">
        <v>1912</v>
      </c>
      <c r="S111" s="43" t="s">
        <v>402</v>
      </c>
      <c r="T111" s="43" t="s">
        <v>402</v>
      </c>
      <c r="U111" s="43" t="s">
        <v>402</v>
      </c>
      <c r="V111" s="204" t="s">
        <v>402</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402</v>
      </c>
      <c r="O112" s="168">
        <v>45744</v>
      </c>
      <c r="P112" s="115" t="s">
        <v>402</v>
      </c>
      <c r="Q112" s="116" t="s">
        <v>402</v>
      </c>
      <c r="R112" s="149" t="s">
        <v>1912</v>
      </c>
      <c r="S112" s="43" t="s">
        <v>402</v>
      </c>
      <c r="T112" s="43" t="s">
        <v>402</v>
      </c>
      <c r="U112" s="43" t="s">
        <v>402</v>
      </c>
      <c r="V112" s="204" t="s">
        <v>402</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402</v>
      </c>
      <c r="O113" s="168">
        <v>45755</v>
      </c>
      <c r="P113" s="115" t="s">
        <v>402</v>
      </c>
      <c r="Q113" s="116" t="s">
        <v>402</v>
      </c>
      <c r="R113" s="149" t="s">
        <v>1912</v>
      </c>
      <c r="S113" s="116" t="s">
        <v>402</v>
      </c>
      <c r="T113" s="43" t="s">
        <v>402</v>
      </c>
      <c r="U113" s="43" t="s">
        <v>402</v>
      </c>
      <c r="V113" s="204" t="s">
        <v>402</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402</v>
      </c>
      <c r="O114" s="54">
        <v>45747</v>
      </c>
      <c r="P114" s="115" t="s">
        <v>402</v>
      </c>
      <c r="Q114" s="116" t="s">
        <v>402</v>
      </c>
      <c r="R114" s="149" t="s">
        <v>1912</v>
      </c>
      <c r="S114" s="116" t="s">
        <v>402</v>
      </c>
      <c r="T114" s="43" t="s">
        <v>402</v>
      </c>
      <c r="U114" s="158" t="s">
        <v>402</v>
      </c>
      <c r="V114" s="204" t="s">
        <v>402</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402</v>
      </c>
      <c r="O115" s="125">
        <v>45757</v>
      </c>
      <c r="P115" s="30" t="s">
        <v>402</v>
      </c>
      <c r="Q115" s="43" t="s">
        <v>402</v>
      </c>
      <c r="R115" s="69" t="s">
        <v>1912</v>
      </c>
      <c r="S115" s="43" t="s">
        <v>402</v>
      </c>
      <c r="T115" s="43" t="s">
        <v>402</v>
      </c>
      <c r="U115" s="43" t="s">
        <v>402</v>
      </c>
      <c r="V115" s="88" t="s">
        <v>402</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402</v>
      </c>
      <c r="O116" s="125">
        <v>45757</v>
      </c>
      <c r="P116" s="30" t="s">
        <v>402</v>
      </c>
      <c r="Q116" s="43" t="s">
        <v>402</v>
      </c>
      <c r="R116" s="69" t="s">
        <v>1912</v>
      </c>
      <c r="S116" s="43" t="s">
        <v>402</v>
      </c>
      <c r="T116" s="43" t="s">
        <v>402</v>
      </c>
      <c r="U116" s="43" t="s">
        <v>402</v>
      </c>
      <c r="V116" s="494" t="s">
        <v>402</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402</v>
      </c>
      <c r="O117" s="125">
        <v>45757</v>
      </c>
      <c r="P117" s="30" t="s">
        <v>402</v>
      </c>
      <c r="Q117" s="43" t="s">
        <v>402</v>
      </c>
      <c r="R117" s="69" t="s">
        <v>1912</v>
      </c>
      <c r="S117" s="43" t="s">
        <v>402</v>
      </c>
      <c r="T117" s="43" t="s">
        <v>402</v>
      </c>
      <c r="U117" s="43" t="s">
        <v>402</v>
      </c>
      <c r="V117" s="88" t="s">
        <v>402</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402</v>
      </c>
      <c r="O118" s="125">
        <v>45757</v>
      </c>
      <c r="P118" s="87" t="s">
        <v>402</v>
      </c>
      <c r="Q118" s="43" t="s">
        <v>402</v>
      </c>
      <c r="R118" s="43" t="s">
        <v>1912</v>
      </c>
      <c r="S118" s="43" t="s">
        <v>402</v>
      </c>
      <c r="T118" s="43" t="s">
        <v>402</v>
      </c>
      <c r="U118" s="158" t="s">
        <v>402</v>
      </c>
      <c r="V118" s="88" t="s">
        <v>402</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402</v>
      </c>
      <c r="O119" s="125">
        <v>45757</v>
      </c>
      <c r="P119" s="30" t="s">
        <v>402</v>
      </c>
      <c r="Q119" s="69" t="s">
        <v>402</v>
      </c>
      <c r="R119" s="69" t="s">
        <v>1912</v>
      </c>
      <c r="S119" s="43" t="s">
        <v>402</v>
      </c>
      <c r="T119" s="43" t="s">
        <v>402</v>
      </c>
      <c r="U119" s="158" t="s">
        <v>402</v>
      </c>
      <c r="V119" s="88" t="s">
        <v>402</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402</v>
      </c>
      <c r="O120" s="54">
        <v>45748</v>
      </c>
      <c r="P120" s="30" t="s">
        <v>402</v>
      </c>
      <c r="Q120" s="43" t="s">
        <v>402</v>
      </c>
      <c r="R120" s="69" t="s">
        <v>1912</v>
      </c>
      <c r="S120" s="43" t="s">
        <v>402</v>
      </c>
      <c r="T120" s="43" t="s">
        <v>402</v>
      </c>
      <c r="U120" s="43" t="s">
        <v>402</v>
      </c>
      <c r="V120" s="88" t="s">
        <v>402</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402</v>
      </c>
      <c r="O121" s="125">
        <v>45757</v>
      </c>
      <c r="P121" s="30" t="s">
        <v>402</v>
      </c>
      <c r="Q121" s="69" t="s">
        <v>402</v>
      </c>
      <c r="R121" s="69" t="s">
        <v>1912</v>
      </c>
      <c r="S121" s="43" t="s">
        <v>402</v>
      </c>
      <c r="T121" s="43" t="s">
        <v>402</v>
      </c>
      <c r="U121" s="43" t="s">
        <v>402</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402</v>
      </c>
      <c r="O122" s="54">
        <v>45747</v>
      </c>
      <c r="P122" s="30" t="s">
        <v>402</v>
      </c>
      <c r="Q122" s="69" t="s">
        <v>402</v>
      </c>
      <c r="R122" s="69" t="s">
        <v>1912</v>
      </c>
      <c r="S122" s="43" t="s">
        <v>402</v>
      </c>
      <c r="T122" s="43" t="s">
        <v>402</v>
      </c>
      <c r="U122" s="158" t="s">
        <v>402</v>
      </c>
      <c r="V122" s="158" t="s">
        <v>402</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402</v>
      </c>
      <c r="O123" s="54">
        <v>45744</v>
      </c>
      <c r="P123" s="30" t="s">
        <v>402</v>
      </c>
      <c r="Q123" s="43" t="s">
        <v>402</v>
      </c>
      <c r="R123" s="69" t="s">
        <v>1912</v>
      </c>
      <c r="S123" s="43" t="s">
        <v>402</v>
      </c>
      <c r="T123" s="43" t="s">
        <v>402</v>
      </c>
      <c r="U123" s="43" t="s">
        <v>402</v>
      </c>
      <c r="V123" s="69" t="s">
        <v>402</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402</v>
      </c>
      <c r="O124" s="54">
        <v>45744</v>
      </c>
      <c r="P124" s="30" t="s">
        <v>402</v>
      </c>
      <c r="Q124" s="43" t="s">
        <v>402</v>
      </c>
      <c r="R124" s="69" t="s">
        <v>1912</v>
      </c>
      <c r="S124" s="43" t="s">
        <v>402</v>
      </c>
      <c r="T124" s="43" t="s">
        <v>402</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402</v>
      </c>
      <c r="N125" s="30" t="s">
        <v>402</v>
      </c>
      <c r="O125" s="54">
        <v>45679</v>
      </c>
      <c r="P125" s="30" t="s">
        <v>402</v>
      </c>
      <c r="Q125" s="69" t="s">
        <v>402</v>
      </c>
      <c r="R125" s="43" t="s">
        <v>1912</v>
      </c>
      <c r="S125" s="43" t="s">
        <v>402</v>
      </c>
      <c r="T125" s="43" t="s">
        <v>402</v>
      </c>
      <c r="U125" s="43" t="s">
        <v>402</v>
      </c>
      <c r="V125" s="43" t="s">
        <v>402</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402</v>
      </c>
      <c r="N126" s="30" t="s">
        <v>402</v>
      </c>
      <c r="O126" s="54">
        <v>45720</v>
      </c>
      <c r="P126" s="30" t="s">
        <v>402</v>
      </c>
      <c r="Q126" s="69" t="s">
        <v>402</v>
      </c>
      <c r="R126" s="43" t="s">
        <v>1912</v>
      </c>
      <c r="S126" s="43" t="s">
        <v>402</v>
      </c>
      <c r="T126" s="43" t="s">
        <v>402</v>
      </c>
      <c r="U126" s="43" t="s">
        <v>402</v>
      </c>
      <c r="V126" s="88" t="s">
        <v>402</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402</v>
      </c>
      <c r="O127" s="54">
        <v>45679</v>
      </c>
      <c r="P127" s="30" t="s">
        <v>402</v>
      </c>
      <c r="Q127" s="43" t="s">
        <v>402</v>
      </c>
      <c r="R127" s="43" t="s">
        <v>1912</v>
      </c>
      <c r="S127" s="43" t="s">
        <v>402</v>
      </c>
      <c r="T127" s="43" t="s">
        <v>402</v>
      </c>
      <c r="U127" s="43" t="s">
        <v>402</v>
      </c>
      <c r="V127" s="88" t="s">
        <v>402</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402</v>
      </c>
      <c r="O128" s="358">
        <v>45694</v>
      </c>
      <c r="P128" s="87" t="s">
        <v>402</v>
      </c>
      <c r="Q128" s="43" t="s">
        <v>402</v>
      </c>
      <c r="R128" s="43" t="s">
        <v>1912</v>
      </c>
      <c r="S128" s="43" t="s">
        <v>402</v>
      </c>
      <c r="T128" s="43" t="s">
        <v>402</v>
      </c>
      <c r="U128" s="43" t="s">
        <v>402</v>
      </c>
      <c r="V128" s="88" t="s">
        <v>402</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402</v>
      </c>
      <c r="O129" s="168">
        <v>45720</v>
      </c>
      <c r="P129" s="115" t="s">
        <v>402</v>
      </c>
      <c r="Q129" s="149" t="s">
        <v>402</v>
      </c>
      <c r="R129" s="43" t="s">
        <v>1912</v>
      </c>
      <c r="S129" s="43" t="s">
        <v>402</v>
      </c>
      <c r="T129" s="116" t="s">
        <v>402</v>
      </c>
      <c r="U129" s="116" t="s">
        <v>402</v>
      </c>
      <c r="V129" s="88" t="s">
        <v>402</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402</v>
      </c>
      <c r="O130" s="54">
        <v>45698</v>
      </c>
      <c r="P130" s="30" t="s">
        <v>402</v>
      </c>
      <c r="Q130" s="69" t="s">
        <v>402</v>
      </c>
      <c r="R130" s="43" t="s">
        <v>1912</v>
      </c>
      <c r="S130" s="43" t="s">
        <v>402</v>
      </c>
      <c r="T130" s="43" t="s">
        <v>402</v>
      </c>
      <c r="U130" s="43" t="s">
        <v>402</v>
      </c>
      <c r="V130" s="88" t="s">
        <v>402</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402</v>
      </c>
      <c r="N131" s="49" t="s">
        <v>402</v>
      </c>
      <c r="O131" s="30" t="s">
        <v>402</v>
      </c>
      <c r="P131" s="30" t="s">
        <v>402</v>
      </c>
      <c r="Q131" s="43" t="s">
        <v>402</v>
      </c>
      <c r="R131" s="43" t="s">
        <v>1912</v>
      </c>
      <c r="S131" s="43" t="s">
        <v>402</v>
      </c>
      <c r="T131" s="158" t="s">
        <v>402</v>
      </c>
      <c r="U131" s="158" t="s">
        <v>402</v>
      </c>
      <c r="V131" s="88" t="s">
        <v>402</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402</v>
      </c>
      <c r="O132" s="54">
        <v>45691</v>
      </c>
      <c r="P132" s="87" t="s">
        <v>402</v>
      </c>
      <c r="Q132" s="43" t="s">
        <v>402</v>
      </c>
      <c r="R132" s="43" t="s">
        <v>1912</v>
      </c>
      <c r="S132" s="43" t="s">
        <v>402</v>
      </c>
      <c r="T132" s="43" t="s">
        <v>402</v>
      </c>
      <c r="U132" s="43" t="s">
        <v>402</v>
      </c>
      <c r="V132" s="43" t="s">
        <v>402</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402</v>
      </c>
      <c r="N133" s="49" t="s">
        <v>402</v>
      </c>
      <c r="O133" s="54">
        <v>45701</v>
      </c>
      <c r="P133" s="30" t="s">
        <v>402</v>
      </c>
      <c r="Q133" s="69" t="s">
        <v>402</v>
      </c>
      <c r="R133" s="43" t="s">
        <v>1912</v>
      </c>
      <c r="S133" s="43" t="s">
        <v>402</v>
      </c>
      <c r="T133" s="43" t="s">
        <v>402</v>
      </c>
      <c r="U133" s="43" t="s">
        <v>402</v>
      </c>
      <c r="V133" s="69" t="s">
        <v>402</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402</v>
      </c>
      <c r="O134" s="54">
        <v>45709</v>
      </c>
      <c r="P134" s="30" t="s">
        <v>402</v>
      </c>
      <c r="Q134" s="43" t="s">
        <v>402</v>
      </c>
      <c r="R134" s="43" t="s">
        <v>1912</v>
      </c>
      <c r="S134" s="43" t="s">
        <v>402</v>
      </c>
      <c r="T134" s="43" t="s">
        <v>402</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402</v>
      </c>
      <c r="N135" s="49" t="s">
        <v>402</v>
      </c>
      <c r="O135" s="198">
        <v>45720</v>
      </c>
      <c r="P135" s="49" t="s">
        <v>402</v>
      </c>
      <c r="Q135" s="69" t="s">
        <v>402</v>
      </c>
      <c r="R135" s="43" t="s">
        <v>1912</v>
      </c>
      <c r="S135" s="43" t="s">
        <v>402</v>
      </c>
      <c r="T135" s="43" t="s">
        <v>402</v>
      </c>
      <c r="U135" s="158" t="s">
        <v>402</v>
      </c>
      <c r="V135" s="43" t="s">
        <v>402</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402</v>
      </c>
      <c r="O136" s="54">
        <v>45691</v>
      </c>
      <c r="P136" s="30" t="s">
        <v>402</v>
      </c>
      <c r="Q136" s="43" t="s">
        <v>402</v>
      </c>
      <c r="R136" s="43" t="s">
        <v>1912</v>
      </c>
      <c r="S136" s="43" t="s">
        <v>402</v>
      </c>
      <c r="T136" s="43" t="s">
        <v>402</v>
      </c>
      <c r="U136" s="43" t="s">
        <v>402</v>
      </c>
      <c r="V136" s="43" t="s">
        <v>402</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402</v>
      </c>
      <c r="O137" s="30" t="s">
        <v>402</v>
      </c>
      <c r="P137" s="49" t="s">
        <v>402</v>
      </c>
      <c r="Q137" s="69" t="s">
        <v>402</v>
      </c>
      <c r="R137" s="43" t="s">
        <v>1912</v>
      </c>
      <c r="S137" s="43" t="s">
        <v>402</v>
      </c>
      <c r="T137" s="43" t="s">
        <v>402</v>
      </c>
      <c r="U137" s="158" t="s">
        <v>402</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402</v>
      </c>
      <c r="O138" s="125">
        <v>45707</v>
      </c>
      <c r="P138" s="30" t="s">
        <v>402</v>
      </c>
      <c r="Q138" s="43" t="s">
        <v>402</v>
      </c>
      <c r="R138" s="43" t="s">
        <v>1912</v>
      </c>
      <c r="S138" s="43" t="s">
        <v>402</v>
      </c>
      <c r="T138" s="43" t="s">
        <v>402</v>
      </c>
      <c r="U138" s="43" t="s">
        <v>402</v>
      </c>
      <c r="V138" s="43" t="s">
        <v>402</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402</v>
      </c>
      <c r="N139" s="30" t="s">
        <v>402</v>
      </c>
      <c r="O139" s="30" t="s">
        <v>402</v>
      </c>
      <c r="P139" s="30" t="s">
        <v>402</v>
      </c>
      <c r="Q139" s="43" t="s">
        <v>402</v>
      </c>
      <c r="R139" s="43" t="s">
        <v>1912</v>
      </c>
      <c r="S139" s="43" t="s">
        <v>402</v>
      </c>
      <c r="T139" s="43" t="s">
        <v>402</v>
      </c>
      <c r="U139" s="158" t="s">
        <v>402</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402</v>
      </c>
      <c r="O140" s="54">
        <v>45743</v>
      </c>
      <c r="P140" s="87" t="s">
        <v>402</v>
      </c>
      <c r="Q140" s="88" t="s">
        <v>402</v>
      </c>
      <c r="R140" s="43" t="s">
        <v>1912</v>
      </c>
      <c r="S140" s="43" t="s">
        <v>402</v>
      </c>
      <c r="T140" s="43" t="s">
        <v>402</v>
      </c>
      <c r="U140" s="88" t="s">
        <v>402</v>
      </c>
      <c r="V140" s="69" t="s">
        <v>402</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402</v>
      </c>
      <c r="O141" s="198">
        <v>45743</v>
      </c>
      <c r="P141" s="87" t="s">
        <v>402</v>
      </c>
      <c r="Q141" s="88" t="s">
        <v>402</v>
      </c>
      <c r="R141" s="43" t="s">
        <v>1912</v>
      </c>
      <c r="S141" s="43" t="s">
        <v>402</v>
      </c>
      <c r="T141" s="43" t="s">
        <v>402</v>
      </c>
      <c r="U141" s="88" t="s">
        <v>402</v>
      </c>
      <c r="V141" s="88" t="s">
        <v>402</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402</v>
      </c>
      <c r="N142" s="49" t="s">
        <v>402</v>
      </c>
      <c r="O142" s="198">
        <v>45691</v>
      </c>
      <c r="P142" s="30" t="s">
        <v>402</v>
      </c>
      <c r="Q142" s="69" t="s">
        <v>402</v>
      </c>
      <c r="R142" s="43" t="s">
        <v>1912</v>
      </c>
      <c r="S142" s="43" t="s">
        <v>402</v>
      </c>
      <c r="T142" s="43" t="s">
        <v>402</v>
      </c>
      <c r="U142" s="158" t="s">
        <v>402</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402</v>
      </c>
      <c r="N143" s="49" t="s">
        <v>402</v>
      </c>
      <c r="O143" s="198">
        <v>45675</v>
      </c>
      <c r="P143" s="30" t="s">
        <v>402</v>
      </c>
      <c r="Q143" s="69" t="s">
        <v>402</v>
      </c>
      <c r="R143" s="43" t="s">
        <v>1912</v>
      </c>
      <c r="S143" s="43" t="s">
        <v>402</v>
      </c>
      <c r="T143" s="43" t="s">
        <v>402</v>
      </c>
      <c r="U143" s="158" t="s">
        <v>402</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402</v>
      </c>
      <c r="O144" s="198">
        <v>45749</v>
      </c>
      <c r="P144" s="30" t="s">
        <v>402</v>
      </c>
      <c r="Q144" s="43" t="s">
        <v>402</v>
      </c>
      <c r="R144" s="43" t="s">
        <v>402</v>
      </c>
      <c r="S144" s="43" t="s">
        <v>56</v>
      </c>
      <c r="T144" s="43" t="s">
        <v>402</v>
      </c>
      <c r="U144" s="88" t="s">
        <v>402</v>
      </c>
      <c r="V144" s="88" t="s">
        <v>402</v>
      </c>
      <c r="W144" s="54">
        <v>45888</v>
      </c>
      <c r="X144" s="69" t="s">
        <v>1915</v>
      </c>
    </row>
    <row r="145" spans="1:25" ht="15" customHeight="1">
      <c r="A145" s="369" t="s">
        <v>1025</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402</v>
      </c>
      <c r="O148" s="198">
        <v>45744</v>
      </c>
      <c r="P148" s="49" t="s">
        <v>402</v>
      </c>
      <c r="Q148" s="43" t="s">
        <v>402</v>
      </c>
      <c r="R148" s="43" t="s">
        <v>402</v>
      </c>
      <c r="S148" s="43" t="s">
        <v>56</v>
      </c>
      <c r="T148" s="43" t="s">
        <v>402</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402</v>
      </c>
      <c r="O150" s="198">
        <v>45744</v>
      </c>
      <c r="P150" s="101" t="s">
        <v>402</v>
      </c>
      <c r="Q150" s="69" t="s">
        <v>402</v>
      </c>
      <c r="R150" s="43" t="s">
        <v>1912</v>
      </c>
      <c r="S150" s="43" t="s">
        <v>402</v>
      </c>
      <c r="T150" s="43" t="s">
        <v>402</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402</v>
      </c>
      <c r="O151" s="198">
        <v>45698</v>
      </c>
      <c r="P151" s="101" t="s">
        <v>402</v>
      </c>
      <c r="Q151" s="69" t="s">
        <v>402</v>
      </c>
      <c r="R151" s="43" t="s">
        <v>1912</v>
      </c>
      <c r="S151" s="43" t="s">
        <v>402</v>
      </c>
      <c r="T151" s="43" t="s">
        <v>402</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402</v>
      </c>
      <c r="O153" s="198">
        <v>45696</v>
      </c>
      <c r="P153" s="30" t="s">
        <v>402</v>
      </c>
      <c r="Q153" s="69" t="s">
        <v>402</v>
      </c>
      <c r="R153" s="43" t="s">
        <v>1912</v>
      </c>
      <c r="S153" s="43" t="s">
        <v>402</v>
      </c>
      <c r="T153" s="158" t="s">
        <v>402</v>
      </c>
      <c r="U153" s="158" t="s">
        <v>402</v>
      </c>
      <c r="V153" s="43" t="s">
        <v>402</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402</v>
      </c>
      <c r="O154" s="358">
        <v>45696</v>
      </c>
      <c r="P154" s="30" t="s">
        <v>402</v>
      </c>
      <c r="Q154" s="69" t="s">
        <v>402</v>
      </c>
      <c r="R154" s="43" t="s">
        <v>1912</v>
      </c>
      <c r="S154" s="43" t="s">
        <v>402</v>
      </c>
      <c r="T154" s="158" t="s">
        <v>402</v>
      </c>
      <c r="U154" s="158" t="s">
        <v>402</v>
      </c>
      <c r="V154" s="43" t="s">
        <v>402</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402</v>
      </c>
      <c r="O155" s="54">
        <v>45699</v>
      </c>
      <c r="P155" s="49" t="s">
        <v>402</v>
      </c>
      <c r="Q155" s="69" t="s">
        <v>402</v>
      </c>
      <c r="R155" s="43" t="s">
        <v>1912</v>
      </c>
      <c r="S155" s="43" t="s">
        <v>402</v>
      </c>
      <c r="T155" s="43" t="s">
        <v>402</v>
      </c>
      <c r="U155" s="158" t="s">
        <v>402</v>
      </c>
      <c r="V155" s="43" t="s">
        <v>402</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402</v>
      </c>
      <c r="O156" s="54">
        <v>45699</v>
      </c>
      <c r="P156" s="49" t="s">
        <v>402</v>
      </c>
      <c r="Q156" s="69" t="s">
        <v>402</v>
      </c>
      <c r="R156" s="43" t="s">
        <v>1912</v>
      </c>
      <c r="S156" s="43" t="s">
        <v>402</v>
      </c>
      <c r="T156" s="43" t="s">
        <v>402</v>
      </c>
      <c r="U156" s="69" t="s">
        <v>402</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402</v>
      </c>
      <c r="O158" s="54">
        <v>45736</v>
      </c>
      <c r="P158" s="49" t="s">
        <v>402</v>
      </c>
      <c r="Q158" s="69" t="s">
        <v>402</v>
      </c>
      <c r="R158" s="43" t="s">
        <v>1912</v>
      </c>
      <c r="S158" s="43" t="s">
        <v>402</v>
      </c>
      <c r="T158" s="43" t="s">
        <v>402</v>
      </c>
      <c r="U158" s="158" t="s">
        <v>402</v>
      </c>
      <c r="V158" s="158" t="s">
        <v>402</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402</v>
      </c>
      <c r="O159" s="30" t="s">
        <v>402</v>
      </c>
      <c r="P159" s="49" t="s">
        <v>402</v>
      </c>
      <c r="Q159" s="43" t="s">
        <v>402</v>
      </c>
      <c r="R159" s="43" t="s">
        <v>402</v>
      </c>
      <c r="S159" s="43" t="s">
        <v>56</v>
      </c>
      <c r="T159" s="43" t="s">
        <v>402</v>
      </c>
      <c r="U159" s="43" t="s">
        <v>402</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402</v>
      </c>
      <c r="O160" s="54">
        <v>45723</v>
      </c>
      <c r="P160" s="49" t="s">
        <v>402</v>
      </c>
      <c r="Q160" s="43" t="s">
        <v>402</v>
      </c>
      <c r="R160" s="43" t="s">
        <v>402</v>
      </c>
      <c r="S160" s="43" t="s">
        <v>56</v>
      </c>
      <c r="T160" s="43" t="s">
        <v>402</v>
      </c>
      <c r="U160" s="43" t="s">
        <v>402</v>
      </c>
      <c r="V160" s="69" t="s">
        <v>402</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402</v>
      </c>
      <c r="O161" s="157">
        <v>45726</v>
      </c>
      <c r="P161" s="49" t="s">
        <v>402</v>
      </c>
      <c r="Q161" s="43" t="s">
        <v>402</v>
      </c>
      <c r="R161" s="43" t="s">
        <v>402</v>
      </c>
      <c r="S161" s="43" t="s">
        <v>56</v>
      </c>
      <c r="T161" s="43" t="s">
        <v>402</v>
      </c>
      <c r="U161" s="43" t="s">
        <v>402</v>
      </c>
      <c r="V161" s="88" t="s">
        <v>402</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402</v>
      </c>
      <c r="O162" s="598">
        <v>45693</v>
      </c>
      <c r="P162" s="30" t="s">
        <v>402</v>
      </c>
      <c r="Q162" s="43" t="s">
        <v>402</v>
      </c>
      <c r="R162" s="43" t="s">
        <v>402</v>
      </c>
      <c r="S162" s="43" t="s">
        <v>56</v>
      </c>
      <c r="T162" s="43" t="s">
        <v>402</v>
      </c>
      <c r="U162" s="43" t="s">
        <v>402</v>
      </c>
      <c r="V162" s="88" t="s">
        <v>402</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402</v>
      </c>
      <c r="O163" s="54">
        <v>45693</v>
      </c>
      <c r="P163" s="30" t="s">
        <v>402</v>
      </c>
      <c r="Q163" s="69" t="s">
        <v>402</v>
      </c>
      <c r="R163" s="69" t="s">
        <v>402</v>
      </c>
      <c r="S163" s="43" t="s">
        <v>56</v>
      </c>
      <c r="T163" s="43" t="s">
        <v>402</v>
      </c>
      <c r="U163" s="69" t="s">
        <v>402</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402</v>
      </c>
      <c r="N164" s="30" t="s">
        <v>402</v>
      </c>
      <c r="O164" s="40" t="s">
        <v>402</v>
      </c>
      <c r="P164" s="87" t="s">
        <v>402</v>
      </c>
      <c r="Q164" s="43" t="s">
        <v>402</v>
      </c>
      <c r="R164" s="43" t="s">
        <v>402</v>
      </c>
      <c r="S164" s="43" t="s">
        <v>56</v>
      </c>
      <c r="T164" s="43" t="s">
        <v>402</v>
      </c>
      <c r="U164" s="43" t="s">
        <v>402</v>
      </c>
      <c r="V164" s="43" t="s">
        <v>402</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402</v>
      </c>
      <c r="N165" s="30" t="s">
        <v>402</v>
      </c>
      <c r="O165" s="598">
        <v>45818</v>
      </c>
      <c r="P165" s="87" t="s">
        <v>402</v>
      </c>
      <c r="Q165" s="43" t="s">
        <v>402</v>
      </c>
      <c r="R165" s="43" t="s">
        <v>402</v>
      </c>
      <c r="S165" s="43" t="s">
        <v>56</v>
      </c>
      <c r="T165" s="43" t="s">
        <v>402</v>
      </c>
      <c r="U165" s="43" t="s">
        <v>402</v>
      </c>
      <c r="V165" s="43" t="s">
        <v>402</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402</v>
      </c>
      <c r="N166" s="30" t="s">
        <v>402</v>
      </c>
      <c r="O166" s="598">
        <v>45693</v>
      </c>
      <c r="P166" s="87" t="s">
        <v>402</v>
      </c>
      <c r="Q166" s="43" t="s">
        <v>402</v>
      </c>
      <c r="R166" s="43" t="s">
        <v>402</v>
      </c>
      <c r="S166" s="43" t="s">
        <v>56</v>
      </c>
      <c r="T166" s="43" t="s">
        <v>402</v>
      </c>
      <c r="U166" s="43" t="s">
        <v>402</v>
      </c>
      <c r="V166" s="43" t="s">
        <v>402</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402</v>
      </c>
      <c r="O167" s="598">
        <v>45720</v>
      </c>
      <c r="P167" s="87" t="s">
        <v>402</v>
      </c>
      <c r="Q167" s="43" t="s">
        <v>402</v>
      </c>
      <c r="R167" s="43" t="s">
        <v>402</v>
      </c>
      <c r="S167" s="43" t="s">
        <v>56</v>
      </c>
      <c r="T167" s="43" t="s">
        <v>402</v>
      </c>
      <c r="U167" s="43" t="s">
        <v>402</v>
      </c>
      <c r="V167" s="43" t="s">
        <v>402</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402</v>
      </c>
      <c r="O172" s="40" t="s">
        <v>52</v>
      </c>
      <c r="P172" s="87" t="s">
        <v>402</v>
      </c>
      <c r="Q172" s="43" t="s">
        <v>56</v>
      </c>
      <c r="R172" s="43" t="s">
        <v>56</v>
      </c>
      <c r="S172" s="43" t="s">
        <v>56</v>
      </c>
      <c r="T172" s="43" t="s">
        <v>402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1925</v>
      </c>
      <c r="C1" s="1218"/>
      <c r="D1" s="574"/>
      <c r="E1" s="1218" t="s">
        <v>1926</v>
      </c>
      <c r="F1" s="1218"/>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v>151635</v>
      </c>
      <c r="E4" s="44" t="s">
        <v>1927</v>
      </c>
      <c r="F4" t="s">
        <v>1001</v>
      </c>
      <c r="W4" t="s">
        <v>1931</v>
      </c>
      <c r="X4">
        <v>22</v>
      </c>
    </row>
    <row r="5" spans="1:25">
      <c r="B5" t="s">
        <v>71</v>
      </c>
      <c r="C5">
        <v>32354</v>
      </c>
      <c r="E5" t="s">
        <v>1001</v>
      </c>
      <c r="F5">
        <v>214031</v>
      </c>
      <c r="K5" s="44" t="s">
        <v>1932</v>
      </c>
      <c r="P5" s="44" t="s">
        <v>1932</v>
      </c>
      <c r="W5" t="s">
        <v>1933</v>
      </c>
      <c r="X5">
        <v>13</v>
      </c>
    </row>
    <row r="6" spans="1:25">
      <c r="B6" t="s">
        <v>94</v>
      </c>
      <c r="C6">
        <v>22387</v>
      </c>
      <c r="K6" s="44" t="s">
        <v>27</v>
      </c>
      <c r="L6" s="44" t="s">
        <v>1934</v>
      </c>
      <c r="M6" t="s">
        <v>1001</v>
      </c>
      <c r="P6" s="44" t="s">
        <v>1935</v>
      </c>
      <c r="Q6" s="44" t="s">
        <v>1934</v>
      </c>
      <c r="R6" t="s">
        <v>1001</v>
      </c>
    </row>
    <row r="7" spans="1:25">
      <c r="B7" t="s">
        <v>1028</v>
      </c>
      <c r="C7">
        <v>230598</v>
      </c>
      <c r="K7" t="s">
        <v>1928</v>
      </c>
      <c r="L7" t="s">
        <v>631</v>
      </c>
      <c r="M7">
        <v>1</v>
      </c>
      <c r="P7" t="s">
        <v>1936</v>
      </c>
      <c r="R7">
        <v>1</v>
      </c>
      <c r="X7" t="s">
        <v>1937</v>
      </c>
      <c r="Y7" t="s">
        <v>1938</v>
      </c>
    </row>
    <row r="8" spans="1:25">
      <c r="B8" t="s">
        <v>51</v>
      </c>
      <c r="C8">
        <v>446</v>
      </c>
      <c r="L8" t="s">
        <v>633</v>
      </c>
      <c r="M8">
        <v>1</v>
      </c>
      <c r="P8" t="s">
        <v>1939</v>
      </c>
      <c r="R8">
        <v>1</v>
      </c>
      <c r="V8" t="s">
        <v>1940</v>
      </c>
      <c r="W8" s="261">
        <v>203521</v>
      </c>
      <c r="X8" s="317">
        <f>X5/X4</f>
        <v>0.59090909090909094</v>
      </c>
      <c r="Y8" s="317">
        <f>W9/W8</f>
        <v>0.31446386367991508</v>
      </c>
    </row>
    <row r="9" spans="1:25">
      <c r="B9" t="s">
        <v>22</v>
      </c>
      <c r="C9">
        <v>0</v>
      </c>
      <c r="L9" t="s">
        <v>1941</v>
      </c>
      <c r="M9">
        <v>1</v>
      </c>
      <c r="P9" t="s">
        <v>1942</v>
      </c>
      <c r="Q9" t="s">
        <v>1941</v>
      </c>
      <c r="R9">
        <v>1</v>
      </c>
      <c r="V9" t="s">
        <v>1943</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1944</v>
      </c>
      <c r="R12">
        <v>1</v>
      </c>
    </row>
    <row r="13" spans="1:25">
      <c r="B13" t="s">
        <v>234</v>
      </c>
      <c r="C13">
        <v>14169</v>
      </c>
      <c r="L13" t="s">
        <v>1945</v>
      </c>
      <c r="M13">
        <v>1</v>
      </c>
      <c r="Q13" t="s">
        <v>951</v>
      </c>
      <c r="R13">
        <v>1</v>
      </c>
    </row>
    <row r="14" spans="1:25">
      <c r="B14" t="s">
        <v>230</v>
      </c>
      <c r="C14">
        <v>8065</v>
      </c>
      <c r="L14" t="s">
        <v>754</v>
      </c>
      <c r="M14">
        <v>1</v>
      </c>
      <c r="P14" t="s">
        <v>1946</v>
      </c>
      <c r="R14">
        <v>5</v>
      </c>
    </row>
    <row r="15" spans="1:25">
      <c r="B15" t="s">
        <v>130</v>
      </c>
      <c r="C15">
        <v>7655</v>
      </c>
      <c r="L15" t="s">
        <v>1944</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527835</v>
      </c>
      <c r="L19" t="s">
        <v>766</v>
      </c>
      <c r="M19">
        <v>1</v>
      </c>
    </row>
    <row r="20" spans="2:13">
      <c r="L20" t="s">
        <v>826</v>
      </c>
      <c r="M20">
        <v>1</v>
      </c>
    </row>
    <row r="21" spans="2:13">
      <c r="L21" t="s">
        <v>1947</v>
      </c>
      <c r="M21">
        <v>1</v>
      </c>
    </row>
    <row r="22" spans="2:13">
      <c r="L22" t="s">
        <v>951</v>
      </c>
      <c r="M22">
        <v>1</v>
      </c>
    </row>
    <row r="23" spans="2:13">
      <c r="L23" t="s">
        <v>797</v>
      </c>
      <c r="M23">
        <v>1</v>
      </c>
    </row>
    <row r="24" spans="2:13">
      <c r="L24" t="s">
        <v>815</v>
      </c>
      <c r="M24">
        <v>1</v>
      </c>
    </row>
    <row r="25" spans="2:13">
      <c r="L25" t="s">
        <v>189</v>
      </c>
      <c r="M25">
        <v>1</v>
      </c>
    </row>
    <row r="26" spans="2:13">
      <c r="K26" t="s">
        <v>1948</v>
      </c>
      <c r="M26">
        <v>19</v>
      </c>
    </row>
    <row r="27" spans="2:13">
      <c r="K27" t="s">
        <v>1949</v>
      </c>
      <c r="L27" t="s">
        <v>748</v>
      </c>
      <c r="M27">
        <v>1</v>
      </c>
    </row>
    <row r="28" spans="2:13">
      <c r="L28" t="s">
        <v>750</v>
      </c>
      <c r="M28">
        <v>1</v>
      </c>
    </row>
    <row r="29" spans="2:13">
      <c r="L29" t="s">
        <v>752</v>
      </c>
      <c r="M29">
        <v>1</v>
      </c>
    </row>
    <row r="30" spans="2:13">
      <c r="L30" t="s">
        <v>768</v>
      </c>
      <c r="M30">
        <v>1</v>
      </c>
    </row>
    <row r="31" spans="2:13">
      <c r="L31" t="s">
        <v>770</v>
      </c>
      <c r="M31">
        <v>1</v>
      </c>
    </row>
    <row r="32" spans="2:13">
      <c r="L32" t="s">
        <v>1950</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1951</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1952</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513</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509</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516</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7488EB3-F2CC-43A5-BB14-DC051070083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2025-12-04T18:40:40Z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