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44" documentId="8_{E14B221E-02E2-46A3-8CEC-C736815F2DD5}" xr6:coauthVersionLast="47" xr6:coauthVersionMax="47" xr10:uidLastSave="{153D408D-FE82-4A10-A918-402E2B82704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<sst xmlns="http://schemas.openxmlformats.org/spreadsheetml/2006/main" count="16666" uniqueCount="2153">
  <si>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</si>
  <si>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</si>
  <si>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</si>
  <si>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</si>
  <si>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</si>
  <si>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</si>
  <si>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</si>
  <si>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</si>
  <si>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</si>
  <si>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</si>
  <si>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</si>
  <si>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</si>
  <si>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</si>
  <si>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</si>
  <si>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</si>
  <si>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</si>
  <si>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</si>
  <si>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</si>
  <si>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</si>
  <si>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</si>
  <si>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</si>
  <si>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</si>
  <si>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</si>
  <si>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</si>
  <si>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</si>
  <si>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</si>
  <si>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</si>
  <si>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</si>
  <si>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</si>
  <si>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</si>
  <si>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</si>
  <si>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</si>
  <si>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</si>
  <si>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</si>
  <si>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</si>
  <si>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</si>
  <si>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</si>
  <si>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</si>
  <si>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</si>
  <si>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</si>
  <si>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</si>
  <si>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</si>
  <si>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</si>
  <si>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</si>
  <si>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</si>
  <si>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</si>
  <si>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</si>
  <si>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</si>
  <si>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</si>
  <si>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</si>
  <si>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</si>
  <si>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</si>
  <si>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</si>
  <si>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</si>
  <si>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</si>
  <si>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</si>
  <si>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</si>
  <si>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</si>
  <si>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</si>
  <si>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</si>
  <si>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</si>
  <si>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</si>
  <si>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</si>
  <si>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</si>
  <si>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</si>
  <si>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</si>
  <si>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</si>
  <si>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</si>
  <si>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</si>
  <si>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</si>
  <si>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</si>
  <si>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</si>
  <si>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</si>
  <si>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</si>
  <si>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</si>
  <si>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</si>
  <si>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</si>
  <si>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</si>
  <si>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</si>
  <si>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</si>
  <si>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</si>
  <si>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</si>
  <si>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</si>
  <si>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</si>
  <si>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</si>
  <si>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</si>
  <si>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</si>
  <si>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</si>
  <si>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</si>
  <si>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</si>
  <si>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</si>
  <si>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</si>
  <si>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</si>
  <si>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</si>
  <si>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</si>
  <si>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</si>
  <si>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</si>
  <si>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</si>
  <si>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</si>
  <si>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</si>
  <si>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</si>
  <si>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</si>
  <si>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</si>
  <si>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</si>
  <si>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</si>
  <si>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</si>
  <si>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</si>
  <si>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</si>
  <si>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</si>
  <si>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</si>
  <si>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</si>
  <si>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</si>
  <si>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</si>
  <si>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</si>
  <si>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</si>
  <si>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</si>
  <si>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</si>
  <si>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</si>
  <si>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</si>
  <si>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</si>
  <si>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</si>
  <si>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</si>
  <si>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</si>
  <si>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</si>
  <si>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</si>
  <si>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</si>
  <si>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</si>
  <si>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</si>
  <si>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</si>
  <si>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</si>
  <si>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</si>
  <si>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</si>
  <si>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</si>
  <si>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</si>
  <si>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</si>
  <si>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</si>
  <si>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</si>
  <si>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</si>
  <si>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</si>
  <si>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</si>
  <si>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</si>
  <si>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</si>
  <si>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</si>
  <si>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</si>
  <si>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</si>
  <si>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</si>
  <si>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</si>
  <si>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</si>
  <si>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</si>
  <si>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</si>
  <si>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</si>
  <si>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</si>
  <si>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</si>
  <si>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</si>
  <si>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</si>
  <si>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</si>
  <si>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</si>
  <si>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</si>
  <si>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</si>
  <si>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</si>
  <si>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</si>
  <si>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</si>
  <si>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</si>
  <si>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</si>
  <si>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</si>
  <si>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</si>
  <si>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</si>
  <si>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</si>
  <si>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</si>
  <si>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</si>
  <si>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</si>
  <si>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</si>
  <si>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</si>
  <si>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</si>
  <si>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</si>
  <si>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</si>
  <si>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</si>
  <si>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</si>
  <si>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</si>
  <si>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</si>
  <si>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</si>
  <si>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</si>
  <si>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</si>
  <si>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</si>
  <si>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</si>
  <si>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</si>
  <si>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</si>
  <si>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</si>
  <si>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</si>
  <si>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</si>
  <si>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</si>
  <si>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</si>
  <si>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</si>
  <si>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</si>
  <si>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</si>
  <si>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</si>
  <si>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</si>
  <si>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</si>
  <si>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</si>
  <si>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</si>
  <si>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</si>
  <si>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</si>
  <si>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</si>
  <si>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</si>
  <si>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</si>
  <si>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</si>
  <si>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</si>
  <si>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</si>
  <si>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</si>
  <si>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</si>
  <si>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</si>
  <si>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</si>
  <si>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</si>
  <si>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</si>
  <si>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</si>
  <si>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</si>
  <si>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</si>
  <si>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</si>
  <si>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</si>
  <si>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</si>
  <si>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</si>
  <si>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</si>
  <si>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</si>
  <si>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</si>
  <si>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</si>
  <si>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</si>
  <si>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</si>
  <si>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</si>
  <si>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</si>
  <si>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</si>
  <si>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</si>
  <si>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</si>
  <si>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</si>
  <si>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</si>
  <si>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</si>
  <si>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</si>
  <si>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</si>
  <si>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</si>
  <si>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</si>
  <si>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</si>
  <si>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</si>
  <si>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</si>
  <si>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</si>
  <si>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</si>
  <si>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</si>
  <si>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</si>
  <si>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</si>
  <si>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</si>
  <si>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</si>
  <si>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</si>
  <si>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</si>
  <si>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</si>
  <si>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</si>
  <si>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</si>
  <si>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</si>
  <si>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</si>
  <si>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</si>
  <si>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</si>
  <si>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</si>
  <si>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</si>
  <si>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</si>
  <si>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</si>
  <si>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</si>
  <si>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</si>
  <si>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</si>
  <si>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</si>
  <si>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</si>
  <si>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</si>
  <si>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</si>
  <si>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</si>
  <si>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</si>
  <si>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</si>
  <si>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</si>
  <si>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</si>
  <si>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</si>
  <si>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</si>
  <si>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</si>
  <si>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</si>
  <si>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</si>
  <si>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</si>
  <si>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</si>
  <si>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</si>
  <si>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</si>
  <si>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</si>
  <si>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</si>
  <si>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</si>
  <si>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</si>
  <si>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</si>
  <si>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</si>
  <si>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</si>
  <si>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</si>
  <si>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</si>
  <si>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</si>
  <si>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</si>
  <si>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</si>
  <si>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</si>
  <si>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</si>
  <si>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</si>
  <si>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</si>
  <si>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</si>
  <si>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</si>
  <si>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</si>
  <si>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</si>
  <si>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</si>
  <si>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</si>
  <si>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</si>
  <si>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</si>
  <si>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</si>
  <si>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</si>
  <si>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</si>
  <si>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</si>
  <si>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</si>
  <si>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</si>
  <si>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</si>
  <si>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</si>
  <si>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</si>
  <si>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</si>
  <si>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</si>
  <si>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</si>
  <si>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</si>
  <si>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</si>
  <si>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</si>
  <si>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</si>
  <si>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</si>
  <si>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</si>
  <si>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</si>
  <si>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</si>
  <si>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</si>
  <si>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</si>
  <si>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</si>
  <si>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</si>
  <si>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</si>
  <si>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</si>
  <si>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</si>
  <si>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</si>
  <si>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</si>
  <si>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</si>
  <si>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</si>
  <si>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</si>
  <si>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</si>
  <si>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</si>
  <si>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</si>
  <si>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</si>
  <si>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</si>
  <si>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</si>
  <si>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</si>
  <si>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</si>
  <si>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</si>
  <si>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</si>
  <si>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</si>
  <si>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</si>
  <si>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</si>
  <si>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</si>
  <si>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</si>
  <si>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</si>
  <si>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</si>
  <si>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</si>
  <si>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</si>
  <si>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</si>
  <si>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</si>
  <si>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</si>
  <si>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</si>
  <si>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</si>
  <si>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</si>
  <si>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</si>
  <si>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</si>
  <si>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</si>
  <si>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</si>
  <si>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</si>
  <si>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</si>
  <si>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</si>
  <si>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</si>
  <si>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</si>
  <si>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</si>
  <si>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</si>
  <si>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</si>
  <si>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</si>
  <si>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</si>
  <si>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</si>
  <si>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</si>
  <si>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</si>
  <si>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</si>
  <si>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</si>
  <si>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</si>
  <si>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</si>
  <si>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</si>
  <si>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</si>
  <si>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</si>
  <si>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</si>
  <si>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</si>
  <si>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</si>
  <si>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</si>
  <si>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</si>
  <si>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</si>
  <si>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</si>
  <si>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</si>
  <si>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</si>
  <si>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</si>
  <si>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</si>
  <si>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</si>
  <si>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</si>
  <si>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</si>
  <si>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</si>
  <si>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</si>
  <si>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</si>
  <si>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</si>
  <si>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</si>
  <si>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</si>
  <si>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</si>
  <si>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</si>
  <si>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</si>
  <si>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</si>
  <si>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</si>
  <si>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</si>
  <si>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</si>
  <si>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</si>
  <si>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</si>
  <si>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</si>
  <si>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</si>
  <si>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</si>
  <si>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</si>
  <si>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</si>
  <si>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</si>
  <si>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</si>
  <si>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</si>
  <si>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</si>
  <si>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</si>
  <si>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</si>
  <si>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</si>
  <si>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</si>
  <si>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</si>
  <si>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</si>
  <si>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</si>
  <si>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</si>
  <si>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</si>
  <si>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</si>
  <si>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</si>
  <si>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</si>
  <si>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</si>
  <si>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</si>
  <si>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</si>
  <si>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</si>
  <si>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</si>
  <si>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</si>
  <si>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</si>
  <si>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</si>
  <si>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</si>
  <si>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</si>
  <si>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</si>
  <si>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</si>
  <si>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</si>
  <si>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</si>
  <si>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</si>
  <si>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</si>
  <si>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</si>
  <si>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</si>
  <si>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</si>
  <si>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</si>
  <si>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</si>
  <si>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</si>
  <si>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</si>
  <si>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</si>
  <si>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</si>
  <si>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</si>
  <si>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</si>
  <si>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</si>
  <si>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</si>
  <si>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</si>
  <si>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</si>
  <si>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</si>
  <si>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</si>
  <si>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</si>
  <si>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</si>
  <si>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</si>
  <si>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</si>
  <si>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</si>
  <si>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</si>
  <si>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</si>
  <si>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</si>
  <si>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</si>
  <si>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</si>
  <si>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</si>
  <si>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</si>
  <si>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</si>
  <si>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</si>
  <si>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</si>
  <si>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</si>
  <si>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</si>
  <si>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</si>
  <si>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</si>
  <si>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</si>
  <si>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</si>
  <si>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</si>
  <si>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</si>
  <si>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</si>
  <si>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</si>
  <si>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</si>
  <si>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</si>
  <si>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</si>
  <si>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</si>
  <si>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</si>
  <si>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</si>
  <si>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</si>
  <si>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</si>
  <si>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</si>
  <si>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</si>
  <si>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</si>
  <si>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</si>
  <si>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</si>
  <si>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</si>
  <si>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</si>
  <si>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</si>
  <si>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</si>
  <si>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</si>
  <si>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</si>
  <si>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</si>
  <si>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</si>
  <si>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</si>
  <si>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</si>
  <si>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</si>
  <si>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</si>
  <si>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Noah</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</si>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</sst>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A115" sqref="A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61</v>
      </c>
      <c r="G4" s="1224" t="s">
        <v>68</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69</v>
      </c>
      <c r="CX4" s="1233"/>
      <c r="CY4" s="1234"/>
      <c r="DD4" s="1235"/>
      <c r="DL4" s="1234"/>
    </row>
    <row r="5" spans="1:121" ht="24.75" customHeight="1">
      <c r="A5" s="1202" t="s">
        <v>70</v>
      </c>
      <c r="B5" s="823" t="s">
        <v>50</v>
      </c>
      <c r="C5" s="1203">
        <v>46008</v>
      </c>
      <c r="D5" s="1203" t="s">
        <v>71</v>
      </c>
      <c r="E5" s="1223">
        <v>45700</v>
      </c>
      <c r="F5" s="826"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78</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82</v>
      </c>
      <c r="E8" s="1223">
        <v>45748</v>
      </c>
      <c r="F8" s="1224" t="s">
        <v>61</v>
      </c>
      <c r="G8" s="1224" t="s">
        <v>83</v>
      </c>
      <c r="H8" s="1225">
        <v>0</v>
      </c>
      <c r="I8" s="1225" t="s">
        <v>55</v>
      </c>
      <c r="J8" s="1205" t="s">
        <v>63</v>
      </c>
      <c r="K8" s="1226"/>
      <c r="L8" s="1223">
        <v>45742</v>
      </c>
      <c r="M8" s="1205" t="s">
        <v>57</v>
      </c>
      <c r="N8" s="1236">
        <v>13442.35</v>
      </c>
      <c r="O8" s="1205" t="s">
        <v>57</v>
      </c>
      <c r="P8" s="1245" t="s">
        <v>84</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85</v>
      </c>
      <c r="B9" s="823" t="s">
        <v>50</v>
      </c>
      <c r="C9" s="1203">
        <v>46044</v>
      </c>
      <c r="D9" s="1203" t="s">
        <v>71</v>
      </c>
      <c r="E9" s="1223">
        <v>45700</v>
      </c>
      <c r="F9" s="1223" t="s">
        <v>61</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87</v>
      </c>
      <c r="B10" s="823" t="s">
        <v>50</v>
      </c>
      <c r="C10" s="1203">
        <v>46044</v>
      </c>
      <c r="D10" s="1203" t="s">
        <v>78</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84</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84</v>
      </c>
      <c r="Q27" s="1208">
        <v>46006</v>
      </c>
      <c r="R27" s="1255"/>
      <c r="S27" s="1255"/>
      <c r="T27" s="1255"/>
      <c r="U27" s="1255"/>
      <c r="V27" s="1209">
        <v>1820</v>
      </c>
      <c r="W27" s="1209"/>
      <c r="X27" s="1209">
        <f t="shared" si="3"/>
        <v>1820</v>
      </c>
      <c r="Y27" s="662">
        <f t="shared" si="1"/>
        <v>0</v>
      </c>
      <c r="Z27" s="1210"/>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c r="M29" s="1205" t="s">
        <v>57</v>
      </c>
      <c r="N29" s="1206">
        <v>38323.550000000003</v>
      </c>
      <c r="O29" s="1205" t="s">
        <v>57</v>
      </c>
      <c r="P29" s="1207" t="s">
        <v>84</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c r="M30" s="1205" t="s">
        <v>57</v>
      </c>
      <c r="N30" s="1206">
        <v>63322.45</v>
      </c>
      <c r="O30" s="1205" t="s">
        <v>57</v>
      </c>
      <c r="P30" s="1207" t="s">
        <v>84</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84</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84</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84</v>
      </c>
      <c r="Q40" s="1208">
        <v>46006</v>
      </c>
      <c r="R40" s="1208"/>
      <c r="S40" s="1208"/>
      <c r="T40" s="1208"/>
      <c r="U40" s="1208"/>
      <c r="V40" s="787">
        <v>3675</v>
      </c>
      <c r="W40" s="787"/>
      <c r="X40" s="1209">
        <f>SUM(V40-W40)</f>
        <v>3675</v>
      </c>
      <c r="Y40" s="662">
        <f t="shared" si="4"/>
        <v>0</v>
      </c>
      <c r="Z40" s="1210"/>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84</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84</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71</v>
      </c>
      <c r="E54" s="1203">
        <v>45966</v>
      </c>
      <c r="F54" s="1203" t="s">
        <v>203</v>
      </c>
      <c r="G54" s="1204" t="s">
        <v>204</v>
      </c>
      <c r="H54" s="1205">
        <v>0</v>
      </c>
      <c r="I54" s="661" t="s">
        <v>55</v>
      </c>
      <c r="J54" s="1205" t="s">
        <v>63</v>
      </c>
      <c r="K54" s="1225"/>
      <c r="L54" s="1203"/>
      <c r="M54" s="1205" t="s">
        <v>57</v>
      </c>
      <c r="N54" s="1206">
        <v>82825</v>
      </c>
      <c r="O54" s="1205" t="s">
        <v>57</v>
      </c>
      <c r="P54" s="1207" t="s">
        <v>84</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71</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71</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84</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84</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84</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84</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84</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84</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271</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274</v>
      </c>
      <c r="B81" s="830" t="s">
        <v>202</v>
      </c>
      <c r="C81" s="1203">
        <v>46045</v>
      </c>
      <c r="D81" s="1224"/>
      <c r="E81" s="1223"/>
      <c r="F81" s="1224"/>
      <c r="G81" s="1224" t="s">
        <v>275</v>
      </c>
      <c r="H81" s="1225">
        <v>0</v>
      </c>
      <c r="I81" s="828" t="s">
        <v>55</v>
      </c>
      <c r="J81" s="1225" t="s">
        <v>63</v>
      </c>
      <c r="K81" s="1205"/>
      <c r="L81" s="1223"/>
      <c r="M81" s="1225" t="s">
        <v>57</v>
      </c>
      <c r="N81" s="1236">
        <v>105558.2</v>
      </c>
      <c r="O81" s="1225" t="s">
        <v>57</v>
      </c>
      <c r="P81" s="1238" t="s">
        <v>84</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202</v>
      </c>
      <c r="C82" s="1223">
        <v>46011</v>
      </c>
      <c r="D82" s="1224" t="s">
        <v>227</v>
      </c>
      <c r="E82" s="1223">
        <v>45923</v>
      </c>
      <c r="F82" s="1224" t="s">
        <v>228</v>
      </c>
      <c r="G82" s="1224" t="s">
        <v>278</v>
      </c>
      <c r="H82" s="1225">
        <v>0</v>
      </c>
      <c r="I82" s="828" t="s">
        <v>55</v>
      </c>
      <c r="J82" s="1225" t="s">
        <v>63</v>
      </c>
      <c r="K82" s="1205"/>
      <c r="L82" s="1223"/>
      <c r="M82" s="1225" t="s">
        <v>57</v>
      </c>
      <c r="N82" s="1236">
        <v>139581.6</v>
      </c>
      <c r="O82" s="1225" t="s">
        <v>57</v>
      </c>
      <c r="P82" s="1238" t="s">
        <v>84</v>
      </c>
      <c r="Q82" s="1228">
        <v>45918</v>
      </c>
      <c r="R82" s="1228"/>
      <c r="S82" s="1228"/>
      <c r="T82" s="1228"/>
      <c r="U82" s="1228"/>
      <c r="V82" s="983">
        <v>11150</v>
      </c>
      <c r="W82" s="1209"/>
      <c r="X82" s="1209">
        <f t="shared" si="5"/>
        <v>11150</v>
      </c>
      <c r="Y82" s="662">
        <f t="shared" si="6"/>
        <v>0</v>
      </c>
      <c r="Z82" s="1210"/>
      <c r="AA82" s="1211">
        <v>0</v>
      </c>
      <c r="AB82" s="1211">
        <v>0</v>
      </c>
      <c r="AC82" s="1229">
        <v>0</v>
      </c>
      <c r="AD82" s="1243" t="s">
        <v>279</v>
      </c>
      <c r="AE82" s="1273"/>
    </row>
    <row r="83" spans="1:31" ht="24.75" customHeight="1">
      <c r="A83" s="1254" t="s">
        <v>280</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282</v>
      </c>
      <c r="B85" s="830" t="s">
        <v>202</v>
      </c>
      <c r="C85" s="1223">
        <v>46030</v>
      </c>
      <c r="D85" s="1224"/>
      <c r="E85" s="1223"/>
      <c r="F85" s="1224"/>
      <c r="G85" s="1224" t="s">
        <v>283</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202</v>
      </c>
      <c r="C87" s="1203">
        <v>46040</v>
      </c>
      <c r="D87" s="1346"/>
      <c r="E87" s="1347"/>
      <c r="F87" s="1346"/>
      <c r="G87" s="1224"/>
      <c r="H87" s="1458">
        <v>109</v>
      </c>
      <c r="I87" s="828" t="s">
        <v>55</v>
      </c>
      <c r="J87" s="831" t="s">
        <v>63</v>
      </c>
      <c r="K87" s="1452"/>
      <c r="L87" s="1347"/>
      <c r="M87" s="1458" t="s">
        <v>91</v>
      </c>
      <c r="N87" s="1453"/>
      <c r="O87" s="1458" t="s">
        <v>91</v>
      </c>
      <c r="P87" s="1459" t="s">
        <v>58</v>
      </c>
      <c r="Q87" s="1454"/>
      <c r="R87" s="1454"/>
      <c r="S87" s="1454"/>
      <c r="T87" s="1454"/>
      <c r="U87" s="1454"/>
      <c r="V87" s="1455">
        <v>6825</v>
      </c>
      <c r="W87" s="1456"/>
      <c r="X87" s="1456">
        <f>SUM(V87-W87)</f>
        <v>6825</v>
      </c>
      <c r="Y87" s="662">
        <f>IFERROR($W87/$V87, 0)</f>
        <v>0</v>
      </c>
      <c r="Z87" s="1457"/>
      <c r="AA87" s="1211">
        <v>0</v>
      </c>
      <c r="AB87" s="1211">
        <v>0</v>
      </c>
      <c r="AC87" s="1229">
        <v>0</v>
      </c>
      <c r="AD87" s="1212"/>
      <c r="AE87" s="1273"/>
    </row>
    <row r="88" spans="1:31" ht="24.75" customHeight="1">
      <c r="A88" s="1202" t="s">
        <v>287</v>
      </c>
      <c r="B88" s="830" t="s">
        <v>288</v>
      </c>
      <c r="C88" s="1203">
        <v>46040</v>
      </c>
      <c r="D88" s="1224" t="s">
        <v>227</v>
      </c>
      <c r="E88" s="1223"/>
      <c r="F88" s="1224" t="s">
        <v>217</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71</v>
      </c>
      <c r="E89" s="1223">
        <v>46001</v>
      </c>
      <c r="F89" s="1224" t="s">
        <v>217</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227</v>
      </c>
      <c r="E90" s="1223"/>
      <c r="F90" s="1224" t="s">
        <v>217</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20" t="s">
        <v>300</v>
      </c>
      <c r="B92" s="1016" t="s">
        <v>288</v>
      </c>
      <c r="C92" s="1422">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2">
        <v>46171</v>
      </c>
      <c r="D93" s="1279" t="s">
        <v>71</v>
      </c>
      <c r="E93" s="1280"/>
      <c r="F93" s="1279" t="s">
        <v>217</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9"/>
      <c r="AA93" s="1287">
        <v>0</v>
      </c>
      <c r="AB93" s="1287">
        <v>0</v>
      </c>
      <c r="AC93" s="1286">
        <v>0</v>
      </c>
      <c r="AD93" s="1288" t="s">
        <v>299</v>
      </c>
      <c r="AE93" s="1273"/>
    </row>
    <row r="94" spans="1:31" ht="24.75" customHeight="1">
      <c r="A94" s="1437" t="s">
        <v>303</v>
      </c>
      <c r="B94" s="1016" t="s">
        <v>288</v>
      </c>
      <c r="C94" s="1423">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304</v>
      </c>
      <c r="AE94" s="1273"/>
    </row>
    <row r="95" spans="1:31" ht="24.75" customHeight="1">
      <c r="A95" s="1438" t="s">
        <v>305</v>
      </c>
      <c r="B95" s="1016" t="s">
        <v>288</v>
      </c>
      <c r="C95" s="1423">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304</v>
      </c>
      <c r="AE95" s="1273"/>
    </row>
    <row r="96" spans="1:31" ht="24.75" customHeight="1">
      <c r="A96" s="1438" t="s">
        <v>306</v>
      </c>
      <c r="B96" s="1016" t="s">
        <v>288</v>
      </c>
      <c r="C96" s="1423">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304</v>
      </c>
      <c r="AE96" s="1273"/>
    </row>
    <row r="97" spans="1:31" ht="24.75" customHeight="1">
      <c r="A97" s="1438" t="s">
        <v>307</v>
      </c>
      <c r="B97" s="1016" t="s">
        <v>288</v>
      </c>
      <c r="C97" s="1423">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304</v>
      </c>
      <c r="AE97" s="1273"/>
    </row>
    <row r="98" spans="1:31" ht="24.75" customHeight="1">
      <c r="A98" s="1376"/>
      <c r="B98" s="1424"/>
      <c r="C98" s="1203"/>
      <c r="D98" s="1224"/>
      <c r="E98" s="1223"/>
      <c r="F98" s="1224"/>
      <c r="G98" s="1224"/>
      <c r="H98" s="1225"/>
      <c r="I98" s="828"/>
      <c r="J98" s="1225"/>
      <c r="K98" s="1205"/>
      <c r="L98" s="1223"/>
      <c r="M98" s="1225"/>
      <c r="N98" s="1236"/>
      <c r="O98" s="1225"/>
      <c r="P98" s="1289"/>
      <c r="Q98" s="1228"/>
      <c r="R98" s="1228"/>
      <c r="S98" s="1228"/>
      <c r="T98" s="1228"/>
      <c r="U98" s="1228"/>
      <c r="V98" s="1425"/>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127</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127</v>
      </c>
      <c r="E102" s="1294">
        <v>45993</v>
      </c>
      <c r="F102" s="1295" t="s">
        <v>158</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127</v>
      </c>
      <c r="E103" s="1294">
        <v>45959</v>
      </c>
      <c r="F103" s="1295" t="s">
        <v>158</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127</v>
      </c>
      <c r="E104" s="1294">
        <v>45987</v>
      </c>
      <c r="F104" s="1295" t="s">
        <v>158</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127</v>
      </c>
      <c r="E105" s="1294">
        <v>45987</v>
      </c>
      <c r="F105" s="1295" t="s">
        <v>158</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127</v>
      </c>
      <c r="E106" s="1294">
        <v>45987</v>
      </c>
      <c r="F106" s="1295" t="s">
        <v>158</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127</v>
      </c>
      <c r="E107" s="1294">
        <v>45987</v>
      </c>
      <c r="F107" s="1401" t="s">
        <v>158</v>
      </c>
      <c r="G107" s="1295" t="s">
        <v>330</v>
      </c>
      <c r="H107" s="1296">
        <v>78</v>
      </c>
      <c r="I107" s="660" t="s">
        <v>55</v>
      </c>
      <c r="J107" s="1300" t="s">
        <v>63</v>
      </c>
      <c r="K107" s="1404"/>
      <c r="L107" s="1298">
        <v>45987</v>
      </c>
      <c r="M107" s="1281" t="s">
        <v>57</v>
      </c>
      <c r="N107" s="1324">
        <v>68606.5</v>
      </c>
      <c r="O107" s="1300" t="s">
        <v>57</v>
      </c>
      <c r="P107" s="1273" t="s">
        <v>84</v>
      </c>
      <c r="Q107" s="1326">
        <v>45987</v>
      </c>
      <c r="R107" s="1302"/>
      <c r="S107" s="1302"/>
      <c r="T107" s="1302"/>
      <c r="U107" s="1415"/>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127</v>
      </c>
      <c r="E108" s="1293">
        <v>45987</v>
      </c>
      <c r="F108" s="1204" t="s">
        <v>158</v>
      </c>
      <c r="G108" s="1295" t="s">
        <v>333</v>
      </c>
      <c r="H108" s="1296">
        <v>73</v>
      </c>
      <c r="I108" s="660" t="s">
        <v>55</v>
      </c>
      <c r="J108" s="1300" t="s">
        <v>63</v>
      </c>
      <c r="K108" s="1405"/>
      <c r="L108" s="1381">
        <v>45987</v>
      </c>
      <c r="M108" s="1225" t="s">
        <v>57</v>
      </c>
      <c r="N108" s="1206">
        <v>71371</v>
      </c>
      <c r="O108" s="1382" t="s">
        <v>57</v>
      </c>
      <c r="P108" s="1273" t="s">
        <v>84</v>
      </c>
      <c r="Q108" s="1326">
        <v>45987</v>
      </c>
      <c r="R108" s="1302"/>
      <c r="S108" s="1302"/>
      <c r="T108" s="1410"/>
      <c r="U108" s="1302"/>
      <c r="V108" s="1267">
        <v>5810</v>
      </c>
      <c r="W108" s="1267"/>
      <c r="X108" s="1413">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975"/>
      <c r="E109" s="1389"/>
      <c r="F109" s="1402"/>
      <c r="G109" s="1295"/>
      <c r="H109" s="52">
        <v>68</v>
      </c>
      <c r="I109" s="660" t="s">
        <v>55</v>
      </c>
      <c r="J109" s="1300" t="s">
        <v>63</v>
      </c>
      <c r="K109" s="1406"/>
      <c r="L109" s="1395"/>
      <c r="M109" s="1225" t="s">
        <v>57</v>
      </c>
      <c r="N109" s="1324">
        <v>68608</v>
      </c>
      <c r="O109" s="1382" t="s">
        <v>57</v>
      </c>
      <c r="P109" s="1273" t="s">
        <v>58</v>
      </c>
      <c r="Q109" s="1463"/>
      <c r="R109" s="1367"/>
      <c r="S109" s="1367"/>
      <c r="T109" s="1411"/>
      <c r="U109" s="1367"/>
      <c r="V109" s="31">
        <v>5699</v>
      </c>
      <c r="W109" s="1461"/>
      <c r="X109" s="1413">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975"/>
      <c r="E110" s="1389"/>
      <c r="F110" s="1402"/>
      <c r="G110" s="1295"/>
      <c r="H110" s="52">
        <v>85</v>
      </c>
      <c r="I110" s="660" t="s">
        <v>55</v>
      </c>
      <c r="J110" s="1300" t="s">
        <v>63</v>
      </c>
      <c r="K110" s="1406"/>
      <c r="L110" s="1395"/>
      <c r="M110" s="1225" t="s">
        <v>57</v>
      </c>
      <c r="N110" s="1324">
        <v>73334</v>
      </c>
      <c r="O110" s="1382" t="s">
        <v>57</v>
      </c>
      <c r="P110" s="1273" t="s">
        <v>58</v>
      </c>
      <c r="Q110" s="1463"/>
      <c r="R110" s="1367"/>
      <c r="S110" s="1367"/>
      <c r="T110" s="1411"/>
      <c r="U110" s="1367"/>
      <c r="V110" s="31">
        <v>5860</v>
      </c>
      <c r="W110" s="1461"/>
      <c r="X110" s="1413">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975"/>
      <c r="E111" s="1389"/>
      <c r="F111" s="1402"/>
      <c r="G111" s="1295"/>
      <c r="H111" s="52">
        <v>81</v>
      </c>
      <c r="I111" s="660" t="s">
        <v>55</v>
      </c>
      <c r="J111" s="1300" t="s">
        <v>63</v>
      </c>
      <c r="K111" s="1406"/>
      <c r="L111" s="1395"/>
      <c r="M111" s="1225" t="s">
        <v>57</v>
      </c>
      <c r="N111" s="1324">
        <v>73885</v>
      </c>
      <c r="O111" s="1382" t="s">
        <v>57</v>
      </c>
      <c r="P111" s="1273" t="s">
        <v>58</v>
      </c>
      <c r="Q111" s="1463"/>
      <c r="R111" s="1367"/>
      <c r="S111" s="1367"/>
      <c r="T111" s="1411"/>
      <c r="U111" s="1367"/>
      <c r="V111" s="31">
        <v>6021</v>
      </c>
      <c r="W111" s="1461"/>
      <c r="X111" s="1413">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975"/>
      <c r="E112" s="1389"/>
      <c r="F112" s="1402"/>
      <c r="G112" s="1295"/>
      <c r="H112" s="52">
        <v>87</v>
      </c>
      <c r="I112" s="660" t="s">
        <v>55</v>
      </c>
      <c r="J112" s="1300" t="s">
        <v>63</v>
      </c>
      <c r="K112" s="1406"/>
      <c r="L112" s="1395"/>
      <c r="M112" s="1225" t="s">
        <v>57</v>
      </c>
      <c r="N112" s="1324">
        <v>78025</v>
      </c>
      <c r="O112" s="1382" t="s">
        <v>57</v>
      </c>
      <c r="P112" s="1273" t="s">
        <v>58</v>
      </c>
      <c r="Q112" s="1463"/>
      <c r="R112" s="1367"/>
      <c r="S112" s="1367"/>
      <c r="T112" s="1411"/>
      <c r="U112" s="1367"/>
      <c r="V112" s="31">
        <v>6432</v>
      </c>
      <c r="W112" s="1461"/>
      <c r="X112" s="1413">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975"/>
      <c r="E113" s="1389"/>
      <c r="F113" s="1402"/>
      <c r="G113" s="1295"/>
      <c r="H113" s="52">
        <v>68</v>
      </c>
      <c r="I113" s="660" t="s">
        <v>55</v>
      </c>
      <c r="J113" s="1300" t="s">
        <v>63</v>
      </c>
      <c r="K113" s="1406"/>
      <c r="L113" s="1395"/>
      <c r="M113" s="1225" t="s">
        <v>57</v>
      </c>
      <c r="N113" s="1324">
        <v>59114.5</v>
      </c>
      <c r="O113" s="1382" t="s">
        <v>57</v>
      </c>
      <c r="P113" s="1273" t="s">
        <v>58</v>
      </c>
      <c r="Q113" s="1463"/>
      <c r="R113" s="1367"/>
      <c r="S113" s="1367"/>
      <c r="T113" s="1411"/>
      <c r="U113" s="1367"/>
      <c r="V113" s="31">
        <v>4836</v>
      </c>
      <c r="W113" s="1461"/>
      <c r="X113" s="1413">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975"/>
      <c r="E114" s="1389"/>
      <c r="F114" s="1402"/>
      <c r="G114" s="1295"/>
      <c r="H114" s="52">
        <v>90</v>
      </c>
      <c r="I114" s="660" t="s">
        <v>55</v>
      </c>
      <c r="J114" s="1300" t="s">
        <v>63</v>
      </c>
      <c r="K114" s="1406"/>
      <c r="L114" s="1395"/>
      <c r="M114" s="1225" t="s">
        <v>57</v>
      </c>
      <c r="N114" s="1324">
        <v>88362</v>
      </c>
      <c r="O114" s="1382" t="s">
        <v>57</v>
      </c>
      <c r="P114" s="1273" t="s">
        <v>58</v>
      </c>
      <c r="Q114" s="1463"/>
      <c r="R114" s="1367"/>
      <c r="S114" s="1367"/>
      <c r="T114" s="1411"/>
      <c r="U114" s="1367"/>
      <c r="V114" s="31">
        <v>7145</v>
      </c>
      <c r="W114" s="1461"/>
      <c r="X114" s="1413">
        <f t="shared" si="10"/>
        <v>7145</v>
      </c>
      <c r="Y114" s="1150">
        <f t="shared" si="11"/>
        <v>0</v>
      </c>
      <c r="Z114" s="1368"/>
      <c r="AA114" s="1287">
        <v>0</v>
      </c>
      <c r="AB114" s="1287">
        <v>0</v>
      </c>
      <c r="AC114" s="1286">
        <v>0</v>
      </c>
      <c r="AD114" s="1258" t="s">
        <v>335</v>
      </c>
      <c r="AE114" s="1268"/>
    </row>
    <row r="115" spans="1:31" ht="24.75" customHeight="1">
      <c r="A115" s="1396" t="s">
        <v>341</v>
      </c>
      <c r="B115" s="1292" t="s">
        <v>310</v>
      </c>
      <c r="C115" s="1389">
        <v>46052</v>
      </c>
      <c r="D115" s="1378"/>
      <c r="E115" s="1397"/>
      <c r="F115" s="1403"/>
      <c r="G115" s="1295"/>
      <c r="H115" s="52">
        <v>90</v>
      </c>
      <c r="I115" s="660" t="s">
        <v>55</v>
      </c>
      <c r="J115" s="1300" t="s">
        <v>63</v>
      </c>
      <c r="K115" s="1407"/>
      <c r="L115" s="1398"/>
      <c r="M115" s="1225" t="s">
        <v>57</v>
      </c>
      <c r="N115" s="1206">
        <v>86984</v>
      </c>
      <c r="O115" s="1382" t="s">
        <v>57</v>
      </c>
      <c r="P115" s="1273" t="s">
        <v>58</v>
      </c>
      <c r="Q115" s="1464"/>
      <c r="R115" s="1369"/>
      <c r="S115" s="1369"/>
      <c r="T115" s="1412"/>
      <c r="U115" s="1367"/>
      <c r="V115" s="31">
        <v>7341</v>
      </c>
      <c r="W115" s="1461"/>
      <c r="X115" s="1414">
        <f t="shared" si="10"/>
        <v>7341</v>
      </c>
      <c r="Y115" s="1399">
        <f t="shared" si="11"/>
        <v>0</v>
      </c>
      <c r="Z115" s="1370"/>
      <c r="AA115" s="1287">
        <v>0</v>
      </c>
      <c r="AB115" s="1287">
        <v>0</v>
      </c>
      <c r="AC115" s="1286">
        <v>0</v>
      </c>
      <c r="AD115" s="1258" t="s">
        <v>335</v>
      </c>
      <c r="AE115" s="1268"/>
    </row>
    <row r="116" spans="1:31" ht="24.75" customHeight="1">
      <c r="A116" s="1394" t="s">
        <v>342</v>
      </c>
      <c r="B116" s="1292" t="s">
        <v>310</v>
      </c>
      <c r="C116" s="1389">
        <v>46052</v>
      </c>
      <c r="D116" s="975"/>
      <c r="E116" s="1389"/>
      <c r="F116" s="1402"/>
      <c r="G116" s="1295"/>
      <c r="H116" s="1296">
        <v>0</v>
      </c>
      <c r="I116" s="660" t="s">
        <v>55</v>
      </c>
      <c r="J116" s="1300" t="s">
        <v>63</v>
      </c>
      <c r="K116" s="1406"/>
      <c r="L116" s="1395"/>
      <c r="M116" s="1225" t="s">
        <v>57</v>
      </c>
      <c r="N116" s="1324">
        <v>18078.28</v>
      </c>
      <c r="O116" s="1382" t="s">
        <v>57</v>
      </c>
      <c r="P116" s="1273" t="s">
        <v>58</v>
      </c>
      <c r="Q116" s="1463"/>
      <c r="R116" s="1367"/>
      <c r="S116" s="1367"/>
      <c r="T116" s="1411"/>
      <c r="U116" s="1367"/>
      <c r="V116" s="31">
        <v>1284</v>
      </c>
      <c r="W116" s="1461"/>
      <c r="X116" s="1413">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6" t="s">
        <v>343</v>
      </c>
      <c r="B117" s="1292" t="s">
        <v>310</v>
      </c>
      <c r="C117" s="1389">
        <v>46052</v>
      </c>
      <c r="D117" s="1378"/>
      <c r="E117" s="1397"/>
      <c r="F117" s="1403"/>
      <c r="G117" s="1295"/>
      <c r="H117" s="1296">
        <v>0</v>
      </c>
      <c r="I117" s="660" t="s">
        <v>55</v>
      </c>
      <c r="J117" s="1300" t="s">
        <v>63</v>
      </c>
      <c r="K117" s="1407"/>
      <c r="L117" s="1397"/>
      <c r="M117" s="1225" t="s">
        <v>57</v>
      </c>
      <c r="N117" s="1206">
        <v>54261.05</v>
      </c>
      <c r="O117" s="1382" t="s">
        <v>57</v>
      </c>
      <c r="P117" s="1273" t="s">
        <v>58</v>
      </c>
      <c r="Q117" s="1465"/>
      <c r="R117" s="1369"/>
      <c r="S117" s="1369"/>
      <c r="T117" s="1412"/>
      <c r="U117" s="1367"/>
      <c r="V117" s="31">
        <v>4022</v>
      </c>
      <c r="W117" s="1461"/>
      <c r="X117" s="1414">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8"/>
      <c r="H118" s="1409"/>
      <c r="I118" s="1409"/>
      <c r="J118" s="1409"/>
      <c r="K118" s="1297"/>
      <c r="L118" s="1295"/>
      <c r="M118" s="1297"/>
      <c r="N118" s="1384"/>
      <c r="O118" s="1297"/>
      <c r="P118" s="1391"/>
      <c r="Q118" s="1400"/>
      <c r="R118" s="1253"/>
      <c r="S118" s="1253"/>
      <c r="T118" s="1253"/>
      <c r="U118" s="1400"/>
      <c r="V118" s="1416"/>
      <c r="W118" s="1400"/>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1"/>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7"/>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91</v>
      </c>
      <c r="N132" s="1383"/>
      <c r="O132" s="1300" t="s">
        <v>57</v>
      </c>
      <c r="P132" s="1273" t="s">
        <v>58</v>
      </c>
      <c r="Q132" s="1465"/>
      <c r="R132" s="1369"/>
      <c r="S132" s="1369"/>
      <c r="T132" s="1369"/>
      <c r="U132" s="1369"/>
      <c r="V132" s="1371">
        <v>3682</v>
      </c>
      <c r="W132" s="1467"/>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V23"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227</v>
      </c>
      <c r="E17" s="1223">
        <v>45987</v>
      </c>
      <c r="F17" s="1224" t="s">
        <v>217</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1" t="s">
        <v>412</v>
      </c>
      <c r="B22" s="1016" t="s">
        <v>288</v>
      </c>
      <c r="C22" s="1203">
        <v>46040</v>
      </c>
      <c r="D22" s="1224" t="s">
        <v>227</v>
      </c>
      <c r="E22" s="1223">
        <v>45996</v>
      </c>
      <c r="F22" s="1224" t="s">
        <v>217</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8">
        <v>46006</v>
      </c>
      <c r="AA22" s="1211">
        <v>0</v>
      </c>
      <c r="AB22" s="1211">
        <v>0</v>
      </c>
      <c r="AC22" s="1229">
        <v>0</v>
      </c>
      <c r="AD22" s="1212"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88">
        <v>45838</v>
      </c>
      <c r="D26" s="488" t="s">
        <v>127</v>
      </c>
      <c r="E26" s="476">
        <v>45786</v>
      </c>
      <c r="F26" s="488" t="s">
        <v>158</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107</v>
      </c>
      <c r="C27" s="467">
        <v>46021</v>
      </c>
      <c r="D27" s="465" t="s">
        <v>51</v>
      </c>
      <c r="E27" s="467" t="s">
        <v>52</v>
      </c>
      <c r="F27" s="465" t="s">
        <v>140</v>
      </c>
      <c r="G27" s="468" t="s">
        <v>427</v>
      </c>
      <c r="H27" s="469">
        <v>0</v>
      </c>
      <c r="I27" s="469" t="s">
        <v>365</v>
      </c>
      <c r="J27" s="469" t="s">
        <v>63</v>
      </c>
      <c r="K27" s="469"/>
      <c r="L27" s="467" t="s">
        <v>155</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107</v>
      </c>
      <c r="C28" s="476">
        <v>45991</v>
      </c>
      <c r="D28" s="465" t="s">
        <v>430</v>
      </c>
      <c r="E28" s="467">
        <v>45936</v>
      </c>
      <c r="F28" s="465" t="s">
        <v>108</v>
      </c>
      <c r="G28" s="682"/>
      <c r="H28" s="469">
        <v>0</v>
      </c>
      <c r="I28" s="469" t="s">
        <v>365</v>
      </c>
      <c r="J28" s="469" t="s">
        <v>63</v>
      </c>
      <c r="K28" s="469"/>
      <c r="L28" s="467" t="s">
        <v>155</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107</v>
      </c>
      <c r="C29" s="476">
        <v>45960</v>
      </c>
      <c r="D29" s="467" t="s">
        <v>433</v>
      </c>
      <c r="E29" s="467">
        <v>45939</v>
      </c>
      <c r="F29" s="465" t="s">
        <v>158</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107</v>
      </c>
      <c r="C30" s="1203">
        <v>46020</v>
      </c>
      <c r="D30" s="1203" t="s">
        <v>436</v>
      </c>
      <c r="E30" s="1203">
        <v>45978</v>
      </c>
      <c r="F30" s="1204" t="s">
        <v>140</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107</v>
      </c>
      <c r="C31" s="467">
        <v>46017</v>
      </c>
      <c r="D31" s="467" t="s">
        <v>436</v>
      </c>
      <c r="E31" s="467">
        <v>45936</v>
      </c>
      <c r="F31" s="465" t="s">
        <v>108</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127</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9">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127</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127</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127</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127</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127</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127</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127</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127</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127</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127</v>
      </c>
      <c r="E42" s="375">
        <v>45959</v>
      </c>
      <c r="F42" s="374" t="s">
        <v>158</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127</v>
      </c>
      <c r="E43" s="375">
        <v>45959</v>
      </c>
      <c r="F43" s="374" t="s">
        <v>158</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127</v>
      </c>
      <c r="E44" s="375">
        <v>45959</v>
      </c>
      <c r="F44" s="374" t="s">
        <v>158</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0</v>
      </c>
      <c r="AD44" s="436" t="s">
        <v>467</v>
      </c>
    </row>
    <row r="45" spans="1:30" ht="39.75" customHeight="1">
      <c r="A45" s="1069" t="s">
        <v>468</v>
      </c>
      <c r="B45" s="450" t="s">
        <v>310</v>
      </c>
      <c r="C45" s="375">
        <v>46045</v>
      </c>
      <c r="D45" s="975" t="s">
        <v>127</v>
      </c>
      <c r="E45" s="375">
        <v>45959</v>
      </c>
      <c r="F45" s="374" t="s">
        <v>158</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0</v>
      </c>
      <c r="AC45" s="41">
        <v>0</v>
      </c>
      <c r="AD45" s="436" t="s">
        <v>469</v>
      </c>
    </row>
    <row r="46" spans="1:30" ht="39.75" customHeight="1">
      <c r="A46" s="1069" t="s">
        <v>470</v>
      </c>
      <c r="B46" s="450" t="s">
        <v>310</v>
      </c>
      <c r="C46" s="375">
        <v>45989</v>
      </c>
      <c r="D46" s="975" t="s">
        <v>127</v>
      </c>
      <c r="E46" s="375">
        <v>45959</v>
      </c>
      <c r="F46" s="374" t="s">
        <v>158</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127</v>
      </c>
      <c r="E47" s="375">
        <v>45959</v>
      </c>
      <c r="F47" s="374" t="s">
        <v>158</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127</v>
      </c>
      <c r="E48" s="1294">
        <v>45959</v>
      </c>
      <c r="F48" s="1295" t="s">
        <v>158</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127</v>
      </c>
      <c r="E49" s="375">
        <v>45959</v>
      </c>
      <c r="F49" s="374" t="s">
        <v>158</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127</v>
      </c>
      <c r="E50" s="1294">
        <v>45959</v>
      </c>
      <c r="F50" s="1295" t="s">
        <v>158</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127</v>
      </c>
      <c r="E51" s="375">
        <v>45959</v>
      </c>
      <c r="F51" s="374" t="s">
        <v>158</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127</v>
      </c>
      <c r="E52" s="1294">
        <v>45959</v>
      </c>
      <c r="F52" s="1295" t="s">
        <v>158</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127</v>
      </c>
      <c r="E53" s="1294">
        <v>45959</v>
      </c>
      <c r="F53" s="1295" t="s">
        <v>158</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127</v>
      </c>
      <c r="E54" s="1294">
        <v>45959</v>
      </c>
      <c r="F54" s="1295" t="s">
        <v>158</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127</v>
      </c>
      <c r="E55" s="1294">
        <v>45959</v>
      </c>
      <c r="F55" s="1295" t="s">
        <v>158</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127</v>
      </c>
      <c r="E56" s="1294">
        <v>45959</v>
      </c>
      <c r="F56" s="1295" t="s">
        <v>158</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127</v>
      </c>
      <c r="E57" s="1294">
        <v>45959</v>
      </c>
      <c r="F57" s="1295" t="s">
        <v>158</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71</v>
      </c>
      <c r="E58" s="57">
        <v>45743</v>
      </c>
      <c r="F58" s="771" t="s">
        <v>61</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61</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71</v>
      </c>
      <c r="E60" s="476">
        <v>45748</v>
      </c>
      <c r="F60" s="475" t="s">
        <v>61</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71</v>
      </c>
      <c r="E61" s="57">
        <v>45779</v>
      </c>
      <c r="F61" s="771" t="s">
        <v>61</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521</v>
      </c>
      <c r="G62" s="1224" t="s">
        <v>522</v>
      </c>
      <c r="H62" s="1225">
        <v>517</v>
      </c>
      <c r="I62" s="661" t="s">
        <v>523</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524</v>
      </c>
    </row>
    <row r="63" spans="1:30" ht="39.75" customHeight="1">
      <c r="A63" s="1276" t="s">
        <v>525</v>
      </c>
      <c r="B63" s="823" t="s">
        <v>50</v>
      </c>
      <c r="C63" s="1203">
        <v>46218</v>
      </c>
      <c r="D63" s="1203" t="s">
        <v>526</v>
      </c>
      <c r="E63" s="51" t="s">
        <v>52</v>
      </c>
      <c r="F63" s="1224" t="s">
        <v>61</v>
      </c>
      <c r="G63" s="1224" t="s">
        <v>527</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528</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B31" activePane="topRight" state="frozen"/>
      <selection pane="topRight" activeCell="A35" sqref="A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529</v>
      </c>
      <c r="B2" s="830" t="s">
        <v>202</v>
      </c>
      <c r="C2" s="467">
        <v>45960</v>
      </c>
      <c r="D2" s="467" t="s">
        <v>216</v>
      </c>
      <c r="E2" s="467">
        <v>45852</v>
      </c>
      <c r="F2" s="642" t="s">
        <v>217</v>
      </c>
      <c r="G2" s="682" t="s">
        <v>530</v>
      </c>
      <c r="H2" s="469">
        <v>0</v>
      </c>
      <c r="I2" s="469" t="s">
        <v>365</v>
      </c>
      <c r="J2" s="469" t="s">
        <v>63</v>
      </c>
      <c r="K2" s="469"/>
      <c r="L2" s="467">
        <v>45852</v>
      </c>
      <c r="M2" s="469" t="s">
        <v>57</v>
      </c>
      <c r="N2" s="542">
        <v>42837.2</v>
      </c>
      <c r="O2" s="469" t="s">
        <v>57</v>
      </c>
      <c r="P2" s="806" t="s">
        <v>366</v>
      </c>
      <c r="Q2" s="471">
        <v>45852</v>
      </c>
      <c r="R2" s="869"/>
      <c r="S2" s="869"/>
      <c r="T2" s="869"/>
      <c r="U2" s="87" t="s">
        <v>531</v>
      </c>
      <c r="V2" s="490">
        <v>3432</v>
      </c>
      <c r="W2" s="741">
        <v>3519</v>
      </c>
      <c r="X2" s="106">
        <f>SUM(V2-W2)</f>
        <v>-87</v>
      </c>
      <c r="Y2" s="657">
        <f>IFERROR($W2/$V2, 0)</f>
        <v>1.0253496503496504</v>
      </c>
      <c r="Z2" s="678">
        <v>45866</v>
      </c>
      <c r="AA2" s="355">
        <v>1</v>
      </c>
      <c r="AB2" s="355">
        <v>1</v>
      </c>
      <c r="AC2" s="1002">
        <v>0</v>
      </c>
      <c r="AD2" s="541"/>
    </row>
    <row r="3" spans="1:30" ht="39.75" customHeight="1">
      <c r="A3" s="842" t="s">
        <v>532</v>
      </c>
      <c r="B3" s="491" t="s">
        <v>202</v>
      </c>
      <c r="C3" s="467">
        <v>45868</v>
      </c>
      <c r="D3" s="475" t="s">
        <v>533</v>
      </c>
      <c r="E3" s="476">
        <v>45716</v>
      </c>
      <c r="F3" s="475" t="s">
        <v>217</v>
      </c>
      <c r="G3" s="597" t="s">
        <v>534</v>
      </c>
      <c r="H3" s="478">
        <v>0</v>
      </c>
      <c r="I3" s="483" t="s">
        <v>365</v>
      </c>
      <c r="J3" s="478" t="s">
        <v>63</v>
      </c>
      <c r="K3" s="487"/>
      <c r="L3" s="467">
        <v>45716</v>
      </c>
      <c r="M3" s="478" t="s">
        <v>57</v>
      </c>
      <c r="N3" s="543">
        <v>64932.55</v>
      </c>
      <c r="O3" s="478" t="s">
        <v>57</v>
      </c>
      <c r="P3" s="806" t="s">
        <v>366</v>
      </c>
      <c r="Q3" s="479">
        <v>45721</v>
      </c>
      <c r="R3" s="54"/>
      <c r="S3" s="54"/>
      <c r="T3" s="54"/>
      <c r="U3" s="87" t="s">
        <v>531</v>
      </c>
      <c r="V3" s="1100">
        <v>5151</v>
      </c>
      <c r="W3" s="742">
        <v>5207</v>
      </c>
      <c r="X3" s="106">
        <f>SUM(V3-W3)</f>
        <v>-56</v>
      </c>
      <c r="Y3" s="22">
        <f>IFERROR($W3/$V3, 0)</f>
        <v>1.0108716754028344</v>
      </c>
      <c r="Z3" s="678">
        <v>45748</v>
      </c>
      <c r="AA3" s="355">
        <v>1</v>
      </c>
      <c r="AB3" s="355">
        <v>1</v>
      </c>
      <c r="AC3" s="41">
        <v>0</v>
      </c>
      <c r="AD3" s="871"/>
    </row>
    <row r="4" spans="1:30" ht="39.75" customHeight="1">
      <c r="A4" s="878" t="s">
        <v>535</v>
      </c>
      <c r="B4" s="491" t="s">
        <v>202</v>
      </c>
      <c r="C4" s="467">
        <v>45991</v>
      </c>
      <c r="D4" s="476" t="s">
        <v>386</v>
      </c>
      <c r="E4" s="428">
        <v>45707</v>
      </c>
      <c r="F4" s="475" t="s">
        <v>217</v>
      </c>
      <c r="G4" s="492" t="s">
        <v>536</v>
      </c>
      <c r="H4" s="483">
        <v>0</v>
      </c>
      <c r="I4" s="483" t="s">
        <v>365</v>
      </c>
      <c r="J4" s="483" t="s">
        <v>63</v>
      </c>
      <c r="K4" s="483"/>
      <c r="L4" s="476">
        <v>45708</v>
      </c>
      <c r="M4" s="483" t="s">
        <v>57</v>
      </c>
      <c r="N4" s="544">
        <v>87944.4</v>
      </c>
      <c r="O4" s="483" t="s">
        <v>57</v>
      </c>
      <c r="P4" s="806" t="s">
        <v>366</v>
      </c>
      <c r="Q4" s="479">
        <v>45709</v>
      </c>
      <c r="R4" s="1101"/>
      <c r="S4" s="1101"/>
      <c r="T4" s="1101"/>
      <c r="U4" s="1102" t="s">
        <v>531</v>
      </c>
      <c r="V4" s="493">
        <v>7008</v>
      </c>
      <c r="W4" s="741">
        <v>7258</v>
      </c>
      <c r="X4" s="106">
        <f t="shared" ref="X4" si="0">SUM(V4-W4)</f>
        <v>-250</v>
      </c>
      <c r="Y4" s="22">
        <f t="shared" ref="Y4" si="1">IFERROR($W4/$V4, 0)</f>
        <v>1.0356735159817352</v>
      </c>
      <c r="Z4" s="678">
        <v>45747</v>
      </c>
      <c r="AA4" s="473">
        <v>1</v>
      </c>
      <c r="AB4" s="473">
        <v>1</v>
      </c>
      <c r="AC4" s="815">
        <v>0</v>
      </c>
      <c r="AD4" s="872" t="s">
        <v>537</v>
      </c>
    </row>
    <row r="5" spans="1:30" ht="39.75" customHeight="1">
      <c r="A5" s="842" t="s">
        <v>538</v>
      </c>
      <c r="B5" s="830" t="s">
        <v>202</v>
      </c>
      <c r="C5" s="476">
        <v>45807</v>
      </c>
      <c r="D5" s="465" t="s">
        <v>533</v>
      </c>
      <c r="E5" s="475" t="s">
        <v>52</v>
      </c>
      <c r="F5" s="465" t="s">
        <v>217</v>
      </c>
      <c r="G5" s="824" t="s">
        <v>539</v>
      </c>
      <c r="H5" s="469">
        <v>84</v>
      </c>
      <c r="I5" s="828" t="s">
        <v>365</v>
      </c>
      <c r="J5" s="478" t="s">
        <v>63</v>
      </c>
      <c r="K5" s="843"/>
      <c r="L5" s="467">
        <v>45716</v>
      </c>
      <c r="M5" s="478" t="s">
        <v>57</v>
      </c>
      <c r="N5" s="542">
        <v>2812.95</v>
      </c>
      <c r="O5" s="478" t="s">
        <v>57</v>
      </c>
      <c r="P5" s="806" t="s">
        <v>366</v>
      </c>
      <c r="Q5" s="479">
        <v>45792</v>
      </c>
      <c r="R5" s="479">
        <v>45947</v>
      </c>
      <c r="S5" s="352"/>
      <c r="T5" s="352"/>
      <c r="U5" s="486" t="s">
        <v>531</v>
      </c>
      <c r="V5" s="41">
        <v>285</v>
      </c>
      <c r="W5" s="844">
        <v>285</v>
      </c>
      <c r="X5" s="472">
        <f>SUM(V5-W5)</f>
        <v>0</v>
      </c>
      <c r="Y5" s="662">
        <f>IFERROR($W5/$V5, 0)</f>
        <v>1</v>
      </c>
      <c r="Z5" s="479">
        <v>45798</v>
      </c>
      <c r="AA5" s="662">
        <v>1</v>
      </c>
      <c r="AB5" s="662">
        <v>1</v>
      </c>
      <c r="AC5" s="472">
        <v>3451</v>
      </c>
      <c r="AD5" s="664"/>
    </row>
    <row r="6" spans="1:30" ht="39.75" customHeight="1">
      <c r="A6" s="929" t="s">
        <v>540</v>
      </c>
      <c r="B6" s="491" t="s">
        <v>202</v>
      </c>
      <c r="C6" s="467">
        <v>45991</v>
      </c>
      <c r="D6" s="475" t="s">
        <v>541</v>
      </c>
      <c r="E6" s="476">
        <v>45716</v>
      </c>
      <c r="F6" s="475" t="s">
        <v>203</v>
      </c>
      <c r="G6" s="477" t="s">
        <v>542</v>
      </c>
      <c r="H6" s="478">
        <v>31</v>
      </c>
      <c r="I6" s="483" t="s">
        <v>365</v>
      </c>
      <c r="J6" s="478" t="s">
        <v>63</v>
      </c>
      <c r="K6" s="487"/>
      <c r="L6" s="467">
        <v>45716</v>
      </c>
      <c r="M6" s="478" t="s">
        <v>57</v>
      </c>
      <c r="N6" s="543">
        <v>28777</v>
      </c>
      <c r="O6" s="478" t="s">
        <v>57</v>
      </c>
      <c r="P6" s="806" t="s">
        <v>366</v>
      </c>
      <c r="Q6" s="479">
        <v>45716</v>
      </c>
      <c r="R6" s="479">
        <v>45992</v>
      </c>
      <c r="S6" s="479"/>
      <c r="T6" s="479"/>
      <c r="U6" s="486" t="s">
        <v>531</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543</v>
      </c>
      <c r="B7" s="491" t="s">
        <v>202</v>
      </c>
      <c r="C7" s="467">
        <v>45991</v>
      </c>
      <c r="D7" s="475" t="s">
        <v>386</v>
      </c>
      <c r="E7" s="476">
        <v>45866</v>
      </c>
      <c r="F7" s="475" t="s">
        <v>217</v>
      </c>
      <c r="G7" s="477" t="s">
        <v>544</v>
      </c>
      <c r="H7" s="478">
        <v>0</v>
      </c>
      <c r="I7" s="483" t="s">
        <v>365</v>
      </c>
      <c r="J7" s="478" t="s">
        <v>63</v>
      </c>
      <c r="K7" s="487"/>
      <c r="L7" s="476">
        <v>45863</v>
      </c>
      <c r="M7" s="478" t="s">
        <v>57</v>
      </c>
      <c r="N7" s="543">
        <v>143407.25</v>
      </c>
      <c r="O7" s="478" t="s">
        <v>57</v>
      </c>
      <c r="P7" s="806" t="s">
        <v>366</v>
      </c>
      <c r="Q7" s="479">
        <v>45863</v>
      </c>
      <c r="R7" s="479"/>
      <c r="S7" s="479"/>
      <c r="T7" s="479"/>
      <c r="U7" s="486" t="s">
        <v>531</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545</v>
      </c>
      <c r="B8" s="491" t="s">
        <v>202</v>
      </c>
      <c r="C8" s="467">
        <v>45991</v>
      </c>
      <c r="D8" s="475" t="s">
        <v>71</v>
      </c>
      <c r="E8" s="476">
        <v>45880</v>
      </c>
      <c r="F8" s="475" t="s">
        <v>203</v>
      </c>
      <c r="G8" s="477" t="s">
        <v>546</v>
      </c>
      <c r="H8" s="478">
        <v>0</v>
      </c>
      <c r="I8" s="483" t="s">
        <v>365</v>
      </c>
      <c r="J8" s="478" t="s">
        <v>63</v>
      </c>
      <c r="K8" s="487"/>
      <c r="L8" s="476">
        <v>45881</v>
      </c>
      <c r="M8" s="478" t="s">
        <v>57</v>
      </c>
      <c r="N8" s="543">
        <v>4815.6499999999996</v>
      </c>
      <c r="O8" s="478" t="s">
        <v>57</v>
      </c>
      <c r="P8" s="806" t="s">
        <v>366</v>
      </c>
      <c r="Q8" s="479">
        <v>45881</v>
      </c>
      <c r="R8" s="479">
        <v>45947</v>
      </c>
      <c r="S8" s="479"/>
      <c r="T8" s="479"/>
      <c r="U8" s="486" t="s">
        <v>531</v>
      </c>
      <c r="V8" s="41">
        <v>321</v>
      </c>
      <c r="W8" s="742">
        <v>367</v>
      </c>
      <c r="X8" s="106">
        <f>SUM(V8-W8)</f>
        <v>-46</v>
      </c>
      <c r="Y8" s="22">
        <f>IFERROR($W8/$V8, 0)</f>
        <v>1.1433021806853583</v>
      </c>
      <c r="Z8" s="678">
        <v>45905</v>
      </c>
      <c r="AA8" s="355">
        <v>0</v>
      </c>
      <c r="AB8" s="355">
        <v>0</v>
      </c>
      <c r="AC8" s="41">
        <v>0</v>
      </c>
      <c r="AD8" s="515"/>
    </row>
    <row r="9" spans="1:30" ht="39.75" customHeight="1">
      <c r="A9" s="939" t="s">
        <v>547</v>
      </c>
      <c r="B9" s="833" t="s">
        <v>202</v>
      </c>
      <c r="C9" s="834">
        <v>45955</v>
      </c>
      <c r="D9" s="835" t="s">
        <v>127</v>
      </c>
      <c r="E9" s="835">
        <v>45919</v>
      </c>
      <c r="F9" s="835" t="s">
        <v>228</v>
      </c>
      <c r="G9" s="836" t="s">
        <v>548</v>
      </c>
      <c r="H9" s="393">
        <v>0</v>
      </c>
      <c r="I9" s="837" t="s">
        <v>365</v>
      </c>
      <c r="J9" s="393" t="s">
        <v>63</v>
      </c>
      <c r="K9" s="393"/>
      <c r="L9" s="835" t="s">
        <v>52</v>
      </c>
      <c r="M9" s="393" t="s">
        <v>57</v>
      </c>
      <c r="N9" s="838">
        <v>4646.75</v>
      </c>
      <c r="O9" s="393" t="s">
        <v>91</v>
      </c>
      <c r="P9" s="913" t="s">
        <v>366</v>
      </c>
      <c r="Q9" s="598"/>
      <c r="R9" s="598">
        <v>45947</v>
      </c>
      <c r="S9" s="598"/>
      <c r="T9" s="598"/>
      <c r="U9" s="486" t="s">
        <v>531</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549</v>
      </c>
      <c r="B10" s="465" t="s">
        <v>107</v>
      </c>
      <c r="C10" s="476">
        <v>45960</v>
      </c>
      <c r="D10" s="467" t="s">
        <v>71</v>
      </c>
      <c r="E10" s="476">
        <v>45918</v>
      </c>
      <c r="F10" s="465" t="s">
        <v>108</v>
      </c>
      <c r="G10" s="50" t="s">
        <v>550</v>
      </c>
      <c r="H10" s="996">
        <v>0</v>
      </c>
      <c r="I10" s="661" t="s">
        <v>365</v>
      </c>
      <c r="J10" s="469" t="s">
        <v>63</v>
      </c>
      <c r="K10" s="469"/>
      <c r="L10" s="476">
        <v>45918</v>
      </c>
      <c r="M10" s="478" t="s">
        <v>57</v>
      </c>
      <c r="N10" s="543">
        <v>9611.9500000000007</v>
      </c>
      <c r="O10" s="478" t="s">
        <v>57</v>
      </c>
      <c r="P10" s="806" t="s">
        <v>366</v>
      </c>
      <c r="Q10" s="479">
        <v>45918</v>
      </c>
      <c r="R10" s="479"/>
      <c r="S10" s="479"/>
      <c r="T10" s="479"/>
      <c r="U10" s="486" t="s">
        <v>531</v>
      </c>
      <c r="V10" s="41">
        <v>807</v>
      </c>
      <c r="W10" s="742">
        <v>896</v>
      </c>
      <c r="X10" s="106">
        <f t="shared" si="6"/>
        <v>-89</v>
      </c>
      <c r="Y10" s="657">
        <f t="shared" si="7"/>
        <v>1.110285006195787</v>
      </c>
      <c r="Z10" s="678">
        <v>45938</v>
      </c>
      <c r="AA10" s="662">
        <v>1</v>
      </c>
      <c r="AB10" s="662">
        <v>1</v>
      </c>
      <c r="AC10" s="645">
        <v>0</v>
      </c>
      <c r="AD10" s="474" t="s">
        <v>551</v>
      </c>
    </row>
    <row r="11" spans="1:30" ht="39.75" customHeight="1">
      <c r="A11" s="1373" t="s">
        <v>552</v>
      </c>
      <c r="B11" s="1204" t="s">
        <v>107</v>
      </c>
      <c r="C11" s="1203">
        <v>46021</v>
      </c>
      <c r="D11" s="1203" t="s">
        <v>127</v>
      </c>
      <c r="E11" s="1203">
        <v>46001</v>
      </c>
      <c r="F11" s="1204" t="s">
        <v>140</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531</v>
      </c>
      <c r="V11" s="787">
        <v>3885</v>
      </c>
      <c r="W11" s="1372">
        <v>3910</v>
      </c>
      <c r="X11" s="1209">
        <f>SUM(V11-W11)</f>
        <v>-25</v>
      </c>
      <c r="Y11" s="662">
        <f t="shared" si="7"/>
        <v>1.0064350064350065</v>
      </c>
      <c r="Z11" s="1228">
        <v>46006</v>
      </c>
      <c r="AA11" s="1211">
        <v>1</v>
      </c>
      <c r="AB11" s="355">
        <v>1</v>
      </c>
      <c r="AC11" s="645">
        <v>0</v>
      </c>
      <c r="AD11" s="1212" t="s">
        <v>553</v>
      </c>
    </row>
    <row r="12" spans="1:30" ht="39.75" customHeight="1">
      <c r="A12" s="845" t="s">
        <v>554</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531</v>
      </c>
      <c r="V12" s="41">
        <v>3566</v>
      </c>
      <c r="W12" s="742">
        <v>3704</v>
      </c>
      <c r="X12" s="106">
        <f t="shared" si="6"/>
        <v>-138</v>
      </c>
      <c r="Y12" s="22">
        <f t="shared" si="7"/>
        <v>1.0386988222097588</v>
      </c>
      <c r="Z12" s="678">
        <v>45904</v>
      </c>
      <c r="AA12" s="355">
        <v>1</v>
      </c>
      <c r="AB12" s="355">
        <v>1</v>
      </c>
      <c r="AC12" s="645">
        <v>0</v>
      </c>
      <c r="AD12" s="515" t="s">
        <v>555</v>
      </c>
    </row>
    <row r="13" spans="1:30" ht="39.75" customHeight="1">
      <c r="A13" s="845" t="s">
        <v>556</v>
      </c>
      <c r="B13" s="465" t="s">
        <v>107</v>
      </c>
      <c r="C13" s="476">
        <v>45930</v>
      </c>
      <c r="D13" s="467" t="s">
        <v>127</v>
      </c>
      <c r="E13" s="467">
        <v>45896</v>
      </c>
      <c r="F13" s="465" t="s">
        <v>158</v>
      </c>
      <c r="G13" s="465" t="s">
        <v>557</v>
      </c>
      <c r="H13" s="469">
        <v>66</v>
      </c>
      <c r="I13" s="469" t="s">
        <v>365</v>
      </c>
      <c r="J13" s="469" t="s">
        <v>63</v>
      </c>
      <c r="K13" s="469"/>
      <c r="L13" s="467">
        <v>45897</v>
      </c>
      <c r="M13" s="469" t="s">
        <v>57</v>
      </c>
      <c r="N13" s="542">
        <v>44896.1</v>
      </c>
      <c r="O13" s="469" t="s">
        <v>57</v>
      </c>
      <c r="P13" s="806" t="s">
        <v>366</v>
      </c>
      <c r="Q13" s="471">
        <v>45897</v>
      </c>
      <c r="R13" s="482"/>
      <c r="S13" s="482"/>
      <c r="T13" s="482"/>
      <c r="U13" s="486" t="s">
        <v>531</v>
      </c>
      <c r="V13" s="472">
        <v>2385</v>
      </c>
      <c r="W13" s="742">
        <v>2385</v>
      </c>
      <c r="X13" s="106">
        <f t="shared" si="6"/>
        <v>0</v>
      </c>
      <c r="Y13" s="22">
        <f t="shared" si="7"/>
        <v>1</v>
      </c>
      <c r="Z13" s="678">
        <v>45918</v>
      </c>
      <c r="AA13" s="355">
        <v>1</v>
      </c>
      <c r="AB13" s="355">
        <v>1</v>
      </c>
      <c r="AC13" s="645">
        <v>0</v>
      </c>
      <c r="AD13" s="413" t="s">
        <v>558</v>
      </c>
    </row>
    <row r="14" spans="1:30" ht="39.75" customHeight="1">
      <c r="A14" s="845" t="s">
        <v>559</v>
      </c>
      <c r="B14" s="465" t="s">
        <v>107</v>
      </c>
      <c r="C14" s="476">
        <v>45930</v>
      </c>
      <c r="D14" s="467" t="s">
        <v>127</v>
      </c>
      <c r="E14" s="642">
        <v>45910</v>
      </c>
      <c r="F14" s="465" t="s">
        <v>108</v>
      </c>
      <c r="G14" s="465" t="s">
        <v>560</v>
      </c>
      <c r="H14" s="469">
        <v>80</v>
      </c>
      <c r="I14" s="469" t="s">
        <v>365</v>
      </c>
      <c r="J14" s="469" t="s">
        <v>63</v>
      </c>
      <c r="K14" s="469"/>
      <c r="L14" s="467">
        <v>45903</v>
      </c>
      <c r="M14" s="469" t="s">
        <v>57</v>
      </c>
      <c r="N14" s="542">
        <v>59116.7</v>
      </c>
      <c r="O14" s="469" t="s">
        <v>57</v>
      </c>
      <c r="P14" s="806" t="s">
        <v>366</v>
      </c>
      <c r="Q14" s="471">
        <v>45903</v>
      </c>
      <c r="R14" s="482"/>
      <c r="S14" s="482"/>
      <c r="T14" s="471"/>
      <c r="U14" s="486" t="s">
        <v>531</v>
      </c>
      <c r="V14" s="472">
        <v>4833</v>
      </c>
      <c r="W14" s="742">
        <v>4446</v>
      </c>
      <c r="X14" s="106">
        <f t="shared" si="6"/>
        <v>387</v>
      </c>
      <c r="Y14" s="22">
        <f t="shared" si="7"/>
        <v>0.91992551210428308</v>
      </c>
      <c r="Z14" s="678">
        <v>45923</v>
      </c>
      <c r="AA14" s="355">
        <v>1</v>
      </c>
      <c r="AB14" s="355">
        <v>1</v>
      </c>
      <c r="AC14" s="645">
        <v>0</v>
      </c>
      <c r="AD14" s="413" t="s">
        <v>561</v>
      </c>
    </row>
    <row r="15" spans="1:30" ht="39.75" customHeight="1">
      <c r="A15" s="1373" t="s">
        <v>562</v>
      </c>
      <c r="B15" s="1204" t="s">
        <v>107</v>
      </c>
      <c r="C15" s="1203">
        <v>46010</v>
      </c>
      <c r="D15" s="1203" t="s">
        <v>139</v>
      </c>
      <c r="E15" s="1203">
        <v>45974</v>
      </c>
      <c r="F15" s="1204" t="s">
        <v>108</v>
      </c>
      <c r="G15" s="1204" t="s">
        <v>563</v>
      </c>
      <c r="H15" s="1205">
        <v>67</v>
      </c>
      <c r="I15" s="661" t="s">
        <v>365</v>
      </c>
      <c r="J15" s="1205" t="s">
        <v>63</v>
      </c>
      <c r="K15" s="1205"/>
      <c r="L15" s="1203">
        <v>45936</v>
      </c>
      <c r="M15" s="1205" t="s">
        <v>57</v>
      </c>
      <c r="N15" s="1206">
        <v>38192</v>
      </c>
      <c r="O15" s="1205" t="s">
        <v>57</v>
      </c>
      <c r="P15" s="1374" t="s">
        <v>366</v>
      </c>
      <c r="Q15" s="1208">
        <v>45936</v>
      </c>
      <c r="R15" s="1255"/>
      <c r="S15" s="1255"/>
      <c r="T15" s="1255"/>
      <c r="U15" s="486" t="s">
        <v>531</v>
      </c>
      <c r="V15" s="1209">
        <v>2845</v>
      </c>
      <c r="W15" s="1372">
        <v>2825</v>
      </c>
      <c r="X15" s="1209">
        <f t="shared" si="6"/>
        <v>20</v>
      </c>
      <c r="Y15" s="662">
        <f t="shared" si="7"/>
        <v>0.99297012302284715</v>
      </c>
      <c r="Z15" s="1228">
        <v>46002</v>
      </c>
      <c r="AA15" s="1211">
        <v>1</v>
      </c>
      <c r="AB15" s="355">
        <v>1</v>
      </c>
      <c r="AC15" s="645">
        <v>0</v>
      </c>
      <c r="AD15" s="1212" t="s">
        <v>564</v>
      </c>
    </row>
    <row r="16" spans="1:30" ht="39.75" customHeight="1">
      <c r="A16" s="842" t="s">
        <v>565</v>
      </c>
      <c r="B16" s="465" t="s">
        <v>107</v>
      </c>
      <c r="C16" s="476">
        <v>45930</v>
      </c>
      <c r="D16" s="467" t="s">
        <v>127</v>
      </c>
      <c r="E16" s="642">
        <v>45910</v>
      </c>
      <c r="F16" s="642" t="s">
        <v>158</v>
      </c>
      <c r="G16" s="682" t="s">
        <v>566</v>
      </c>
      <c r="H16" s="469">
        <v>67</v>
      </c>
      <c r="I16" s="661" t="s">
        <v>365</v>
      </c>
      <c r="J16" s="469" t="s">
        <v>63</v>
      </c>
      <c r="K16" s="469"/>
      <c r="L16" s="467">
        <v>45903</v>
      </c>
      <c r="M16" s="469" t="s">
        <v>57</v>
      </c>
      <c r="N16" s="542">
        <v>40406</v>
      </c>
      <c r="O16" s="469" t="s">
        <v>57</v>
      </c>
      <c r="P16" s="806" t="s">
        <v>366</v>
      </c>
      <c r="Q16" s="471">
        <v>45903</v>
      </c>
      <c r="R16" s="552"/>
      <c r="S16" s="552"/>
      <c r="T16" s="552"/>
      <c r="U16" s="486" t="s">
        <v>531</v>
      </c>
      <c r="V16" s="472">
        <v>3895</v>
      </c>
      <c r="W16" s="742">
        <v>3809</v>
      </c>
      <c r="X16" s="106">
        <f t="shared" si="6"/>
        <v>86</v>
      </c>
      <c r="Y16" s="657">
        <f t="shared" si="7"/>
        <v>0.97792041078305525</v>
      </c>
      <c r="Z16" s="678">
        <v>45924</v>
      </c>
      <c r="AA16" s="355">
        <v>1</v>
      </c>
      <c r="AB16" s="355">
        <v>1</v>
      </c>
      <c r="AC16" s="645">
        <v>0</v>
      </c>
      <c r="AD16" s="873" t="s">
        <v>567</v>
      </c>
    </row>
    <row r="17" spans="1:30" ht="39.75" customHeight="1">
      <c r="A17" s="1373" t="s">
        <v>568</v>
      </c>
      <c r="B17" s="1204" t="s">
        <v>107</v>
      </c>
      <c r="C17" s="1203">
        <v>46010</v>
      </c>
      <c r="D17" s="1203" t="s">
        <v>139</v>
      </c>
      <c r="E17" s="1203">
        <v>45974</v>
      </c>
      <c r="F17" s="1204" t="s">
        <v>108</v>
      </c>
      <c r="G17" s="1204" t="s">
        <v>569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531</v>
      </c>
      <c r="V17" s="1209">
        <v>2584</v>
      </c>
      <c r="W17" s="1372">
        <v>2584</v>
      </c>
      <c r="X17" s="1209">
        <f t="shared" si="6"/>
        <v>0</v>
      </c>
      <c r="Y17" s="662">
        <f t="shared" si="7"/>
        <v>1</v>
      </c>
      <c r="Z17" s="1228">
        <v>46000</v>
      </c>
      <c r="AA17" s="1211">
        <v>1</v>
      </c>
      <c r="AB17" s="355">
        <v>1</v>
      </c>
      <c r="AC17" s="645">
        <v>0</v>
      </c>
      <c r="AD17" s="1212" t="s">
        <v>570</v>
      </c>
    </row>
    <row r="18" spans="1:30" ht="39.75" customHeight="1">
      <c r="A18" s="1373" t="s">
        <v>571</v>
      </c>
      <c r="B18" s="1204" t="s">
        <v>107</v>
      </c>
      <c r="C18" s="1203">
        <v>46010</v>
      </c>
      <c r="D18" s="1203" t="s">
        <v>139</v>
      </c>
      <c r="E18" s="1203">
        <v>45974</v>
      </c>
      <c r="F18" s="1204" t="s">
        <v>108</v>
      </c>
      <c r="G18" s="1204" t="s">
        <v>572</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531</v>
      </c>
      <c r="V18" s="1209">
        <v>2027</v>
      </c>
      <c r="W18" s="1372">
        <v>2146</v>
      </c>
      <c r="X18" s="1209">
        <f t="shared" si="6"/>
        <v>-119</v>
      </c>
      <c r="Y18" s="862">
        <f t="shared" si="7"/>
        <v>1.0587074494326592</v>
      </c>
      <c r="Z18" s="1208">
        <v>45994</v>
      </c>
      <c r="AA18" s="1211">
        <v>1</v>
      </c>
      <c r="AB18" s="355">
        <v>1</v>
      </c>
      <c r="AC18" s="645">
        <v>0</v>
      </c>
      <c r="AD18" s="1212" t="s">
        <v>573</v>
      </c>
    </row>
    <row r="19" spans="1:30" ht="39.75" customHeight="1">
      <c r="A19" s="1373" t="s">
        <v>574</v>
      </c>
      <c r="B19" s="1204" t="s">
        <v>107</v>
      </c>
      <c r="C19" s="1203">
        <v>46006</v>
      </c>
      <c r="D19" s="1203" t="s">
        <v>127</v>
      </c>
      <c r="E19" s="1203">
        <v>45999</v>
      </c>
      <c r="F19" s="1204" t="s">
        <v>108</v>
      </c>
      <c r="G19" s="1204" t="s">
        <v>575</v>
      </c>
      <c r="H19" s="1205">
        <v>87</v>
      </c>
      <c r="I19" s="661" t="s">
        <v>365</v>
      </c>
      <c r="J19" s="1205" t="s">
        <v>63</v>
      </c>
      <c r="K19" s="469"/>
      <c r="L19" s="1203">
        <v>45999</v>
      </c>
      <c r="M19" s="1205" t="s">
        <v>57</v>
      </c>
      <c r="N19" s="1206">
        <v>74384</v>
      </c>
      <c r="O19" s="1205" t="s">
        <v>57</v>
      </c>
      <c r="P19" s="1374" t="s">
        <v>366</v>
      </c>
      <c r="Q19" s="1256">
        <v>45999</v>
      </c>
      <c r="R19" s="552"/>
      <c r="S19" s="552"/>
      <c r="T19" s="552"/>
      <c r="U19" s="486" t="s">
        <v>531</v>
      </c>
      <c r="V19" s="1209">
        <v>6130</v>
      </c>
      <c r="W19" s="1372">
        <v>5915</v>
      </c>
      <c r="X19" s="1209">
        <f t="shared" si="6"/>
        <v>215</v>
      </c>
      <c r="Y19" s="662">
        <f t="shared" si="7"/>
        <v>0.96492659053833607</v>
      </c>
      <c r="Z19" s="1228">
        <v>46006</v>
      </c>
      <c r="AA19" s="1211">
        <v>1</v>
      </c>
      <c r="AB19" s="1211">
        <v>1</v>
      </c>
      <c r="AC19" s="645">
        <v>0</v>
      </c>
      <c r="AD19" s="1212" t="s">
        <v>576</v>
      </c>
    </row>
    <row r="20" spans="1:30" ht="39.75" customHeight="1">
      <c r="A20" s="929" t="s">
        <v>577</v>
      </c>
      <c r="B20" s="465" t="s">
        <v>107</v>
      </c>
      <c r="C20" s="467">
        <v>46006</v>
      </c>
      <c r="D20" s="467" t="s">
        <v>127</v>
      </c>
      <c r="E20" s="467">
        <v>45979</v>
      </c>
      <c r="F20" s="465" t="s">
        <v>158</v>
      </c>
      <c r="G20" s="682" t="s">
        <v>578</v>
      </c>
      <c r="H20" s="469">
        <v>28</v>
      </c>
      <c r="I20" s="661" t="s">
        <v>365</v>
      </c>
      <c r="J20" s="469" t="s">
        <v>63</v>
      </c>
      <c r="K20" s="469"/>
      <c r="L20" s="467">
        <v>45979</v>
      </c>
      <c r="M20" s="469" t="s">
        <v>57</v>
      </c>
      <c r="N20" s="542">
        <v>29683</v>
      </c>
      <c r="O20" s="469" t="s">
        <v>57</v>
      </c>
      <c r="P20" s="806" t="s">
        <v>366</v>
      </c>
      <c r="Q20" s="1001">
        <v>45979</v>
      </c>
      <c r="R20" s="552"/>
      <c r="S20" s="552"/>
      <c r="T20" s="552"/>
      <c r="U20" s="486" t="s">
        <v>531</v>
      </c>
      <c r="V20" s="472">
        <v>2416</v>
      </c>
      <c r="W20" s="742">
        <v>2533</v>
      </c>
      <c r="X20" s="472">
        <f t="shared" si="6"/>
        <v>-117</v>
      </c>
      <c r="Y20" s="862">
        <f t="shared" si="7"/>
        <v>1.0484271523178808</v>
      </c>
      <c r="Z20" s="471">
        <v>45994</v>
      </c>
      <c r="AA20" s="355">
        <v>1</v>
      </c>
      <c r="AB20" s="355">
        <v>1</v>
      </c>
      <c r="AC20" s="645">
        <v>0</v>
      </c>
      <c r="AD20" s="474" t="s">
        <v>579</v>
      </c>
    </row>
    <row r="21" spans="1:30" ht="39.75" customHeight="1">
      <c r="A21" s="929" t="s">
        <v>580</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531</v>
      </c>
      <c r="V21" s="472">
        <v>2071</v>
      </c>
      <c r="W21" s="742">
        <v>2072</v>
      </c>
      <c r="X21" s="472">
        <f>SUM(V21-W21)</f>
        <v>-1</v>
      </c>
      <c r="Y21" s="662">
        <f t="shared" ref="Y21" si="8">IFERROR($W21/$V21, 0)</f>
        <v>1.000482858522453</v>
      </c>
      <c r="Z21" s="479">
        <v>45958</v>
      </c>
      <c r="AA21" s="355">
        <v>1</v>
      </c>
      <c r="AB21" s="355">
        <v>1</v>
      </c>
      <c r="AC21" s="787">
        <v>0</v>
      </c>
      <c r="AD21" s="474" t="s">
        <v>581</v>
      </c>
    </row>
    <row r="22" spans="1:30" ht="39.75" customHeight="1">
      <c r="A22" s="845" t="s">
        <v>582</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531</v>
      </c>
      <c r="V22" s="472">
        <v>5653</v>
      </c>
      <c r="W22" s="742">
        <v>5653</v>
      </c>
      <c r="X22" s="106">
        <f t="shared" si="6"/>
        <v>0</v>
      </c>
      <c r="Y22" s="657">
        <f t="shared" si="7"/>
        <v>1</v>
      </c>
      <c r="Z22" s="678">
        <v>45932</v>
      </c>
      <c r="AA22" s="355">
        <v>1</v>
      </c>
      <c r="AB22" s="355">
        <v>1</v>
      </c>
      <c r="AC22" s="787">
        <v>0</v>
      </c>
      <c r="AD22" s="873" t="s">
        <v>583</v>
      </c>
    </row>
    <row r="23" spans="1:30" ht="39.75" customHeight="1">
      <c r="A23" s="842" t="s">
        <v>584</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531</v>
      </c>
      <c r="V23" s="472">
        <v>2188</v>
      </c>
      <c r="W23" s="742">
        <v>2278</v>
      </c>
      <c r="X23" s="106">
        <f>SUM(V23-W23)</f>
        <v>-90</v>
      </c>
      <c r="Y23" s="657">
        <f>IFERROR($W23/$V23, 0)</f>
        <v>1.0411334552102376</v>
      </c>
      <c r="Z23" s="678">
        <v>45931</v>
      </c>
      <c r="AA23" s="355">
        <v>1</v>
      </c>
      <c r="AB23" s="355">
        <v>1</v>
      </c>
      <c r="AC23" s="787">
        <v>0</v>
      </c>
      <c r="AD23" s="873" t="s">
        <v>585</v>
      </c>
    </row>
    <row r="24" spans="1:30" ht="39.75" customHeight="1">
      <c r="A24" s="929" t="s">
        <v>586</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531</v>
      </c>
      <c r="V24" s="472">
        <v>3378</v>
      </c>
      <c r="W24" s="742">
        <v>3372</v>
      </c>
      <c r="X24" s="472">
        <f>SUM(V24-W24)</f>
        <v>6</v>
      </c>
      <c r="Y24" s="662">
        <f t="shared" ref="Y24" si="9">IFERROR($W24/$V24, 0)</f>
        <v>0.9982238010657194</v>
      </c>
      <c r="Z24" s="479">
        <v>45958</v>
      </c>
      <c r="AA24" s="355">
        <v>1</v>
      </c>
      <c r="AB24" s="355">
        <v>1</v>
      </c>
      <c r="AC24" s="787">
        <v>0</v>
      </c>
      <c r="AD24" s="952" t="s">
        <v>587</v>
      </c>
    </row>
    <row r="25" spans="1:30" ht="39.75" customHeight="1">
      <c r="A25" s="929" t="s">
        <v>588</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531</v>
      </c>
      <c r="V25" s="416">
        <v>2874</v>
      </c>
      <c r="W25" s="951">
        <v>2875</v>
      </c>
      <c r="X25" s="106">
        <f t="shared" ref="X25:X30" si="10">SUM(V25-W25)</f>
        <v>-1</v>
      </c>
      <c r="Y25" s="657">
        <f t="shared" ref="Y25:Y30" si="11">IFERROR($W25/$V25, 0)</f>
        <v>1.0003479471120389</v>
      </c>
      <c r="Z25" s="678">
        <v>45944</v>
      </c>
      <c r="AA25" s="355">
        <v>1</v>
      </c>
      <c r="AB25" s="355">
        <v>1</v>
      </c>
      <c r="AC25" s="472">
        <v>0</v>
      </c>
      <c r="AD25" s="170" t="s">
        <v>589</v>
      </c>
    </row>
    <row r="26" spans="1:30" ht="39.75" customHeight="1">
      <c r="A26" s="929" t="s">
        <v>590</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531</v>
      </c>
      <c r="V26" s="472">
        <v>2527</v>
      </c>
      <c r="W26" s="742">
        <v>2647</v>
      </c>
      <c r="X26" s="472">
        <f t="shared" si="10"/>
        <v>-120</v>
      </c>
      <c r="Y26" s="662">
        <f t="shared" si="11"/>
        <v>1.0474871388998812</v>
      </c>
      <c r="Z26" s="479">
        <v>45973</v>
      </c>
      <c r="AA26" s="355">
        <v>1</v>
      </c>
      <c r="AB26" s="355">
        <v>1</v>
      </c>
      <c r="AC26" s="787">
        <v>0</v>
      </c>
      <c r="AD26" s="436" t="s">
        <v>591</v>
      </c>
    </row>
    <row r="27" spans="1:30" ht="39.75" customHeight="1">
      <c r="A27" s="929" t="s">
        <v>592</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531</v>
      </c>
      <c r="V27" s="472">
        <v>4141</v>
      </c>
      <c r="W27" s="742">
        <v>4316</v>
      </c>
      <c r="X27" s="472">
        <f t="shared" si="10"/>
        <v>-175</v>
      </c>
      <c r="Y27" s="662">
        <f t="shared" si="11"/>
        <v>1.042260323593335</v>
      </c>
      <c r="Z27" s="479">
        <v>45964</v>
      </c>
      <c r="AA27" s="355">
        <v>1</v>
      </c>
      <c r="AB27" s="355">
        <v>1</v>
      </c>
      <c r="AC27" s="787">
        <v>0</v>
      </c>
      <c r="AD27" s="436" t="s">
        <v>593</v>
      </c>
    </row>
    <row r="28" spans="1:30" ht="39.75" customHeight="1">
      <c r="A28" s="929" t="s">
        <v>594</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531</v>
      </c>
      <c r="V28" s="472">
        <v>6240</v>
      </c>
      <c r="W28" s="742">
        <v>6203</v>
      </c>
      <c r="X28" s="472">
        <f t="shared" si="10"/>
        <v>37</v>
      </c>
      <c r="Y28" s="662">
        <f t="shared" si="11"/>
        <v>0.99407051282051284</v>
      </c>
      <c r="Z28" s="479">
        <v>45951</v>
      </c>
      <c r="AA28" s="355">
        <v>1</v>
      </c>
      <c r="AB28" s="355">
        <v>1</v>
      </c>
      <c r="AC28" s="645">
        <v>0</v>
      </c>
      <c r="AD28" s="1067" t="s">
        <v>595</v>
      </c>
    </row>
    <row r="29" spans="1:30" ht="39.75" customHeight="1">
      <c r="A29" s="929" t="s">
        <v>596</v>
      </c>
      <c r="B29" s="465" t="s">
        <v>107</v>
      </c>
      <c r="C29" s="467">
        <v>45991</v>
      </c>
      <c r="D29" s="467" t="s">
        <v>127</v>
      </c>
      <c r="E29" s="467">
        <v>45966</v>
      </c>
      <c r="F29" s="465" t="s">
        <v>108</v>
      </c>
      <c r="G29" s="468" t="s">
        <v>597</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531</v>
      </c>
      <c r="V29" s="472">
        <v>5654</v>
      </c>
      <c r="W29" s="742">
        <v>5646</v>
      </c>
      <c r="X29" s="472">
        <f t="shared" si="10"/>
        <v>8</v>
      </c>
      <c r="Y29" s="662">
        <f t="shared" si="11"/>
        <v>0.99858507251503359</v>
      </c>
      <c r="Z29" s="479">
        <v>45978</v>
      </c>
      <c r="AA29" s="355">
        <v>1</v>
      </c>
      <c r="AB29" s="355">
        <v>1</v>
      </c>
      <c r="AC29" s="787">
        <v>0</v>
      </c>
      <c r="AD29" s="474" t="s">
        <v>598</v>
      </c>
    </row>
    <row r="30" spans="1:30" ht="39.75" customHeight="1">
      <c r="A30" s="929" t="s">
        <v>599</v>
      </c>
      <c r="B30" s="465" t="s">
        <v>107</v>
      </c>
      <c r="C30" s="467">
        <v>46001</v>
      </c>
      <c r="D30" s="467" t="s">
        <v>127</v>
      </c>
      <c r="E30" s="467">
        <v>45966</v>
      </c>
      <c r="F30" s="465" t="s">
        <v>108</v>
      </c>
      <c r="G30" s="682" t="s">
        <v>600</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531</v>
      </c>
      <c r="V30" s="472">
        <v>6025</v>
      </c>
      <c r="W30" s="742">
        <v>6130</v>
      </c>
      <c r="X30" s="472">
        <f t="shared" si="10"/>
        <v>-105</v>
      </c>
      <c r="Y30" s="662">
        <f t="shared" si="11"/>
        <v>1.0174273858921161</v>
      </c>
      <c r="Z30" s="479">
        <v>45985</v>
      </c>
      <c r="AA30" s="355">
        <v>1</v>
      </c>
      <c r="AB30" s="355">
        <v>1</v>
      </c>
      <c r="AC30" s="787">
        <v>0</v>
      </c>
      <c r="AD30" s="474" t="s">
        <v>601</v>
      </c>
    </row>
    <row r="31" spans="1:30" ht="39.75" customHeight="1">
      <c r="A31" s="929" t="s">
        <v>602</v>
      </c>
      <c r="B31" s="465" t="s">
        <v>107</v>
      </c>
      <c r="C31" s="467">
        <v>45991</v>
      </c>
      <c r="D31" s="467" t="s">
        <v>127</v>
      </c>
      <c r="E31" s="467">
        <v>45966</v>
      </c>
      <c r="F31" s="465" t="s">
        <v>140</v>
      </c>
      <c r="G31" s="682" t="s">
        <v>603</v>
      </c>
      <c r="H31" s="469">
        <v>75</v>
      </c>
      <c r="I31" s="661" t="s">
        <v>365</v>
      </c>
      <c r="J31" s="469" t="s">
        <v>63</v>
      </c>
      <c r="K31" s="469"/>
      <c r="L31" s="467">
        <v>45967</v>
      </c>
      <c r="M31" s="469" t="s">
        <v>57</v>
      </c>
      <c r="N31" s="542">
        <v>60620</v>
      </c>
      <c r="O31" s="469" t="s">
        <v>57</v>
      </c>
      <c r="P31" s="1427" t="s">
        <v>366</v>
      </c>
      <c r="Q31" s="347">
        <v>45967</v>
      </c>
      <c r="R31" s="1342"/>
      <c r="S31" s="1004"/>
      <c r="T31" s="552"/>
      <c r="U31" s="486" t="s">
        <v>531</v>
      </c>
      <c r="V31" s="472">
        <v>4814</v>
      </c>
      <c r="W31" s="742">
        <v>4708</v>
      </c>
      <c r="X31" s="472">
        <f>SUM(V31-W31)</f>
        <v>106</v>
      </c>
      <c r="Y31" s="862">
        <f>IFERROR($W31/$V31, 0)</f>
        <v>0.97798088907353553</v>
      </c>
      <c r="Z31" s="479">
        <v>45986</v>
      </c>
      <c r="AA31" s="355">
        <v>1</v>
      </c>
      <c r="AB31" s="355">
        <v>1</v>
      </c>
      <c r="AC31" s="787">
        <v>0</v>
      </c>
      <c r="AD31" s="757" t="s">
        <v>604</v>
      </c>
    </row>
    <row r="32" spans="1:30" ht="39.75" customHeight="1">
      <c r="A32" s="1373" t="s">
        <v>605</v>
      </c>
      <c r="B32" s="1204" t="s">
        <v>107</v>
      </c>
      <c r="C32" s="1203">
        <v>46001</v>
      </c>
      <c r="D32" s="1203" t="s">
        <v>127</v>
      </c>
      <c r="E32" s="1203">
        <v>46009</v>
      </c>
      <c r="F32" s="1204" t="s">
        <v>108</v>
      </c>
      <c r="G32" s="1204" t="s">
        <v>606</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531</v>
      </c>
      <c r="V32" s="1209">
        <v>1111</v>
      </c>
      <c r="W32" s="1372">
        <v>1188</v>
      </c>
      <c r="X32" s="1209">
        <f t="shared" ref="X32:X33" si="12">SUM(V32-W32)</f>
        <v>-77</v>
      </c>
      <c r="Y32" s="662">
        <f t="shared" ref="Y32:Y33" si="13">IFERROR($W32/$V32, 0)</f>
        <v>1.0693069306930694</v>
      </c>
      <c r="Z32" s="1228">
        <v>46020</v>
      </c>
      <c r="AA32" s="355">
        <v>1</v>
      </c>
      <c r="AB32" s="355">
        <v>1</v>
      </c>
      <c r="AC32" s="645">
        <v>0</v>
      </c>
      <c r="AD32" s="1212" t="s">
        <v>607</v>
      </c>
    </row>
    <row r="33" spans="1:30" ht="39.75" customHeight="1">
      <c r="A33" s="1373" t="s">
        <v>608</v>
      </c>
      <c r="B33" s="1204" t="s">
        <v>107</v>
      </c>
      <c r="C33" s="1203">
        <v>46001</v>
      </c>
      <c r="D33" s="1203" t="s">
        <v>127</v>
      </c>
      <c r="E33" s="1203">
        <v>46009</v>
      </c>
      <c r="F33" s="1204" t="s">
        <v>108</v>
      </c>
      <c r="G33" s="1204" t="s">
        <v>609</v>
      </c>
      <c r="H33" s="1205">
        <v>56</v>
      </c>
      <c r="I33" s="661" t="s">
        <v>365</v>
      </c>
      <c r="J33" s="1205" t="s">
        <v>63</v>
      </c>
      <c r="K33" s="1205"/>
      <c r="L33" s="1203">
        <v>45965</v>
      </c>
      <c r="M33" s="1205" t="s">
        <v>57</v>
      </c>
      <c r="N33" s="1206">
        <v>20705</v>
      </c>
      <c r="O33" s="1205" t="s">
        <v>57</v>
      </c>
      <c r="P33" s="1374" t="s">
        <v>366</v>
      </c>
      <c r="Q33" s="1208">
        <v>45965</v>
      </c>
      <c r="R33" s="1255"/>
      <c r="S33" s="1255"/>
      <c r="T33" s="1255"/>
      <c r="U33" s="486" t="s">
        <v>531</v>
      </c>
      <c r="V33" s="1209">
        <v>900</v>
      </c>
      <c r="W33" s="1372">
        <v>900</v>
      </c>
      <c r="X33" s="1209">
        <f t="shared" si="12"/>
        <v>0</v>
      </c>
      <c r="Y33" s="662">
        <f t="shared" si="13"/>
        <v>1</v>
      </c>
      <c r="Z33" s="1228">
        <v>46020</v>
      </c>
      <c r="AA33" s="1211">
        <v>1</v>
      </c>
      <c r="AB33" s="355">
        <v>1</v>
      </c>
      <c r="AC33" s="645">
        <v>0</v>
      </c>
      <c r="AD33" s="1212" t="s">
        <v>610</v>
      </c>
    </row>
    <row r="34" spans="1:30" ht="39.75" customHeight="1">
      <c r="A34" s="842" t="s">
        <v>611</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7" t="s">
        <v>366</v>
      </c>
      <c r="Q34" s="166">
        <v>45902</v>
      </c>
      <c r="R34" s="347"/>
      <c r="S34" s="471"/>
      <c r="T34" s="124"/>
      <c r="U34" s="87" t="s">
        <v>531</v>
      </c>
      <c r="V34" s="646">
        <v>328</v>
      </c>
      <c r="W34" s="742">
        <v>335</v>
      </c>
      <c r="X34" s="472">
        <f t="shared" si="6"/>
        <v>-7</v>
      </c>
      <c r="Y34" s="473">
        <f t="shared" si="7"/>
        <v>1.0213414634146341</v>
      </c>
      <c r="Z34" s="479">
        <v>45922</v>
      </c>
      <c r="AA34" s="355">
        <v>1</v>
      </c>
      <c r="AB34" s="355">
        <v>1</v>
      </c>
      <c r="AC34" s="472">
        <v>0</v>
      </c>
      <c r="AD34" s="757" t="s">
        <v>612</v>
      </c>
    </row>
    <row r="35" spans="1:30" ht="39.75" customHeight="1">
      <c r="A35" s="854" t="s">
        <v>613</v>
      </c>
      <c r="B35" s="681" t="s">
        <v>107</v>
      </c>
      <c r="C35" s="467">
        <v>45975</v>
      </c>
      <c r="D35" s="467" t="s">
        <v>614</v>
      </c>
      <c r="E35" s="467">
        <v>45982</v>
      </c>
      <c r="F35" s="642" t="s">
        <v>108</v>
      </c>
      <c r="G35" s="682" t="s">
        <v>615</v>
      </c>
      <c r="H35" s="469">
        <v>0</v>
      </c>
      <c r="I35" s="469" t="s">
        <v>365</v>
      </c>
      <c r="J35" s="469" t="s">
        <v>63</v>
      </c>
      <c r="K35" s="469"/>
      <c r="L35" s="467">
        <v>45968</v>
      </c>
      <c r="M35" s="469" t="s">
        <v>57</v>
      </c>
      <c r="N35" s="542">
        <v>12840.7</v>
      </c>
      <c r="O35" s="469" t="s">
        <v>57</v>
      </c>
      <c r="P35" s="806" t="s">
        <v>366</v>
      </c>
      <c r="Q35" s="124">
        <v>45937</v>
      </c>
      <c r="R35" s="347"/>
      <c r="S35" s="471"/>
      <c r="T35" s="193"/>
      <c r="U35" s="87" t="s">
        <v>531</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616</v>
      </c>
      <c r="B36" s="1204" t="s">
        <v>107</v>
      </c>
      <c r="C36" s="1203">
        <v>46031</v>
      </c>
      <c r="D36" s="1203" t="s">
        <v>127</v>
      </c>
      <c r="E36" s="1203">
        <v>46002</v>
      </c>
      <c r="F36" s="1204" t="s">
        <v>140</v>
      </c>
      <c r="G36" s="1204" t="s">
        <v>617</v>
      </c>
      <c r="H36" s="1205">
        <v>0</v>
      </c>
      <c r="I36" s="1205" t="s">
        <v>365</v>
      </c>
      <c r="J36" s="1205" t="s">
        <v>63</v>
      </c>
      <c r="K36" s="469"/>
      <c r="L36" s="1203" t="s">
        <v>155</v>
      </c>
      <c r="M36" s="1205" t="s">
        <v>57</v>
      </c>
      <c r="N36" s="1206">
        <v>23475.5</v>
      </c>
      <c r="O36" s="1271" t="s">
        <v>57</v>
      </c>
      <c r="P36" s="1433" t="s">
        <v>366</v>
      </c>
      <c r="Q36" s="1256">
        <v>45999</v>
      </c>
      <c r="R36" s="124"/>
      <c r="S36" s="124"/>
      <c r="T36" s="193"/>
      <c r="U36" s="87" t="s">
        <v>531</v>
      </c>
      <c r="V36" s="1430">
        <v>1890</v>
      </c>
      <c r="W36" s="1426">
        <v>2048</v>
      </c>
      <c r="X36" s="1267">
        <f>SUM(V36-W36)</f>
        <v>-158</v>
      </c>
      <c r="Y36" s="1365">
        <f t="shared" si="7"/>
        <v>1.0835978835978837</v>
      </c>
      <c r="Z36" s="1228">
        <v>46009</v>
      </c>
      <c r="AA36" s="1211">
        <v>1</v>
      </c>
      <c r="AB36" s="355">
        <v>1</v>
      </c>
      <c r="AC36" s="645">
        <v>0</v>
      </c>
      <c r="AD36" s="1212" t="s">
        <v>618</v>
      </c>
    </row>
    <row r="37" spans="1:30" ht="39.75" customHeight="1">
      <c r="A37" s="1373" t="s">
        <v>619</v>
      </c>
      <c r="B37" s="1204" t="s">
        <v>107</v>
      </c>
      <c r="C37" s="1203">
        <v>46003</v>
      </c>
      <c r="D37" s="1203" t="s">
        <v>127</v>
      </c>
      <c r="E37" s="1203">
        <v>46002</v>
      </c>
      <c r="F37" s="1204" t="s">
        <v>140</v>
      </c>
      <c r="G37" s="1204"/>
      <c r="H37" s="1205">
        <v>0</v>
      </c>
      <c r="I37" s="1205" t="s">
        <v>365</v>
      </c>
      <c r="J37" s="1205" t="s">
        <v>63</v>
      </c>
      <c r="K37" s="1205"/>
      <c r="L37" s="1203" t="s">
        <v>155</v>
      </c>
      <c r="M37" s="1205" t="s">
        <v>57</v>
      </c>
      <c r="N37" s="1206">
        <v>11500.3</v>
      </c>
      <c r="O37" s="1271" t="s">
        <v>57</v>
      </c>
      <c r="P37" s="1433" t="s">
        <v>366</v>
      </c>
      <c r="Q37" s="1256">
        <v>45994</v>
      </c>
      <c r="R37" s="1256"/>
      <c r="S37" s="1256"/>
      <c r="T37" s="1435"/>
      <c r="U37" s="1102" t="s">
        <v>531</v>
      </c>
      <c r="V37" s="1132">
        <v>908</v>
      </c>
      <c r="W37" s="1431">
        <v>925</v>
      </c>
      <c r="X37" s="1366">
        <f>SUM(V37-W37)</f>
        <v>-17</v>
      </c>
      <c r="Y37" s="662">
        <f t="shared" si="7"/>
        <v>1.0187224669603525</v>
      </c>
      <c r="Z37" s="1228">
        <v>46013</v>
      </c>
      <c r="AA37" s="1211">
        <v>1</v>
      </c>
      <c r="AB37" s="355">
        <v>1</v>
      </c>
      <c r="AC37" s="645">
        <v>0</v>
      </c>
      <c r="AD37" s="1212" t="s">
        <v>620</v>
      </c>
    </row>
    <row r="38" spans="1:30" ht="39.75" customHeight="1">
      <c r="A38" s="929" t="s">
        <v>621</v>
      </c>
      <c r="B38" s="465" t="s">
        <v>107</v>
      </c>
      <c r="C38" s="476">
        <v>45991</v>
      </c>
      <c r="D38" s="467" t="s">
        <v>197</v>
      </c>
      <c r="E38" s="467">
        <v>45953</v>
      </c>
      <c r="F38" s="465" t="s">
        <v>140</v>
      </c>
      <c r="G38" s="682" t="s">
        <v>622</v>
      </c>
      <c r="H38" s="469">
        <v>0</v>
      </c>
      <c r="I38" s="469" t="s">
        <v>365</v>
      </c>
      <c r="J38" s="469" t="s">
        <v>63</v>
      </c>
      <c r="K38" s="469"/>
      <c r="L38" s="467" t="s">
        <v>155</v>
      </c>
      <c r="M38" s="469" t="s">
        <v>57</v>
      </c>
      <c r="N38" s="542">
        <v>51970</v>
      </c>
      <c r="O38" s="87" t="s">
        <v>57</v>
      </c>
      <c r="P38" s="1434" t="s">
        <v>366</v>
      </c>
      <c r="Q38" s="124">
        <v>45953</v>
      </c>
      <c r="R38" s="124"/>
      <c r="S38" s="124"/>
      <c r="T38" s="652"/>
      <c r="U38" s="486" t="s">
        <v>531</v>
      </c>
      <c r="V38" s="963">
        <v>4544</v>
      </c>
      <c r="W38" s="852">
        <v>4569</v>
      </c>
      <c r="X38" s="472">
        <f>SUM(V38-W38)</f>
        <v>-25</v>
      </c>
      <c r="Y38" s="662">
        <f>IFERROR($W38/$V38, 0)</f>
        <v>1.0055017605633803</v>
      </c>
      <c r="Z38" s="479">
        <v>45960</v>
      </c>
      <c r="AA38" s="355">
        <v>1</v>
      </c>
      <c r="AB38" s="355">
        <v>0</v>
      </c>
      <c r="AC38" s="472">
        <v>0</v>
      </c>
      <c r="AD38" s="1152" t="s">
        <v>623</v>
      </c>
    </row>
    <row r="39" spans="1:30" ht="39.75" customHeight="1">
      <c r="A39" s="929" t="s">
        <v>624</v>
      </c>
      <c r="B39" s="681" t="s">
        <v>107</v>
      </c>
      <c r="C39" s="476">
        <v>45991</v>
      </c>
      <c r="D39" s="467" t="s">
        <v>197</v>
      </c>
      <c r="E39" s="467">
        <v>45961</v>
      </c>
      <c r="F39" s="465" t="s">
        <v>108</v>
      </c>
      <c r="G39" s="682"/>
      <c r="H39" s="469">
        <v>0</v>
      </c>
      <c r="I39" s="469" t="s">
        <v>365</v>
      </c>
      <c r="J39" s="469" t="s">
        <v>63</v>
      </c>
      <c r="K39" s="469"/>
      <c r="L39" s="467" t="s">
        <v>155</v>
      </c>
      <c r="M39" s="469" t="s">
        <v>57</v>
      </c>
      <c r="N39" s="542">
        <v>39221.800000000003</v>
      </c>
      <c r="O39" s="1432" t="s">
        <v>57</v>
      </c>
      <c r="P39" s="1343" t="s">
        <v>366</v>
      </c>
      <c r="Q39" s="1428">
        <v>45950</v>
      </c>
      <c r="R39" s="1429"/>
      <c r="S39" s="1001"/>
      <c r="T39" s="471"/>
      <c r="U39" s="486" t="s">
        <v>531</v>
      </c>
      <c r="V39" s="416">
        <v>3078</v>
      </c>
      <c r="W39" s="951">
        <v>3272</v>
      </c>
      <c r="X39" s="472">
        <f t="shared" si="6"/>
        <v>-194</v>
      </c>
      <c r="Y39" s="662">
        <f t="shared" si="7"/>
        <v>1.0630279402209226</v>
      </c>
      <c r="Z39" s="479">
        <v>45966</v>
      </c>
      <c r="AA39" s="355">
        <v>1</v>
      </c>
      <c r="AB39" s="355">
        <v>1</v>
      </c>
      <c r="AC39" s="472">
        <v>0</v>
      </c>
      <c r="AD39" s="170" t="s">
        <v>625</v>
      </c>
    </row>
    <row r="40" spans="1:30" ht="39.75" customHeight="1">
      <c r="A40" s="929" t="s">
        <v>626</v>
      </c>
      <c r="B40" s="465" t="s">
        <v>107</v>
      </c>
      <c r="C40" s="467">
        <v>45996</v>
      </c>
      <c r="D40" s="467" t="s">
        <v>433</v>
      </c>
      <c r="E40" s="467">
        <v>45958</v>
      </c>
      <c r="F40" s="465" t="s">
        <v>140</v>
      </c>
      <c r="G40" s="468" t="s">
        <v>627</v>
      </c>
      <c r="H40" s="469">
        <v>303</v>
      </c>
      <c r="I40" s="661" t="s">
        <v>365</v>
      </c>
      <c r="J40" s="469" t="s">
        <v>56</v>
      </c>
      <c r="K40" s="469"/>
      <c r="L40" s="467">
        <v>45953</v>
      </c>
      <c r="M40" s="469" t="s">
        <v>57</v>
      </c>
      <c r="N40" s="542">
        <v>168480.8</v>
      </c>
      <c r="O40" s="469" t="s">
        <v>57</v>
      </c>
      <c r="P40" s="806" t="s">
        <v>366</v>
      </c>
      <c r="Q40" s="471">
        <v>45953</v>
      </c>
      <c r="R40" s="471"/>
      <c r="S40" s="471"/>
      <c r="T40" s="471"/>
      <c r="U40" s="486" t="s">
        <v>531</v>
      </c>
      <c r="V40" s="472">
        <v>13760</v>
      </c>
      <c r="W40" s="742">
        <v>13760</v>
      </c>
      <c r="X40" s="106">
        <f t="shared" si="6"/>
        <v>0</v>
      </c>
      <c r="Y40" s="657">
        <f t="shared" si="7"/>
        <v>1</v>
      </c>
      <c r="Z40" s="678">
        <v>45978</v>
      </c>
      <c r="AA40" s="355">
        <v>1</v>
      </c>
      <c r="AB40" s="355">
        <v>1</v>
      </c>
      <c r="AC40" s="472">
        <v>0</v>
      </c>
      <c r="AD40" s="757" t="s">
        <v>628</v>
      </c>
    </row>
    <row r="41" spans="1:30" ht="39.75" customHeight="1">
      <c r="A41" s="842" t="s">
        <v>629</v>
      </c>
      <c r="B41" s="465" t="s">
        <v>107</v>
      </c>
      <c r="C41" s="476">
        <v>45960</v>
      </c>
      <c r="D41" s="467" t="s">
        <v>630</v>
      </c>
      <c r="E41" s="467">
        <v>45915</v>
      </c>
      <c r="F41" s="465" t="s">
        <v>631</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531</v>
      </c>
      <c r="V41" s="787">
        <v>14150</v>
      </c>
      <c r="W41" s="879">
        <v>15469</v>
      </c>
      <c r="X41" s="106">
        <f t="shared" si="6"/>
        <v>-1319</v>
      </c>
      <c r="Y41" s="657">
        <f t="shared" si="7"/>
        <v>1.0932155477031802</v>
      </c>
      <c r="Z41" s="678">
        <v>45926</v>
      </c>
      <c r="AA41" s="355">
        <v>1</v>
      </c>
      <c r="AB41" s="355">
        <v>1</v>
      </c>
      <c r="AC41" s="472">
        <v>0</v>
      </c>
      <c r="AD41" s="871" t="s">
        <v>632</v>
      </c>
    </row>
    <row r="42" spans="1:30" ht="39.75" customHeight="1">
      <c r="A42" s="929" t="s">
        <v>633</v>
      </c>
      <c r="B42" s="465" t="s">
        <v>107</v>
      </c>
      <c r="C42" s="476">
        <v>45930</v>
      </c>
      <c r="D42" s="467" t="s">
        <v>634</v>
      </c>
      <c r="E42" s="467">
        <v>45916</v>
      </c>
      <c r="F42" s="465" t="s">
        <v>108</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531</v>
      </c>
      <c r="V42" s="787">
        <v>2811</v>
      </c>
      <c r="W42" s="879">
        <v>2732</v>
      </c>
      <c r="X42" s="106">
        <f>SUM(V42-W42)</f>
        <v>79</v>
      </c>
      <c r="Y42" s="22">
        <f>IFERROR($W42/$V42, 0)</f>
        <v>0.97189612237637857</v>
      </c>
      <c r="Z42" s="678">
        <v>45922</v>
      </c>
      <c r="AA42" s="355">
        <v>1</v>
      </c>
      <c r="AB42" s="355">
        <v>1</v>
      </c>
      <c r="AC42" s="472">
        <v>0</v>
      </c>
      <c r="AD42" s="664" t="s">
        <v>635</v>
      </c>
    </row>
    <row r="43" spans="1:30" ht="39.75" customHeight="1">
      <c r="A43" s="842" t="s">
        <v>636</v>
      </c>
      <c r="B43" s="823" t="s">
        <v>50</v>
      </c>
      <c r="C43" s="642">
        <v>45838</v>
      </c>
      <c r="D43" s="475" t="s">
        <v>637</v>
      </c>
      <c r="E43" s="476">
        <v>45727</v>
      </c>
      <c r="F43" s="475" t="s">
        <v>61</v>
      </c>
      <c r="G43" s="846" t="s">
        <v>638</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531</v>
      </c>
      <c r="V43" s="847">
        <v>4979</v>
      </c>
      <c r="W43" s="742">
        <v>5020</v>
      </c>
      <c r="X43" s="472">
        <f t="shared" si="6"/>
        <v>-41</v>
      </c>
      <c r="Y43" s="662">
        <f t="shared" si="7"/>
        <v>1.0082345852580838</v>
      </c>
      <c r="Z43" s="479">
        <v>45741</v>
      </c>
      <c r="AA43" s="662">
        <v>1</v>
      </c>
      <c r="AB43" s="662">
        <v>1</v>
      </c>
      <c r="AC43" s="352">
        <v>0</v>
      </c>
      <c r="AD43" s="664" t="s">
        <v>639</v>
      </c>
    </row>
    <row r="44" spans="1:30" ht="39.75" customHeight="1">
      <c r="A44" s="927" t="s">
        <v>640</v>
      </c>
      <c r="B44" s="510" t="s">
        <v>50</v>
      </c>
      <c r="C44" s="496">
        <v>45772</v>
      </c>
      <c r="D44" s="511" t="s">
        <v>641</v>
      </c>
      <c r="E44" s="511">
        <v>45693</v>
      </c>
      <c r="F44" s="501" t="s">
        <v>61</v>
      </c>
      <c r="G44" s="512" t="s">
        <v>642</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531</v>
      </c>
      <c r="V44" s="493">
        <v>7980</v>
      </c>
      <c r="W44" s="741">
        <v>7901</v>
      </c>
      <c r="X44" s="106">
        <f t="shared" si="6"/>
        <v>79</v>
      </c>
      <c r="Y44" s="22">
        <f t="shared" si="7"/>
        <v>0.99010025062656637</v>
      </c>
      <c r="Z44" s="678">
        <v>45713</v>
      </c>
      <c r="AA44" s="473">
        <v>1</v>
      </c>
      <c r="AB44" s="473">
        <v>1</v>
      </c>
      <c r="AC44" s="815">
        <v>0</v>
      </c>
      <c r="AD44" s="173" t="s">
        <v>643</v>
      </c>
    </row>
    <row r="45" spans="1:30" ht="39.75" customHeight="1">
      <c r="A45" s="927" t="s">
        <v>644</v>
      </c>
      <c r="B45" s="510" t="s">
        <v>50</v>
      </c>
      <c r="C45" s="496">
        <v>45772</v>
      </c>
      <c r="D45" s="511" t="s">
        <v>641</v>
      </c>
      <c r="E45" s="511">
        <v>45698</v>
      </c>
      <c r="F45" s="496" t="s">
        <v>61</v>
      </c>
      <c r="G45" s="512" t="s">
        <v>645</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531</v>
      </c>
      <c r="V45" s="493">
        <v>7562</v>
      </c>
      <c r="W45" s="741">
        <v>7556</v>
      </c>
      <c r="X45" s="106">
        <f t="shared" si="6"/>
        <v>6</v>
      </c>
      <c r="Y45" s="22">
        <f t="shared" si="7"/>
        <v>0.99920655911134626</v>
      </c>
      <c r="Z45" s="678">
        <v>45709</v>
      </c>
      <c r="AA45" s="473">
        <v>1</v>
      </c>
      <c r="AB45" s="473">
        <v>1</v>
      </c>
      <c r="AC45" s="815">
        <v>0</v>
      </c>
      <c r="AD45" s="201" t="s">
        <v>646</v>
      </c>
    </row>
    <row r="46" spans="1:30" ht="39.75" customHeight="1">
      <c r="A46" s="848" t="s">
        <v>647</v>
      </c>
      <c r="B46" s="823" t="s">
        <v>50</v>
      </c>
      <c r="C46" s="476">
        <v>45772</v>
      </c>
      <c r="D46" s="476" t="s">
        <v>637</v>
      </c>
      <c r="E46" s="826">
        <v>45686</v>
      </c>
      <c r="F46" s="475" t="s">
        <v>61</v>
      </c>
      <c r="G46" s="849" t="s">
        <v>648</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531</v>
      </c>
      <c r="V46" s="851">
        <v>5005</v>
      </c>
      <c r="W46" s="852">
        <v>4996</v>
      </c>
      <c r="X46" s="472">
        <f t="shared" si="6"/>
        <v>9</v>
      </c>
      <c r="Y46" s="662">
        <f t="shared" si="7"/>
        <v>0.99820179820179822</v>
      </c>
      <c r="Z46" s="479">
        <v>45708</v>
      </c>
      <c r="AA46" s="662">
        <v>1</v>
      </c>
      <c r="AB46" s="662">
        <v>1</v>
      </c>
      <c r="AC46" s="815">
        <v>0</v>
      </c>
      <c r="AD46" s="853" t="s">
        <v>649</v>
      </c>
    </row>
    <row r="47" spans="1:30" ht="39.75" customHeight="1">
      <c r="A47" s="848" t="s">
        <v>650</v>
      </c>
      <c r="B47" s="823" t="s">
        <v>50</v>
      </c>
      <c r="C47" s="476">
        <v>45772</v>
      </c>
      <c r="D47" s="826" t="s">
        <v>651</v>
      </c>
      <c r="E47" s="826">
        <v>45694</v>
      </c>
      <c r="F47" s="826" t="s">
        <v>61</v>
      </c>
      <c r="G47" s="849" t="s">
        <v>652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531</v>
      </c>
      <c r="V47" s="847">
        <v>4979</v>
      </c>
      <c r="W47" s="852">
        <v>4984</v>
      </c>
      <c r="X47" s="472">
        <f t="shared" si="6"/>
        <v>-5</v>
      </c>
      <c r="Y47" s="662">
        <f t="shared" si="7"/>
        <v>1.0010042177144005</v>
      </c>
      <c r="Z47" s="479">
        <v>45714</v>
      </c>
      <c r="AA47" s="662">
        <v>1</v>
      </c>
      <c r="AB47" s="662">
        <v>1</v>
      </c>
      <c r="AC47" s="815">
        <v>0</v>
      </c>
      <c r="AD47" s="148" t="s">
        <v>653</v>
      </c>
    </row>
    <row r="48" spans="1:30" ht="39.75" customHeight="1">
      <c r="A48" s="1097" t="s">
        <v>654</v>
      </c>
      <c r="B48" s="378" t="s">
        <v>50</v>
      </c>
      <c r="C48" s="51">
        <v>45742</v>
      </c>
      <c r="D48" s="1086" t="s">
        <v>655</v>
      </c>
      <c r="E48" s="381">
        <v>45680</v>
      </c>
      <c r="F48" s="50" t="s">
        <v>61</v>
      </c>
      <c r="G48" s="572" t="s">
        <v>656</v>
      </c>
      <c r="H48" s="52">
        <v>79</v>
      </c>
      <c r="I48" s="1088" t="s">
        <v>523</v>
      </c>
      <c r="J48" s="977" t="s">
        <v>63</v>
      </c>
      <c r="K48" s="52"/>
      <c r="L48" s="374" t="s">
        <v>366</v>
      </c>
      <c r="M48" s="380" t="s">
        <v>57</v>
      </c>
      <c r="N48" s="1076">
        <v>64790.5</v>
      </c>
      <c r="O48" s="380" t="s">
        <v>57</v>
      </c>
      <c r="P48" s="1098" t="s">
        <v>366</v>
      </c>
      <c r="Q48" s="54">
        <v>45675</v>
      </c>
      <c r="R48" s="54">
        <v>45917</v>
      </c>
      <c r="S48" s="54">
        <v>45931</v>
      </c>
      <c r="T48" s="54"/>
      <c r="U48" s="486" t="s">
        <v>531</v>
      </c>
      <c r="V48" s="31">
        <v>4975</v>
      </c>
      <c r="W48" s="1099">
        <v>4975</v>
      </c>
      <c r="X48" s="106">
        <f t="shared" si="6"/>
        <v>0</v>
      </c>
      <c r="Y48" s="22">
        <f t="shared" si="7"/>
        <v>1</v>
      </c>
      <c r="Z48" s="195">
        <v>45680</v>
      </c>
      <c r="AA48" s="355">
        <v>0</v>
      </c>
      <c r="AB48" s="355">
        <v>0</v>
      </c>
      <c r="AC48" s="815">
        <v>0</v>
      </c>
      <c r="AD48" s="69" t="s">
        <v>657</v>
      </c>
    </row>
    <row r="49" spans="1:30" ht="39.75" customHeight="1">
      <c r="A49" s="842" t="s">
        <v>658</v>
      </c>
      <c r="B49" s="823" t="s">
        <v>50</v>
      </c>
      <c r="C49" s="467">
        <v>45960</v>
      </c>
      <c r="D49" s="465" t="s">
        <v>227</v>
      </c>
      <c r="E49" s="467">
        <v>45927</v>
      </c>
      <c r="F49" s="465" t="s">
        <v>521</v>
      </c>
      <c r="G49" s="682" t="s">
        <v>659</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531</v>
      </c>
      <c r="V49" s="472">
        <v>3242</v>
      </c>
      <c r="W49" s="742">
        <v>3228</v>
      </c>
      <c r="X49" s="981">
        <f t="shared" si="6"/>
        <v>14</v>
      </c>
      <c r="Y49" s="982">
        <f t="shared" si="7"/>
        <v>0.99568167797655771</v>
      </c>
      <c r="Z49" s="678">
        <v>45930</v>
      </c>
      <c r="AA49" s="355">
        <v>0</v>
      </c>
      <c r="AB49" s="355">
        <v>0</v>
      </c>
      <c r="AC49" s="787">
        <v>0</v>
      </c>
      <c r="AD49" s="880"/>
    </row>
    <row r="50" spans="1:30" ht="39.75" customHeight="1">
      <c r="A50" s="929" t="s">
        <v>660</v>
      </c>
      <c r="B50" s="823" t="s">
        <v>50</v>
      </c>
      <c r="C50" s="467">
        <v>45991</v>
      </c>
      <c r="D50" s="467" t="s">
        <v>71</v>
      </c>
      <c r="E50" s="476">
        <v>45743</v>
      </c>
      <c r="F50" s="475" t="s">
        <v>61</v>
      </c>
      <c r="G50" s="824" t="s">
        <v>661</v>
      </c>
      <c r="H50" s="478">
        <v>70</v>
      </c>
      <c r="I50" s="661" t="s">
        <v>365</v>
      </c>
      <c r="J50" s="469" t="s">
        <v>63</v>
      </c>
      <c r="K50" s="825"/>
      <c r="L50" s="476">
        <v>45741</v>
      </c>
      <c r="M50" s="469" t="s">
        <v>57</v>
      </c>
      <c r="N50" s="543">
        <v>67735.5</v>
      </c>
      <c r="O50" s="469" t="s">
        <v>57</v>
      </c>
      <c r="P50" s="806" t="s">
        <v>366</v>
      </c>
      <c r="Q50" s="479">
        <v>45779</v>
      </c>
      <c r="R50" s="479"/>
      <c r="S50" s="479"/>
      <c r="T50" s="479"/>
      <c r="U50" s="486" t="s">
        <v>531</v>
      </c>
      <c r="V50" s="41">
        <v>6152</v>
      </c>
      <c r="W50" s="742">
        <v>5723</v>
      </c>
      <c r="X50" s="106">
        <f>SUM(V50-W50)</f>
        <v>429</v>
      </c>
      <c r="Y50" s="657">
        <f>IFERROR($W50/$V50, 0)</f>
        <v>0.9302665799739922</v>
      </c>
      <c r="Z50" s="678">
        <v>45792</v>
      </c>
      <c r="AA50" s="355">
        <v>0</v>
      </c>
      <c r="AB50" s="355">
        <v>0</v>
      </c>
      <c r="AC50" s="645">
        <v>0</v>
      </c>
      <c r="AD50" s="353" t="s">
        <v>662</v>
      </c>
    </row>
    <row r="51" spans="1:30" ht="39.75" customHeight="1">
      <c r="A51" s="878" t="s">
        <v>663</v>
      </c>
      <c r="B51" s="823" t="s">
        <v>50</v>
      </c>
      <c r="C51" s="826">
        <v>45716</v>
      </c>
      <c r="D51" s="826" t="s">
        <v>71</v>
      </c>
      <c r="E51" s="826">
        <v>45701</v>
      </c>
      <c r="F51" s="475" t="s">
        <v>61</v>
      </c>
      <c r="G51" s="849" t="s">
        <v>536</v>
      </c>
      <c r="H51" s="828">
        <v>0</v>
      </c>
      <c r="I51" s="828" t="s">
        <v>366</v>
      </c>
      <c r="J51" s="828" t="s">
        <v>63</v>
      </c>
      <c r="K51" s="828"/>
      <c r="L51" s="826">
        <v>45705</v>
      </c>
      <c r="M51" s="828" t="s">
        <v>57</v>
      </c>
      <c r="N51" s="850">
        <v>1295</v>
      </c>
      <c r="O51" s="828" t="s">
        <v>57</v>
      </c>
      <c r="P51" s="806" t="s">
        <v>366</v>
      </c>
      <c r="Q51" s="513">
        <v>45706</v>
      </c>
      <c r="R51" s="513">
        <v>45826</v>
      </c>
      <c r="S51" s="513"/>
      <c r="T51" s="513"/>
      <c r="U51" s="486" t="s">
        <v>531</v>
      </c>
      <c r="V51" s="851">
        <v>153</v>
      </c>
      <c r="W51" s="741">
        <v>153</v>
      </c>
      <c r="X51" s="106">
        <f t="shared" si="6"/>
        <v>0</v>
      </c>
      <c r="Y51" s="657">
        <f t="shared" si="7"/>
        <v>1</v>
      </c>
      <c r="Z51" s="678">
        <v>45754</v>
      </c>
      <c r="AA51" s="473">
        <v>1</v>
      </c>
      <c r="AB51" s="473">
        <v>1</v>
      </c>
      <c r="AC51" s="815">
        <v>0</v>
      </c>
      <c r="AD51" s="173" t="s">
        <v>664</v>
      </c>
    </row>
    <row r="52" spans="1:30" ht="39.75" customHeight="1">
      <c r="A52" s="1451" t="s">
        <v>665</v>
      </c>
      <c r="B52" s="823" t="s">
        <v>50</v>
      </c>
      <c r="C52" s="887">
        <v>46008</v>
      </c>
      <c r="D52" s="1446" t="s">
        <v>666</v>
      </c>
      <c r="E52" s="57">
        <v>45938</v>
      </c>
      <c r="F52" s="771" t="s">
        <v>521</v>
      </c>
      <c r="G52" s="849"/>
      <c r="H52" s="775">
        <v>193</v>
      </c>
      <c r="I52" s="661" t="s">
        <v>365</v>
      </c>
      <c r="J52" s="469" t="s">
        <v>56</v>
      </c>
      <c r="K52" s="828"/>
      <c r="L52" s="826">
        <v>46303</v>
      </c>
      <c r="M52" s="1447" t="s">
        <v>57</v>
      </c>
      <c r="N52" s="1076">
        <v>86136</v>
      </c>
      <c r="O52" s="1447" t="s">
        <v>57</v>
      </c>
      <c r="P52" s="1448" t="s">
        <v>366</v>
      </c>
      <c r="Q52" s="54">
        <v>45938</v>
      </c>
      <c r="R52" s="677"/>
      <c r="S52" s="513"/>
      <c r="T52" s="513"/>
      <c r="U52" s="486" t="s">
        <v>531</v>
      </c>
      <c r="V52" s="851">
        <v>8306</v>
      </c>
      <c r="W52" s="741">
        <v>8306</v>
      </c>
      <c r="X52" s="1449">
        <v>0</v>
      </c>
      <c r="Y52" s="861">
        <v>1</v>
      </c>
      <c r="Z52" s="54">
        <v>45943</v>
      </c>
      <c r="AA52" s="1450">
        <v>1</v>
      </c>
      <c r="AB52" s="1450">
        <v>1</v>
      </c>
      <c r="AC52" s="815">
        <v>0</v>
      </c>
      <c r="AD52" s="173"/>
    </row>
    <row r="53" spans="1:30" ht="39.75" customHeight="1">
      <c r="A53" s="842" t="s">
        <v>667</v>
      </c>
      <c r="B53" s="788" t="s">
        <v>50</v>
      </c>
      <c r="C53" s="887">
        <v>46008</v>
      </c>
      <c r="D53" s="1087" t="s">
        <v>668</v>
      </c>
      <c r="E53" s="57">
        <v>45952</v>
      </c>
      <c r="F53" s="771" t="s">
        <v>521</v>
      </c>
      <c r="G53" s="789"/>
      <c r="H53" s="775">
        <v>139</v>
      </c>
      <c r="I53" s="661" t="s">
        <v>365</v>
      </c>
      <c r="J53" s="469" t="s">
        <v>56</v>
      </c>
      <c r="K53" s="775"/>
      <c r="L53" s="57" t="s">
        <v>52</v>
      </c>
      <c r="M53" s="977" t="s">
        <v>57</v>
      </c>
      <c r="N53" s="1076">
        <v>42766.5</v>
      </c>
      <c r="O53" s="52" t="s">
        <v>57</v>
      </c>
      <c r="P53" s="1098" t="s">
        <v>366</v>
      </c>
      <c r="Q53" s="54">
        <v>45939</v>
      </c>
      <c r="R53" s="195"/>
      <c r="S53" s="54"/>
      <c r="T53" s="54"/>
      <c r="U53" s="486" t="s">
        <v>531</v>
      </c>
      <c r="V53" s="31">
        <v>6699</v>
      </c>
      <c r="W53" s="1436">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523</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523</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523</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523</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523</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523</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523</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523</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523</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7"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71</v>
      </c>
      <c r="E43" s="1158">
        <v>45868</v>
      </c>
      <c r="F43" s="1178" t="s">
        <v>108</v>
      </c>
      <c r="G43" s="1160" t="s">
        <v>776</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71</v>
      </c>
      <c r="E44" s="1156">
        <v>45902</v>
      </c>
      <c r="F44" s="1157" t="s">
        <v>108</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71</v>
      </c>
      <c r="E45" s="907">
        <v>45849</v>
      </c>
      <c r="F45" s="908" t="s">
        <v>108</v>
      </c>
      <c r="G45" s="1185" t="s">
        <v>781</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71</v>
      </c>
      <c r="E46" s="908">
        <v>45882</v>
      </c>
      <c r="F46" s="905" t="s">
        <v>108</v>
      </c>
      <c r="G46" s="1170" t="s">
        <v>784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523</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533</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523</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523</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523</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61</v>
      </c>
      <c r="G64" s="1170" t="s">
        <v>834</v>
      </c>
      <c r="H64" s="909">
        <v>88</v>
      </c>
      <c r="I64" s="910" t="s">
        <v>523</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71</v>
      </c>
      <c r="E65" s="1137">
        <v>45686</v>
      </c>
      <c r="F65" s="1137" t="s">
        <v>61</v>
      </c>
      <c r="G65" s="1191" t="s">
        <v>837</v>
      </c>
      <c r="H65" s="977">
        <v>88</v>
      </c>
      <c r="I65" s="976" t="s">
        <v>523</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523</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523</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523</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523</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523</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523</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523</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533</v>
      </c>
      <c r="E146" s="57">
        <v>45694</v>
      </c>
      <c r="F146" s="57" t="s">
        <v>803</v>
      </c>
      <c r="G146" s="794" t="s">
        <v>1031</v>
      </c>
      <c r="H146" s="775">
        <v>0</v>
      </c>
      <c r="I146" s="790" t="s">
        <v>523</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310</v>
      </c>
      <c r="C149" s="51">
        <v>46045</v>
      </c>
      <c r="D149" s="658" t="s">
        <v>127</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310</v>
      </c>
      <c r="C150" s="57">
        <v>46045</v>
      </c>
      <c r="D150" s="792" t="s">
        <v>127</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533</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hidden="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hidden="1">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640</v>
      </c>
      <c r="C65">
        <v>956</v>
      </c>
      <c r="E65">
        <v>1168</v>
      </c>
      <c r="F65">
        <v>0</v>
      </c>
      <c r="G65">
        <v>2124</v>
      </c>
    </row>
    <row r="66" spans="1:7" hidden="1">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540</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532</v>
      </c>
    </row>
    <row r="311" spans="1:7">
      <c r="A311" t="s">
        <v>911</v>
      </c>
    </row>
    <row r="312" spans="1:7">
      <c r="A312" t="s">
        <v>730</v>
      </c>
      <c r="B312">
        <v>618</v>
      </c>
      <c r="C312">
        <v>700</v>
      </c>
      <c r="G312">
        <v>1318</v>
      </c>
    </row>
    <row r="313" spans="1:7">
      <c r="A313" t="s">
        <v>722</v>
      </c>
    </row>
    <row r="314" spans="1:7">
      <c r="A314" t="s">
        <v>540</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423</v>
      </c>
      <c r="B470">
        <v>644</v>
      </c>
      <c r="C470">
        <v>1430</v>
      </c>
      <c r="D470">
        <v>970</v>
      </c>
      <c r="G470">
        <v>3044</v>
      </c>
    </row>
    <row r="471" spans="1:7">
      <c r="A471" t="s">
        <v>538</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423</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423</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532</v>
      </c>
      <c r="E534">
        <v>977</v>
      </c>
      <c r="G534">
        <v>977</v>
      </c>
    </row>
    <row r="535" spans="1:7">
      <c r="A535" t="s">
        <v>1099</v>
      </c>
      <c r="D535">
        <v>81</v>
      </c>
      <c r="F535">
        <v>114</v>
      </c>
      <c r="G535">
        <v>195</v>
      </c>
    </row>
    <row r="536" spans="1:7">
      <c r="A536" t="s">
        <v>688</v>
      </c>
    </row>
    <row r="537" spans="1:7">
      <c r="A537" t="s">
        <v>423</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532</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532</v>
      </c>
      <c r="B565">
        <v>885</v>
      </c>
      <c r="C565">
        <v>478</v>
      </c>
      <c r="D565">
        <v>490</v>
      </c>
      <c r="E565">
        <v>372</v>
      </c>
      <c r="G565">
        <v>2225</v>
      </c>
    </row>
    <row r="566" spans="1:7">
      <c r="A566" t="s">
        <v>1092</v>
      </c>
    </row>
    <row r="567" spans="1:7">
      <c r="A567" t="s">
        <v>1099</v>
      </c>
      <c r="B567">
        <v>360</v>
      </c>
      <c r="G567">
        <v>360</v>
      </c>
    </row>
    <row r="568" spans="1:7">
      <c r="A568" t="s">
        <v>423</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535</v>
      </c>
      <c r="F578">
        <v>198</v>
      </c>
      <c r="G578">
        <v>198</v>
      </c>
    </row>
    <row r="579" spans="1:7">
      <c r="A579" t="s">
        <v>532</v>
      </c>
    </row>
    <row r="580" spans="1:7">
      <c r="A580" t="s">
        <v>540</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535</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535</v>
      </c>
      <c r="D605">
        <v>461</v>
      </c>
      <c r="E605">
        <v>880</v>
      </c>
      <c r="F605">
        <v>585</v>
      </c>
      <c r="G605">
        <v>1926</v>
      </c>
    </row>
    <row r="606" spans="1:7">
      <c r="A606" t="s">
        <v>540</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535</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529</v>
      </c>
      <c r="D632">
        <v>314</v>
      </c>
      <c r="G632">
        <v>314</v>
      </c>
    </row>
    <row r="633" spans="1:7">
      <c r="A633" t="s">
        <v>543</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529</v>
      </c>
    </row>
    <row r="642" spans="1:7">
      <c r="A642" t="s">
        <v>543</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543</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540</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1094</v>
      </c>
      <c r="B688">
        <v>20</v>
      </c>
      <c r="E688">
        <v>250</v>
      </c>
      <c r="F688">
        <v>177</v>
      </c>
      <c r="G688">
        <v>447</v>
      </c>
    </row>
    <row r="689" spans="1:7">
      <c r="A689" t="s">
        <v>543</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535</v>
      </c>
    </row>
    <row r="708" spans="1:7">
      <c r="A708" t="s">
        <v>911</v>
      </c>
    </row>
    <row r="709" spans="1:7">
      <c r="A709" t="s">
        <v>540</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554</v>
      </c>
      <c r="E719">
        <v>903</v>
      </c>
      <c r="G719">
        <v>903</v>
      </c>
    </row>
    <row r="720" spans="1:7">
      <c r="A720" t="s">
        <v>545</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554</v>
      </c>
      <c r="B731">
        <v>254</v>
      </c>
      <c r="C731">
        <v>1686</v>
      </c>
      <c r="D731">
        <v>611</v>
      </c>
      <c r="G731">
        <v>2551</v>
      </c>
    </row>
    <row r="732" spans="1:7">
      <c r="A732" t="s">
        <v>545</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535</v>
      </c>
      <c r="D743">
        <v>139</v>
      </c>
      <c r="G743">
        <v>139</v>
      </c>
    </row>
    <row r="744" spans="1:7">
      <c r="A744" t="s">
        <v>540</v>
      </c>
    </row>
    <row r="745" spans="1:7">
      <c r="A745" t="s">
        <v>516</v>
      </c>
      <c r="E745">
        <v>97</v>
      </c>
      <c r="G745">
        <v>97</v>
      </c>
    </row>
    <row r="746" spans="1:7">
      <c r="A746" t="s">
        <v>1099</v>
      </c>
      <c r="B746">
        <v>42</v>
      </c>
      <c r="C746">
        <v>219</v>
      </c>
      <c r="F746">
        <v>70</v>
      </c>
      <c r="G746">
        <v>331</v>
      </c>
    </row>
    <row r="747" spans="1:7">
      <c r="A747" t="s">
        <v>1117</v>
      </c>
    </row>
    <row r="748" spans="1:7">
      <c r="A748" t="s">
        <v>554</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556</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535</v>
      </c>
      <c r="B763">
        <v>60</v>
      </c>
      <c r="G763">
        <v>60</v>
      </c>
    </row>
    <row r="764" spans="1:7">
      <c r="A764" t="s">
        <v>513</v>
      </c>
      <c r="E764">
        <v>175</v>
      </c>
      <c r="G764">
        <v>175</v>
      </c>
    </row>
    <row r="765" spans="1:7">
      <c r="A765" t="s">
        <v>1099</v>
      </c>
      <c r="C765">
        <v>224</v>
      </c>
      <c r="G765">
        <v>224</v>
      </c>
    </row>
    <row r="766" spans="1:7">
      <c r="A766" t="s">
        <v>529</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556</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611</v>
      </c>
      <c r="B776">
        <v>335</v>
      </c>
      <c r="G776">
        <v>335</v>
      </c>
    </row>
    <row r="777" spans="1:7">
      <c r="A777" t="s">
        <v>1123</v>
      </c>
      <c r="B777">
        <v>415</v>
      </c>
      <c r="C777">
        <v>291</v>
      </c>
      <c r="F777">
        <v>755</v>
      </c>
      <c r="G777">
        <v>1461</v>
      </c>
    </row>
    <row r="778" spans="1:7">
      <c r="A778" t="s">
        <v>559</v>
      </c>
      <c r="C778">
        <v>1231</v>
      </c>
      <c r="D778">
        <v>1538</v>
      </c>
      <c r="E778">
        <v>1377</v>
      </c>
      <c r="G778">
        <v>4146</v>
      </c>
    </row>
    <row r="779" spans="1:7">
      <c r="A779" t="s">
        <v>565</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559</v>
      </c>
      <c r="B798">
        <v>600</v>
      </c>
      <c r="G798">
        <v>600</v>
      </c>
    </row>
    <row r="799" spans="1:7">
      <c r="A799" t="s">
        <v>565</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582</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529</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565</v>
      </c>
      <c r="D821">
        <v>334</v>
      </c>
      <c r="G821">
        <v>334</v>
      </c>
    </row>
    <row r="822" spans="1:7">
      <c r="A822" t="s">
        <v>1124</v>
      </c>
      <c r="C822">
        <v>216</v>
      </c>
      <c r="G822">
        <v>216</v>
      </c>
    </row>
    <row r="823" spans="1:7">
      <c r="A823" t="s">
        <v>391</v>
      </c>
      <c r="B823">
        <v>1088</v>
      </c>
      <c r="C823">
        <v>557</v>
      </c>
      <c r="D823">
        <v>512</v>
      </c>
      <c r="E823">
        <v>369</v>
      </c>
      <c r="G823">
        <v>2526</v>
      </c>
    </row>
    <row r="824" spans="1:7">
      <c r="A824" t="s">
        <v>658</v>
      </c>
      <c r="B824">
        <v>192</v>
      </c>
      <c r="G824">
        <v>192</v>
      </c>
    </row>
    <row r="825" spans="1:7">
      <c r="A825" t="s">
        <v>582</v>
      </c>
      <c r="B825">
        <v>1174</v>
      </c>
      <c r="C825">
        <v>1597</v>
      </c>
      <c r="D825">
        <v>308</v>
      </c>
      <c r="G825">
        <v>3079</v>
      </c>
    </row>
    <row r="826" spans="1:7">
      <c r="A826" t="s">
        <v>991</v>
      </c>
      <c r="B826">
        <v>1545</v>
      </c>
      <c r="C826">
        <v>995</v>
      </c>
      <c r="G826">
        <v>2540</v>
      </c>
    </row>
    <row r="827" spans="1:7">
      <c r="A827" t="s">
        <v>549</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582</v>
      </c>
    </row>
    <row r="842" spans="1:7">
      <c r="A842" t="s">
        <v>991</v>
      </c>
    </row>
    <row r="843" spans="1:7">
      <c r="A843" t="s">
        <v>153</v>
      </c>
      <c r="B843">
        <v>828</v>
      </c>
      <c r="C843">
        <v>150</v>
      </c>
      <c r="E843">
        <v>688</v>
      </c>
      <c r="G843">
        <v>1666</v>
      </c>
    </row>
    <row r="844" spans="1:7">
      <c r="A844" t="s">
        <v>1127</v>
      </c>
      <c r="B844">
        <v>233</v>
      </c>
      <c r="G844">
        <v>233</v>
      </c>
    </row>
    <row r="845" spans="1:7">
      <c r="A845" t="s">
        <v>584</v>
      </c>
      <c r="B845">
        <v>1768</v>
      </c>
      <c r="C845">
        <v>510</v>
      </c>
      <c r="G845">
        <v>2278</v>
      </c>
    </row>
    <row r="846" spans="1:7">
      <c r="A846" t="s">
        <v>665</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588</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588</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594</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529</v>
      </c>
    </row>
    <row r="883" spans="1:7">
      <c r="A883" t="s">
        <v>543</v>
      </c>
      <c r="F883">
        <v>60</v>
      </c>
      <c r="G883">
        <v>60</v>
      </c>
    </row>
    <row r="884" spans="1:7">
      <c r="A884" t="s">
        <v>268</v>
      </c>
    </row>
    <row r="885" spans="1:7">
      <c r="A885" t="s">
        <v>363</v>
      </c>
    </row>
    <row r="886" spans="1:7">
      <c r="A886" t="s">
        <v>77</v>
      </c>
      <c r="B886">
        <v>188</v>
      </c>
      <c r="C886">
        <v>140</v>
      </c>
      <c r="G886">
        <v>328</v>
      </c>
    </row>
    <row r="887" spans="1:7">
      <c r="A887" t="s">
        <v>549</v>
      </c>
      <c r="B887">
        <v>270</v>
      </c>
      <c r="C887">
        <v>60</v>
      </c>
      <c r="G887">
        <v>330</v>
      </c>
    </row>
    <row r="888" spans="1:7">
      <c r="A888" t="s">
        <v>584</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586</v>
      </c>
      <c r="C893">
        <v>1509</v>
      </c>
      <c r="D893">
        <v>1087</v>
      </c>
      <c r="E893">
        <v>777</v>
      </c>
      <c r="G893">
        <v>3373</v>
      </c>
    </row>
    <row r="894" spans="1:7">
      <c r="A894" t="s">
        <v>594</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580</v>
      </c>
      <c r="C898">
        <v>1678</v>
      </c>
      <c r="E898">
        <v>394</v>
      </c>
      <c r="G898">
        <v>2072</v>
      </c>
    </row>
    <row r="899" spans="1:7">
      <c r="A899" t="s">
        <v>377</v>
      </c>
      <c r="D899">
        <v>3179</v>
      </c>
      <c r="G899">
        <v>3179</v>
      </c>
    </row>
    <row r="900" spans="1:7">
      <c r="A900" t="s">
        <v>621</v>
      </c>
      <c r="E900">
        <v>978</v>
      </c>
      <c r="G900">
        <v>978</v>
      </c>
    </row>
    <row r="901" spans="1:7">
      <c r="A901" t="s">
        <v>429</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545</v>
      </c>
    </row>
    <row r="910" spans="1:7">
      <c r="A910" t="s">
        <v>363</v>
      </c>
    </row>
    <row r="911" spans="1:7">
      <c r="A911" t="s">
        <v>391</v>
      </c>
      <c r="F911">
        <v>569</v>
      </c>
      <c r="G911">
        <v>569</v>
      </c>
    </row>
    <row r="912" spans="1:7">
      <c r="A912" t="s">
        <v>665</v>
      </c>
    </row>
    <row r="913" spans="1:7">
      <c r="A913" t="s">
        <v>371</v>
      </c>
      <c r="D913">
        <v>150</v>
      </c>
      <c r="G913">
        <v>150</v>
      </c>
    </row>
    <row r="914" spans="1:7">
      <c r="A914" t="s">
        <v>384</v>
      </c>
    </row>
    <row r="915" spans="1:7">
      <c r="A915" t="s">
        <v>594</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621</v>
      </c>
      <c r="B919">
        <v>1420</v>
      </c>
      <c r="C919">
        <v>990</v>
      </c>
      <c r="D919">
        <v>549</v>
      </c>
      <c r="G919">
        <v>2959</v>
      </c>
    </row>
    <row r="920" spans="1:7">
      <c r="A920" t="s">
        <v>429</v>
      </c>
      <c r="B920">
        <v>259</v>
      </c>
      <c r="C920">
        <v>1087</v>
      </c>
      <c r="D920">
        <v>2206</v>
      </c>
      <c r="E920">
        <v>453</v>
      </c>
      <c r="G920">
        <v>4005</v>
      </c>
    </row>
    <row r="921" spans="1:7">
      <c r="A921" t="s">
        <v>223</v>
      </c>
      <c r="C921">
        <v>379</v>
      </c>
      <c r="D921">
        <v>208</v>
      </c>
      <c r="G921">
        <v>587</v>
      </c>
    </row>
    <row r="922" spans="1:7">
      <c r="A922" t="s">
        <v>592</v>
      </c>
      <c r="B922">
        <v>579</v>
      </c>
      <c r="C922">
        <v>1120</v>
      </c>
      <c r="D922">
        <v>1488</v>
      </c>
      <c r="E922">
        <v>954</v>
      </c>
      <c r="G922">
        <v>4141</v>
      </c>
    </row>
    <row r="923" spans="1:7">
      <c r="A923" t="s">
        <v>1130</v>
      </c>
      <c r="B923">
        <v>365</v>
      </c>
      <c r="G923">
        <v>365</v>
      </c>
    </row>
    <row r="924" spans="1:7">
      <c r="A924" t="s">
        <v>395</v>
      </c>
      <c r="B924">
        <v>207</v>
      </c>
      <c r="G924">
        <v>207</v>
      </c>
    </row>
    <row r="925" spans="1:7">
      <c r="A925" t="s">
        <v>519</v>
      </c>
      <c r="C925">
        <v>1691</v>
      </c>
      <c r="D925">
        <v>1998</v>
      </c>
      <c r="E925">
        <v>760</v>
      </c>
      <c r="F925">
        <v>3975</v>
      </c>
      <c r="G925">
        <v>8424</v>
      </c>
    </row>
    <row r="926" spans="1:7">
      <c r="A926" t="s">
        <v>624</v>
      </c>
      <c r="D926">
        <v>1031</v>
      </c>
      <c r="G926">
        <v>1031</v>
      </c>
    </row>
    <row r="927" spans="1:7">
      <c r="A927" t="s">
        <v>393</v>
      </c>
      <c r="E927">
        <v>1063</v>
      </c>
      <c r="F927">
        <v>1263</v>
      </c>
      <c r="G927">
        <v>2326</v>
      </c>
    </row>
    <row r="928" spans="1:7">
      <c r="A928" t="s">
        <v>667</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665</v>
      </c>
      <c r="B940">
        <v>560</v>
      </c>
      <c r="G940">
        <v>560</v>
      </c>
    </row>
    <row r="941" spans="1:7">
      <c r="A941" t="s">
        <v>384</v>
      </c>
    </row>
    <row r="942" spans="1:7">
      <c r="A942" t="s">
        <v>594</v>
      </c>
      <c r="B942">
        <v>138</v>
      </c>
      <c r="G942">
        <v>138</v>
      </c>
    </row>
    <row r="943" spans="1:7">
      <c r="A943" t="s">
        <v>382</v>
      </c>
    </row>
    <row r="944" spans="1:7">
      <c r="A944" t="s">
        <v>377</v>
      </c>
      <c r="B944">
        <v>96</v>
      </c>
      <c r="G944">
        <v>96</v>
      </c>
    </row>
    <row r="945" spans="1:7">
      <c r="A945" t="s">
        <v>621</v>
      </c>
      <c r="B945">
        <v>632</v>
      </c>
      <c r="G945">
        <v>632</v>
      </c>
    </row>
    <row r="946" spans="1:7">
      <c r="A946" t="s">
        <v>429</v>
      </c>
      <c r="B946">
        <v>558</v>
      </c>
      <c r="G946">
        <v>558</v>
      </c>
    </row>
    <row r="947" spans="1:7">
      <c r="A947" t="s">
        <v>223</v>
      </c>
      <c r="B947">
        <v>562</v>
      </c>
      <c r="D947">
        <v>474</v>
      </c>
      <c r="E947">
        <v>606</v>
      </c>
      <c r="F947">
        <v>322</v>
      </c>
      <c r="G947">
        <v>1964</v>
      </c>
    </row>
    <row r="948" spans="1:7">
      <c r="A948" t="s">
        <v>624</v>
      </c>
      <c r="B948">
        <v>1351</v>
      </c>
      <c r="D948">
        <v>890</v>
      </c>
      <c r="G948">
        <v>2241</v>
      </c>
    </row>
    <row r="949" spans="1:7">
      <c r="A949" t="s">
        <v>468</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590</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665</v>
      </c>
      <c r="C970">
        <v>17</v>
      </c>
      <c r="G970">
        <v>17</v>
      </c>
    </row>
    <row r="971" spans="1:7">
      <c r="A971" t="s">
        <v>594</v>
      </c>
    </row>
    <row r="972" spans="1:7">
      <c r="A972" t="s">
        <v>429</v>
      </c>
      <c r="B972">
        <v>127</v>
      </c>
      <c r="G972">
        <v>127</v>
      </c>
    </row>
    <row r="973" spans="1:7">
      <c r="A973" t="s">
        <v>223</v>
      </c>
      <c r="B973">
        <v>420</v>
      </c>
      <c r="G973">
        <v>420</v>
      </c>
    </row>
    <row r="974" spans="1:7">
      <c r="A974" t="s">
        <v>624</v>
      </c>
    </row>
    <row r="975" spans="1:7">
      <c r="A975" t="s">
        <v>379</v>
      </c>
      <c r="C975">
        <v>1917</v>
      </c>
      <c r="E975">
        <v>272</v>
      </c>
      <c r="G975">
        <v>2189</v>
      </c>
    </row>
    <row r="976" spans="1:7">
      <c r="A976" t="s">
        <v>590</v>
      </c>
      <c r="B976">
        <v>956</v>
      </c>
      <c r="G976">
        <v>956</v>
      </c>
    </row>
    <row r="977" spans="1:7">
      <c r="A977" t="s">
        <v>206</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513</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590</v>
      </c>
    </row>
    <row r="1019" spans="1:7">
      <c r="A1019" t="s">
        <v>1134</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417</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410</v>
      </c>
      <c r="C1028">
        <v>2568</v>
      </c>
      <c r="G1028">
        <v>2568</v>
      </c>
    </row>
    <row r="1029" spans="1:7">
      <c r="A1029" t="s">
        <v>613</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602</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592</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599</v>
      </c>
      <c r="B1056">
        <v>1610</v>
      </c>
      <c r="G1056">
        <v>1610</v>
      </c>
    </row>
    <row r="1057" spans="1:7">
      <c r="A1057" t="s">
        <v>596</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602</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571</v>
      </c>
      <c r="D1069">
        <v>466</v>
      </c>
      <c r="E1069">
        <v>345</v>
      </c>
      <c r="G1069">
        <v>811</v>
      </c>
    </row>
    <row r="1070" spans="1:7">
      <c r="A1070" t="s">
        <v>420</v>
      </c>
      <c r="E1070">
        <v>1431</v>
      </c>
      <c r="G1070">
        <v>1431</v>
      </c>
    </row>
    <row r="1071" spans="1:7">
      <c r="A1071" t="s">
        <v>577</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599</v>
      </c>
    </row>
    <row r="1085" spans="1:7">
      <c r="A1085" t="s">
        <v>410</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571</v>
      </c>
      <c r="B1089">
        <v>1172</v>
      </c>
      <c r="G1089">
        <v>1172</v>
      </c>
    </row>
    <row r="1090" spans="1:7">
      <c r="A1090" t="s">
        <v>420</v>
      </c>
      <c r="B1090">
        <v>1583</v>
      </c>
      <c r="C1090">
        <v>1325</v>
      </c>
      <c r="D1090">
        <v>621</v>
      </c>
      <c r="G1090">
        <v>3529</v>
      </c>
    </row>
    <row r="1091" spans="1:7">
      <c r="A1091" t="s">
        <v>577</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568</v>
      </c>
      <c r="C1099">
        <v>1500</v>
      </c>
      <c r="D1099">
        <v>1084</v>
      </c>
      <c r="G1099">
        <v>2584</v>
      </c>
    </row>
    <row r="1100" spans="1:7">
      <c r="A1100" t="s">
        <v>401</v>
      </c>
      <c r="D1100">
        <v>817</v>
      </c>
      <c r="E1100">
        <v>1820</v>
      </c>
      <c r="G1100">
        <v>2637</v>
      </c>
    </row>
    <row r="1101" spans="1:7">
      <c r="A1101" t="s">
        <v>562</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599</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571</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568</v>
      </c>
    </row>
    <row r="1125" spans="1:7">
      <c r="A1125" t="s">
        <v>562</v>
      </c>
      <c r="B1125">
        <v>689</v>
      </c>
      <c r="C1125">
        <v>586</v>
      </c>
      <c r="D1125">
        <v>199</v>
      </c>
      <c r="G1125">
        <v>1474</v>
      </c>
    </row>
    <row r="1126" spans="1:7">
      <c r="A1126" t="s">
        <v>291</v>
      </c>
      <c r="C1126">
        <v>1164</v>
      </c>
      <c r="D1126">
        <v>308</v>
      </c>
      <c r="E1126">
        <v>892</v>
      </c>
      <c r="F1126">
        <v>366</v>
      </c>
      <c r="G1126">
        <v>2730</v>
      </c>
    </row>
    <row r="1127" spans="1:7">
      <c r="A1127" t="s">
        <v>552</v>
      </c>
      <c r="B1127">
        <v>1095</v>
      </c>
      <c r="C1127">
        <v>1676</v>
      </c>
      <c r="D1127">
        <v>1139</v>
      </c>
      <c r="G1127">
        <v>3910</v>
      </c>
    </row>
    <row r="1128" spans="1:7">
      <c r="A1128" t="s">
        <v>574</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616</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314</v>
      </c>
      <c r="B1145">
        <v>551</v>
      </c>
      <c r="G1145">
        <v>551</v>
      </c>
    </row>
    <row r="1146" spans="1:7">
      <c r="A1146" t="s">
        <v>1141</v>
      </c>
    </row>
    <row r="1147" spans="1:7">
      <c r="A1147" t="s">
        <v>291</v>
      </c>
      <c r="B1147">
        <v>154</v>
      </c>
      <c r="G1147">
        <v>154</v>
      </c>
    </row>
    <row r="1148" spans="1:7">
      <c r="A1148" t="s">
        <v>574</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616</v>
      </c>
      <c r="B1152">
        <v>380</v>
      </c>
      <c r="G1152">
        <v>380</v>
      </c>
    </row>
    <row r="1153" spans="1:7">
      <c r="A1153" t="s">
        <v>619</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460</v>
      </c>
    </row>
    <row r="1162" spans="1:7">
      <c r="A1162" t="s">
        <v>462</v>
      </c>
    </row>
    <row r="1163" spans="1:7">
      <c r="A1163" t="s">
        <v>465</v>
      </c>
    </row>
    <row r="1164" spans="1:7">
      <c r="A1164" t="s">
        <v>420</v>
      </c>
    </row>
    <row r="1165" spans="1:7">
      <c r="A1165" t="s">
        <v>314</v>
      </c>
      <c r="B1165">
        <v>738</v>
      </c>
      <c r="C1165">
        <v>466</v>
      </c>
      <c r="G1165">
        <v>1204</v>
      </c>
    </row>
    <row r="1166" spans="1:7">
      <c r="A1166" t="s">
        <v>496</v>
      </c>
    </row>
    <row r="1167" spans="1:7">
      <c r="A1167" t="s">
        <v>291</v>
      </c>
      <c r="D1167">
        <v>173</v>
      </c>
      <c r="G1167">
        <v>173</v>
      </c>
    </row>
    <row r="1168" spans="1:7">
      <c r="A1168" t="s">
        <v>320</v>
      </c>
      <c r="B1168">
        <v>1297</v>
      </c>
      <c r="G1168">
        <v>1297</v>
      </c>
    </row>
    <row r="1169" spans="1:7">
      <c r="A1169" t="s">
        <v>616</v>
      </c>
      <c r="B1169">
        <v>100</v>
      </c>
      <c r="G1169">
        <v>100</v>
      </c>
    </row>
    <row r="1170" spans="1:7">
      <c r="A1170" t="s">
        <v>323</v>
      </c>
      <c r="B1170">
        <v>2583</v>
      </c>
      <c r="C1170">
        <v>3099</v>
      </c>
      <c r="G1170">
        <v>5682</v>
      </c>
    </row>
    <row r="1171" spans="1:7">
      <c r="A1171" t="s">
        <v>605</v>
      </c>
      <c r="B1171">
        <v>1188</v>
      </c>
      <c r="G1171">
        <v>1188</v>
      </c>
    </row>
    <row r="1172" spans="1:7">
      <c r="A1172" t="s">
        <v>608</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655</v>
      </c>
      <c r="C32" s="153">
        <v>45707</v>
      </c>
      <c r="D32" s="117">
        <v>1978</v>
      </c>
      <c r="E32" s="117"/>
      <c r="F32" s="118" t="s">
        <v>1153</v>
      </c>
      <c r="G32" t="str">
        <f t="shared" si="0"/>
        <v>February</v>
      </c>
    </row>
    <row r="33" spans="1:7">
      <c r="A33" s="117" t="s">
        <v>895</v>
      </c>
      <c r="B33" s="243" t="s">
        <v>641</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655</v>
      </c>
      <c r="C39" s="153">
        <v>45708</v>
      </c>
      <c r="D39" s="117">
        <v>851</v>
      </c>
      <c r="E39" s="117"/>
      <c r="F39" s="118" t="s">
        <v>1157</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654</v>
      </c>
      <c r="B45" s="243" t="s">
        <v>655</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637</v>
      </c>
      <c r="C54" s="153">
        <v>45709</v>
      </c>
      <c r="D54" s="117">
        <v>1462</v>
      </c>
      <c r="E54" s="117"/>
      <c r="F54" s="118" t="s">
        <v>1148</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1155</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650</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651</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637</v>
      </c>
      <c r="C117" s="122">
        <v>45715</v>
      </c>
      <c r="D117" s="118">
        <v>437</v>
      </c>
      <c r="E117" s="118"/>
      <c r="F117" s="118" t="s">
        <v>1173</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641</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655</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641</v>
      </c>
      <c r="C132" s="122">
        <v>45715</v>
      </c>
      <c r="D132" s="118">
        <v>513</v>
      </c>
      <c r="E132" s="118"/>
      <c r="F132" s="134" t="s">
        <v>1148</v>
      </c>
      <c r="G132" t="str">
        <f t="shared" si="2"/>
        <v>February</v>
      </c>
    </row>
    <row r="133" spans="1:7">
      <c r="A133" s="117" t="s">
        <v>816</v>
      </c>
      <c r="B133" s="154" t="s">
        <v>637</v>
      </c>
      <c r="C133" s="122">
        <v>45715</v>
      </c>
      <c r="D133" s="118"/>
      <c r="E133" s="118"/>
      <c r="F133" s="134" t="s">
        <v>1175</v>
      </c>
      <c r="G133" t="str">
        <f t="shared" si="2"/>
        <v>February</v>
      </c>
    </row>
    <row r="134" spans="1:7">
      <c r="A134" s="117" t="s">
        <v>647</v>
      </c>
      <c r="B134" s="154" t="s">
        <v>637</v>
      </c>
      <c r="C134" s="122">
        <v>45715</v>
      </c>
      <c r="D134" s="118"/>
      <c r="E134" s="118"/>
      <c r="F134" s="134" t="s">
        <v>1175</v>
      </c>
      <c r="G134" t="str">
        <f t="shared" si="2"/>
        <v>February</v>
      </c>
    </row>
    <row r="135" spans="1:7">
      <c r="A135" s="117" t="s">
        <v>696</v>
      </c>
      <c r="B135" s="210" t="s">
        <v>641</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644</v>
      </c>
      <c r="B137" s="244" t="s">
        <v>641</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640</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650</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651</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655</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637</v>
      </c>
      <c r="C148" s="122">
        <v>45716</v>
      </c>
      <c r="D148" s="123" t="s">
        <v>1175</v>
      </c>
      <c r="E148" s="123"/>
      <c r="F148" s="118"/>
      <c r="G148" t="str">
        <f t="shared" si="2"/>
        <v>February</v>
      </c>
    </row>
    <row r="149" spans="1:7">
      <c r="A149" s="117" t="s">
        <v>654</v>
      </c>
      <c r="B149" s="244" t="s">
        <v>655</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641</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655</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641</v>
      </c>
      <c r="C163" s="122">
        <v>45716</v>
      </c>
      <c r="D163" s="123" t="s">
        <v>1175</v>
      </c>
      <c r="E163" s="123"/>
      <c r="F163" s="118"/>
      <c r="G163" t="str">
        <f t="shared" si="2"/>
        <v>February</v>
      </c>
    </row>
    <row r="164" spans="1:7">
      <c r="A164" s="117" t="s">
        <v>816</v>
      </c>
      <c r="B164" s="154" t="s">
        <v>637</v>
      </c>
      <c r="C164" s="122">
        <v>45716</v>
      </c>
      <c r="D164" s="123">
        <v>886</v>
      </c>
      <c r="E164" s="123"/>
      <c r="F164" s="118" t="s">
        <v>1160</v>
      </c>
      <c r="G164" t="str">
        <f t="shared" si="2"/>
        <v>February</v>
      </c>
    </row>
    <row r="165" spans="1:7">
      <c r="A165" s="117" t="s">
        <v>647</v>
      </c>
      <c r="B165" s="154" t="s">
        <v>637</v>
      </c>
      <c r="C165" s="122">
        <v>45716</v>
      </c>
      <c r="D165" s="123">
        <v>384</v>
      </c>
      <c r="E165" s="123"/>
      <c r="F165" s="118" t="s">
        <v>1158</v>
      </c>
      <c r="G165" t="str">
        <f t="shared" si="2"/>
        <v>February</v>
      </c>
    </row>
    <row r="166" spans="1:7">
      <c r="A166" s="117" t="s">
        <v>696</v>
      </c>
      <c r="B166" s="210" t="s">
        <v>641</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640</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650</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651</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655</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637</v>
      </c>
      <c r="C179" s="122">
        <v>45719</v>
      </c>
      <c r="D179" s="123" t="s">
        <v>1175</v>
      </c>
      <c r="E179" s="123"/>
      <c r="F179" s="118"/>
      <c r="G179" t="str">
        <f t="shared" si="2"/>
        <v>March</v>
      </c>
    </row>
    <row r="180" spans="1:7">
      <c r="A180" s="117" t="s">
        <v>654</v>
      </c>
      <c r="B180" s="244" t="s">
        <v>655</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641</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655</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641</v>
      </c>
      <c r="C194" s="122">
        <v>45719</v>
      </c>
      <c r="D194" s="123" t="s">
        <v>1175</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1165</v>
      </c>
      <c r="G196" t="str">
        <f t="shared" si="3"/>
        <v>March</v>
      </c>
    </row>
    <row r="197" spans="1:7">
      <c r="A197" s="117" t="s">
        <v>696</v>
      </c>
      <c r="B197" s="210" t="s">
        <v>641</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640</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650</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651</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637</v>
      </c>
      <c r="C216" s="122">
        <v>45720</v>
      </c>
      <c r="D216" s="123">
        <v>408</v>
      </c>
      <c r="E216" s="123"/>
      <c r="F216" s="118" t="s">
        <v>1168</v>
      </c>
      <c r="G216" t="str">
        <f t="shared" si="3"/>
        <v>March</v>
      </c>
    </row>
    <row r="217" spans="1:8">
      <c r="A217" s="117" t="s">
        <v>647</v>
      </c>
      <c r="B217" s="154" t="s">
        <v>637</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651</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1187</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650</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651</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650</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637</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1198</v>
      </c>
      <c r="G320" t="str">
        <f t="shared" si="4"/>
        <v>March</v>
      </c>
    </row>
    <row r="321" spans="1:7">
      <c r="A321" s="117" t="s">
        <v>816</v>
      </c>
      <c r="B321" s="154" t="s">
        <v>637</v>
      </c>
      <c r="C321" s="56">
        <v>45723</v>
      </c>
      <c r="D321" s="134">
        <v>875</v>
      </c>
      <c r="E321" s="134"/>
      <c r="F321" s="134" t="s">
        <v>1199</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650</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651</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650</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1155</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650</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655</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637</v>
      </c>
      <c r="C433" s="56">
        <v>45728</v>
      </c>
      <c r="D433" s="123" t="s">
        <v>1175</v>
      </c>
      <c r="E433" s="123"/>
      <c r="G433" t="str">
        <f t="shared" si="6"/>
        <v>March</v>
      </c>
    </row>
    <row r="434" spans="1:7">
      <c r="A434" s="117" t="s">
        <v>654</v>
      </c>
      <c r="B434" s="244" t="s">
        <v>655</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641</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655</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641</v>
      </c>
      <c r="C448" s="56">
        <v>45728</v>
      </c>
      <c r="D448" s="123" t="s">
        <v>1175</v>
      </c>
      <c r="E448" s="123"/>
      <c r="G448" t="str">
        <f t="shared" si="6"/>
        <v>March</v>
      </c>
    </row>
    <row r="449" spans="1:7">
      <c r="A449" s="117" t="s">
        <v>816</v>
      </c>
      <c r="B449" s="154" t="s">
        <v>637</v>
      </c>
      <c r="C449" s="56">
        <v>45728</v>
      </c>
      <c r="D449" s="123" t="s">
        <v>1175</v>
      </c>
      <c r="E449" s="123"/>
      <c r="G449" t="str">
        <f t="shared" si="6"/>
        <v>March</v>
      </c>
    </row>
    <row r="450" spans="1:7">
      <c r="A450" s="117" t="s">
        <v>647</v>
      </c>
      <c r="B450" s="154" t="s">
        <v>637</v>
      </c>
      <c r="C450" s="56">
        <v>45728</v>
      </c>
      <c r="D450" s="123" t="s">
        <v>1175</v>
      </c>
      <c r="E450" s="123"/>
      <c r="G450" t="str">
        <f t="shared" si="6"/>
        <v>March</v>
      </c>
    </row>
    <row r="451" spans="1:7">
      <c r="A451" s="117" t="s">
        <v>696</v>
      </c>
      <c r="B451" s="210" t="s">
        <v>641</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644</v>
      </c>
      <c r="B453" s="244" t="s">
        <v>641</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640</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650</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651</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1175</v>
      </c>
      <c r="E473" s="123"/>
      <c r="G473" t="str">
        <f t="shared" si="7"/>
        <v>March</v>
      </c>
    </row>
    <row r="474" spans="1:7">
      <c r="A474" s="118" t="s">
        <v>922</v>
      </c>
      <c r="B474" s="157" t="s">
        <v>641</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655</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641</v>
      </c>
      <c r="C498" s="56">
        <v>45729</v>
      </c>
      <c r="D498" s="123" t="s">
        <v>1175</v>
      </c>
      <c r="E498" s="123"/>
      <c r="G498" t="str">
        <f t="shared" si="7"/>
        <v>March</v>
      </c>
    </row>
    <row r="499" spans="1:7">
      <c r="A499" s="117" t="s">
        <v>816</v>
      </c>
      <c r="B499" s="154" t="s">
        <v>637</v>
      </c>
      <c r="C499" s="56">
        <v>45729</v>
      </c>
      <c r="D499" s="123" t="s">
        <v>1175</v>
      </c>
      <c r="E499" s="123"/>
      <c r="G499" t="str">
        <f t="shared" si="7"/>
        <v>March</v>
      </c>
    </row>
    <row r="500" spans="1:7">
      <c r="A500" s="117" t="s">
        <v>647</v>
      </c>
      <c r="B500" s="154" t="s">
        <v>637</v>
      </c>
      <c r="C500" s="56">
        <v>45729</v>
      </c>
      <c r="D500" s="123" t="s">
        <v>1175</v>
      </c>
      <c r="E500" s="123"/>
      <c r="G500" t="str">
        <f t="shared" si="7"/>
        <v>March</v>
      </c>
    </row>
    <row r="501" spans="1:7">
      <c r="A501" s="117" t="s">
        <v>696</v>
      </c>
      <c r="B501" s="210" t="s">
        <v>641</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644</v>
      </c>
      <c r="B503" s="244" t="s">
        <v>641</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640</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650</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651</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637</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641</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655</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637</v>
      </c>
      <c r="C534" s="56">
        <v>45730</v>
      </c>
      <c r="D534" s="123"/>
      <c r="E534" s="123"/>
      <c r="F534" s="123" t="s">
        <v>1175</v>
      </c>
      <c r="G534" t="str">
        <f t="shared" si="8"/>
        <v>March</v>
      </c>
    </row>
    <row r="535" spans="1:7">
      <c r="A535" s="117" t="s">
        <v>654</v>
      </c>
      <c r="B535" s="244" t="s">
        <v>655</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641</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655</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641</v>
      </c>
      <c r="C549" s="56">
        <v>45730</v>
      </c>
      <c r="D549" s="123"/>
      <c r="E549" s="123"/>
      <c r="F549" s="123" t="s">
        <v>1175</v>
      </c>
      <c r="G549" t="str">
        <f t="shared" si="8"/>
        <v>March</v>
      </c>
    </row>
    <row r="550" spans="1:7">
      <c r="A550" s="117" t="s">
        <v>816</v>
      </c>
      <c r="B550" s="154" t="s">
        <v>637</v>
      </c>
      <c r="C550" s="56">
        <v>45730</v>
      </c>
      <c r="D550" s="123"/>
      <c r="E550" s="123"/>
      <c r="F550" s="123" t="s">
        <v>1175</v>
      </c>
      <c r="G550" t="str">
        <f t="shared" si="8"/>
        <v>March</v>
      </c>
    </row>
    <row r="551" spans="1:7">
      <c r="A551" s="117" t="s">
        <v>647</v>
      </c>
      <c r="B551" s="154" t="s">
        <v>637</v>
      </c>
      <c r="C551" s="56">
        <v>45730</v>
      </c>
      <c r="D551" s="123"/>
      <c r="E551" s="123"/>
      <c r="F551" s="123" t="s">
        <v>1175</v>
      </c>
      <c r="G551" t="str">
        <f t="shared" si="8"/>
        <v>March</v>
      </c>
    </row>
    <row r="552" spans="1:7">
      <c r="A552" s="117" t="s">
        <v>696</v>
      </c>
      <c r="B552" s="210" t="s">
        <v>641</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644</v>
      </c>
      <c r="B554" s="244" t="s">
        <v>641</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640</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650</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651</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637</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637</v>
      </c>
      <c r="C573" s="56">
        <v>45730</v>
      </c>
      <c r="D573" s="123" t="s">
        <v>1175</v>
      </c>
      <c r="E573" s="123"/>
      <c r="F573" s="123"/>
      <c r="G573" t="str">
        <f t="shared" si="8"/>
        <v>March</v>
      </c>
    </row>
    <row r="574" spans="1:7">
      <c r="A574" s="118" t="s">
        <v>1081</v>
      </c>
      <c r="B574" s="157" t="s">
        <v>641</v>
      </c>
      <c r="C574" s="56">
        <v>45730</v>
      </c>
      <c r="D574" s="123" t="s">
        <v>1175</v>
      </c>
      <c r="E574" s="123"/>
      <c r="F574" s="123"/>
      <c r="G574" t="str">
        <f t="shared" si="8"/>
        <v>March</v>
      </c>
    </row>
    <row r="575" spans="1:7">
      <c r="A575" s="118" t="s">
        <v>922</v>
      </c>
      <c r="B575" s="157" t="s">
        <v>641</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641</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641</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654</v>
      </c>
      <c r="B584" s="244" t="s">
        <v>655</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641</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655</v>
      </c>
      <c r="C589" s="56">
        <v>45733</v>
      </c>
      <c r="E589" s="43"/>
      <c r="F589" s="123" t="s">
        <v>1175</v>
      </c>
      <c r="G589" t="str">
        <f t="shared" si="9"/>
        <v>March</v>
      </c>
    </row>
    <row r="590" spans="1:7">
      <c r="A590" s="117" t="s">
        <v>895</v>
      </c>
      <c r="B590" s="244" t="s">
        <v>641</v>
      </c>
      <c r="C590" s="56">
        <v>45733</v>
      </c>
      <c r="E590" s="43"/>
      <c r="F590" s="123" t="s">
        <v>1175</v>
      </c>
      <c r="G590" t="str">
        <f t="shared" si="9"/>
        <v>March</v>
      </c>
    </row>
    <row r="591" spans="1:7">
      <c r="A591" s="117" t="s">
        <v>816</v>
      </c>
      <c r="B591" s="154" t="s">
        <v>637</v>
      </c>
      <c r="C591" s="56">
        <v>45733</v>
      </c>
      <c r="E591" s="43"/>
      <c r="F591" s="123" t="s">
        <v>1175</v>
      </c>
      <c r="G591" t="str">
        <f t="shared" si="9"/>
        <v>March</v>
      </c>
    </row>
    <row r="592" spans="1:7">
      <c r="A592" s="117" t="s">
        <v>696</v>
      </c>
      <c r="B592" s="210" t="s">
        <v>641</v>
      </c>
      <c r="C592" s="56">
        <v>45733</v>
      </c>
      <c r="E592" s="43"/>
      <c r="F592" s="123" t="s">
        <v>1175</v>
      </c>
      <c r="G592" t="str">
        <f t="shared" si="9"/>
        <v>March</v>
      </c>
    </row>
    <row r="593" spans="1:7">
      <c r="A593" s="117" t="s">
        <v>640</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637</v>
      </c>
      <c r="C607" s="56">
        <v>45733</v>
      </c>
      <c r="E607" s="43"/>
      <c r="F607" s="123" t="s">
        <v>1175</v>
      </c>
      <c r="G607" t="str">
        <f t="shared" si="9"/>
        <v>March</v>
      </c>
    </row>
    <row r="608" spans="1:7">
      <c r="A608" s="118" t="s">
        <v>1081</v>
      </c>
      <c r="B608" s="157" t="s">
        <v>641</v>
      </c>
      <c r="C608" s="56">
        <v>45733</v>
      </c>
      <c r="E608" s="43"/>
      <c r="F608" s="123" t="s">
        <v>1175</v>
      </c>
      <c r="G608" t="str">
        <f t="shared" si="9"/>
        <v>March</v>
      </c>
    </row>
    <row r="609" spans="1:7">
      <c r="A609" s="118" t="s">
        <v>922</v>
      </c>
      <c r="B609" s="157" t="s">
        <v>641</v>
      </c>
      <c r="C609" s="56">
        <v>45733</v>
      </c>
      <c r="E609" s="43"/>
      <c r="F609" s="123" t="s">
        <v>1175</v>
      </c>
      <c r="G609" t="str">
        <f t="shared" si="9"/>
        <v>March</v>
      </c>
    </row>
    <row r="610" spans="1:7">
      <c r="A610" s="118" t="s">
        <v>884</v>
      </c>
      <c r="B610" s="157" t="s">
        <v>641</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641</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637</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655</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637</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640</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641</v>
      </c>
      <c r="C633" s="56">
        <v>45735</v>
      </c>
      <c r="D633" s="123">
        <v>200</v>
      </c>
      <c r="E633" s="43"/>
      <c r="F633" s="109" t="s">
        <v>1240</v>
      </c>
      <c r="G633" t="str">
        <f t="shared" si="9"/>
        <v>March</v>
      </c>
    </row>
    <row r="634" spans="1:7">
      <c r="A634" s="210" t="s">
        <v>922</v>
      </c>
      <c r="B634" s="141" t="s">
        <v>641</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637</v>
      </c>
      <c r="C636" s="56">
        <v>45735</v>
      </c>
      <c r="D636" s="123">
        <v>728</v>
      </c>
      <c r="E636" s="43"/>
      <c r="F636" s="109" t="s">
        <v>1243</v>
      </c>
      <c r="G636" t="str">
        <f t="shared" si="9"/>
        <v>March</v>
      </c>
    </row>
    <row r="637" spans="1:7">
      <c r="A637" s="210" t="s">
        <v>1018</v>
      </c>
      <c r="B637" s="154" t="s">
        <v>637</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637</v>
      </c>
      <c r="C643" s="56">
        <v>45736</v>
      </c>
      <c r="D643" s="123">
        <v>700</v>
      </c>
      <c r="E643" s="43"/>
      <c r="F643" s="109" t="s">
        <v>1246</v>
      </c>
      <c r="G643" t="str">
        <f t="shared" ref="G643:G706" si="10">TEXT(C643,"mmmm")</f>
        <v>March</v>
      </c>
    </row>
    <row r="644" spans="1:7">
      <c r="A644" s="210" t="s">
        <v>1018</v>
      </c>
      <c r="B644" s="154" t="s">
        <v>637</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641</v>
      </c>
      <c r="C647" s="56">
        <v>45736</v>
      </c>
      <c r="D647" s="123" t="s">
        <v>1249</v>
      </c>
      <c r="E647" s="43"/>
      <c r="G647" t="str">
        <f t="shared" si="10"/>
        <v>March</v>
      </c>
    </row>
    <row r="648" spans="1:7" ht="15.75">
      <c r="A648" s="210" t="s">
        <v>640</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637</v>
      </c>
      <c r="C654" s="56">
        <v>45736</v>
      </c>
      <c r="D654" s="123">
        <v>700</v>
      </c>
      <c r="E654" s="43"/>
      <c r="F654" s="109" t="s">
        <v>1246</v>
      </c>
      <c r="G654" t="str">
        <f t="shared" si="10"/>
        <v>March</v>
      </c>
    </row>
    <row r="655" spans="1:7">
      <c r="A655" s="210" t="s">
        <v>1018</v>
      </c>
      <c r="B655" s="154" t="s">
        <v>637</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641</v>
      </c>
      <c r="C658" s="56">
        <v>45736</v>
      </c>
      <c r="D658" s="123"/>
      <c r="E658" s="43"/>
      <c r="F658" s="123" t="s">
        <v>1249</v>
      </c>
      <c r="G658" t="str">
        <f t="shared" si="10"/>
        <v>March</v>
      </c>
    </row>
    <row r="659" spans="1:7" ht="15.75">
      <c r="A659" s="210" t="s">
        <v>640</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637</v>
      </c>
      <c r="C664" s="56">
        <v>45737</v>
      </c>
      <c r="D664" s="123">
        <v>709</v>
      </c>
      <c r="E664" s="43"/>
      <c r="F664" s="109" t="s">
        <v>1253</v>
      </c>
      <c r="G664" t="str">
        <f t="shared" si="10"/>
        <v>March</v>
      </c>
    </row>
    <row r="665" spans="1:7">
      <c r="A665" s="210" t="s">
        <v>1018</v>
      </c>
      <c r="B665" s="154" t="s">
        <v>637</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641</v>
      </c>
      <c r="C667" s="56">
        <v>45737</v>
      </c>
      <c r="D667" s="123">
        <v>420</v>
      </c>
      <c r="E667" s="43"/>
      <c r="F667" s="109" t="s">
        <v>1256</v>
      </c>
      <c r="G667" t="str">
        <f t="shared" si="10"/>
        <v>March</v>
      </c>
    </row>
    <row r="668" spans="1:7" ht="15.75">
      <c r="A668" s="210" t="s">
        <v>640</v>
      </c>
      <c r="B668" s="242" t="s">
        <v>1075</v>
      </c>
      <c r="C668" s="56">
        <v>45737</v>
      </c>
      <c r="D668" s="123">
        <v>270</v>
      </c>
      <c r="E668" s="43"/>
      <c r="F668" s="109" t="s">
        <v>1220</v>
      </c>
      <c r="G668" t="str">
        <f t="shared" si="10"/>
        <v>March</v>
      </c>
    </row>
    <row r="669" spans="1:7">
      <c r="A669" s="210" t="s">
        <v>884</v>
      </c>
      <c r="B669" s="157" t="s">
        <v>641</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641</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641</v>
      </c>
      <c r="C675" s="56">
        <v>45740</v>
      </c>
      <c r="D675" s="141">
        <v>982</v>
      </c>
      <c r="E675" s="43" t="s">
        <v>1261</v>
      </c>
      <c r="F675" s="109" t="s">
        <v>1153</v>
      </c>
      <c r="G675" t="str">
        <f t="shared" si="10"/>
        <v>March</v>
      </c>
    </row>
    <row r="676" spans="1:7">
      <c r="A676" s="141" t="s">
        <v>802</v>
      </c>
      <c r="B676" s="141" t="s">
        <v>641</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637</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637</v>
      </c>
      <c r="C682" s="56">
        <v>45740</v>
      </c>
      <c r="D682" s="141"/>
      <c r="E682" s="43"/>
      <c r="F682" s="141" t="s">
        <v>1197</v>
      </c>
      <c r="G682" t="str">
        <f t="shared" si="10"/>
        <v>March</v>
      </c>
    </row>
    <row r="683" spans="1:7">
      <c r="A683" s="154" t="s">
        <v>1085</v>
      </c>
      <c r="B683" s="154" t="s">
        <v>637</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640</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1260</v>
      </c>
      <c r="G687" t="str">
        <f t="shared" si="10"/>
        <v>March</v>
      </c>
    </row>
    <row r="688" spans="1:7">
      <c r="A688" s="141" t="s">
        <v>922</v>
      </c>
      <c r="B688" s="141" t="s">
        <v>641</v>
      </c>
      <c r="C688" s="56">
        <v>45741</v>
      </c>
      <c r="D688" s="141">
        <v>749</v>
      </c>
      <c r="E688" s="43"/>
      <c r="F688" s="109" t="s">
        <v>1269</v>
      </c>
      <c r="G688" t="str">
        <f t="shared" si="10"/>
        <v>March</v>
      </c>
    </row>
    <row r="689" spans="1:7">
      <c r="A689" s="141" t="s">
        <v>640</v>
      </c>
      <c r="B689" s="141" t="s">
        <v>641</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637</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647</v>
      </c>
      <c r="B697" s="154" t="s">
        <v>637</v>
      </c>
      <c r="C697" s="56">
        <v>45741</v>
      </c>
      <c r="D697" s="141"/>
      <c r="E697" s="43"/>
      <c r="F697" s="141" t="s">
        <v>1197</v>
      </c>
      <c r="G697" t="str">
        <f t="shared" si="10"/>
        <v>March</v>
      </c>
    </row>
    <row r="698" spans="1:7">
      <c r="A698" s="141" t="s">
        <v>636</v>
      </c>
      <c r="B698" s="154" t="s">
        <v>637</v>
      </c>
      <c r="C698" s="56">
        <v>45741</v>
      </c>
      <c r="D698" s="142">
        <v>1065</v>
      </c>
      <c r="E698" s="141" t="s">
        <v>1265</v>
      </c>
      <c r="F698" s="109" t="s">
        <v>1277</v>
      </c>
      <c r="G698" t="str">
        <f t="shared" si="10"/>
        <v>March</v>
      </c>
    </row>
    <row r="699" spans="1:7">
      <c r="A699" s="141" t="s">
        <v>640</v>
      </c>
      <c r="B699" s="141" t="s">
        <v>651</v>
      </c>
      <c r="C699" s="56">
        <v>45741</v>
      </c>
      <c r="D699" s="141"/>
      <c r="E699" s="43"/>
      <c r="F699" s="141" t="s">
        <v>1278</v>
      </c>
      <c r="G699" t="str">
        <f t="shared" si="10"/>
        <v>March</v>
      </c>
    </row>
    <row r="700" spans="1:7">
      <c r="A700" s="141" t="s">
        <v>897</v>
      </c>
      <c r="B700" s="154" t="s">
        <v>637</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641</v>
      </c>
      <c r="C711" s="56">
        <v>45742</v>
      </c>
      <c r="D711" s="210">
        <v>713</v>
      </c>
      <c r="E711" s="109"/>
      <c r="F711" s="109" t="s">
        <v>1282</v>
      </c>
      <c r="G711" t="str">
        <f t="shared" si="11"/>
        <v>March</v>
      </c>
    </row>
    <row r="712" spans="1:7">
      <c r="A712" s="141" t="s">
        <v>640</v>
      </c>
      <c r="B712" s="210" t="s">
        <v>641</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637</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636</v>
      </c>
      <c r="B720" s="154" t="s">
        <v>637</v>
      </c>
      <c r="C720" s="56">
        <v>45742</v>
      </c>
      <c r="D720" s="210">
        <v>825</v>
      </c>
      <c r="E720" s="43" t="s">
        <v>1285</v>
      </c>
      <c r="F720" s="109" t="s">
        <v>1160</v>
      </c>
      <c r="G720" t="str">
        <f t="shared" si="11"/>
        <v>March</v>
      </c>
    </row>
    <row r="721" spans="1:7">
      <c r="A721" s="141" t="s">
        <v>640</v>
      </c>
      <c r="B721" s="141" t="s">
        <v>651</v>
      </c>
      <c r="C721" s="56">
        <v>45742</v>
      </c>
      <c r="D721" s="210">
        <v>159</v>
      </c>
      <c r="E721" s="43" t="s">
        <v>1276</v>
      </c>
      <c r="F721" s="109" t="s">
        <v>1191</v>
      </c>
      <c r="G721" t="str">
        <f t="shared" si="11"/>
        <v>March</v>
      </c>
    </row>
    <row r="722" spans="1:7">
      <c r="A722" s="141" t="s">
        <v>897</v>
      </c>
      <c r="B722" s="154" t="s">
        <v>637</v>
      </c>
      <c r="C722" s="56">
        <v>45742</v>
      </c>
      <c r="D722" s="210"/>
      <c r="E722" s="43"/>
      <c r="F722" s="210" t="s">
        <v>1197</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1289</v>
      </c>
      <c r="G730" t="str">
        <f t="shared" si="11"/>
        <v>March</v>
      </c>
    </row>
    <row r="731" spans="1:7">
      <c r="A731" s="141" t="s">
        <v>640</v>
      </c>
      <c r="B731" s="141" t="s">
        <v>641</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636</v>
      </c>
      <c r="B738" s="154" t="s">
        <v>637</v>
      </c>
      <c r="C738" s="56">
        <v>45743</v>
      </c>
      <c r="D738" s="210">
        <v>705</v>
      </c>
      <c r="E738" s="109" t="s">
        <v>1265</v>
      </c>
      <c r="G738" t="str">
        <f t="shared" si="11"/>
        <v>March</v>
      </c>
      <c r="H738" s="164"/>
      <c r="I738" s="164"/>
      <c r="J738" s="164"/>
      <c r="K738" s="164"/>
      <c r="L738" s="164"/>
      <c r="M738" s="164"/>
    </row>
    <row r="739" spans="1:13">
      <c r="A739" s="141" t="s">
        <v>640</v>
      </c>
      <c r="B739" s="141" t="s">
        <v>651</v>
      </c>
      <c r="C739" s="56">
        <v>45743</v>
      </c>
      <c r="D739" s="210">
        <v>416</v>
      </c>
      <c r="E739" s="109" t="s">
        <v>1294</v>
      </c>
      <c r="F739" s="109" t="s">
        <v>1290</v>
      </c>
      <c r="G739" t="str">
        <f t="shared" si="11"/>
        <v>March</v>
      </c>
      <c r="H739" s="164"/>
      <c r="I739" s="254"/>
      <c r="J739" s="254"/>
      <c r="K739" s="164"/>
      <c r="L739" s="164"/>
      <c r="M739" s="164"/>
    </row>
    <row r="740" spans="1:13">
      <c r="A740" s="141" t="s">
        <v>897</v>
      </c>
      <c r="B740" s="154" t="s">
        <v>637</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1175</v>
      </c>
      <c r="E747" s="43"/>
      <c r="G747" t="str">
        <f t="shared" si="11"/>
        <v>March</v>
      </c>
      <c r="H747" s="164"/>
      <c r="I747" s="164"/>
      <c r="J747" s="164"/>
      <c r="K747" s="164"/>
      <c r="L747" s="164"/>
      <c r="M747" s="164"/>
    </row>
    <row r="748" spans="1:13">
      <c r="A748" s="141" t="s">
        <v>640</v>
      </c>
      <c r="B748" s="141" t="s">
        <v>641</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640</v>
      </c>
      <c r="B755" s="141" t="s">
        <v>651</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647</v>
      </c>
      <c r="B763" s="154" t="s">
        <v>637</v>
      </c>
      <c r="C763" s="56">
        <v>45747</v>
      </c>
      <c r="D763" s="210">
        <v>0</v>
      </c>
      <c r="E763" s="43"/>
      <c r="F763" s="210" t="s">
        <v>1197</v>
      </c>
      <c r="G763" t="str">
        <f t="shared" si="11"/>
        <v>March</v>
      </c>
    </row>
    <row r="764" spans="1:13">
      <c r="A764" s="141" t="s">
        <v>796</v>
      </c>
      <c r="B764" s="141" t="s">
        <v>641</v>
      </c>
      <c r="C764" s="56">
        <v>45747</v>
      </c>
      <c r="D764" s="209">
        <v>1880</v>
      </c>
      <c r="E764" s="109" t="s">
        <v>1259</v>
      </c>
      <c r="F764" s="109" t="s">
        <v>1148</v>
      </c>
      <c r="G764" t="str">
        <f t="shared" si="11"/>
        <v>March</v>
      </c>
    </row>
    <row r="765" spans="1:13">
      <c r="A765" s="141" t="s">
        <v>640</v>
      </c>
      <c r="B765" s="141" t="s">
        <v>641</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640</v>
      </c>
      <c r="B770" s="141" t="s">
        <v>651</v>
      </c>
      <c r="C770" s="56">
        <v>45747</v>
      </c>
      <c r="D770" s="210">
        <v>0</v>
      </c>
      <c r="E770" s="43"/>
      <c r="F770" s="210" t="s">
        <v>1309</v>
      </c>
      <c r="G770" t="str">
        <f t="shared" si="11"/>
        <v>March</v>
      </c>
      <c r="H770" s="254"/>
      <c r="I770" s="254"/>
      <c r="J770" s="254"/>
      <c r="K770" s="164"/>
    </row>
    <row r="771" spans="1:11">
      <c r="A771" s="141" t="s">
        <v>884</v>
      </c>
      <c r="B771" s="154" t="s">
        <v>637</v>
      </c>
      <c r="C771" s="56">
        <v>45747</v>
      </c>
      <c r="D771" s="210">
        <v>0</v>
      </c>
      <c r="E771" s="43"/>
      <c r="F771" s="210" t="s">
        <v>1310</v>
      </c>
      <c r="G771" t="str">
        <f t="shared" ref="G771:G834" si="12">TEXT(C771,"mmmm")</f>
        <v>March</v>
      </c>
      <c r="H771" s="254"/>
      <c r="I771" s="254"/>
      <c r="J771" s="254"/>
      <c r="K771" s="164"/>
    </row>
    <row r="772" spans="1:11">
      <c r="A772" s="141" t="s">
        <v>813</v>
      </c>
      <c r="B772" s="141" t="s">
        <v>641</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535</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637</v>
      </c>
      <c r="C781" s="56">
        <v>45748</v>
      </c>
      <c r="D781" s="141"/>
      <c r="E781" s="43"/>
      <c r="F781" s="141" t="s">
        <v>1197</v>
      </c>
      <c r="G781" t="str">
        <f t="shared" si="12"/>
        <v>April</v>
      </c>
      <c r="H781" s="164"/>
      <c r="I781" s="164"/>
      <c r="J781" s="164"/>
      <c r="K781" s="164"/>
    </row>
    <row r="782" spans="1:11">
      <c r="A782" s="141" t="s">
        <v>796</v>
      </c>
      <c r="B782" s="141" t="s">
        <v>641</v>
      </c>
      <c r="C782" s="56">
        <v>45748</v>
      </c>
      <c r="D782" s="141" t="s">
        <v>1175</v>
      </c>
      <c r="E782" s="43"/>
      <c r="G782" t="str">
        <f t="shared" si="12"/>
        <v>April</v>
      </c>
      <c r="H782" s="164"/>
      <c r="I782" s="164"/>
      <c r="J782" s="164"/>
      <c r="K782" s="164"/>
    </row>
    <row r="783" spans="1:11">
      <c r="A783" s="141" t="s">
        <v>640</v>
      </c>
      <c r="B783" s="141" t="s">
        <v>641</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637</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532</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637</v>
      </c>
      <c r="C795" s="56">
        <v>45749</v>
      </c>
      <c r="D795" s="141">
        <v>0</v>
      </c>
      <c r="E795" s="43"/>
      <c r="F795" s="141" t="s">
        <v>1197</v>
      </c>
      <c r="G795" t="str">
        <f t="shared" si="12"/>
        <v>April</v>
      </c>
      <c r="H795" s="164"/>
      <c r="I795" s="164"/>
      <c r="J795" s="164"/>
      <c r="K795" s="164"/>
    </row>
    <row r="796" spans="1:11">
      <c r="A796" s="141" t="s">
        <v>796</v>
      </c>
      <c r="B796" s="141" t="s">
        <v>641</v>
      </c>
      <c r="C796" s="56">
        <v>45749</v>
      </c>
      <c r="D796" s="141" t="s">
        <v>1175</v>
      </c>
      <c r="E796" s="43"/>
      <c r="G796" t="str">
        <f t="shared" si="12"/>
        <v>April</v>
      </c>
      <c r="H796" s="254"/>
      <c r="I796" s="254"/>
      <c r="J796" s="164"/>
      <c r="K796" s="164"/>
    </row>
    <row r="797" spans="1:11">
      <c r="A797" s="141" t="s">
        <v>640</v>
      </c>
      <c r="B797" s="141" t="s">
        <v>641</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637</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532</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540</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532</v>
      </c>
      <c r="B821" s="141" t="s">
        <v>1076</v>
      </c>
      <c r="C821" s="56">
        <v>45750</v>
      </c>
      <c r="E821" s="43"/>
      <c r="F821" s="141" t="s">
        <v>1324</v>
      </c>
      <c r="G821" t="str">
        <f t="shared" si="12"/>
        <v>April</v>
      </c>
    </row>
    <row r="822" spans="1:7">
      <c r="A822" s="141" t="s">
        <v>640</v>
      </c>
      <c r="B822" s="243" t="s">
        <v>139</v>
      </c>
      <c r="C822" s="56">
        <v>45751</v>
      </c>
      <c r="D822" s="43">
        <v>635</v>
      </c>
      <c r="E822" s="43"/>
      <c r="F822" s="43" t="s">
        <v>1325</v>
      </c>
      <c r="G822" t="str">
        <f t="shared" si="12"/>
        <v>April</v>
      </c>
    </row>
    <row r="823" spans="1:7">
      <c r="A823" s="141" t="s">
        <v>808</v>
      </c>
      <c r="B823" s="154" t="s">
        <v>637</v>
      </c>
      <c r="C823" s="56">
        <v>45751</v>
      </c>
      <c r="E823" s="43"/>
      <c r="F823" s="141" t="s">
        <v>1285</v>
      </c>
      <c r="G823" t="str">
        <f t="shared" si="12"/>
        <v>April</v>
      </c>
    </row>
    <row r="824" spans="1:7">
      <c r="A824" s="141" t="s">
        <v>802</v>
      </c>
      <c r="B824" s="141" t="s">
        <v>641</v>
      </c>
      <c r="C824" s="56">
        <v>45751</v>
      </c>
      <c r="D824" s="43">
        <v>594</v>
      </c>
      <c r="E824" s="43"/>
      <c r="F824" s="43" t="s">
        <v>1326</v>
      </c>
      <c r="G824" t="str">
        <f t="shared" si="12"/>
        <v>April</v>
      </c>
    </row>
    <row r="825" spans="1:7">
      <c r="A825" s="141" t="s">
        <v>640</v>
      </c>
      <c r="B825" s="141" t="s">
        <v>641</v>
      </c>
      <c r="C825" s="56">
        <v>45751</v>
      </c>
      <c r="E825" s="43"/>
      <c r="F825" s="141" t="s">
        <v>1327</v>
      </c>
      <c r="G825" t="str">
        <f t="shared" si="12"/>
        <v>April</v>
      </c>
    </row>
    <row r="826" spans="1:7">
      <c r="A826" s="141" t="s">
        <v>823</v>
      </c>
      <c r="B826" s="141" t="s">
        <v>641</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540</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532</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641</v>
      </c>
      <c r="C837" s="56">
        <v>45754</v>
      </c>
      <c r="D837" s="43">
        <v>367</v>
      </c>
      <c r="E837" s="43"/>
      <c r="F837" s="43" t="s">
        <v>1331</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540</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532</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641</v>
      </c>
      <c r="C859" s="56">
        <v>45756</v>
      </c>
      <c r="E859" s="43"/>
      <c r="F859" s="78" t="s">
        <v>1337</v>
      </c>
      <c r="G859" t="str">
        <f t="shared" si="13"/>
        <v>April</v>
      </c>
    </row>
    <row r="860" spans="1:7">
      <c r="A860" s="141" t="s">
        <v>854</v>
      </c>
      <c r="B860" s="154" t="s">
        <v>637</v>
      </c>
      <c r="C860" s="56">
        <v>45756</v>
      </c>
      <c r="D860" s="155">
        <v>1376</v>
      </c>
      <c r="E860" s="43"/>
      <c r="F860" s="43" t="s">
        <v>1338</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540</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532</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637</v>
      </c>
      <c r="C871" s="56">
        <v>45757</v>
      </c>
      <c r="D871" s="43">
        <v>875</v>
      </c>
      <c r="E871" s="43"/>
      <c r="F871" s="43" t="s">
        <v>1339</v>
      </c>
      <c r="G871" t="str">
        <f t="shared" si="13"/>
        <v>April</v>
      </c>
    </row>
    <row r="872" spans="1:7">
      <c r="A872" s="141" t="s">
        <v>880</v>
      </c>
      <c r="B872" s="141" t="s">
        <v>651</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533</v>
      </c>
      <c r="C882" s="56">
        <v>45758</v>
      </c>
      <c r="E882" s="43"/>
      <c r="F882" s="141" t="s">
        <v>1345</v>
      </c>
      <c r="G882" t="str">
        <f t="shared" si="13"/>
        <v>April</v>
      </c>
    </row>
    <row r="883" spans="1:7">
      <c r="A883" s="141" t="s">
        <v>922</v>
      </c>
      <c r="B883" s="141" t="s">
        <v>533</v>
      </c>
      <c r="C883" s="56">
        <v>45758</v>
      </c>
      <c r="E883" s="43"/>
      <c r="F883" s="141" t="s">
        <v>1346</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651</v>
      </c>
      <c r="C893" s="56">
        <v>45761</v>
      </c>
      <c r="D893" s="43">
        <v>547</v>
      </c>
      <c r="E893" s="43"/>
      <c r="G893" t="str">
        <f t="shared" si="13"/>
        <v>April</v>
      </c>
    </row>
    <row r="894" spans="1:7">
      <c r="A894" s="141" t="s">
        <v>802</v>
      </c>
      <c r="B894" s="141" t="s">
        <v>533</v>
      </c>
      <c r="C894" s="56">
        <v>45761</v>
      </c>
      <c r="E894" s="43"/>
      <c r="G894" t="str">
        <f t="shared" si="13"/>
        <v>April</v>
      </c>
    </row>
    <row r="895" spans="1:7">
      <c r="A895" s="141" t="s">
        <v>922</v>
      </c>
      <c r="B895" s="141" t="s">
        <v>533</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1173</v>
      </c>
      <c r="G898" t="str">
        <f t="shared" si="13"/>
        <v>April</v>
      </c>
    </row>
    <row r="899" spans="1:7">
      <c r="A899" s="141" t="s">
        <v>854</v>
      </c>
      <c r="B899" s="154" t="s">
        <v>637</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533</v>
      </c>
      <c r="C905" s="56">
        <v>45762</v>
      </c>
      <c r="E905" s="43"/>
      <c r="F905" s="141" t="s">
        <v>1357</v>
      </c>
      <c r="G905" t="str">
        <f t="shared" si="14"/>
        <v>April</v>
      </c>
    </row>
    <row r="906" spans="1:7">
      <c r="A906" s="141" t="s">
        <v>922</v>
      </c>
      <c r="B906" s="141" t="s">
        <v>533</v>
      </c>
      <c r="C906" s="56">
        <v>45762</v>
      </c>
      <c r="E906" s="43"/>
      <c r="F906" s="141" t="s">
        <v>1357</v>
      </c>
      <c r="G906" t="str">
        <f t="shared" si="14"/>
        <v>April</v>
      </c>
    </row>
    <row r="907" spans="1:7">
      <c r="A907" s="141" t="s">
        <v>895</v>
      </c>
      <c r="B907" s="141" t="s">
        <v>533</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637</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651</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533</v>
      </c>
      <c r="C920" s="56">
        <v>45763</v>
      </c>
      <c r="E920" s="43"/>
      <c r="F920" s="141" t="s">
        <v>1219</v>
      </c>
      <c r="G920" t="str">
        <f t="shared" si="14"/>
        <v>April</v>
      </c>
    </row>
    <row r="921" spans="1:7">
      <c r="A921" s="141" t="s">
        <v>895</v>
      </c>
      <c r="B921" s="141" t="s">
        <v>533</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651</v>
      </c>
      <c r="C926" s="56">
        <v>45764</v>
      </c>
      <c r="D926" s="43">
        <v>338</v>
      </c>
      <c r="E926" s="43"/>
      <c r="F926" s="43" t="s">
        <v>1367</v>
      </c>
      <c r="G926" t="str">
        <f t="shared" si="14"/>
        <v>April</v>
      </c>
    </row>
    <row r="927" spans="1:7">
      <c r="A927" s="304" t="s">
        <v>854</v>
      </c>
      <c r="B927" s="154" t="s">
        <v>637</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651</v>
      </c>
      <c r="C938" s="56">
        <v>45765</v>
      </c>
      <c r="D938" s="43">
        <v>26</v>
      </c>
      <c r="E938" s="43"/>
      <c r="F938" s="43" t="s">
        <v>1373</v>
      </c>
      <c r="G938" t="str">
        <f t="shared" si="14"/>
        <v>April</v>
      </c>
    </row>
    <row r="939" spans="1:7">
      <c r="A939" s="304" t="s">
        <v>854</v>
      </c>
      <c r="B939" s="154" t="s">
        <v>637</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637</v>
      </c>
      <c r="C942" s="56">
        <v>45765</v>
      </c>
      <c r="D942" s="43">
        <v>706</v>
      </c>
      <c r="E942" s="43"/>
      <c r="F942" s="43" t="s">
        <v>1191</v>
      </c>
      <c r="G942" t="str">
        <f t="shared" si="14"/>
        <v>April</v>
      </c>
    </row>
    <row r="943" spans="1:7">
      <c r="A943" s="141" t="s">
        <v>1020</v>
      </c>
      <c r="B943" s="306" t="s">
        <v>651</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533</v>
      </c>
      <c r="C946" s="56">
        <v>45765</v>
      </c>
      <c r="E946" s="43"/>
      <c r="F946" s="306" t="s">
        <v>1379</v>
      </c>
      <c r="G946" t="str">
        <f t="shared" si="14"/>
        <v>April</v>
      </c>
    </row>
    <row r="947" spans="1:7">
      <c r="A947" s="311" t="s">
        <v>895</v>
      </c>
      <c r="B947" s="311" t="s">
        <v>533</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651</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651</v>
      </c>
      <c r="C958" s="56">
        <v>45768</v>
      </c>
      <c r="E958" s="43"/>
      <c r="F958" s="169" t="s">
        <v>1352</v>
      </c>
      <c r="G958" t="str">
        <f t="shared" si="15"/>
        <v>April</v>
      </c>
    </row>
    <row r="959" spans="1:7">
      <c r="A959" s="311" t="s">
        <v>884</v>
      </c>
      <c r="B959" s="141" t="s">
        <v>533</v>
      </c>
      <c r="C959" s="56">
        <v>45768</v>
      </c>
      <c r="E959" s="43"/>
      <c r="F959" s="311" t="s">
        <v>1379</v>
      </c>
      <c r="G959" t="str">
        <f t="shared" si="15"/>
        <v>April</v>
      </c>
    </row>
    <row r="960" spans="1:7">
      <c r="A960" s="315" t="s">
        <v>922</v>
      </c>
      <c r="B960" s="141" t="s">
        <v>533</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651</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651</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641</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651</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641</v>
      </c>
      <c r="C984" s="56">
        <v>45770</v>
      </c>
      <c r="F984" s="320" t="s">
        <v>1405</v>
      </c>
    </row>
    <row r="985" spans="1:7">
      <c r="A985" s="315" t="s">
        <v>922</v>
      </c>
      <c r="B985" s="315" t="s">
        <v>641</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651</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641</v>
      </c>
      <c r="C997" s="56">
        <v>45771</v>
      </c>
      <c r="F997" s="311" t="s">
        <v>1414</v>
      </c>
      <c r="G997" t="str">
        <f t="shared" si="16"/>
        <v>April</v>
      </c>
    </row>
    <row r="998" spans="1:7">
      <c r="A998" s="315" t="s">
        <v>1030</v>
      </c>
      <c r="B998" s="315" t="s">
        <v>641</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651</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651</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637</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651</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637</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640</v>
      </c>
      <c r="B1082" s="141" t="s">
        <v>1075</v>
      </c>
      <c r="C1082" s="56">
        <v>45784</v>
      </c>
      <c r="D1082" s="43">
        <v>131</v>
      </c>
      <c r="F1082" s="43" t="s">
        <v>1168</v>
      </c>
    </row>
    <row r="1083" spans="1:7" ht="13.5" customHeight="1">
      <c r="A1083" s="324" t="s">
        <v>1093</v>
      </c>
      <c r="B1083" s="304" t="s">
        <v>641</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641</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641</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640</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641</v>
      </c>
      <c r="C1126" s="56">
        <v>45791</v>
      </c>
      <c r="D1126" s="43">
        <v>678</v>
      </c>
      <c r="G1126" t="str">
        <f t="shared" si="21"/>
        <v>May</v>
      </c>
    </row>
    <row r="1127" spans="1:7">
      <c r="A1127" s="134" t="s">
        <v>636</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641</v>
      </c>
      <c r="C1134" s="56">
        <v>45792</v>
      </c>
      <c r="D1134" s="43">
        <v>381</v>
      </c>
      <c r="G1134" t="str">
        <f t="shared" si="21"/>
        <v>May</v>
      </c>
    </row>
    <row r="1135" spans="1:7">
      <c r="A1135" s="134" t="s">
        <v>636</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641</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423</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636</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423</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1504</v>
      </c>
      <c r="G1161" t="str">
        <f t="shared" si="21"/>
        <v>May</v>
      </c>
    </row>
    <row r="1162" spans="1:7">
      <c r="A1162" s="304" t="s">
        <v>640</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423</v>
      </c>
      <c r="B1165" s="304" t="s">
        <v>127</v>
      </c>
      <c r="C1165" s="56">
        <v>45798</v>
      </c>
      <c r="D1165" s="43">
        <v>970</v>
      </c>
      <c r="F1165" s="43" t="s">
        <v>1202</v>
      </c>
      <c r="G1165" t="str">
        <f t="shared" si="21"/>
        <v>May</v>
      </c>
    </row>
    <row r="1166" spans="1:7">
      <c r="A1166" s="141" t="s">
        <v>676</v>
      </c>
      <c r="B1166" s="141" t="s">
        <v>641</v>
      </c>
      <c r="C1166" s="56">
        <v>45798</v>
      </c>
      <c r="D1166" s="43">
        <v>600</v>
      </c>
      <c r="G1166" t="str">
        <f t="shared" si="21"/>
        <v>May</v>
      </c>
    </row>
    <row r="1167" spans="1:7">
      <c r="A1167" s="324" t="s">
        <v>538</v>
      </c>
      <c r="B1167" s="304" t="s">
        <v>641</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636</v>
      </c>
      <c r="B1175" s="305" t="s">
        <v>1075</v>
      </c>
      <c r="C1175" s="56">
        <v>45800</v>
      </c>
      <c r="D1175" s="43">
        <v>236</v>
      </c>
      <c r="F1175" s="43" t="s">
        <v>1191</v>
      </c>
      <c r="G1175" t="str">
        <f t="shared" si="21"/>
        <v>May</v>
      </c>
    </row>
    <row r="1176" spans="1:7">
      <c r="A1176" s="311" t="s">
        <v>640</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641</v>
      </c>
      <c r="C1178" s="56">
        <v>45800</v>
      </c>
      <c r="F1178" s="351" t="s">
        <v>1441</v>
      </c>
      <c r="G1178" t="str">
        <f t="shared" si="21"/>
        <v>May</v>
      </c>
    </row>
    <row r="1179" spans="1:7">
      <c r="A1179" s="324" t="s">
        <v>538</v>
      </c>
      <c r="B1179" s="304" t="s">
        <v>641</v>
      </c>
      <c r="C1179" s="56">
        <v>45800</v>
      </c>
      <c r="D1179" s="43">
        <v>285</v>
      </c>
      <c r="F1179" s="43" t="s">
        <v>1513</v>
      </c>
      <c r="G1179" t="str">
        <f t="shared" si="21"/>
        <v>May</v>
      </c>
    </row>
    <row r="1180" spans="1:7">
      <c r="A1180" s="141" t="s">
        <v>636</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423</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423</v>
      </c>
      <c r="B1196" s="307" t="s">
        <v>127</v>
      </c>
      <c r="C1196" s="56">
        <v>45806</v>
      </c>
      <c r="D1196" s="155">
        <v>736</v>
      </c>
      <c r="F1196" s="43" t="s">
        <v>1521</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423</v>
      </c>
      <c r="B1205" s="141" t="s">
        <v>127</v>
      </c>
      <c r="C1205" s="56">
        <v>45810</v>
      </c>
      <c r="D1205" s="155">
        <v>1957</v>
      </c>
      <c r="F1205" s="43" t="s">
        <v>1524</v>
      </c>
      <c r="G1205" t="s">
        <v>1523</v>
      </c>
    </row>
    <row r="1206" spans="1:7">
      <c r="A1206" s="141" t="s">
        <v>676</v>
      </c>
      <c r="B1206" s="141" t="s">
        <v>641</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641</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641</v>
      </c>
      <c r="C1214" s="56">
        <v>45811</v>
      </c>
      <c r="F1214" s="141" t="s">
        <v>1219</v>
      </c>
      <c r="G1214" t="s">
        <v>1523</v>
      </c>
    </row>
    <row r="1215" spans="1:7">
      <c r="A1215" s="141" t="s">
        <v>676</v>
      </c>
      <c r="B1215" s="141" t="s">
        <v>641</v>
      </c>
      <c r="C1215" s="56">
        <v>45811</v>
      </c>
      <c r="D1215" s="43">
        <v>948</v>
      </c>
      <c r="G1215" t="s">
        <v>1523</v>
      </c>
    </row>
    <row r="1216" spans="1:7">
      <c r="A1216" s="141" t="s">
        <v>799</v>
      </c>
      <c r="B1216" s="141" t="s">
        <v>139</v>
      </c>
      <c r="C1216" s="56">
        <v>45812</v>
      </c>
      <c r="D1216" s="43">
        <v>83</v>
      </c>
      <c r="G1216" t="s">
        <v>1523</v>
      </c>
    </row>
    <row r="1217" spans="1:7">
      <c r="A1217" s="304" t="s">
        <v>509</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423</v>
      </c>
      <c r="B1221" s="304" t="s">
        <v>127</v>
      </c>
      <c r="C1221" s="56">
        <v>45812</v>
      </c>
      <c r="E1221" s="321">
        <v>8415</v>
      </c>
      <c r="F1221" s="43" t="s">
        <v>1530</v>
      </c>
      <c r="G1221" t="s">
        <v>1523</v>
      </c>
    </row>
    <row r="1222" spans="1:7">
      <c r="A1222" s="141" t="s">
        <v>676</v>
      </c>
      <c r="B1222" s="141" t="s">
        <v>641</v>
      </c>
      <c r="C1222" s="56">
        <v>45812</v>
      </c>
      <c r="F1222" s="141" t="s">
        <v>1528</v>
      </c>
      <c r="G1222" t="s">
        <v>1523</v>
      </c>
    </row>
    <row r="1223" spans="1:7">
      <c r="A1223" s="141" t="s">
        <v>509</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641</v>
      </c>
      <c r="C1228" s="56">
        <v>45813</v>
      </c>
      <c r="D1228" s="155">
        <v>1101</v>
      </c>
      <c r="F1228" s="43" t="s">
        <v>1214</v>
      </c>
      <c r="G1228" t="s">
        <v>1523</v>
      </c>
    </row>
    <row r="1229" spans="1:7">
      <c r="A1229" s="141" t="s">
        <v>676</v>
      </c>
      <c r="B1229" s="141" t="s">
        <v>641</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641</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641</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641</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641</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641</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641</v>
      </c>
      <c r="C1265" s="56">
        <v>45826</v>
      </c>
      <c r="D1265" s="43">
        <v>729</v>
      </c>
      <c r="G1265" t="s">
        <v>1523</v>
      </c>
    </row>
    <row r="1266" spans="1:7">
      <c r="A1266" s="141" t="s">
        <v>676</v>
      </c>
      <c r="B1266" s="141" t="s">
        <v>641</v>
      </c>
      <c r="C1266" s="56">
        <v>45827</v>
      </c>
      <c r="D1266" s="43">
        <v>464</v>
      </c>
      <c r="G1266" t="s">
        <v>1523</v>
      </c>
    </row>
    <row r="1267" spans="1:7">
      <c r="A1267" s="141" t="s">
        <v>532</v>
      </c>
      <c r="B1267" s="141" t="s">
        <v>641</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423</v>
      </c>
      <c r="B1270" s="315" t="s">
        <v>127</v>
      </c>
      <c r="C1270" s="56">
        <v>45828</v>
      </c>
      <c r="F1270" s="311" t="s">
        <v>1219</v>
      </c>
      <c r="G1270" t="s">
        <v>1523</v>
      </c>
    </row>
    <row r="1271" spans="1:7">
      <c r="A1271" s="141" t="s">
        <v>676</v>
      </c>
      <c r="B1271" s="141" t="s">
        <v>641</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641</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509</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641</v>
      </c>
      <c r="C1295" s="56">
        <v>45834</v>
      </c>
      <c r="D1295" s="43">
        <v>112</v>
      </c>
      <c r="F1295" s="43" t="s">
        <v>1202</v>
      </c>
      <c r="G1295" t="s">
        <v>1523</v>
      </c>
    </row>
    <row r="1296" spans="1:7">
      <c r="A1296" s="304" t="s">
        <v>532</v>
      </c>
      <c r="B1296" s="141" t="s">
        <v>641</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532</v>
      </c>
      <c r="B1301" s="317" t="s">
        <v>641</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532</v>
      </c>
      <c r="B1304" s="317" t="s">
        <v>641</v>
      </c>
      <c r="C1304" s="56">
        <v>45838</v>
      </c>
      <c r="D1304" s="43">
        <v>885</v>
      </c>
      <c r="F1304" s="43" t="s">
        <v>1214</v>
      </c>
      <c r="G1304" t="s">
        <v>1523</v>
      </c>
    </row>
    <row r="1305" spans="1:7">
      <c r="A1305" s="141" t="s">
        <v>786</v>
      </c>
      <c r="B1305" s="311" t="s">
        <v>1075</v>
      </c>
      <c r="C1305" s="56">
        <v>45839</v>
      </c>
      <c r="D1305" s="43">
        <v>120</v>
      </c>
      <c r="G1305" t="s">
        <v>1556</v>
      </c>
    </row>
    <row r="1306" spans="1:7">
      <c r="A1306" s="315" t="s">
        <v>423</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532</v>
      </c>
      <c r="B1308" s="317" t="s">
        <v>641</v>
      </c>
      <c r="C1308" s="56">
        <v>45839</v>
      </c>
      <c r="D1308" s="43">
        <v>478</v>
      </c>
      <c r="G1308" t="s">
        <v>1556</v>
      </c>
    </row>
    <row r="1309" spans="1:7">
      <c r="A1309" s="141" t="s">
        <v>676</v>
      </c>
      <c r="B1309" s="317" t="s">
        <v>641</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532</v>
      </c>
      <c r="B1314" s="317" t="s">
        <v>641</v>
      </c>
      <c r="C1314" s="56">
        <v>45840</v>
      </c>
      <c r="D1314" s="43">
        <v>490</v>
      </c>
      <c r="F1314" s="43" t="s">
        <v>1202</v>
      </c>
      <c r="G1314" t="s">
        <v>1556</v>
      </c>
    </row>
    <row r="1315" spans="1:7">
      <c r="A1315" s="141" t="s">
        <v>786</v>
      </c>
      <c r="B1315" s="311" t="s">
        <v>1075</v>
      </c>
      <c r="C1315" s="56">
        <v>45841</v>
      </c>
      <c r="F1315" s="141" t="s">
        <v>1219</v>
      </c>
      <c r="G1315" t="s">
        <v>1556</v>
      </c>
    </row>
    <row r="1316" spans="1:7">
      <c r="A1316" s="141" t="s">
        <v>532</v>
      </c>
      <c r="B1316" s="317" t="s">
        <v>641</v>
      </c>
      <c r="C1316" s="56">
        <v>45841</v>
      </c>
      <c r="D1316" s="43">
        <v>372</v>
      </c>
      <c r="F1316" s="115" t="s">
        <v>1202</v>
      </c>
      <c r="G1316" t="s">
        <v>1556</v>
      </c>
    </row>
    <row r="1317" spans="1:7" ht="15.75">
      <c r="A1317" s="141" t="s">
        <v>532</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532</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540</v>
      </c>
      <c r="B1327" s="157" t="s">
        <v>641</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535</v>
      </c>
      <c r="B1331" s="157" t="s">
        <v>386</v>
      </c>
      <c r="C1331" s="56">
        <v>45849</v>
      </c>
      <c r="D1331" s="43">
        <v>198</v>
      </c>
      <c r="G1331" t="s">
        <v>1556</v>
      </c>
    </row>
    <row r="1332" spans="1:7">
      <c r="A1332" s="247" t="s">
        <v>1010</v>
      </c>
      <c r="B1332" s="398" t="s">
        <v>1075</v>
      </c>
      <c r="C1332" s="56">
        <v>45852</v>
      </c>
      <c r="F1332" s="43" t="s">
        <v>1219</v>
      </c>
      <c r="G1332" t="s">
        <v>1556</v>
      </c>
    </row>
    <row r="1333" spans="1:7">
      <c r="A1333" s="617" t="s">
        <v>535</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535</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535</v>
      </c>
      <c r="B1378" s="318" t="s">
        <v>386</v>
      </c>
      <c r="C1378" s="56">
        <v>45862</v>
      </c>
      <c r="D1378" s="43">
        <v>880</v>
      </c>
      <c r="G1378" t="s">
        <v>1556</v>
      </c>
    </row>
    <row r="1379" spans="1:7">
      <c r="A1379" s="324" t="s">
        <v>540</v>
      </c>
      <c r="B1379" s="349" t="s">
        <v>641</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535</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535</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529</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543</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647</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543</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543</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543</v>
      </c>
      <c r="B1418" s="311" t="s">
        <v>386</v>
      </c>
      <c r="C1418" s="56">
        <v>45875</v>
      </c>
      <c r="D1418" s="43">
        <v>840</v>
      </c>
      <c r="G1418" t="s">
        <v>1595</v>
      </c>
    </row>
    <row r="1419" spans="1:7">
      <c r="A1419" s="141" t="s">
        <v>529</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543</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543</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543</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543</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543</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543</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543</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543</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543</v>
      </c>
      <c r="B1466" s="311" t="s">
        <v>386</v>
      </c>
      <c r="C1466" s="56">
        <v>45888</v>
      </c>
      <c r="D1466" s="43">
        <v>408</v>
      </c>
      <c r="F1466" s="115"/>
      <c r="G1466" t="s">
        <v>1595</v>
      </c>
    </row>
    <row r="1467" spans="1:7">
      <c r="A1467" s="583" t="s">
        <v>540</v>
      </c>
      <c r="B1467" s="318" t="s">
        <v>1075</v>
      </c>
      <c r="C1467" s="56">
        <v>45888</v>
      </c>
      <c r="F1467" s="141" t="s">
        <v>1610</v>
      </c>
      <c r="G1467" t="s">
        <v>1595</v>
      </c>
    </row>
    <row r="1468" spans="1:7">
      <c r="A1468" s="247" t="s">
        <v>529</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509</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543</v>
      </c>
      <c r="B1474" s="311" t="s">
        <v>386</v>
      </c>
      <c r="C1474" s="56">
        <v>45889</v>
      </c>
      <c r="D1474" s="43">
        <v>607</v>
      </c>
      <c r="F1474" s="43" t="s">
        <v>1611</v>
      </c>
      <c r="G1474" t="s">
        <v>1595</v>
      </c>
    </row>
    <row r="1475" spans="1:7">
      <c r="A1475" s="583" t="s">
        <v>540</v>
      </c>
      <c r="B1475" s="318" t="s">
        <v>1075</v>
      </c>
      <c r="C1475" s="56">
        <v>45889</v>
      </c>
      <c r="D1475" s="43">
        <v>499</v>
      </c>
      <c r="G1475" t="s">
        <v>1595</v>
      </c>
    </row>
    <row r="1476" spans="1:7">
      <c r="A1476" s="88" t="s">
        <v>1094</v>
      </c>
      <c r="B1476" s="398" t="s">
        <v>1075</v>
      </c>
      <c r="C1476" s="56">
        <v>45890</v>
      </c>
      <c r="D1476" s="43">
        <v>82</v>
      </c>
      <c r="G1476" t="s">
        <v>1595</v>
      </c>
    </row>
    <row r="1477" spans="1:7">
      <c r="A1477" s="88" t="s">
        <v>509</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543</v>
      </c>
      <c r="B1482" s="311" t="s">
        <v>386</v>
      </c>
      <c r="C1482" s="56">
        <v>45890</v>
      </c>
      <c r="D1482" s="155">
        <v>1022</v>
      </c>
      <c r="G1482" t="s">
        <v>1595</v>
      </c>
    </row>
    <row r="1483" spans="1:7">
      <c r="A1483" s="583" t="s">
        <v>540</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543</v>
      </c>
      <c r="B1488" s="311" t="s">
        <v>386</v>
      </c>
      <c r="C1488" s="56">
        <v>45891</v>
      </c>
      <c r="E1488" s="321">
        <v>6090</v>
      </c>
      <c r="F1488" s="43" t="s">
        <v>1615</v>
      </c>
      <c r="G1488" t="s">
        <v>1595</v>
      </c>
    </row>
    <row r="1489" spans="1:7">
      <c r="A1489" s="583" t="s">
        <v>540</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543</v>
      </c>
      <c r="B1495" s="311" t="s">
        <v>386</v>
      </c>
      <c r="C1495" s="56">
        <v>45894</v>
      </c>
      <c r="D1495" s="43">
        <v>639</v>
      </c>
      <c r="G1495" t="s">
        <v>1595</v>
      </c>
    </row>
    <row r="1496" spans="1:7">
      <c r="A1496" s="583" t="s">
        <v>540</v>
      </c>
      <c r="B1496" s="318" t="s">
        <v>1075</v>
      </c>
      <c r="C1496" s="56">
        <v>45894</v>
      </c>
      <c r="D1496" s="43">
        <v>503</v>
      </c>
      <c r="G1496" t="s">
        <v>1595</v>
      </c>
    </row>
    <row r="1497" spans="1:7">
      <c r="A1497" s="88" t="s">
        <v>1094</v>
      </c>
      <c r="B1497" s="398" t="s">
        <v>1075</v>
      </c>
      <c r="C1497" s="56">
        <v>45895</v>
      </c>
      <c r="F1497" s="43" t="s">
        <v>1352</v>
      </c>
      <c r="G1497" t="s">
        <v>1595</v>
      </c>
    </row>
    <row r="1498" spans="1:7">
      <c r="A1498" s="88" t="s">
        <v>509</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540</v>
      </c>
      <c r="B1504" s="631" t="s">
        <v>1075</v>
      </c>
      <c r="C1504" s="56">
        <v>45895</v>
      </c>
      <c r="D1504" s="43">
        <v>295</v>
      </c>
      <c r="G1504" t="s">
        <v>1595</v>
      </c>
    </row>
    <row r="1505" spans="1:7">
      <c r="A1505" s="628" t="s">
        <v>535</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535</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543</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535</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535</v>
      </c>
      <c r="B1524" s="311" t="s">
        <v>386</v>
      </c>
      <c r="C1524" s="56">
        <v>45898</v>
      </c>
      <c r="F1524" s="141" t="s">
        <v>1202</v>
      </c>
      <c r="G1524" t="s">
        <v>1595</v>
      </c>
    </row>
    <row r="1525" spans="1:7">
      <c r="A1525" s="326" t="s">
        <v>540</v>
      </c>
      <c r="B1525" s="315" t="s">
        <v>1075</v>
      </c>
      <c r="C1525" s="56">
        <v>45898</v>
      </c>
      <c r="D1525" s="43">
        <v>6</v>
      </c>
      <c r="F1525" s="43" t="s">
        <v>1630</v>
      </c>
      <c r="G1525" t="s">
        <v>1595</v>
      </c>
    </row>
    <row r="1526" spans="1:7">
      <c r="A1526" s="337" t="s">
        <v>543</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540</v>
      </c>
      <c r="B1531" s="315" t="s">
        <v>1075</v>
      </c>
      <c r="C1531" s="56">
        <v>45902</v>
      </c>
      <c r="D1531" s="43">
        <v>15</v>
      </c>
      <c r="F1531" s="43" t="s">
        <v>1636</v>
      </c>
      <c r="G1531" t="s">
        <v>1633</v>
      </c>
    </row>
    <row r="1532" spans="1:7">
      <c r="A1532" s="247" t="s">
        <v>535</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540</v>
      </c>
      <c r="B1539" s="318" t="s">
        <v>1075</v>
      </c>
      <c r="C1539" s="56">
        <v>45903</v>
      </c>
      <c r="D1539" s="43">
        <v>65</v>
      </c>
      <c r="F1539" s="141" t="s">
        <v>1643</v>
      </c>
      <c r="G1539" t="s">
        <v>1633</v>
      </c>
    </row>
    <row r="1540" spans="1:7">
      <c r="A1540" s="648" t="s">
        <v>535</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554</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540</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545</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554</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554</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554</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545</v>
      </c>
      <c r="B1564" s="684" t="s">
        <v>1514</v>
      </c>
      <c r="C1564" s="56">
        <v>45910</v>
      </c>
      <c r="F1564" s="43" t="s">
        <v>1352</v>
      </c>
      <c r="G1564" t="s">
        <v>1633</v>
      </c>
    </row>
    <row r="1565" spans="1:7">
      <c r="A1565" s="88" t="s">
        <v>1099</v>
      </c>
      <c r="B1565" s="398" t="s">
        <v>1075</v>
      </c>
      <c r="C1565" s="56">
        <v>45911</v>
      </c>
      <c r="D1565" s="43">
        <v>302</v>
      </c>
      <c r="G1565" t="s">
        <v>1633</v>
      </c>
    </row>
    <row r="1566" spans="1:7">
      <c r="A1566" s="88" t="s">
        <v>509</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545</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545</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540</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540</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554</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535</v>
      </c>
      <c r="B1596" s="311" t="s">
        <v>1075</v>
      </c>
      <c r="C1596" s="56">
        <v>45917</v>
      </c>
      <c r="D1596" s="43">
        <v>139</v>
      </c>
      <c r="F1596" s="734"/>
      <c r="G1596" t="s">
        <v>1633</v>
      </c>
    </row>
    <row r="1597" spans="1:7">
      <c r="A1597" s="88" t="s">
        <v>516</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556</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436</v>
      </c>
      <c r="C1612" s="56">
        <v>45922</v>
      </c>
      <c r="D1612" s="43">
        <v>329</v>
      </c>
      <c r="F1612" s="734"/>
      <c r="G1612" t="s">
        <v>1633</v>
      </c>
    </row>
    <row r="1613" spans="1:7">
      <c r="A1613" s="304" t="s">
        <v>556</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611</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535</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436</v>
      </c>
      <c r="C1621" s="56">
        <v>45923</v>
      </c>
      <c r="D1621" s="43">
        <v>427</v>
      </c>
      <c r="F1621" s="69"/>
      <c r="G1621" t="s">
        <v>1633</v>
      </c>
    </row>
    <row r="1622" spans="1:7">
      <c r="A1622" s="69" t="s">
        <v>556</v>
      </c>
      <c r="B1622" s="751" t="s">
        <v>127</v>
      </c>
      <c r="C1622" s="56">
        <v>45923</v>
      </c>
      <c r="D1622" s="43">
        <v>675</v>
      </c>
      <c r="F1622" s="69"/>
      <c r="G1622" t="s">
        <v>1633</v>
      </c>
    </row>
    <row r="1623" spans="1:7">
      <c r="A1623" s="69" t="s">
        <v>559</v>
      </c>
      <c r="B1623" s="752" t="s">
        <v>127</v>
      </c>
      <c r="C1623" s="56">
        <v>45923</v>
      </c>
      <c r="D1623" s="155">
        <v>1231</v>
      </c>
      <c r="F1623" s="69" t="s">
        <v>1676</v>
      </c>
      <c r="G1623" t="s">
        <v>1633</v>
      </c>
    </row>
    <row r="1624" spans="1:7">
      <c r="A1624" s="750" t="s">
        <v>611</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436</v>
      </c>
      <c r="C1630" s="56">
        <v>45924</v>
      </c>
      <c r="D1630" s="43">
        <v>537</v>
      </c>
      <c r="F1630" s="69"/>
      <c r="G1630" t="s">
        <v>1633</v>
      </c>
    </row>
    <row r="1631" spans="1:7">
      <c r="A1631" s="148" t="s">
        <v>565</v>
      </c>
      <c r="B1631" s="761" t="s">
        <v>127</v>
      </c>
      <c r="C1631" s="336">
        <v>45924</v>
      </c>
      <c r="D1631" s="155">
        <v>1205</v>
      </c>
      <c r="F1631" s="69" t="s">
        <v>1679</v>
      </c>
      <c r="G1631" t="s">
        <v>1633</v>
      </c>
    </row>
    <row r="1632" spans="1:7">
      <c r="A1632" s="69" t="s">
        <v>559</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556</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529</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556</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513</v>
      </c>
      <c r="B1645" s="398" t="s">
        <v>1075</v>
      </c>
      <c r="C1645" s="56">
        <v>45925</v>
      </c>
      <c r="D1645" s="43">
        <v>175</v>
      </c>
      <c r="F1645" s="30"/>
      <c r="G1645" t="s">
        <v>1633</v>
      </c>
    </row>
    <row r="1646" spans="1:7">
      <c r="A1646" s="743" t="s">
        <v>1122</v>
      </c>
      <c r="B1646" s="141" t="s">
        <v>436</v>
      </c>
      <c r="C1646" s="56">
        <v>45925</v>
      </c>
      <c r="D1646" s="43">
        <v>646</v>
      </c>
      <c r="F1646" s="69" t="s">
        <v>1305</v>
      </c>
      <c r="G1646" t="s">
        <v>1633</v>
      </c>
    </row>
    <row r="1647" spans="1:7">
      <c r="A1647" s="69" t="s">
        <v>565</v>
      </c>
      <c r="B1647" s="751" t="s">
        <v>127</v>
      </c>
      <c r="C1647" s="56">
        <v>45925</v>
      </c>
      <c r="D1647" s="155">
        <v>1000</v>
      </c>
      <c r="F1647" s="30"/>
      <c r="G1647" t="s">
        <v>1633</v>
      </c>
    </row>
    <row r="1648" spans="1:7">
      <c r="A1648" s="69" t="s">
        <v>559</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436</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513</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559</v>
      </c>
      <c r="B1667" s="737" t="s">
        <v>127</v>
      </c>
      <c r="C1667" s="56">
        <v>45929</v>
      </c>
      <c r="D1667" s="43">
        <v>600</v>
      </c>
      <c r="F1667" s="43" t="s">
        <v>1693</v>
      </c>
      <c r="G1667" t="s">
        <v>1633</v>
      </c>
    </row>
    <row r="1668" spans="1:7">
      <c r="A1668" s="311" t="s">
        <v>565</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565</v>
      </c>
      <c r="B1674" s="311" t="s">
        <v>127</v>
      </c>
      <c r="C1674" s="56">
        <v>45930</v>
      </c>
      <c r="D1674" s="43">
        <v>268</v>
      </c>
      <c r="E1674" s="139">
        <v>413</v>
      </c>
      <c r="F1674" s="43" t="s">
        <v>1695</v>
      </c>
      <c r="G1674" t="s">
        <v>1633</v>
      </c>
    </row>
    <row r="1675" spans="1:7">
      <c r="A1675" s="88" t="s">
        <v>516</v>
      </c>
      <c r="B1675" s="398" t="s">
        <v>1075</v>
      </c>
      <c r="C1675" s="56">
        <v>45930</v>
      </c>
      <c r="D1675" s="43">
        <v>134</v>
      </c>
      <c r="G1675" t="s">
        <v>1633</v>
      </c>
    </row>
    <row r="1676" spans="1:7">
      <c r="A1676" s="88" t="s">
        <v>658</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559</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529</v>
      </c>
      <c r="B1686" s="349" t="s">
        <v>216</v>
      </c>
      <c r="C1686" s="56">
        <v>45930</v>
      </c>
      <c r="D1686" s="43">
        <v>665</v>
      </c>
      <c r="G1686" t="s">
        <v>1633</v>
      </c>
    </row>
    <row r="1687" spans="1:7">
      <c r="A1687" s="88" t="s">
        <v>1099</v>
      </c>
      <c r="B1687" s="398" t="s">
        <v>1075</v>
      </c>
      <c r="C1687" s="56">
        <v>45931</v>
      </c>
      <c r="D1687" s="43">
        <v>201</v>
      </c>
      <c r="G1687" t="s">
        <v>1699</v>
      </c>
    </row>
    <row r="1688" spans="1:7">
      <c r="A1688" s="88" t="s">
        <v>658</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582</v>
      </c>
      <c r="B1692" s="737" t="s">
        <v>127</v>
      </c>
      <c r="C1692" s="56">
        <v>45931</v>
      </c>
      <c r="D1692" s="155">
        <v>1118</v>
      </c>
      <c r="G1692" t="s">
        <v>1699</v>
      </c>
    </row>
    <row r="1693" spans="1:7">
      <c r="A1693" s="134" t="s">
        <v>363</v>
      </c>
      <c r="B1693" s="141" t="s">
        <v>364</v>
      </c>
      <c r="C1693" s="56">
        <v>45931</v>
      </c>
      <c r="D1693" s="43">
        <v>312</v>
      </c>
      <c r="G1693" t="s">
        <v>1699</v>
      </c>
    </row>
    <row r="1694" spans="1:7">
      <c r="A1694" s="551" t="s">
        <v>529</v>
      </c>
      <c r="B1694" s="141" t="s">
        <v>216</v>
      </c>
      <c r="C1694" s="56">
        <v>45931</v>
      </c>
      <c r="D1694" s="43">
        <v>753</v>
      </c>
      <c r="G1694" t="s">
        <v>1699</v>
      </c>
    </row>
    <row r="1695" spans="1:7">
      <c r="A1695" s="305" t="s">
        <v>391</v>
      </c>
      <c r="B1695" s="348" t="s">
        <v>216</v>
      </c>
      <c r="C1695" s="56">
        <v>45931</v>
      </c>
      <c r="D1695" s="43">
        <v>224</v>
      </c>
      <c r="G1695" t="s">
        <v>1699</v>
      </c>
    </row>
    <row r="1696" spans="1:7">
      <c r="A1696" s="134" t="s">
        <v>516</v>
      </c>
      <c r="B1696" s="311" t="s">
        <v>1075</v>
      </c>
      <c r="C1696" s="56">
        <v>45932</v>
      </c>
      <c r="D1696" s="43">
        <v>450</v>
      </c>
      <c r="G1696" t="s">
        <v>1699</v>
      </c>
    </row>
    <row r="1697" spans="1:7">
      <c r="A1697" s="324" t="s">
        <v>658</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582</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529</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516</v>
      </c>
      <c r="B1708" s="311" t="s">
        <v>1075</v>
      </c>
      <c r="C1708" s="56">
        <v>45933</v>
      </c>
      <c r="D1708" s="43">
        <v>352</v>
      </c>
      <c r="G1708" t="s">
        <v>1699</v>
      </c>
    </row>
    <row r="1709" spans="1:7">
      <c r="A1709" s="324" t="s">
        <v>1099</v>
      </c>
      <c r="B1709" s="311" t="s">
        <v>1075</v>
      </c>
      <c r="C1709" s="56">
        <v>45933</v>
      </c>
      <c r="D1709" s="43">
        <v>352</v>
      </c>
      <c r="G1709" t="s">
        <v>1699</v>
      </c>
    </row>
    <row r="1710" spans="1:7">
      <c r="A1710" s="324" t="s">
        <v>658</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516</v>
      </c>
      <c r="B1718" s="311" t="s">
        <v>1075</v>
      </c>
      <c r="C1718" s="56">
        <v>45936</v>
      </c>
      <c r="D1718" s="43">
        <v>175</v>
      </c>
      <c r="G1718" t="s">
        <v>1699</v>
      </c>
    </row>
    <row r="1719" spans="1:7">
      <c r="A1719" s="583" t="s">
        <v>658</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582</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529</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516</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582</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658</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582</v>
      </c>
      <c r="B1743" s="141" t="s">
        <v>127</v>
      </c>
      <c r="C1743" s="56">
        <v>45938</v>
      </c>
      <c r="D1743" s="43">
        <v>308</v>
      </c>
      <c r="F1743" s="43" t="s">
        <v>1715</v>
      </c>
      <c r="G1743" t="s">
        <v>1699</v>
      </c>
    </row>
    <row r="1744" spans="1:7">
      <c r="A1744" s="647" t="s">
        <v>565</v>
      </c>
      <c r="B1744" s="141" t="s">
        <v>127</v>
      </c>
      <c r="C1744" s="56">
        <v>45938</v>
      </c>
      <c r="D1744" s="43">
        <v>334</v>
      </c>
      <c r="F1744" s="43" t="s">
        <v>1650</v>
      </c>
      <c r="G1744" t="s">
        <v>1699</v>
      </c>
    </row>
    <row r="1745" spans="1:7">
      <c r="A1745" s="304" t="s">
        <v>549</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513</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582</v>
      </c>
      <c r="B1753" s="395" t="s">
        <v>127</v>
      </c>
      <c r="C1753" s="56">
        <v>45939</v>
      </c>
      <c r="F1753" s="618" t="s">
        <v>1219</v>
      </c>
      <c r="G1753" t="s">
        <v>1699</v>
      </c>
    </row>
    <row r="1754" spans="1:7">
      <c r="A1754" s="148" t="s">
        <v>549</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513</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582</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529</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665</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584</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665</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584</v>
      </c>
      <c r="B1782" s="141" t="s">
        <v>127</v>
      </c>
      <c r="C1782" s="310">
        <v>45944</v>
      </c>
      <c r="D1782" s="43">
        <v>510</v>
      </c>
      <c r="F1782" s="43" t="s">
        <v>1726</v>
      </c>
      <c r="G1782" t="s">
        <v>1699</v>
      </c>
    </row>
    <row r="1783" spans="1:7">
      <c r="A1783" s="805" t="s">
        <v>588</v>
      </c>
      <c r="B1783" s="141" t="s">
        <v>127</v>
      </c>
      <c r="C1783" s="310">
        <v>45944</v>
      </c>
      <c r="D1783" s="43">
        <v>974</v>
      </c>
      <c r="F1783" s="43" t="s">
        <v>1727</v>
      </c>
      <c r="G1783" t="s">
        <v>1699</v>
      </c>
    </row>
    <row r="1784" spans="1:7">
      <c r="A1784" s="315" t="s">
        <v>1128</v>
      </c>
      <c r="B1784" s="315" t="s">
        <v>433</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665</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588</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433</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665</v>
      </c>
      <c r="B1799" s="141" t="s">
        <v>1690</v>
      </c>
      <c r="C1799" s="310">
        <v>45946</v>
      </c>
      <c r="D1799" s="43">
        <v>487</v>
      </c>
      <c r="F1799" s="43" t="s">
        <v>1737</v>
      </c>
      <c r="G1799" t="s">
        <v>1699</v>
      </c>
    </row>
    <row r="1800" spans="1:7">
      <c r="A1800" s="934" t="s">
        <v>588</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433</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665</v>
      </c>
      <c r="B1809" s="141" t="s">
        <v>1690</v>
      </c>
      <c r="C1809" s="56">
        <v>45947</v>
      </c>
      <c r="D1809" s="43">
        <v>123</v>
      </c>
      <c r="F1809" s="43" t="s">
        <v>1655</v>
      </c>
      <c r="G1809" t="s">
        <v>1699</v>
      </c>
    </row>
    <row r="1810" spans="1:7">
      <c r="A1810" s="683" t="s">
        <v>582</v>
      </c>
      <c r="B1810" s="683" t="s">
        <v>1075</v>
      </c>
      <c r="C1810" s="56">
        <v>45947</v>
      </c>
      <c r="F1810" s="43" t="s">
        <v>1743</v>
      </c>
      <c r="G1810" t="s">
        <v>1699</v>
      </c>
    </row>
    <row r="1811" spans="1:7">
      <c r="A1811" s="148" t="s">
        <v>1128</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516</v>
      </c>
      <c r="B1814" s="759" t="s">
        <v>1075</v>
      </c>
      <c r="C1814" s="56">
        <v>45950</v>
      </c>
      <c r="D1814" s="43">
        <v>153</v>
      </c>
      <c r="F1814" s="948"/>
      <c r="G1814" t="s">
        <v>1699</v>
      </c>
    </row>
    <row r="1815" spans="1:7">
      <c r="A1815" s="946" t="s">
        <v>665</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433</v>
      </c>
      <c r="C1818" s="56">
        <v>45950</v>
      </c>
      <c r="D1818" s="155">
        <v>3343</v>
      </c>
      <c r="F1818" s="43" t="s">
        <v>1748</v>
      </c>
      <c r="G1818" t="s">
        <v>1699</v>
      </c>
    </row>
    <row r="1819" spans="1:7">
      <c r="A1819" s="949" t="s">
        <v>529</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516</v>
      </c>
      <c r="B1822" s="958" t="s">
        <v>1075</v>
      </c>
      <c r="C1822" s="56">
        <v>45951</v>
      </c>
      <c r="D1822" s="155">
        <v>244</v>
      </c>
      <c r="G1822" t="s">
        <v>1699</v>
      </c>
    </row>
    <row r="1823" spans="1:7">
      <c r="A1823" s="88" t="s">
        <v>665</v>
      </c>
      <c r="B1823" s="953" t="s">
        <v>1690</v>
      </c>
      <c r="C1823" s="56">
        <v>45951</v>
      </c>
      <c r="D1823" s="43">
        <v>413</v>
      </c>
      <c r="F1823" s="43" t="s">
        <v>1168</v>
      </c>
      <c r="G1823" t="s">
        <v>1699</v>
      </c>
    </row>
    <row r="1824" spans="1:7">
      <c r="A1824" s="954" t="s">
        <v>588</v>
      </c>
      <c r="B1824" s="683" t="s">
        <v>127</v>
      </c>
      <c r="C1824" s="56">
        <v>45951</v>
      </c>
      <c r="D1824" s="43">
        <v>230</v>
      </c>
      <c r="F1824" s="43" t="s">
        <v>1749</v>
      </c>
      <c r="G1824" t="s">
        <v>1699</v>
      </c>
    </row>
    <row r="1825" spans="1:7">
      <c r="A1825" s="115" t="s">
        <v>1128</v>
      </c>
      <c r="B1825" s="115" t="s">
        <v>433</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594</v>
      </c>
      <c r="B1827" s="43" t="s">
        <v>127</v>
      </c>
      <c r="C1827" s="56">
        <v>45951</v>
      </c>
      <c r="D1827" s="155">
        <v>1182</v>
      </c>
      <c r="F1827" s="43" t="s">
        <v>1751</v>
      </c>
      <c r="G1827" t="s">
        <v>1699</v>
      </c>
    </row>
    <row r="1828" spans="1:7">
      <c r="A1828" s="322" t="s">
        <v>529</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665</v>
      </c>
      <c r="B1833" s="953" t="s">
        <v>1690</v>
      </c>
      <c r="C1833" s="56">
        <v>45952</v>
      </c>
      <c r="D1833" s="43">
        <v>190</v>
      </c>
      <c r="G1833" t="s">
        <v>1699</v>
      </c>
    </row>
    <row r="1834" spans="1:7">
      <c r="A1834" s="805" t="s">
        <v>1128</v>
      </c>
      <c r="B1834" s="805" t="s">
        <v>433</v>
      </c>
      <c r="C1834" s="56">
        <v>45952</v>
      </c>
      <c r="D1834" s="155">
        <v>2013</v>
      </c>
      <c r="F1834" s="320" t="s">
        <v>1754</v>
      </c>
      <c r="G1834" t="s">
        <v>1699</v>
      </c>
    </row>
    <row r="1835" spans="1:7">
      <c r="A1835" s="805" t="s">
        <v>594</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529</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516</v>
      </c>
      <c r="B1842" s="973" t="s">
        <v>1075</v>
      </c>
      <c r="C1842" s="56">
        <v>45953</v>
      </c>
      <c r="D1842" s="43">
        <v>237</v>
      </c>
      <c r="G1842" t="s">
        <v>1699</v>
      </c>
    </row>
    <row r="1843" spans="1:7">
      <c r="A1843" s="331" t="s">
        <v>665</v>
      </c>
      <c r="B1843" s="247" t="s">
        <v>1690</v>
      </c>
      <c r="C1843" s="310">
        <v>45953</v>
      </c>
      <c r="D1843" s="43">
        <v>844</v>
      </c>
      <c r="F1843" s="43" t="s">
        <v>1760</v>
      </c>
      <c r="G1843" t="s">
        <v>1699</v>
      </c>
    </row>
    <row r="1844" spans="1:7">
      <c r="A1844" s="331" t="s">
        <v>665</v>
      </c>
      <c r="B1844" s="247" t="s">
        <v>1761</v>
      </c>
      <c r="C1844" s="310">
        <v>45953</v>
      </c>
      <c r="D1844" s="43">
        <v>350</v>
      </c>
      <c r="G1844" t="s">
        <v>1699</v>
      </c>
    </row>
    <row r="1845" spans="1:7">
      <c r="A1845" s="141" t="s">
        <v>1128</v>
      </c>
      <c r="B1845" s="304" t="s">
        <v>433</v>
      </c>
      <c r="C1845" s="56">
        <v>45953</v>
      </c>
      <c r="D1845" s="155">
        <v>1500</v>
      </c>
      <c r="F1845" s="43" t="s">
        <v>1762</v>
      </c>
      <c r="G1845" t="s">
        <v>1699</v>
      </c>
    </row>
    <row r="1846" spans="1:7">
      <c r="A1846" s="141" t="s">
        <v>594</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549</v>
      </c>
      <c r="B1848" s="398" t="s">
        <v>1075</v>
      </c>
      <c r="C1848" s="56">
        <v>45953</v>
      </c>
      <c r="F1848" s="311" t="s">
        <v>1571</v>
      </c>
      <c r="G1848" t="s">
        <v>1699</v>
      </c>
    </row>
    <row r="1849" spans="1:7">
      <c r="A1849" s="931" t="s">
        <v>529</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665</v>
      </c>
      <c r="B1854" s="247" t="s">
        <v>1690</v>
      </c>
      <c r="C1854" s="56">
        <v>45954</v>
      </c>
      <c r="D1854" s="43">
        <v>142</v>
      </c>
      <c r="F1854" s="43" t="s">
        <v>1767</v>
      </c>
      <c r="G1854" t="s">
        <v>1699</v>
      </c>
    </row>
    <row r="1855" spans="1:7">
      <c r="A1855" s="88" t="s">
        <v>665</v>
      </c>
      <c r="B1855" s="247" t="s">
        <v>1761</v>
      </c>
      <c r="C1855" s="56">
        <v>45954</v>
      </c>
      <c r="D1855" s="43">
        <v>164</v>
      </c>
      <c r="F1855" s="43" t="s">
        <v>1768</v>
      </c>
      <c r="G1855" t="s">
        <v>1699</v>
      </c>
    </row>
    <row r="1856" spans="1:7">
      <c r="A1856" s="141" t="s">
        <v>1128</v>
      </c>
      <c r="B1856" s="304" t="s">
        <v>433</v>
      </c>
      <c r="C1856" s="56">
        <v>45954</v>
      </c>
      <c r="D1856" s="155">
        <v>1933</v>
      </c>
      <c r="G1856" t="s">
        <v>1699</v>
      </c>
    </row>
    <row r="1857" spans="1:7">
      <c r="A1857" s="931" t="s">
        <v>529</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665</v>
      </c>
      <c r="B1861" s="247" t="s">
        <v>1690</v>
      </c>
      <c r="C1861" s="56">
        <v>45957</v>
      </c>
      <c r="F1861" s="43" t="s">
        <v>1168</v>
      </c>
      <c r="G1861" t="s">
        <v>1699</v>
      </c>
    </row>
    <row r="1862" spans="1:7">
      <c r="A1862" s="88" t="s">
        <v>665</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433</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594</v>
      </c>
      <c r="B1867" s="395" t="s">
        <v>127</v>
      </c>
      <c r="C1867" s="56">
        <v>45957</v>
      </c>
      <c r="D1867" s="155">
        <v>1310</v>
      </c>
      <c r="F1867" s="43" t="s">
        <v>1776</v>
      </c>
      <c r="G1867" t="s">
        <v>1699</v>
      </c>
    </row>
    <row r="1868" spans="1:7">
      <c r="A1868" s="169" t="s">
        <v>549</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665</v>
      </c>
      <c r="B1874" s="247" t="s">
        <v>1690</v>
      </c>
      <c r="C1874" s="56">
        <v>45958</v>
      </c>
      <c r="F1874" s="320" t="s">
        <v>1352</v>
      </c>
      <c r="G1874" t="s">
        <v>1699</v>
      </c>
    </row>
    <row r="1875" spans="1:7">
      <c r="A1875" s="88" t="s">
        <v>665</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433</v>
      </c>
      <c r="C1878" s="56">
        <v>45958</v>
      </c>
      <c r="D1878" s="155">
        <v>2077</v>
      </c>
      <c r="G1878" t="s">
        <v>1699</v>
      </c>
    </row>
    <row r="1879" spans="1:7">
      <c r="A1879" s="141" t="s">
        <v>586</v>
      </c>
      <c r="B1879" s="141" t="s">
        <v>127</v>
      </c>
      <c r="C1879" s="56">
        <v>45958</v>
      </c>
      <c r="D1879" s="155">
        <v>1509</v>
      </c>
      <c r="F1879" s="43" t="s">
        <v>1781</v>
      </c>
      <c r="G1879" t="s">
        <v>1699</v>
      </c>
    </row>
    <row r="1880" spans="1:7">
      <c r="A1880" s="967" t="s">
        <v>580</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549</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513</v>
      </c>
      <c r="B1886" s="398" t="s">
        <v>1075</v>
      </c>
      <c r="C1886" s="56">
        <v>45959</v>
      </c>
      <c r="D1886" s="43">
        <v>171</v>
      </c>
      <c r="G1886" t="s">
        <v>1699</v>
      </c>
    </row>
    <row r="1887" spans="1:7">
      <c r="A1887" s="88" t="s">
        <v>665</v>
      </c>
      <c r="B1887" s="247" t="s">
        <v>1690</v>
      </c>
      <c r="C1887" s="56">
        <v>45959</v>
      </c>
      <c r="F1887" s="43" t="s">
        <v>1785</v>
      </c>
      <c r="G1887" t="s">
        <v>1699</v>
      </c>
    </row>
    <row r="1888" spans="1:7">
      <c r="A1888" s="88" t="s">
        <v>665</v>
      </c>
      <c r="B1888" s="247" t="s">
        <v>1786</v>
      </c>
      <c r="C1888" s="56">
        <v>45959</v>
      </c>
      <c r="D1888" s="155">
        <v>1147</v>
      </c>
      <c r="F1888" s="43" t="s">
        <v>1787</v>
      </c>
      <c r="G1888" t="s">
        <v>1699</v>
      </c>
    </row>
    <row r="1889" spans="1:7">
      <c r="A1889" s="88" t="s">
        <v>665</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433</v>
      </c>
      <c r="C1892" s="56">
        <v>45959</v>
      </c>
      <c r="D1892" s="155">
        <v>1096</v>
      </c>
      <c r="F1892" s="43" t="s">
        <v>1789</v>
      </c>
      <c r="G1892" t="s">
        <v>1699</v>
      </c>
    </row>
    <row r="1893" spans="1:7">
      <c r="A1893" s="756" t="s">
        <v>586</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529</v>
      </c>
      <c r="B1898" s="315" t="s">
        <v>1075</v>
      </c>
      <c r="C1898" s="56">
        <v>45959</v>
      </c>
      <c r="E1898" s="321">
        <v>5475</v>
      </c>
      <c r="F1898" s="43" t="s">
        <v>1793</v>
      </c>
      <c r="G1898" t="s">
        <v>1699</v>
      </c>
    </row>
    <row r="1899" spans="1:7">
      <c r="A1899" s="88" t="s">
        <v>665</v>
      </c>
      <c r="B1899" s="247" t="s">
        <v>1690</v>
      </c>
      <c r="C1899" s="56">
        <v>45960</v>
      </c>
      <c r="F1899" s="320" t="s">
        <v>1794</v>
      </c>
      <c r="G1899" t="s">
        <v>1699</v>
      </c>
    </row>
    <row r="1900" spans="1:7">
      <c r="A1900" s="88" t="s">
        <v>665</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433</v>
      </c>
      <c r="C1903" s="56">
        <v>45960</v>
      </c>
      <c r="F1903" s="141" t="s">
        <v>1798</v>
      </c>
      <c r="G1903" t="s">
        <v>1699</v>
      </c>
    </row>
    <row r="1904" spans="1:7">
      <c r="A1904" s="306" t="s">
        <v>586</v>
      </c>
      <c r="B1904" s="318" t="s">
        <v>127</v>
      </c>
      <c r="C1904" s="56">
        <v>45960</v>
      </c>
      <c r="D1904" s="43">
        <v>777</v>
      </c>
      <c r="F1904" s="43" t="s">
        <v>1799</v>
      </c>
      <c r="G1904" t="s">
        <v>1699</v>
      </c>
    </row>
    <row r="1905" spans="1:7">
      <c r="A1905" s="43" t="s">
        <v>580</v>
      </c>
      <c r="B1905" s="994" t="s">
        <v>127</v>
      </c>
      <c r="C1905" s="56">
        <v>45960</v>
      </c>
      <c r="D1905" s="43">
        <v>394</v>
      </c>
      <c r="E1905" s="321">
        <v>1275</v>
      </c>
      <c r="F1905" s="43" t="s">
        <v>1800</v>
      </c>
      <c r="G1905" t="s">
        <v>1699</v>
      </c>
    </row>
    <row r="1906" spans="1:7">
      <c r="A1906" s="995" t="s">
        <v>621</v>
      </c>
      <c r="B1906" s="169" t="s">
        <v>127</v>
      </c>
      <c r="C1906" s="56">
        <v>45960</v>
      </c>
      <c r="D1906" s="43">
        <v>978</v>
      </c>
      <c r="G1906" t="s">
        <v>1699</v>
      </c>
    </row>
    <row r="1907" spans="1:7">
      <c r="A1907" s="169" t="s">
        <v>429</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584</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665</v>
      </c>
      <c r="B1915" s="247" t="s">
        <v>1690</v>
      </c>
      <c r="C1915" s="56">
        <v>45961</v>
      </c>
      <c r="F1915" s="320" t="s">
        <v>1375</v>
      </c>
      <c r="G1915" t="s">
        <v>1699</v>
      </c>
    </row>
    <row r="1916" spans="1:7">
      <c r="A1916" s="88" t="s">
        <v>665</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433</v>
      </c>
      <c r="C1919" s="56">
        <v>45961</v>
      </c>
      <c r="E1919" s="321">
        <v>1428</v>
      </c>
      <c r="F1919" s="69"/>
      <c r="G1919" t="s">
        <v>1699</v>
      </c>
    </row>
    <row r="1920" spans="1:7">
      <c r="A1920" s="141" t="s">
        <v>586</v>
      </c>
      <c r="B1920" s="141" t="s">
        <v>127</v>
      </c>
      <c r="C1920" s="56">
        <v>45961</v>
      </c>
      <c r="F1920" s="69" t="s">
        <v>1806</v>
      </c>
      <c r="G1920" t="s">
        <v>1699</v>
      </c>
    </row>
    <row r="1921" spans="1:7">
      <c r="A1921" s="43" t="s">
        <v>586</v>
      </c>
      <c r="B1921" s="395" t="s">
        <v>1075</v>
      </c>
      <c r="C1921" s="56">
        <v>45961</v>
      </c>
      <c r="E1921" s="321">
        <v>1862</v>
      </c>
      <c r="F1921" s="618" t="s">
        <v>1522</v>
      </c>
      <c r="G1921" t="s">
        <v>1699</v>
      </c>
    </row>
    <row r="1922" spans="1:7">
      <c r="A1922" s="43" t="s">
        <v>543</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665</v>
      </c>
      <c r="B1927" s="315" t="s">
        <v>1786</v>
      </c>
      <c r="C1927" s="56">
        <v>45964</v>
      </c>
      <c r="F1927" s="320" t="s">
        <v>1459</v>
      </c>
      <c r="G1927" t="s">
        <v>1809</v>
      </c>
    </row>
    <row r="1928" spans="1:7">
      <c r="A1928" s="304" t="s">
        <v>621</v>
      </c>
      <c r="B1928" s="349" t="s">
        <v>127</v>
      </c>
      <c r="C1928" s="56">
        <v>45964</v>
      </c>
      <c r="D1928" s="155">
        <v>1420</v>
      </c>
      <c r="F1928" s="43" t="s">
        <v>1521</v>
      </c>
      <c r="G1928" t="s">
        <v>1809</v>
      </c>
    </row>
    <row r="1929" spans="1:7">
      <c r="A1929" s="346" t="s">
        <v>594</v>
      </c>
      <c r="B1929" s="349" t="s">
        <v>127</v>
      </c>
      <c r="C1929" s="56">
        <v>45964</v>
      </c>
      <c r="D1929" s="43">
        <v>701</v>
      </c>
      <c r="F1929" s="43" t="s">
        <v>1642</v>
      </c>
      <c r="G1929" t="s">
        <v>1809</v>
      </c>
    </row>
    <row r="1930" spans="1:7">
      <c r="A1930" s="141" t="s">
        <v>592</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429</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450</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665</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227</v>
      </c>
      <c r="C1943" s="56">
        <v>45965</v>
      </c>
      <c r="D1943" s="43">
        <v>778</v>
      </c>
      <c r="G1943" t="s">
        <v>1809</v>
      </c>
    </row>
    <row r="1944" spans="1:7">
      <c r="A1944" s="148" t="s">
        <v>519</v>
      </c>
      <c r="B1944" s="43" t="s">
        <v>1690</v>
      </c>
      <c r="C1944" s="56">
        <v>45965</v>
      </c>
      <c r="D1944" s="43">
        <v>550</v>
      </c>
      <c r="G1944" t="s">
        <v>1809</v>
      </c>
    </row>
    <row r="1945" spans="1:7">
      <c r="A1945" s="967" t="s">
        <v>592</v>
      </c>
      <c r="B1945" s="43" t="s">
        <v>127</v>
      </c>
      <c r="C1945" s="56">
        <v>45965</v>
      </c>
      <c r="D1945" s="155">
        <v>1120</v>
      </c>
      <c r="F1945" s="43" t="s">
        <v>1817</v>
      </c>
      <c r="G1945" t="s">
        <v>1809</v>
      </c>
    </row>
    <row r="1946" spans="1:7">
      <c r="A1946" s="141" t="s">
        <v>621</v>
      </c>
      <c r="B1946" s="141" t="s">
        <v>127</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545</v>
      </c>
      <c r="B1953" s="115" t="s">
        <v>1075</v>
      </c>
      <c r="C1953" s="56">
        <v>45965</v>
      </c>
      <c r="E1953" s="201"/>
      <c r="F1953" s="923" t="s">
        <v>1516</v>
      </c>
      <c r="G1953" t="s">
        <v>1809</v>
      </c>
    </row>
    <row r="1954" spans="1:7">
      <c r="A1954" s="247" t="s">
        <v>450</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227</v>
      </c>
      <c r="C1957" s="56">
        <v>45966</v>
      </c>
      <c r="D1957" s="43">
        <v>885</v>
      </c>
      <c r="G1957" t="s">
        <v>1809</v>
      </c>
    </row>
    <row r="1958" spans="1:7">
      <c r="A1958" s="141" t="s">
        <v>592</v>
      </c>
      <c r="B1958" s="141" t="s">
        <v>127</v>
      </c>
      <c r="C1958" s="56">
        <v>45966</v>
      </c>
      <c r="D1958" s="155">
        <v>1488</v>
      </c>
      <c r="F1958" s="43" t="s">
        <v>1822</v>
      </c>
      <c r="G1958" t="s">
        <v>1809</v>
      </c>
    </row>
    <row r="1959" spans="1:7">
      <c r="A1959" s="304" t="s">
        <v>621</v>
      </c>
      <c r="B1959" s="304" t="s">
        <v>127</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1075</v>
      </c>
      <c r="C1961" s="56">
        <v>45966</v>
      </c>
      <c r="D1961" s="43">
        <v>829</v>
      </c>
      <c r="G1961" t="s">
        <v>1809</v>
      </c>
    </row>
    <row r="1962" spans="1:7">
      <c r="A1962" s="304" t="s">
        <v>624</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441</v>
      </c>
      <c r="B1970" s="304" t="s">
        <v>127</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592</v>
      </c>
      <c r="B1973" s="43" t="s">
        <v>127</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441</v>
      </c>
      <c r="B1980" s="43" t="s">
        <v>127</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667</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468</v>
      </c>
      <c r="B1990" s="43" t="s">
        <v>127</v>
      </c>
      <c r="C1990" s="56">
        <v>45968</v>
      </c>
      <c r="D1990" s="155">
        <v>2948</v>
      </c>
      <c r="G1990" t="s">
        <v>1809</v>
      </c>
    </row>
    <row r="1991" spans="1:7">
      <c r="A1991" s="953" t="s">
        <v>665</v>
      </c>
      <c r="B1991" s="346" t="s">
        <v>1761</v>
      </c>
      <c r="C1991" s="56">
        <v>45971</v>
      </c>
      <c r="D1991" s="155">
        <v>560</v>
      </c>
      <c r="G1991" t="s">
        <v>1809</v>
      </c>
    </row>
    <row r="1992" spans="1:7">
      <c r="A1992" s="311" t="s">
        <v>429</v>
      </c>
      <c r="B1992" s="311" t="s">
        <v>1075</v>
      </c>
      <c r="C1992" s="56">
        <v>45971</v>
      </c>
      <c r="D1992" s="43">
        <v>558</v>
      </c>
      <c r="G1992" t="s">
        <v>1809</v>
      </c>
    </row>
    <row r="1993" spans="1:7">
      <c r="A1993" s="311" t="s">
        <v>429</v>
      </c>
      <c r="B1993" s="311" t="s">
        <v>433</v>
      </c>
      <c r="C1993" s="56">
        <v>45971</v>
      </c>
      <c r="F1993" s="43" t="s">
        <v>1524</v>
      </c>
      <c r="G1993" t="s">
        <v>1809</v>
      </c>
    </row>
    <row r="1994" spans="1:7">
      <c r="A1994" s="315" t="s">
        <v>624</v>
      </c>
      <c r="B1994" s="315" t="s">
        <v>127</v>
      </c>
      <c r="C1994" s="56">
        <v>45971</v>
      </c>
      <c r="D1994" s="155">
        <v>1351</v>
      </c>
      <c r="G1994" t="s">
        <v>1809</v>
      </c>
    </row>
    <row r="1995" spans="1:7">
      <c r="A1995" s="315" t="s">
        <v>594</v>
      </c>
      <c r="B1995" s="315" t="s">
        <v>127</v>
      </c>
      <c r="C1995" s="56">
        <v>45971</v>
      </c>
      <c r="D1995" s="43">
        <v>138</v>
      </c>
      <c r="F1995" s="43" t="s">
        <v>1831</v>
      </c>
      <c r="G1995" t="s">
        <v>1809</v>
      </c>
    </row>
    <row r="1996" spans="1:7">
      <c r="A1996" s="315" t="s">
        <v>621</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468</v>
      </c>
      <c r="B2001" s="311" t="s">
        <v>127</v>
      </c>
      <c r="C2001" s="56">
        <v>45971</v>
      </c>
      <c r="D2001" s="155">
        <v>4084</v>
      </c>
      <c r="G2001" t="s">
        <v>1809</v>
      </c>
    </row>
    <row r="2002" spans="1:7">
      <c r="A2002" s="141" t="s">
        <v>621</v>
      </c>
      <c r="B2002" s="306" t="s">
        <v>1514</v>
      </c>
      <c r="C2002" s="56">
        <v>45972</v>
      </c>
      <c r="E2002" s="321">
        <v>5569</v>
      </c>
      <c r="F2002" s="43" t="s">
        <v>1834</v>
      </c>
      <c r="G2002" t="s">
        <v>1809</v>
      </c>
    </row>
    <row r="2003" spans="1:7">
      <c r="A2003" s="304" t="s">
        <v>1131</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624</v>
      </c>
      <c r="B2009" s="115" t="s">
        <v>127</v>
      </c>
      <c r="C2009" s="56">
        <v>45973</v>
      </c>
      <c r="D2009" s="43">
        <v>890</v>
      </c>
      <c r="G2009" t="s">
        <v>1809</v>
      </c>
    </row>
    <row r="2010" spans="1:7">
      <c r="A2010" s="43" t="s">
        <v>624</v>
      </c>
      <c r="B2010" s="115" t="s">
        <v>433</v>
      </c>
      <c r="C2010" s="56">
        <v>45973</v>
      </c>
      <c r="F2010" s="43" t="s">
        <v>1516</v>
      </c>
      <c r="G2010" t="s">
        <v>1809</v>
      </c>
    </row>
    <row r="2011" spans="1:7">
      <c r="A2011" s="43" t="s">
        <v>590</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468</v>
      </c>
      <c r="B2017" s="43" t="s">
        <v>127</v>
      </c>
      <c r="C2017" s="56">
        <v>45973</v>
      </c>
      <c r="D2017" s="43">
        <v>242</v>
      </c>
      <c r="G2017" t="s">
        <v>1809</v>
      </c>
    </row>
    <row r="2018" spans="1:7">
      <c r="A2018" s="43" t="s">
        <v>460</v>
      </c>
      <c r="B2018" s="43" t="s">
        <v>127</v>
      </c>
      <c r="C2018" s="56">
        <v>45973</v>
      </c>
      <c r="D2018" s="155">
        <v>1264</v>
      </c>
      <c r="G2018" t="s">
        <v>1809</v>
      </c>
    </row>
    <row r="2019" spans="1:7">
      <c r="A2019" s="43" t="s">
        <v>473</v>
      </c>
      <c r="B2019" s="43" t="s">
        <v>127</v>
      </c>
      <c r="C2019" s="56">
        <v>45973</v>
      </c>
      <c r="D2019" s="155">
        <v>3678</v>
      </c>
      <c r="G2019" t="s">
        <v>1809</v>
      </c>
    </row>
    <row r="2020" spans="1:7">
      <c r="A2020" s="43" t="s">
        <v>429</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590</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127</v>
      </c>
      <c r="C2029" s="56">
        <v>45974</v>
      </c>
      <c r="D2029" s="155">
        <v>3382</v>
      </c>
      <c r="G2029" t="s">
        <v>1809</v>
      </c>
    </row>
    <row r="2030" spans="1:7">
      <c r="A2030" s="43" t="s">
        <v>460</v>
      </c>
      <c r="B2030" s="43" t="s">
        <v>127</v>
      </c>
      <c r="C2030" s="56">
        <v>45974</v>
      </c>
      <c r="D2030" s="155">
        <v>1281</v>
      </c>
      <c r="G2030" t="s">
        <v>1809</v>
      </c>
    </row>
    <row r="2031" spans="1:7">
      <c r="A2031" s="247" t="s">
        <v>503</v>
      </c>
      <c r="B2031" s="43" t="s">
        <v>127</v>
      </c>
      <c r="C2031" s="56">
        <v>45974</v>
      </c>
      <c r="D2031" s="43">
        <v>424</v>
      </c>
      <c r="G2031" t="s">
        <v>1809</v>
      </c>
    </row>
    <row r="2032" spans="1:7">
      <c r="A2032" s="247" t="s">
        <v>475</v>
      </c>
      <c r="B2032" s="43" t="s">
        <v>127</v>
      </c>
      <c r="C2032" s="56">
        <v>45974</v>
      </c>
      <c r="D2032" s="43">
        <v>598</v>
      </c>
      <c r="G2032" t="s">
        <v>1809</v>
      </c>
    </row>
    <row r="2033" spans="1:7">
      <c r="A2033" s="141" t="s">
        <v>429</v>
      </c>
      <c r="B2033" s="141" t="s">
        <v>1514</v>
      </c>
      <c r="C2033" s="56">
        <v>45975</v>
      </c>
      <c r="E2033" s="1011">
        <v>5647</v>
      </c>
      <c r="F2033" s="306" t="s">
        <v>1846</v>
      </c>
      <c r="G2033" t="s">
        <v>1809</v>
      </c>
    </row>
    <row r="2034" spans="1:7">
      <c r="A2034" s="304" t="s">
        <v>594</v>
      </c>
      <c r="B2034" s="304" t="s">
        <v>1514</v>
      </c>
      <c r="C2034" s="56">
        <v>45975</v>
      </c>
      <c r="D2034" s="139"/>
      <c r="E2034" s="43">
        <v>565</v>
      </c>
      <c r="F2034" s="141"/>
      <c r="G2034" t="s">
        <v>1809</v>
      </c>
    </row>
    <row r="2035" spans="1:7">
      <c r="A2035" s="304" t="s">
        <v>1133</v>
      </c>
      <c r="B2035" s="304" t="s">
        <v>436</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1134</v>
      </c>
      <c r="B2041" s="304" t="s">
        <v>433</v>
      </c>
      <c r="C2041" s="56">
        <v>45978</v>
      </c>
      <c r="D2041" s="155">
        <v>1505</v>
      </c>
      <c r="G2041" t="s">
        <v>1809</v>
      </c>
    </row>
    <row r="2042" spans="1:7">
      <c r="A2042" s="304" t="s">
        <v>599</v>
      </c>
      <c r="B2042" s="304" t="s">
        <v>127</v>
      </c>
      <c r="C2042" s="56">
        <v>45978</v>
      </c>
      <c r="D2042" s="155">
        <v>1471</v>
      </c>
      <c r="F2042" s="43" t="s">
        <v>1158</v>
      </c>
      <c r="G2042" t="s">
        <v>1809</v>
      </c>
    </row>
    <row r="2043" spans="1:7">
      <c r="A2043" s="305" t="s">
        <v>1133</v>
      </c>
      <c r="B2043" s="304" t="s">
        <v>436</v>
      </c>
      <c r="C2043" s="56">
        <v>45978</v>
      </c>
      <c r="D2043" s="43">
        <v>907</v>
      </c>
      <c r="F2043" s="43" t="s">
        <v>1202</v>
      </c>
      <c r="G2043" t="s">
        <v>1809</v>
      </c>
    </row>
    <row r="2044" spans="1:7">
      <c r="A2044" s="141" t="s">
        <v>596</v>
      </c>
      <c r="B2044" s="349" t="s">
        <v>127</v>
      </c>
      <c r="C2044" s="56">
        <v>45978</v>
      </c>
      <c r="D2044" s="43">
        <v>762</v>
      </c>
      <c r="G2044" t="s">
        <v>1809</v>
      </c>
    </row>
    <row r="2045" spans="1:7">
      <c r="A2045" s="141" t="s">
        <v>590</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127</v>
      </c>
      <c r="C2050" s="56">
        <v>45978</v>
      </c>
      <c r="D2050" s="155">
        <v>5466</v>
      </c>
      <c r="G2050" t="s">
        <v>1809</v>
      </c>
    </row>
    <row r="2051" spans="1:7">
      <c r="A2051" s="304" t="s">
        <v>460</v>
      </c>
      <c r="B2051" s="304" t="s">
        <v>127</v>
      </c>
      <c r="C2051" s="56">
        <v>45978</v>
      </c>
      <c r="D2051" s="155">
        <v>1662</v>
      </c>
      <c r="G2051" t="s">
        <v>1809</v>
      </c>
    </row>
    <row r="2052" spans="1:7">
      <c r="A2052" s="304" t="s">
        <v>475</v>
      </c>
      <c r="B2052" s="304" t="s">
        <v>127</v>
      </c>
      <c r="C2052" s="56">
        <v>45978</v>
      </c>
      <c r="D2052" s="155">
        <v>1498</v>
      </c>
      <c r="G2052" t="s">
        <v>1809</v>
      </c>
    </row>
    <row r="2053" spans="1:7">
      <c r="A2053" s="304" t="s">
        <v>665</v>
      </c>
      <c r="B2053" s="304" t="s">
        <v>1761</v>
      </c>
      <c r="C2053" s="56">
        <v>45979</v>
      </c>
      <c r="D2053" s="155">
        <v>17</v>
      </c>
      <c r="G2053" t="s">
        <v>1809</v>
      </c>
    </row>
    <row r="2054" spans="1:7">
      <c r="A2054" s="304" t="s">
        <v>1135</v>
      </c>
      <c r="B2054" s="304" t="s">
        <v>1761</v>
      </c>
      <c r="C2054" s="56">
        <v>45979</v>
      </c>
      <c r="D2054" s="155">
        <v>12</v>
      </c>
      <c r="G2054" t="s">
        <v>1809</v>
      </c>
    </row>
    <row r="2055" spans="1:7">
      <c r="A2055" s="43" t="s">
        <v>624</v>
      </c>
      <c r="B2055" s="43" t="s">
        <v>1514</v>
      </c>
      <c r="C2055" s="56">
        <v>45979</v>
      </c>
      <c r="E2055" s="321">
        <v>3272</v>
      </c>
      <c r="F2055" s="43" t="s">
        <v>1850</v>
      </c>
      <c r="G2055" t="s">
        <v>1809</v>
      </c>
    </row>
    <row r="2056" spans="1:7">
      <c r="A2056" s="43" t="s">
        <v>1134</v>
      </c>
      <c r="B2056" s="43" t="s">
        <v>433</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436</v>
      </c>
      <c r="C2058" s="56">
        <v>45979</v>
      </c>
      <c r="F2058" s="43" t="s">
        <v>1852</v>
      </c>
      <c r="G2058" t="s">
        <v>1809</v>
      </c>
    </row>
    <row r="2059" spans="1:7">
      <c r="A2059" t="s">
        <v>596</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127</v>
      </c>
      <c r="C2064" s="56">
        <v>45979</v>
      </c>
      <c r="D2064" s="155">
        <v>2684</v>
      </c>
      <c r="F2064" s="69"/>
      <c r="G2064" t="s">
        <v>1809</v>
      </c>
    </row>
    <row r="2065" spans="1:7">
      <c r="A2065" s="148" t="s">
        <v>475</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594</v>
      </c>
      <c r="B2067" s="141" t="s">
        <v>1514</v>
      </c>
      <c r="C2067" s="56">
        <v>45980</v>
      </c>
      <c r="E2067" s="321">
        <v>2996</v>
      </c>
      <c r="F2067" s="69" t="s">
        <v>1855</v>
      </c>
      <c r="G2067" t="s">
        <v>1809</v>
      </c>
    </row>
    <row r="2068" spans="1:7">
      <c r="A2068" s="304" t="s">
        <v>1134</v>
      </c>
      <c r="B2068" s="304" t="s">
        <v>433</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436</v>
      </c>
      <c r="C2070" s="56">
        <v>45980</v>
      </c>
      <c r="D2070" s="139"/>
      <c r="E2070" s="43"/>
      <c r="F2070" s="69" t="s">
        <v>1806</v>
      </c>
      <c r="G2070" t="s">
        <v>1809</v>
      </c>
    </row>
    <row r="2071" spans="1:7">
      <c r="A2071" s="311" t="s">
        <v>596</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596</v>
      </c>
      <c r="B2077" s="141" t="s">
        <v>127</v>
      </c>
      <c r="C2077" s="56">
        <v>45981</v>
      </c>
      <c r="D2077" s="155">
        <v>1603</v>
      </c>
      <c r="F2077" s="91" t="s">
        <v>1860</v>
      </c>
      <c r="G2077" t="s">
        <v>1809</v>
      </c>
    </row>
    <row r="2078" spans="1:7">
      <c r="A2078" s="304" t="s">
        <v>1134</v>
      </c>
      <c r="B2078" s="304" t="s">
        <v>433</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594</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127</v>
      </c>
      <c r="C2086" s="56">
        <v>45981</v>
      </c>
      <c r="D2086" s="155">
        <v>2252</v>
      </c>
      <c r="F2086" s="69"/>
      <c r="G2086" t="s">
        <v>1809</v>
      </c>
    </row>
    <row r="2087" spans="1:7">
      <c r="A2087" s="318" t="s">
        <v>475</v>
      </c>
      <c r="B2087" s="387" t="s">
        <v>127</v>
      </c>
      <c r="C2087" s="56">
        <v>45981</v>
      </c>
      <c r="D2087" s="1083">
        <v>1027</v>
      </c>
      <c r="F2087" s="69"/>
      <c r="G2087" t="s">
        <v>1809</v>
      </c>
    </row>
    <row r="2088" spans="1:7">
      <c r="A2088" s="348" t="s">
        <v>478</v>
      </c>
      <c r="B2088" s="357" t="s">
        <v>127</v>
      </c>
      <c r="C2088" s="56">
        <v>45981</v>
      </c>
      <c r="D2088" s="155">
        <v>1420</v>
      </c>
      <c r="F2088" s="69"/>
      <c r="G2088" t="s">
        <v>1809</v>
      </c>
    </row>
    <row r="2089" spans="1:7">
      <c r="A2089" s="318" t="s">
        <v>481</v>
      </c>
      <c r="B2089" s="387" t="s">
        <v>127</v>
      </c>
      <c r="C2089" s="56">
        <v>45981</v>
      </c>
      <c r="D2089" s="155">
        <v>2376</v>
      </c>
      <c r="F2089" s="69"/>
      <c r="G2089" t="s">
        <v>1809</v>
      </c>
    </row>
    <row r="2090" spans="1:7">
      <c r="A2090" s="348" t="s">
        <v>503</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433</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127</v>
      </c>
      <c r="C2097" s="56">
        <v>45982</v>
      </c>
      <c r="D2097" s="43">
        <v>51</v>
      </c>
      <c r="F2097" s="69"/>
      <c r="G2097" t="s">
        <v>1809</v>
      </c>
    </row>
    <row r="2098" spans="1:7">
      <c r="A2098" s="404" t="s">
        <v>503</v>
      </c>
      <c r="B2098" s="173" t="s">
        <v>127</v>
      </c>
      <c r="C2098" s="56">
        <v>45982</v>
      </c>
      <c r="D2098" s="155">
        <v>3007</v>
      </c>
      <c r="F2098" s="69"/>
      <c r="G2098" t="s">
        <v>1809</v>
      </c>
    </row>
    <row r="2099" spans="1:7">
      <c r="A2099" s="404" t="s">
        <v>475</v>
      </c>
      <c r="B2099" s="173" t="s">
        <v>127</v>
      </c>
      <c r="C2099" s="56">
        <v>45982</v>
      </c>
      <c r="D2099" s="43">
        <v>490</v>
      </c>
      <c r="F2099" s="69"/>
      <c r="G2099" t="s">
        <v>1809</v>
      </c>
    </row>
    <row r="2100" spans="1:7">
      <c r="A2100" s="404" t="s">
        <v>478</v>
      </c>
      <c r="B2100" s="173" t="s">
        <v>127</v>
      </c>
      <c r="C2100" s="56">
        <v>45982</v>
      </c>
      <c r="D2100" s="155">
        <v>3043</v>
      </c>
      <c r="F2100" s="69"/>
      <c r="G2100" t="s">
        <v>1809</v>
      </c>
    </row>
    <row r="2101" spans="1:7">
      <c r="A2101" s="404" t="s">
        <v>481</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513</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433</v>
      </c>
      <c r="C2110" s="310">
        <v>45985</v>
      </c>
      <c r="D2110" s="155">
        <v>2805</v>
      </c>
      <c r="F2110" s="69"/>
      <c r="G2110" t="s">
        <v>1809</v>
      </c>
    </row>
    <row r="2111" spans="1:7">
      <c r="A2111" s="43" t="s">
        <v>596</v>
      </c>
      <c r="B2111" s="1093" t="s">
        <v>127</v>
      </c>
      <c r="C2111" s="56">
        <v>45985</v>
      </c>
      <c r="D2111" s="43">
        <v>805</v>
      </c>
      <c r="F2111" s="69" t="s">
        <v>1873</v>
      </c>
      <c r="G2111" t="s">
        <v>1809</v>
      </c>
    </row>
    <row r="2112" spans="1:7">
      <c r="A2112" s="43" t="s">
        <v>599</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613</v>
      </c>
      <c r="B2114" s="169" t="s">
        <v>1075</v>
      </c>
      <c r="C2114" s="56">
        <v>45985</v>
      </c>
      <c r="D2114" s="43">
        <v>286</v>
      </c>
      <c r="E2114" s="201"/>
      <c r="F2114" s="148"/>
      <c r="G2114" t="s">
        <v>1809</v>
      </c>
    </row>
    <row r="2115" spans="1:7">
      <c r="A2115" s="43" t="s">
        <v>590</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613</v>
      </c>
      <c r="B2126" s="805" t="s">
        <v>1075</v>
      </c>
      <c r="C2126" s="56">
        <v>45986</v>
      </c>
      <c r="D2126" s="43">
        <v>357</v>
      </c>
      <c r="F2126" s="43" t="s">
        <v>1202</v>
      </c>
      <c r="G2126" t="s">
        <v>1809</v>
      </c>
    </row>
    <row r="2127" spans="1:7">
      <c r="A2127" s="43" t="s">
        <v>1134</v>
      </c>
      <c r="B2127" s="43" t="s">
        <v>433</v>
      </c>
      <c r="C2127" s="56">
        <v>45986</v>
      </c>
      <c r="D2127" s="155">
        <v>1397</v>
      </c>
      <c r="G2127" t="s">
        <v>1809</v>
      </c>
    </row>
    <row r="2128" spans="1:7">
      <c r="A2128" s="43" t="s">
        <v>602</v>
      </c>
      <c r="B2128" s="43" t="s">
        <v>127</v>
      </c>
      <c r="C2128" s="56">
        <v>45986</v>
      </c>
      <c r="D2128" s="155">
        <v>1100</v>
      </c>
      <c r="G2128" t="s">
        <v>1809</v>
      </c>
    </row>
    <row r="2129" spans="1:7">
      <c r="A2129" s="43" t="s">
        <v>599</v>
      </c>
      <c r="B2129" s="43" t="s">
        <v>127</v>
      </c>
      <c r="C2129" s="56">
        <v>45986</v>
      </c>
      <c r="D2129" s="155">
        <v>1360</v>
      </c>
      <c r="F2129" s="43" t="s">
        <v>1881</v>
      </c>
      <c r="G2129" t="s">
        <v>1809</v>
      </c>
    </row>
    <row r="2130" spans="1:7">
      <c r="A2130" s="43" t="s">
        <v>1137</v>
      </c>
      <c r="B2130" s="43" t="s">
        <v>436</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127</v>
      </c>
      <c r="C2136" s="56">
        <v>45986</v>
      </c>
      <c r="D2136" s="155">
        <v>2382</v>
      </c>
      <c r="G2136" t="s">
        <v>1809</v>
      </c>
    </row>
    <row r="2137" spans="1:7">
      <c r="A2137" s="404" t="s">
        <v>441</v>
      </c>
      <c r="B2137" s="173" t="s">
        <v>127</v>
      </c>
      <c r="C2137" s="56">
        <v>45986</v>
      </c>
      <c r="D2137" s="43">
        <v>996</v>
      </c>
      <c r="G2137" t="s">
        <v>1809</v>
      </c>
    </row>
    <row r="2138" spans="1:7">
      <c r="A2138" s="404" t="s">
        <v>484</v>
      </c>
      <c r="B2138" s="173" t="s">
        <v>127</v>
      </c>
      <c r="C2138" s="56">
        <v>45986</v>
      </c>
      <c r="D2138" s="155">
        <v>3634</v>
      </c>
      <c r="G2138" t="s">
        <v>1809</v>
      </c>
    </row>
    <row r="2139" spans="1:7">
      <c r="A2139" s="69" t="s">
        <v>481</v>
      </c>
      <c r="B2139" s="173" t="s">
        <v>127</v>
      </c>
      <c r="C2139" s="56">
        <v>45986</v>
      </c>
      <c r="D2139" s="155">
        <v>3311</v>
      </c>
      <c r="G2139" t="s">
        <v>1809</v>
      </c>
    </row>
    <row r="2140" spans="1:7">
      <c r="A2140" s="69" t="s">
        <v>309</v>
      </c>
      <c r="B2140" s="173" t="s">
        <v>127</v>
      </c>
      <c r="C2140" s="56">
        <v>45986</v>
      </c>
      <c r="D2140" s="155">
        <v>1175</v>
      </c>
      <c r="G2140" t="s">
        <v>1809</v>
      </c>
    </row>
    <row r="2141" spans="1:7">
      <c r="A2141" s="247" t="s">
        <v>478</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513</v>
      </c>
      <c r="B2145" s="311" t="s">
        <v>1075</v>
      </c>
      <c r="C2145" s="56">
        <v>45987</v>
      </c>
      <c r="F2145" s="782" t="s">
        <v>1352</v>
      </c>
      <c r="G2145" t="s">
        <v>1809</v>
      </c>
    </row>
    <row r="2146" spans="1:7">
      <c r="A2146" s="805" t="s">
        <v>613</v>
      </c>
      <c r="B2146" s="805" t="s">
        <v>1075</v>
      </c>
      <c r="C2146" s="56">
        <v>45987</v>
      </c>
      <c r="D2146" s="43">
        <v>331</v>
      </c>
      <c r="E2146" s="321">
        <v>1063</v>
      </c>
      <c r="F2146" s="43" t="s">
        <v>1883</v>
      </c>
      <c r="G2146" t="s">
        <v>1809</v>
      </c>
    </row>
    <row r="2147" spans="1:7">
      <c r="A2147" s="1094" t="s">
        <v>599</v>
      </c>
      <c r="B2147" s="304" t="s">
        <v>127</v>
      </c>
      <c r="C2147" s="56">
        <v>45987</v>
      </c>
      <c r="D2147" s="155">
        <v>1024</v>
      </c>
      <c r="F2147" s="43" t="s">
        <v>1884</v>
      </c>
      <c r="G2147" t="s">
        <v>1809</v>
      </c>
    </row>
    <row r="2148" spans="1:7">
      <c r="A2148" s="306" t="s">
        <v>602</v>
      </c>
      <c r="B2148" s="305" t="s">
        <v>127</v>
      </c>
      <c r="C2148" s="56">
        <v>45987</v>
      </c>
      <c r="D2148" s="43">
        <v>855</v>
      </c>
      <c r="F2148" s="43" t="s">
        <v>1885</v>
      </c>
      <c r="G2148" t="s">
        <v>1809</v>
      </c>
    </row>
    <row r="2149" spans="1:7">
      <c r="A2149" s="311" t="s">
        <v>1138</v>
      </c>
      <c r="B2149" s="311" t="s">
        <v>433</v>
      </c>
      <c r="C2149" s="56">
        <v>45987</v>
      </c>
      <c r="D2149" s="43">
        <v>955</v>
      </c>
      <c r="E2149" s="201"/>
      <c r="F2149" s="115" t="s">
        <v>1886</v>
      </c>
      <c r="G2149" t="s">
        <v>1809</v>
      </c>
    </row>
    <row r="2150" spans="1:7">
      <c r="A2150" s="315" t="s">
        <v>1139</v>
      </c>
      <c r="B2150" s="315" t="s">
        <v>436</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444</v>
      </c>
      <c r="B2160" s="311" t="s">
        <v>1075</v>
      </c>
      <c r="C2160" s="56">
        <v>45987</v>
      </c>
      <c r="E2160" s="139">
        <v>175</v>
      </c>
      <c r="G2160" t="s">
        <v>1809</v>
      </c>
    </row>
    <row r="2161" spans="1:7">
      <c r="A2161" s="306" t="s">
        <v>444</v>
      </c>
      <c r="B2161" s="315" t="s">
        <v>127</v>
      </c>
      <c r="C2161" s="56">
        <v>45987</v>
      </c>
      <c r="E2161" s="321">
        <v>2455</v>
      </c>
      <c r="F2161" s="43" t="s">
        <v>1891</v>
      </c>
      <c r="G2161" t="s">
        <v>1809</v>
      </c>
    </row>
    <row r="2162" spans="1:7">
      <c r="A2162" s="306" t="s">
        <v>446</v>
      </c>
      <c r="B2162" s="315" t="s">
        <v>1075</v>
      </c>
      <c r="C2162" s="56">
        <v>45987</v>
      </c>
      <c r="E2162" s="139">
        <v>376</v>
      </c>
      <c r="G2162" t="s">
        <v>1809</v>
      </c>
    </row>
    <row r="2163" spans="1:7">
      <c r="A2163" s="306" t="s">
        <v>446</v>
      </c>
      <c r="B2163" s="737" t="s">
        <v>127</v>
      </c>
      <c r="C2163" s="56">
        <v>45987</v>
      </c>
      <c r="E2163" s="139">
        <v>404</v>
      </c>
      <c r="F2163" s="43" t="s">
        <v>1892</v>
      </c>
      <c r="G2163" t="s">
        <v>1809</v>
      </c>
    </row>
    <row r="2164" spans="1:7">
      <c r="A2164" s="311" t="s">
        <v>448</v>
      </c>
      <c r="B2164" s="311" t="s">
        <v>1075</v>
      </c>
      <c r="C2164" s="56">
        <v>45987</v>
      </c>
      <c r="E2164" s="321">
        <v>1264</v>
      </c>
      <c r="G2164" t="s">
        <v>1809</v>
      </c>
    </row>
    <row r="2165" spans="1:7">
      <c r="A2165" s="315" t="s">
        <v>453</v>
      </c>
      <c r="B2165" s="315" t="s">
        <v>1075</v>
      </c>
      <c r="C2165" s="56">
        <v>45987</v>
      </c>
      <c r="E2165" s="321">
        <v>1520</v>
      </c>
      <c r="G2165" t="s">
        <v>1809</v>
      </c>
    </row>
    <row r="2166" spans="1:7">
      <c r="A2166" s="315" t="s">
        <v>454</v>
      </c>
      <c r="B2166" s="315" t="s">
        <v>1514</v>
      </c>
      <c r="C2166" s="56">
        <v>45987</v>
      </c>
      <c r="E2166" s="321">
        <v>1739</v>
      </c>
      <c r="G2166" t="s">
        <v>1809</v>
      </c>
    </row>
    <row r="2167" spans="1:7">
      <c r="A2167" s="315" t="s">
        <v>456</v>
      </c>
      <c r="B2167" s="315" t="s">
        <v>1075</v>
      </c>
      <c r="C2167" s="56">
        <v>45987</v>
      </c>
      <c r="E2167" s="321">
        <v>1584</v>
      </c>
      <c r="G2167" t="s">
        <v>1809</v>
      </c>
    </row>
    <row r="2168" spans="1:7">
      <c r="A2168" s="315" t="s">
        <v>458</v>
      </c>
      <c r="B2168" s="315" t="s">
        <v>1075</v>
      </c>
      <c r="C2168" s="56">
        <v>45987</v>
      </c>
      <c r="E2168" s="321">
        <v>1140</v>
      </c>
      <c r="G2168" t="s">
        <v>1809</v>
      </c>
    </row>
    <row r="2169" spans="1:7">
      <c r="A2169" s="315" t="s">
        <v>459</v>
      </c>
      <c r="B2169" s="315" t="s">
        <v>1075</v>
      </c>
      <c r="C2169" s="56">
        <v>45987</v>
      </c>
      <c r="E2169" s="139">
        <v>692</v>
      </c>
      <c r="G2169" t="s">
        <v>1809</v>
      </c>
    </row>
    <row r="2170" spans="1:7">
      <c r="C2170" s="56">
        <v>45988</v>
      </c>
      <c r="G2170" t="s">
        <v>1809</v>
      </c>
    </row>
    <row r="2171" spans="1:7">
      <c r="A2171" s="247" t="s">
        <v>596</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599</v>
      </c>
      <c r="B2176" s="805" t="s">
        <v>127</v>
      </c>
      <c r="C2176" s="56">
        <v>45992</v>
      </c>
      <c r="D2176" s="155">
        <v>1610</v>
      </c>
      <c r="F2176" s="43" t="s">
        <v>1897</v>
      </c>
      <c r="G2176" t="s">
        <v>1894</v>
      </c>
    </row>
    <row r="2177" spans="1:7">
      <c r="A2177" s="1094" t="s">
        <v>602</v>
      </c>
      <c r="B2177" s="304" t="s">
        <v>127</v>
      </c>
      <c r="C2177" s="56">
        <v>45992</v>
      </c>
      <c r="D2177" s="155">
        <v>1622</v>
      </c>
      <c r="F2177" s="43" t="s">
        <v>1898</v>
      </c>
      <c r="G2177" t="s">
        <v>1894</v>
      </c>
    </row>
    <row r="2178" spans="1:7">
      <c r="A2178" s="141" t="s">
        <v>1138</v>
      </c>
      <c r="B2178" s="304" t="s">
        <v>433</v>
      </c>
      <c r="C2178" s="56">
        <v>45992</v>
      </c>
      <c r="D2178" s="155">
        <v>1765</v>
      </c>
      <c r="G2178" t="s">
        <v>1894</v>
      </c>
    </row>
    <row r="2179" spans="1:7">
      <c r="A2179" s="304" t="s">
        <v>1137</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484</v>
      </c>
      <c r="B2182" s="357" t="s">
        <v>127</v>
      </c>
      <c r="C2182" s="56">
        <v>45992</v>
      </c>
      <c r="D2182" s="155">
        <v>3376</v>
      </c>
      <c r="G2182" t="s">
        <v>1894</v>
      </c>
    </row>
    <row r="2183" spans="1:7">
      <c r="A2183" s="317" t="s">
        <v>462</v>
      </c>
      <c r="B2183" s="308" t="s">
        <v>127</v>
      </c>
      <c r="C2183" s="56">
        <v>45992</v>
      </c>
      <c r="D2183" s="155">
        <v>3084</v>
      </c>
      <c r="G2183" t="s">
        <v>1894</v>
      </c>
    </row>
    <row r="2184" spans="1:7">
      <c r="A2184" s="311" t="s">
        <v>500</v>
      </c>
      <c r="B2184" s="311" t="s">
        <v>127</v>
      </c>
      <c r="C2184" s="56">
        <v>45992</v>
      </c>
      <c r="D2184" s="155">
        <v>1829</v>
      </c>
      <c r="G2184" t="s">
        <v>1894</v>
      </c>
    </row>
    <row r="2185" spans="1:7">
      <c r="A2185" s="247" t="s">
        <v>465</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1137</v>
      </c>
      <c r="B2190" s="141" t="s">
        <v>436</v>
      </c>
      <c r="C2190" s="56">
        <v>45993</v>
      </c>
      <c r="D2190" s="43">
        <v>610</v>
      </c>
      <c r="F2190" s="43" t="s">
        <v>1902</v>
      </c>
      <c r="G2190" t="s">
        <v>1894</v>
      </c>
    </row>
    <row r="2191" spans="1:7">
      <c r="A2191" s="1094" t="s">
        <v>602</v>
      </c>
      <c r="B2191" s="304" t="s">
        <v>127</v>
      </c>
      <c r="C2191" s="56">
        <v>45993</v>
      </c>
      <c r="D2191" s="155">
        <v>1131</v>
      </c>
      <c r="F2191" s="43" t="s">
        <v>1903</v>
      </c>
      <c r="G2191" t="s">
        <v>1894</v>
      </c>
    </row>
    <row r="2192" spans="1:7">
      <c r="A2192" s="141" t="s">
        <v>1138</v>
      </c>
      <c r="B2192" s="304" t="s">
        <v>433</v>
      </c>
      <c r="C2192" s="56">
        <v>45993</v>
      </c>
      <c r="D2192" s="155">
        <v>1153</v>
      </c>
      <c r="F2192" s="43" t="s">
        <v>1904</v>
      </c>
      <c r="G2192" t="s">
        <v>1894</v>
      </c>
    </row>
    <row r="2193" spans="1:7">
      <c r="A2193" s="304" t="s">
        <v>592</v>
      </c>
      <c r="B2193" s="304" t="s">
        <v>1075</v>
      </c>
      <c r="C2193" s="56">
        <v>45993</v>
      </c>
      <c r="D2193" s="43">
        <v>175</v>
      </c>
      <c r="G2193" t="s">
        <v>1894</v>
      </c>
    </row>
    <row r="2194" spans="1:7">
      <c r="A2194" s="311" t="s">
        <v>465</v>
      </c>
      <c r="B2194" s="311" t="s">
        <v>127</v>
      </c>
      <c r="C2194" s="56">
        <v>45993</v>
      </c>
      <c r="D2194" s="155">
        <v>2916</v>
      </c>
      <c r="G2194" t="s">
        <v>1894</v>
      </c>
    </row>
    <row r="2195" spans="1:7">
      <c r="A2195" s="315" t="s">
        <v>500</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1137</v>
      </c>
      <c r="B2201" s="756" t="s">
        <v>436</v>
      </c>
      <c r="C2201" s="56">
        <v>45994</v>
      </c>
      <c r="D2201" s="43">
        <v>974</v>
      </c>
      <c r="G2201" t="s">
        <v>1894</v>
      </c>
    </row>
    <row r="2202" spans="1:7">
      <c r="A2202" s="1094" t="s">
        <v>571</v>
      </c>
      <c r="B2202" s="1128" t="s">
        <v>139</v>
      </c>
      <c r="C2202" s="56">
        <v>45994</v>
      </c>
      <c r="D2202" s="43">
        <v>466</v>
      </c>
      <c r="F2202" s="43" t="s">
        <v>1908</v>
      </c>
      <c r="G2202" t="s">
        <v>1894</v>
      </c>
    </row>
    <row r="2203" spans="1:7">
      <c r="A2203" s="756" t="s">
        <v>1138</v>
      </c>
      <c r="B2203" s="1128" t="s">
        <v>433</v>
      </c>
      <c r="C2203" s="56">
        <v>45994</v>
      </c>
      <c r="D2203" s="43">
        <v>383</v>
      </c>
      <c r="G2203" t="s">
        <v>1894</v>
      </c>
    </row>
    <row r="2204" spans="1:7">
      <c r="A2204" s="756" t="s">
        <v>577</v>
      </c>
      <c r="B2204" s="1128" t="s">
        <v>127</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127</v>
      </c>
      <c r="C2206" s="56">
        <v>45994</v>
      </c>
      <c r="D2206" s="155">
        <v>2430</v>
      </c>
      <c r="G2206" t="s">
        <v>1894</v>
      </c>
    </row>
    <row r="2207" spans="1:7">
      <c r="A2207" s="759" t="s">
        <v>500</v>
      </c>
      <c r="B2207" s="759" t="s">
        <v>127</v>
      </c>
      <c r="C2207" s="56">
        <v>45994</v>
      </c>
      <c r="D2207" s="43">
        <v>694</v>
      </c>
      <c r="G2207" t="s">
        <v>1894</v>
      </c>
    </row>
    <row r="2208" spans="1:7">
      <c r="A2208" s="1129" t="s">
        <v>314</v>
      </c>
      <c r="B2208" s="1130"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571</v>
      </c>
      <c r="B2214" s="311" t="s">
        <v>139</v>
      </c>
      <c r="C2214" s="56">
        <v>45995</v>
      </c>
      <c r="D2214" s="43">
        <v>195</v>
      </c>
      <c r="F2214" s="43" t="s">
        <v>1913</v>
      </c>
      <c r="G2214" t="s">
        <v>1894</v>
      </c>
    </row>
    <row r="2215" spans="1:7">
      <c r="A2215" s="315" t="s">
        <v>1138</v>
      </c>
      <c r="B2215" s="315" t="s">
        <v>433</v>
      </c>
      <c r="C2215" s="56">
        <v>45995</v>
      </c>
      <c r="D2215" s="43">
        <v>490</v>
      </c>
      <c r="F2215" s="43" t="s">
        <v>1914</v>
      </c>
      <c r="G2215" t="s">
        <v>1894</v>
      </c>
    </row>
    <row r="2216" spans="1:7">
      <c r="A2216" s="315" t="s">
        <v>577</v>
      </c>
      <c r="B2216" s="315" t="s">
        <v>1915</v>
      </c>
      <c r="C2216" s="56">
        <v>45995</v>
      </c>
      <c r="D2216" s="155">
        <v>1154</v>
      </c>
      <c r="F2216" s="43" t="s">
        <v>1916</v>
      </c>
      <c r="G2216" t="s">
        <v>1894</v>
      </c>
    </row>
    <row r="2217" spans="1:7">
      <c r="A2217" s="1094" t="s">
        <v>571</v>
      </c>
      <c r="B2217" s="1128"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470</v>
      </c>
      <c r="B2221" s="311" t="s">
        <v>1075</v>
      </c>
      <c r="C2221" s="56">
        <v>45995</v>
      </c>
      <c r="D2221" s="43">
        <v>64</v>
      </c>
      <c r="F2221" s="43" t="s">
        <v>1919</v>
      </c>
      <c r="G2221" t="s">
        <v>1894</v>
      </c>
    </row>
    <row r="2222" spans="1:7">
      <c r="A2222" s="247" t="s">
        <v>478</v>
      </c>
      <c r="B2222" s="1130"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3" t="s">
        <v>436</v>
      </c>
      <c r="C2227" s="56">
        <v>45996</v>
      </c>
      <c r="D2227" s="43">
        <v>385</v>
      </c>
      <c r="F2227" s="43" t="s">
        <v>1922</v>
      </c>
      <c r="G2227" t="s">
        <v>1894</v>
      </c>
    </row>
    <row r="2228" spans="1:7">
      <c r="A2228" s="647" t="s">
        <v>596</v>
      </c>
      <c r="B2228" s="1134" t="s">
        <v>1514</v>
      </c>
      <c r="C2228" s="56">
        <v>45996</v>
      </c>
      <c r="E2228" s="139">
        <v>446</v>
      </c>
      <c r="F2228" s="756"/>
      <c r="G2228" t="s">
        <v>1894</v>
      </c>
    </row>
    <row r="2229" spans="1:7">
      <c r="A2229" s="647" t="s">
        <v>602</v>
      </c>
      <c r="B2229" s="1134" t="s">
        <v>1514</v>
      </c>
      <c r="C2229" s="56">
        <v>45996</v>
      </c>
      <c r="E2229" s="139">
        <v>422</v>
      </c>
      <c r="F2229" s="1128"/>
      <c r="G2229" t="s">
        <v>1894</v>
      </c>
    </row>
    <row r="2230" spans="1:7">
      <c r="A2230" s="647" t="s">
        <v>602</v>
      </c>
      <c r="B2230" s="1134" t="s">
        <v>1514</v>
      </c>
      <c r="C2230" s="56">
        <v>45996</v>
      </c>
      <c r="F2230" s="311" t="s">
        <v>1375</v>
      </c>
      <c r="G2230" t="s">
        <v>1894</v>
      </c>
    </row>
    <row r="2231" spans="1:7">
      <c r="A2231" s="1128" t="s">
        <v>1138</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1142</v>
      </c>
      <c r="B2233" s="1130" t="s">
        <v>127</v>
      </c>
      <c r="C2233" s="56">
        <v>45996</v>
      </c>
      <c r="E2233" s="139">
        <v>636</v>
      </c>
      <c r="F2233" s="950"/>
      <c r="G2233" t="s">
        <v>1894</v>
      </c>
    </row>
    <row r="2234" spans="1:7">
      <c r="A2234" s="311" t="s">
        <v>473</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1" t="s">
        <v>436</v>
      </c>
      <c r="C2239" s="56">
        <v>45999</v>
      </c>
      <c r="D2239" s="43">
        <v>640</v>
      </c>
      <c r="F2239" s="43" t="s">
        <v>1926</v>
      </c>
      <c r="G2239" t="s">
        <v>1894</v>
      </c>
    </row>
    <row r="2240" spans="1:7">
      <c r="A2240" s="1140" t="s">
        <v>599</v>
      </c>
      <c r="B2240" s="1141" t="s">
        <v>1514</v>
      </c>
      <c r="C2240" s="56">
        <v>45999</v>
      </c>
      <c r="F2240" s="311" t="s">
        <v>1927</v>
      </c>
      <c r="G2240" t="s">
        <v>1894</v>
      </c>
    </row>
    <row r="2241" spans="1:7">
      <c r="A2241" s="1094" t="s">
        <v>571</v>
      </c>
      <c r="B2241" s="1141" t="s">
        <v>139</v>
      </c>
      <c r="C2241" s="56">
        <v>45999</v>
      </c>
      <c r="D2241" s="155">
        <v>1172</v>
      </c>
      <c r="E2241" s="201"/>
      <c r="F2241" s="115" t="s">
        <v>1928</v>
      </c>
      <c r="G2241" t="s">
        <v>1894</v>
      </c>
    </row>
    <row r="2242" spans="1:7">
      <c r="A2242" s="1140" t="s">
        <v>420</v>
      </c>
      <c r="B2242" s="1141" t="s">
        <v>127</v>
      </c>
      <c r="C2242" s="56">
        <v>45999</v>
      </c>
      <c r="D2242" s="321">
        <v>1583</v>
      </c>
      <c r="E2242" s="43"/>
      <c r="F2242" s="43" t="s">
        <v>1929</v>
      </c>
      <c r="G2242" t="s">
        <v>1894</v>
      </c>
    </row>
    <row r="2243" spans="1:7">
      <c r="A2243" s="247" t="s">
        <v>577</v>
      </c>
      <c r="B2243" s="1141" t="s">
        <v>127</v>
      </c>
      <c r="C2243" s="56">
        <v>45999</v>
      </c>
      <c r="D2243" s="139"/>
      <c r="E2243" s="43"/>
      <c r="F2243" s="141" t="s">
        <v>1375</v>
      </c>
      <c r="G2243" t="s">
        <v>1894</v>
      </c>
    </row>
    <row r="2244" spans="1:7">
      <c r="A2244" s="247" t="s">
        <v>1138</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2" t="s">
        <v>436</v>
      </c>
      <c r="C2252" s="56">
        <v>46000</v>
      </c>
      <c r="D2252" s="43">
        <v>541</v>
      </c>
      <c r="F2252" s="43" t="s">
        <v>1935</v>
      </c>
      <c r="G2252" t="s">
        <v>1894</v>
      </c>
    </row>
    <row r="2253" spans="1:7">
      <c r="A2253" s="1140" t="s">
        <v>420</v>
      </c>
      <c r="B2253" s="247" t="s">
        <v>127</v>
      </c>
      <c r="C2253" s="310">
        <v>46000</v>
      </c>
      <c r="D2253" s="155">
        <v>1325</v>
      </c>
      <c r="F2253" s="43" t="s">
        <v>1885</v>
      </c>
      <c r="G2253" t="s">
        <v>1894</v>
      </c>
    </row>
    <row r="2254" spans="1:7">
      <c r="A2254" s="1140" t="s">
        <v>577</v>
      </c>
      <c r="B2254" s="43" t="s">
        <v>1514</v>
      </c>
      <c r="C2254" s="310">
        <v>46000</v>
      </c>
      <c r="E2254" s="139">
        <v>540</v>
      </c>
      <c r="G2254" t="s">
        <v>1894</v>
      </c>
    </row>
    <row r="2255" spans="1:7">
      <c r="A2255" s="805" t="s">
        <v>568</v>
      </c>
      <c r="B2255" s="247" t="s">
        <v>139</v>
      </c>
      <c r="C2255" s="310">
        <v>46000</v>
      </c>
      <c r="D2255" s="155">
        <v>1500</v>
      </c>
      <c r="F2255" s="43" t="s">
        <v>1936</v>
      </c>
      <c r="G2255" t="s">
        <v>1894</v>
      </c>
    </row>
    <row r="2256" spans="1:7">
      <c r="A2256" s="1140"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127</v>
      </c>
      <c r="C2258" s="56">
        <v>46000</v>
      </c>
      <c r="D2258" s="155">
        <v>1980</v>
      </c>
      <c r="F2258" s="43" t="s">
        <v>1938</v>
      </c>
      <c r="G2258" t="s">
        <v>1894</v>
      </c>
    </row>
    <row r="2259" spans="1:7">
      <c r="A2259" s="404" t="s">
        <v>493</v>
      </c>
      <c r="B2259" s="173" t="s">
        <v>127</v>
      </c>
      <c r="C2259" s="56">
        <v>46000</v>
      </c>
      <c r="D2259" s="155">
        <v>3343</v>
      </c>
      <c r="G2259" t="s">
        <v>1894</v>
      </c>
    </row>
    <row r="2260" spans="1:7">
      <c r="A2260" s="161" t="s">
        <v>441</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496</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3" t="s">
        <v>436</v>
      </c>
      <c r="C2267" s="56">
        <v>46001</v>
      </c>
      <c r="D2267" s="43">
        <v>330</v>
      </c>
      <c r="F2267" s="43" t="s">
        <v>1741</v>
      </c>
      <c r="G2267" t="s">
        <v>1894</v>
      </c>
    </row>
    <row r="2268" spans="1:7">
      <c r="A2268" s="786" t="s">
        <v>420</v>
      </c>
      <c r="B2268" s="1143" t="s">
        <v>127</v>
      </c>
      <c r="C2268" s="56">
        <v>46001</v>
      </c>
      <c r="D2268" s="43">
        <v>621</v>
      </c>
      <c r="F2268" s="43" t="s">
        <v>1941</v>
      </c>
      <c r="G2268" t="s">
        <v>1894</v>
      </c>
    </row>
    <row r="2269" spans="1:7">
      <c r="A2269" s="744" t="s">
        <v>568</v>
      </c>
      <c r="B2269" s="759" t="s">
        <v>139</v>
      </c>
      <c r="C2269" s="56">
        <v>46001</v>
      </c>
      <c r="D2269" s="155">
        <v>1084</v>
      </c>
      <c r="F2269" s="43" t="s">
        <v>1942</v>
      </c>
      <c r="G2269" t="s">
        <v>1894</v>
      </c>
    </row>
    <row r="2270" spans="1:7">
      <c r="A2270" s="930" t="s">
        <v>599</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127</v>
      </c>
      <c r="C2273" s="56">
        <v>46001</v>
      </c>
      <c r="D2273" s="155">
        <v>1251</v>
      </c>
      <c r="G2273" t="s">
        <v>1894</v>
      </c>
    </row>
    <row r="2274" spans="1:7">
      <c r="A2274" s="1144" t="s">
        <v>493</v>
      </c>
      <c r="B2274" s="1128" t="s">
        <v>127</v>
      </c>
      <c r="C2274" s="56">
        <v>46001</v>
      </c>
      <c r="D2274" s="43">
        <v>931</v>
      </c>
      <c r="G2274" t="s">
        <v>1894</v>
      </c>
    </row>
    <row r="2275" spans="1:7">
      <c r="A2275" s="756" t="s">
        <v>496</v>
      </c>
      <c r="B2275" s="1003" t="s">
        <v>127</v>
      </c>
      <c r="C2275" s="56">
        <v>46001</v>
      </c>
      <c r="D2275" s="43">
        <v>522</v>
      </c>
      <c r="G2275" t="s">
        <v>1894</v>
      </c>
    </row>
    <row r="2276" spans="1:7">
      <c r="A2276" s="756" t="s">
        <v>500</v>
      </c>
      <c r="B2276" s="731" t="s">
        <v>127</v>
      </c>
      <c r="C2276" s="56">
        <v>46001</v>
      </c>
      <c r="D2276" s="43">
        <v>91</v>
      </c>
      <c r="G2276" t="s">
        <v>1894</v>
      </c>
    </row>
    <row r="2277" spans="1:7">
      <c r="A2277" s="756" t="s">
        <v>441</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1141</v>
      </c>
      <c r="B2284" s="1141" t="s">
        <v>436</v>
      </c>
      <c r="C2284" s="56">
        <v>46002</v>
      </c>
      <c r="D2284" s="43">
        <v>520</v>
      </c>
      <c r="G2284" t="s">
        <v>1894</v>
      </c>
    </row>
    <row r="2285" spans="1:7">
      <c r="A2285" s="1145" t="s">
        <v>562</v>
      </c>
      <c r="B2285" s="1141"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127</v>
      </c>
      <c r="C2287" s="56">
        <v>46002</v>
      </c>
      <c r="D2287" s="155">
        <v>3172</v>
      </c>
      <c r="G2287" t="s">
        <v>1894</v>
      </c>
    </row>
    <row r="2288" spans="1:7">
      <c r="A2288" s="1146" t="s">
        <v>475</v>
      </c>
      <c r="B2288" s="69" t="s">
        <v>127</v>
      </c>
      <c r="C2288" s="56">
        <v>46002</v>
      </c>
      <c r="D2288" s="43">
        <v>242</v>
      </c>
      <c r="F2288" s="43" t="s">
        <v>1952</v>
      </c>
      <c r="G2288" t="s">
        <v>1894</v>
      </c>
    </row>
    <row r="2289" spans="1:7">
      <c r="A2289" s="395" t="s">
        <v>496</v>
      </c>
      <c r="B2289" s="43" t="s">
        <v>127</v>
      </c>
      <c r="C2289" s="56">
        <v>46002</v>
      </c>
      <c r="D2289" s="155">
        <v>1194</v>
      </c>
      <c r="G2289" t="s">
        <v>1894</v>
      </c>
    </row>
    <row r="2290" spans="1:7">
      <c r="A2290" s="1147"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1141</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127</v>
      </c>
      <c r="C2298" s="56">
        <v>46003</v>
      </c>
      <c r="F2298" s="337" t="s">
        <v>1958</v>
      </c>
      <c r="G2298" t="s">
        <v>1894</v>
      </c>
    </row>
    <row r="2299" spans="1:7">
      <c r="A2299" s="1144" t="s">
        <v>496</v>
      </c>
      <c r="B2299" s="1144"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1141</v>
      </c>
      <c r="B2305" s="1141" t="s">
        <v>436</v>
      </c>
      <c r="C2305" s="56">
        <v>46006</v>
      </c>
      <c r="D2305" s="43">
        <v>752</v>
      </c>
      <c r="F2305" s="43" t="s">
        <v>1935</v>
      </c>
      <c r="G2305" t="s">
        <v>1894</v>
      </c>
    </row>
    <row r="2306" spans="1:7">
      <c r="A2306" s="1145" t="s">
        <v>562</v>
      </c>
      <c r="B2306" s="1142" t="s">
        <v>139</v>
      </c>
      <c r="C2306" s="56">
        <v>46006</v>
      </c>
      <c r="D2306" s="43">
        <v>689</v>
      </c>
      <c r="F2306" s="43" t="s">
        <v>1962</v>
      </c>
      <c r="G2306" t="s">
        <v>1894</v>
      </c>
    </row>
    <row r="2307" spans="1:7">
      <c r="A2307" s="1094" t="s">
        <v>552</v>
      </c>
      <c r="B2307" s="247" t="s">
        <v>127</v>
      </c>
      <c r="C2307" s="310">
        <v>46006</v>
      </c>
      <c r="D2307" s="155">
        <v>1095</v>
      </c>
      <c r="G2307" t="s">
        <v>1894</v>
      </c>
    </row>
    <row r="2308" spans="1:7">
      <c r="A2308" s="1340" t="s">
        <v>574</v>
      </c>
      <c r="B2308" s="43" t="s">
        <v>127</v>
      </c>
      <c r="C2308" s="310">
        <v>46006</v>
      </c>
      <c r="D2308" s="155">
        <v>1344</v>
      </c>
      <c r="F2308" s="43" t="s">
        <v>1963</v>
      </c>
      <c r="G2308" t="s">
        <v>1894</v>
      </c>
    </row>
    <row r="2309" spans="1:7">
      <c r="A2309" s="1340" t="s">
        <v>599</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127</v>
      </c>
      <c r="C2311" s="56">
        <v>46006</v>
      </c>
      <c r="D2311" s="43">
        <v>29</v>
      </c>
      <c r="E2311" s="201"/>
      <c r="F2311" s="115"/>
      <c r="G2311" t="s">
        <v>1894</v>
      </c>
    </row>
    <row r="2312" spans="1:7">
      <c r="A2312" s="1146" t="s">
        <v>450</v>
      </c>
      <c r="B2312" s="69" t="s">
        <v>127</v>
      </c>
      <c r="C2312" s="56">
        <v>46006</v>
      </c>
      <c r="D2312" s="139"/>
      <c r="E2312" s="43"/>
      <c r="F2312" s="756" t="s">
        <v>1375</v>
      </c>
      <c r="G2312" t="s">
        <v>1894</v>
      </c>
    </row>
    <row r="2313" spans="1:7">
      <c r="A2313" s="1146" t="s">
        <v>481</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1141</v>
      </c>
      <c r="B2317" s="1141" t="s">
        <v>436</v>
      </c>
      <c r="C2317" s="56">
        <v>46007</v>
      </c>
      <c r="D2317" s="155">
        <v>1249</v>
      </c>
      <c r="F2317" s="43" t="s">
        <v>1968</v>
      </c>
      <c r="G2317" t="s">
        <v>1894</v>
      </c>
    </row>
    <row r="2318" spans="1:7">
      <c r="A2318" s="1140" t="s">
        <v>562</v>
      </c>
      <c r="B2318" s="1141" t="s">
        <v>139</v>
      </c>
      <c r="C2318" s="56">
        <v>46007</v>
      </c>
      <c r="D2318" s="43">
        <v>586</v>
      </c>
      <c r="F2318" s="43" t="s">
        <v>1969</v>
      </c>
      <c r="G2318" t="s">
        <v>1894</v>
      </c>
    </row>
    <row r="2319" spans="1:7">
      <c r="A2319" s="1094" t="s">
        <v>552</v>
      </c>
      <c r="B2319" s="1141" t="s">
        <v>127</v>
      </c>
      <c r="C2319" s="56">
        <v>46007</v>
      </c>
      <c r="D2319" s="155">
        <v>1676</v>
      </c>
      <c r="F2319" s="43" t="s">
        <v>1970</v>
      </c>
      <c r="G2319" t="s">
        <v>1894</v>
      </c>
    </row>
    <row r="2320" spans="1:7">
      <c r="A2320" s="1140" t="s">
        <v>574</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127</v>
      </c>
      <c r="C2324" s="56">
        <v>46007</v>
      </c>
      <c r="F2324" s="337" t="s">
        <v>1974</v>
      </c>
      <c r="G2324" t="s">
        <v>1894</v>
      </c>
    </row>
    <row r="2325" spans="1:7">
      <c r="A2325" s="69" t="s">
        <v>490</v>
      </c>
      <c r="B2325" s="69" t="s">
        <v>127</v>
      </c>
      <c r="C2325" s="56">
        <v>46007</v>
      </c>
      <c r="D2325" s="155">
        <v>1617</v>
      </c>
      <c r="G2325" t="s">
        <v>1894</v>
      </c>
    </row>
    <row r="2326" spans="1:7">
      <c r="A2326" s="148" t="s">
        <v>1140</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1140</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1141</v>
      </c>
      <c r="B2331" s="1141" t="s">
        <v>436</v>
      </c>
      <c r="C2331" s="56">
        <v>46008</v>
      </c>
      <c r="D2331" s="43">
        <v>235</v>
      </c>
      <c r="F2331" s="43" t="s">
        <v>1968</v>
      </c>
      <c r="G2331" t="s">
        <v>1894</v>
      </c>
    </row>
    <row r="2332" spans="1:7">
      <c r="A2332" s="1140" t="s">
        <v>562</v>
      </c>
      <c r="B2332" s="1141" t="s">
        <v>139</v>
      </c>
      <c r="C2332" s="56">
        <v>46008</v>
      </c>
      <c r="D2332" s="43">
        <v>199</v>
      </c>
      <c r="F2332" s="43" t="s">
        <v>1977</v>
      </c>
      <c r="G2332" t="s">
        <v>1894</v>
      </c>
    </row>
    <row r="2333" spans="1:7">
      <c r="A2333" s="1094" t="s">
        <v>552</v>
      </c>
      <c r="B2333" s="1141" t="s">
        <v>127</v>
      </c>
      <c r="C2333" s="56">
        <v>46008</v>
      </c>
      <c r="D2333" s="155">
        <v>1139</v>
      </c>
      <c r="F2333" s="43" t="s">
        <v>1978</v>
      </c>
      <c r="G2333" t="s">
        <v>1894</v>
      </c>
    </row>
    <row r="2334" spans="1:7">
      <c r="A2334" s="1140" t="s">
        <v>574</v>
      </c>
      <c r="B2334" t="s">
        <v>127</v>
      </c>
      <c r="C2334" s="56">
        <v>46008</v>
      </c>
      <c r="D2334" s="155">
        <v>1027</v>
      </c>
      <c r="F2334" s="43" t="s">
        <v>1979</v>
      </c>
      <c r="G2334" t="s">
        <v>1894</v>
      </c>
    </row>
    <row r="2335" spans="1:7">
      <c r="A2335" s="1348" t="s">
        <v>571</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127</v>
      </c>
      <c r="C2339" s="56">
        <v>46008</v>
      </c>
      <c r="D2339" s="43">
        <v>320</v>
      </c>
      <c r="G2339" t="s">
        <v>1894</v>
      </c>
    </row>
    <row r="2340" spans="1:7">
      <c r="A2340" s="148" t="s">
        <v>490</v>
      </c>
      <c r="B2340" s="148" t="s">
        <v>127</v>
      </c>
      <c r="C2340" s="56">
        <v>46008</v>
      </c>
      <c r="D2340" s="155">
        <v>1083</v>
      </c>
      <c r="G2340" t="s">
        <v>1894</v>
      </c>
    </row>
    <row r="2341" spans="1:7">
      <c r="A2341" s="148" t="s">
        <v>475</v>
      </c>
      <c r="B2341" s="148" t="s">
        <v>127</v>
      </c>
      <c r="C2341" s="56">
        <v>46008</v>
      </c>
      <c r="F2341" s="311" t="s">
        <v>1164</v>
      </c>
      <c r="G2341" t="s">
        <v>1894</v>
      </c>
    </row>
    <row r="2342" spans="1:7">
      <c r="A2342" s="1146" t="s">
        <v>314</v>
      </c>
      <c r="B2342" s="69" t="s">
        <v>127</v>
      </c>
      <c r="C2342" s="56">
        <v>46008</v>
      </c>
      <c r="D2342" s="43">
        <v>372</v>
      </c>
      <c r="G2342" t="s">
        <v>1894</v>
      </c>
    </row>
    <row r="2343" spans="1:7">
      <c r="A2343" s="1146" t="s">
        <v>326</v>
      </c>
      <c r="B2343" s="69" t="s">
        <v>127</v>
      </c>
      <c r="C2343" s="56">
        <v>46008</v>
      </c>
      <c r="D2343" s="43">
        <v>95</v>
      </c>
      <c r="G2343" t="s">
        <v>1894</v>
      </c>
    </row>
    <row r="2344" spans="1:7">
      <c r="A2344" s="1146" t="s">
        <v>496</v>
      </c>
      <c r="B2344" s="69" t="s">
        <v>127</v>
      </c>
      <c r="C2344" s="56">
        <v>46008</v>
      </c>
      <c r="D2344" s="155">
        <v>1049</v>
      </c>
      <c r="G2344" t="s">
        <v>1894</v>
      </c>
    </row>
    <row r="2345" spans="1:7">
      <c r="A2345" s="148" t="s">
        <v>473</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49" t="s">
        <v>1954</v>
      </c>
      <c r="G2347" t="s">
        <v>1894</v>
      </c>
    </row>
    <row r="2348" spans="1:7">
      <c r="A2348" s="317" t="s">
        <v>1140</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1141</v>
      </c>
      <c r="B2352" s="387" t="s">
        <v>436</v>
      </c>
      <c r="C2352" s="56">
        <v>46009</v>
      </c>
      <c r="D2352" s="43">
        <v>563</v>
      </c>
      <c r="E2352" s="253"/>
      <c r="F2352" s="169" t="s">
        <v>1956</v>
      </c>
      <c r="G2352" t="s">
        <v>1894</v>
      </c>
    </row>
    <row r="2353" spans="1:7">
      <c r="A2353" s="1350" t="s">
        <v>562</v>
      </c>
      <c r="B2353" s="307" t="s">
        <v>139</v>
      </c>
      <c r="C2353" s="56">
        <v>46009</v>
      </c>
      <c r="F2353" s="304" t="s">
        <v>1806</v>
      </c>
      <c r="G2353" t="s">
        <v>1894</v>
      </c>
    </row>
    <row r="2354" spans="1:7">
      <c r="A2354" s="802" t="s">
        <v>574</v>
      </c>
      <c r="B2354" s="346" t="s">
        <v>127</v>
      </c>
      <c r="C2354" s="56">
        <v>46009</v>
      </c>
      <c r="D2354" s="155">
        <v>1596</v>
      </c>
      <c r="F2354" s="43" t="s">
        <v>1985</v>
      </c>
      <c r="G2354" t="s">
        <v>1894</v>
      </c>
    </row>
    <row r="2355" spans="1:7">
      <c r="A2355" s="349" t="s">
        <v>568</v>
      </c>
      <c r="B2355" s="387" t="s">
        <v>139</v>
      </c>
      <c r="C2355" s="56">
        <v>46009</v>
      </c>
      <c r="F2355" s="304" t="s">
        <v>1806</v>
      </c>
      <c r="G2355" t="s">
        <v>1894</v>
      </c>
    </row>
    <row r="2356" spans="1:7">
      <c r="A2356" s="349" t="s">
        <v>571</v>
      </c>
      <c r="B2356" s="307" t="s">
        <v>139</v>
      </c>
      <c r="C2356" s="56">
        <v>46009</v>
      </c>
      <c r="F2356" s="304" t="s">
        <v>1806</v>
      </c>
      <c r="G2356" t="s">
        <v>1894</v>
      </c>
    </row>
    <row r="2357" spans="1:7">
      <c r="A2357" s="348" t="s">
        <v>616</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500</v>
      </c>
      <c r="B2361" s="141" t="s">
        <v>127</v>
      </c>
      <c r="C2361" s="310">
        <v>46009</v>
      </c>
      <c r="D2361" s="43">
        <v>652</v>
      </c>
      <c r="G2361" t="s">
        <v>1894</v>
      </c>
    </row>
    <row r="2362" spans="1:7">
      <c r="A2362" s="304" t="s">
        <v>503</v>
      </c>
      <c r="B2362" s="304" t="s">
        <v>127</v>
      </c>
      <c r="C2362" s="56">
        <v>46009</v>
      </c>
      <c r="D2362" s="43">
        <v>396</v>
      </c>
      <c r="G2362" t="s">
        <v>1894</v>
      </c>
    </row>
    <row r="2363" spans="1:7">
      <c r="A2363" s="305" t="s">
        <v>490</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473</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1141</v>
      </c>
      <c r="B2373" s="308" t="s">
        <v>436</v>
      </c>
      <c r="C2373" s="56">
        <v>46010</v>
      </c>
      <c r="D2373" s="43">
        <v>483</v>
      </c>
      <c r="E2373" s="253"/>
      <c r="F2373" s="169"/>
      <c r="G2373" t="s">
        <v>1894</v>
      </c>
    </row>
    <row r="2374" spans="1:7">
      <c r="A2374" s="805" t="s">
        <v>562</v>
      </c>
      <c r="B2374" s="141" t="s">
        <v>139</v>
      </c>
      <c r="C2374" s="310">
        <v>46010</v>
      </c>
      <c r="E2374" s="139">
        <v>765</v>
      </c>
      <c r="G2374" t="s">
        <v>1894</v>
      </c>
    </row>
    <row r="2375" spans="1:7">
      <c r="A2375" s="805" t="s">
        <v>552</v>
      </c>
      <c r="B2375" s="141" t="s">
        <v>127</v>
      </c>
      <c r="C2375" s="310">
        <v>46010</v>
      </c>
      <c r="E2375" s="139">
        <v>883</v>
      </c>
      <c r="F2375" s="311" t="s">
        <v>1993</v>
      </c>
      <c r="G2375" t="s">
        <v>1894</v>
      </c>
    </row>
    <row r="2376" spans="1:7">
      <c r="A2376" s="141" t="s">
        <v>568</v>
      </c>
      <c r="B2376" s="141" t="s">
        <v>139</v>
      </c>
      <c r="C2376" s="310">
        <v>46010</v>
      </c>
      <c r="E2376" s="139">
        <v>765</v>
      </c>
      <c r="G2376" t="s">
        <v>1894</v>
      </c>
    </row>
    <row r="2377" spans="1:7">
      <c r="A2377" s="141" t="s">
        <v>571</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127</v>
      </c>
      <c r="C2380" s="56">
        <v>46010</v>
      </c>
      <c r="D2380" s="43">
        <v>582</v>
      </c>
      <c r="G2380" t="s">
        <v>1894</v>
      </c>
    </row>
    <row r="2381" spans="1:7">
      <c r="A2381" s="1352" t="s">
        <v>490</v>
      </c>
      <c r="B2381" s="1353" t="s">
        <v>127</v>
      </c>
      <c r="C2381" s="56">
        <v>46010</v>
      </c>
      <c r="D2381" s="155">
        <v>2064</v>
      </c>
      <c r="G2381" t="s">
        <v>1894</v>
      </c>
    </row>
    <row r="2382" spans="1:7">
      <c r="A2382" s="1352" t="s">
        <v>320</v>
      </c>
      <c r="B2382" s="1353" t="s">
        <v>127</v>
      </c>
      <c r="C2382" s="56">
        <v>46010</v>
      </c>
      <c r="D2382" s="155">
        <v>1683</v>
      </c>
      <c r="G2382" t="s">
        <v>1894</v>
      </c>
    </row>
    <row r="2383" spans="1:7">
      <c r="A2383" s="1352" t="s">
        <v>317</v>
      </c>
      <c r="B2383" s="1353" t="s">
        <v>127</v>
      </c>
      <c r="C2383" s="56">
        <v>46010</v>
      </c>
      <c r="D2383" s="155">
        <v>1235</v>
      </c>
      <c r="G2383" t="s">
        <v>1894</v>
      </c>
    </row>
    <row r="2384" spans="1:7">
      <c r="A2384" s="1352" t="s">
        <v>487</v>
      </c>
      <c r="B2384" s="1353" t="s">
        <v>127</v>
      </c>
      <c r="C2384" s="56">
        <v>46010</v>
      </c>
      <c r="F2384" s="43" t="s">
        <v>1996</v>
      </c>
      <c r="G2384" t="s">
        <v>1894</v>
      </c>
    </row>
    <row r="2385" spans="1:7">
      <c r="A2385" s="1352" t="s">
        <v>500</v>
      </c>
      <c r="B2385" s="1353" t="s">
        <v>127</v>
      </c>
      <c r="C2385" s="56">
        <v>46010</v>
      </c>
      <c r="D2385" s="43">
        <v>780</v>
      </c>
      <c r="E2385" s="201"/>
      <c r="F2385" s="115"/>
      <c r="G2385" t="s">
        <v>1894</v>
      </c>
    </row>
    <row r="2386" spans="1:7">
      <c r="A2386" s="1352" t="s">
        <v>1144</v>
      </c>
      <c r="B2386" s="1353"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436</v>
      </c>
      <c r="C2389" s="56">
        <v>46013</v>
      </c>
      <c r="E2389" s="253"/>
      <c r="F2389" s="311" t="s">
        <v>1998</v>
      </c>
      <c r="G2389" t="s">
        <v>1894</v>
      </c>
    </row>
    <row r="2390" spans="1:7">
      <c r="A2390" s="315" t="s">
        <v>616</v>
      </c>
      <c r="B2390" s="315" t="s">
        <v>127</v>
      </c>
      <c r="C2390" s="56">
        <v>46013</v>
      </c>
      <c r="D2390" s="43">
        <v>380</v>
      </c>
      <c r="G2390" t="s">
        <v>1894</v>
      </c>
    </row>
    <row r="2391" spans="1:7">
      <c r="A2391" s="315" t="s">
        <v>619</v>
      </c>
      <c r="B2391" s="315" t="s">
        <v>127</v>
      </c>
      <c r="C2391" s="56">
        <v>46013</v>
      </c>
      <c r="D2391" s="43">
        <v>523</v>
      </c>
      <c r="G2391" t="s">
        <v>1894</v>
      </c>
    </row>
    <row r="2392" spans="1:7">
      <c r="A2392" s="315" t="s">
        <v>574</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8" t="s">
        <v>490</v>
      </c>
      <c r="B2395" s="1128" t="s">
        <v>127</v>
      </c>
      <c r="C2395" s="56">
        <v>46013</v>
      </c>
      <c r="F2395" s="337" t="s">
        <v>2000</v>
      </c>
      <c r="G2395" t="s">
        <v>1894</v>
      </c>
    </row>
    <row r="2396" spans="1:7">
      <c r="A2396" s="1128" t="s">
        <v>320</v>
      </c>
      <c r="B2396" s="1128" t="s">
        <v>127</v>
      </c>
      <c r="C2396" s="56">
        <v>46013</v>
      </c>
      <c r="D2396" s="43">
        <v>362</v>
      </c>
      <c r="G2396" t="s">
        <v>1894</v>
      </c>
    </row>
    <row r="2397" spans="1:7">
      <c r="A2397" s="1144" t="s">
        <v>326</v>
      </c>
      <c r="B2397" s="1144" t="s">
        <v>127</v>
      </c>
      <c r="C2397" s="56">
        <v>46013</v>
      </c>
      <c r="D2397" s="155">
        <v>3523</v>
      </c>
      <c r="G2397" t="s">
        <v>1894</v>
      </c>
    </row>
    <row r="2398" spans="1:7">
      <c r="A2398" s="759" t="s">
        <v>500</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436</v>
      </c>
      <c r="C2400" s="56">
        <v>46014</v>
      </c>
      <c r="F2400" s="43" t="s">
        <v>1670</v>
      </c>
      <c r="G2400" t="s">
        <v>1894</v>
      </c>
    </row>
    <row r="2401" spans="1:7">
      <c r="A2401" s="805" t="s">
        <v>616</v>
      </c>
      <c r="B2401" s="1006" t="s">
        <v>127</v>
      </c>
      <c r="C2401" s="56">
        <v>46014</v>
      </c>
      <c r="F2401" s="337" t="s">
        <v>1540</v>
      </c>
      <c r="G2401" t="s">
        <v>1894</v>
      </c>
    </row>
    <row r="2402" spans="1:7">
      <c r="A2402" s="805" t="s">
        <v>619</v>
      </c>
      <c r="B2402" s="1006" t="s">
        <v>127</v>
      </c>
      <c r="C2402" s="56">
        <v>46014</v>
      </c>
      <c r="D2402" s="43">
        <v>405</v>
      </c>
      <c r="F2402" s="43" t="s">
        <v>1214</v>
      </c>
      <c r="G2402" t="s">
        <v>1894</v>
      </c>
    </row>
    <row r="2403" spans="1:7">
      <c r="A2403" s="805" t="s">
        <v>574</v>
      </c>
      <c r="B2403" s="161" t="s">
        <v>1075</v>
      </c>
      <c r="C2403" s="56">
        <v>46014</v>
      </c>
      <c r="E2403" s="139">
        <v>405</v>
      </c>
      <c r="G2403" t="s">
        <v>1894</v>
      </c>
    </row>
    <row r="2404" spans="1:7">
      <c r="A2404" s="247" t="s">
        <v>500</v>
      </c>
      <c r="B2404" s="1362" t="s">
        <v>127</v>
      </c>
      <c r="C2404" s="56">
        <v>46014</v>
      </c>
      <c r="E2404" s="321">
        <v>14727</v>
      </c>
      <c r="F2404" s="430" t="s">
        <v>2001</v>
      </c>
      <c r="G2404" t="s">
        <v>1894</v>
      </c>
    </row>
    <row r="2405" spans="1:7">
      <c r="A2405" s="247" t="s">
        <v>326</v>
      </c>
      <c r="B2405" s="1353" t="s">
        <v>127</v>
      </c>
      <c r="C2405" s="56">
        <v>46014</v>
      </c>
      <c r="D2405" s="155">
        <v>2384</v>
      </c>
      <c r="G2405" t="s">
        <v>1894</v>
      </c>
    </row>
    <row r="2406" spans="1:7">
      <c r="A2406" s="318" t="s">
        <v>616</v>
      </c>
      <c r="B2406" s="387" t="s">
        <v>1075</v>
      </c>
      <c r="C2406" s="56">
        <v>46015</v>
      </c>
      <c r="E2406" s="321">
        <v>2448</v>
      </c>
      <c r="F2406" s="43" t="s">
        <v>2002</v>
      </c>
      <c r="G2406" t="s">
        <v>1894</v>
      </c>
    </row>
    <row r="2407" spans="1:7">
      <c r="A2407" s="1350" t="s">
        <v>619</v>
      </c>
      <c r="B2407" s="307" t="s">
        <v>1075</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1110</v>
      </c>
      <c r="B2410" s="759" t="s">
        <v>1075</v>
      </c>
      <c r="C2410" s="56">
        <v>46020</v>
      </c>
      <c r="D2410" s="43">
        <v>108</v>
      </c>
      <c r="F2410" s="805" t="s">
        <v>1244</v>
      </c>
      <c r="G2410" t="s">
        <v>1894</v>
      </c>
    </row>
    <row r="2411" spans="1:7">
      <c r="A2411" s="655" t="s">
        <v>605</v>
      </c>
      <c r="B2411" s="1133" t="s">
        <v>127</v>
      </c>
      <c r="C2411" s="56">
        <v>46020</v>
      </c>
      <c r="D2411" s="155">
        <v>1188</v>
      </c>
      <c r="F2411" s="43" t="s">
        <v>2004</v>
      </c>
      <c r="G2411" t="s">
        <v>1894</v>
      </c>
    </row>
    <row r="2412" spans="1:7">
      <c r="A2412" s="1375" t="s">
        <v>608</v>
      </c>
      <c r="B2412" s="1143" t="s">
        <v>127</v>
      </c>
      <c r="C2412" s="56">
        <v>46020</v>
      </c>
      <c r="D2412" s="43">
        <v>900</v>
      </c>
      <c r="F2412" s="43" t="s">
        <v>2005</v>
      </c>
      <c r="G2412" t="s">
        <v>1894</v>
      </c>
    </row>
    <row r="2413" spans="1:7">
      <c r="A2413" s="744" t="s">
        <v>616</v>
      </c>
      <c r="B2413" s="759" t="s">
        <v>1075</v>
      </c>
      <c r="C2413" s="56">
        <v>46020</v>
      </c>
      <c r="D2413" s="43">
        <v>100</v>
      </c>
      <c r="G2413" t="s">
        <v>1894</v>
      </c>
    </row>
    <row r="2414" spans="1:7">
      <c r="A2414" s="759" t="s">
        <v>314</v>
      </c>
      <c r="B2414" s="759" t="s">
        <v>127</v>
      </c>
      <c r="C2414" s="56">
        <v>46020</v>
      </c>
      <c r="D2414" s="43">
        <v>738</v>
      </c>
      <c r="G2414" t="s">
        <v>1894</v>
      </c>
    </row>
    <row r="2415" spans="1:7">
      <c r="A2415" s="1128" t="s">
        <v>320</v>
      </c>
      <c r="B2415" s="1128" t="s">
        <v>127</v>
      </c>
      <c r="C2415" s="56">
        <v>46020</v>
      </c>
      <c r="D2415" s="155">
        <v>1297</v>
      </c>
      <c r="G2415" t="s">
        <v>1894</v>
      </c>
    </row>
    <row r="2416" spans="1:7">
      <c r="A2416" s="1128" t="s">
        <v>323</v>
      </c>
      <c r="B2416" s="1128" t="s">
        <v>127</v>
      </c>
      <c r="C2416" s="56">
        <v>46020</v>
      </c>
      <c r="D2416" s="155">
        <v>2583</v>
      </c>
      <c r="G2416" t="s">
        <v>1894</v>
      </c>
    </row>
    <row r="2417" spans="1:7">
      <c r="A2417" s="1128" t="s">
        <v>460</v>
      </c>
      <c r="B2417" s="1128" t="s">
        <v>127</v>
      </c>
      <c r="C2417" s="56">
        <v>46020</v>
      </c>
      <c r="F2417" s="311" t="s">
        <v>2006</v>
      </c>
      <c r="G2417" t="s">
        <v>1894</v>
      </c>
    </row>
    <row r="2418" spans="1:7">
      <c r="A2418" s="1128" t="s">
        <v>465</v>
      </c>
      <c r="B2418" s="1128" t="s">
        <v>127</v>
      </c>
      <c r="C2418" s="56">
        <v>46020</v>
      </c>
      <c r="F2418" s="311" t="s">
        <v>2006</v>
      </c>
      <c r="G2418" t="s">
        <v>1894</v>
      </c>
    </row>
    <row r="2419" spans="1:7">
      <c r="A2419" s="1128" t="s">
        <v>496</v>
      </c>
      <c r="B2419" s="1128"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5" t="s">
        <v>608</v>
      </c>
      <c r="B2422" s="307" t="s">
        <v>1075</v>
      </c>
      <c r="C2422" s="56">
        <v>46021</v>
      </c>
      <c r="E2422" s="139">
        <v>343</v>
      </c>
      <c r="F2422" s="304"/>
      <c r="G2422" t="s">
        <v>1894</v>
      </c>
    </row>
    <row r="2423" spans="1:7">
      <c r="A2423" s="744" t="s">
        <v>605</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8" t="s">
        <v>127</v>
      </c>
      <c r="C2425" s="56">
        <v>46021</v>
      </c>
      <c r="D2425" s="155">
        <v>3099</v>
      </c>
      <c r="G2425" t="s">
        <v>1894</v>
      </c>
    </row>
    <row r="2426" spans="1:7">
      <c r="A2426" s="304" t="s">
        <v>462</v>
      </c>
      <c r="B2426" s="1128"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71</v>
      </c>
      <c r="E28" s="77">
        <v>45734</v>
      </c>
      <c r="F28" s="1108" t="s">
        <v>61</v>
      </c>
      <c r="G28" s="1119" t="s">
        <v>2056</v>
      </c>
      <c r="H28" s="76">
        <v>85</v>
      </c>
      <c r="I28" s="1120" t="s">
        <v>55</v>
      </c>
      <c r="J28" s="76" t="s">
        <v>63</v>
      </c>
      <c r="K28" s="76"/>
      <c r="L28" s="77">
        <v>45735</v>
      </c>
      <c r="M28" s="76" t="s">
        <v>57</v>
      </c>
      <c r="N28" s="1124">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71</v>
      </c>
      <c r="E29" s="77">
        <v>45743</v>
      </c>
      <c r="F29" s="1108" t="s">
        <v>61</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71</v>
      </c>
      <c r="E30" s="51">
        <v>45743</v>
      </c>
      <c r="F30" s="50" t="s">
        <v>61</v>
      </c>
      <c r="G30" s="379" t="s">
        <v>2061</v>
      </c>
      <c r="H30" s="52">
        <v>87</v>
      </c>
      <c r="I30" s="667" t="s">
        <v>55</v>
      </c>
      <c r="J30" s="376" t="s">
        <v>63</v>
      </c>
      <c r="K30" s="1122"/>
      <c r="L30" s="77">
        <v>45741</v>
      </c>
      <c r="M30" s="1123" t="s">
        <v>57</v>
      </c>
      <c r="N30" s="1125">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529</v>
      </c>
      <c r="B2" s="180" t="s">
        <v>202</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202</v>
      </c>
      <c r="C3" s="689">
        <v>45742</v>
      </c>
      <c r="D3" s="690" t="s">
        <v>534</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202</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542</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538</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539</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540</v>
      </c>
      <c r="B11" s="422" t="s">
        <v>202</v>
      </c>
      <c r="C11" s="176">
        <v>45991</v>
      </c>
      <c r="D11" s="534" t="s">
        <v>542</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542</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543</v>
      </c>
      <c r="B17" s="180" t="s">
        <v>202</v>
      </c>
      <c r="C17" s="177">
        <v>45991</v>
      </c>
      <c r="D17" s="714" t="s">
        <v>544</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545</v>
      </c>
      <c r="B18" s="180" t="s">
        <v>202</v>
      </c>
      <c r="C18" s="409">
        <v>45991</v>
      </c>
      <c r="D18" s="410" t="s">
        <v>546</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107</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536</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2095</v>
      </c>
      <c r="C1" s="1442"/>
      <c r="D1" s="558"/>
      <c r="E1" s="1442" t="s">
        <v>2096</v>
      </c>
      <c r="F1" s="1442"/>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2122</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513</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509</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516</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C0480C-0110-4C70-B396-CE2FDBF2B6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2026-01-05T17:45:34Z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