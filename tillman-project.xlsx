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53" documentId="8_{E14B221E-02E2-46A3-8CEC-C736815F2DD5}" xr6:coauthVersionLast="47" xr6:coauthVersionMax="47" xr10:uidLastSave="{91C7A0B4-82D8-4734-8E03-7632872F1898}"/>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1875" r:id="rId12"/>
    <pivotCache cacheId="11879" r:id="rId13"/>
    <pivotCache cacheId="11884" r:id="rId14"/>
    <pivotCache cacheId="11891" r:id="rId15"/>
    <pivotCache cacheId="118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<sst xmlns="http://schemas.openxmlformats.org/spreadsheetml/2006/main" count="14174" uniqueCount="1734">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</sst>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696023032404" createdVersion="8" refreshedVersion="8" minRefreshableVersion="3" recordCount="1999" xr:uid="{E3D0A88A-CBD0-4D66-B171-1D8684787A19}">
  <cacheSource type="worksheet">
    <worksheetSource ref="A1:F1048576" sheet="Daily Production_RAW DATA"/>
  </cacheSource>
  <cacheFields count="6">
    <cacheField name="Project" numFmtId="0">
      <sharedItems containsBlank="1" count="2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6960231481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69602314815" createdVersion="8" refreshedVersion="8" minRefreshableVersion="3" recordCount="1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69602314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69602337962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m/>
    <m/>
    <m/>
  </r>
  <r>
    <x v="229"/>
    <x v="5"/>
    <x v="194"/>
    <n v="138"/>
    <m/>
    <s v="2 Daps / 6 Splices"/>
  </r>
  <r>
    <x v="236"/>
    <x v="5"/>
    <x v="194"/>
    <m/>
    <m/>
    <m/>
  </r>
  <r>
    <x v="250"/>
    <x v="56"/>
    <x v="194"/>
    <m/>
    <m/>
    <m/>
  </r>
  <r>
    <x v="235"/>
    <x v="35"/>
    <x v="194"/>
    <n v="96"/>
    <m/>
    <m/>
  </r>
  <r>
    <x v="238"/>
    <x v="50"/>
    <x v="194"/>
    <m/>
    <m/>
    <m/>
  </r>
  <r>
    <x v="249"/>
    <x v="5"/>
    <x v="194"/>
    <m/>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m/>
    <m/>
    <m/>
    <x v="10"/>
  </r>
  <r>
    <s v="D-HWP1307"/>
    <x v="5"/>
    <d v="2025-11-10T00:00:00"/>
    <n v="138"/>
    <m/>
    <s v="2 Daps / 6 Splices"/>
    <x v="10"/>
  </r>
  <r>
    <s v="FB-HWP901"/>
    <x v="5"/>
    <d v="2025-11-10T00:00:00"/>
    <m/>
    <m/>
    <m/>
    <x v="10"/>
  </r>
  <r>
    <s v="Sherwood Estates"/>
    <x v="56"/>
    <d v="2025-11-10T00:00:00"/>
    <m/>
    <m/>
    <m/>
    <x v="10"/>
  </r>
  <r>
    <s v="D-HLR203"/>
    <x v="35"/>
    <d v="2025-11-10T00:00:00"/>
    <n v="96"/>
    <m/>
    <m/>
    <x v="10"/>
  </r>
  <r>
    <s v="D-HLR204"/>
    <x v="50"/>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9">
    <i>
      <x v="234"/>
    </i>
    <i>
      <x v="239"/>
    </i>
    <i>
      <x v="240"/>
    </i>
    <i>
      <x v="241"/>
    </i>
    <i>
      <x v="242"/>
    </i>
    <i>
      <x v="247"/>
    </i>
    <i>
      <x v="254"/>
    </i>
    <i>
      <x v="255"/>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8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8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8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U52" activePane="topRight" state="frozen"/>
      <selection pane="topRight" activeCell="W70" sqref="W7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941" t="s">
        <v>189</v>
      </c>
      <c r="B61" s="479" t="s">
        <v>109</v>
      </c>
      <c r="C61" s="490">
        <v>45991</v>
      </c>
      <c r="D61" s="481" t="s">
        <v>146</v>
      </c>
      <c r="E61" s="481">
        <v>45953</v>
      </c>
      <c r="F61" s="479" t="s">
        <v>133</v>
      </c>
      <c r="G61" s="709" t="s">
        <v>190</v>
      </c>
      <c r="H61" s="483">
        <v>0</v>
      </c>
      <c r="I61" s="483" t="s">
        <v>55</v>
      </c>
      <c r="J61" s="483" t="s">
        <v>63</v>
      </c>
      <c r="K61" s="483"/>
      <c r="L61" s="481" t="s">
        <v>166</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6"/>
  <sheetViews>
    <sheetView topLeftCell="A922" workbookViewId="0">
      <selection activeCell="B938" sqref="B938:B939"/>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c r="C940" s="1161"/>
    </row>
    <row r="941" spans="1:7">
      <c r="A941" t="s">
        <v>200</v>
      </c>
      <c r="B941" s="1161">
        <v>558</v>
      </c>
      <c r="C941" s="1161">
        <v>558</v>
      </c>
    </row>
    <row r="942" spans="1:7">
      <c r="A942" t="s">
        <v>235</v>
      </c>
      <c r="B942" s="1161"/>
      <c r="C942" s="1161"/>
    </row>
    <row r="943" spans="1:7">
      <c r="A943" t="s">
        <v>203</v>
      </c>
      <c r="B943" s="1161"/>
      <c r="C943" s="1161"/>
    </row>
    <row r="944" spans="1:7">
      <c r="A944" t="s">
        <v>313</v>
      </c>
      <c r="B944" s="1161"/>
      <c r="C944" s="1161"/>
    </row>
    <row r="945" spans="1:3">
      <c r="A945" t="s">
        <v>910</v>
      </c>
      <c r="B945" s="1161"/>
      <c r="C945" s="1161"/>
    </row>
    <row r="946" spans="1:3">
      <c r="A946" t="s">
        <v>845</v>
      </c>
      <c r="B946" s="1161">
        <v>792</v>
      </c>
      <c r="C946" s="1161">
        <v>792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99"/>
  <sheetViews>
    <sheetView workbookViewId="0">
      <pane ySplit="1" topLeftCell="A1982" activePane="bottomLeft" state="frozen"/>
      <selection pane="bottomLeft" activeCell="F1992" sqref="F199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G1995" t="s">
        <v>1576</v>
      </c>
    </row>
    <row r="1996" spans="1:7">
      <c r="A1996" s="319" t="s">
        <v>910</v>
      </c>
      <c r="B1996" s="319" t="s">
        <v>211</v>
      </c>
      <c r="C1996" s="56">
        <v>45971</v>
      </c>
      <c r="G1996" t="s">
        <v>1576</v>
      </c>
    </row>
    <row r="1997" spans="1:7">
      <c r="A1997" s="142" t="s">
        <v>232</v>
      </c>
      <c r="B1997" s="838" t="s">
        <v>233</v>
      </c>
      <c r="C1997" s="56">
        <v>45971</v>
      </c>
      <c r="D1997" s="43">
        <v>96</v>
      </c>
      <c r="G1997" t="s">
        <v>1576</v>
      </c>
    </row>
    <row r="1998" spans="1:7">
      <c r="A1998" s="308" t="s">
        <v>235</v>
      </c>
      <c r="B1998" s="360" t="s">
        <v>1575</v>
      </c>
      <c r="C1998" s="56">
        <v>45971</v>
      </c>
      <c r="G1998" t="s">
        <v>1576</v>
      </c>
    </row>
    <row r="1999" spans="1:7">
      <c r="A1999" s="1153" t="s">
        <v>313</v>
      </c>
      <c r="B1999" s="315" t="s">
        <v>132</v>
      </c>
      <c r="C1999" s="56">
        <v>45971</v>
      </c>
      <c r="G1999"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CA468E2-9FC5-4EF2-A495-D45EB5BB41A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2025-11-10T21:57:52Z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