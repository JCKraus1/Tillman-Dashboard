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128" documentId="8_{E14B221E-02E2-46A3-8CEC-C736815F2DD5}" xr6:coauthVersionLast="47" xr6:coauthVersionMax="47" xr10:uidLastSave="{89252BDD-79B9-453D-8818-AF1AE5593605}"/>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6029" r:id="rId12"/>
    <pivotCache cacheId="6030" r:id="rId13"/>
    <pivotCache cacheId="6031" r:id="rId14"/>
    <pivotCache cacheId="6032" r:id="rId15"/>
    <pivotCache cacheId="6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<sst xmlns="http://schemas.openxmlformats.org/spreadsheetml/2006/main" count="17401" uniqueCount="2230">
  <si>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</si>
  <si>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</si>
  <si>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</si>
  <si>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</si>
  <si>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</si>
  <si>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</si>
  <si>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</si>
  <si>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</si>
  <si>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</si>
  <si>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</si>
  <si>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</si>
  <si>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</si>
  <si>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</si>
  <si>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</si>
  <si>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</si>
  <si>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</si>
  <si>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</si>
  <si>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</si>
  <si>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</si>
  <si>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</si>
  <si>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</si>
  <si>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</si>
  <si>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</si>
  <si>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</si>
  <si>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</si>
  <si>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</si>
  <si>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</si>
  <si>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</si>
  <si>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</si>
  <si>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</si>
  <si>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</si>
  <si>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</si>
  <si>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</si>
  <si>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</si>
  <si>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</si>
  <si>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</si>
  <si>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</si>
  <si>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</si>
  <si>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</si>
  <si>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</si>
  <si>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</si>
  <si>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</si>
  <si>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</si>
  <si>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</si>
  <si>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</si>
  <si>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</si>
  <si>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</si>
  <si>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</si>
  <si>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</si>
  <si>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</si>
  <si>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</si>
  <si>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</si>
  <si>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</si>
  <si>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</si>
  <si>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</si>
  <si>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</si>
  <si>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</si>
  <si>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</si>
  <si>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</si>
  <si>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</si>
  <si>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</si>
  <si>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</si>
  <si>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</si>
  <si>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</si>
  <si>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</si>
  <si>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</si>
  <si>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</si>
  <si>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</si>
  <si>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</si>
  <si>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</si>
  <si>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</si>
  <si>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</si>
  <si>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</si>
  <si>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</si>
  <si>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</si>
  <si>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</si>
  <si>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</si>
  <si>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</si>
  <si>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</si>
  <si>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</si>
  <si>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</si>
  <si>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</si>
  <si>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</si>
  <si>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</si>
  <si>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</si>
  <si>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</si>
  <si>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</si>
  <si>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</si>
  <si>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</si>
  <si>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</si>
  <si>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</si>
  <si>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</si>
  <si>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</si>
  <si>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</si>
  <si>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</si>
  <si>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</si>
  <si>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</si>
  <si>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</si>
  <si>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</si>
  <si>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</si>
  <si>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</si>
  <si>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</si>
  <si>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</si>
  <si>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</si>
  <si>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</si>
  <si>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</si>
  <si>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</si>
  <si>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</si>
  <si>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</si>
  <si>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</si>
  <si>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</si>
  <si>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</si>
  <si>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</si>
  <si>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</si>
  <si>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</si>
  <si>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</si>
  <si>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</si>
  <si>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</si>
  <si>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</si>
  <si>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</si>
  <si>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</si>
  <si>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</si>
  <si>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</si>
  <si>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</si>
  <si>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</si>
  <si>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t>
  </si>
  <si>
    <t>D-HWP1007</t>
  </si>
  <si>
    <t>PLK105406</t>
  </si>
  <si>
    <t>9/3 Pending Permit. LC 1-5 / 1/23 Permit Received./ 1-26 CX Started/  1/27 CX Construction Started--Progress At 55%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</si>
  <si>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</si>
  <si>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</si>
  <si>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</si>
  <si>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</si>
  <si>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</si>
  <si>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</si>
  <si>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</si>
  <si>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</si>
  <si>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</si>
  <si>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</si>
  <si>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</si>
  <si>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</si>
  <si>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</si>
  <si>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</si>
  <si>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</si>
  <si>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</si>
  <si>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</si>
  <si>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</si>
  <si>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</si>
  <si>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</si>
  <si>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</si>
  <si>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</si>
  <si>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</si>
  <si>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</si>
  <si>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</si>
  <si>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</si>
  <si>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</si>
  <si>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</si>
  <si>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</si>
  <si>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</si>
  <si>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</si>
  <si>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</si>
  <si>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</si>
  <si>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</si>
  <si>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</si>
  <si>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</si>
  <si>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</si>
  <si>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</si>
  <si>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</si>
  <si>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</si>
  <si>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</si>
  <si>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</si>
  <si>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</si>
  <si>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</si>
  <si>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</si>
  <si>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</si>
  <si>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</si>
  <si>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</si>
  <si>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</si>
  <si>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</si>
  <si>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</si>
  <si>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</si>
  <si>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</si>
  <si>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</si>
  <si>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</si>
  <si>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</si>
  <si>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</si>
  <si>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</si>
  <si>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</si>
  <si>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</si>
  <si>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</si>
  <si>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</si>
  <si>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</si>
  <si>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</si>
  <si>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</si>
  <si>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</si>
  <si>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</si>
  <si>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</si>
  <si>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</si>
  <si>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</si>
  <si>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</si>
  <si>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</si>
  <si>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</si>
  <si>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</si>
  <si>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</si>
  <si>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</si>
  <si>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</si>
  <si>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</si>
  <si>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</si>
  <si>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</si>
  <si>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</si>
  <si>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</si>
  <si>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</si>
  <si>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</si>
  <si>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</si>
  <si>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</si>
  <si>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</si>
  <si>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</si>
  <si>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</si>
  <si>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</si>
  <si>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</si>
  <si>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</si>
  <si>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</si>
  <si>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</si>
  <si>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</si>
  <si>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</si>
  <si>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</si>
  <si>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</si>
  <si>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</si>
  <si>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</si>
  <si>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</si>
  <si>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</si>
  <si>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</si>
  <si>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</si>
  <si>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</si>
  <si>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</si>
  <si>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</si>
  <si>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</si>
  <si>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</si>
  <si>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</si>
  <si>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</si>
  <si>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</si>
  <si>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</si>
  <si>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</si>
  <si>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</si>
  <si>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</si>
  <si>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</si>
  <si>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</si>
  <si>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</si>
  <si>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</si>
  <si>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</si>
  <si>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</si>
  <si>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</si>
  <si>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</si>
  <si>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</si>
  <si>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</si>
  <si>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</si>
  <si>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</si>
  <si>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</si>
  <si>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</si>
  <si>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</si>
  <si>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</si>
  <si>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</si>
  <si>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</si>
  <si>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</si>
  <si>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</si>
  <si>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</si>
  <si>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</si>
  <si>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</si>
  <si>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</si>
  <si>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</si>
  <si>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</si>
  <si>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</si>
  <si>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</si>
  <si>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</si>
  <si>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</si>
  <si>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</si>
  <si>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</si>
  <si>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</si>
  <si>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</si>
  <si>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</si>
  <si>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</si>
  <si>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</si>
  <si>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</si>
  <si>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</si>
  <si>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</si>
  <si>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</si>
  <si>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</si>
  <si>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</si>
  <si>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</si>
  <si>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</si>
  <si>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</si>
  <si>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</si>
  <si>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</si>
  <si>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</si>
  <si>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</si>
  <si>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</si>
  <si>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</si>
  <si>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</si>
  <si>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</si>
  <si>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</si>
  <si>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</si>
  <si>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</si>
  <si>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</si>
  <si>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</si>
  <si>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</si>
  <si>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</si>
  <si>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</si>
  <si>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</si>
  <si>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</si>
  <si>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</si>
  <si>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</si>
  <si>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</si>
  <si>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</si>
  <si>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</si>
  <si>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</si>
  <si>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</si>
  <si>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</si>
  <si>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</si>
  <si>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</si>
  <si>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</si>
  <si>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</si>
  <si>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</si>
  <si>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</si>
  <si>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</si>
  <si>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</si>
  <si>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</si>
  <si>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</si>
  <si>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</si>
  <si>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</si>
  <si>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</si>
  <si>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</si>
  <si>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</si>
  <si>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</si>
  <si>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</si>
  <si>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</si>
  <si>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</si>
  <si>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</si>
  <si>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</si>
  <si>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</si>
  <si>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</si>
  <si>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</si>
  <si>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</si>
  <si>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</si>
  <si>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</si>
  <si>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</si>
  <si>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</si>
  <si>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</si>
  <si>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</si>
  <si>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</si>
  <si>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</si>
  <si>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</si>
  <si>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</si>
  <si>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</si>
  <si>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</si>
  <si>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</si>
  <si>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</si>
  <si>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</si>
  <si>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</si>
  <si>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</si>
  <si>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</si>
  <si>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</si>
  <si>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</si>
  <si>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</si>
  <si>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</si>
  <si>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</si>
  <si>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</si>
  <si>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</si>
  <si>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</si>
  <si>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</si>
  <si>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</si>
  <si>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</si>
  <si>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</si>
  <si>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</si>
  <si>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</si>
  <si>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</si>
  <si>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</si>
  <si>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</si>
  <si>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</si>
  <si>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</si>
  <si>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</si>
  <si>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</si>
  <si>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</si>
  <si>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</si>
  <si>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</si>
  <si>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</si>
  <si>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</si>
  <si>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</si>
  <si>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</si>
  <si>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</si>
  <si>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</si>
  <si>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</si>
  <si>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</si>
  <si>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</si>
  <si>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</si>
  <si>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</si>
  <si>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</si>
  <si>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</si>
  <si>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</si>
  <si>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</si>
  <si>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</si>
  <si>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</si>
  <si>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</si>
  <si>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</si>
  <si>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</si>
  <si>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</si>
  <si>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</si>
  <si>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</si>
  <si>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</si>
  <si>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</si>
  <si>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</si>
  <si>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</si>
  <si>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</si>
  <si>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</si>
  <si>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</si>
  <si>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11/24 Permit Received With NTP Package. 1/5 assigned to brothers to call in locates/door tag. / 1/12 CX started / 1/12- tickets escalated/  1/27 CX Complete--HH, FDH Installed.</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</si>
  <si>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</si>
  <si>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</si>
  <si>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</si>
  <si>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</si>
  <si>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</si>
  <si>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</si>
  <si>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</si>
  <si>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</si>
  <si>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</si>
  <si>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</si>
  <si>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</si>
  <si>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</si>
  <si>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</si>
  <si>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</si>
  <si>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</si>
  <si>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</si>
  <si>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</si>
  <si>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</si>
  <si>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</si>
  <si>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</si>
  <si>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</si>
  <si>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</si>
  <si>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</si>
  <si>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</si>
  <si>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</si>
  <si>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</si>
  <si>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</si>
  <si>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</si>
  <si>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</si>
  <si>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</si>
  <si>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</si>
  <si>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</si>
  <si>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</si>
  <si>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</si>
  <si>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</si>
  <si>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</si>
  <si>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</si>
  <si>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</si>
  <si>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</si>
  <si>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</si>
  <si>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</si>
  <si>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</si>
  <si>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</si>
  <si>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</si>
  <si>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</si>
  <si>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</si>
  <si>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</si>
  <si>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</si>
  <si>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</si>
  <si>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</si>
  <si>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</si>
  <si>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</si>
  <si>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</si>
  <si>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</si>
  <si>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</si>
  <si>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</si>
  <si>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</si>
  <si>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</si>
  <si>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</si>
  <si>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</si>
  <si>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</si>
  <si>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</si>
  <si>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</si>
  <si>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</si>
  <si>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</si>
  <si>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</si>
  <si>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</si>
  <si>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</si>
  <si>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</si>
  <si>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</si>
  <si>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</si>
  <si>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</si>
  <si>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</si>
  <si>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</si>
  <si>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</si>
  <si>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</si>
  <si>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</si>
  <si>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</si>
  <si>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</si>
  <si>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</si>
  <si>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</si>
  <si>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</si>
  <si>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</si>
  <si>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</si>
  <si>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</si>
  <si>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</si>
  <si>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</si>
  <si>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</si>
  <si>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</si>
  <si>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</si>
  <si>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</si>
  <si>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</si>
  <si>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</si>
  <si>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</si>
  <si>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</si>
  <si>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</si>
  <si>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</si>
  <si>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</si>
  <si>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</si>
  <si>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</si>
  <si>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</si>
  <si>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</si>
  <si>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</si>
  <si>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</si>
  <si>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</si>
  <si>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</si>
  <si>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</si>
  <si>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</si>
  <si>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</si>
  <si>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</si>
  <si>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</si>
  <si>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</si>
  <si>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</si>
  <si>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</si>
  <si>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</si>
  <si>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</si>
  <si>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</si>
  <si>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</si>
  <si>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</si>
  <si>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</si>
  <si>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</si>
  <si>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</si>
  <si>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</si>
  <si>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</si>
  <si>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</si>
  <si>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</si>
  <si>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</si>
  <si>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</si>
  <si>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</si>
  <si>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</si>
  <si>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</si>
  <si>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</si>
  <si>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</si>
  <si>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</si>
  <si>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</si>
  <si>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</si>
  <si>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</si>
  <si>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</si>
  <si>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</si>
  <si>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</si>
  <si>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</si>
  <si>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</si>
  <si>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</si>
  <si>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</si>
  <si>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</si>
  <si>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</si>
  <si>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</si>
  <si>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</si>
  <si>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</si>
  <si>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</si>
  <si>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</si>
  <si>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</si>
  <si>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</si>
  <si>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</si>
  <si>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</si>
  <si>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</si>
  <si>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</si>
  <si>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</si>
  <si>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</si>
  <si>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</si>
  <si>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</si>
  <si>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</si>
  <si>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</si>
  <si>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</si>
  <si>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</si>
  <si>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</si>
  <si>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</si>
  <si>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</si>
  <si>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</si>
  <si>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</si>
  <si>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</si>
  <si>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</si>
  <si>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</si>
  <si>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</si>
  <si>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</si>
  <si>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</si>
  <si>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</si>
  <si>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</si>
  <si>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</si>
  <si>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</si>
  <si>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</si>
  <si>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</si>
  <si>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</si>
  <si>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</si>
  <si>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</si>
  <si>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</si>
  <si>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</si>
  <si>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</si>
  <si>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</si>
  <si>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</si>
  <si>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</si>
  <si>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</si>
  <si>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</si>
  <si>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</si>
  <si>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</si>
  <si>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</si>
  <si>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</si>
  <si>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</si>
  <si>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</si>
  <si>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</si>
  <si>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</si>
  <si>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</si>
  <si>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</si>
  <si>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</si>
  <si>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</si>
  <si>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</si>
  <si>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</si>
  <si>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</si>
  <si>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</si>
  <si>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</si>
  <si>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</si>
  <si>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</si>
  <si>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</si>
  <si>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</si>
  <si>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</si>
  <si>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</si>
  <si>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</si>
  <si>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</si>
  <si>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</si>
  <si>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</si>
  <si>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</si>
  <si>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</si>
  <si>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</si>
  <si>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</si>
  <si>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</si>
  <si>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</si>
  <si>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</si>
  <si>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</si>
  <si>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</si>
  <si>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</si>
  <si>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</si>
  <si>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</si>
  <si>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</si>
  <si>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</si>
  <si>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</si>
  <si>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</si>
  <si>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</si>
  <si>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</si>
  <si>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</si>
  <si>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</si>
  <si>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</si>
  <si>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</si>
  <si>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</si>
  <si>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</si>
  <si>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</si>
  <si>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</si>
  <si>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</si>
  <si>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</si>
  <si>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</si>
  <si>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</si>
  <si>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</si>
  <si>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</si>
  <si>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</si>
  <si>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</si>
  <si>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</si>
  <si>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</si>
  <si>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</si>
  <si>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</si>
  <si>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</si>
  <si>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</si>
  <si>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</si>
  <si>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</si>
  <si>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</si>
  <si>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</si>
  <si>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</si>
  <si>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</si>
  <si>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</si>
  <si>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</si>
  <si>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</si>
  <si>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</si>
  <si>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</si>
  <si>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</si>
  <si>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</si>
  <si>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</si>
  <si>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</si>
  <si>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</si>
  <si>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</si>
  <si>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</si>
  <si>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</si>
  <si>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</si>
  <si>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</si>
  <si>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</si>
  <si>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</si>
  <si>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</si>
  <si>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</si>
  <si>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</si>
  <si>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</si>
  <si>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</si>
  <si>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</si>
  <si>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</si>
  <si>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</si>
  <si>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</si>
  <si>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</si>
  <si>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</si>
  <si>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</si>
  <si>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</si>
  <si>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</si>
  <si>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</si>
  <si>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</si>
  <si>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</si>
  <si>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</si>
  <si>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</si>
  <si>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</si>
  <si>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</si>
  <si>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</si>
  <si>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</si>
  <si>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</si>
  <si>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</si>
  <si>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</si>
  <si>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</si>
  <si>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</si>
  <si>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</si>
  <si>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</si>
  <si>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</si>
  <si>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</si>
  <si>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</si>
  <si>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</si>
  <si>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</si>
  <si>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</si>
  <si>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</si>
  <si>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</si>
  <si>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</si>
  <si>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</si>
  <si>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</si>
  <si>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</si>
  <si>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</si>
  <si>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</si>
  <si>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</si>
  <si>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</si>
  <si>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</si>
  <si>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</si>
  <si>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</si>
  <si>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</si>
  <si>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</si>
  <si>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</si>
  <si>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</si>
  <si>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</si>
  <si>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</si>
  <si>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</si>
  <si>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</si>
  <si>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</si>
  <si>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</si>
  <si>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</si>
  <si>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</si>
  <si>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</si>
  <si>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</si>
  <si>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</si>
  <si>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</si>
  <si>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</si>
  <si>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</si>
  <si>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</si>
  <si>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</si>
  <si>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</si>
  <si>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</si>
  <si>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</si>
  <si>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</si>
  <si>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</si>
  <si>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</si>
  <si>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</si>
  <si>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</si>
  <si>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</si>
  <si>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</si>
  <si>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</si>
  <si>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</si>
  <si>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</si>
  <si>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</si>
  <si>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</si>
  <si>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</si>
  <si>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</si>
  <si>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</si>
  <si>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</si>
  <si>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</si>
  <si>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</si>
  <si>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</si>
  <si>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</si>
  <si>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</si>
  <si>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</si>
  <si>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</si>
  <si>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</si>
  <si>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</si>
  <si>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</si>
  <si>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</si>
  <si>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</si>
  <si>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</si>
  <si>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</si>
  <si>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</si>
  <si>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</si>
  <si>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</si>
  <si>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</si>
  <si>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</si>
  <si>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</si>
  <si>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</si>
  <si>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</si>
  <si>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</si>
  <si>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</si>
  <si>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</si>
  <si>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</si>
  <si>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</si>
  <si>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</si>
  <si>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</si>
  <si>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</si>
  <si>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</si>
  <si>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</si>
  <si>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</si>
  <si>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</si>
  <si>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</si>
  <si>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</si>
  <si>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</si>
  <si>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</si>
  <si>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</si>
  <si>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</si>
  <si>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</si>
  <si>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</si>
  <si>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</si>
  <si>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</si>
  <si>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</si>
  <si>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</si>
  <si>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</si>
  <si>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</si>
  <si>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</si>
  <si>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</si>
  <si>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</si>
  <si>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</si>
  <si>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</si>
  <si>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</si>
  <si>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</si>
  <si>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</si>
  <si>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</si>
  <si>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</si>
  <si>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</si>
  <si>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</si>
  <si>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</si>
  <si>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</si>
  <si>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</si>
  <si>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</si>
  <si>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</si>
  <si>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</si>
  <si>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</si>
  <si>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</si>
  <si>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</si>
  <si>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</si>
  <si>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</si>
  <si>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</si>
  <si>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</si>
  <si>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</si>
  <si>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</si>
  <si>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</si>
  <si>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</si>
  <si>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</si>
  <si>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</si>
  <si>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</si>
  <si>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</si>
  <si>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</si>
  <si>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</si>
  <si>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</si>
  <si>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</si>
  <si>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</si>
  <si>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</si>
  <si>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</si>
  <si>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</si>
  <si>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</si>
  <si>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</si>
  <si>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</si>
  <si>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</si>
  <si>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</si>
  <si>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</si>
  <si>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</si>
  <si>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</si>
  <si>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</si>
  <si>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</si>
  <si>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</si>
  <si>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</si>
  <si>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</si>
  <si>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</si>
  <si>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</si>
  <si>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</si>
  <si>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</si>
  <si>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</si>
  <si>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</si>
  <si>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</si>
  <si>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</si>
  <si>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</si>
  <si>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</si>
  <si>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</si>
  <si>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</si>
  <si>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</si>
  <si>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</si>
  <si>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</si>
  <si>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</si>
  <si>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</si>
  <si>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</si>
  <si>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</si>
  <si>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</si>
  <si>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</si>
  <si>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</si>
  <si>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</si>
  <si>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</si>
  <si>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</si>
  <si>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</si>
  <si>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</si>
  <si>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</si>
  <si>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</si>
  <si>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</si>
  <si>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</si>
  <si>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</si>
  <si>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</si>
  <si>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</si>
  <si>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</si>
  <si>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</si>
  <si>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</si>
  <si>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</si>
  <si>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</si>
  <si>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</si>
  <si>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</si>
  <si>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</si>
  <si>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</si>
  <si>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</si>
  <si>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</si>
  <si>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</si>
  <si>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</si>
  <si>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</si>
  <si>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</si>
  <si>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</si>
  <si>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</si>
  <si>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</si>
  <si>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</si>
  <si>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</si>
  <si>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</si>
  <si>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</si>
  <si>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</si>
  <si>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</si>
  <si>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</si>
  <si>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</si>
  <si>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</si>
  <si>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</si>
  <si>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</si>
  <si>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</si>
  <si>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</si>
  <si>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</si>
  <si>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</si>
  <si>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</si>
  <si>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</si>
  <si>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</si>
  <si>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</si>
  <si>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</si>
  <si>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</si>
  <si>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</si>
  <si>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</si>
  <si>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</si>
  <si>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</si>
  <si>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</si>
  <si>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</si>
  <si>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</si>
  <si>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</si>
  <si>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</si>
  <si>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</si>
  <si>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</si>
  <si>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</si>
  <si>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</si>
  <si>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</si>
  <si>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</si>
  <si>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</si>
  <si>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</si>
  <si>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</si>
  <si>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</si>
  <si>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</si>
  <si>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</si>
  <si>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</si>
  <si>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</si>
  <si>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</si>
  <si>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</si>
  <si>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</si>
  <si>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</si>
  <si>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</si>
  <si>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</si>
  <si>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</si>
  <si>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</si>
  <si>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</si>
  <si>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</si>
  <si>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</si>
  <si>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</si>
  <si>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</si>
  <si>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</si>
  <si>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</si>
  <si>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</si>
  <si>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</si>
  <si>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</si>
  <si>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</si>
  <si>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</si>
  <si>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</si>
  <si>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</si>
  <si>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</si>
  <si>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</si>
  <si>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</si>
  <si>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</si>
  <si>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</si>
  <si>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</si>
  <si>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</si>
  <si>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</si>
  <si>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</si>
  <si>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</si>
  <si>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</si>
  <si>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</si>
  <si>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</si>
  <si>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</si>
  <si>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</si>
  <si>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</si>
  <si>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</si>
  <si>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</si>
  <si>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</si>
  <si>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</si>
  <si>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</si>
  <si>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</si>
  <si>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</si>
  <si>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</si>
  <si>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</si>
  <si>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</si>
  <si>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</si>
  <si>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</si>
  <si>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</si>
  <si>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</si>
  <si>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</si>
  <si>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</si>
  <si>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</si>
  <si>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</si>
  <si>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</si>
  <si>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</si>
  <si>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</si>
  <si>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</si>
  <si>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</si>
  <si>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</si>
  <si>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</si>
  <si>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</si>
  <si>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</si>
  <si>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</si>
  <si>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</si>
  <si>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</si>
  <si>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</si>
  <si>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</si>
  <si>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</si>
  <si>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</si>
  <si>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</si>
  <si>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</si>
  <si>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</si>
  <si>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</si>
  <si>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</si>
  <si>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</si>
  <si>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</si>
  <si>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</si>
  <si>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</si>
  <si>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</si>
  <si>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</si>
  <si>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</si>
  <si>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</si>
  <si>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</si>
  <si>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</si>
  <si>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</si>
  <si>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</si>
  <si>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</si>
  <si>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</si>
  <si>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</si>
  <si>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</si>
  <si>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</si>
  <si>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</si>
  <si>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</si>
  <si>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</si>
  <si>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</si>
  <si>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</si>
  <si>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</si>
  <si>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</si>
  <si>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</si>
  <si>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</si>
  <si>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</si>
  <si>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</si>
  <si>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</si>
  <si>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</si>
  <si>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</si>
  <si>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</si>
  <si>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</si>
  <si>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</si>
  <si>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</si>
  <si>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</si>
  <si>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</si>
  <si>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</si>
  <si>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</si>
  <si>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</si>
  <si>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</si>
  <si>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</si>
  <si>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</si>
  <si>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</si>
  <si>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</si>
  <si>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</si>
  <si>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</si>
  <si>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</si>
  <si>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</si>
  <si>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</si>
  <si>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</si>
  <si>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</si>
  <si>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</si>
  <si>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</si>
  <si>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</si>
  <si>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</si>
  <si>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</si>
  <si>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</si>
  <si>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</si>
  <si>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</si>
  <si>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</si>
  <si>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</si>
  <si>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</si>
  <si>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</si>
  <si>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</si>
  <si>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</si>
  <si>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</si>
  <si>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</si>
  <si>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</si>
  <si>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</si>
  <si>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</si>
  <si>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</si>
  <si>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</si>
  <si>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</si>
  <si>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</si>
  <si>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</si>
  <si>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</si>
  <si>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</si>
  <si>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</si>
  <si>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</si>
  <si>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</si>
  <si>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</si>
  <si>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</si>
  <si>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</si>
  <si>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</si>
  <si>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</si>
  <si>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</si>
  <si>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</si>
  <si>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</si>
  <si>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</si>
  <si>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</si>
  <si>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</si>
  <si>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</si>
  <si>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</si>
  <si>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</si>
  <si>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</si>
  <si>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</si>
  <si>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</si>
  <si>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</si>
  <si>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</si>
  <si>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</si>
  <si>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</si>
  <si>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</si>
  <si>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</si>
  <si>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</si>
  <si>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</si>
  <si>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</si>
  <si>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</si>
  <si>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</si>
  <si>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</si>
  <si>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</si>
  <si>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</si>
  <si>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</si>
  <si>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</si>
  <si>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</si>
  <si>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</si>
  <si>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</si>
  <si>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</si>
  <si>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</si>
  <si>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</si>
  <si>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</si>
  <si>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</si>
  <si>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</si>
  <si>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</si>
  <si>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</si>
  <si>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</si>
  <si>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</si>
  <si>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</si>
  <si>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</si>
  <si>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</si>
  <si>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</si>
  <si>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</si>
  <si>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</si>
  <si>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</si>
  <si>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</si>
  <si>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</si>
  <si>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</si>
  <si>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</si>
  <si>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</si>
  <si>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</si>
  <si>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</si>
  <si>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</si>
  <si>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</si>
  <si>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</si>
  <si>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</si>
  <si>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</si>
  <si>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</si>
  <si>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</si>
  <si>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</si>
  <si>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</si>
  <si>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</si>
  <si>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</si>
  <si>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</si>
  <si>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</si>
  <si>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</si>
  <si>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</si>
  <si>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</si>
  <si>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</si>
  <si>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</si>
  <si>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</si>
  <si>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</si>
  <si>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</si>
  <si>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</si>
  <si>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</si>
  <si>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</si>
  <si>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</si>
  <si>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</si>
  <si>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</si>
  <si>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</si>
  <si>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</si>
  <si>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</si>
  <si>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</si>
  <si>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</si>
  <si>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</si>
  <si>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</si>
  <si>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</si>
  <si>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</si>
  <si>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</si>
  <si>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</si>
  <si>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</si>
  <si>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</si>
  <si>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</si>
  <si>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</si>
  <si>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</si>
  <si>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</si>
  <si>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</si>
  <si>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</si>
  <si>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</si>
  <si>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</si>
  <si>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</si>
  <si>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</si>
  <si>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</si>
  <si>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</si>
  <si>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</si>
  <si>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</si>
  <si>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</si>
  <si>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</si>
  <si>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</si>
  <si>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</si>
  <si>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</si>
  <si>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</si>
  <si>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</si>
  <si>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</si>
  <si>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</si>
  <si>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</si>
  <si>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</si>
  <si>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</si>
  <si>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</si>
  <si>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</si>
  <si>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</si>
  <si>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</si>
  <si>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</si>
  <si>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</si>
  <si>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</si>
  <si>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</si>
  <si>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</si>
  <si>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</si>
  <si>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</si>
  <si>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</si>
  <si>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</si>
  <si>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</si>
  <si>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</si>
  <si>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</si>
  <si>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</si>
  <si>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</si>
  <si>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</si>
  <si>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</si>
  <si>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</si>
  <si>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</si>
  <si>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</si>
  <si>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</si>
  <si>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</si>
  <si>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</si>
  <si>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</si>
  <si>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</si>
  <si>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</si>
  <si>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</si>
  <si>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</si>
  <si>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</si>
  <si>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</si>
  <si>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</si>
  <si>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</si>
  <si>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</si>
  <si>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</si>
  <si>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</si>
  <si>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</si>
  <si>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</si>
  <si>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</si>
  <si>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</si>
  <si>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</si>
  <si>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</si>
  <si>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</si>
  <si>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</si>
  <si>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</si>
  <si>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</si>
  <si>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</si>
  <si>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</si>
  <si>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</si>
  <si>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</si>
  <si>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</si>
  <si>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</si>
  <si>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</si>
  <si>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</si>
  <si>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</si>
  <si>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</si>
  <si>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</si>
  <si>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</si>
  <si>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</si>
  <si>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</si>
  <si>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</si>
  <si>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</si>
  <si>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</si>
  <si>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</si>
  <si>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</si>
  <si>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</si>
  <si>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</si>
  <si>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</si>
  <si>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</si>
  <si>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</si>
  <si>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</si>
  <si>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</si>
  <si>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</si>
  <si>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</si>
  <si>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</si>
  <si>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</si>
  <si>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</si>
  <si>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</si>
  <si>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</si>
  <si>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</si>
  <si>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</si>
  <si>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</si>
  <si>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</si>
  <si>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</si>
  <si>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</si>
  <si>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</si>
  <si>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</si>
  <si>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</si>
  <si>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</si>
  <si>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</si>
  <si>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</si>
  <si>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</si>
  <si>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</si>
  <si>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</si>
  <si>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</si>
  <si>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</si>
  <si>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</si>
  <si>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</si>
  <si>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</si>
  <si>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</si>
  <si>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</si>
  <si>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</si>
  <si>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</si>
  <si>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</si>
  <si>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</si>
  <si>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</si>
  <si>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</si>
  <si>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</si>
  <si>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</si>
  <si>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</si>
  <si>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</si>
  <si>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</si>
  <si>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</si>
  <si>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</si>
  <si>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</si>
  <si>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</si>
  <si>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</si>
  <si>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</si>
  <si>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</si>
  <si>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</si>
  <si>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</si>
  <si>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</si>
  <si>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</si>
  <si>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</si>
  <si>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</si>
  <si>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</si>
  <si>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</si>
  <si>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</si>
  <si>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</si>
  <si>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</si>
  <si>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</si>
  <si>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</si>
  <si>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</si>
  <si>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</si>
  <si>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</si>
  <si>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</si>
  <si>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</si>
  <si>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</si>
  <si>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</si>
  <si>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</si>
  <si>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</si>
  <si>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</si>
  <si>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</si>
  <si>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</si>
  <si>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</si>
  <si>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</si>
  <si>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</si>
  <si>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</si>
  <si>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</si>
  <si>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</si>
  <si>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</si>
  <si>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</si>
  <si>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</si>
  <si>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</si>
  <si>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</si>
  <si>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</si>
  <si>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</si>
  <si>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</si>
  <si>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</si>
  <si>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</si>
  <si>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</si>
  <si>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</si>
  <si>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</si>
  <si>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</si>
  <si>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</si>
  <si>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</si>
  <si>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</si>
  <si>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</si>
  <si>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</si>
  <si>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</si>
  <si>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</si>
  <si>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</si>
  <si>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</si>
  <si>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</si>
  <si>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</si>
  <si>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</si>
  <si>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</si>
  <si>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</si>
  <si>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</si>
  <si>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</si>
  <si>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</si>
  <si>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</si>
  <si>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</si>
  <si>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</si>
  <si>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</si>
  <si>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</si>
  <si>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</si>
  <si>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</si>
  <si>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</si>
  <si>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</si>
  <si>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</si>
  <si>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</si>
  <si>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</si>
  <si>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</si>
  <si>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</si>
  <si>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</si>
  <si>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</si>
  <si>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</si>
  <si>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</si>
  <si>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</si>
  <si>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</si>
  <si>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</si>
  <si>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</si>
  <si>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</si>
  <si>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</si>
  <si>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</si>
  <si>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</si>
  <si>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</si>
  <si>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</si>
  <si>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</si>
  <si>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</si>
  <si>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</si>
  <si>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</si>
  <si>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</si>
  <si>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</si>
  <si>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</si>
  <si>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</si>
  <si>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</si>
  <si>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</si>
  <si>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</si>
  <si>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</si>
  <si>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</si>
  <si>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</si>
  <si>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</si>
  <si>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</si>
  <si>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</si>
  <si>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</si>
  <si>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</si>
  <si>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</si>
  <si>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</si>
  <si>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</si>
  <si>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</si>
  <si>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</si>
  <si>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</si>
  <si>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</si>
  <si>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</si>
  <si>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</si>
  <si>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</si>
  <si>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</si>
  <si>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</si>
  <si>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</si>
  <si>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</si>
  <si>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</si>
  <si>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</si>
  <si>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</si>
  <si>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</si>
  <si>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</si>
  <si>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</si>
  <si>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</si>
  <si>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</si>
  <si>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</si>
  <si>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</si>
  <si>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</si>
  <si>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</si>
  <si>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</si>
  <si>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</si>
  <si>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</si>
  <si>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</si>
  <si>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</si>
  <si>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</si>
  <si>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</si>
  <si>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</si>
  <si>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</si>
  <si>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</si>
  <si>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</si>
  <si>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</si>
  <si>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</si>
  <si>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</si>
  <si>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</si>
  <si>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</si>
  <si>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</si>
  <si>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</si>
  <si>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</si>
  <si>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</si>
  <si>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</si>
  <si>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</si>
  <si>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</si>
  <si>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</si>
  <si>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</si>
  <si>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</si>
  <si>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</si>
  <si>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</si>
  <si>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</si>
  <si>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</si>
  <si>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</si>
  <si>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</si>
  <si>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</si>
  <si>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</si>
  <si>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</si>
  <si>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</si>
  <si>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</si>
  <si>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</si>
  <si>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</si>
  <si>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</si>
  <si>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</si>
  <si>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</si>
  <si>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</si>
  <si>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</si>
  <si>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</si>
  <si>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</si>
  <si>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</si>
  <si>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</si>
  <si>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</si>
  <si>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</si>
  <si>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</si>
  <si>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</si>
  <si>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</si>
  <si>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</si>
  <si>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</si>
  <si>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</si>
  <si>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</si>
  <si>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</si>
  <si>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</si>
  <si>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</si>
  <si>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</si>
  <si>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</si>
  <si>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</si>
  <si>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</si>
  <si>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</si>
  <si>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</si>
  <si>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</si>
  <si>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</si>
  <si>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</si>
  <si>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</si>
  <si>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</si>
  <si>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</si>
  <si>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</si>
  <si>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</si>
  <si>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</si>
  <si>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</si>
  <si>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</si>
  <si>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</si>
  <si>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</si>
  <si>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</si>
  <si>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</si>
  <si>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</si>
  <si>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</si>
  <si>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</si>
  <si>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</si>
  <si>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</si>
  <si>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</si>
  <si>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</si>
  <si>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</si>
  <si>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</si>
  <si>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</si>
  <si>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</si>
  <si>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</si>
  <si>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</si>
  <si>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</si>
  <si>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</si>
  <si>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</si>
  <si>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</si>
  <si>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</si>
  <si>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</si>
  <si>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</si>
  <si>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</si>
  <si>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</si>
  <si>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</si>
  <si>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</si>
  <si>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</si>
  <si>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</si>
  <si>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</si>
  <si>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</si>
  <si>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</si>
  <si>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</si>
  <si>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</si>
  <si>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</si>
  <si>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</si>
  <si>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</si>
  <si>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</si>
  <si>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</si>
  <si>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</si>
  <si>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</si>
  <si>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</si>
  <si>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</si>
  <si>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</si>
  <si>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</si>
  <si>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</si>
  <si>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</si>
  <si>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</si>
  <si>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</si>
  <si>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</si>
  <si>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</si>
  <si>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</si>
  <si>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</si>
  <si>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</si>
  <si>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</si>
  <si>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</si>
  <si>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</si>
  <si>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</si>
  <si>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</si>
  <si>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</si>
  <si>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</si>
  <si>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</si>
  <si>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</si>
  <si>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</si>
  <si>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</si>
  <si>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</si>
  <si>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</si>
  <si>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</si>
  <si>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</si>
  <si>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</si>
  <si>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</si>
  <si>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</si>
  <si>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</si>
  <si>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</si>
  <si>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</si>
  <si>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</si>
  <si>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</si>
  <si>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</si>
  <si>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</si>
  <si>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</si>
  <si>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</si>
  <si>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</si>
  <si>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</si>
  <si>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</si>
  <si>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</si>
  <si>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</si>
  <si>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</si>
  <si>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</si>
  <si>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</si>
  <si>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</si>
  <si>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</si>
  <si>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</si>
  <si>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</si>
  <si>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</si>
  <si>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</si>
  <si>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</si>
  <si>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</si>
  <si>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</si>
  <si>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</si>
  <si>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</si>
  <si>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</si>
  <si>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</si>
  <si>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</si>
  <si>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</si>
  <si>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</si>
  <si>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</si>
  <si>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</si>
  <si>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</si>
  <si>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</si>
  <si>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</si>
  <si>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</si>
  <si>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</si>
  <si>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</si>
  <si>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</si>
  <si>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</si>
  <si>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</si>
  <si>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</si>
  <si>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</si>
  <si>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</si>
  <si>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</si>
  <si>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</si>
  <si>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</si>
  <si>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</si>
  <si>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</si>
  <si>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</si>
  <si>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</si>
  <si>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</si>
  <si>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</si>
  <si>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</si>
  <si>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</si>
  <si>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</si>
  <si>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</si>
  <si>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</si>
  <si>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</si>
  <si>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</si>
  <si>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</si>
  <si>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</si>
  <si>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</si>
  <si>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</si>
  <si>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</si>
  <si>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</si>
  <si>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</si>
  <si>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</si>
  <si>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</si>
  <si>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</si>
  <si>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</si>
  <si>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</si>
  <si>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</si>
  <si>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</si>
  <si>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</si>
  <si>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</si>
  <si>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</si>
  <si>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</si>
  <si>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</si>
  <si>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</si>
  <si>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</si>
  <si>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</si>
  <si>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</si>
  <si>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</si>
  <si>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</si>
  <si>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</si>
  <si>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</si>
  <si>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</si>
  <si>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</si>
  <si>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</si>
  <si>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</si>
  <si>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</si>
  <si>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</si>
  <si>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</si>
  <si>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</si>
  <si>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</si>
  <si>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</si>
  <si>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</si>
  <si>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</si>
  <si>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</si>
  <si>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</si>
  <si>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</si>
  <si>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</si>
  <si>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</si>
  <si>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</si>
  <si>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</si>
  <si>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</si>
  <si>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</si>
  <si>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</si>
  <si>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</si>
  <si>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</si>
  <si>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</si>
  <si>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</si>
  <si>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</si>
  <si>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</si>
  <si>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</si>
  <si>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</si>
  <si>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</si>
  <si>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</si>
  <si>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</si>
  <si>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</si>
  <si>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</si>
  <si>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</si>
  <si>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</si>
  <si>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</si>
  <si>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</si>
  <si>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</si>
  <si>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</si>
  <si>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</si>
  <si>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</si>
  <si>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</si>
  <si>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</si>
  <si>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</si>
  <si>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</si>
  <si>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</si>
  <si>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</si>
  <si>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</si>
  <si>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</si>
  <si>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</si>
  <si>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</si>
  <si>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</si>
  <si>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</si>
  <si>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</si>
  <si>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</si>
  <si>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</si>
  <si>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</si>
  <si>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</si>
  <si>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</si>
  <si>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</si>
  <si>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</si>
  <si>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</si>
  <si>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</si>
  <si>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</si>
  <si>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</si>
  <si>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</si>
  <si>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</si>
  <si>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</si>
  <si>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</si>
  <si>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</si>
  <si>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</si>
  <si>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</si>
  <si>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</si>
  <si>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</si>
  <si>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</si>
  <si>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</si>
  <si>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</si>
  <si>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</si>
  <si>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</si>
  <si>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</si>
  <si>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</si>
  <si>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</si>
  <si>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</si>
  <si>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</si>
  <si>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</si>
  <si>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</si>
  <si>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</si>
  <si>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</si>
  <si>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</si>
  <si>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</si>
  <si>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</si>
  <si>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</si>
  <si>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</si>
  <si>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</si>
  <si>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</si>
  <si>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</si>
  <si>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</si>
  <si>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</si>
  <si>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</si>
  <si>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</si>
  <si>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</si>
  <si>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</si>
  <si>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</si>
  <si>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</si>
  <si>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</si>
  <si>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</si>
  <si>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</si>
  <si>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</si>
  <si>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</si>
  <si>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</si>
  <si>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</si>
  <si>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</si>
  <si>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</si>
  <si>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</si>
  <si>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</si>
  <si>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</si>
  <si>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</si>
  <si>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</si>
  <si>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</si>
  <si>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</si>
  <si>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</si>
  <si>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</si>
  <si>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</si>
  <si>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</si>
  <si>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</si>
  <si>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</si>
  <si>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</si>
  <si>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</si>
  <si>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</si>
  <si>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</si>
  <si>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</si>
  <si>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</si>
  <si>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</si>
  <si>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</si>
  <si>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</si>
  <si>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</si>
  <si>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</si>
  <si>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</si>
  <si>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</si>
  <si>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</si>
  <si>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</si>
  <si>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</si>
  <si>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</si>
  <si>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</si>
  <si>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</si>
  <si>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</si>
  <si>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</si>
  <si>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</si>
  <si>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</si>
  <si>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</si>
  <si>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</si>
  <si>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</si>
  <si>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</si>
  <si>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</si>
  <si>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</si>
  <si>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</si>
  <si>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</si>
  <si>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</si>
  <si>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</si>
  <si>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</si>
  <si>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</si>
  <si>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</si>
  <si>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</si>
  <si>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</si>
  <si>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</si>
  <si>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</si>
  <si>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</si>
  <si>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</si>
  <si>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</si>
  <si>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</si>
  <si>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</si>
  <si>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</si>
  <si>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</si>
  <si>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</si>
  <si>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</si>
  <si>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</si>
  <si>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</si>
  <si>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</si>
  <si>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</si>
  <si>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</si>
  <si>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</si>
  <si>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</si>
  <si>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</si>
  <si>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</si>
  <si>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</si>
  <si>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</si>
  <si>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</si>
  <si>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</si>
  <si>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</si>
  <si>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</si>
  <si>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</si>
  <si>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</si>
  <si>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</si>
  <si>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</si>
  <si>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</si>
  <si>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</si>
  <si>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</si>
  <si>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</si>
  <si>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</si>
  <si>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</si>
  <si>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</si>
  <si>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</si>
  <si>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</si>
  <si>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</si>
  <si>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</si>
  <si>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</si>
  <si>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</si>
  <si>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</si>
  <si>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</si>
  <si>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</si>
  <si>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</si>
  <si>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</si>
  <si>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</si>
  <si>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</si>
  <si>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</si>
  <si>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</si>
  <si>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</si>
  <si>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</si>
  <si>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</si>
  <si>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</si>
  <si>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</si>
  <si>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</si>
  <si>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</si>
  <si>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</si>
  <si>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</si>
  <si>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</si>
  <si>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</si>
  <si>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</si>
  <si>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</si>
  <si>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</si>
  <si>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</si>
  <si>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</si>
  <si>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</si>
  <si>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</si>
  <si>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</si>
  <si>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</si>
  <si>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</si>
  <si>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</si>
  <si>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</si>
  <si>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</si>
  <si>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</si>
  <si>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</si>
  <si>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</si>
  <si>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</si>
  <si>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</si>
  <si>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</si>
  <si>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</si>
  <si>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</si>
  <si>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</si>
  <si>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</si>
  <si>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</si>
  <si>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</si>
  <si>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</si>
  <si>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</si>
  <si>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</si>
  <si>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</si>
  <si>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</si>
  <si>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</si>
  <si>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</si>
  <si>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</si>
  <si>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</si>
  <si>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</si>
  <si>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</si>
  <si>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</si>
  <si>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</si>
  <si>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</si>
  <si>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</si>
  <si>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</si>
  <si>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</si>
  <si>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</si>
  <si>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</si>
  <si>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</si>
  <si>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</si>
  <si>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</si>
  <si>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</si>
  <si>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</si>
  <si>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</si>
  <si>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</si>
  <si>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</si>
  <si>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</si>
  <si>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</si>
  <si>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</si>
  <si>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</si>
  <si>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</si>
  <si>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</si>
  <si>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</si>
  <si>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</si>
  <si>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</si>
  <si>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</si>
  <si>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</si>
  <si>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</si>
  <si>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</si>
  <si>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</si>
  <si>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</si>
  <si>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</si>
  <si>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</si>
  <si>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</si>
  <si>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</si>
  <si>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</si>
  <si>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</si>
  <si>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</si>
  <si>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</si>
  <si>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</si>
  <si>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</si>
  <si>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</si>
  <si>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</si>
  <si>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</si>
  <si>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</si>
  <si>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</si>
  <si>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</si>
  <si>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</si>
  <si>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</si>
  <si>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</si>
  <si>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</si>
  <si>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</si>
  <si>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</si>
  <si>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</si>
  <si>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FDH / Sponge Testing</t>
  </si>
  <si>
    <t>9 Toby Boxes / 7 Daps / 21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</si>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</sst>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148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726852"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344948958336"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79"/>
    <x v="32"/>
    <x v="251"/>
    <m/>
    <m/>
    <m/>
  </r>
  <r>
    <x v="352"/>
    <x v="5"/>
    <x v="251"/>
    <m/>
    <m/>
    <m/>
  </r>
  <r>
    <x v="351"/>
    <x v="6"/>
    <x v="251"/>
    <m/>
    <m/>
    <m/>
  </r>
  <r>
    <x v="355"/>
    <x v="5"/>
    <x v="251"/>
    <m/>
    <m/>
    <m/>
  </r>
  <r>
    <x v="347"/>
    <x v="32"/>
    <x v="251"/>
    <m/>
    <m/>
    <m/>
  </r>
  <r>
    <x v="348"/>
    <x v="46"/>
    <x v="251"/>
    <m/>
    <m/>
    <m/>
  </r>
  <r>
    <x v="174"/>
    <x v="53"/>
    <x v="251"/>
    <m/>
    <m/>
    <m/>
  </r>
  <r>
    <x v="356"/>
    <x v="53"/>
    <x v="251"/>
    <m/>
    <m/>
    <m/>
  </r>
  <r>
    <x v="319"/>
    <x v="5"/>
    <x v="251"/>
    <m/>
    <m/>
    <s v="FDH / Sponge Testing"/>
  </r>
  <r>
    <x v="324"/>
    <x v="5"/>
    <x v="251"/>
    <m/>
    <m/>
    <s v="FDH / Sponge Testing"/>
  </r>
  <r>
    <x v="317"/>
    <x v="5"/>
    <x v="251"/>
    <m/>
    <m/>
    <s v="FDH / Sponge Testing"/>
  </r>
  <r>
    <x v="327"/>
    <x v="5"/>
    <x v="251"/>
    <m/>
    <m/>
    <s v="FDH / Sponge Testing"/>
  </r>
  <r>
    <x v="331"/>
    <x v="5"/>
    <x v="251"/>
    <m/>
    <m/>
    <s v="FDH / Sponge Testing"/>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s v="D-HNP108"/>
    <x v="32"/>
    <d v="2026-01-28T00:00:00"/>
    <m/>
    <m/>
    <m/>
    <x v="12"/>
  </r>
  <r>
    <s v="D-HWP1005"/>
    <x v="5"/>
    <d v="2026-01-28T00:00:00"/>
    <m/>
    <m/>
    <m/>
    <x v="12"/>
  </r>
  <r>
    <s v="D-HWP1006"/>
    <x v="6"/>
    <d v="2026-01-28T00:00:00"/>
    <m/>
    <m/>
    <m/>
    <x v="12"/>
  </r>
  <r>
    <s v="D-HWP1007"/>
    <x v="5"/>
    <d v="2026-01-28T00:00:00"/>
    <m/>
    <m/>
    <m/>
    <x v="12"/>
  </r>
  <r>
    <s v="Moss Creek "/>
    <x v="32"/>
    <d v="2026-01-28T00:00:00"/>
    <m/>
    <m/>
    <m/>
    <x v="12"/>
  </r>
  <r>
    <s v="Colonial Manor"/>
    <x v="46"/>
    <d v="2026-01-28T00:00:00"/>
    <m/>
    <m/>
    <m/>
    <x v="12"/>
  </r>
  <r>
    <s v="FB-HLR201"/>
    <x v="53"/>
    <d v="2026-01-28T00:00:00"/>
    <m/>
    <m/>
    <m/>
    <x v="12"/>
  </r>
  <r>
    <s v="FB-HOE401-V2"/>
    <x v="53"/>
    <d v="2026-01-28T00:00:00"/>
    <m/>
    <m/>
    <m/>
    <x v="12"/>
  </r>
  <r>
    <s v="D-HSH252"/>
    <x v="5"/>
    <d v="2026-01-28T00:00:00"/>
    <m/>
    <m/>
    <s v="FDH / Sponge Testing"/>
    <x v="12"/>
  </r>
  <r>
    <s v="D-HSH253"/>
    <x v="5"/>
    <d v="2026-01-28T00:00:00"/>
    <m/>
    <m/>
    <s v="FDH / Sponge Testing"/>
    <x v="12"/>
  </r>
  <r>
    <s v="D-HSH254"/>
    <x v="5"/>
    <d v="2026-01-28T00:00:00"/>
    <m/>
    <m/>
    <s v="FDH / Sponge Testing"/>
    <x v="12"/>
  </r>
  <r>
    <s v="D-HSH255"/>
    <x v="5"/>
    <d v="2026-01-28T00:00:00"/>
    <m/>
    <m/>
    <s v="FDH / Sponge Testing"/>
    <x v="12"/>
  </r>
  <r>
    <s v="D-HSH256"/>
    <x v="5"/>
    <d v="2026-01-28T00:00:00"/>
    <m/>
    <m/>
    <s v="FDH / Sponge Testing"/>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n v="1758"/>
    <n v="1425"/>
    <n v="0.55230914231856743"/>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6">
    <i>
      <x v="177"/>
    </i>
    <i>
      <x v="182"/>
    </i>
    <i>
      <x v="325"/>
    </i>
    <i>
      <x v="326"/>
    </i>
    <i>
      <x v="330"/>
    </i>
    <i>
      <x v="336"/>
    </i>
    <i>
      <x v="337"/>
    </i>
    <i>
      <x v="339"/>
    </i>
    <i>
      <x v="341"/>
    </i>
    <i>
      <x v="345"/>
    </i>
    <i>
      <x v="346"/>
    </i>
    <i>
      <x v="350"/>
    </i>
    <i>
      <x v="351"/>
    </i>
    <i>
      <x v="352"/>
    </i>
    <i>
      <x v="353"/>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Y81" activePane="topRight" state="frozen"/>
      <selection pane="topRight" activeCell="Y94" sqref="Y9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174" t="s">
        <v>129</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105</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U32"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414</v>
      </c>
    </row>
    <row r="36" spans="1:30" ht="39.75" customHeight="1">
      <c r="A36" s="1436" t="s">
        <v>415</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416</v>
      </c>
    </row>
    <row r="37" spans="1:30" ht="39.75" customHeight="1">
      <c r="A37" s="1436" t="s">
        <v>417</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418</v>
      </c>
    </row>
    <row r="38" spans="1:30" ht="39.75" customHeight="1">
      <c r="A38" s="1476" t="s">
        <v>419</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420</v>
      </c>
    </row>
    <row r="39" spans="1:30" ht="39.75" customHeight="1">
      <c r="A39" s="1476" t="s">
        <v>421</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422</v>
      </c>
    </row>
    <row r="40" spans="1:30" ht="39.75" customHeight="1">
      <c r="A40" s="1436" t="s">
        <v>423</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2058</v>
      </c>
      <c r="AD40" s="1228" t="s">
        <v>424</v>
      </c>
    </row>
    <row r="41" spans="1:30" ht="39.75" customHeight="1">
      <c r="A41" s="1128" t="s">
        <v>425</v>
      </c>
      <c r="B41" s="1129" t="s">
        <v>284</v>
      </c>
      <c r="C41" s="375">
        <v>46019</v>
      </c>
      <c r="D41" s="962" t="s">
        <v>135</v>
      </c>
      <c r="E41" s="375">
        <v>45959</v>
      </c>
      <c r="F41" s="374" t="s">
        <v>285</v>
      </c>
      <c r="G41" s="667" t="s">
        <v>426</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427</v>
      </c>
    </row>
    <row r="42" spans="1:30" ht="39.75" customHeight="1">
      <c r="A42" s="1067" t="s">
        <v>428</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429</v>
      </c>
    </row>
    <row r="43" spans="1:30" ht="39.75" customHeight="1">
      <c r="A43" s="1054" t="s">
        <v>430</v>
      </c>
      <c r="B43" s="966" t="s">
        <v>284</v>
      </c>
      <c r="C43" s="467">
        <v>46045</v>
      </c>
      <c r="D43" s="638" t="s">
        <v>135</v>
      </c>
      <c r="E43" s="467">
        <v>45959</v>
      </c>
      <c r="F43" s="465" t="s">
        <v>285</v>
      </c>
      <c r="G43" s="468" t="s">
        <v>431</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432</v>
      </c>
    </row>
    <row r="44" spans="1:30" ht="39.75" customHeight="1">
      <c r="A44" s="1053" t="s">
        <v>433</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434</v>
      </c>
    </row>
    <row r="45" spans="1:30" ht="39.75" customHeight="1">
      <c r="A45" s="1053" t="s">
        <v>435</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434</v>
      </c>
    </row>
    <row r="46" spans="1:30" ht="39.75" customHeight="1">
      <c r="A46" s="1292" t="s">
        <v>436</v>
      </c>
      <c r="B46" s="1129" t="s">
        <v>284</v>
      </c>
      <c r="C46" s="1357">
        <v>46052</v>
      </c>
      <c r="D46" s="962" t="s">
        <v>135</v>
      </c>
      <c r="E46" s="1263">
        <v>45993</v>
      </c>
      <c r="F46" s="1264" t="s">
        <v>140</v>
      </c>
      <c r="G46" s="1264" t="s">
        <v>437</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438</v>
      </c>
    </row>
    <row r="47" spans="1:30" ht="39.75" customHeight="1">
      <c r="A47" s="1053" t="s">
        <v>439</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440</v>
      </c>
    </row>
    <row r="48" spans="1:30" ht="39.75" customHeight="1">
      <c r="A48" s="1053" t="s">
        <v>441</v>
      </c>
      <c r="B48" s="450" t="s">
        <v>284</v>
      </c>
      <c r="C48" s="375">
        <v>45989</v>
      </c>
      <c r="D48" s="962" t="s">
        <v>135</v>
      </c>
      <c r="E48" s="375">
        <v>45959</v>
      </c>
      <c r="F48" s="374" t="s">
        <v>140</v>
      </c>
      <c r="G48" s="633" t="s">
        <v>442</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443</v>
      </c>
    </row>
    <row r="49" spans="1:30" ht="39.75" customHeight="1">
      <c r="A49" s="1053" t="s">
        <v>444</v>
      </c>
      <c r="B49" s="450" t="s">
        <v>284</v>
      </c>
      <c r="C49" s="375">
        <v>46010</v>
      </c>
      <c r="D49" s="962" t="s">
        <v>135</v>
      </c>
      <c r="E49" s="375">
        <v>45959</v>
      </c>
      <c r="F49" s="374" t="s">
        <v>140</v>
      </c>
      <c r="G49" s="633" t="s">
        <v>445</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446</v>
      </c>
    </row>
    <row r="50" spans="1:30" ht="39.75" customHeight="1">
      <c r="A50" s="1053" t="s">
        <v>447</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448</v>
      </c>
    </row>
    <row r="51" spans="1:30" ht="39.75" customHeight="1">
      <c r="A51" s="1053" t="s">
        <v>449</v>
      </c>
      <c r="B51" s="450" t="s">
        <v>284</v>
      </c>
      <c r="C51" s="375">
        <v>45989</v>
      </c>
      <c r="D51" s="962" t="s">
        <v>135</v>
      </c>
      <c r="E51" s="375">
        <v>45959</v>
      </c>
      <c r="F51" s="374" t="s">
        <v>140</v>
      </c>
      <c r="G51" s="633" t="s">
        <v>450</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451</v>
      </c>
    </row>
    <row r="52" spans="1:30" ht="39.75" customHeight="1">
      <c r="A52" s="1053" t="s">
        <v>452</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453</v>
      </c>
    </row>
    <row r="53" spans="1:30" ht="39.75" customHeight="1">
      <c r="A53" s="1292" t="s">
        <v>454</v>
      </c>
      <c r="B53" s="1129" t="s">
        <v>284</v>
      </c>
      <c r="C53" s="1263">
        <v>46019</v>
      </c>
      <c r="D53" s="962" t="s">
        <v>135</v>
      </c>
      <c r="E53" s="1263">
        <v>45959</v>
      </c>
      <c r="F53" s="1264" t="s">
        <v>140</v>
      </c>
      <c r="G53" s="1264" t="s">
        <v>455</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456</v>
      </c>
    </row>
    <row r="54" spans="1:30" ht="39.75" customHeight="1">
      <c r="A54" s="1053" t="s">
        <v>457</v>
      </c>
      <c r="B54" s="450" t="s">
        <v>284</v>
      </c>
      <c r="C54" s="375">
        <v>45989</v>
      </c>
      <c r="D54" s="962" t="s">
        <v>135</v>
      </c>
      <c r="E54" s="375">
        <v>45959</v>
      </c>
      <c r="F54" s="374" t="s">
        <v>140</v>
      </c>
      <c r="G54" s="633" t="s">
        <v>458</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459</v>
      </c>
    </row>
    <row r="55" spans="1:30" ht="39.75" customHeight="1">
      <c r="A55" s="1292" t="s">
        <v>460</v>
      </c>
      <c r="B55" s="1129" t="s">
        <v>284</v>
      </c>
      <c r="C55" s="1263">
        <v>46019</v>
      </c>
      <c r="D55" s="962" t="s">
        <v>135</v>
      </c>
      <c r="E55" s="1263">
        <v>45959</v>
      </c>
      <c r="F55" s="1264" t="s">
        <v>140</v>
      </c>
      <c r="G55" s="1264" t="s">
        <v>461</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462</v>
      </c>
    </row>
    <row r="56" spans="1:30" ht="39.75" customHeight="1">
      <c r="A56" s="1053" t="s">
        <v>463</v>
      </c>
      <c r="B56" s="450" t="s">
        <v>284</v>
      </c>
      <c r="C56" s="375">
        <v>46021</v>
      </c>
      <c r="D56" s="962" t="s">
        <v>135</v>
      </c>
      <c r="E56" s="375">
        <v>45959</v>
      </c>
      <c r="F56" s="374" t="s">
        <v>140</v>
      </c>
      <c r="G56" s="633" t="s">
        <v>464</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465</v>
      </c>
    </row>
    <row r="57" spans="1:30" ht="39.75" customHeight="1">
      <c r="A57" s="1292" t="s">
        <v>466</v>
      </c>
      <c r="B57" s="1129" t="s">
        <v>284</v>
      </c>
      <c r="C57" s="1263">
        <v>46021</v>
      </c>
      <c r="D57" s="962" t="s">
        <v>135</v>
      </c>
      <c r="E57" s="1263">
        <v>45959</v>
      </c>
      <c r="F57" s="1264" t="s">
        <v>140</v>
      </c>
      <c r="G57" s="1264" t="s">
        <v>467</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468</v>
      </c>
    </row>
    <row r="58" spans="1:30" ht="39.75" customHeight="1">
      <c r="A58" s="1292" t="s">
        <v>469</v>
      </c>
      <c r="B58" s="1129" t="s">
        <v>284</v>
      </c>
      <c r="C58" s="1263">
        <v>46021</v>
      </c>
      <c r="D58" s="962" t="s">
        <v>135</v>
      </c>
      <c r="E58" s="1263">
        <v>45959</v>
      </c>
      <c r="F58" s="1264" t="s">
        <v>140</v>
      </c>
      <c r="G58" s="1264" t="s">
        <v>470</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471</v>
      </c>
    </row>
    <row r="59" spans="1:30" ht="39.75" customHeight="1">
      <c r="A59" s="1292" t="s">
        <v>472</v>
      </c>
      <c r="B59" s="1129" t="s">
        <v>284</v>
      </c>
      <c r="C59" s="1263">
        <v>46021</v>
      </c>
      <c r="D59" s="962" t="s">
        <v>135</v>
      </c>
      <c r="E59" s="1263">
        <v>45959</v>
      </c>
      <c r="F59" s="1264" t="s">
        <v>140</v>
      </c>
      <c r="G59" s="1264" t="s">
        <v>473</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474</v>
      </c>
    </row>
    <row r="60" spans="1:30" ht="39.75" customHeight="1">
      <c r="A60" s="1292" t="s">
        <v>475</v>
      </c>
      <c r="B60" s="1129" t="s">
        <v>284</v>
      </c>
      <c r="C60" s="1263">
        <v>46019</v>
      </c>
      <c r="D60" s="962" t="s">
        <v>135</v>
      </c>
      <c r="E60" s="1263">
        <v>45959</v>
      </c>
      <c r="F60" s="1264" t="s">
        <v>140</v>
      </c>
      <c r="G60" s="1264" t="s">
        <v>476</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477</v>
      </c>
      <c r="AD60" s="1451" t="s">
        <v>478</v>
      </c>
    </row>
    <row r="61" spans="1:30" ht="39.75" customHeight="1">
      <c r="A61" s="1292" t="s">
        <v>479</v>
      </c>
      <c r="B61" s="1129" t="s">
        <v>284</v>
      </c>
      <c r="C61" s="1357">
        <v>46052</v>
      </c>
      <c r="D61" s="962" t="s">
        <v>135</v>
      </c>
      <c r="E61" s="1263">
        <v>45987</v>
      </c>
      <c r="F61" s="1264" t="s">
        <v>140</v>
      </c>
      <c r="G61" s="1264" t="s">
        <v>480</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481</v>
      </c>
    </row>
    <row r="62" spans="1:30" ht="39.75" customHeight="1">
      <c r="A62" s="1292" t="s">
        <v>482</v>
      </c>
      <c r="B62" s="1129" t="s">
        <v>284</v>
      </c>
      <c r="C62" s="1357">
        <v>46052</v>
      </c>
      <c r="D62" s="962" t="s">
        <v>135</v>
      </c>
      <c r="E62" s="1263">
        <v>45987</v>
      </c>
      <c r="F62" s="1366" t="s">
        <v>140</v>
      </c>
      <c r="G62" s="1264" t="s">
        <v>483</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484</v>
      </c>
    </row>
    <row r="63" spans="1:30" ht="39.75" customHeight="1">
      <c r="A63" s="1292" t="s">
        <v>485</v>
      </c>
      <c r="B63" s="1129" t="s">
        <v>284</v>
      </c>
      <c r="C63" s="1263">
        <v>46019</v>
      </c>
      <c r="D63" s="962" t="s">
        <v>135</v>
      </c>
      <c r="E63" s="1263">
        <v>45959</v>
      </c>
      <c r="F63" s="1264" t="s">
        <v>140</v>
      </c>
      <c r="G63" s="1264" t="s">
        <v>486</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487</v>
      </c>
    </row>
    <row r="64" spans="1:30" ht="39.75" customHeight="1">
      <c r="A64" s="1292" t="s">
        <v>488</v>
      </c>
      <c r="B64" s="1129" t="s">
        <v>284</v>
      </c>
      <c r="C64" s="1263">
        <v>46019</v>
      </c>
      <c r="D64" s="962" t="s">
        <v>135</v>
      </c>
      <c r="E64" s="1263">
        <v>45959</v>
      </c>
      <c r="F64" s="1264" t="s">
        <v>140</v>
      </c>
      <c r="G64" s="1264" t="s">
        <v>489</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490</v>
      </c>
    </row>
    <row r="65" spans="1:30" ht="39.75" customHeight="1">
      <c r="A65" s="1055" t="s">
        <v>491</v>
      </c>
      <c r="B65" s="783" t="s">
        <v>50</v>
      </c>
      <c r="C65" s="879">
        <v>45991</v>
      </c>
      <c r="D65" s="1069" t="s">
        <v>182</v>
      </c>
      <c r="E65" s="57">
        <v>45743</v>
      </c>
      <c r="F65" s="766" t="s">
        <v>492</v>
      </c>
      <c r="G65" s="784" t="s">
        <v>493</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494</v>
      </c>
    </row>
    <row r="66" spans="1:30" ht="39.75" customHeight="1">
      <c r="A66" s="1245" t="s">
        <v>495</v>
      </c>
      <c r="B66" s="818" t="s">
        <v>50</v>
      </c>
      <c r="C66" s="1175">
        <v>46008</v>
      </c>
      <c r="D66" s="1175" t="s">
        <v>496</v>
      </c>
      <c r="E66" s="1195">
        <v>45743</v>
      </c>
      <c r="F66" s="1196" t="s">
        <v>492</v>
      </c>
      <c r="G66" s="1196" t="s">
        <v>497</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498</v>
      </c>
    </row>
    <row r="67" spans="1:30" ht="39.75" customHeight="1">
      <c r="A67" s="1055" t="s">
        <v>499</v>
      </c>
      <c r="B67" s="765" t="s">
        <v>50</v>
      </c>
      <c r="C67" s="879">
        <v>45991</v>
      </c>
      <c r="D67" s="1056" t="s">
        <v>500</v>
      </c>
      <c r="E67" s="767">
        <v>45735</v>
      </c>
      <c r="F67" s="766" t="s">
        <v>492</v>
      </c>
      <c r="G67" s="769" t="s">
        <v>501</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502</v>
      </c>
    </row>
    <row r="68" spans="1:30" ht="39.75" customHeight="1">
      <c r="A68" s="916" t="s">
        <v>503</v>
      </c>
      <c r="B68" s="818" t="s">
        <v>50</v>
      </c>
      <c r="C68" s="467">
        <v>45991</v>
      </c>
      <c r="D68" s="467" t="s">
        <v>182</v>
      </c>
      <c r="E68" s="476">
        <v>45748</v>
      </c>
      <c r="F68" s="475" t="s">
        <v>492</v>
      </c>
      <c r="G68" s="819" t="s">
        <v>504</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505</v>
      </c>
    </row>
    <row r="69" spans="1:30" ht="39.75" customHeight="1">
      <c r="A69" s="1245" t="s">
        <v>506</v>
      </c>
      <c r="B69" s="818" t="s">
        <v>50</v>
      </c>
      <c r="C69" s="1175">
        <v>46048</v>
      </c>
      <c r="D69" s="1175" t="s">
        <v>496</v>
      </c>
      <c r="E69" s="1195">
        <v>45748</v>
      </c>
      <c r="F69" s="821" t="s">
        <v>492</v>
      </c>
      <c r="G69" s="1196" t="s">
        <v>507</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508</v>
      </c>
    </row>
    <row r="70" spans="1:30" ht="39.75" customHeight="1">
      <c r="A70" s="1055" t="s">
        <v>509</v>
      </c>
      <c r="B70" s="783" t="s">
        <v>50</v>
      </c>
      <c r="C70" s="879">
        <v>45991</v>
      </c>
      <c r="D70" s="1069" t="s">
        <v>182</v>
      </c>
      <c r="E70" s="57">
        <v>45779</v>
      </c>
      <c r="F70" s="766" t="s">
        <v>492</v>
      </c>
      <c r="G70" s="784" t="s">
        <v>510</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511</v>
      </c>
    </row>
    <row r="71" spans="1:30" ht="39.75" customHeight="1">
      <c r="A71" s="1245" t="s">
        <v>512</v>
      </c>
      <c r="B71" s="818" t="s">
        <v>50</v>
      </c>
      <c r="C71" s="1175">
        <v>46044</v>
      </c>
      <c r="D71" s="1175" t="s">
        <v>182</v>
      </c>
      <c r="E71" s="1195">
        <v>45700</v>
      </c>
      <c r="F71" s="1195" t="s">
        <v>492</v>
      </c>
      <c r="G71" s="1195" t="s">
        <v>513</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514</v>
      </c>
    </row>
    <row r="72" spans="1:30" ht="39.75" customHeight="1">
      <c r="A72" s="1245" t="s">
        <v>515</v>
      </c>
      <c r="B72" s="818" t="s">
        <v>50</v>
      </c>
      <c r="C72" s="1175">
        <v>46218</v>
      </c>
      <c r="D72" s="1175" t="s">
        <v>516</v>
      </c>
      <c r="E72" s="51" t="s">
        <v>52</v>
      </c>
      <c r="F72" s="1196" t="s">
        <v>492</v>
      </c>
      <c r="G72" s="1196" t="s">
        <v>517</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518</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3"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329</v>
      </c>
      <c r="J2" s="469" t="s">
        <v>63</v>
      </c>
      <c r="K2" s="469"/>
      <c r="L2" s="467">
        <v>45852</v>
      </c>
      <c r="M2" s="469" t="s">
        <v>57</v>
      </c>
      <c r="N2" s="540">
        <v>42837.2</v>
      </c>
      <c r="O2" s="469" t="s">
        <v>57</v>
      </c>
      <c r="P2" s="801" t="s">
        <v>330</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329</v>
      </c>
      <c r="J3" s="478" t="s">
        <v>63</v>
      </c>
      <c r="K3" s="486"/>
      <c r="L3" s="467">
        <v>45716</v>
      </c>
      <c r="M3" s="478" t="s">
        <v>57</v>
      </c>
      <c r="N3" s="541">
        <v>64932.55</v>
      </c>
      <c r="O3" s="478" t="s">
        <v>57</v>
      </c>
      <c r="P3" s="801" t="s">
        <v>330</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0" t="s">
        <v>181</v>
      </c>
      <c r="C4" s="897">
        <v>45999</v>
      </c>
      <c r="D4" s="901" t="s">
        <v>182</v>
      </c>
      <c r="E4" s="972">
        <v>45975</v>
      </c>
      <c r="F4" s="901" t="s">
        <v>183</v>
      </c>
      <c r="G4" s="977" t="s">
        <v>526</v>
      </c>
      <c r="H4" s="964">
        <v>0</v>
      </c>
      <c r="I4" s="900" t="s">
        <v>329</v>
      </c>
      <c r="J4" s="899" t="s">
        <v>63</v>
      </c>
      <c r="K4" s="899"/>
      <c r="L4" s="51">
        <v>45960</v>
      </c>
      <c r="M4" s="1401" t="s">
        <v>57</v>
      </c>
      <c r="N4" s="974">
        <v>4911.8999999999996</v>
      </c>
      <c r="O4" s="964" t="s">
        <v>57</v>
      </c>
      <c r="P4" s="903" t="s">
        <v>330</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348</v>
      </c>
      <c r="E5" s="428">
        <v>45707</v>
      </c>
      <c r="F5" s="475" t="s">
        <v>194</v>
      </c>
      <c r="G5" s="491" t="s">
        <v>529</v>
      </c>
      <c r="H5" s="483">
        <v>0</v>
      </c>
      <c r="I5" s="483" t="s">
        <v>329</v>
      </c>
      <c r="J5" s="483" t="s">
        <v>63</v>
      </c>
      <c r="K5" s="483"/>
      <c r="L5" s="476">
        <v>45708</v>
      </c>
      <c r="M5" s="483" t="s">
        <v>57</v>
      </c>
      <c r="N5" s="542">
        <v>87944.4</v>
      </c>
      <c r="O5" s="483" t="s">
        <v>57</v>
      </c>
      <c r="P5" s="801" t="s">
        <v>330</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329</v>
      </c>
      <c r="J6" s="478" t="s">
        <v>63</v>
      </c>
      <c r="K6" s="838"/>
      <c r="L6" s="467">
        <v>45716</v>
      </c>
      <c r="M6" s="478" t="s">
        <v>57</v>
      </c>
      <c r="N6" s="540">
        <v>2812.95</v>
      </c>
      <c r="O6" s="478" t="s">
        <v>57</v>
      </c>
      <c r="P6" s="801" t="s">
        <v>330</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348</v>
      </c>
      <c r="E7" s="476">
        <v>45866</v>
      </c>
      <c r="F7" s="475" t="s">
        <v>194</v>
      </c>
      <c r="G7" s="477" t="s">
        <v>534</v>
      </c>
      <c r="H7" s="478">
        <v>0</v>
      </c>
      <c r="I7" s="483" t="s">
        <v>329</v>
      </c>
      <c r="J7" s="478" t="s">
        <v>63</v>
      </c>
      <c r="K7" s="486"/>
      <c r="L7" s="476">
        <v>45863</v>
      </c>
      <c r="M7" s="478" t="s">
        <v>57</v>
      </c>
      <c r="N7" s="541">
        <v>143407.25</v>
      </c>
      <c r="O7" s="478" t="s">
        <v>57</v>
      </c>
      <c r="P7" s="801" t="s">
        <v>330</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329</v>
      </c>
      <c r="J8" s="478" t="s">
        <v>63</v>
      </c>
      <c r="K8" s="486"/>
      <c r="L8" s="476">
        <v>45881</v>
      </c>
      <c r="M8" s="478" t="s">
        <v>57</v>
      </c>
      <c r="N8" s="541">
        <v>4815.6499999999996</v>
      </c>
      <c r="O8" s="478" t="s">
        <v>57</v>
      </c>
      <c r="P8" s="801" t="s">
        <v>330</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329</v>
      </c>
      <c r="J9" s="393" t="s">
        <v>63</v>
      </c>
      <c r="K9" s="393"/>
      <c r="L9" s="830" t="s">
        <v>52</v>
      </c>
      <c r="M9" s="393" t="s">
        <v>57</v>
      </c>
      <c r="N9" s="833">
        <v>4646.75</v>
      </c>
      <c r="O9" s="393" t="s">
        <v>79</v>
      </c>
      <c r="P9" s="903" t="s">
        <v>330</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329</v>
      </c>
      <c r="J10" s="469" t="s">
        <v>63</v>
      </c>
      <c r="K10" s="469"/>
      <c r="L10" s="476">
        <v>45918</v>
      </c>
      <c r="M10" s="478" t="s">
        <v>57</v>
      </c>
      <c r="N10" s="541">
        <v>9611.9500000000007</v>
      </c>
      <c r="O10" s="478" t="s">
        <v>57</v>
      </c>
      <c r="P10" s="801" t="s">
        <v>330</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329</v>
      </c>
      <c r="J13" s="469" t="s">
        <v>63</v>
      </c>
      <c r="K13" s="469"/>
      <c r="L13" s="467">
        <v>45897</v>
      </c>
      <c r="M13" s="469" t="s">
        <v>57</v>
      </c>
      <c r="N13" s="540">
        <v>44896.1</v>
      </c>
      <c r="O13" s="469" t="s">
        <v>57</v>
      </c>
      <c r="P13" s="801" t="s">
        <v>330</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329</v>
      </c>
      <c r="J14" s="469" t="s">
        <v>63</v>
      </c>
      <c r="K14" s="469"/>
      <c r="L14" s="467">
        <v>45903</v>
      </c>
      <c r="M14" s="469" t="s">
        <v>57</v>
      </c>
      <c r="N14" s="540">
        <v>59116.7</v>
      </c>
      <c r="O14" s="469" t="s">
        <v>57</v>
      </c>
      <c r="P14" s="801" t="s">
        <v>330</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329</v>
      </c>
      <c r="J15" s="1177" t="s">
        <v>63</v>
      </c>
      <c r="K15" s="1177"/>
      <c r="L15" s="1175">
        <v>45936</v>
      </c>
      <c r="M15" s="1177" t="s">
        <v>57</v>
      </c>
      <c r="N15" s="1178">
        <v>38192</v>
      </c>
      <c r="O15" s="1177" t="s">
        <v>57</v>
      </c>
      <c r="P15" s="1342" t="s">
        <v>330</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329</v>
      </c>
      <c r="J16" s="469" t="s">
        <v>63</v>
      </c>
      <c r="K16" s="469"/>
      <c r="L16" s="467">
        <v>45903</v>
      </c>
      <c r="M16" s="469" t="s">
        <v>57</v>
      </c>
      <c r="N16" s="540">
        <v>40406</v>
      </c>
      <c r="O16" s="469" t="s">
        <v>57</v>
      </c>
      <c r="P16" s="801" t="s">
        <v>330</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329</v>
      </c>
      <c r="J19" s="1177" t="s">
        <v>63</v>
      </c>
      <c r="K19" s="469"/>
      <c r="L19" s="1175">
        <v>45999</v>
      </c>
      <c r="M19" s="1177" t="s">
        <v>57</v>
      </c>
      <c r="N19" s="1178">
        <v>74384</v>
      </c>
      <c r="O19" s="1177" t="s">
        <v>57</v>
      </c>
      <c r="P19" s="1342" t="s">
        <v>330</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329</v>
      </c>
      <c r="J20" s="469" t="s">
        <v>63</v>
      </c>
      <c r="K20" s="469"/>
      <c r="L20" s="467">
        <v>45979</v>
      </c>
      <c r="M20" s="469" t="s">
        <v>57</v>
      </c>
      <c r="N20" s="540">
        <v>29683</v>
      </c>
      <c r="O20" s="469" t="s">
        <v>57</v>
      </c>
      <c r="P20" s="801" t="s">
        <v>330</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329</v>
      </c>
      <c r="J31" s="469" t="s">
        <v>63</v>
      </c>
      <c r="K31" s="469"/>
      <c r="L31" s="467">
        <v>45967</v>
      </c>
      <c r="M31" s="469" t="s">
        <v>57</v>
      </c>
      <c r="N31" s="540">
        <v>60620</v>
      </c>
      <c r="O31" s="469" t="s">
        <v>57</v>
      </c>
      <c r="P31" s="1387" t="s">
        <v>330</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329</v>
      </c>
      <c r="J33" s="1177" t="s">
        <v>63</v>
      </c>
      <c r="K33" s="1177"/>
      <c r="L33" s="1175">
        <v>45965</v>
      </c>
      <c r="M33" s="1177" t="s">
        <v>57</v>
      </c>
      <c r="N33" s="1178">
        <v>20705</v>
      </c>
      <c r="O33" s="1177" t="s">
        <v>57</v>
      </c>
      <c r="P33" s="1342" t="s">
        <v>330</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329</v>
      </c>
      <c r="J34" s="469" t="s">
        <v>63</v>
      </c>
      <c r="K34" s="469"/>
      <c r="L34" s="467">
        <v>45968</v>
      </c>
      <c r="M34" s="469" t="s">
        <v>57</v>
      </c>
      <c r="N34" s="540">
        <v>12840.7</v>
      </c>
      <c r="O34" s="469" t="s">
        <v>57</v>
      </c>
      <c r="P34" s="801" t="s">
        <v>330</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329</v>
      </c>
      <c r="J35" s="1177" t="s">
        <v>63</v>
      </c>
      <c r="K35" s="469"/>
      <c r="L35" s="1175" t="s">
        <v>137</v>
      </c>
      <c r="M35" s="1177" t="s">
        <v>57</v>
      </c>
      <c r="N35" s="1178">
        <v>23475.5</v>
      </c>
      <c r="O35" s="1240" t="s">
        <v>57</v>
      </c>
      <c r="P35" s="1393" t="s">
        <v>330</v>
      </c>
      <c r="Q35" s="1226">
        <v>45999</v>
      </c>
      <c r="R35" s="124"/>
      <c r="S35" s="124"/>
      <c r="T35" s="193"/>
      <c r="U35" s="87" t="s">
        <v>521</v>
      </c>
      <c r="V35" s="1390">
        <v>1890</v>
      </c>
      <c r="W35" s="1386">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521</v>
      </c>
      <c r="V36" s="1112">
        <v>908</v>
      </c>
      <c r="W36" s="1391">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329</v>
      </c>
      <c r="J37" s="469" t="s">
        <v>63</v>
      </c>
      <c r="K37" s="469"/>
      <c r="L37" s="467" t="s">
        <v>137</v>
      </c>
      <c r="M37" s="469" t="s">
        <v>57</v>
      </c>
      <c r="N37" s="540">
        <v>51970</v>
      </c>
      <c r="O37" s="87" t="s">
        <v>57</v>
      </c>
      <c r="P37" s="1394" t="s">
        <v>330</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405</v>
      </c>
      <c r="E39" s="467">
        <v>45958</v>
      </c>
      <c r="F39" s="465" t="s">
        <v>119</v>
      </c>
      <c r="G39" s="468" t="s">
        <v>616</v>
      </c>
      <c r="H39" s="469">
        <v>303</v>
      </c>
      <c r="I39" s="657" t="s">
        <v>329</v>
      </c>
      <c r="J39" s="469" t="s">
        <v>56</v>
      </c>
      <c r="K39" s="469"/>
      <c r="L39" s="467">
        <v>45953</v>
      </c>
      <c r="M39" s="469" t="s">
        <v>57</v>
      </c>
      <c r="N39" s="540">
        <v>168480.8</v>
      </c>
      <c r="O39" s="469" t="s">
        <v>57</v>
      </c>
      <c r="P39" s="801" t="s">
        <v>330</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521</v>
      </c>
      <c r="V41" s="782">
        <v>2811</v>
      </c>
      <c r="W41" s="872">
        <v>2732</v>
      </c>
      <c r="X41" s="106">
        <f>SUM(V41-W41)</f>
        <v>79</v>
      </c>
      <c r="Y41" s="22">
        <f>IFERROR($W41/$V41, 0)</f>
        <v>0.97189612237637857</v>
      </c>
      <c r="Z41" s="54">
        <v>45922</v>
      </c>
      <c r="AA41" s="1404">
        <v>1</v>
      </c>
      <c r="AB41" s="355">
        <v>1</v>
      </c>
      <c r="AC41" s="472">
        <v>0</v>
      </c>
      <c r="AD41" s="660" t="s">
        <v>624</v>
      </c>
    </row>
    <row r="42" spans="1:30" ht="39.75" customHeight="1">
      <c r="A42" s="847" t="s">
        <v>625</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521</v>
      </c>
      <c r="V42" s="472">
        <v>4725</v>
      </c>
      <c r="W42" s="872">
        <v>4535</v>
      </c>
      <c r="X42" s="106">
        <v>0</v>
      </c>
      <c r="Y42" s="653">
        <v>0.96</v>
      </c>
      <c r="Z42" s="54">
        <v>45971</v>
      </c>
      <c r="AA42" s="1404">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330</v>
      </c>
      <c r="M43" s="380" t="s">
        <v>57</v>
      </c>
      <c r="N43" s="1060">
        <v>64790.5</v>
      </c>
      <c r="O43" s="380" t="s">
        <v>57</v>
      </c>
      <c r="P43" s="1078" t="s">
        <v>330</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329</v>
      </c>
      <c r="J45" s="469" t="s">
        <v>63</v>
      </c>
      <c r="K45" s="820"/>
      <c r="L45" s="476">
        <v>45741</v>
      </c>
      <c r="M45" s="469" t="s">
        <v>57</v>
      </c>
      <c r="N45" s="541">
        <v>67735.5</v>
      </c>
      <c r="O45" s="469" t="s">
        <v>57</v>
      </c>
      <c r="P45" s="801" t="s">
        <v>330</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330</v>
      </c>
      <c r="J46" s="823" t="s">
        <v>63</v>
      </c>
      <c r="K46" s="823"/>
      <c r="L46" s="821">
        <v>45705</v>
      </c>
      <c r="M46" s="823" t="s">
        <v>57</v>
      </c>
      <c r="N46" s="844">
        <v>1295</v>
      </c>
      <c r="O46" s="823" t="s">
        <v>57</v>
      </c>
      <c r="P46" s="801" t="s">
        <v>330</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399" t="s">
        <v>638</v>
      </c>
      <c r="B47" s="818" t="s">
        <v>50</v>
      </c>
      <c r="C47" s="879">
        <v>46008</v>
      </c>
      <c r="D47" s="1398" t="s">
        <v>639</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521</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330</v>
      </c>
      <c r="Q49" s="1200">
        <v>45960</v>
      </c>
      <c r="R49" s="1200"/>
      <c r="S49" s="1200"/>
      <c r="T49" s="1200"/>
      <c r="U49" s="485" t="s">
        <v>521</v>
      </c>
      <c r="V49" s="1201">
        <v>22238</v>
      </c>
      <c r="W49" s="1340">
        <v>22321</v>
      </c>
      <c r="X49" s="1181">
        <f t="shared" si="6"/>
        <v>-83</v>
      </c>
      <c r="Y49" s="855">
        <f t="shared" si="7"/>
        <v>1.0037323500314776</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40" activePane="topRight" state="frozen"/>
      <selection pane="topRight" activeCell="A147" sqref="A147:XFD14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69" t="s">
        <v>48</v>
      </c>
    </row>
    <row r="2" spans="1:27" ht="39.75" customHeight="1">
      <c r="A2" s="373" t="s">
        <v>648</v>
      </c>
      <c r="B2" s="390" t="s">
        <v>181</v>
      </c>
      <c r="C2" s="51">
        <v>45807</v>
      </c>
      <c r="D2" s="51" t="s">
        <v>649</v>
      </c>
      <c r="E2" s="51">
        <v>45706</v>
      </c>
      <c r="F2" s="50" t="s">
        <v>194</v>
      </c>
      <c r="G2" s="382" t="s">
        <v>650</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670</v>
      </c>
    </row>
    <row r="9" spans="1:27" ht="39.75" customHeight="1">
      <c r="A9" s="373" t="s">
        <v>671</v>
      </c>
      <c r="B9" s="50" t="s">
        <v>96</v>
      </c>
      <c r="C9" s="51">
        <v>45787</v>
      </c>
      <c r="D9" s="654" t="s">
        <v>135</v>
      </c>
      <c r="E9" s="51">
        <v>45715</v>
      </c>
      <c r="F9" s="50" t="s">
        <v>97</v>
      </c>
      <c r="G9" s="666" t="s">
        <v>672</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655</v>
      </c>
      <c r="AA41" s="1471"/>
    </row>
    <row r="42" spans="1:27" ht="39.75" customHeight="1">
      <c r="A42" s="1134" t="s">
        <v>747</v>
      </c>
      <c r="B42" s="1135" t="s">
        <v>96</v>
      </c>
      <c r="C42" s="1136">
        <v>45899</v>
      </c>
      <c r="D42" s="1137" t="s">
        <v>748</v>
      </c>
      <c r="E42" s="1138">
        <v>45876</v>
      </c>
      <c r="F42" s="1139" t="s">
        <v>140</v>
      </c>
      <c r="G42" s="1140" t="s">
        <v>749</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750</v>
      </c>
    </row>
    <row r="43" spans="1:27" ht="39.75" customHeight="1">
      <c r="A43" s="1004" t="s">
        <v>751</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755</v>
      </c>
    </row>
    <row r="45" spans="1:27" ht="39.75" customHeight="1">
      <c r="A45" s="373" t="s">
        <v>756</v>
      </c>
      <c r="B45" s="374" t="s">
        <v>96</v>
      </c>
      <c r="C45" s="645">
        <v>45805</v>
      </c>
      <c r="D45" s="645" t="s">
        <v>135</v>
      </c>
      <c r="E45" s="645">
        <v>45695</v>
      </c>
      <c r="F45" s="645" t="s">
        <v>140</v>
      </c>
      <c r="G45" s="768" t="s">
        <v>757</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761</v>
      </c>
    </row>
    <row r="47" spans="1:27" ht="39.75" customHeight="1">
      <c r="A47" s="763" t="s">
        <v>762</v>
      </c>
      <c r="B47" s="885" t="s">
        <v>96</v>
      </c>
      <c r="C47" s="57">
        <v>45899</v>
      </c>
      <c r="D47" s="879" t="s">
        <v>135</v>
      </c>
      <c r="E47" s="879">
        <v>45882</v>
      </c>
      <c r="F47" s="1006" t="s">
        <v>140</v>
      </c>
      <c r="G47" s="1012" t="s">
        <v>763</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770</v>
      </c>
    </row>
    <row r="50" spans="1:27" ht="39.75" customHeight="1">
      <c r="A50" s="877" t="s">
        <v>771</v>
      </c>
      <c r="B50" s="465" t="s">
        <v>96</v>
      </c>
      <c r="C50" s="476">
        <v>45868</v>
      </c>
      <c r="D50" s="467" t="s">
        <v>182</v>
      </c>
      <c r="E50" s="487">
        <v>45839</v>
      </c>
      <c r="F50" s="467" t="s">
        <v>97</v>
      </c>
      <c r="G50" s="477" t="s">
        <v>772</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778</v>
      </c>
    </row>
    <row r="53" spans="1:27" ht="39.75" customHeight="1">
      <c r="A53" s="1147" t="s">
        <v>779</v>
      </c>
      <c r="B53" s="895" t="s">
        <v>96</v>
      </c>
      <c r="C53" s="972">
        <v>45899</v>
      </c>
      <c r="D53" s="898" t="s">
        <v>182</v>
      </c>
      <c r="E53" s="898">
        <v>45882</v>
      </c>
      <c r="F53" s="895" t="s">
        <v>97</v>
      </c>
      <c r="G53" s="1148" t="s">
        <v>780</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329</v>
      </c>
      <c r="J54" s="501" t="s">
        <v>63</v>
      </c>
      <c r="K54" s="502" t="s">
        <v>784</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655</v>
      </c>
      <c r="AA62" s="1470" t="s">
        <v>807</v>
      </c>
    </row>
    <row r="63" spans="1:27" ht="39.75" customHeight="1">
      <c r="A63" s="373" t="s">
        <v>808</v>
      </c>
      <c r="B63" s="665" t="s">
        <v>50</v>
      </c>
      <c r="C63" s="51">
        <v>45742</v>
      </c>
      <c r="D63" s="50" t="s">
        <v>805</v>
      </c>
      <c r="E63" s="51">
        <v>45716</v>
      </c>
      <c r="F63" s="50" t="s">
        <v>809</v>
      </c>
      <c r="G63" s="664" t="s">
        <v>810</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813</v>
      </c>
      <c r="B65" s="509" t="s">
        <v>50</v>
      </c>
      <c r="C65" s="495">
        <v>45772</v>
      </c>
      <c r="D65" s="510" t="s">
        <v>814</v>
      </c>
      <c r="E65" s="510">
        <v>45693</v>
      </c>
      <c r="F65" s="500" t="s">
        <v>492</v>
      </c>
      <c r="G65" s="511" t="s">
        <v>815</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819</v>
      </c>
    </row>
    <row r="67" spans="1:27" ht="39.75" customHeight="1">
      <c r="A67" s="1416" t="s">
        <v>820</v>
      </c>
      <c r="B67" s="509" t="s">
        <v>50</v>
      </c>
      <c r="C67" s="495">
        <v>45772</v>
      </c>
      <c r="D67" s="510" t="s">
        <v>814</v>
      </c>
      <c r="E67" s="510">
        <v>45698</v>
      </c>
      <c r="F67" s="495" t="s">
        <v>492</v>
      </c>
      <c r="G67" s="511" t="s">
        <v>821</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824</v>
      </c>
      <c r="B69" s="818" t="s">
        <v>50</v>
      </c>
      <c r="C69" s="476">
        <v>45772</v>
      </c>
      <c r="D69" s="476" t="s">
        <v>805</v>
      </c>
      <c r="E69" s="821">
        <v>45686</v>
      </c>
      <c r="F69" s="475" t="s">
        <v>492</v>
      </c>
      <c r="G69" s="843" t="s">
        <v>825</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832</v>
      </c>
    </row>
    <row r="72" spans="1:27" ht="39.75" customHeight="1">
      <c r="A72" s="1418" t="s">
        <v>833</v>
      </c>
      <c r="B72" s="818" t="s">
        <v>50</v>
      </c>
      <c r="C72" s="476">
        <v>45772</v>
      </c>
      <c r="D72" s="821" t="s">
        <v>834</v>
      </c>
      <c r="E72" s="821">
        <v>45694</v>
      </c>
      <c r="F72" s="821" t="s">
        <v>492</v>
      </c>
      <c r="G72" s="843" t="s">
        <v>835</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329</v>
      </c>
      <c r="J104" s="770" t="s">
        <v>63</v>
      </c>
      <c r="K104" s="57">
        <v>45707</v>
      </c>
      <c r="L104" s="770" t="s">
        <v>57</v>
      </c>
      <c r="M104" s="426" t="s">
        <v>921</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958</v>
      </c>
      <c r="AB118" s="1473">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963</v>
      </c>
      <c r="AB120" s="1432"/>
      <c r="AC120" s="425"/>
      <c r="AD120" s="867"/>
    </row>
    <row r="121" spans="1:30" ht="39.75" customHeight="1">
      <c r="A121" s="1305" t="s">
        <v>964</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965</v>
      </c>
      <c r="AB121" s="1432"/>
      <c r="AC121" s="425"/>
      <c r="AD121" s="867"/>
    </row>
    <row r="122" spans="1:30" ht="39.75" customHeight="1">
      <c r="A122" s="1422" t="s">
        <v>966</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434</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3" t="s">
        <v>1010</v>
      </c>
      <c r="B145" s="1176" t="s">
        <v>96</v>
      </c>
      <c r="C145" s="1175">
        <v>46006</v>
      </c>
      <c r="D145" s="1175" t="s">
        <v>135</v>
      </c>
      <c r="E145" s="1175">
        <v>46006</v>
      </c>
      <c r="F145" s="1176" t="s">
        <v>97</v>
      </c>
      <c r="G145" s="1176" t="s">
        <v>1011</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3" t="s">
        <v>1019</v>
      </c>
      <c r="B149" s="1176" t="s">
        <v>96</v>
      </c>
      <c r="C149" s="1175">
        <v>46006</v>
      </c>
      <c r="D149" s="1175" t="s">
        <v>135</v>
      </c>
      <c r="E149" s="1175">
        <v>46021</v>
      </c>
      <c r="F149" s="1176" t="s">
        <v>97</v>
      </c>
      <c r="G149" s="1176" t="s">
        <v>1020</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1021</v>
      </c>
    </row>
    <row r="150" spans="1:27" ht="39.75" customHeight="1">
      <c r="A150" s="373" t="s">
        <v>1022</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4" t="s">
        <v>1053</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0"/>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347</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327</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350</v>
      </c>
      <c r="C770">
        <v>120</v>
      </c>
      <c r="D770">
        <v>190</v>
      </c>
      <c r="G770">
        <v>310</v>
      </c>
    </row>
    <row r="771" spans="1:7">
      <c r="A771" t="s">
        <v>327</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350</v>
      </c>
      <c r="E818">
        <v>725</v>
      </c>
      <c r="G818">
        <v>725</v>
      </c>
    </row>
    <row r="819" spans="1:7">
      <c r="A819" t="s">
        <v>327</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353</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327</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579</v>
      </c>
      <c r="C868">
        <v>230</v>
      </c>
      <c r="G868">
        <v>230</v>
      </c>
    </row>
    <row r="869" spans="1:7">
      <c r="A869" t="s">
        <v>1015</v>
      </c>
      <c r="B869">
        <v>853</v>
      </c>
      <c r="G869">
        <v>853</v>
      </c>
    </row>
    <row r="870" spans="1:7">
      <c r="A870" t="s">
        <v>346</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327</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338</v>
      </c>
      <c r="D899">
        <v>3179</v>
      </c>
      <c r="G899">
        <v>3179</v>
      </c>
    </row>
    <row r="900" spans="1:7">
      <c r="A900" t="s">
        <v>610</v>
      </c>
      <c r="E900">
        <v>978</v>
      </c>
      <c r="G900">
        <v>978</v>
      </c>
    </row>
    <row r="901" spans="1:7">
      <c r="A901" t="s">
        <v>401</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327</v>
      </c>
    </row>
    <row r="911" spans="1:7">
      <c r="A911" t="s">
        <v>353</v>
      </c>
      <c r="F911">
        <v>569</v>
      </c>
      <c r="G911">
        <v>569</v>
      </c>
    </row>
    <row r="912" spans="1:7">
      <c r="A912" t="s">
        <v>638</v>
      </c>
    </row>
    <row r="913" spans="1:7">
      <c r="A913" t="s">
        <v>335</v>
      </c>
      <c r="D913">
        <v>150</v>
      </c>
      <c r="G913">
        <v>150</v>
      </c>
    </row>
    <row r="914" spans="1:7">
      <c r="A914" t="s">
        <v>346</v>
      </c>
    </row>
    <row r="915" spans="1:7">
      <c r="A915" t="s">
        <v>585</v>
      </c>
      <c r="B915">
        <v>701</v>
      </c>
      <c r="G915">
        <v>701</v>
      </c>
    </row>
    <row r="916" spans="1:7">
      <c r="A916" t="s">
        <v>973</v>
      </c>
      <c r="B916">
        <v>463</v>
      </c>
      <c r="C916">
        <v>633</v>
      </c>
      <c r="D916">
        <v>625</v>
      </c>
      <c r="G916">
        <v>1721</v>
      </c>
    </row>
    <row r="917" spans="1:7">
      <c r="A917" t="s">
        <v>344</v>
      </c>
    </row>
    <row r="918" spans="1:7">
      <c r="A918" t="s">
        <v>338</v>
      </c>
      <c r="B918">
        <v>882</v>
      </c>
      <c r="C918">
        <v>1072</v>
      </c>
      <c r="D918">
        <v>1034</v>
      </c>
      <c r="E918">
        <v>209</v>
      </c>
      <c r="G918">
        <v>3197</v>
      </c>
    </row>
    <row r="919" spans="1:7">
      <c r="A919" t="s">
        <v>610</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357</v>
      </c>
      <c r="B924">
        <v>207</v>
      </c>
      <c r="G924">
        <v>207</v>
      </c>
    </row>
    <row r="925" spans="1:7">
      <c r="A925" t="s">
        <v>642</v>
      </c>
      <c r="C925">
        <v>1691</v>
      </c>
      <c r="D925">
        <v>1998</v>
      </c>
      <c r="E925">
        <v>760</v>
      </c>
      <c r="F925">
        <v>3975</v>
      </c>
      <c r="G925">
        <v>8424</v>
      </c>
    </row>
    <row r="926" spans="1:7">
      <c r="A926" t="s">
        <v>613</v>
      </c>
      <c r="D926">
        <v>1031</v>
      </c>
      <c r="G926">
        <v>1031</v>
      </c>
    </row>
    <row r="927" spans="1:7">
      <c r="A927" t="s">
        <v>355</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332</v>
      </c>
    </row>
    <row r="940" spans="1:7">
      <c r="A940" t="s">
        <v>638</v>
      </c>
      <c r="B940">
        <v>560</v>
      </c>
      <c r="G940">
        <v>560</v>
      </c>
    </row>
    <row r="941" spans="1:7">
      <c r="A941" t="s">
        <v>346</v>
      </c>
    </row>
    <row r="942" spans="1:7">
      <c r="A942" t="s">
        <v>585</v>
      </c>
      <c r="B942">
        <v>138</v>
      </c>
      <c r="G942">
        <v>138</v>
      </c>
    </row>
    <row r="943" spans="1:7">
      <c r="A943" t="s">
        <v>344</v>
      </c>
    </row>
    <row r="944" spans="1:7">
      <c r="A944" t="s">
        <v>338</v>
      </c>
      <c r="B944">
        <v>96</v>
      </c>
      <c r="G944">
        <v>96</v>
      </c>
    </row>
    <row r="945" spans="1:7">
      <c r="A945" t="s">
        <v>610</v>
      </c>
      <c r="B945">
        <v>632</v>
      </c>
      <c r="G945">
        <v>632</v>
      </c>
    </row>
    <row r="946" spans="1:7">
      <c r="A946" t="s">
        <v>401</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401</v>
      </c>
      <c r="B972">
        <v>127</v>
      </c>
      <c r="G972">
        <v>127</v>
      </c>
    </row>
    <row r="973" spans="1:7">
      <c r="A973" t="s">
        <v>200</v>
      </c>
      <c r="B973">
        <v>420</v>
      </c>
      <c r="G973">
        <v>420</v>
      </c>
    </row>
    <row r="974" spans="1:7">
      <c r="A974" t="s">
        <v>613</v>
      </c>
    </row>
    <row r="975" spans="1:7">
      <c r="A975" t="s">
        <v>340</v>
      </c>
      <c r="C975">
        <v>1917</v>
      </c>
      <c r="E975">
        <v>272</v>
      </c>
      <c r="G975">
        <v>2189</v>
      </c>
    </row>
    <row r="976" spans="1:7">
      <c r="A976" t="s">
        <v>581</v>
      </c>
      <c r="B976">
        <v>956</v>
      </c>
      <c r="G976">
        <v>956</v>
      </c>
    </row>
    <row r="977" spans="1:7">
      <c r="A977" t="s">
        <v>186</v>
      </c>
      <c r="E977">
        <v>195</v>
      </c>
      <c r="G977">
        <v>195</v>
      </c>
    </row>
    <row r="978" spans="1:7">
      <c r="A978" t="s">
        <v>376</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332</v>
      </c>
    </row>
    <row r="1008" spans="1:7">
      <c r="A1008" t="s">
        <v>973</v>
      </c>
    </row>
    <row r="1009" spans="1:7">
      <c r="A1009" t="s">
        <v>344</v>
      </c>
    </row>
    <row r="1010" spans="1:7">
      <c r="A1010" t="s">
        <v>338</v>
      </c>
    </row>
    <row r="1011" spans="1:7">
      <c r="A1011" t="s">
        <v>200</v>
      </c>
      <c r="D1011">
        <v>426</v>
      </c>
      <c r="G1011">
        <v>426</v>
      </c>
    </row>
    <row r="1012" spans="1:7">
      <c r="A1012" t="s">
        <v>355</v>
      </c>
    </row>
    <row r="1013" spans="1:7">
      <c r="A1013" t="s">
        <v>430</v>
      </c>
    </row>
    <row r="1014" spans="1:7">
      <c r="A1014" t="s">
        <v>283</v>
      </c>
      <c r="C1014">
        <v>1175</v>
      </c>
      <c r="G1014">
        <v>1175</v>
      </c>
    </row>
    <row r="1015" spans="1:7">
      <c r="A1015" t="s">
        <v>425</v>
      </c>
      <c r="C1015">
        <v>996</v>
      </c>
      <c r="G1015">
        <v>996</v>
      </c>
    </row>
    <row r="1016" spans="1:7">
      <c r="A1016" t="s">
        <v>340</v>
      </c>
      <c r="B1016">
        <v>900</v>
      </c>
      <c r="G1016">
        <v>900</v>
      </c>
    </row>
    <row r="1017" spans="1:7">
      <c r="A1017" t="s">
        <v>383</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388</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379</v>
      </c>
      <c r="C1028">
        <v>2568</v>
      </c>
      <c r="G1028">
        <v>2568</v>
      </c>
    </row>
    <row r="1029" spans="1:7">
      <c r="A1029" t="s">
        <v>602</v>
      </c>
      <c r="B1029">
        <v>286</v>
      </c>
      <c r="C1029">
        <v>357</v>
      </c>
      <c r="D1029">
        <v>331</v>
      </c>
      <c r="G1029">
        <v>974</v>
      </c>
    </row>
    <row r="1030" spans="1:7">
      <c r="A1030" t="s">
        <v>370</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391</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379</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391</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364</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367</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391</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355</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385</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1010</v>
      </c>
      <c r="D1213">
        <v>0</v>
      </c>
      <c r="G1213">
        <v>0</v>
      </c>
    </row>
    <row r="1214" spans="1:7">
      <c r="A1214" t="s">
        <v>385</v>
      </c>
      <c r="B1214">
        <v>0</v>
      </c>
      <c r="G1214">
        <v>0</v>
      </c>
    </row>
    <row r="1215" spans="1:7">
      <c r="A1215" t="s">
        <v>1019</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506</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415</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417</v>
      </c>
      <c r="D1226">
        <v>1728</v>
      </c>
      <c r="F1226">
        <v>3082</v>
      </c>
      <c r="G1226">
        <v>4810</v>
      </c>
    </row>
    <row r="1227" spans="1:7">
      <c r="A1227" t="s">
        <v>419</v>
      </c>
      <c r="E1227">
        <v>1562</v>
      </c>
      <c r="F1227">
        <v>673</v>
      </c>
      <c r="G1227">
        <v>2235</v>
      </c>
    </row>
    <row r="1228" spans="1:7">
      <c r="A1228" t="s">
        <v>421</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396</v>
      </c>
    </row>
    <row r="1241" spans="1:7">
      <c r="A1241" t="s">
        <v>1019</v>
      </c>
      <c r="C1241">
        <v>0</v>
      </c>
      <c r="G1241">
        <v>0</v>
      </c>
    </row>
    <row r="1242" spans="1:7">
      <c r="A1242" t="s">
        <v>297</v>
      </c>
      <c r="E1242">
        <v>1940</v>
      </c>
      <c r="G1242">
        <v>1940</v>
      </c>
    </row>
    <row r="1243" spans="1:7">
      <c r="A1243" t="s">
        <v>506</v>
      </c>
      <c r="C1243">
        <v>183</v>
      </c>
      <c r="D1243">
        <v>182</v>
      </c>
      <c r="E1243">
        <v>186</v>
      </c>
      <c r="G1243">
        <v>551</v>
      </c>
    </row>
    <row r="1244" spans="1:7">
      <c r="A1244" t="s">
        <v>411</v>
      </c>
      <c r="E1244">
        <v>1776</v>
      </c>
      <c r="G1244">
        <v>1776</v>
      </c>
    </row>
    <row r="1245" spans="1:7">
      <c r="A1245" t="s">
        <v>303</v>
      </c>
      <c r="C1245">
        <v>506</v>
      </c>
      <c r="G1245">
        <v>506</v>
      </c>
    </row>
    <row r="1246" spans="1:7">
      <c r="A1246" t="s">
        <v>419</v>
      </c>
      <c r="D1246">
        <v>2265</v>
      </c>
      <c r="F1246">
        <v>2651</v>
      </c>
      <c r="G1246">
        <v>4916</v>
      </c>
    </row>
    <row r="1247" spans="1:7">
      <c r="A1247" t="s">
        <v>421</v>
      </c>
      <c r="C1247">
        <v>0</v>
      </c>
      <c r="D1247">
        <v>575</v>
      </c>
      <c r="F1247">
        <v>818</v>
      </c>
      <c r="G1247">
        <v>1393</v>
      </c>
    </row>
    <row r="1248" spans="1:7">
      <c r="A1248" t="s">
        <v>171</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272</v>
      </c>
      <c r="C1251">
        <v>2719</v>
      </c>
      <c r="D1251">
        <v>408</v>
      </c>
      <c r="G1251">
        <v>3127</v>
      </c>
    </row>
    <row r="1252" spans="1:7">
      <c r="A1252" t="s">
        <v>423</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236</v>
      </c>
      <c r="C1265">
        <v>511</v>
      </c>
      <c r="E1265">
        <v>511</v>
      </c>
    </row>
    <row r="1266" spans="1:5">
      <c r="A1266" t="s">
        <v>1134</v>
      </c>
      <c r="C1266">
        <v>343</v>
      </c>
      <c r="E1266">
        <v>343</v>
      </c>
    </row>
    <row r="1267" spans="1:5">
      <c r="A1267" t="s">
        <v>294</v>
      </c>
    </row>
    <row r="1268" spans="1:5">
      <c r="A1268" t="s">
        <v>291</v>
      </c>
    </row>
    <row r="1269" spans="1:5">
      <c r="A1269" t="s">
        <v>479</v>
      </c>
    </row>
    <row r="1270" spans="1:5">
      <c r="A1270" t="s">
        <v>396</v>
      </c>
    </row>
    <row r="1271" spans="1:5">
      <c r="A1271" t="s">
        <v>482</v>
      </c>
    </row>
    <row r="1272" spans="1:5">
      <c r="A1272" t="s">
        <v>385</v>
      </c>
    </row>
    <row r="1273" spans="1:5">
      <c r="A1273" t="s">
        <v>297</v>
      </c>
    </row>
    <row r="1274" spans="1:5">
      <c r="A1274" t="s">
        <v>413</v>
      </c>
    </row>
    <row r="1275" spans="1:5">
      <c r="A1275" t="s">
        <v>411</v>
      </c>
    </row>
    <row r="1276" spans="1:5">
      <c r="A1276" t="s">
        <v>415</v>
      </c>
    </row>
    <row r="1277" spans="1:5">
      <c r="A1277" t="s">
        <v>300</v>
      </c>
      <c r="B1277">
        <v>1908</v>
      </c>
      <c r="E1277">
        <v>1908</v>
      </c>
    </row>
    <row r="1278" spans="1:5">
      <c r="A1278" t="s">
        <v>303</v>
      </c>
    </row>
    <row r="1279" spans="1:5">
      <c r="A1279" t="s">
        <v>417</v>
      </c>
    </row>
    <row r="1280" spans="1:5">
      <c r="A1280" t="s">
        <v>421</v>
      </c>
    </row>
    <row r="1281" spans="1:5">
      <c r="A1281" t="s">
        <v>171</v>
      </c>
      <c r="B1281">
        <v>886</v>
      </c>
      <c r="E1281">
        <v>886</v>
      </c>
    </row>
    <row r="1282" spans="1:5">
      <c r="A1282" t="s">
        <v>1161</v>
      </c>
      <c r="B1282">
        <v>376</v>
      </c>
      <c r="C1282">
        <v>647</v>
      </c>
      <c r="E1282">
        <v>1023</v>
      </c>
    </row>
    <row r="1283" spans="1:5">
      <c r="A1283" t="s">
        <v>1162</v>
      </c>
      <c r="B1283">
        <v>1642</v>
      </c>
      <c r="C1283">
        <v>843</v>
      </c>
      <c r="E1283">
        <v>2485</v>
      </c>
    </row>
    <row r="1284" spans="1:5">
      <c r="A1284" t="s">
        <v>423</v>
      </c>
    </row>
    <row r="1285" spans="1:5">
      <c r="A1285" t="s">
        <v>122</v>
      </c>
      <c r="B1285">
        <v>835</v>
      </c>
      <c r="C1285">
        <v>858</v>
      </c>
      <c r="E1285">
        <v>1693</v>
      </c>
    </row>
    <row r="1286" spans="1:5">
      <c r="A1286" t="s">
        <v>117</v>
      </c>
      <c r="B1286">
        <v>1590</v>
      </c>
      <c r="C1286">
        <v>1230</v>
      </c>
      <c r="E1286">
        <v>2820</v>
      </c>
    </row>
    <row r="1287" spans="1:5">
      <c r="A1287" t="s">
        <v>203</v>
      </c>
      <c r="B1287">
        <v>1530</v>
      </c>
      <c r="C1287">
        <v>388</v>
      </c>
      <c r="E1287">
        <v>1918</v>
      </c>
    </row>
    <row r="1288" spans="1:5">
      <c r="A1288" t="s">
        <v>126</v>
      </c>
      <c r="C1288">
        <v>1758</v>
      </c>
      <c r="E1288">
        <v>1758</v>
      </c>
    </row>
    <row r="1289" spans="1:5">
      <c r="A1289" t="s">
        <v>252</v>
      </c>
    </row>
    <row r="1290" spans="1:5">
      <c r="A1290" t="s">
        <v>1082</v>
      </c>
      <c r="B1290">
        <v>8767</v>
      </c>
      <c r="C1290">
        <v>6578</v>
      </c>
      <c r="E1290">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tabSelected="1" workbookViewId="0">
      <pane ySplit="1" topLeftCell="A2577" activePane="bottomLeft" state="frozen"/>
      <selection pane="bottomLeft" activeCell="F2592" sqref="F259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347</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347</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347</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347</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347</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347</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348</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348</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348</v>
      </c>
      <c r="C1331" s="56">
        <v>45849</v>
      </c>
      <c r="D1331" s="43">
        <v>198</v>
      </c>
      <c r="G1331" t="s">
        <v>1574</v>
      </c>
    </row>
    <row r="1332" spans="1:7">
      <c r="A1332" s="247" t="s">
        <v>771</v>
      </c>
      <c r="B1332" s="398" t="s">
        <v>1091</v>
      </c>
      <c r="C1332" s="56">
        <v>45852</v>
      </c>
      <c r="F1332" s="43" t="s">
        <v>1237</v>
      </c>
      <c r="G1332" t="s">
        <v>1574</v>
      </c>
    </row>
    <row r="1333" spans="1:7">
      <c r="A1333" s="613" t="s">
        <v>528</v>
      </c>
      <c r="B1333" s="157" t="s">
        <v>348</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347</v>
      </c>
      <c r="B1343" s="318" t="s">
        <v>348</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348</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348</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348</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348</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348</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348</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348</v>
      </c>
      <c r="C1418" s="56">
        <v>45875</v>
      </c>
      <c r="D1418" s="43">
        <v>840</v>
      </c>
      <c r="G1418" t="s">
        <v>1613</v>
      </c>
    </row>
    <row r="1419" spans="1:7">
      <c r="A1419" s="141" t="s">
        <v>519</v>
      </c>
      <c r="B1419" s="546" t="s">
        <v>348</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348</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348</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347</v>
      </c>
      <c r="B1435" s="311" t="s">
        <v>348</v>
      </c>
      <c r="C1435" s="56">
        <v>45881</v>
      </c>
      <c r="D1435" s="43">
        <v>319</v>
      </c>
      <c r="G1435" t="s">
        <v>1613</v>
      </c>
    </row>
    <row r="1436" spans="1:7">
      <c r="A1436" s="547" t="s">
        <v>533</v>
      </c>
      <c r="B1436" s="311" t="s">
        <v>348</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348</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348</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348</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348</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348</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348</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348</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348</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348</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528</v>
      </c>
      <c r="B1513" s="141" t="s">
        <v>348</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348</v>
      </c>
      <c r="C1518" s="56">
        <v>45897</v>
      </c>
      <c r="F1518" s="43" t="s">
        <v>1232</v>
      </c>
      <c r="G1518" t="s">
        <v>1613</v>
      </c>
    </row>
    <row r="1519" spans="1:7">
      <c r="A1519" s="579" t="s">
        <v>236</v>
      </c>
      <c r="B1519" s="627" t="s">
        <v>1091</v>
      </c>
      <c r="C1519" s="56">
        <v>45897</v>
      </c>
      <c r="D1519" s="43">
        <v>320</v>
      </c>
      <c r="G1519" t="s">
        <v>1613</v>
      </c>
    </row>
    <row r="1520" spans="1:7">
      <c r="A1520" s="624" t="s">
        <v>347</v>
      </c>
      <c r="B1520" s="349" t="s">
        <v>348</v>
      </c>
      <c r="C1520" s="56">
        <v>45897</v>
      </c>
      <c r="F1520" s="311" t="s">
        <v>1370</v>
      </c>
      <c r="G1520" t="s">
        <v>1613</v>
      </c>
    </row>
    <row r="1521" spans="1:7">
      <c r="A1521" s="123" t="s">
        <v>528</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348</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348</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327</v>
      </c>
      <c r="B1563" s="627" t="s">
        <v>328</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327</v>
      </c>
      <c r="B1570" s="247" t="s">
        <v>328</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327</v>
      </c>
      <c r="B1574" s="247" t="s">
        <v>328</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327</v>
      </c>
      <c r="B1579" s="247" t="s">
        <v>328</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327</v>
      </c>
      <c r="B1585" s="247" t="s">
        <v>328</v>
      </c>
      <c r="C1585" s="56">
        <v>45916</v>
      </c>
      <c r="F1585" s="729" t="s">
        <v>1220</v>
      </c>
      <c r="G1585" t="s">
        <v>1650</v>
      </c>
    </row>
    <row r="1586" spans="1:7">
      <c r="A1586" s="157" t="s">
        <v>347</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350</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327</v>
      </c>
      <c r="B1593" s="141" t="s">
        <v>328</v>
      </c>
      <c r="C1593" s="56">
        <v>45917</v>
      </c>
      <c r="D1593" s="43">
        <v>863</v>
      </c>
      <c r="F1593" s="729"/>
      <c r="G1593" t="s">
        <v>1650</v>
      </c>
    </row>
    <row r="1594" spans="1:7">
      <c r="A1594" s="733" t="s">
        <v>350</v>
      </c>
      <c r="B1594" s="305" t="s">
        <v>193</v>
      </c>
      <c r="C1594" s="56">
        <v>45917</v>
      </c>
      <c r="D1594" s="43">
        <v>253</v>
      </c>
      <c r="F1594" s="729"/>
      <c r="G1594" t="s">
        <v>1650</v>
      </c>
    </row>
    <row r="1595" spans="1:7">
      <c r="A1595" s="326" t="s">
        <v>347</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327</v>
      </c>
      <c r="B1603" s="247" t="s">
        <v>328</v>
      </c>
      <c r="C1603" s="56">
        <v>45918</v>
      </c>
      <c r="D1603" s="43">
        <v>499</v>
      </c>
      <c r="F1603" s="729"/>
      <c r="G1603" t="s">
        <v>1650</v>
      </c>
    </row>
    <row r="1604" spans="1:7">
      <c r="A1604" s="644" t="s">
        <v>350</v>
      </c>
      <c r="B1604" s="141" t="s">
        <v>193</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327</v>
      </c>
      <c r="B1608" s="247" t="s">
        <v>328</v>
      </c>
      <c r="C1608" s="56">
        <v>45919</v>
      </c>
      <c r="D1608" s="43">
        <v>475</v>
      </c>
      <c r="F1608" s="729"/>
      <c r="G1608" t="s">
        <v>1650</v>
      </c>
    </row>
    <row r="1609" spans="1:7">
      <c r="A1609" s="644" t="s">
        <v>350</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408</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327</v>
      </c>
      <c r="B1616" s="141" t="s">
        <v>328</v>
      </c>
      <c r="C1616" s="56">
        <v>45922</v>
      </c>
      <c r="D1616" s="43">
        <v>839</v>
      </c>
      <c r="F1616" s="729"/>
      <c r="G1616" t="s">
        <v>1650</v>
      </c>
    </row>
    <row r="1617" spans="1:7">
      <c r="A1617" s="741" t="s">
        <v>350</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408</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327</v>
      </c>
      <c r="B1625" s="247" t="s">
        <v>328</v>
      </c>
      <c r="C1625" s="56">
        <v>45923</v>
      </c>
      <c r="F1625" s="754" t="s">
        <v>1695</v>
      </c>
      <c r="G1625" t="s">
        <v>1650</v>
      </c>
    </row>
    <row r="1626" spans="1:7">
      <c r="A1626" s="644" t="s">
        <v>350</v>
      </c>
      <c r="B1626" s="751" t="s">
        <v>193</v>
      </c>
      <c r="C1626" s="56">
        <v>45923</v>
      </c>
      <c r="D1626" s="43">
        <v>120</v>
      </c>
      <c r="F1626" s="69"/>
      <c r="G1626" t="s">
        <v>1650</v>
      </c>
    </row>
    <row r="1627" spans="1:7">
      <c r="A1627" s="157" t="s">
        <v>347</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408</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327</v>
      </c>
      <c r="B1636" s="399" t="s">
        <v>328</v>
      </c>
      <c r="C1636" s="344">
        <v>45924</v>
      </c>
      <c r="D1636" s="43">
        <v>616</v>
      </c>
      <c r="F1636" s="91"/>
      <c r="G1636" t="s">
        <v>1650</v>
      </c>
    </row>
    <row r="1637" spans="1:7">
      <c r="A1637" s="644" t="s">
        <v>350</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408</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327</v>
      </c>
      <c r="B1651" s="247" t="s">
        <v>328</v>
      </c>
      <c r="C1651" s="56">
        <v>45925</v>
      </c>
      <c r="D1651" s="43">
        <v>969</v>
      </c>
      <c r="G1651" t="s">
        <v>1650</v>
      </c>
    </row>
    <row r="1652" spans="1:7">
      <c r="A1652" s="644" t="s">
        <v>350</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408</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328</v>
      </c>
      <c r="C1657" s="56">
        <v>45926</v>
      </c>
      <c r="D1657" s="43">
        <v>300</v>
      </c>
      <c r="G1657" t="s">
        <v>1650</v>
      </c>
    </row>
    <row r="1658" spans="1:7">
      <c r="A1658" s="304" t="s">
        <v>1140</v>
      </c>
      <c r="B1658" s="734" t="s">
        <v>1707</v>
      </c>
      <c r="C1658" s="56">
        <v>45926</v>
      </c>
      <c r="D1658" s="43">
        <v>364</v>
      </c>
      <c r="G1658" t="s">
        <v>1650</v>
      </c>
    </row>
    <row r="1659" spans="1:7">
      <c r="A1659" s="134" t="s">
        <v>327</v>
      </c>
      <c r="B1659" s="141" t="s">
        <v>328</v>
      </c>
      <c r="C1659" s="56">
        <v>45926</v>
      </c>
      <c r="D1659" s="43">
        <v>552</v>
      </c>
      <c r="G1659" t="s">
        <v>1650</v>
      </c>
    </row>
    <row r="1660" spans="1:7">
      <c r="A1660" s="741" t="s">
        <v>353</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327</v>
      </c>
      <c r="B1669" s="141" t="s">
        <v>328</v>
      </c>
      <c r="C1669" s="56">
        <v>45929</v>
      </c>
      <c r="D1669" s="155">
        <v>1375</v>
      </c>
      <c r="G1669" t="s">
        <v>1650</v>
      </c>
    </row>
    <row r="1670" spans="1:7">
      <c r="A1670" s="741" t="s">
        <v>347</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193</v>
      </c>
      <c r="C1672" s="56">
        <v>45929</v>
      </c>
      <c r="D1672" s="43">
        <v>479</v>
      </c>
      <c r="G1672" t="s">
        <v>1650</v>
      </c>
    </row>
    <row r="1673" spans="1:7">
      <c r="A1673" s="43" t="s">
        <v>353</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327</v>
      </c>
      <c r="B1682" s="304" t="s">
        <v>328</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327</v>
      </c>
      <c r="B1693" s="141" t="s">
        <v>328</v>
      </c>
      <c r="C1693" s="56">
        <v>45931</v>
      </c>
      <c r="D1693" s="43">
        <v>312</v>
      </c>
      <c r="G1693" t="s">
        <v>1716</v>
      </c>
    </row>
    <row r="1694" spans="1:7">
      <c r="A1694" s="547" t="s">
        <v>519</v>
      </c>
      <c r="B1694" s="141" t="s">
        <v>193</v>
      </c>
      <c r="C1694" s="56">
        <v>45931</v>
      </c>
      <c r="D1694" s="43">
        <v>753</v>
      </c>
      <c r="G1694" t="s">
        <v>1716</v>
      </c>
    </row>
    <row r="1695" spans="1:7">
      <c r="A1695" s="305" t="s">
        <v>353</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327</v>
      </c>
      <c r="B1703" s="141" t="s">
        <v>328</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353</v>
      </c>
      <c r="B1706" s="348" t="s">
        <v>193</v>
      </c>
      <c r="C1706" s="56">
        <v>45932</v>
      </c>
      <c r="D1706" s="43">
        <v>789</v>
      </c>
      <c r="F1706" s="43" t="s">
        <v>1722</v>
      </c>
      <c r="G1706" t="s">
        <v>1716</v>
      </c>
    </row>
    <row r="1707" spans="1:7">
      <c r="A1707" s="141" t="s">
        <v>350</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327</v>
      </c>
      <c r="B1713" s="141" t="s">
        <v>328</v>
      </c>
      <c r="C1713" s="56">
        <v>45933</v>
      </c>
      <c r="D1713" s="43">
        <v>617</v>
      </c>
      <c r="G1713" t="s">
        <v>1716</v>
      </c>
    </row>
    <row r="1714" spans="1:7">
      <c r="A1714" s="305" t="s">
        <v>1139</v>
      </c>
      <c r="B1714" s="305" t="s">
        <v>1091</v>
      </c>
      <c r="C1714" s="56">
        <v>45933</v>
      </c>
      <c r="D1714" s="43">
        <v>486</v>
      </c>
      <c r="G1714" t="s">
        <v>1716</v>
      </c>
    </row>
    <row r="1715" spans="1:7">
      <c r="A1715" s="306" t="s">
        <v>353</v>
      </c>
      <c r="B1715" s="141" t="s">
        <v>193</v>
      </c>
      <c r="C1715" s="56">
        <v>45933</v>
      </c>
      <c r="F1715" s="43" t="s">
        <v>1725</v>
      </c>
      <c r="G1715" t="s">
        <v>1716</v>
      </c>
    </row>
    <row r="1716" spans="1:7">
      <c r="A1716" s="306" t="s">
        <v>350</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327</v>
      </c>
      <c r="B1724" s="141" t="s">
        <v>328</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353</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327</v>
      </c>
      <c r="B1734" s="141" t="s">
        <v>328</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353</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353</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327</v>
      </c>
      <c r="B1755" s="247" t="s">
        <v>328</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353</v>
      </c>
      <c r="B1758" s="317" t="s">
        <v>193</v>
      </c>
      <c r="C1758" s="56">
        <v>45939</v>
      </c>
      <c r="D1758" s="43">
        <v>369</v>
      </c>
      <c r="G1758" t="s">
        <v>1716</v>
      </c>
    </row>
    <row r="1759" spans="1:7">
      <c r="A1759" s="115" t="s">
        <v>350</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332</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405</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193</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405</v>
      </c>
      <c r="C1793" s="56">
        <v>45945</v>
      </c>
      <c r="D1793" s="43">
        <v>791</v>
      </c>
      <c r="F1793" s="43" t="s">
        <v>1750</v>
      </c>
      <c r="G1793" t="s">
        <v>1716</v>
      </c>
    </row>
    <row r="1794" spans="1:7">
      <c r="A1794" s="306" t="s">
        <v>327</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405</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405</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405</v>
      </c>
      <c r="C1818" s="56">
        <v>45950</v>
      </c>
      <c r="D1818" s="155">
        <v>3343</v>
      </c>
      <c r="F1818" s="43" t="s">
        <v>1765</v>
      </c>
      <c r="G1818" t="s">
        <v>1716</v>
      </c>
    </row>
    <row r="1819" spans="1:7">
      <c r="A1819" s="937" t="s">
        <v>519</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405</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405</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405</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405</v>
      </c>
      <c r="C1856" s="56">
        <v>45954</v>
      </c>
      <c r="D1856" s="155">
        <v>1933</v>
      </c>
      <c r="G1856" t="s">
        <v>1716</v>
      </c>
    </row>
    <row r="1857" spans="1:7">
      <c r="A1857" s="919" t="s">
        <v>519</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405</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405</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193</v>
      </c>
      <c r="C1884" s="56">
        <v>45958</v>
      </c>
      <c r="D1884" s="155">
        <v>1224</v>
      </c>
      <c r="G1884" t="s">
        <v>1716</v>
      </c>
    </row>
    <row r="1885" spans="1:7">
      <c r="A1885" s="43" t="s">
        <v>343</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405</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193</v>
      </c>
      <c r="C1895" s="56">
        <v>45959</v>
      </c>
      <c r="D1895" s="43">
        <v>343</v>
      </c>
      <c r="G1895" t="s">
        <v>1716</v>
      </c>
    </row>
    <row r="1896" spans="1:7">
      <c r="A1896" s="69" t="s">
        <v>338</v>
      </c>
      <c r="B1896" s="43" t="s">
        <v>193</v>
      </c>
      <c r="C1896" s="56">
        <v>45959</v>
      </c>
      <c r="D1896" s="155">
        <v>3179</v>
      </c>
      <c r="G1896" t="s">
        <v>1716</v>
      </c>
    </row>
    <row r="1897" spans="1:7">
      <c r="A1897" s="311" t="s">
        <v>327</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405</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401</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343</v>
      </c>
      <c r="B1910" s="318" t="s">
        <v>193</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327</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405</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401</v>
      </c>
      <c r="B1932" s="304" t="s">
        <v>1091</v>
      </c>
      <c r="C1932" s="56">
        <v>45964</v>
      </c>
      <c r="D1932" s="43">
        <v>259</v>
      </c>
      <c r="G1932" t="s">
        <v>1826</v>
      </c>
    </row>
    <row r="1933" spans="1:7">
      <c r="A1933" s="141" t="s">
        <v>973</v>
      </c>
      <c r="B1933" s="318" t="s">
        <v>1751</v>
      </c>
      <c r="C1933" s="56">
        <v>45964</v>
      </c>
      <c r="D1933" s="43">
        <v>463</v>
      </c>
      <c r="G1933" t="s">
        <v>1826</v>
      </c>
    </row>
    <row r="1934" spans="1:7">
      <c r="A1934" s="305" t="s">
        <v>338</v>
      </c>
      <c r="B1934" s="304" t="s">
        <v>193</v>
      </c>
      <c r="C1934" s="56">
        <v>45964</v>
      </c>
      <c r="D1934" s="43">
        <v>882</v>
      </c>
      <c r="F1934" s="43" t="s">
        <v>1829</v>
      </c>
      <c r="G1934" t="s">
        <v>1826</v>
      </c>
    </row>
    <row r="1935" spans="1:7">
      <c r="A1935" s="141" t="s">
        <v>327</v>
      </c>
      <c r="B1935" s="349" t="s">
        <v>1091</v>
      </c>
      <c r="C1935" s="56">
        <v>45964</v>
      </c>
      <c r="F1935" s="43" t="s">
        <v>1563</v>
      </c>
      <c r="G1935" t="s">
        <v>1826</v>
      </c>
    </row>
    <row r="1936" spans="1:7">
      <c r="A1936" s="141" t="s">
        <v>327</v>
      </c>
      <c r="B1936" s="349" t="s">
        <v>1830</v>
      </c>
      <c r="C1936" s="56">
        <v>45964</v>
      </c>
      <c r="E1936" s="321">
        <v>3846</v>
      </c>
      <c r="F1936" s="43" t="s">
        <v>1831</v>
      </c>
      <c r="G1936" t="s">
        <v>1826</v>
      </c>
    </row>
    <row r="1937" spans="1:7">
      <c r="A1937" s="141" t="s">
        <v>327</v>
      </c>
      <c r="B1937" s="349" t="s">
        <v>328</v>
      </c>
      <c r="C1937" s="56">
        <v>45964</v>
      </c>
      <c r="F1937" s="913" t="s">
        <v>1832</v>
      </c>
      <c r="G1937" t="s">
        <v>1826</v>
      </c>
    </row>
    <row r="1938" spans="1:7">
      <c r="A1938" s="141" t="s">
        <v>357</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401</v>
      </c>
      <c r="B1947" s="43" t="s">
        <v>1835</v>
      </c>
      <c r="C1947" s="56">
        <v>45965</v>
      </c>
      <c r="D1947" s="43">
        <v>817</v>
      </c>
      <c r="G1947" t="s">
        <v>1826</v>
      </c>
    </row>
    <row r="1948" spans="1:7">
      <c r="A1948" s="43" t="s">
        <v>401</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338</v>
      </c>
      <c r="B1951" s="43" t="s">
        <v>193</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401</v>
      </c>
      <c r="B1960" s="304" t="s">
        <v>1835</v>
      </c>
      <c r="C1960" s="56">
        <v>45966</v>
      </c>
      <c r="D1960" s="155">
        <v>1377</v>
      </c>
      <c r="G1960" t="s">
        <v>1826</v>
      </c>
    </row>
    <row r="1961" spans="1:7">
      <c r="A1961" s="304" t="s">
        <v>401</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338</v>
      </c>
      <c r="B1965" s="304" t="s">
        <v>193</v>
      </c>
      <c r="C1965" s="56">
        <v>45966</v>
      </c>
      <c r="D1965" s="155">
        <v>1034</v>
      </c>
      <c r="G1965" t="s">
        <v>1826</v>
      </c>
    </row>
    <row r="1966" spans="1:7">
      <c r="A1966" s="311" t="s">
        <v>335</v>
      </c>
      <c r="B1966" s="993" t="s">
        <v>1532</v>
      </c>
      <c r="C1966" s="56">
        <v>45966</v>
      </c>
      <c r="D1966" s="43">
        <v>150</v>
      </c>
      <c r="G1966" t="s">
        <v>1826</v>
      </c>
    </row>
    <row r="1967" spans="1:7">
      <c r="A1967" s="247" t="s">
        <v>327</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401</v>
      </c>
      <c r="B1974" s="43" t="s">
        <v>1835</v>
      </c>
      <c r="C1974" s="56">
        <v>45967</v>
      </c>
      <c r="D1974" s="43">
        <v>183</v>
      </c>
      <c r="G1974" t="s">
        <v>1826</v>
      </c>
    </row>
    <row r="1975" spans="1:7">
      <c r="A1975" s="43" t="s">
        <v>401</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338</v>
      </c>
      <c r="B1978" s="43" t="s">
        <v>193</v>
      </c>
      <c r="C1978" s="56">
        <v>45967</v>
      </c>
      <c r="D1978" s="43">
        <v>209</v>
      </c>
      <c r="G1978" t="s">
        <v>1826</v>
      </c>
    </row>
    <row r="1979" spans="1:7">
      <c r="A1979" s="614" t="s">
        <v>355</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401</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401</v>
      </c>
      <c r="B1992" s="311" t="s">
        <v>1091</v>
      </c>
      <c r="C1992" s="56">
        <v>45971</v>
      </c>
      <c r="D1992" s="43">
        <v>558</v>
      </c>
      <c r="G1992" t="s">
        <v>1826</v>
      </c>
    </row>
    <row r="1993" spans="1:7">
      <c r="A1993" s="311" t="s">
        <v>401</v>
      </c>
      <c r="B1993" s="311" t="s">
        <v>405</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193</v>
      </c>
      <c r="C1998" s="56">
        <v>45971</v>
      </c>
      <c r="D1998" s="43">
        <v>96</v>
      </c>
      <c r="G1998" t="s">
        <v>1826</v>
      </c>
    </row>
    <row r="1999" spans="1:7">
      <c r="A1999" s="304" t="s">
        <v>200</v>
      </c>
      <c r="B1999" s="349" t="s">
        <v>1825</v>
      </c>
      <c r="C1999" s="56">
        <v>45971</v>
      </c>
      <c r="D1999" s="43">
        <v>562</v>
      </c>
      <c r="G1999" t="s">
        <v>1826</v>
      </c>
    </row>
    <row r="2000" spans="1:7">
      <c r="A2000" s="141" t="s">
        <v>340</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408</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401</v>
      </c>
      <c r="B2007" s="43" t="s">
        <v>1532</v>
      </c>
      <c r="C2007" s="56">
        <v>45973</v>
      </c>
      <c r="F2007" s="311" t="s">
        <v>1539</v>
      </c>
      <c r="G2007" t="s">
        <v>1826</v>
      </c>
    </row>
    <row r="2008" spans="1:7">
      <c r="A2008" s="43" t="s">
        <v>383</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405</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401</v>
      </c>
      <c r="B2020" s="43" t="s">
        <v>1532</v>
      </c>
      <c r="C2020" s="56">
        <v>45974</v>
      </c>
      <c r="F2020" s="43" t="s">
        <v>1600</v>
      </c>
      <c r="G2020" t="s">
        <v>1826</v>
      </c>
    </row>
    <row r="2021" spans="1:7">
      <c r="A2021" s="43" t="s">
        <v>383</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340</v>
      </c>
      <c r="B2026" s="1047" t="s">
        <v>193</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401</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408</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376</v>
      </c>
      <c r="B2038" s="315" t="s">
        <v>1751</v>
      </c>
      <c r="C2038" s="56">
        <v>45975</v>
      </c>
      <c r="D2038" s="155">
        <v>2125</v>
      </c>
      <c r="G2038" t="s">
        <v>1826</v>
      </c>
    </row>
    <row r="2039" spans="1:7">
      <c r="A2039" s="141" t="s">
        <v>401</v>
      </c>
      <c r="B2039" s="141" t="s">
        <v>1532</v>
      </c>
      <c r="C2039" s="56">
        <v>45978</v>
      </c>
      <c r="D2039" s="43">
        <v>127</v>
      </c>
      <c r="G2039" t="s">
        <v>1826</v>
      </c>
    </row>
    <row r="2040" spans="1:7">
      <c r="A2040" s="141" t="s">
        <v>401</v>
      </c>
      <c r="B2040" s="141" t="s">
        <v>1532</v>
      </c>
      <c r="C2040" s="56">
        <v>45978</v>
      </c>
      <c r="E2040" s="139">
        <v>300</v>
      </c>
      <c r="F2040" s="43" t="s">
        <v>1865</v>
      </c>
      <c r="G2040" t="s">
        <v>1826</v>
      </c>
    </row>
    <row r="2041" spans="1:7">
      <c r="A2041" s="304" t="s">
        <v>1150</v>
      </c>
      <c r="B2041" s="304" t="s">
        <v>405</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408</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376</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405</v>
      </c>
      <c r="C2056" s="56">
        <v>45979</v>
      </c>
      <c r="D2056" s="155">
        <v>1518</v>
      </c>
      <c r="G2056" t="s">
        <v>1826</v>
      </c>
    </row>
    <row r="2057" spans="1:7">
      <c r="A2057" s="43" t="s">
        <v>388</v>
      </c>
      <c r="B2057" s="43" t="s">
        <v>135</v>
      </c>
      <c r="C2057" s="56">
        <v>45979</v>
      </c>
      <c r="D2057" s="155">
        <v>1679</v>
      </c>
      <c r="F2057" s="43" t="s">
        <v>1868</v>
      </c>
      <c r="G2057" t="s">
        <v>1826</v>
      </c>
    </row>
    <row r="2058" spans="1:7">
      <c r="A2058" s="43" t="s">
        <v>1149</v>
      </c>
      <c r="B2058" s="43" t="s">
        <v>408</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340</v>
      </c>
      <c r="B2062" s="651" t="s">
        <v>193</v>
      </c>
      <c r="C2062" s="56">
        <v>45979</v>
      </c>
      <c r="D2062" s="155">
        <v>1917</v>
      </c>
      <c r="F2062" s="69"/>
      <c r="G2062" t="s">
        <v>1826</v>
      </c>
    </row>
    <row r="2063" spans="1:7">
      <c r="A2063" s="43" t="s">
        <v>377</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405</v>
      </c>
      <c r="C2068" s="56">
        <v>45980</v>
      </c>
      <c r="D2068" s="155">
        <v>1968</v>
      </c>
      <c r="E2068" s="201"/>
      <c r="F2068" s="148" t="s">
        <v>1873</v>
      </c>
      <c r="G2068" t="s">
        <v>1826</v>
      </c>
    </row>
    <row r="2069" spans="1:7">
      <c r="A2069" s="304" t="s">
        <v>388</v>
      </c>
      <c r="B2069" s="304" t="s">
        <v>135</v>
      </c>
      <c r="C2069" s="56">
        <v>45980</v>
      </c>
      <c r="D2069" s="321">
        <v>1429</v>
      </c>
      <c r="E2069" s="43"/>
      <c r="F2069" s="69" t="s">
        <v>1874</v>
      </c>
      <c r="G2069" t="s">
        <v>1826</v>
      </c>
    </row>
    <row r="2070" spans="1:7">
      <c r="A2070" s="305" t="s">
        <v>1149</v>
      </c>
      <c r="B2070" s="304" t="s">
        <v>408</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405</v>
      </c>
      <c r="C2078" s="56">
        <v>45981</v>
      </c>
      <c r="D2078" s="43">
        <v>345</v>
      </c>
      <c r="F2078" s="69" t="s">
        <v>1878</v>
      </c>
      <c r="G2078" t="s">
        <v>1826</v>
      </c>
    </row>
    <row r="2079" spans="1:7">
      <c r="A2079" s="304" t="s">
        <v>388</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340</v>
      </c>
      <c r="B2083" s="990" t="s">
        <v>193</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405</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405</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388</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405</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408</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405</v>
      </c>
      <c r="C2149" s="56">
        <v>45987</v>
      </c>
      <c r="D2149" s="43">
        <v>955</v>
      </c>
      <c r="E2149" s="201"/>
      <c r="F2149" s="115" t="s">
        <v>1903</v>
      </c>
      <c r="G2149" t="s">
        <v>1826</v>
      </c>
    </row>
    <row r="2150" spans="1:7">
      <c r="A2150" s="315" t="s">
        <v>1155</v>
      </c>
      <c r="B2150" s="315" t="s">
        <v>408</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340</v>
      </c>
      <c r="B2156" s="141" t="s">
        <v>193</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405</v>
      </c>
      <c r="C2178" s="56">
        <v>45992</v>
      </c>
      <c r="D2178" s="155">
        <v>1765</v>
      </c>
      <c r="G2178" t="s">
        <v>1911</v>
      </c>
    </row>
    <row r="2179" spans="1:7">
      <c r="A2179" s="304" t="s">
        <v>1153</v>
      </c>
      <c r="B2179" s="304" t="s">
        <v>408</v>
      </c>
      <c r="C2179" s="56">
        <v>45992</v>
      </c>
      <c r="D2179" s="43">
        <v>600</v>
      </c>
      <c r="G2179" t="s">
        <v>1911</v>
      </c>
    </row>
    <row r="2180" spans="1:7">
      <c r="A2180" s="141" t="s">
        <v>370</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408</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405</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408</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405</v>
      </c>
      <c r="C2203" s="56">
        <v>45994</v>
      </c>
      <c r="D2203" s="43">
        <v>383</v>
      </c>
      <c r="G2203" t="s">
        <v>1911</v>
      </c>
    </row>
    <row r="2204" spans="1:7">
      <c r="A2204" s="751" t="s">
        <v>568</v>
      </c>
      <c r="B2204" s="1108" t="s">
        <v>135</v>
      </c>
      <c r="C2204" s="56">
        <v>45994</v>
      </c>
      <c r="D2204" s="155">
        <v>1379</v>
      </c>
      <c r="F2204" s="43" t="s">
        <v>1926</v>
      </c>
      <c r="G2204" t="s">
        <v>1911</v>
      </c>
    </row>
    <row r="2205" spans="1:7">
      <c r="A2205" s="751" t="s">
        <v>370</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391</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405</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408</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405</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408</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391</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408</v>
      </c>
      <c r="C2252" s="56">
        <v>46000</v>
      </c>
      <c r="D2252" s="43">
        <v>541</v>
      </c>
      <c r="F2252" s="43" t="s">
        <v>1952</v>
      </c>
      <c r="G2252" t="s">
        <v>1911</v>
      </c>
    </row>
    <row r="2253" spans="1:7">
      <c r="A2253" s="1120" t="s">
        <v>391</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408</v>
      </c>
      <c r="C2267" s="56">
        <v>46001</v>
      </c>
      <c r="D2267" s="43">
        <v>330</v>
      </c>
      <c r="F2267" s="43" t="s">
        <v>1758</v>
      </c>
      <c r="G2267" t="s">
        <v>1911</v>
      </c>
    </row>
    <row r="2268" spans="1:7">
      <c r="A2268" s="781" t="s">
        <v>391</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408</v>
      </c>
      <c r="C2284" s="56">
        <v>46002</v>
      </c>
      <c r="D2284" s="43">
        <v>520</v>
      </c>
      <c r="G2284" t="s">
        <v>1911</v>
      </c>
    </row>
    <row r="2285" spans="1:7">
      <c r="A2285" s="1125" t="s">
        <v>553</v>
      </c>
      <c r="B2285" s="1121" t="s">
        <v>123</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408</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408</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408</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408</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408</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408</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408</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408</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391</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396</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5">
        <v>1789</v>
      </c>
      <c r="E2439" s="43"/>
      <c r="G2439" t="s">
        <v>2024</v>
      </c>
    </row>
    <row r="2440" spans="1:7">
      <c r="A2440" s="247" t="s">
        <v>482</v>
      </c>
      <c r="B2440" s="157" t="s">
        <v>135</v>
      </c>
      <c r="C2440" s="56">
        <v>46028</v>
      </c>
      <c r="D2440" s="1415">
        <v>2362</v>
      </c>
      <c r="E2440" s="43"/>
      <c r="G2440" t="s">
        <v>2024</v>
      </c>
    </row>
    <row r="2441" spans="1:7">
      <c r="A2441" s="247" t="s">
        <v>1010</v>
      </c>
      <c r="B2441" s="157" t="s">
        <v>135</v>
      </c>
      <c r="C2441" s="56">
        <v>46028</v>
      </c>
      <c r="D2441" s="1415">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396</v>
      </c>
      <c r="B2444" s="157" t="s">
        <v>135</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385</v>
      </c>
      <c r="B2447" s="157" t="s">
        <v>135</v>
      </c>
      <c r="C2447" s="56">
        <v>46029</v>
      </c>
      <c r="D2447" s="1415">
        <v>1687</v>
      </c>
      <c r="E2447" s="43"/>
      <c r="G2447" t="s">
        <v>2024</v>
      </c>
    </row>
    <row r="2448" spans="1:7">
      <c r="A2448" s="247" t="s">
        <v>1019</v>
      </c>
      <c r="B2448" s="157" t="s">
        <v>135</v>
      </c>
      <c r="C2448" s="56">
        <v>46029</v>
      </c>
      <c r="D2448" s="1415">
        <v>1056</v>
      </c>
      <c r="E2448" s="43"/>
      <c r="F2448" s="1427" t="s">
        <v>2028</v>
      </c>
      <c r="G2448" t="s">
        <v>2024</v>
      </c>
    </row>
    <row r="2449" spans="1:7">
      <c r="A2449" s="247" t="s">
        <v>1010</v>
      </c>
      <c r="B2449" s="157" t="s">
        <v>135</v>
      </c>
      <c r="C2449" s="56">
        <v>46029</v>
      </c>
      <c r="D2449" s="88">
        <v>180</v>
      </c>
      <c r="E2449" s="43"/>
      <c r="F2449" s="1427" t="s">
        <v>1173</v>
      </c>
      <c r="G2449" t="s">
        <v>2024</v>
      </c>
    </row>
    <row r="2450" spans="1:7">
      <c r="A2450" s="247" t="s">
        <v>240</v>
      </c>
      <c r="B2450" s="157" t="s">
        <v>204</v>
      </c>
      <c r="C2450" s="56">
        <v>46029</v>
      </c>
      <c r="D2450" s="1415">
        <v>2151</v>
      </c>
      <c r="E2450" s="43"/>
      <c r="F2450" s="1427"/>
      <c r="G2450" t="s">
        <v>2024</v>
      </c>
    </row>
    <row r="2451" spans="1:7">
      <c r="A2451" s="247" t="s">
        <v>482</v>
      </c>
      <c r="B2451" s="157" t="s">
        <v>135</v>
      </c>
      <c r="C2451" s="56">
        <v>46029</v>
      </c>
      <c r="D2451" s="1415">
        <v>3079</v>
      </c>
      <c r="E2451" s="43"/>
      <c r="F2451" s="1427"/>
      <c r="G2451" t="s">
        <v>2024</v>
      </c>
    </row>
    <row r="2452" spans="1:7">
      <c r="A2452" s="247" t="s">
        <v>472</v>
      </c>
      <c r="B2452" s="157" t="s">
        <v>135</v>
      </c>
      <c r="C2452" s="56">
        <v>46029</v>
      </c>
      <c r="D2452" s="88">
        <v>0</v>
      </c>
      <c r="E2452" s="43"/>
      <c r="F2452" s="1428" t="s">
        <v>2023</v>
      </c>
      <c r="G2452" t="s">
        <v>2024</v>
      </c>
    </row>
    <row r="2453" spans="1:7">
      <c r="A2453" s="247" t="s">
        <v>512</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385</v>
      </c>
      <c r="B2455" s="157" t="s">
        <v>135</v>
      </c>
      <c r="C2455" s="56">
        <v>46030</v>
      </c>
      <c r="D2455" s="1415">
        <v>1053</v>
      </c>
      <c r="E2455" s="43"/>
      <c r="F2455" s="1427" t="s">
        <v>2030</v>
      </c>
      <c r="G2455" t="s">
        <v>2024</v>
      </c>
    </row>
    <row r="2456" spans="1:7">
      <c r="A2456" s="247" t="s">
        <v>240</v>
      </c>
      <c r="B2456" s="157" t="s">
        <v>204</v>
      </c>
      <c r="C2456" s="56">
        <v>46030</v>
      </c>
      <c r="D2456" s="1415">
        <v>1926</v>
      </c>
      <c r="E2456" s="43"/>
      <c r="F2456" s="1427"/>
      <c r="G2456" t="s">
        <v>2024</v>
      </c>
    </row>
    <row r="2457" spans="1:7">
      <c r="A2457" s="247" t="s">
        <v>297</v>
      </c>
      <c r="B2457" s="157" t="s">
        <v>135</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255</v>
      </c>
      <c r="B2460" s="157" t="s">
        <v>2031</v>
      </c>
      <c r="C2460" s="56">
        <v>46031</v>
      </c>
      <c r="D2460" s="88">
        <v>0</v>
      </c>
      <c r="E2460" s="88"/>
      <c r="F2460" s="1427" t="s">
        <v>1220</v>
      </c>
      <c r="G2460" t="s">
        <v>2024</v>
      </c>
    </row>
    <row r="2461" spans="1:7">
      <c r="A2461" s="247" t="s">
        <v>240</v>
      </c>
      <c r="B2461" s="157" t="s">
        <v>204</v>
      </c>
      <c r="C2461" s="56">
        <v>46031</v>
      </c>
      <c r="D2461" s="1415">
        <v>1000</v>
      </c>
      <c r="E2461" s="88"/>
      <c r="F2461" s="1429"/>
      <c r="G2461" t="s">
        <v>2024</v>
      </c>
    </row>
    <row r="2462" spans="1:7">
      <c r="A2462" s="247" t="s">
        <v>469</v>
      </c>
      <c r="B2462" s="157" t="s">
        <v>135</v>
      </c>
      <c r="C2462" s="56">
        <v>46031</v>
      </c>
      <c r="D2462" s="1415">
        <v>104</v>
      </c>
      <c r="E2462" s="88"/>
      <c r="F2462" s="1429"/>
      <c r="G2462" t="s">
        <v>2024</v>
      </c>
    </row>
    <row r="2463" spans="1:7">
      <c r="A2463" s="247" t="s">
        <v>288</v>
      </c>
      <c r="B2463" s="157" t="s">
        <v>135</v>
      </c>
      <c r="C2463" s="56">
        <v>46031</v>
      </c>
      <c r="D2463" s="88"/>
      <c r="E2463" s="1415">
        <v>1056</v>
      </c>
      <c r="F2463" s="1429"/>
      <c r="G2463" t="s">
        <v>2024</v>
      </c>
    </row>
    <row r="2464" spans="1:7">
      <c r="A2464" s="247" t="s">
        <v>463</v>
      </c>
      <c r="B2464" s="157" t="s">
        <v>135</v>
      </c>
      <c r="C2464" s="56">
        <v>46031</v>
      </c>
      <c r="D2464" s="88"/>
      <c r="E2464" s="1415">
        <v>1090</v>
      </c>
      <c r="F2464" s="1427"/>
      <c r="G2464" t="s">
        <v>2024</v>
      </c>
    </row>
    <row r="2465" spans="1:7">
      <c r="A2465" s="247" t="s">
        <v>297</v>
      </c>
      <c r="B2465" s="157" t="s">
        <v>135</v>
      </c>
      <c r="C2465" s="56">
        <v>46031</v>
      </c>
      <c r="D2465" s="88">
        <v>447</v>
      </c>
      <c r="E2465" s="88"/>
      <c r="F2465" s="1429"/>
      <c r="G2465" t="s">
        <v>2024</v>
      </c>
    </row>
    <row r="2466" spans="1:7">
      <c r="A2466" s="247" t="s">
        <v>373</v>
      </c>
      <c r="B2466" s="157" t="s">
        <v>204</v>
      </c>
      <c r="C2466" s="56">
        <v>46031</v>
      </c>
      <c r="D2466" s="1415">
        <v>1319</v>
      </c>
      <c r="E2466" s="88"/>
      <c r="F2466" s="1429" t="s">
        <v>2033</v>
      </c>
      <c r="G2466" t="s">
        <v>2024</v>
      </c>
    </row>
    <row r="2467" spans="1:7">
      <c r="A2467" s="247" t="s">
        <v>385</v>
      </c>
      <c r="B2467" s="157" t="s">
        <v>135</v>
      </c>
      <c r="C2467" s="56">
        <v>46034</v>
      </c>
      <c r="D2467" s="88">
        <v>0</v>
      </c>
      <c r="E2467" s="88"/>
      <c r="F2467" s="1428" t="s">
        <v>1393</v>
      </c>
      <c r="G2467" t="s">
        <v>2024</v>
      </c>
    </row>
    <row r="2468" spans="1:7">
      <c r="A2468" s="247" t="s">
        <v>535</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506</v>
      </c>
      <c r="B2470" s="157" t="s">
        <v>1091</v>
      </c>
      <c r="C2470" s="56">
        <v>46034</v>
      </c>
      <c r="D2470" s="88">
        <v>205</v>
      </c>
      <c r="E2470" s="88"/>
      <c r="F2470" s="1427" t="s">
        <v>1850</v>
      </c>
      <c r="G2470" t="s">
        <v>2024</v>
      </c>
    </row>
    <row r="2471" spans="1:7">
      <c r="A2471" s="247" t="s">
        <v>297</v>
      </c>
      <c r="B2471" s="157" t="s">
        <v>135</v>
      </c>
      <c r="C2471" s="56">
        <v>46034</v>
      </c>
      <c r="D2471" s="88">
        <v>858</v>
      </c>
      <c r="E2471" s="88"/>
      <c r="F2471" s="1429"/>
      <c r="G2471" t="s">
        <v>2024</v>
      </c>
    </row>
    <row r="2472" spans="1:7">
      <c r="A2472" s="247" t="s">
        <v>413</v>
      </c>
      <c r="B2472" s="157" t="s">
        <v>135</v>
      </c>
      <c r="C2472" s="56">
        <v>46034</v>
      </c>
      <c r="D2472" s="1415">
        <v>4915</v>
      </c>
      <c r="E2472" s="88"/>
      <c r="F2472" s="1429"/>
      <c r="G2472" t="s">
        <v>2024</v>
      </c>
    </row>
    <row r="2473" spans="1:7">
      <c r="A2473" s="247" t="s">
        <v>411</v>
      </c>
      <c r="B2473" s="157" t="s">
        <v>135</v>
      </c>
      <c r="C2473" s="56">
        <v>46034</v>
      </c>
      <c r="D2473" s="88">
        <v>813</v>
      </c>
      <c r="E2473" s="88"/>
      <c r="F2473" s="1429"/>
      <c r="G2473" t="s">
        <v>2024</v>
      </c>
    </row>
    <row r="2474" spans="1:7">
      <c r="A2474" s="247" t="s">
        <v>1019</v>
      </c>
      <c r="B2474" s="157" t="s">
        <v>135</v>
      </c>
      <c r="C2474" s="56">
        <v>46034</v>
      </c>
      <c r="D2474" s="1415">
        <v>1356</v>
      </c>
      <c r="E2474" s="88"/>
      <c r="F2474" s="1429" t="s">
        <v>2034</v>
      </c>
      <c r="G2474" t="s">
        <v>2024</v>
      </c>
    </row>
    <row r="2475" spans="1:7">
      <c r="A2475" s="247" t="s">
        <v>266</v>
      </c>
      <c r="B2475" s="157" t="s">
        <v>60</v>
      </c>
      <c r="C2475" s="56">
        <v>46034</v>
      </c>
      <c r="D2475" s="88">
        <v>607</v>
      </c>
      <c r="E2475" s="88"/>
      <c r="F2475" s="1429"/>
      <c r="G2475" t="s">
        <v>2024</v>
      </c>
    </row>
    <row r="2476" spans="1:7">
      <c r="A2476" s="247" t="s">
        <v>240</v>
      </c>
      <c r="B2476" s="157" t="s">
        <v>204</v>
      </c>
      <c r="C2476" s="56">
        <v>46034</v>
      </c>
      <c r="D2476" s="1415">
        <v>1812</v>
      </c>
      <c r="E2476" s="88"/>
      <c r="F2476" s="1429"/>
      <c r="G2476" t="s">
        <v>2024</v>
      </c>
    </row>
    <row r="2477" spans="1:7">
      <c r="A2477" s="247" t="s">
        <v>396</v>
      </c>
      <c r="B2477" s="157" t="s">
        <v>135</v>
      </c>
      <c r="C2477" s="56">
        <v>46034</v>
      </c>
      <c r="D2477" s="1415">
        <v>1314</v>
      </c>
      <c r="E2477" s="88"/>
      <c r="F2477" s="1429" t="s">
        <v>1599</v>
      </c>
      <c r="G2477" t="s">
        <v>2024</v>
      </c>
    </row>
    <row r="2478" spans="1:7">
      <c r="A2478" s="247" t="s">
        <v>373</v>
      </c>
      <c r="B2478" s="157" t="s">
        <v>204</v>
      </c>
      <c r="C2478" s="56">
        <v>46034</v>
      </c>
      <c r="D2478" s="88">
        <v>926</v>
      </c>
      <c r="E2478" s="88"/>
      <c r="F2478" s="1429" t="s">
        <v>2035</v>
      </c>
      <c r="G2478" t="s">
        <v>2024</v>
      </c>
    </row>
    <row r="2479" spans="1:7">
      <c r="A2479" s="247" t="s">
        <v>407</v>
      </c>
      <c r="B2479" s="157" t="s">
        <v>1091</v>
      </c>
      <c r="C2479" s="56">
        <v>46035</v>
      </c>
      <c r="D2479" s="88"/>
      <c r="E2479" s="1415">
        <v>2112</v>
      </c>
      <c r="F2479" s="1429"/>
      <c r="G2479" t="s">
        <v>2024</v>
      </c>
    </row>
    <row r="2480" spans="1:7">
      <c r="A2480" s="247" t="s">
        <v>394</v>
      </c>
      <c r="B2480" s="157" t="s">
        <v>135</v>
      </c>
      <c r="C2480" s="56">
        <v>46035</v>
      </c>
      <c r="D2480" s="88"/>
      <c r="E2480" s="1415">
        <v>1208</v>
      </c>
      <c r="F2480" s="1427"/>
      <c r="G2480" t="s">
        <v>2024</v>
      </c>
    </row>
    <row r="2481" spans="1:7">
      <c r="A2481" s="247" t="s">
        <v>413</v>
      </c>
      <c r="B2481" s="157" t="s">
        <v>135</v>
      </c>
      <c r="C2481" s="56">
        <v>46035</v>
      </c>
      <c r="D2481" s="88">
        <v>914</v>
      </c>
      <c r="E2481" s="88"/>
      <c r="F2481" s="1429" t="s">
        <v>2036</v>
      </c>
      <c r="G2481" t="s">
        <v>2024</v>
      </c>
    </row>
    <row r="2482" spans="1:7">
      <c r="A2482" s="247" t="s">
        <v>415</v>
      </c>
      <c r="B2482" s="157" t="s">
        <v>135</v>
      </c>
      <c r="C2482" s="56">
        <v>46035</v>
      </c>
      <c r="D2482" s="1415">
        <v>6092</v>
      </c>
      <c r="E2482" s="88"/>
      <c r="F2482" s="1429"/>
      <c r="G2482" t="s">
        <v>2024</v>
      </c>
    </row>
    <row r="2483" spans="1:7">
      <c r="A2483" s="247" t="s">
        <v>411</v>
      </c>
      <c r="B2483" s="157" t="s">
        <v>135</v>
      </c>
      <c r="C2483" s="56">
        <v>46035</v>
      </c>
      <c r="D2483" s="1415">
        <v>1491</v>
      </c>
      <c r="E2483" s="88"/>
      <c r="F2483" s="1429"/>
      <c r="G2483" t="s">
        <v>2024</v>
      </c>
    </row>
    <row r="2484" spans="1:7">
      <c r="A2484" s="247" t="s">
        <v>300</v>
      </c>
      <c r="B2484" s="157" t="s">
        <v>135</v>
      </c>
      <c r="C2484" s="56">
        <v>46035</v>
      </c>
      <c r="D2484" s="88">
        <v>822</v>
      </c>
      <c r="E2484" s="88"/>
      <c r="F2484" s="1429"/>
      <c r="G2484" t="s">
        <v>2024</v>
      </c>
    </row>
    <row r="2485" spans="1:7">
      <c r="A2485" s="247" t="s">
        <v>1019</v>
      </c>
      <c r="B2485" s="157" t="s">
        <v>135</v>
      </c>
      <c r="C2485" s="56">
        <v>46035</v>
      </c>
      <c r="D2485" s="1415">
        <v>1435</v>
      </c>
      <c r="E2485" s="88"/>
      <c r="F2485" s="1429" t="s">
        <v>2037</v>
      </c>
      <c r="G2485" t="s">
        <v>2024</v>
      </c>
    </row>
    <row r="2486" spans="1:7">
      <c r="A2486" s="247" t="s">
        <v>512</v>
      </c>
      <c r="B2486" s="157" t="s">
        <v>1091</v>
      </c>
      <c r="C2486" s="56">
        <v>46035</v>
      </c>
      <c r="D2486" s="88">
        <v>312</v>
      </c>
      <c r="E2486" s="88"/>
      <c r="F2486" s="1427" t="s">
        <v>1294</v>
      </c>
      <c r="G2486" t="s">
        <v>2024</v>
      </c>
    </row>
    <row r="2487" spans="1:7">
      <c r="A2487" s="247" t="s">
        <v>240</v>
      </c>
      <c r="B2487" s="157" t="s">
        <v>204</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266</v>
      </c>
      <c r="B2489" s="157" t="s">
        <v>60</v>
      </c>
      <c r="C2489" s="56">
        <v>46035</v>
      </c>
      <c r="D2489" s="88">
        <v>662</v>
      </c>
      <c r="E2489" s="88"/>
      <c r="F2489" s="1429"/>
      <c r="G2489" t="s">
        <v>2024</v>
      </c>
    </row>
    <row r="2490" spans="1:7">
      <c r="A2490" s="247" t="s">
        <v>373</v>
      </c>
      <c r="B2490" s="157" t="s">
        <v>204</v>
      </c>
      <c r="C2490" s="56">
        <v>46035</v>
      </c>
      <c r="D2490" s="1415">
        <v>1128</v>
      </c>
      <c r="E2490" s="88"/>
      <c r="F2490" s="1429" t="s">
        <v>2040</v>
      </c>
      <c r="G2490" t="s">
        <v>2024</v>
      </c>
    </row>
    <row r="2491" spans="1:7">
      <c r="A2491" s="247" t="s">
        <v>1010</v>
      </c>
      <c r="B2491" s="157" t="s">
        <v>1091</v>
      </c>
      <c r="C2491" s="56">
        <v>46035</v>
      </c>
      <c r="D2491" s="1415"/>
      <c r="E2491" s="88">
        <v>576</v>
      </c>
      <c r="F2491" s="1429"/>
      <c r="G2491" t="s">
        <v>2024</v>
      </c>
    </row>
    <row r="2492" spans="1:7">
      <c r="A2492" s="247" t="s">
        <v>1010</v>
      </c>
      <c r="B2492" s="157" t="s">
        <v>135</v>
      </c>
      <c r="C2492" s="56">
        <v>46036</v>
      </c>
      <c r="D2492" s="88">
        <v>0</v>
      </c>
      <c r="E2492" s="43"/>
      <c r="F2492" s="1428" t="s">
        <v>1393</v>
      </c>
      <c r="G2492" t="s">
        <v>2024</v>
      </c>
    </row>
    <row r="2493" spans="1:7">
      <c r="A2493" s="247" t="s">
        <v>415</v>
      </c>
      <c r="B2493" s="157" t="s">
        <v>135</v>
      </c>
      <c r="C2493" s="56">
        <v>46036</v>
      </c>
      <c r="D2493" s="88">
        <v>0</v>
      </c>
      <c r="E2493" s="43"/>
      <c r="F2493" s="1429" t="s">
        <v>2041</v>
      </c>
      <c r="G2493" t="s">
        <v>2024</v>
      </c>
    </row>
    <row r="2494" spans="1:7">
      <c r="A2494" s="247" t="s">
        <v>411</v>
      </c>
      <c r="B2494" s="157" t="s">
        <v>135</v>
      </c>
      <c r="C2494" s="56">
        <v>46036</v>
      </c>
      <c r="D2494" s="1415">
        <v>1062</v>
      </c>
      <c r="E2494" s="43"/>
      <c r="F2494" s="1429"/>
      <c r="G2494" t="s">
        <v>2024</v>
      </c>
    </row>
    <row r="2495" spans="1:7">
      <c r="A2495" s="247" t="s">
        <v>300</v>
      </c>
      <c r="B2495" s="157" t="s">
        <v>135</v>
      </c>
      <c r="C2495" s="56">
        <v>46036</v>
      </c>
      <c r="D2495" s="1415">
        <v>2611</v>
      </c>
      <c r="E2495" s="43"/>
      <c r="F2495" s="1429"/>
      <c r="G2495" t="s">
        <v>2024</v>
      </c>
    </row>
    <row r="2496" spans="1:7">
      <c r="A2496" s="247" t="s">
        <v>266</v>
      </c>
      <c r="B2496" s="157" t="s">
        <v>60</v>
      </c>
      <c r="C2496" s="56">
        <v>46036</v>
      </c>
      <c r="D2496" s="88">
        <v>877</v>
      </c>
      <c r="E2496" s="43"/>
      <c r="F2496" s="1429" t="s">
        <v>2042</v>
      </c>
      <c r="G2496" t="s">
        <v>2024</v>
      </c>
    </row>
    <row r="2497" spans="1:7">
      <c r="A2497" s="247" t="s">
        <v>236</v>
      </c>
      <c r="B2497" s="157" t="s">
        <v>204</v>
      </c>
      <c r="C2497" s="56">
        <v>46036</v>
      </c>
      <c r="D2497" s="1415">
        <v>1200</v>
      </c>
      <c r="E2497" s="43"/>
      <c r="F2497" s="1429"/>
      <c r="G2497" t="s">
        <v>2024</v>
      </c>
    </row>
    <row r="2498" spans="1:7">
      <c r="A2498" s="247" t="s">
        <v>373</v>
      </c>
      <c r="B2498" s="157" t="s">
        <v>204</v>
      </c>
      <c r="C2498" s="56">
        <v>46036</v>
      </c>
      <c r="D2498" s="1415">
        <v>1082</v>
      </c>
      <c r="E2498" s="43"/>
      <c r="F2498" s="1429" t="s">
        <v>2043</v>
      </c>
      <c r="G2498" t="s">
        <v>2024</v>
      </c>
    </row>
    <row r="2499" spans="1:7">
      <c r="A2499" s="247" t="s">
        <v>1019</v>
      </c>
      <c r="B2499" s="157" t="s">
        <v>135</v>
      </c>
      <c r="C2499" s="56">
        <v>46036</v>
      </c>
      <c r="D2499" s="1415">
        <v>1295</v>
      </c>
      <c r="E2499" s="43"/>
      <c r="F2499" s="1429" t="s">
        <v>2044</v>
      </c>
      <c r="G2499" t="s">
        <v>2024</v>
      </c>
    </row>
    <row r="2500" spans="1:7">
      <c r="A2500" s="247" t="s">
        <v>303</v>
      </c>
      <c r="B2500" s="157" t="s">
        <v>135</v>
      </c>
      <c r="C2500" s="56">
        <v>46036</v>
      </c>
      <c r="D2500" s="88">
        <v>544</v>
      </c>
      <c r="E2500" s="43"/>
      <c r="F2500" s="1429" t="s">
        <v>2045</v>
      </c>
      <c r="G2500" t="s">
        <v>2024</v>
      </c>
    </row>
    <row r="2501" spans="1:7">
      <c r="A2501" s="247" t="s">
        <v>288</v>
      </c>
      <c r="B2501" s="157" t="s">
        <v>1091</v>
      </c>
      <c r="C2501" s="56">
        <v>46036</v>
      </c>
      <c r="D2501" s="88"/>
      <c r="E2501" s="1415">
        <v>1562</v>
      </c>
      <c r="F2501" s="1429"/>
      <c r="G2501" t="s">
        <v>2024</v>
      </c>
    </row>
    <row r="2502" spans="1:7">
      <c r="A2502" s="247" t="s">
        <v>413</v>
      </c>
      <c r="B2502" s="157" t="s">
        <v>135</v>
      </c>
      <c r="C2502" s="56">
        <v>46036</v>
      </c>
      <c r="D2502" s="88">
        <v>0</v>
      </c>
      <c r="E2502" s="43"/>
      <c r="F2502" s="1429" t="s">
        <v>2046</v>
      </c>
      <c r="G2502" t="s">
        <v>2024</v>
      </c>
    </row>
    <row r="2503" spans="1:7">
      <c r="A2503" s="247" t="s">
        <v>417</v>
      </c>
      <c r="B2503" s="157" t="s">
        <v>135</v>
      </c>
      <c r="C2503" s="56">
        <v>46036</v>
      </c>
      <c r="D2503" s="1415">
        <v>1728</v>
      </c>
      <c r="E2503" s="43"/>
      <c r="F2503" s="1429" t="s">
        <v>1688</v>
      </c>
      <c r="G2503" t="s">
        <v>2024</v>
      </c>
    </row>
    <row r="2504" spans="1:7">
      <c r="A2504" s="247" t="s">
        <v>411</v>
      </c>
      <c r="B2504" s="157" t="s">
        <v>135</v>
      </c>
      <c r="C2504" s="56">
        <v>46037</v>
      </c>
      <c r="D2504" s="88">
        <v>527</v>
      </c>
      <c r="E2504" s="43"/>
      <c r="F2504" s="1429" t="s">
        <v>1759</v>
      </c>
      <c r="G2504" t="s">
        <v>2024</v>
      </c>
    </row>
    <row r="2505" spans="1:7">
      <c r="A2505" s="247" t="s">
        <v>419</v>
      </c>
      <c r="B2505" s="157" t="s">
        <v>135</v>
      </c>
      <c r="C2505" s="56">
        <v>46037</v>
      </c>
      <c r="D2505" s="1415">
        <v>1562</v>
      </c>
      <c r="E2505" s="43"/>
      <c r="F2505" s="1429"/>
      <c r="G2505" t="s">
        <v>2024</v>
      </c>
    </row>
    <row r="2506" spans="1:7">
      <c r="A2506" s="247" t="s">
        <v>303</v>
      </c>
      <c r="B2506" s="157" t="s">
        <v>135</v>
      </c>
      <c r="C2506" s="56">
        <v>46037</v>
      </c>
      <c r="D2506" s="1415">
        <v>2832</v>
      </c>
      <c r="E2506" s="43"/>
      <c r="F2506" s="1429"/>
      <c r="G2506" t="s">
        <v>2024</v>
      </c>
    </row>
    <row r="2507" spans="1:7">
      <c r="A2507" s="247" t="s">
        <v>415</v>
      </c>
      <c r="B2507" s="157" t="s">
        <v>135</v>
      </c>
      <c r="C2507" s="56">
        <v>46037</v>
      </c>
      <c r="D2507" s="88">
        <v>0</v>
      </c>
      <c r="E2507" s="43"/>
      <c r="F2507" s="1429" t="s">
        <v>2047</v>
      </c>
      <c r="G2507" t="s">
        <v>2024</v>
      </c>
    </row>
    <row r="2508" spans="1:7">
      <c r="A2508" s="247" t="s">
        <v>421</v>
      </c>
      <c r="B2508" s="157" t="s">
        <v>135</v>
      </c>
      <c r="C2508" s="56">
        <v>46037</v>
      </c>
      <c r="D2508" s="1415">
        <v>1639</v>
      </c>
      <c r="E2508" s="43"/>
      <c r="F2508" s="1429"/>
      <c r="G2508" t="s">
        <v>2024</v>
      </c>
    </row>
    <row r="2509" spans="1:7">
      <c r="A2509" s="247" t="s">
        <v>236</v>
      </c>
      <c r="B2509" s="157" t="s">
        <v>204</v>
      </c>
      <c r="C2509" s="56">
        <v>46037</v>
      </c>
      <c r="D2509" s="88">
        <v>445</v>
      </c>
      <c r="E2509" s="43"/>
      <c r="F2509" s="1429"/>
      <c r="G2509" t="s">
        <v>2024</v>
      </c>
    </row>
    <row r="2510" spans="1:7">
      <c r="A2510" s="247" t="s">
        <v>266</v>
      </c>
      <c r="B2510" s="157" t="s">
        <v>60</v>
      </c>
      <c r="C2510" s="56">
        <v>46037</v>
      </c>
      <c r="D2510" s="88">
        <v>499</v>
      </c>
      <c r="E2510" s="43"/>
      <c r="F2510" s="1429" t="s">
        <v>2048</v>
      </c>
      <c r="G2510" t="s">
        <v>2024</v>
      </c>
    </row>
    <row r="2511" spans="1:7">
      <c r="A2511" s="247" t="s">
        <v>373</v>
      </c>
      <c r="B2511" s="157" t="s">
        <v>204</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240</v>
      </c>
      <c r="B2513" s="1402" t="s">
        <v>204</v>
      </c>
      <c r="C2513" s="344">
        <v>46037</v>
      </c>
      <c r="D2513" s="332">
        <v>0</v>
      </c>
      <c r="E2513" s="253"/>
      <c r="F2513" s="1320" t="s">
        <v>2051</v>
      </c>
      <c r="G2513" t="s">
        <v>2024</v>
      </c>
    </row>
    <row r="2514" spans="1:7">
      <c r="A2514" s="399" t="s">
        <v>421</v>
      </c>
      <c r="B2514" s="1402" t="s">
        <v>135</v>
      </c>
      <c r="C2514" s="344">
        <v>46038</v>
      </c>
      <c r="D2514" s="332">
        <v>987</v>
      </c>
      <c r="E2514" s="253"/>
      <c r="F2514" s="1429"/>
      <c r="G2514" t="s">
        <v>2024</v>
      </c>
    </row>
    <row r="2515" spans="1:7">
      <c r="A2515" s="247" t="s">
        <v>303</v>
      </c>
      <c r="B2515" s="157" t="s">
        <v>135</v>
      </c>
      <c r="C2515" s="56">
        <v>46038</v>
      </c>
      <c r="D2515" s="88">
        <v>457</v>
      </c>
      <c r="F2515" s="1429"/>
      <c r="G2515" t="s">
        <v>2024</v>
      </c>
    </row>
    <row r="2516" spans="1:7">
      <c r="A2516" s="247" t="s">
        <v>417</v>
      </c>
      <c r="B2516" s="157" t="s">
        <v>135</v>
      </c>
      <c r="C2516" s="56">
        <v>46038</v>
      </c>
      <c r="D2516" s="1415">
        <v>3082</v>
      </c>
      <c r="F2516" s="1429"/>
      <c r="G2516" t="s">
        <v>2024</v>
      </c>
    </row>
    <row r="2517" spans="1:7">
      <c r="A2517" s="247" t="s">
        <v>266</v>
      </c>
      <c r="B2517" s="157" t="s">
        <v>60</v>
      </c>
      <c r="C2517" s="56">
        <v>46038</v>
      </c>
      <c r="D2517" s="88">
        <v>186</v>
      </c>
      <c r="F2517" s="1429" t="s">
        <v>2045</v>
      </c>
      <c r="G2517" t="s">
        <v>2024</v>
      </c>
    </row>
    <row r="2518" spans="1:7">
      <c r="A2518" s="247" t="s">
        <v>236</v>
      </c>
      <c r="B2518" s="157" t="s">
        <v>204</v>
      </c>
      <c r="C2518" s="56">
        <v>46038</v>
      </c>
      <c r="D2518" s="88">
        <v>686</v>
      </c>
      <c r="F2518" s="1431"/>
      <c r="G2518" t="s">
        <v>2024</v>
      </c>
    </row>
    <row r="2519" spans="1:7">
      <c r="A2519" s="247" t="s">
        <v>419</v>
      </c>
      <c r="B2519" s="157" t="s">
        <v>135</v>
      </c>
      <c r="C2519" s="56">
        <v>46038</v>
      </c>
      <c r="D2519" s="1415">
        <v>673</v>
      </c>
      <c r="F2519" s="1429"/>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0"/>
      <c r="G2521" t="s">
        <v>2024</v>
      </c>
    </row>
    <row r="2522" spans="1:7">
      <c r="A2522" s="371" t="s">
        <v>373</v>
      </c>
      <c r="B2522" s="815" t="s">
        <v>204</v>
      </c>
      <c r="C2522" s="56">
        <v>46038</v>
      </c>
      <c r="D2522" s="88">
        <v>441</v>
      </c>
      <c r="E2522" s="201"/>
      <c r="F2522" s="1431" t="s">
        <v>2053</v>
      </c>
      <c r="G2522" t="s">
        <v>2024</v>
      </c>
    </row>
    <row r="2523" spans="1:7">
      <c r="A2523" s="247"/>
      <c r="B2523" s="157"/>
      <c r="C2523" s="310">
        <v>46041</v>
      </c>
      <c r="D2523" s="331"/>
      <c r="E2523" s="201"/>
      <c r="F2523" s="1431"/>
    </row>
    <row r="2524" spans="1:7">
      <c r="A2524" s="315" t="s">
        <v>506</v>
      </c>
      <c r="B2524" s="315" t="s">
        <v>1091</v>
      </c>
      <c r="C2524" s="56">
        <v>46042</v>
      </c>
      <c r="D2524" s="331">
        <v>183</v>
      </c>
      <c r="E2524" s="43"/>
      <c r="F2524" s="1429"/>
      <c r="G2524" t="s">
        <v>2024</v>
      </c>
    </row>
    <row r="2525" spans="1:7">
      <c r="A2525" s="247" t="s">
        <v>1019</v>
      </c>
      <c r="B2525" s="157" t="s">
        <v>135</v>
      </c>
      <c r="C2525" s="56">
        <v>46042</v>
      </c>
      <c r="D2525" s="43">
        <v>0</v>
      </c>
      <c r="E2525" s="253"/>
      <c r="F2525" s="1462" t="s">
        <v>1393</v>
      </c>
      <c r="G2525" t="s">
        <v>2024</v>
      </c>
    </row>
    <row r="2526" spans="1:7">
      <c r="A2526" s="311" t="s">
        <v>171</v>
      </c>
      <c r="B2526" s="311" t="s">
        <v>135</v>
      </c>
      <c r="C2526" s="56">
        <v>46042</v>
      </c>
      <c r="D2526" s="155">
        <v>1344</v>
      </c>
      <c r="F2526" s="1427"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272</v>
      </c>
      <c r="B2530" s="315" t="s">
        <v>204</v>
      </c>
      <c r="C2530" s="56">
        <v>46042</v>
      </c>
      <c r="D2530" s="155">
        <v>2719</v>
      </c>
      <c r="F2530" s="1427" t="s">
        <v>2055</v>
      </c>
      <c r="G2530" t="s">
        <v>2024</v>
      </c>
    </row>
    <row r="2531" spans="1:7">
      <c r="A2531" s="311" t="s">
        <v>421</v>
      </c>
      <c r="B2531" s="311" t="s">
        <v>135</v>
      </c>
      <c r="C2531" s="56">
        <v>46042</v>
      </c>
      <c r="D2531" s="43">
        <v>0</v>
      </c>
      <c r="F2531" s="311" t="s">
        <v>1846</v>
      </c>
      <c r="G2531" t="s">
        <v>2024</v>
      </c>
    </row>
    <row r="2532" spans="1:7">
      <c r="A2532" s="315" t="s">
        <v>423</v>
      </c>
      <c r="B2532" s="315" t="s">
        <v>135</v>
      </c>
      <c r="C2532" s="56">
        <v>46042</v>
      </c>
      <c r="D2532" s="155">
        <v>1277</v>
      </c>
      <c r="F2532" s="1427"/>
      <c r="G2532" t="s">
        <v>2024</v>
      </c>
    </row>
    <row r="2533" spans="1:7">
      <c r="A2533" s="315" t="s">
        <v>303</v>
      </c>
      <c r="B2533" s="315" t="s">
        <v>135</v>
      </c>
      <c r="C2533" s="56">
        <v>46042</v>
      </c>
      <c r="D2533" s="43">
        <v>506</v>
      </c>
      <c r="F2533" s="1427"/>
      <c r="G2533" t="s">
        <v>2024</v>
      </c>
    </row>
    <row r="2534" spans="1:7">
      <c r="A2534" s="311" t="s">
        <v>506</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122</v>
      </c>
      <c r="B2536" s="311" t="s">
        <v>123</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396</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272</v>
      </c>
      <c r="B2541" s="315" t="s">
        <v>204</v>
      </c>
      <c r="C2541" s="56">
        <v>46043</v>
      </c>
      <c r="D2541" s="155">
        <v>408</v>
      </c>
      <c r="F2541" s="1427"/>
      <c r="G2541" t="s">
        <v>2024</v>
      </c>
    </row>
    <row r="2542" spans="1:7">
      <c r="A2542" s="315" t="s">
        <v>279</v>
      </c>
      <c r="B2542" s="315" t="s">
        <v>204</v>
      </c>
      <c r="C2542" s="56">
        <v>46043</v>
      </c>
      <c r="D2542" s="155">
        <v>2000</v>
      </c>
      <c r="F2542" s="1427"/>
      <c r="G2542" t="s">
        <v>2024</v>
      </c>
    </row>
    <row r="2543" spans="1:7">
      <c r="A2543" s="311" t="s">
        <v>421</v>
      </c>
      <c r="B2543" s="311" t="s">
        <v>135</v>
      </c>
      <c r="C2543" s="56">
        <v>46043</v>
      </c>
      <c r="D2543" s="43">
        <v>575</v>
      </c>
      <c r="F2543" s="1427"/>
      <c r="G2543" t="s">
        <v>2024</v>
      </c>
    </row>
    <row r="2544" spans="1:7">
      <c r="A2544" s="315" t="s">
        <v>419</v>
      </c>
      <c r="B2544" s="315" t="s">
        <v>135</v>
      </c>
      <c r="C2544" s="56">
        <v>46043</v>
      </c>
      <c r="D2544" s="155">
        <v>2265</v>
      </c>
      <c r="F2544" s="1427"/>
      <c r="G2544" t="s">
        <v>2024</v>
      </c>
    </row>
    <row r="2545" spans="1:7">
      <c r="A2545" s="311" t="s">
        <v>506</v>
      </c>
      <c r="B2545" s="311" t="s">
        <v>1091</v>
      </c>
      <c r="C2545" s="56">
        <v>46044</v>
      </c>
      <c r="D2545" s="43">
        <v>186</v>
      </c>
      <c r="F2545" s="1427"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7" t="s">
        <v>2060</v>
      </c>
      <c r="G2547" t="s">
        <v>2024</v>
      </c>
    </row>
    <row r="2548" spans="1:7">
      <c r="A2548" s="315" t="s">
        <v>117</v>
      </c>
      <c r="B2548" s="315" t="s">
        <v>118</v>
      </c>
      <c r="C2548" s="56">
        <v>46044</v>
      </c>
      <c r="D2548" s="155">
        <v>1539</v>
      </c>
      <c r="F2548" s="1427" t="s">
        <v>2061</v>
      </c>
      <c r="G2548" t="s">
        <v>2024</v>
      </c>
    </row>
    <row r="2549" spans="1:7">
      <c r="A2549" s="315" t="s">
        <v>1019</v>
      </c>
      <c r="B2549" s="315" t="s">
        <v>1091</v>
      </c>
      <c r="C2549" s="56">
        <v>46044</v>
      </c>
      <c r="E2549" s="139">
        <v>486</v>
      </c>
      <c r="F2549" s="1427" t="s">
        <v>2062</v>
      </c>
      <c r="G2549" t="s">
        <v>2024</v>
      </c>
    </row>
    <row r="2550" spans="1:7">
      <c r="A2550" s="311" t="s">
        <v>1161</v>
      </c>
      <c r="B2550" s="311" t="s">
        <v>60</v>
      </c>
      <c r="C2550" s="56">
        <v>46044</v>
      </c>
      <c r="D2550" s="43">
        <v>520</v>
      </c>
      <c r="F2550" s="1427" t="s">
        <v>2048</v>
      </c>
      <c r="G2550" t="s">
        <v>2024</v>
      </c>
    </row>
    <row r="2551" spans="1:7">
      <c r="A2551" s="315" t="s">
        <v>1162</v>
      </c>
      <c r="B2551" s="315" t="s">
        <v>1778</v>
      </c>
      <c r="C2551" s="56">
        <v>46044</v>
      </c>
      <c r="D2551" s="155">
        <v>1462</v>
      </c>
      <c r="F2551" s="1427" t="s">
        <v>2063</v>
      </c>
      <c r="G2551" t="s">
        <v>2024</v>
      </c>
    </row>
    <row r="2552" spans="1:7">
      <c r="A2552" s="315" t="s">
        <v>203</v>
      </c>
      <c r="B2552" s="315" t="s">
        <v>204</v>
      </c>
      <c r="C2552" s="56">
        <v>46044</v>
      </c>
      <c r="D2552" s="155">
        <v>2031</v>
      </c>
      <c r="F2552" s="1427" t="s">
        <v>2064</v>
      </c>
      <c r="G2552" t="s">
        <v>2024</v>
      </c>
    </row>
    <row r="2553" spans="1:7">
      <c r="A2553" s="315" t="s">
        <v>279</v>
      </c>
      <c r="B2553" s="315" t="s">
        <v>204</v>
      </c>
      <c r="C2553" s="56">
        <v>46044</v>
      </c>
      <c r="D2553" s="43">
        <v>970</v>
      </c>
      <c r="F2553" s="1427" t="s">
        <v>2065</v>
      </c>
      <c r="G2553" t="s">
        <v>2024</v>
      </c>
    </row>
    <row r="2554" spans="1:7">
      <c r="A2554" s="315" t="s">
        <v>411</v>
      </c>
      <c r="B2554" s="315" t="s">
        <v>135</v>
      </c>
      <c r="C2554" s="56">
        <v>46044</v>
      </c>
      <c r="D2554" s="155">
        <v>1776</v>
      </c>
      <c r="F2554" s="1427" t="s">
        <v>2066</v>
      </c>
      <c r="G2554" t="s">
        <v>2024</v>
      </c>
    </row>
    <row r="2555" spans="1:7">
      <c r="A2555" s="315" t="s">
        <v>297</v>
      </c>
      <c r="B2555" s="315" t="s">
        <v>135</v>
      </c>
      <c r="C2555" s="56">
        <v>46044</v>
      </c>
      <c r="D2555" s="155">
        <v>1940</v>
      </c>
      <c r="F2555" s="1427" t="s">
        <v>2067</v>
      </c>
      <c r="G2555" t="s">
        <v>2024</v>
      </c>
    </row>
    <row r="2556" spans="1:7">
      <c r="A2556" s="311" t="s">
        <v>1109</v>
      </c>
      <c r="B2556" s="311" t="s">
        <v>1091</v>
      </c>
      <c r="C2556" s="56">
        <v>46045</v>
      </c>
      <c r="D2556" s="43">
        <v>57</v>
      </c>
      <c r="F2556" s="1427" t="s">
        <v>1595</v>
      </c>
      <c r="G2556" t="s">
        <v>2024</v>
      </c>
    </row>
    <row r="2557" spans="1:7">
      <c r="A2557" s="315" t="s">
        <v>1134</v>
      </c>
      <c r="B2557" s="315" t="s">
        <v>60</v>
      </c>
      <c r="C2557" s="56">
        <v>46045</v>
      </c>
      <c r="D2557" s="43">
        <v>274</v>
      </c>
      <c r="F2557" s="1427"/>
      <c r="G2557" t="s">
        <v>2024</v>
      </c>
    </row>
    <row r="2558" spans="1:7">
      <c r="A2558" s="311" t="s">
        <v>1161</v>
      </c>
      <c r="B2558" s="311" t="s">
        <v>60</v>
      </c>
      <c r="C2558" s="56">
        <v>46045</v>
      </c>
      <c r="D2558" s="43">
        <v>0</v>
      </c>
      <c r="F2558" s="1427" t="s">
        <v>1237</v>
      </c>
      <c r="G2558" t="s">
        <v>2024</v>
      </c>
    </row>
    <row r="2559" spans="1:7">
      <c r="A2559" s="315" t="s">
        <v>1162</v>
      </c>
      <c r="B2559" s="315" t="s">
        <v>1778</v>
      </c>
      <c r="C2559" s="56">
        <v>46045</v>
      </c>
      <c r="D2559" s="155">
        <v>1617</v>
      </c>
      <c r="F2559" s="1427"/>
      <c r="G2559" t="s">
        <v>2024</v>
      </c>
    </row>
    <row r="2560" spans="1:7">
      <c r="A2560" s="315" t="s">
        <v>203</v>
      </c>
      <c r="B2560" s="315" t="s">
        <v>204</v>
      </c>
      <c r="C2560" s="56">
        <v>46045</v>
      </c>
      <c r="D2560" s="43">
        <v>845</v>
      </c>
      <c r="F2560" s="1427" t="s">
        <v>2068</v>
      </c>
      <c r="G2560" t="s">
        <v>2024</v>
      </c>
    </row>
    <row r="2561" spans="1:7">
      <c r="A2561" s="311" t="s">
        <v>419</v>
      </c>
      <c r="B2561" s="311" t="s">
        <v>135</v>
      </c>
      <c r="C2561" s="56">
        <v>46045</v>
      </c>
      <c r="D2561" s="155">
        <v>2651</v>
      </c>
      <c r="F2561" s="1427" t="s">
        <v>2069</v>
      </c>
      <c r="G2561" t="s">
        <v>2024</v>
      </c>
    </row>
    <row r="2562" spans="1:7">
      <c r="A2562" s="315" t="s">
        <v>421</v>
      </c>
      <c r="B2562" s="315" t="s">
        <v>135</v>
      </c>
      <c r="C2562" s="56">
        <v>46045</v>
      </c>
      <c r="D2562" s="43">
        <v>818</v>
      </c>
      <c r="F2562" s="1427"/>
      <c r="G2562" t="s">
        <v>2024</v>
      </c>
    </row>
    <row r="2563" spans="1:7">
      <c r="A2563" s="315" t="s">
        <v>469</v>
      </c>
      <c r="B2563" s="315" t="s">
        <v>1091</v>
      </c>
      <c r="C2563" s="56">
        <v>46045</v>
      </c>
      <c r="E2563" s="321">
        <v>1907</v>
      </c>
      <c r="F2563" s="311" t="s">
        <v>1540</v>
      </c>
      <c r="G2563" t="s">
        <v>2024</v>
      </c>
    </row>
    <row r="2564" spans="1:7">
      <c r="A2564" s="935" t="s">
        <v>1134</v>
      </c>
      <c r="B2564" s="935" t="s">
        <v>60</v>
      </c>
      <c r="C2564" s="56">
        <v>46048</v>
      </c>
      <c r="F2564" s="1317" t="s">
        <v>2070</v>
      </c>
      <c r="G2564" t="s">
        <v>2024</v>
      </c>
    </row>
    <row r="2565" spans="1:7">
      <c r="A2565" s="754" t="s">
        <v>117</v>
      </c>
      <c r="B2565" s="754" t="s">
        <v>135</v>
      </c>
      <c r="C2565" s="56">
        <v>46048</v>
      </c>
      <c r="D2565" s="155">
        <v>1590</v>
      </c>
      <c r="F2565" s="1427" t="s">
        <v>1870</v>
      </c>
      <c r="G2565" t="s">
        <v>2024</v>
      </c>
    </row>
    <row r="2566" spans="1:7">
      <c r="A2566" s="935" t="s">
        <v>122</v>
      </c>
      <c r="B2566" s="935" t="s">
        <v>123</v>
      </c>
      <c r="C2566" s="56">
        <v>46048</v>
      </c>
      <c r="D2566" s="43">
        <v>835</v>
      </c>
      <c r="F2566" s="1427" t="s">
        <v>2071</v>
      </c>
      <c r="G2566" t="s">
        <v>2024</v>
      </c>
    </row>
    <row r="2567" spans="1:7">
      <c r="A2567" s="935" t="s">
        <v>126</v>
      </c>
      <c r="B2567" s="935" t="s">
        <v>135</v>
      </c>
      <c r="C2567" s="56">
        <v>46048</v>
      </c>
      <c r="F2567" s="754" t="s">
        <v>2072</v>
      </c>
      <c r="G2567" t="s">
        <v>2024</v>
      </c>
    </row>
    <row r="2568" spans="1:7">
      <c r="A2568" s="935" t="s">
        <v>171</v>
      </c>
      <c r="B2568" s="935" t="s">
        <v>135</v>
      </c>
      <c r="C2568" s="56">
        <v>46048</v>
      </c>
      <c r="D2568" s="43">
        <v>886</v>
      </c>
      <c r="F2568" s="1427" t="s">
        <v>1220</v>
      </c>
      <c r="G2568" t="s">
        <v>2024</v>
      </c>
    </row>
    <row r="2569" spans="1:7">
      <c r="A2569" s="935" t="s">
        <v>396</v>
      </c>
      <c r="B2569" s="935" t="s">
        <v>1091</v>
      </c>
      <c r="C2569" s="56">
        <v>46048</v>
      </c>
      <c r="E2569" s="139">
        <v>313</v>
      </c>
      <c r="F2569" s="1427" t="s">
        <v>2073</v>
      </c>
      <c r="G2569" t="s">
        <v>2024</v>
      </c>
    </row>
    <row r="2570" spans="1:7">
      <c r="A2570" s="754" t="s">
        <v>1161</v>
      </c>
      <c r="B2570" s="754" t="s">
        <v>60</v>
      </c>
      <c r="C2570" s="56">
        <v>46048</v>
      </c>
      <c r="D2570" s="43">
        <v>376</v>
      </c>
      <c r="F2570" s="1427" t="s">
        <v>1758</v>
      </c>
      <c r="G2570" t="s">
        <v>2024</v>
      </c>
    </row>
    <row r="2571" spans="1:7">
      <c r="A2571" s="935" t="s">
        <v>1162</v>
      </c>
      <c r="B2571" s="935" t="s">
        <v>1778</v>
      </c>
      <c r="C2571" s="56">
        <v>46048</v>
      </c>
      <c r="D2571" s="155">
        <v>1642</v>
      </c>
      <c r="F2571" s="43" t="s">
        <v>2074</v>
      </c>
      <c r="G2571" t="s">
        <v>2024</v>
      </c>
    </row>
    <row r="2572" spans="1:7">
      <c r="A2572" s="935" t="s">
        <v>203</v>
      </c>
      <c r="B2572" s="935" t="s">
        <v>204</v>
      </c>
      <c r="C2572" s="56">
        <v>46048</v>
      </c>
      <c r="D2572" s="155">
        <v>1530</v>
      </c>
      <c r="F2572" s="43" t="s">
        <v>2075</v>
      </c>
      <c r="G2572" t="s">
        <v>2024</v>
      </c>
    </row>
    <row r="2573" spans="1:7">
      <c r="A2573" s="247" t="s">
        <v>421</v>
      </c>
      <c r="B2573" s="935" t="s">
        <v>135</v>
      </c>
      <c r="C2573" s="56">
        <v>46048</v>
      </c>
      <c r="E2573" s="321">
        <v>6116</v>
      </c>
      <c r="F2573" s="43" t="s">
        <v>2076</v>
      </c>
      <c r="G2573" t="s">
        <v>2024</v>
      </c>
    </row>
    <row r="2574" spans="1:7">
      <c r="A2574" s="247" t="s">
        <v>300</v>
      </c>
      <c r="B2574" s="935" t="s">
        <v>135</v>
      </c>
      <c r="C2574" s="56">
        <v>46048</v>
      </c>
      <c r="D2574" s="155">
        <v>1908</v>
      </c>
      <c r="F2574" s="43" t="s">
        <v>2077</v>
      </c>
      <c r="G2574" t="s">
        <v>2024</v>
      </c>
    </row>
    <row r="2575" spans="1:7">
      <c r="A2575" s="777" t="s">
        <v>1134</v>
      </c>
      <c r="B2575" s="777" t="s">
        <v>60</v>
      </c>
      <c r="C2575" s="336">
        <v>46049</v>
      </c>
      <c r="D2575" s="115">
        <v>343</v>
      </c>
      <c r="E2575" s="201"/>
      <c r="F2575" s="115"/>
      <c r="G2575" t="s">
        <v>2024</v>
      </c>
    </row>
    <row r="2576" spans="1:7">
      <c r="A2576" s="751" t="s">
        <v>203</v>
      </c>
      <c r="B2576" s="751" t="s">
        <v>204</v>
      </c>
      <c r="C2576" s="56">
        <v>46049</v>
      </c>
      <c r="D2576" s="43">
        <v>388</v>
      </c>
      <c r="E2576" s="43"/>
      <c r="F2576" s="43" t="s">
        <v>2078</v>
      </c>
      <c r="G2576" t="s">
        <v>2024</v>
      </c>
    </row>
    <row r="2577" spans="1:7">
      <c r="A2577" s="935" t="s">
        <v>385</v>
      </c>
      <c r="B2577" s="935" t="s">
        <v>1091</v>
      </c>
      <c r="C2577" s="344">
        <v>46049</v>
      </c>
      <c r="D2577" s="169"/>
      <c r="E2577" s="253">
        <v>346</v>
      </c>
      <c r="F2577" s="935"/>
      <c r="G2577" t="s">
        <v>2024</v>
      </c>
    </row>
    <row r="2578" spans="1:7">
      <c r="A2578" s="935" t="s">
        <v>117</v>
      </c>
      <c r="B2578" s="935" t="s">
        <v>135</v>
      </c>
      <c r="C2578" s="56">
        <v>46049</v>
      </c>
      <c r="D2578" s="155">
        <v>1230</v>
      </c>
      <c r="F2578" s="43" t="s">
        <v>1753</v>
      </c>
      <c r="G2578" t="s">
        <v>2024</v>
      </c>
    </row>
    <row r="2579" spans="1:7">
      <c r="A2579" s="935" t="s">
        <v>122</v>
      </c>
      <c r="B2579" s="935" t="s">
        <v>123</v>
      </c>
      <c r="C2579" s="56">
        <v>46049</v>
      </c>
      <c r="D2579" s="43">
        <v>858</v>
      </c>
      <c r="F2579" s="43" t="s">
        <v>2079</v>
      </c>
      <c r="G2579" t="s">
        <v>2024</v>
      </c>
    </row>
    <row r="2580" spans="1:7">
      <c r="A2580" s="935" t="s">
        <v>126</v>
      </c>
      <c r="B2580" s="935" t="s">
        <v>135</v>
      </c>
      <c r="C2580" s="56">
        <v>46049</v>
      </c>
      <c r="D2580" s="155">
        <v>1758</v>
      </c>
      <c r="F2580" s="43" t="s">
        <v>2080</v>
      </c>
      <c r="G2580" t="s">
        <v>2024</v>
      </c>
    </row>
    <row r="2581" spans="1:7">
      <c r="A2581" s="754" t="s">
        <v>1161</v>
      </c>
      <c r="B2581" s="754" t="s">
        <v>60</v>
      </c>
      <c r="C2581" s="56">
        <v>46049</v>
      </c>
      <c r="D2581" s="43">
        <v>647</v>
      </c>
      <c r="F2581" s="43" t="s">
        <v>2081</v>
      </c>
      <c r="G2581" t="s">
        <v>2024</v>
      </c>
    </row>
    <row r="2582" spans="1:7">
      <c r="A2582" s="935" t="s">
        <v>1162</v>
      </c>
      <c r="B2582" s="935" t="s">
        <v>1778</v>
      </c>
      <c r="C2582" s="56">
        <v>46049</v>
      </c>
      <c r="D2582" s="43">
        <v>843</v>
      </c>
      <c r="G2582" t="s">
        <v>2024</v>
      </c>
    </row>
    <row r="2583" spans="1:7">
      <c r="A2583" s="935" t="s">
        <v>236</v>
      </c>
      <c r="B2583" s="935" t="s">
        <v>204</v>
      </c>
      <c r="C2583" s="56">
        <v>46049</v>
      </c>
      <c r="D2583" s="43">
        <v>511</v>
      </c>
      <c r="G2583" t="s">
        <v>2024</v>
      </c>
    </row>
    <row r="2584" spans="1:7">
      <c r="A2584" s="754" t="s">
        <v>423</v>
      </c>
      <c r="B2584" s="754" t="s">
        <v>135</v>
      </c>
      <c r="C2584" s="56">
        <v>46049</v>
      </c>
      <c r="E2584" s="321">
        <v>2058</v>
      </c>
      <c r="F2584" s="754" t="s">
        <v>2082</v>
      </c>
      <c r="G2584" t="s">
        <v>2024</v>
      </c>
    </row>
    <row r="2585" spans="1:7">
      <c r="A2585" s="935" t="s">
        <v>411</v>
      </c>
      <c r="B2585" s="935" t="s">
        <v>135</v>
      </c>
      <c r="C2585" s="56">
        <v>46049</v>
      </c>
      <c r="F2585" s="754" t="s">
        <v>1393</v>
      </c>
      <c r="G2585" t="s">
        <v>2024</v>
      </c>
    </row>
    <row r="2586" spans="1:7">
      <c r="A2586" s="935" t="s">
        <v>413</v>
      </c>
      <c r="B2586" s="935" t="s">
        <v>135</v>
      </c>
      <c r="C2586" s="56">
        <v>46049</v>
      </c>
      <c r="F2586" s="754" t="s">
        <v>1393</v>
      </c>
      <c r="G2586" t="s">
        <v>2024</v>
      </c>
    </row>
    <row r="2587" spans="1:7">
      <c r="A2587" s="935" t="s">
        <v>417</v>
      </c>
      <c r="B2587" s="935" t="s">
        <v>135</v>
      </c>
      <c r="C2587" s="56">
        <v>46049</v>
      </c>
      <c r="F2587" s="754" t="s">
        <v>2083</v>
      </c>
      <c r="G2587" t="s">
        <v>2024</v>
      </c>
    </row>
    <row r="2588" spans="1:7">
      <c r="A2588" s="935" t="s">
        <v>303</v>
      </c>
      <c r="B2588" s="935" t="s">
        <v>135</v>
      </c>
      <c r="C2588" s="56">
        <v>46049</v>
      </c>
      <c r="F2588" s="754" t="s">
        <v>2083</v>
      </c>
      <c r="G2588" t="s">
        <v>2024</v>
      </c>
    </row>
    <row r="2589" spans="1:7">
      <c r="A2589" s="935" t="s">
        <v>419</v>
      </c>
      <c r="B2589" s="935" t="s">
        <v>135</v>
      </c>
      <c r="C2589" s="56">
        <v>46049</v>
      </c>
      <c r="F2589" s="311" t="s">
        <v>2084</v>
      </c>
      <c r="G2589" t="s">
        <v>2024</v>
      </c>
    </row>
    <row r="2590" spans="1:7">
      <c r="A2590" s="311" t="s">
        <v>1134</v>
      </c>
      <c r="B2590" s="311" t="s">
        <v>60</v>
      </c>
      <c r="C2590" s="56">
        <v>46050</v>
      </c>
      <c r="G2590" t="s">
        <v>2024</v>
      </c>
    </row>
    <row r="2591" spans="1:7">
      <c r="A2591" s="311" t="s">
        <v>117</v>
      </c>
      <c r="B2591" s="311" t="s">
        <v>135</v>
      </c>
      <c r="C2591" s="56">
        <v>46050</v>
      </c>
      <c r="G2591" t="s">
        <v>2024</v>
      </c>
    </row>
    <row r="2592" spans="1:7">
      <c r="A2592" s="315" t="s">
        <v>122</v>
      </c>
      <c r="B2592" s="315" t="s">
        <v>123</v>
      </c>
      <c r="C2592" s="56">
        <v>46050</v>
      </c>
      <c r="G2592" t="s">
        <v>2024</v>
      </c>
    </row>
    <row r="2593" spans="1:7">
      <c r="A2593" s="315" t="s">
        <v>126</v>
      </c>
      <c r="B2593" s="315" t="s">
        <v>135</v>
      </c>
      <c r="C2593" s="56">
        <v>46050</v>
      </c>
      <c r="G2593" t="s">
        <v>2024</v>
      </c>
    </row>
    <row r="2594" spans="1:7">
      <c r="A2594" s="311" t="s">
        <v>1161</v>
      </c>
      <c r="B2594" s="311" t="s">
        <v>60</v>
      </c>
      <c r="C2594" s="56">
        <v>46050</v>
      </c>
      <c r="G2594" t="s">
        <v>2024</v>
      </c>
    </row>
    <row r="2595" spans="1:7">
      <c r="A2595" s="315" t="s">
        <v>1162</v>
      </c>
      <c r="B2595" s="315" t="s">
        <v>1778</v>
      </c>
      <c r="C2595" s="56">
        <v>46050</v>
      </c>
      <c r="G2595" t="s">
        <v>2024</v>
      </c>
    </row>
    <row r="2596" spans="1:7">
      <c r="A2596" s="612" t="s">
        <v>236</v>
      </c>
      <c r="B2596" s="315" t="s">
        <v>204</v>
      </c>
      <c r="C2596" s="56">
        <v>46050</v>
      </c>
      <c r="G2596" t="s">
        <v>2024</v>
      </c>
    </row>
    <row r="2597" spans="1:7">
      <c r="A2597" s="612" t="s">
        <v>252</v>
      </c>
      <c r="B2597" s="315" t="s">
        <v>204</v>
      </c>
      <c r="C2597" s="56">
        <v>46050</v>
      </c>
      <c r="G2597" t="s">
        <v>2024</v>
      </c>
    </row>
    <row r="2598" spans="1:7">
      <c r="A2598" s="311" t="s">
        <v>291</v>
      </c>
      <c r="B2598" s="311" t="s">
        <v>135</v>
      </c>
      <c r="C2598" s="56">
        <v>46050</v>
      </c>
      <c r="F2598" s="754" t="s">
        <v>2083</v>
      </c>
      <c r="G2598" t="s">
        <v>2024</v>
      </c>
    </row>
    <row r="2599" spans="1:7">
      <c r="A2599" s="315" t="s">
        <v>479</v>
      </c>
      <c r="B2599" s="315" t="s">
        <v>135</v>
      </c>
      <c r="C2599" s="56">
        <v>46050</v>
      </c>
      <c r="F2599" s="754" t="s">
        <v>2083</v>
      </c>
      <c r="G2599" t="s">
        <v>2024</v>
      </c>
    </row>
    <row r="2600" spans="1:7">
      <c r="A2600" s="315" t="s">
        <v>294</v>
      </c>
      <c r="B2600" s="315" t="s">
        <v>135</v>
      </c>
      <c r="C2600" s="56">
        <v>46050</v>
      </c>
      <c r="F2600" s="754" t="s">
        <v>2083</v>
      </c>
      <c r="G2600" t="s">
        <v>2024</v>
      </c>
    </row>
    <row r="2601" spans="1:7">
      <c r="A2601" s="315" t="s">
        <v>482</v>
      </c>
      <c r="B2601" s="315" t="s">
        <v>135</v>
      </c>
      <c r="C2601" s="56">
        <v>46050</v>
      </c>
      <c r="F2601" s="754" t="s">
        <v>2083</v>
      </c>
      <c r="G2601" t="s">
        <v>2024</v>
      </c>
    </row>
    <row r="2602" spans="1:7">
      <c r="A2602" s="315" t="s">
        <v>297</v>
      </c>
      <c r="B2602" s="315" t="s">
        <v>135</v>
      </c>
      <c r="C2602" s="56">
        <v>46050</v>
      </c>
      <c r="F2602" s="754" t="s">
        <v>2083</v>
      </c>
      <c r="G2602"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2085</v>
      </c>
      <c r="W2" s="3" t="s">
        <v>2086</v>
      </c>
      <c r="X2" s="3" t="s">
        <v>2086</v>
      </c>
      <c r="Y2" s="3" t="s">
        <v>2086</v>
      </c>
      <c r="Z2" s="3" t="s">
        <v>2086</v>
      </c>
      <c r="AA2" s="8" t="s">
        <v>2087</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2088</v>
      </c>
      <c r="T3" s="19" t="s">
        <v>2089</v>
      </c>
      <c r="U3" s="19" t="s">
        <v>2090</v>
      </c>
      <c r="V3" s="5" t="s">
        <v>2091</v>
      </c>
      <c r="W3" s="5" t="s">
        <v>44</v>
      </c>
      <c r="X3" s="5" t="s">
        <v>43</v>
      </c>
      <c r="Y3" s="5" t="s">
        <v>2092</v>
      </c>
      <c r="Z3" s="5" t="s">
        <v>46</v>
      </c>
      <c r="AA3" s="89" t="s">
        <v>647</v>
      </c>
      <c r="AB3" s="68" t="s">
        <v>48</v>
      </c>
    </row>
    <row r="4" spans="1:30" ht="24.75" customHeight="1" thickBot="1">
      <c r="A4" s="440" t="s">
        <v>2093</v>
      </c>
      <c r="B4" s="440" t="s">
        <v>2094</v>
      </c>
      <c r="C4" s="16">
        <v>45717</v>
      </c>
      <c r="D4" s="63" t="s">
        <v>2095</v>
      </c>
      <c r="E4" s="51">
        <v>45707</v>
      </c>
      <c r="F4" s="51" t="s">
        <v>183</v>
      </c>
      <c r="G4" s="382" t="s">
        <v>2096</v>
      </c>
      <c r="H4" s="97">
        <v>0</v>
      </c>
      <c r="I4" s="105"/>
      <c r="J4" s="76" t="s">
        <v>63</v>
      </c>
      <c r="K4" s="76" t="s">
        <v>2097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2098</v>
      </c>
    </row>
    <row r="5" spans="1:30" ht="24.75" customHeight="1" thickBot="1">
      <c r="A5" s="440" t="s">
        <v>2099</v>
      </c>
      <c r="B5" s="440" t="s">
        <v>2094</v>
      </c>
      <c r="C5" s="16">
        <v>45717</v>
      </c>
      <c r="D5" s="63" t="s">
        <v>2095</v>
      </c>
      <c r="E5" s="51">
        <v>45707</v>
      </c>
      <c r="F5" s="381" t="s">
        <v>183</v>
      </c>
      <c r="G5" s="382" t="s">
        <v>2100</v>
      </c>
      <c r="H5" s="97">
        <v>0</v>
      </c>
      <c r="I5" s="105"/>
      <c r="J5" s="76" t="s">
        <v>63</v>
      </c>
      <c r="K5" s="76" t="s">
        <v>2097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2101</v>
      </c>
      <c r="B6" s="440" t="s">
        <v>2094</v>
      </c>
      <c r="C6" s="16">
        <v>45717</v>
      </c>
      <c r="D6" s="63" t="s">
        <v>2095</v>
      </c>
      <c r="E6" s="51">
        <v>45707</v>
      </c>
      <c r="F6" s="381" t="s">
        <v>183</v>
      </c>
      <c r="G6" s="382" t="s">
        <v>2102</v>
      </c>
      <c r="H6" s="97">
        <v>0</v>
      </c>
      <c r="I6" s="105"/>
      <c r="J6" s="76" t="s">
        <v>63</v>
      </c>
      <c r="K6" s="76" t="s">
        <v>2097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2103</v>
      </c>
      <c r="B8" s="440" t="s">
        <v>2104</v>
      </c>
      <c r="C8" s="16">
        <v>45748</v>
      </c>
      <c r="D8" s="16" t="s">
        <v>2095</v>
      </c>
      <c r="E8" s="94" t="s">
        <v>52</v>
      </c>
      <c r="F8" s="95" t="s">
        <v>52</v>
      </c>
      <c r="G8" s="616" t="s">
        <v>2105</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2106</v>
      </c>
      <c r="AC8" s="435"/>
      <c r="AD8" s="70"/>
    </row>
    <row r="9" spans="1:30" ht="24.75" customHeight="1">
      <c r="A9" s="449" t="s">
        <v>2107</v>
      </c>
      <c r="B9" s="449" t="s">
        <v>2108</v>
      </c>
      <c r="C9" s="23">
        <v>45741</v>
      </c>
      <c r="D9" s="16" t="s">
        <v>2095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2109</v>
      </c>
    </row>
    <row r="10" spans="1:30" ht="24.75" customHeight="1" thickBot="1">
      <c r="A10" s="26" t="s">
        <v>2110</v>
      </c>
      <c r="B10" s="26" t="s">
        <v>2108</v>
      </c>
      <c r="C10" s="27">
        <v>45741</v>
      </c>
      <c r="D10" s="16" t="s">
        <v>2095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2111</v>
      </c>
      <c r="B11" s="36" t="s">
        <v>2108</v>
      </c>
      <c r="C11" s="37">
        <v>45747</v>
      </c>
      <c r="D11" s="16" t="s">
        <v>2095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2112</v>
      </c>
      <c r="B12" s="26" t="s">
        <v>2108</v>
      </c>
      <c r="C12" s="27">
        <v>45741</v>
      </c>
      <c r="D12" s="16" t="s">
        <v>2095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2109</v>
      </c>
    </row>
    <row r="13" spans="1:30" ht="24.75" customHeight="1" thickBot="1">
      <c r="A13" s="26" t="s">
        <v>2113</v>
      </c>
      <c r="B13" s="26" t="s">
        <v>2108</v>
      </c>
      <c r="C13" s="27">
        <v>45741</v>
      </c>
      <c r="D13" s="27" t="s">
        <v>2095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2109</v>
      </c>
    </row>
    <row r="14" spans="1:30" ht="24.75" customHeight="1" thickBot="1">
      <c r="A14" s="26" t="s">
        <v>2114</v>
      </c>
      <c r="B14" s="26" t="s">
        <v>2108</v>
      </c>
      <c r="C14" s="27">
        <v>45747</v>
      </c>
      <c r="D14" s="27" t="s">
        <v>2095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2115</v>
      </c>
      <c r="B15" s="26" t="s">
        <v>2108</v>
      </c>
      <c r="C15" s="27">
        <v>45741</v>
      </c>
      <c r="D15" s="27" t="s">
        <v>2095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2109</v>
      </c>
    </row>
    <row r="16" spans="1:30" ht="24.75" customHeight="1" thickBot="1">
      <c r="A16" s="26" t="s">
        <v>2116</v>
      </c>
      <c r="B16" s="26" t="s">
        <v>2108</v>
      </c>
      <c r="C16" s="27">
        <v>45741</v>
      </c>
      <c r="D16" s="27" t="s">
        <v>2095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2109</v>
      </c>
    </row>
    <row r="17" spans="1:30" ht="24.75" customHeight="1" thickBot="1">
      <c r="A17" s="36" t="s">
        <v>2117</v>
      </c>
      <c r="B17" s="36" t="s">
        <v>2108</v>
      </c>
      <c r="C17" s="37">
        <v>45747</v>
      </c>
      <c r="D17" s="37" t="s">
        <v>2095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2118</v>
      </c>
      <c r="B18" s="374" t="s">
        <v>2108</v>
      </c>
      <c r="C18" s="51">
        <v>45717</v>
      </c>
      <c r="D18" s="27" t="s">
        <v>2095</v>
      </c>
      <c r="E18" s="85">
        <v>45700</v>
      </c>
      <c r="F18" s="51"/>
      <c r="G18" s="51" t="s">
        <v>2119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2109</v>
      </c>
    </row>
    <row r="19" spans="1:30" ht="24.75" customHeight="1" thickBot="1">
      <c r="A19" s="50" t="s">
        <v>2120</v>
      </c>
      <c r="B19" s="26" t="s">
        <v>2108</v>
      </c>
      <c r="C19" s="51">
        <v>45747</v>
      </c>
      <c r="D19" s="27" t="s">
        <v>2095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2121</v>
      </c>
    </row>
    <row r="20" spans="1:30" ht="24.75" customHeight="1" thickBot="1">
      <c r="A20" s="374" t="s">
        <v>2122</v>
      </c>
      <c r="B20" s="374" t="s">
        <v>2108</v>
      </c>
      <c r="C20" s="375">
        <v>45717</v>
      </c>
      <c r="D20" s="27" t="s">
        <v>2095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2109</v>
      </c>
    </row>
    <row r="21" spans="1:30" ht="24.75" customHeight="1" thickBot="1">
      <c r="A21" s="374" t="s">
        <v>2123</v>
      </c>
      <c r="B21" s="112" t="s">
        <v>50</v>
      </c>
      <c r="C21" s="51">
        <v>45717</v>
      </c>
      <c r="D21" s="27" t="s">
        <v>2124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2125</v>
      </c>
      <c r="B22" s="378" t="s">
        <v>50</v>
      </c>
      <c r="C22" s="51">
        <v>45717</v>
      </c>
      <c r="D22" s="51" t="s">
        <v>2124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2127</v>
      </c>
      <c r="B24" s="378" t="s">
        <v>50</v>
      </c>
      <c r="C24" s="381">
        <v>45688</v>
      </c>
      <c r="D24" s="390" t="s">
        <v>2126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2128</v>
      </c>
      <c r="B25" s="113" t="s">
        <v>50</v>
      </c>
      <c r="C25" s="51">
        <v>45747</v>
      </c>
      <c r="D25" s="51" t="s">
        <v>2124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2129</v>
      </c>
    </row>
    <row r="26" spans="1:30" ht="24.75" customHeight="1">
      <c r="A26" s="101" t="s">
        <v>2130</v>
      </c>
      <c r="B26" s="102" t="s">
        <v>50</v>
      </c>
      <c r="C26" s="77">
        <v>45716</v>
      </c>
      <c r="D26" s="26" t="s">
        <v>2126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2131</v>
      </c>
      <c r="B27" s="102" t="s">
        <v>50</v>
      </c>
      <c r="C27" s="77">
        <v>45716</v>
      </c>
      <c r="D27" s="50" t="s">
        <v>2126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2132</v>
      </c>
      <c r="B28" s="1097" t="s">
        <v>50</v>
      </c>
      <c r="C28" s="1090">
        <v>45991</v>
      </c>
      <c r="D28" s="375" t="s">
        <v>182</v>
      </c>
      <c r="E28" s="77">
        <v>45734</v>
      </c>
      <c r="F28" s="1088" t="s">
        <v>492</v>
      </c>
      <c r="G28" s="1099" t="s">
        <v>2133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2134</v>
      </c>
      <c r="B29" s="1097" t="s">
        <v>50</v>
      </c>
      <c r="C29" s="1090">
        <v>46021</v>
      </c>
      <c r="D29" s="375" t="s">
        <v>182</v>
      </c>
      <c r="E29" s="77">
        <v>45743</v>
      </c>
      <c r="F29" s="1088" t="s">
        <v>492</v>
      </c>
      <c r="G29" s="1098" t="s">
        <v>2135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2136</v>
      </c>
      <c r="AC29" s="1094"/>
      <c r="AD29" s="1096"/>
    </row>
    <row r="30" spans="1:30" ht="24.75" customHeight="1">
      <c r="A30" s="374" t="s">
        <v>2137</v>
      </c>
      <c r="B30" s="665" t="s">
        <v>50</v>
      </c>
      <c r="C30" s="375">
        <v>45991</v>
      </c>
      <c r="D30" s="50" t="s">
        <v>182</v>
      </c>
      <c r="E30" s="51">
        <v>45743</v>
      </c>
      <c r="F30" s="50" t="s">
        <v>492</v>
      </c>
      <c r="G30" s="379" t="s">
        <v>2138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2139</v>
      </c>
      <c r="AC30" s="333"/>
      <c r="AD30" s="115"/>
    </row>
    <row r="31" spans="1:30" ht="24.75" customHeight="1">
      <c r="A31" s="374" t="s">
        <v>1108</v>
      </c>
      <c r="B31" s="665" t="s">
        <v>50</v>
      </c>
      <c r="C31" s="375">
        <v>46021</v>
      </c>
      <c r="D31" s="375" t="s">
        <v>182</v>
      </c>
      <c r="E31" s="51">
        <v>45735</v>
      </c>
      <c r="F31" s="50" t="s">
        <v>492</v>
      </c>
      <c r="G31" s="666" t="s">
        <v>2140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2141</v>
      </c>
      <c r="W31" s="34">
        <v>0</v>
      </c>
      <c r="X31" s="34">
        <v>0</v>
      </c>
      <c r="Y31" s="31">
        <v>0</v>
      </c>
      <c r="Z31" s="34">
        <v>0</v>
      </c>
      <c r="AA31" s="31">
        <v>0</v>
      </c>
      <c r="AB31" s="353" t="s">
        <v>2136</v>
      </c>
    </row>
    <row r="32" spans="1:30" ht="24.75" customHeight="1">
      <c r="A32" s="895" t="s">
        <v>2142</v>
      </c>
      <c r="B32" s="1089" t="s">
        <v>50</v>
      </c>
      <c r="C32" s="972">
        <v>45717</v>
      </c>
      <c r="D32" s="972" t="s">
        <v>2124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2143</v>
      </c>
      <c r="B33" s="976" t="s">
        <v>50</v>
      </c>
      <c r="C33" s="897">
        <v>45989</v>
      </c>
      <c r="D33" s="897" t="s">
        <v>2144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2145</v>
      </c>
    </row>
    <row r="34" spans="1:30" ht="24.75" customHeight="1">
      <c r="A34" s="895" t="s">
        <v>2146</v>
      </c>
      <c r="B34" s="1089" t="s">
        <v>50</v>
      </c>
      <c r="C34" s="972">
        <v>45717</v>
      </c>
      <c r="D34" s="972" t="s">
        <v>2124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2147</v>
      </c>
      <c r="B35" s="1089" t="s">
        <v>50</v>
      </c>
      <c r="C35" s="972">
        <v>45717</v>
      </c>
      <c r="D35" s="972" t="s">
        <v>2124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2148</v>
      </c>
      <c r="B36" s="1089" t="s">
        <v>50</v>
      </c>
      <c r="C36" s="972">
        <v>45717</v>
      </c>
      <c r="D36" s="972" t="s">
        <v>2124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2149</v>
      </c>
      <c r="Q1" s="159" t="s">
        <v>2150</v>
      </c>
      <c r="R1" s="127" t="s">
        <v>2151</v>
      </c>
      <c r="S1" s="127" t="s">
        <v>2152</v>
      </c>
      <c r="T1" s="159" t="s">
        <v>2153</v>
      </c>
      <c r="U1" s="127" t="s">
        <v>1237</v>
      </c>
      <c r="V1" s="160" t="s">
        <v>2154</v>
      </c>
      <c r="W1" s="160" t="s">
        <v>2155</v>
      </c>
      <c r="X1" s="163" t="s">
        <v>2156</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2157</v>
      </c>
      <c r="B4" s="407" t="s">
        <v>181</v>
      </c>
      <c r="C4" s="408">
        <v>45742</v>
      </c>
      <c r="D4" s="692" t="s">
        <v>2158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330</v>
      </c>
      <c r="O6" s="356">
        <v>45718</v>
      </c>
      <c r="P6" s="30" t="s">
        <v>330</v>
      </c>
      <c r="Q6" s="334" t="s">
        <v>330</v>
      </c>
      <c r="R6" s="43" t="s">
        <v>2159</v>
      </c>
      <c r="S6" s="43" t="s">
        <v>330</v>
      </c>
      <c r="T6" s="43" t="s">
        <v>330</v>
      </c>
      <c r="U6" s="157" t="s">
        <v>330</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330</v>
      </c>
      <c r="O7" s="79" t="s">
        <v>330</v>
      </c>
      <c r="P7" s="30" t="s">
        <v>330</v>
      </c>
      <c r="Q7" s="334" t="s">
        <v>330</v>
      </c>
      <c r="R7" s="43" t="s">
        <v>2159</v>
      </c>
      <c r="S7" s="43" t="s">
        <v>330</v>
      </c>
      <c r="T7" s="43" t="s">
        <v>330</v>
      </c>
      <c r="U7" s="43" t="s">
        <v>330</v>
      </c>
      <c r="V7" s="69" t="s">
        <v>78</v>
      </c>
      <c r="W7" s="30"/>
      <c r="X7" s="69" t="s">
        <v>78</v>
      </c>
      <c r="Y7" t="e">
        <f>VLOOKUP(A7,#REF!,2,FALSE)</f>
        <v>#REF!</v>
      </c>
    </row>
    <row r="8" spans="1:25">
      <c r="A8" s="175" t="s">
        <v>531</v>
      </c>
      <c r="B8" s="180" t="s">
        <v>181</v>
      </c>
      <c r="C8" s="176">
        <v>45742</v>
      </c>
      <c r="D8" s="185" t="s">
        <v>2160</v>
      </c>
      <c r="E8" s="120"/>
      <c r="F8" s="108"/>
      <c r="G8" s="108"/>
      <c r="H8" s="179">
        <v>84</v>
      </c>
      <c r="I8" s="181"/>
      <c r="J8" s="185" t="s">
        <v>57</v>
      </c>
      <c r="K8" s="185" t="s">
        <v>57</v>
      </c>
      <c r="L8" s="185" t="s">
        <v>63</v>
      </c>
      <c r="M8" s="193">
        <v>45716</v>
      </c>
      <c r="N8" s="30" t="s">
        <v>330</v>
      </c>
      <c r="O8" s="30" t="s">
        <v>330</v>
      </c>
      <c r="P8" s="707" t="s">
        <v>330</v>
      </c>
      <c r="Q8" s="69" t="s">
        <v>330</v>
      </c>
      <c r="R8" s="43" t="s">
        <v>2159</v>
      </c>
      <c r="S8" s="43" t="s">
        <v>330</v>
      </c>
      <c r="T8" s="43" t="s">
        <v>330</v>
      </c>
      <c r="U8" s="43" t="s">
        <v>330</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330</v>
      </c>
      <c r="O9" s="54">
        <v>45718</v>
      </c>
      <c r="P9" s="119" t="s">
        <v>330</v>
      </c>
      <c r="Q9" s="69" t="s">
        <v>330</v>
      </c>
      <c r="R9" s="43" t="s">
        <v>2159</v>
      </c>
      <c r="S9" s="43" t="s">
        <v>330</v>
      </c>
      <c r="T9" s="43" t="s">
        <v>330</v>
      </c>
      <c r="U9" s="43" t="s">
        <v>330</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330</v>
      </c>
      <c r="O10" s="30" t="s">
        <v>330</v>
      </c>
      <c r="P10" s="30" t="s">
        <v>330</v>
      </c>
      <c r="Q10" s="43" t="s">
        <v>330</v>
      </c>
      <c r="R10" s="43" t="s">
        <v>2159</v>
      </c>
      <c r="S10" s="43" t="s">
        <v>330</v>
      </c>
      <c r="T10" s="43" t="s">
        <v>330</v>
      </c>
      <c r="U10" s="161" t="s">
        <v>330</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330</v>
      </c>
      <c r="Q11" s="69" t="s">
        <v>330</v>
      </c>
      <c r="R11" s="43" t="s">
        <v>2159</v>
      </c>
      <c r="S11" s="43" t="s">
        <v>330</v>
      </c>
      <c r="T11" s="43" t="s">
        <v>330</v>
      </c>
      <c r="U11" s="334" t="s">
        <v>78</v>
      </c>
      <c r="V11" s="69" t="s">
        <v>78</v>
      </c>
      <c r="W11" s="30"/>
      <c r="X11" s="43"/>
    </row>
    <row r="12" spans="1:25">
      <c r="A12" s="175" t="s">
        <v>347</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330</v>
      </c>
      <c r="Q12" s="69" t="s">
        <v>330</v>
      </c>
      <c r="R12" s="43" t="s">
        <v>2159</v>
      </c>
      <c r="S12" s="43" t="s">
        <v>330</v>
      </c>
      <c r="T12" s="43" t="s">
        <v>330</v>
      </c>
      <c r="U12" s="69" t="s">
        <v>78</v>
      </c>
      <c r="V12" s="69" t="s">
        <v>78</v>
      </c>
      <c r="W12" s="30"/>
      <c r="X12" s="69" t="s">
        <v>78</v>
      </c>
      <c r="Y12" t="e">
        <f>VLOOKUP(A12,#REF!,2,FALSE)</f>
        <v>#REF!</v>
      </c>
    </row>
    <row r="13" spans="1:25">
      <c r="A13" s="178" t="s">
        <v>236</v>
      </c>
      <c r="B13" s="180" t="s">
        <v>181</v>
      </c>
      <c r="C13" s="409">
        <v>45960</v>
      </c>
      <c r="D13" s="418" t="s">
        <v>2161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2162</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2163</v>
      </c>
      <c r="N16" s="30" t="s">
        <v>330</v>
      </c>
      <c r="O16" s="54" t="s">
        <v>2163</v>
      </c>
      <c r="P16" s="30" t="s">
        <v>330</v>
      </c>
      <c r="Q16" s="69" t="s">
        <v>330</v>
      </c>
      <c r="R16" s="43" t="s">
        <v>330</v>
      </c>
      <c r="S16" s="43" t="s">
        <v>56</v>
      </c>
      <c r="T16" s="43" t="s">
        <v>330</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2162</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2162</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2162</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2162</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2162</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676</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2162</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2162</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330</v>
      </c>
      <c r="O31" s="54">
        <v>45707</v>
      </c>
      <c r="P31" s="87" t="s">
        <v>330</v>
      </c>
      <c r="Q31" s="43" t="s">
        <v>330</v>
      </c>
      <c r="R31" s="43" t="s">
        <v>2159</v>
      </c>
      <c r="S31" s="43" t="s">
        <v>330</v>
      </c>
      <c r="T31" s="139" t="s">
        <v>330</v>
      </c>
      <c r="U31" s="115" t="s">
        <v>330</v>
      </c>
      <c r="V31" s="69" t="s">
        <v>330</v>
      </c>
      <c r="W31" s="54">
        <v>45779</v>
      </c>
      <c r="X31" s="69" t="s">
        <v>2162</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330</v>
      </c>
      <c r="O32" s="54">
        <v>45756</v>
      </c>
      <c r="P32" s="30" t="s">
        <v>330</v>
      </c>
      <c r="Q32" s="69" t="s">
        <v>330</v>
      </c>
      <c r="R32" s="69" t="s">
        <v>2159</v>
      </c>
      <c r="S32" s="43" t="s">
        <v>330</v>
      </c>
      <c r="T32" s="139" t="s">
        <v>330</v>
      </c>
      <c r="U32" s="43" t="s">
        <v>330</v>
      </c>
      <c r="V32" s="69" t="s">
        <v>330</v>
      </c>
      <c r="W32" s="54">
        <v>45792</v>
      </c>
      <c r="X32" s="69" t="s">
        <v>2162</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330</v>
      </c>
      <c r="O33" s="124">
        <v>45749</v>
      </c>
      <c r="P33" s="30" t="s">
        <v>330</v>
      </c>
      <c r="Q33" s="69" t="s">
        <v>330</v>
      </c>
      <c r="R33" s="69" t="s">
        <v>2159</v>
      </c>
      <c r="S33" s="43" t="s">
        <v>330</v>
      </c>
      <c r="T33" s="139" t="s">
        <v>330</v>
      </c>
      <c r="U33" s="43" t="s">
        <v>330</v>
      </c>
      <c r="V33" s="334" t="s">
        <v>330</v>
      </c>
      <c r="W33" s="54">
        <v>45812</v>
      </c>
      <c r="X33" s="69" t="s">
        <v>2162</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330</v>
      </c>
      <c r="O34" s="124">
        <v>45750</v>
      </c>
      <c r="P34" s="30" t="s">
        <v>330</v>
      </c>
      <c r="Q34" s="69" t="s">
        <v>330</v>
      </c>
      <c r="R34" s="69" t="s">
        <v>2159</v>
      </c>
      <c r="S34" s="43" t="s">
        <v>330</v>
      </c>
      <c r="T34" s="139" t="s">
        <v>330</v>
      </c>
      <c r="U34" s="43" t="s">
        <v>330</v>
      </c>
      <c r="V34" s="404" t="s">
        <v>330</v>
      </c>
      <c r="W34" s="166">
        <v>45797</v>
      </c>
      <c r="X34" s="69" t="s">
        <v>2162</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330</v>
      </c>
      <c r="O35" s="124">
        <v>45659</v>
      </c>
      <c r="P35" s="87" t="s">
        <v>330</v>
      </c>
      <c r="Q35" s="43" t="s">
        <v>330</v>
      </c>
      <c r="R35" s="43" t="s">
        <v>2159</v>
      </c>
      <c r="S35" s="43" t="s">
        <v>330</v>
      </c>
      <c r="T35" s="139" t="s">
        <v>330</v>
      </c>
      <c r="U35" s="169" t="s">
        <v>330</v>
      </c>
      <c r="V35" s="69" t="s">
        <v>330</v>
      </c>
      <c r="W35" s="54">
        <v>45789</v>
      </c>
      <c r="X35" s="334" t="s">
        <v>2162</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330</v>
      </c>
      <c r="O36" s="124">
        <v>45659</v>
      </c>
      <c r="P36" s="87" t="s">
        <v>330</v>
      </c>
      <c r="Q36" s="43" t="s">
        <v>330</v>
      </c>
      <c r="R36" s="43" t="s">
        <v>2159</v>
      </c>
      <c r="S36" s="43" t="s">
        <v>330</v>
      </c>
      <c r="T36" s="139" t="s">
        <v>330</v>
      </c>
      <c r="U36" s="43" t="s">
        <v>330</v>
      </c>
      <c r="V36" s="69" t="s">
        <v>330</v>
      </c>
      <c r="W36" s="54">
        <v>45824</v>
      </c>
      <c r="X36" s="334" t="s">
        <v>2162</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330</v>
      </c>
      <c r="N37" s="30" t="s">
        <v>330</v>
      </c>
      <c r="O37" s="124">
        <v>45672</v>
      </c>
      <c r="P37" s="30" t="s">
        <v>330</v>
      </c>
      <c r="Q37" s="43" t="s">
        <v>330</v>
      </c>
      <c r="R37" s="43" t="s">
        <v>2159</v>
      </c>
      <c r="S37" s="43" t="s">
        <v>330</v>
      </c>
      <c r="T37" s="43" t="s">
        <v>330</v>
      </c>
      <c r="U37" s="169" t="s">
        <v>330</v>
      </c>
      <c r="V37" s="69" t="s">
        <v>330</v>
      </c>
      <c r="W37" s="156">
        <v>45789</v>
      </c>
      <c r="X37" s="69" t="s">
        <v>2162</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330</v>
      </c>
      <c r="O38" s="124">
        <v>45673</v>
      </c>
      <c r="P38" s="30" t="s">
        <v>330</v>
      </c>
      <c r="Q38" s="43" t="s">
        <v>330</v>
      </c>
      <c r="R38" s="43" t="s">
        <v>2159</v>
      </c>
      <c r="S38" s="43" t="s">
        <v>330</v>
      </c>
      <c r="T38" s="43" t="s">
        <v>330</v>
      </c>
      <c r="U38" s="169" t="s">
        <v>330</v>
      </c>
      <c r="V38" s="69" t="s">
        <v>330</v>
      </c>
      <c r="W38" s="54">
        <v>45789</v>
      </c>
      <c r="X38" s="69" t="s">
        <v>2162</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330</v>
      </c>
      <c r="N39" s="30" t="s">
        <v>330</v>
      </c>
      <c r="O39" s="124">
        <v>45672</v>
      </c>
      <c r="P39" s="30" t="s">
        <v>330</v>
      </c>
      <c r="Q39" s="43" t="s">
        <v>330</v>
      </c>
      <c r="R39" s="43" t="s">
        <v>2159</v>
      </c>
      <c r="S39" s="43" t="s">
        <v>330</v>
      </c>
      <c r="T39" s="43" t="s">
        <v>330</v>
      </c>
      <c r="U39" s="169" t="s">
        <v>330</v>
      </c>
      <c r="V39" s="69" t="s">
        <v>330</v>
      </c>
      <c r="W39" s="54">
        <v>45789</v>
      </c>
      <c r="X39" s="69" t="s">
        <v>2162</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2162</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2162</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2162</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2162</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2162</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2162</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2162</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2162</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2162</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2162</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2162</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2162</v>
      </c>
    </row>
    <row r="54" spans="1:56">
      <c r="A54" s="178" t="s">
        <v>731</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330</v>
      </c>
      <c r="O57" s="124">
        <v>45783</v>
      </c>
      <c r="P57" s="328" t="s">
        <v>330</v>
      </c>
      <c r="Q57" s="43" t="s">
        <v>330</v>
      </c>
      <c r="R57" s="43" t="s">
        <v>2159</v>
      </c>
      <c r="S57" s="43" t="s">
        <v>330</v>
      </c>
      <c r="T57" s="43" t="s">
        <v>330</v>
      </c>
      <c r="U57" s="43" t="s">
        <v>330</v>
      </c>
      <c r="V57" s="69" t="s">
        <v>330</v>
      </c>
      <c r="W57" s="54">
        <v>45813</v>
      </c>
      <c r="X57" s="69" t="s">
        <v>2162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330</v>
      </c>
      <c r="O58" s="54">
        <v>45776</v>
      </c>
      <c r="P58" s="328" t="s">
        <v>330</v>
      </c>
      <c r="Q58" s="43" t="s">
        <v>330</v>
      </c>
      <c r="R58" s="43" t="s">
        <v>2159</v>
      </c>
      <c r="S58" s="43" t="s">
        <v>330</v>
      </c>
      <c r="T58" s="43" t="s">
        <v>330</v>
      </c>
      <c r="U58" s="43" t="s">
        <v>330</v>
      </c>
      <c r="V58" s="334" t="s">
        <v>330</v>
      </c>
      <c r="W58" s="54">
        <v>45796</v>
      </c>
      <c r="X58" s="69" t="s">
        <v>2162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330</v>
      </c>
      <c r="O59" s="30" t="s">
        <v>2141</v>
      </c>
      <c r="P59" s="328" t="s">
        <v>330</v>
      </c>
      <c r="Q59" s="43" t="s">
        <v>330</v>
      </c>
      <c r="R59" s="43" t="s">
        <v>2159</v>
      </c>
      <c r="S59" s="43" t="s">
        <v>330</v>
      </c>
      <c r="T59" s="43" t="s">
        <v>330</v>
      </c>
      <c r="U59" s="43" t="s">
        <v>330</v>
      </c>
      <c r="V59" s="334" t="s">
        <v>330</v>
      </c>
      <c r="W59" s="54">
        <v>45796</v>
      </c>
      <c r="X59" s="69" t="s">
        <v>2162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330</v>
      </c>
      <c r="O60" s="54">
        <v>45812</v>
      </c>
      <c r="P60" s="328" t="s">
        <v>330</v>
      </c>
      <c r="Q60" s="43" t="s">
        <v>330</v>
      </c>
      <c r="R60" s="43" t="s">
        <v>2159</v>
      </c>
      <c r="S60" s="43" t="s">
        <v>330</v>
      </c>
      <c r="T60" s="43" t="s">
        <v>330</v>
      </c>
      <c r="U60" s="43" t="s">
        <v>330</v>
      </c>
      <c r="V60" s="334" t="s">
        <v>330</v>
      </c>
      <c r="W60" s="54">
        <v>45824</v>
      </c>
      <c r="X60" s="69" t="s">
        <v>2162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2164</v>
      </c>
      <c r="B81" s="527" t="s">
        <v>96</v>
      </c>
      <c r="C81" s="176">
        <v>45688</v>
      </c>
      <c r="D81" s="615" t="s">
        <v>791</v>
      </c>
      <c r="E81" s="172"/>
      <c r="F81" s="129"/>
      <c r="G81" s="129"/>
      <c r="H81" s="179">
        <v>48</v>
      </c>
      <c r="I81" s="181"/>
      <c r="J81" s="179" t="s">
        <v>57</v>
      </c>
      <c r="K81" s="179" t="s">
        <v>57</v>
      </c>
      <c r="L81" s="179" t="s">
        <v>56</v>
      </c>
      <c r="M81" s="100" t="s">
        <v>330</v>
      </c>
      <c r="N81" s="87" t="s">
        <v>330</v>
      </c>
      <c r="O81" s="124">
        <v>45678</v>
      </c>
      <c r="P81" s="87" t="s">
        <v>330</v>
      </c>
      <c r="Q81" s="43" t="s">
        <v>330</v>
      </c>
      <c r="R81" s="43" t="s">
        <v>2159</v>
      </c>
      <c r="S81" s="43" t="s">
        <v>330</v>
      </c>
      <c r="T81" s="43" t="s">
        <v>330</v>
      </c>
      <c r="U81" s="115" t="s">
        <v>330</v>
      </c>
      <c r="V81" s="69" t="s">
        <v>330</v>
      </c>
      <c r="W81" s="54">
        <v>45789</v>
      </c>
      <c r="X81" s="69" t="s">
        <v>2162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2159</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330</v>
      </c>
      <c r="O84" s="54">
        <v>45728</v>
      </c>
      <c r="P84" s="30" t="s">
        <v>330</v>
      </c>
      <c r="Q84" s="169" t="s">
        <v>330</v>
      </c>
      <c r="R84" s="169" t="s">
        <v>2159</v>
      </c>
      <c r="S84" s="169" t="s">
        <v>330</v>
      </c>
      <c r="T84" s="169" t="s">
        <v>330</v>
      </c>
      <c r="U84" s="91" t="s">
        <v>330</v>
      </c>
      <c r="V84" s="69" t="s">
        <v>330</v>
      </c>
      <c r="W84" s="195">
        <v>45875</v>
      </c>
      <c r="X84" s="69" t="s">
        <v>2162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330</v>
      </c>
      <c r="O85" s="54">
        <v>45719</v>
      </c>
      <c r="P85" s="30" t="s">
        <v>330</v>
      </c>
      <c r="Q85" s="43" t="s">
        <v>330</v>
      </c>
      <c r="R85" s="169" t="s">
        <v>2159</v>
      </c>
      <c r="S85" s="169" t="s">
        <v>330</v>
      </c>
      <c r="T85" s="169" t="s">
        <v>330</v>
      </c>
      <c r="U85" s="91" t="s">
        <v>330</v>
      </c>
      <c r="V85" s="91" t="s">
        <v>330</v>
      </c>
      <c r="W85" s="195">
        <v>45874</v>
      </c>
      <c r="X85" s="69" t="s">
        <v>2162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330</v>
      </c>
      <c r="O86" s="195">
        <v>45728</v>
      </c>
      <c r="P86" s="30" t="s">
        <v>330</v>
      </c>
      <c r="Q86" s="43" t="s">
        <v>330</v>
      </c>
      <c r="R86" s="43" t="s">
        <v>2159</v>
      </c>
      <c r="S86" s="43" t="s">
        <v>330</v>
      </c>
      <c r="T86" s="43" t="s">
        <v>330</v>
      </c>
      <c r="U86" s="69" t="s">
        <v>330</v>
      </c>
      <c r="V86" s="69" t="s">
        <v>330</v>
      </c>
      <c r="W86" s="54">
        <v>45824</v>
      </c>
      <c r="X86" s="69" t="s">
        <v>2162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330</v>
      </c>
      <c r="O87" s="30" t="s">
        <v>330</v>
      </c>
      <c r="P87" s="30" t="s">
        <v>330</v>
      </c>
      <c r="Q87" s="43" t="s">
        <v>330</v>
      </c>
      <c r="R87" s="43" t="s">
        <v>2159</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330</v>
      </c>
      <c r="O88" s="54">
        <v>45728</v>
      </c>
      <c r="P88" s="30" t="s">
        <v>330</v>
      </c>
      <c r="Q88" s="43" t="s">
        <v>330</v>
      </c>
      <c r="R88" s="43" t="s">
        <v>2159</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330</v>
      </c>
      <c r="O89" s="54">
        <v>45722</v>
      </c>
      <c r="P89" s="30" t="s">
        <v>330</v>
      </c>
      <c r="Q89" s="69" t="s">
        <v>330</v>
      </c>
      <c r="R89" s="43" t="s">
        <v>2159</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330</v>
      </c>
      <c r="O90" s="54">
        <v>45727</v>
      </c>
      <c r="P90" s="30" t="s">
        <v>330</v>
      </c>
      <c r="Q90" s="69" t="s">
        <v>330</v>
      </c>
      <c r="R90" s="43" t="s">
        <v>2159</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330</v>
      </c>
      <c r="O91" s="54">
        <v>45723</v>
      </c>
      <c r="P91" s="30" t="s">
        <v>330</v>
      </c>
      <c r="Q91" s="69" t="s">
        <v>330</v>
      </c>
      <c r="R91" s="43" t="s">
        <v>2159</v>
      </c>
      <c r="S91" s="69" t="s">
        <v>330</v>
      </c>
      <c r="T91" s="69" t="s">
        <v>330</v>
      </c>
      <c r="U91" s="69" t="s">
        <v>330</v>
      </c>
      <c r="V91" s="69" t="s">
        <v>330</v>
      </c>
      <c r="W91" s="54">
        <v>45831</v>
      </c>
      <c r="X91" s="69" t="s">
        <v>2162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330</v>
      </c>
      <c r="O92" s="54">
        <v>45726</v>
      </c>
      <c r="P92" s="30" t="s">
        <v>330</v>
      </c>
      <c r="Q92" s="148" t="s">
        <v>330</v>
      </c>
      <c r="R92" s="43" t="s">
        <v>2159</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330</v>
      </c>
      <c r="O93" s="54">
        <v>45727</v>
      </c>
      <c r="P93" s="79" t="s">
        <v>330</v>
      </c>
      <c r="Q93" s="43" t="s">
        <v>330</v>
      </c>
      <c r="R93" s="43" t="s">
        <v>2159</v>
      </c>
      <c r="S93" s="43" t="s">
        <v>330</v>
      </c>
      <c r="T93" s="43" t="s">
        <v>330</v>
      </c>
      <c r="U93" s="334" t="s">
        <v>330</v>
      </c>
      <c r="V93" s="69" t="s">
        <v>330</v>
      </c>
      <c r="W93" s="54">
        <v>45789</v>
      </c>
      <c r="X93" s="69" t="s">
        <v>2162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330</v>
      </c>
      <c r="O94" s="54">
        <v>45693</v>
      </c>
      <c r="P94" s="79" t="s">
        <v>330</v>
      </c>
      <c r="Q94" s="69" t="s">
        <v>330</v>
      </c>
      <c r="R94" s="69" t="s">
        <v>2159</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330</v>
      </c>
      <c r="O95" s="195">
        <v>45694</v>
      </c>
      <c r="P95" s="79" t="s">
        <v>330</v>
      </c>
      <c r="Q95" s="69" t="s">
        <v>330</v>
      </c>
      <c r="R95" s="69" t="s">
        <v>2159</v>
      </c>
      <c r="S95" s="69" t="s">
        <v>330</v>
      </c>
      <c r="T95" s="43" t="s">
        <v>330</v>
      </c>
      <c r="U95" s="69" t="s">
        <v>330</v>
      </c>
      <c r="V95" s="69" t="s">
        <v>330</v>
      </c>
      <c r="W95" s="54">
        <v>45814</v>
      </c>
      <c r="X95" s="69" t="s">
        <v>2162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330</v>
      </c>
      <c r="O96" s="54">
        <v>45694</v>
      </c>
      <c r="P96" s="30" t="s">
        <v>330</v>
      </c>
      <c r="Q96" s="69" t="s">
        <v>330</v>
      </c>
      <c r="R96" s="91" t="s">
        <v>2159</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330</v>
      </c>
      <c r="O97" s="54">
        <v>45688</v>
      </c>
      <c r="P97" s="30" t="s">
        <v>330</v>
      </c>
      <c r="Q97" s="69" t="s">
        <v>330</v>
      </c>
      <c r="R97" s="69" t="s">
        <v>2159</v>
      </c>
      <c r="S97" s="69" t="s">
        <v>330</v>
      </c>
      <c r="T97" s="69" t="s">
        <v>330</v>
      </c>
      <c r="U97" s="69" t="s">
        <v>330</v>
      </c>
      <c r="V97" s="43" t="s">
        <v>330</v>
      </c>
      <c r="W97" s="54">
        <v>45824</v>
      </c>
      <c r="X97" s="69" t="s">
        <v>2162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330</v>
      </c>
      <c r="O98" s="54">
        <v>45692</v>
      </c>
      <c r="P98" s="30" t="s">
        <v>330</v>
      </c>
      <c r="Q98" s="43" t="s">
        <v>330</v>
      </c>
      <c r="R98" s="43" t="s">
        <v>2159</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330</v>
      </c>
      <c r="O99" s="54">
        <v>45692</v>
      </c>
      <c r="P99" s="30" t="s">
        <v>330</v>
      </c>
      <c r="Q99" s="43" t="s">
        <v>330</v>
      </c>
      <c r="R99" s="43" t="s">
        <v>2159</v>
      </c>
      <c r="S99" s="43" t="s">
        <v>330</v>
      </c>
      <c r="T99" s="115" t="s">
        <v>330</v>
      </c>
      <c r="U99" s="148" t="s">
        <v>330</v>
      </c>
      <c r="V99" s="69" t="s">
        <v>330</v>
      </c>
      <c r="W99" s="54">
        <v>45814</v>
      </c>
      <c r="X99" s="69" t="s">
        <v>2162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2159</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330</v>
      </c>
      <c r="O101" s="54">
        <v>45695</v>
      </c>
      <c r="P101" s="30" t="s">
        <v>330</v>
      </c>
      <c r="Q101" s="43" t="s">
        <v>330</v>
      </c>
      <c r="R101" s="43" t="s">
        <v>2159</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330</v>
      </c>
      <c r="N102" s="30" t="s">
        <v>330</v>
      </c>
      <c r="O102" s="54">
        <v>45699</v>
      </c>
      <c r="P102" s="87" t="s">
        <v>330</v>
      </c>
      <c r="Q102" s="88" t="s">
        <v>330</v>
      </c>
      <c r="R102" s="43" t="s">
        <v>2159</v>
      </c>
      <c r="S102" s="43" t="s">
        <v>330</v>
      </c>
      <c r="T102" s="43" t="s">
        <v>330</v>
      </c>
      <c r="U102" s="43" t="s">
        <v>330</v>
      </c>
      <c r="V102" s="165" t="s">
        <v>330</v>
      </c>
      <c r="W102" s="54">
        <v>45835</v>
      </c>
      <c r="X102" s="69" t="s">
        <v>2162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330</v>
      </c>
      <c r="O103" s="54">
        <v>45675</v>
      </c>
      <c r="P103" s="87" t="s">
        <v>330</v>
      </c>
      <c r="Q103" s="43" t="s">
        <v>330</v>
      </c>
      <c r="R103" s="43" t="s">
        <v>2159</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2159</v>
      </c>
      <c r="S104" s="43" t="s">
        <v>330</v>
      </c>
      <c r="T104" s="43" t="s">
        <v>330</v>
      </c>
      <c r="U104" s="43" t="s">
        <v>330</v>
      </c>
      <c r="V104" s="139" t="s">
        <v>330</v>
      </c>
      <c r="W104" s="54">
        <v>45820</v>
      </c>
      <c r="X104" s="69" t="s">
        <v>2162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330</v>
      </c>
      <c r="O105" s="54">
        <v>45743</v>
      </c>
      <c r="P105" s="87" t="s">
        <v>330</v>
      </c>
      <c r="Q105" s="157" t="s">
        <v>330</v>
      </c>
      <c r="R105" s="69" t="s">
        <v>2159</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330</v>
      </c>
      <c r="O106" s="54">
        <v>45679</v>
      </c>
      <c r="P106" s="87" t="s">
        <v>330</v>
      </c>
      <c r="Q106" s="43" t="s">
        <v>330</v>
      </c>
      <c r="R106" s="43" t="s">
        <v>2159</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330</v>
      </c>
      <c r="O107" s="54">
        <v>45749</v>
      </c>
      <c r="P107" s="30" t="s">
        <v>330</v>
      </c>
      <c r="Q107" s="43" t="s">
        <v>330</v>
      </c>
      <c r="R107" s="43" t="s">
        <v>2159</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330</v>
      </c>
      <c r="O108" s="54">
        <v>45749</v>
      </c>
      <c r="P108" s="30" t="s">
        <v>330</v>
      </c>
      <c r="Q108" s="43" t="s">
        <v>330</v>
      </c>
      <c r="R108" s="334" t="s">
        <v>2159</v>
      </c>
      <c r="S108" s="43" t="s">
        <v>330</v>
      </c>
      <c r="T108" s="43" t="s">
        <v>330</v>
      </c>
      <c r="U108" s="88" t="s">
        <v>330</v>
      </c>
      <c r="V108" s="481" t="s">
        <v>330</v>
      </c>
      <c r="W108" s="356">
        <v>45798</v>
      </c>
      <c r="X108" s="69" t="s">
        <v>2162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330</v>
      </c>
      <c r="O109" s="54">
        <v>45744</v>
      </c>
      <c r="P109" s="79" t="s">
        <v>330</v>
      </c>
      <c r="Q109" s="43" t="s">
        <v>330</v>
      </c>
      <c r="R109" s="334" t="s">
        <v>2159</v>
      </c>
      <c r="S109" s="43" t="s">
        <v>330</v>
      </c>
      <c r="T109" s="43" t="s">
        <v>330</v>
      </c>
      <c r="U109" s="43" t="s">
        <v>2165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330</v>
      </c>
      <c r="O110" s="54">
        <v>45691</v>
      </c>
      <c r="P110" s="79" t="s">
        <v>330</v>
      </c>
      <c r="Q110" s="43" t="s">
        <v>330</v>
      </c>
      <c r="R110" s="334" t="s">
        <v>2159</v>
      </c>
      <c r="S110" s="43" t="s">
        <v>330</v>
      </c>
      <c r="T110" s="43" t="s">
        <v>330</v>
      </c>
      <c r="U110" s="88" t="s">
        <v>330</v>
      </c>
      <c r="V110" s="481" t="s">
        <v>330</v>
      </c>
      <c r="W110" s="356">
        <v>45902</v>
      </c>
      <c r="X110" s="69" t="s">
        <v>2162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330</v>
      </c>
      <c r="O111" s="54">
        <v>45708</v>
      </c>
      <c r="P111" s="30" t="s">
        <v>330</v>
      </c>
      <c r="Q111" s="169" t="s">
        <v>330</v>
      </c>
      <c r="R111" s="69" t="s">
        <v>2159</v>
      </c>
      <c r="S111" s="43" t="s">
        <v>330</v>
      </c>
      <c r="T111" s="43" t="s">
        <v>330</v>
      </c>
      <c r="U111" s="43" t="s">
        <v>330</v>
      </c>
      <c r="V111" s="201" t="s">
        <v>330</v>
      </c>
      <c r="W111" s="166">
        <v>45790</v>
      </c>
      <c r="X111" s="69" t="s">
        <v>2162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330</v>
      </c>
      <c r="O112" s="166">
        <v>45744</v>
      </c>
      <c r="P112" s="114" t="s">
        <v>330</v>
      </c>
      <c r="Q112" s="115" t="s">
        <v>330</v>
      </c>
      <c r="R112" s="148" t="s">
        <v>2159</v>
      </c>
      <c r="S112" s="43" t="s">
        <v>330</v>
      </c>
      <c r="T112" s="43" t="s">
        <v>330</v>
      </c>
      <c r="U112" s="43" t="s">
        <v>330</v>
      </c>
      <c r="V112" s="201" t="s">
        <v>330</v>
      </c>
      <c r="W112" s="479">
        <v>45791</v>
      </c>
      <c r="X112" s="69" t="s">
        <v>2162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330</v>
      </c>
      <c r="O113" s="166">
        <v>45755</v>
      </c>
      <c r="P113" s="114" t="s">
        <v>330</v>
      </c>
      <c r="Q113" s="115" t="s">
        <v>330</v>
      </c>
      <c r="R113" s="148" t="s">
        <v>2159</v>
      </c>
      <c r="S113" s="115" t="s">
        <v>330</v>
      </c>
      <c r="T113" s="43" t="s">
        <v>330</v>
      </c>
      <c r="U113" s="43" t="s">
        <v>330</v>
      </c>
      <c r="V113" s="201" t="s">
        <v>330</v>
      </c>
      <c r="W113" s="479">
        <v>45791</v>
      </c>
      <c r="X113" s="148" t="s">
        <v>2162</v>
      </c>
    </row>
    <row r="114" spans="1:25">
      <c r="A114" s="178" t="s">
        <v>872</v>
      </c>
      <c r="B114" s="182" t="s">
        <v>50</v>
      </c>
      <c r="C114" s="314">
        <v>45772</v>
      </c>
      <c r="D114" s="410" t="s">
        <v>873</v>
      </c>
      <c r="H114" s="185">
        <v>75</v>
      </c>
      <c r="I114" s="181"/>
      <c r="J114" s="179" t="s">
        <v>57</v>
      </c>
      <c r="K114" s="420" t="s">
        <v>57</v>
      </c>
      <c r="L114" s="179" t="s">
        <v>63</v>
      </c>
      <c r="M114" s="193">
        <v>45741</v>
      </c>
      <c r="N114" s="114" t="s">
        <v>330</v>
      </c>
      <c r="O114" s="54">
        <v>45747</v>
      </c>
      <c r="P114" s="114" t="s">
        <v>330</v>
      </c>
      <c r="Q114" s="115" t="s">
        <v>330</v>
      </c>
      <c r="R114" s="148" t="s">
        <v>2159</v>
      </c>
      <c r="S114" s="115" t="s">
        <v>330</v>
      </c>
      <c r="T114" s="43" t="s">
        <v>330</v>
      </c>
      <c r="U114" s="157" t="s">
        <v>330</v>
      </c>
      <c r="V114" s="201" t="s">
        <v>330</v>
      </c>
      <c r="W114" s="54">
        <v>45798</v>
      </c>
      <c r="X114" s="69" t="s">
        <v>2162</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330</v>
      </c>
      <c r="O115" s="124">
        <v>45757</v>
      </c>
      <c r="P115" s="30" t="s">
        <v>330</v>
      </c>
      <c r="Q115" s="43" t="s">
        <v>330</v>
      </c>
      <c r="R115" s="69" t="s">
        <v>2159</v>
      </c>
      <c r="S115" s="43" t="s">
        <v>330</v>
      </c>
      <c r="T115" s="43" t="s">
        <v>330</v>
      </c>
      <c r="U115" s="43" t="s">
        <v>330</v>
      </c>
      <c r="V115" s="88" t="s">
        <v>330</v>
      </c>
      <c r="W115" s="54">
        <v>45814</v>
      </c>
      <c r="X115" s="69" t="s">
        <v>2162</v>
      </c>
    </row>
    <row r="116" spans="1:25">
      <c r="A116" s="178" t="s">
        <v>876</v>
      </c>
      <c r="B116" s="182" t="s">
        <v>50</v>
      </c>
      <c r="C116" s="314">
        <v>45772</v>
      </c>
      <c r="D116" s="711" t="s">
        <v>878</v>
      </c>
      <c r="H116" s="179">
        <v>50</v>
      </c>
      <c r="I116" s="181"/>
      <c r="J116" s="179" t="s">
        <v>57</v>
      </c>
      <c r="K116" s="420" t="s">
        <v>57</v>
      </c>
      <c r="L116" s="179" t="s">
        <v>63</v>
      </c>
      <c r="M116" s="193">
        <v>45757</v>
      </c>
      <c r="N116" s="30" t="s">
        <v>330</v>
      </c>
      <c r="O116" s="124">
        <v>45757</v>
      </c>
      <c r="P116" s="30" t="s">
        <v>330</v>
      </c>
      <c r="Q116" s="43" t="s">
        <v>330</v>
      </c>
      <c r="R116" s="69" t="s">
        <v>2159</v>
      </c>
      <c r="S116" s="43" t="s">
        <v>330</v>
      </c>
      <c r="T116" s="43" t="s">
        <v>330</v>
      </c>
      <c r="U116" s="43" t="s">
        <v>330</v>
      </c>
      <c r="V116" s="481" t="s">
        <v>330</v>
      </c>
      <c r="W116" s="54">
        <v>45807</v>
      </c>
      <c r="X116" s="69" t="s">
        <v>2162</v>
      </c>
    </row>
    <row r="117" spans="1:25">
      <c r="A117" s="178" t="s">
        <v>880</v>
      </c>
      <c r="B117" s="182" t="s">
        <v>50</v>
      </c>
      <c r="C117" s="314">
        <v>45772</v>
      </c>
      <c r="D117" s="516" t="s">
        <v>881</v>
      </c>
      <c r="H117" s="179">
        <v>76</v>
      </c>
      <c r="I117" s="181"/>
      <c r="J117" s="179" t="s">
        <v>57</v>
      </c>
      <c r="K117" s="420" t="s">
        <v>57</v>
      </c>
      <c r="L117" s="179" t="s">
        <v>63</v>
      </c>
      <c r="M117" s="193">
        <v>45757</v>
      </c>
      <c r="N117" s="87" t="s">
        <v>330</v>
      </c>
      <c r="O117" s="124">
        <v>45757</v>
      </c>
      <c r="P117" s="30" t="s">
        <v>330</v>
      </c>
      <c r="Q117" s="43" t="s">
        <v>330</v>
      </c>
      <c r="R117" s="69" t="s">
        <v>2159</v>
      </c>
      <c r="S117" s="43" t="s">
        <v>330</v>
      </c>
      <c r="T117" s="43" t="s">
        <v>330</v>
      </c>
      <c r="U117" s="43" t="s">
        <v>330</v>
      </c>
      <c r="V117" s="88" t="s">
        <v>330</v>
      </c>
      <c r="W117" s="54">
        <v>45811</v>
      </c>
      <c r="X117" s="69" t="s">
        <v>2162</v>
      </c>
    </row>
    <row r="118" spans="1:25">
      <c r="A118" s="178" t="s">
        <v>882</v>
      </c>
      <c r="B118" s="182" t="s">
        <v>50</v>
      </c>
      <c r="C118" s="314">
        <v>45772</v>
      </c>
      <c r="D118" s="179" t="s">
        <v>884</v>
      </c>
      <c r="H118" s="185">
        <v>88</v>
      </c>
      <c r="I118" s="181"/>
      <c r="J118" s="179" t="s">
        <v>57</v>
      </c>
      <c r="K118" s="420" t="s">
        <v>57</v>
      </c>
      <c r="L118" s="179" t="s">
        <v>63</v>
      </c>
      <c r="M118" s="193">
        <v>45757</v>
      </c>
      <c r="N118" s="87" t="s">
        <v>330</v>
      </c>
      <c r="O118" s="124">
        <v>45757</v>
      </c>
      <c r="P118" s="87" t="s">
        <v>330</v>
      </c>
      <c r="Q118" s="43" t="s">
        <v>330</v>
      </c>
      <c r="R118" s="43" t="s">
        <v>2159</v>
      </c>
      <c r="S118" s="43" t="s">
        <v>330</v>
      </c>
      <c r="T118" s="43" t="s">
        <v>330</v>
      </c>
      <c r="U118" s="157" t="s">
        <v>330</v>
      </c>
      <c r="V118" s="88" t="s">
        <v>330</v>
      </c>
      <c r="W118" s="54">
        <v>45810</v>
      </c>
      <c r="X118" s="69" t="s">
        <v>2162</v>
      </c>
    </row>
    <row r="119" spans="1:25">
      <c r="A119" s="178" t="s">
        <v>886</v>
      </c>
      <c r="B119" s="182" t="s">
        <v>50</v>
      </c>
      <c r="C119" s="314">
        <v>45772</v>
      </c>
      <c r="D119" s="179" t="s">
        <v>887</v>
      </c>
      <c r="H119" s="185">
        <v>86</v>
      </c>
      <c r="I119" s="181"/>
      <c r="J119" s="179" t="s">
        <v>57</v>
      </c>
      <c r="K119" s="420" t="s">
        <v>57</v>
      </c>
      <c r="L119" s="179" t="s">
        <v>63</v>
      </c>
      <c r="M119" s="195">
        <v>45756</v>
      </c>
      <c r="N119" s="30" t="s">
        <v>330</v>
      </c>
      <c r="O119" s="124">
        <v>45757</v>
      </c>
      <c r="P119" s="30" t="s">
        <v>330</v>
      </c>
      <c r="Q119" s="69" t="s">
        <v>330</v>
      </c>
      <c r="R119" s="69" t="s">
        <v>2159</v>
      </c>
      <c r="S119" s="43" t="s">
        <v>330</v>
      </c>
      <c r="T119" s="43" t="s">
        <v>330</v>
      </c>
      <c r="U119" s="157" t="s">
        <v>330</v>
      </c>
      <c r="V119" s="88" t="s">
        <v>330</v>
      </c>
      <c r="W119" s="54">
        <v>45813</v>
      </c>
      <c r="X119" s="69" t="s">
        <v>2162</v>
      </c>
    </row>
    <row r="120" spans="1:25">
      <c r="A120" s="178" t="s">
        <v>888</v>
      </c>
      <c r="B120" s="182" t="s">
        <v>50</v>
      </c>
      <c r="C120" s="314">
        <v>45772</v>
      </c>
      <c r="D120" s="517" t="s">
        <v>889</v>
      </c>
      <c r="H120" s="185">
        <v>84</v>
      </c>
      <c r="I120" s="181"/>
      <c r="J120" s="179" t="s">
        <v>57</v>
      </c>
      <c r="K120" s="420" t="s">
        <v>57</v>
      </c>
      <c r="L120" s="179" t="s">
        <v>63</v>
      </c>
      <c r="M120" s="195">
        <v>45741</v>
      </c>
      <c r="N120" s="30" t="s">
        <v>330</v>
      </c>
      <c r="O120" s="54">
        <v>45748</v>
      </c>
      <c r="P120" s="30" t="s">
        <v>330</v>
      </c>
      <c r="Q120" s="43" t="s">
        <v>330</v>
      </c>
      <c r="R120" s="69" t="s">
        <v>2159</v>
      </c>
      <c r="S120" s="43" t="s">
        <v>330</v>
      </c>
      <c r="T120" s="43" t="s">
        <v>330</v>
      </c>
      <c r="U120" s="43" t="s">
        <v>330</v>
      </c>
      <c r="V120" s="88" t="s">
        <v>330</v>
      </c>
      <c r="W120" s="54">
        <v>45811</v>
      </c>
      <c r="X120" s="69" t="s">
        <v>2162</v>
      </c>
    </row>
    <row r="121" spans="1:25">
      <c r="A121" s="366" t="s">
        <v>890</v>
      </c>
      <c r="B121" s="684" t="s">
        <v>50</v>
      </c>
      <c r="C121" s="685">
        <v>45772</v>
      </c>
      <c r="D121" s="363" t="s">
        <v>891</v>
      </c>
      <c r="H121" s="341">
        <v>87</v>
      </c>
      <c r="I121" s="339"/>
      <c r="J121" s="363" t="s">
        <v>57</v>
      </c>
      <c r="K121" s="705" t="s">
        <v>57</v>
      </c>
      <c r="L121" s="179" t="s">
        <v>63</v>
      </c>
      <c r="M121" s="193">
        <v>45757</v>
      </c>
      <c r="N121" s="30" t="s">
        <v>330</v>
      </c>
      <c r="O121" s="124">
        <v>45757</v>
      </c>
      <c r="P121" s="30" t="s">
        <v>330</v>
      </c>
      <c r="Q121" s="69" t="s">
        <v>330</v>
      </c>
      <c r="R121" s="69" t="s">
        <v>2159</v>
      </c>
      <c r="S121" s="43" t="s">
        <v>330</v>
      </c>
      <c r="T121" s="43" t="s">
        <v>330</v>
      </c>
      <c r="U121" s="43" t="s">
        <v>330</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330</v>
      </c>
      <c r="O122" s="54">
        <v>45747</v>
      </c>
      <c r="P122" s="30" t="s">
        <v>330</v>
      </c>
      <c r="Q122" s="69" t="s">
        <v>330</v>
      </c>
      <c r="R122" s="69" t="s">
        <v>2159</v>
      </c>
      <c r="S122" s="43" t="s">
        <v>330</v>
      </c>
      <c r="T122" s="43" t="s">
        <v>330</v>
      </c>
      <c r="U122" s="157" t="s">
        <v>330</v>
      </c>
      <c r="V122" s="157" t="s">
        <v>330</v>
      </c>
      <c r="W122" s="54">
        <v>45789</v>
      </c>
      <c r="X122" s="69" t="s">
        <v>2162</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330</v>
      </c>
      <c r="O123" s="54">
        <v>45744</v>
      </c>
      <c r="P123" s="30" t="s">
        <v>330</v>
      </c>
      <c r="Q123" s="43" t="s">
        <v>330</v>
      </c>
      <c r="R123" s="69" t="s">
        <v>2159</v>
      </c>
      <c r="S123" s="43" t="s">
        <v>330</v>
      </c>
      <c r="T123" s="43" t="s">
        <v>330</v>
      </c>
      <c r="U123" s="43" t="s">
        <v>330</v>
      </c>
      <c r="V123" s="69" t="s">
        <v>330</v>
      </c>
      <c r="W123" s="54">
        <v>45811</v>
      </c>
      <c r="X123" s="69" t="s">
        <v>2162</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330</v>
      </c>
      <c r="O124" s="54">
        <v>45744</v>
      </c>
      <c r="P124" s="30" t="s">
        <v>330</v>
      </c>
      <c r="Q124" s="43" t="s">
        <v>330</v>
      </c>
      <c r="R124" s="69" t="s">
        <v>2159</v>
      </c>
      <c r="S124" s="43" t="s">
        <v>330</v>
      </c>
      <c r="T124" s="43" t="s">
        <v>330</v>
      </c>
      <c r="U124" s="43" t="s">
        <v>2165</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330</v>
      </c>
      <c r="N125" s="30" t="s">
        <v>330</v>
      </c>
      <c r="O125" s="54">
        <v>45679</v>
      </c>
      <c r="P125" s="30" t="s">
        <v>330</v>
      </c>
      <c r="Q125" s="69" t="s">
        <v>330</v>
      </c>
      <c r="R125" s="43" t="s">
        <v>2159</v>
      </c>
      <c r="S125" s="43" t="s">
        <v>330</v>
      </c>
      <c r="T125" s="43" t="s">
        <v>330</v>
      </c>
      <c r="U125" s="43" t="s">
        <v>330</v>
      </c>
      <c r="V125" s="43" t="s">
        <v>330</v>
      </c>
      <c r="W125" s="54">
        <v>45814</v>
      </c>
      <c r="X125" s="69" t="s">
        <v>2162</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330</v>
      </c>
      <c r="N126" s="30" t="s">
        <v>330</v>
      </c>
      <c r="O126" s="54">
        <v>45720</v>
      </c>
      <c r="P126" s="30" t="s">
        <v>330</v>
      </c>
      <c r="Q126" s="69" t="s">
        <v>330</v>
      </c>
      <c r="R126" s="43" t="s">
        <v>2159</v>
      </c>
      <c r="S126" s="43" t="s">
        <v>330</v>
      </c>
      <c r="T126" s="43" t="s">
        <v>330</v>
      </c>
      <c r="U126" s="43" t="s">
        <v>330</v>
      </c>
      <c r="V126" s="88" t="s">
        <v>330</v>
      </c>
      <c r="W126" s="54">
        <v>45819</v>
      </c>
      <c r="X126" s="69" t="s">
        <v>2162</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330</v>
      </c>
      <c r="O127" s="54">
        <v>45679</v>
      </c>
      <c r="P127" s="30" t="s">
        <v>330</v>
      </c>
      <c r="Q127" s="43" t="s">
        <v>330</v>
      </c>
      <c r="R127" s="43" t="s">
        <v>2159</v>
      </c>
      <c r="S127" s="43" t="s">
        <v>330</v>
      </c>
      <c r="T127" s="43" t="s">
        <v>330</v>
      </c>
      <c r="U127" s="43" t="s">
        <v>330</v>
      </c>
      <c r="V127" s="88" t="s">
        <v>330</v>
      </c>
      <c r="W127" s="54">
        <v>45812</v>
      </c>
      <c r="X127" s="69" t="s">
        <v>2162</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330</v>
      </c>
      <c r="O128" s="347">
        <v>45694</v>
      </c>
      <c r="P128" s="87" t="s">
        <v>330</v>
      </c>
      <c r="Q128" s="43" t="s">
        <v>330</v>
      </c>
      <c r="R128" s="43" t="s">
        <v>2159</v>
      </c>
      <c r="S128" s="43" t="s">
        <v>330</v>
      </c>
      <c r="T128" s="43" t="s">
        <v>330</v>
      </c>
      <c r="U128" s="43" t="s">
        <v>330</v>
      </c>
      <c r="V128" s="88" t="s">
        <v>330</v>
      </c>
      <c r="W128" s="166">
        <v>45883</v>
      </c>
      <c r="X128" s="69" t="s">
        <v>2162</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2159</v>
      </c>
      <c r="S129" s="43" t="s">
        <v>330</v>
      </c>
      <c r="T129" s="115" t="s">
        <v>330</v>
      </c>
      <c r="U129" s="115" t="s">
        <v>330</v>
      </c>
      <c r="V129" s="88" t="s">
        <v>330</v>
      </c>
      <c r="W129" s="166">
        <v>45814</v>
      </c>
      <c r="X129" s="69" t="s">
        <v>2162</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330</v>
      </c>
      <c r="O130" s="54">
        <v>45698</v>
      </c>
      <c r="P130" s="30" t="s">
        <v>330</v>
      </c>
      <c r="Q130" s="69" t="s">
        <v>330</v>
      </c>
      <c r="R130" s="43" t="s">
        <v>2159</v>
      </c>
      <c r="S130" s="43" t="s">
        <v>330</v>
      </c>
      <c r="T130" s="43" t="s">
        <v>330</v>
      </c>
      <c r="U130" s="43" t="s">
        <v>330</v>
      </c>
      <c r="V130" s="88" t="s">
        <v>330</v>
      </c>
      <c r="W130" s="54">
        <v>45798</v>
      </c>
      <c r="X130" s="69" t="s">
        <v>2162</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330</v>
      </c>
      <c r="N131" s="49" t="s">
        <v>330</v>
      </c>
      <c r="O131" s="30" t="s">
        <v>330</v>
      </c>
      <c r="P131" s="30" t="s">
        <v>330</v>
      </c>
      <c r="Q131" s="43" t="s">
        <v>330</v>
      </c>
      <c r="R131" s="43" t="s">
        <v>2159</v>
      </c>
      <c r="S131" s="43" t="s">
        <v>330</v>
      </c>
      <c r="T131" s="157" t="s">
        <v>330</v>
      </c>
      <c r="U131" s="157" t="s">
        <v>330</v>
      </c>
      <c r="V131" s="88" t="s">
        <v>330</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330</v>
      </c>
      <c r="O132" s="54">
        <v>45691</v>
      </c>
      <c r="P132" s="87" t="s">
        <v>330</v>
      </c>
      <c r="Q132" s="43" t="s">
        <v>330</v>
      </c>
      <c r="R132" s="43" t="s">
        <v>2159</v>
      </c>
      <c r="S132" s="43" t="s">
        <v>330</v>
      </c>
      <c r="T132" s="43" t="s">
        <v>330</v>
      </c>
      <c r="U132" s="43" t="s">
        <v>330</v>
      </c>
      <c r="V132" s="43" t="s">
        <v>330</v>
      </c>
      <c r="W132" s="54">
        <v>45820</v>
      </c>
      <c r="X132" s="69" t="s">
        <v>2162</v>
      </c>
      <c r="Y132" t="e">
        <f>VLOOKUP(A132,#REF!,2,FALSE)</f>
        <v>#REF!</v>
      </c>
    </row>
    <row r="133" spans="1:25" ht="15" customHeight="1">
      <c r="A133" s="358" t="s">
        <v>909</v>
      </c>
      <c r="B133" s="406" t="s">
        <v>50</v>
      </c>
      <c r="C133" s="367">
        <v>45742</v>
      </c>
      <c r="D133" s="419" t="s">
        <v>2166</v>
      </c>
      <c r="E133" s="361"/>
      <c r="F133" s="361"/>
      <c r="G133" s="361"/>
      <c r="H133" s="361">
        <v>38</v>
      </c>
      <c r="I133" s="360"/>
      <c r="J133" s="361" t="s">
        <v>57</v>
      </c>
      <c r="K133" s="361" t="s">
        <v>57</v>
      </c>
      <c r="L133" s="361" t="s">
        <v>63</v>
      </c>
      <c r="M133" s="49" t="s">
        <v>330</v>
      </c>
      <c r="N133" s="49" t="s">
        <v>330</v>
      </c>
      <c r="O133" s="54">
        <v>45701</v>
      </c>
      <c r="P133" s="30" t="s">
        <v>330</v>
      </c>
      <c r="Q133" s="69" t="s">
        <v>330</v>
      </c>
      <c r="R133" s="43" t="s">
        <v>2159</v>
      </c>
      <c r="S133" s="43" t="s">
        <v>330</v>
      </c>
      <c r="T133" s="43" t="s">
        <v>330</v>
      </c>
      <c r="U133" s="43" t="s">
        <v>330</v>
      </c>
      <c r="V133" s="69" t="s">
        <v>330</v>
      </c>
      <c r="W133" s="54">
        <v>45821</v>
      </c>
      <c r="X133" s="69" t="s">
        <v>2162</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330</v>
      </c>
      <c r="O134" s="54">
        <v>45709</v>
      </c>
      <c r="P134" s="30" t="s">
        <v>330</v>
      </c>
      <c r="Q134" s="43" t="s">
        <v>330</v>
      </c>
      <c r="R134" s="43" t="s">
        <v>2159</v>
      </c>
      <c r="S134" s="43" t="s">
        <v>330</v>
      </c>
      <c r="T134" s="43" t="s">
        <v>330</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330</v>
      </c>
      <c r="N135" s="49" t="s">
        <v>330</v>
      </c>
      <c r="O135" s="195">
        <v>45720</v>
      </c>
      <c r="P135" s="49" t="s">
        <v>330</v>
      </c>
      <c r="Q135" s="69" t="s">
        <v>330</v>
      </c>
      <c r="R135" s="43" t="s">
        <v>2159</v>
      </c>
      <c r="S135" s="43" t="s">
        <v>330</v>
      </c>
      <c r="T135" s="43" t="s">
        <v>330</v>
      </c>
      <c r="U135" s="157" t="s">
        <v>330</v>
      </c>
      <c r="V135" s="43" t="s">
        <v>330</v>
      </c>
      <c r="W135" s="54">
        <v>45819</v>
      </c>
      <c r="X135" s="69" t="s">
        <v>2162</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330</v>
      </c>
      <c r="O136" s="54">
        <v>45691</v>
      </c>
      <c r="P136" s="30" t="s">
        <v>330</v>
      </c>
      <c r="Q136" s="43" t="s">
        <v>330</v>
      </c>
      <c r="R136" s="43" t="s">
        <v>2159</v>
      </c>
      <c r="S136" s="43" t="s">
        <v>330</v>
      </c>
      <c r="T136" s="43" t="s">
        <v>330</v>
      </c>
      <c r="U136" s="43" t="s">
        <v>330</v>
      </c>
      <c r="V136" s="43" t="s">
        <v>330</v>
      </c>
      <c r="W136" s="54">
        <v>45791</v>
      </c>
      <c r="X136" s="69" t="s">
        <v>2162</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330</v>
      </c>
      <c r="O137" s="30" t="s">
        <v>330</v>
      </c>
      <c r="P137" s="49" t="s">
        <v>330</v>
      </c>
      <c r="Q137" s="69" t="s">
        <v>330</v>
      </c>
      <c r="R137" s="43" t="s">
        <v>2159</v>
      </c>
      <c r="S137" s="43" t="s">
        <v>330</v>
      </c>
      <c r="T137" s="43" t="s">
        <v>330</v>
      </c>
      <c r="U137" s="157" t="s">
        <v>330</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330</v>
      </c>
      <c r="O138" s="124">
        <v>45707</v>
      </c>
      <c r="P138" s="30" t="s">
        <v>330</v>
      </c>
      <c r="Q138" s="43" t="s">
        <v>330</v>
      </c>
      <c r="R138" s="43" t="s">
        <v>2159</v>
      </c>
      <c r="S138" s="43" t="s">
        <v>330</v>
      </c>
      <c r="T138" s="43" t="s">
        <v>330</v>
      </c>
      <c r="U138" s="43" t="s">
        <v>330</v>
      </c>
      <c r="V138" s="43" t="s">
        <v>330</v>
      </c>
      <c r="W138" s="54">
        <v>45790</v>
      </c>
      <c r="X138" s="69" t="s">
        <v>2162</v>
      </c>
      <c r="Y138" t="e">
        <f>VLOOKUP(A138,#REF!,2,FALSE)</f>
        <v>#REF!</v>
      </c>
    </row>
    <row r="139" spans="1:25" ht="15" customHeight="1">
      <c r="A139" s="358" t="s">
        <v>2167</v>
      </c>
      <c r="B139" s="182" t="s">
        <v>50</v>
      </c>
      <c r="C139" s="408">
        <v>45742</v>
      </c>
      <c r="D139" s="361" t="s">
        <v>2168</v>
      </c>
      <c r="E139" s="519"/>
      <c r="F139" s="361"/>
      <c r="G139" s="361"/>
      <c r="H139" s="361">
        <v>87</v>
      </c>
      <c r="I139" s="360"/>
      <c r="J139" s="361" t="s">
        <v>57</v>
      </c>
      <c r="K139" s="361" t="s">
        <v>57</v>
      </c>
      <c r="L139" s="361" t="s">
        <v>63</v>
      </c>
      <c r="M139" s="49" t="s">
        <v>330</v>
      </c>
      <c r="N139" s="30" t="s">
        <v>330</v>
      </c>
      <c r="O139" s="30" t="s">
        <v>330</v>
      </c>
      <c r="P139" s="30" t="s">
        <v>330</v>
      </c>
      <c r="Q139" s="43" t="s">
        <v>330</v>
      </c>
      <c r="R139" s="43" t="s">
        <v>2159</v>
      </c>
      <c r="S139" s="43" t="s">
        <v>330</v>
      </c>
      <c r="T139" s="43" t="s">
        <v>330</v>
      </c>
      <c r="U139" s="157" t="s">
        <v>330</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330</v>
      </c>
      <c r="O140" s="54">
        <v>45743</v>
      </c>
      <c r="P140" s="87" t="s">
        <v>330</v>
      </c>
      <c r="Q140" s="88" t="s">
        <v>330</v>
      </c>
      <c r="R140" s="43" t="s">
        <v>2159</v>
      </c>
      <c r="S140" s="43" t="s">
        <v>330</v>
      </c>
      <c r="T140" s="43" t="s">
        <v>330</v>
      </c>
      <c r="U140" s="88" t="s">
        <v>330</v>
      </c>
      <c r="V140" s="69" t="s">
        <v>330</v>
      </c>
      <c r="W140" s="54">
        <v>45819</v>
      </c>
      <c r="X140" s="69" t="s">
        <v>2162</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2159</v>
      </c>
      <c r="S141" s="43" t="s">
        <v>330</v>
      </c>
      <c r="T141" s="43" t="s">
        <v>330</v>
      </c>
      <c r="U141" s="88" t="s">
        <v>330</v>
      </c>
      <c r="V141" s="88" t="s">
        <v>330</v>
      </c>
      <c r="W141" s="54">
        <v>45811</v>
      </c>
      <c r="X141" s="69" t="s">
        <v>2162</v>
      </c>
      <c r="Y141" t="e">
        <f>VLOOKUP(A141,#REF!,2,FALSE)</f>
        <v>#REF!</v>
      </c>
    </row>
    <row r="142" spans="1:25" ht="15" customHeight="1">
      <c r="A142" s="358" t="s">
        <v>2169</v>
      </c>
      <c r="B142" s="406" t="s">
        <v>50</v>
      </c>
      <c r="C142" s="408">
        <v>45742</v>
      </c>
      <c r="D142" s="361" t="s">
        <v>2170</v>
      </c>
      <c r="E142" s="519"/>
      <c r="F142" s="361"/>
      <c r="G142" s="361"/>
      <c r="H142" s="361">
        <v>87</v>
      </c>
      <c r="I142" s="360"/>
      <c r="J142" s="361" t="s">
        <v>57</v>
      </c>
      <c r="K142" s="361" t="s">
        <v>57</v>
      </c>
      <c r="L142" s="361" t="s">
        <v>63</v>
      </c>
      <c r="M142" s="49" t="s">
        <v>330</v>
      </c>
      <c r="N142" s="49" t="s">
        <v>330</v>
      </c>
      <c r="O142" s="195">
        <v>45691</v>
      </c>
      <c r="P142" s="30" t="s">
        <v>330</v>
      </c>
      <c r="Q142" s="69" t="s">
        <v>330</v>
      </c>
      <c r="R142" s="43" t="s">
        <v>2159</v>
      </c>
      <c r="S142" s="43" t="s">
        <v>330</v>
      </c>
      <c r="T142" s="43" t="s">
        <v>330</v>
      </c>
      <c r="U142" s="157" t="s">
        <v>330</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330</v>
      </c>
      <c r="N143" s="49" t="s">
        <v>330</v>
      </c>
      <c r="O143" s="195">
        <v>45675</v>
      </c>
      <c r="P143" s="30" t="s">
        <v>330</v>
      </c>
      <c r="Q143" s="69" t="s">
        <v>330</v>
      </c>
      <c r="R143" s="43" t="s">
        <v>2159</v>
      </c>
      <c r="S143" s="43" t="s">
        <v>330</v>
      </c>
      <c r="T143" s="43" t="s">
        <v>330</v>
      </c>
      <c r="U143" s="157" t="s">
        <v>330</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2162</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2132</v>
      </c>
      <c r="B146" s="406" t="s">
        <v>50</v>
      </c>
      <c r="C146" s="359">
        <v>45991</v>
      </c>
      <c r="D146" s="418" t="s">
        <v>2133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2171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2159</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2159</v>
      </c>
      <c r="S150" s="43" t="s">
        <v>330</v>
      </c>
      <c r="T150" s="43" t="s">
        <v>330</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2159</v>
      </c>
      <c r="S151" s="43" t="s">
        <v>330</v>
      </c>
      <c r="T151" s="43" t="s">
        <v>330</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2159</v>
      </c>
      <c r="S153" s="43" t="s">
        <v>330</v>
      </c>
      <c r="T153" s="157" t="s">
        <v>330</v>
      </c>
      <c r="U153" s="157" t="s">
        <v>330</v>
      </c>
      <c r="V153" s="43" t="s">
        <v>330</v>
      </c>
      <c r="W153" s="54">
        <v>45807</v>
      </c>
      <c r="X153" s="69" t="s">
        <v>2162</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330</v>
      </c>
      <c r="O154" s="347">
        <v>45696</v>
      </c>
      <c r="P154" s="30" t="s">
        <v>330</v>
      </c>
      <c r="Q154" s="69" t="s">
        <v>330</v>
      </c>
      <c r="R154" s="43" t="s">
        <v>2159</v>
      </c>
      <c r="S154" s="43" t="s">
        <v>330</v>
      </c>
      <c r="T154" s="157" t="s">
        <v>330</v>
      </c>
      <c r="U154" s="157" t="s">
        <v>330</v>
      </c>
      <c r="V154" s="43" t="s">
        <v>330</v>
      </c>
      <c r="W154" s="166">
        <v>45792</v>
      </c>
      <c r="X154" s="148" t="s">
        <v>2162</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330</v>
      </c>
      <c r="O155" s="54">
        <v>45699</v>
      </c>
      <c r="P155" s="49" t="s">
        <v>330</v>
      </c>
      <c r="Q155" s="69" t="s">
        <v>330</v>
      </c>
      <c r="R155" s="43" t="s">
        <v>2159</v>
      </c>
      <c r="S155" s="43" t="s">
        <v>330</v>
      </c>
      <c r="T155" s="43" t="s">
        <v>330</v>
      </c>
      <c r="U155" s="157" t="s">
        <v>330</v>
      </c>
      <c r="V155" s="43" t="s">
        <v>330</v>
      </c>
      <c r="W155" s="356">
        <v>45821</v>
      </c>
      <c r="X155" s="69" t="s">
        <v>2162</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330</v>
      </c>
      <c r="O156" s="54">
        <v>45699</v>
      </c>
      <c r="P156" s="49" t="s">
        <v>330</v>
      </c>
      <c r="Q156" s="69" t="s">
        <v>330</v>
      </c>
      <c r="R156" s="43" t="s">
        <v>2159</v>
      </c>
      <c r="S156" s="43" t="s">
        <v>330</v>
      </c>
      <c r="T156" s="43" t="s">
        <v>330</v>
      </c>
      <c r="U156" s="69" t="s">
        <v>330</v>
      </c>
      <c r="V156" s="69" t="s">
        <v>78</v>
      </c>
      <c r="W156" s="356">
        <v>45747</v>
      </c>
      <c r="X156" s="69" t="s">
        <v>78</v>
      </c>
      <c r="Y156" t="e">
        <f>VLOOKUP(A156,#REF!,2,FALSE)</f>
        <v>#REF!</v>
      </c>
    </row>
    <row r="157" spans="1:25" ht="15" customHeight="1">
      <c r="A157" s="365" t="s">
        <v>1108</v>
      </c>
      <c r="B157" s="406" t="s">
        <v>50</v>
      </c>
      <c r="C157" s="400">
        <v>45991</v>
      </c>
      <c r="D157" s="418" t="s">
        <v>2140</v>
      </c>
      <c r="E157" s="700"/>
      <c r="F157" s="419"/>
      <c r="G157" s="419"/>
      <c r="H157" s="419">
        <v>79</v>
      </c>
      <c r="I157" s="360"/>
      <c r="J157" s="361" t="s">
        <v>57</v>
      </c>
      <c r="K157" s="549" t="s">
        <v>57</v>
      </c>
      <c r="L157" s="361" t="s">
        <v>63</v>
      </c>
      <c r="M157" s="195">
        <v>45735</v>
      </c>
      <c r="N157" s="30" t="s">
        <v>64</v>
      </c>
      <c r="O157" s="54">
        <v>45737</v>
      </c>
      <c r="P157" s="49" t="s">
        <v>64</v>
      </c>
      <c r="Q157" s="69" t="s">
        <v>64</v>
      </c>
      <c r="R157" s="69" t="s">
        <v>2159</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330</v>
      </c>
      <c r="O158" s="54">
        <v>45736</v>
      </c>
      <c r="P158" s="49" t="s">
        <v>330</v>
      </c>
      <c r="Q158" s="69" t="s">
        <v>330</v>
      </c>
      <c r="R158" s="43" t="s">
        <v>2159</v>
      </c>
      <c r="S158" s="43" t="s">
        <v>330</v>
      </c>
      <c r="T158" s="43" t="s">
        <v>330</v>
      </c>
      <c r="U158" s="157" t="s">
        <v>330</v>
      </c>
      <c r="V158" s="157" t="s">
        <v>330</v>
      </c>
      <c r="W158" s="356">
        <v>45817</v>
      </c>
      <c r="X158" s="69" t="s">
        <v>2162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2162</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2162</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2162</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2162</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2162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2172</v>
      </c>
      <c r="C1" s="1485"/>
      <c r="D1" s="554"/>
      <c r="E1" s="1485" t="s">
        <v>2173</v>
      </c>
      <c r="F1" s="1485"/>
    </row>
    <row r="2" spans="1:25">
      <c r="B2" s="44" t="s">
        <v>2174</v>
      </c>
      <c r="E2" s="44" t="s">
        <v>22</v>
      </c>
      <c r="F2" t="s">
        <v>1079</v>
      </c>
      <c r="P2" s="44" t="s">
        <v>27</v>
      </c>
      <c r="Q2" t="s">
        <v>2175</v>
      </c>
    </row>
    <row r="3" spans="1:25">
      <c r="B3" s="44" t="s">
        <v>22</v>
      </c>
      <c r="C3" t="s">
        <v>1085</v>
      </c>
      <c r="K3" s="44" t="s">
        <v>2176</v>
      </c>
      <c r="L3" t="s">
        <v>2177</v>
      </c>
      <c r="P3" s="44" t="s">
        <v>2176</v>
      </c>
      <c r="Q3" t="s">
        <v>2177</v>
      </c>
    </row>
    <row r="4" spans="1:25">
      <c r="B4" t="s">
        <v>135</v>
      </c>
      <c r="C4">
        <v>36706</v>
      </c>
      <c r="E4" s="44" t="s">
        <v>2174</v>
      </c>
      <c r="F4" t="s">
        <v>1085</v>
      </c>
      <c r="W4" t="s">
        <v>2178</v>
      </c>
      <c r="X4">
        <v>22</v>
      </c>
    </row>
    <row r="5" spans="1:25">
      <c r="B5" t="s">
        <v>182</v>
      </c>
      <c r="C5">
        <v>17860</v>
      </c>
      <c r="E5" t="s">
        <v>1085</v>
      </c>
      <c r="F5">
        <v>75584</v>
      </c>
      <c r="K5" s="44" t="s">
        <v>2179</v>
      </c>
      <c r="P5" s="44" t="s">
        <v>2179</v>
      </c>
      <c r="W5" t="s">
        <v>2180</v>
      </c>
      <c r="X5">
        <v>13</v>
      </c>
    </row>
    <row r="6" spans="1:25">
      <c r="B6" t="s">
        <v>1112</v>
      </c>
      <c r="C6">
        <v>172178</v>
      </c>
      <c r="K6" s="44" t="s">
        <v>27</v>
      </c>
      <c r="L6" s="44" t="s">
        <v>2181</v>
      </c>
      <c r="M6" t="s">
        <v>1085</v>
      </c>
      <c r="P6" s="44" t="s">
        <v>2182</v>
      </c>
      <c r="Q6" s="44" t="s">
        <v>2181</v>
      </c>
      <c r="R6" t="s">
        <v>1085</v>
      </c>
    </row>
    <row r="7" spans="1:25">
      <c r="B7" t="s">
        <v>51</v>
      </c>
      <c r="C7">
        <v>446</v>
      </c>
      <c r="K7" t="s">
        <v>2175</v>
      </c>
      <c r="L7" t="s">
        <v>659</v>
      </c>
      <c r="M7">
        <v>1</v>
      </c>
      <c r="P7" t="s">
        <v>2183</v>
      </c>
      <c r="R7">
        <v>1</v>
      </c>
      <c r="X7" t="s">
        <v>2184</v>
      </c>
      <c r="Y7" t="s">
        <v>2185</v>
      </c>
    </row>
    <row r="8" spans="1:25">
      <c r="B8" t="s">
        <v>22</v>
      </c>
      <c r="C8">
        <v>0</v>
      </c>
      <c r="L8" t="s">
        <v>661</v>
      </c>
      <c r="M8">
        <v>1</v>
      </c>
      <c r="P8" t="s">
        <v>2186</v>
      </c>
      <c r="R8">
        <v>1</v>
      </c>
      <c r="V8" t="s">
        <v>2187</v>
      </c>
      <c r="W8" s="257">
        <v>203521</v>
      </c>
      <c r="X8" s="313">
        <f>X5/X4</f>
        <v>0.59090909090909094</v>
      </c>
      <c r="Y8" s="313">
        <f>W9/W8</f>
        <v>0.31446386367991508</v>
      </c>
    </row>
    <row r="9" spans="1:25">
      <c r="B9" t="s">
        <v>193</v>
      </c>
      <c r="C9">
        <v>10811</v>
      </c>
      <c r="L9" t="s">
        <v>2188</v>
      </c>
      <c r="M9">
        <v>1</v>
      </c>
      <c r="P9" t="s">
        <v>2189</v>
      </c>
      <c r="Q9" t="s">
        <v>2188</v>
      </c>
      <c r="R9">
        <v>1</v>
      </c>
      <c r="V9" t="s">
        <v>2190</v>
      </c>
      <c r="W9">
        <v>64000</v>
      </c>
    </row>
    <row r="10" spans="1:25">
      <c r="B10" t="s">
        <v>204</v>
      </c>
      <c r="C10">
        <v>30887</v>
      </c>
      <c r="L10" t="s">
        <v>853</v>
      </c>
      <c r="M10">
        <v>1</v>
      </c>
      <c r="Q10" t="s">
        <v>857</v>
      </c>
      <c r="R10">
        <v>1</v>
      </c>
    </row>
    <row r="11" spans="1:25">
      <c r="B11" t="s">
        <v>118</v>
      </c>
      <c r="C11">
        <v>9611</v>
      </c>
      <c r="L11" t="s">
        <v>857</v>
      </c>
      <c r="M11">
        <v>1</v>
      </c>
      <c r="Q11" t="s">
        <v>860</v>
      </c>
      <c r="R11">
        <v>1</v>
      </c>
    </row>
    <row r="12" spans="1:25">
      <c r="B12" t="s">
        <v>123</v>
      </c>
      <c r="C12">
        <v>7441</v>
      </c>
      <c r="L12" t="s">
        <v>860</v>
      </c>
      <c r="M12">
        <v>1</v>
      </c>
      <c r="Q12" t="s">
        <v>2191</v>
      </c>
      <c r="R12">
        <v>1</v>
      </c>
    </row>
    <row r="13" spans="1:25">
      <c r="B13" t="s">
        <v>153</v>
      </c>
      <c r="C13">
        <v>3</v>
      </c>
      <c r="L13" t="s">
        <v>2192</v>
      </c>
      <c r="M13">
        <v>1</v>
      </c>
      <c r="Q13" t="s">
        <v>1039</v>
      </c>
      <c r="R13">
        <v>1</v>
      </c>
    </row>
    <row r="14" spans="1:25">
      <c r="B14" t="s">
        <v>237</v>
      </c>
      <c r="C14">
        <v>8622</v>
      </c>
      <c r="L14" t="s">
        <v>874</v>
      </c>
      <c r="M14">
        <v>1</v>
      </c>
      <c r="P14" t="s">
        <v>2193</v>
      </c>
      <c r="R14">
        <v>5</v>
      </c>
    </row>
    <row r="15" spans="1:25">
      <c r="B15" t="s">
        <v>264</v>
      </c>
      <c r="C15">
        <v>8189</v>
      </c>
      <c r="L15" t="s">
        <v>2191</v>
      </c>
      <c r="M15">
        <v>1</v>
      </c>
      <c r="P15" t="s">
        <v>1112</v>
      </c>
      <c r="R15">
        <v>12</v>
      </c>
    </row>
    <row r="16" spans="1:25">
      <c r="B16" t="s">
        <v>60</v>
      </c>
      <c r="C16">
        <v>22933</v>
      </c>
      <c r="L16" t="s">
        <v>876</v>
      </c>
      <c r="M16">
        <v>1</v>
      </c>
      <c r="P16" t="s">
        <v>1082</v>
      </c>
      <c r="R16">
        <v>19</v>
      </c>
    </row>
    <row r="17" spans="2:13">
      <c r="B17" t="s">
        <v>1082</v>
      </c>
      <c r="C17">
        <v>325687</v>
      </c>
      <c r="L17" t="s">
        <v>880</v>
      </c>
      <c r="M17">
        <v>1</v>
      </c>
    </row>
    <row r="18" spans="2:13">
      <c r="L18" t="s">
        <v>882</v>
      </c>
      <c r="M18">
        <v>1</v>
      </c>
    </row>
    <row r="19" spans="2:13">
      <c r="L19" t="s">
        <v>886</v>
      </c>
      <c r="M19">
        <v>1</v>
      </c>
    </row>
    <row r="20" spans="2:13">
      <c r="L20" t="s">
        <v>890</v>
      </c>
      <c r="M20">
        <v>1</v>
      </c>
    </row>
    <row r="21" spans="2:13">
      <c r="L21" t="s">
        <v>2194</v>
      </c>
      <c r="M21">
        <v>1</v>
      </c>
    </row>
    <row r="22" spans="2:13">
      <c r="L22" t="s">
        <v>1039</v>
      </c>
      <c r="M22">
        <v>1</v>
      </c>
    </row>
    <row r="23" spans="2:13">
      <c r="L23" t="s">
        <v>922</v>
      </c>
      <c r="M23">
        <v>1</v>
      </c>
    </row>
    <row r="24" spans="2:13">
      <c r="L24" t="s">
        <v>951</v>
      </c>
      <c r="M24">
        <v>1</v>
      </c>
    </row>
    <row r="25" spans="2:13">
      <c r="L25" t="s">
        <v>149</v>
      </c>
      <c r="M25">
        <v>1</v>
      </c>
    </row>
    <row r="26" spans="2:13">
      <c r="K26" t="s">
        <v>2195</v>
      </c>
      <c r="M26">
        <v>19</v>
      </c>
    </row>
    <row r="27" spans="2:13">
      <c r="K27" t="s">
        <v>2196</v>
      </c>
      <c r="L27" t="s">
        <v>868</v>
      </c>
      <c r="M27">
        <v>1</v>
      </c>
    </row>
    <row r="28" spans="2:13">
      <c r="L28" t="s">
        <v>870</v>
      </c>
      <c r="M28">
        <v>1</v>
      </c>
    </row>
    <row r="29" spans="2:13">
      <c r="L29" t="s">
        <v>872</v>
      </c>
      <c r="M29">
        <v>1</v>
      </c>
    </row>
    <row r="30" spans="2:13">
      <c r="L30" t="s">
        <v>888</v>
      </c>
      <c r="M30">
        <v>1</v>
      </c>
    </row>
    <row r="31" spans="2:13">
      <c r="L31" t="s">
        <v>892</v>
      </c>
      <c r="M31">
        <v>1</v>
      </c>
    </row>
    <row r="32" spans="2:13">
      <c r="L32" t="s">
        <v>2197</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2198</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2200</v>
      </c>
      <c r="S2" s="3" t="s">
        <v>2085</v>
      </c>
      <c r="T2" s="264" t="s">
        <v>2086</v>
      </c>
      <c r="U2" s="264" t="s">
        <v>2086</v>
      </c>
      <c r="V2" s="264" t="s">
        <v>2086</v>
      </c>
      <c r="W2" s="264" t="s">
        <v>2086</v>
      </c>
      <c r="X2" s="264" t="s">
        <v>2087</v>
      </c>
      <c r="Y2" s="264" t="s">
        <v>2201</v>
      </c>
    </row>
    <row r="3" spans="1:26" ht="15.75" thickBot="1">
      <c r="A3" s="263" t="s">
        <v>2181</v>
      </c>
      <c r="B3" s="259" t="s">
        <v>20</v>
      </c>
      <c r="C3" s="259" t="s">
        <v>2202</v>
      </c>
      <c r="D3" s="259" t="s">
        <v>26</v>
      </c>
      <c r="E3" s="259" t="s">
        <v>2176</v>
      </c>
      <c r="F3" s="259" t="s">
        <v>2203</v>
      </c>
      <c r="G3" s="259" t="s">
        <v>27</v>
      </c>
      <c r="H3" s="207" t="s">
        <v>28</v>
      </c>
      <c r="I3" s="207" t="s">
        <v>2204</v>
      </c>
      <c r="J3" s="207" t="s">
        <v>2205</v>
      </c>
      <c r="K3" s="207" t="s">
        <v>2206</v>
      </c>
      <c r="L3" s="207" t="s">
        <v>2162</v>
      </c>
      <c r="M3" s="207" t="s">
        <v>2207</v>
      </c>
      <c r="N3" s="207" t="s">
        <v>2208</v>
      </c>
      <c r="O3" s="206" t="s">
        <v>2090</v>
      </c>
      <c r="P3" s="260" t="s">
        <v>2182</v>
      </c>
      <c r="Q3" s="261" t="s">
        <v>34</v>
      </c>
      <c r="R3" s="261" t="s">
        <v>2204</v>
      </c>
      <c r="S3" s="5" t="s">
        <v>2091</v>
      </c>
      <c r="T3" s="261" t="s">
        <v>2209</v>
      </c>
      <c r="U3" s="261" t="s">
        <v>43</v>
      </c>
      <c r="V3" s="261" t="s">
        <v>2092</v>
      </c>
      <c r="W3" s="261" t="s">
        <v>46</v>
      </c>
      <c r="X3" s="261" t="s">
        <v>647</v>
      </c>
      <c r="Y3" s="261" t="s">
        <v>2210</v>
      </c>
      <c r="Z3" s="312" t="s">
        <v>2211</v>
      </c>
    </row>
    <row r="4" spans="1:26" ht="15.75" thickBot="1">
      <c r="A4" s="121" t="s">
        <v>72</v>
      </c>
      <c r="B4" s="102" t="s">
        <v>50</v>
      </c>
      <c r="C4" s="77">
        <v>45807</v>
      </c>
      <c r="D4" s="268"/>
      <c r="E4" s="269" t="s">
        <v>2212</v>
      </c>
      <c r="F4" s="268"/>
      <c r="G4" s="270" t="s">
        <v>2175</v>
      </c>
      <c r="H4" s="268"/>
      <c r="I4" s="268"/>
      <c r="J4" s="271"/>
      <c r="K4" s="205"/>
      <c r="L4" s="205"/>
      <c r="M4" s="205"/>
      <c r="N4" s="272"/>
      <c r="O4" s="273"/>
      <c r="P4" s="274" t="s">
        <v>2213</v>
      </c>
      <c r="Q4" s="275" t="s">
        <v>88</v>
      </c>
      <c r="R4" s="131" t="s">
        <v>2214</v>
      </c>
      <c r="S4" s="131"/>
      <c r="T4" s="276"/>
      <c r="U4" s="277"/>
      <c r="V4" s="277"/>
      <c r="W4" s="277"/>
      <c r="X4" s="277"/>
      <c r="Y4" s="277"/>
      <c r="Z4" t="e">
        <f>VLOOKUP(A4,#REF!,9,FALSE)</f>
        <v>#REF!</v>
      </c>
    </row>
    <row r="5" spans="1:26" ht="15.75" thickBot="1">
      <c r="A5" s="278" t="s">
        <v>2132</v>
      </c>
      <c r="B5" s="102" t="s">
        <v>50</v>
      </c>
      <c r="C5" s="215">
        <v>45807</v>
      </c>
      <c r="D5" s="268"/>
      <c r="E5" s="269" t="s">
        <v>2212</v>
      </c>
      <c r="F5" s="268"/>
      <c r="G5" s="270" t="s">
        <v>2175</v>
      </c>
      <c r="H5" s="268"/>
      <c r="I5" s="268"/>
      <c r="J5" s="279"/>
      <c r="K5" s="205"/>
      <c r="L5" s="205"/>
      <c r="M5" s="205"/>
      <c r="N5" s="272"/>
      <c r="O5" s="273"/>
      <c r="P5" s="274" t="s">
        <v>2213</v>
      </c>
      <c r="Q5" s="275" t="s">
        <v>88</v>
      </c>
      <c r="R5" s="131" t="s">
        <v>2214</v>
      </c>
      <c r="S5" s="131"/>
      <c r="T5" s="276"/>
      <c r="U5" s="277"/>
      <c r="V5" s="277"/>
      <c r="W5" s="277"/>
      <c r="X5" s="277"/>
      <c r="Y5" s="277"/>
      <c r="Z5" t="e">
        <f>VLOOKUP(A5,#REF!,9,FALSE)</f>
        <v>#REF!</v>
      </c>
    </row>
    <row r="6" spans="1:26" ht="15.75" thickBot="1">
      <c r="A6" s="121" t="s">
        <v>1109</v>
      </c>
      <c r="B6" s="102" t="s">
        <v>50</v>
      </c>
      <c r="C6" s="215">
        <v>45807</v>
      </c>
      <c r="D6" s="268"/>
      <c r="E6" s="269" t="s">
        <v>2212</v>
      </c>
      <c r="F6" s="268"/>
      <c r="G6" s="270" t="s">
        <v>2175</v>
      </c>
      <c r="H6" s="268"/>
      <c r="I6" s="268"/>
      <c r="J6" s="279"/>
      <c r="K6" s="205"/>
      <c r="L6" s="205"/>
      <c r="M6" s="205"/>
      <c r="N6" s="272"/>
      <c r="O6" s="273"/>
      <c r="P6" s="274" t="s">
        <v>2213</v>
      </c>
      <c r="Q6" s="275" t="s">
        <v>88</v>
      </c>
      <c r="R6" s="131" t="s">
        <v>2214</v>
      </c>
      <c r="S6" s="131"/>
      <c r="T6" s="276"/>
      <c r="U6" s="277"/>
      <c r="V6" s="277"/>
      <c r="W6" s="277"/>
      <c r="X6" s="277"/>
      <c r="Y6" s="277"/>
      <c r="Z6" t="e">
        <f>VLOOKUP(A6,#REF!,9,FALSE)</f>
        <v>#REF!</v>
      </c>
    </row>
    <row r="7" spans="1:26" ht="15.75" thickBot="1">
      <c r="A7" s="121" t="s">
        <v>1126</v>
      </c>
      <c r="B7" s="102" t="s">
        <v>50</v>
      </c>
      <c r="C7" s="215">
        <v>45807</v>
      </c>
      <c r="D7" s="268"/>
      <c r="E7" s="269" t="s">
        <v>2212</v>
      </c>
      <c r="F7" s="268"/>
      <c r="G7" s="270" t="s">
        <v>2175</v>
      </c>
      <c r="H7" s="268"/>
      <c r="I7" s="268"/>
      <c r="J7" s="279"/>
      <c r="K7" s="205"/>
      <c r="L7" s="205"/>
      <c r="M7" s="205"/>
      <c r="N7" s="272"/>
      <c r="O7" s="273"/>
      <c r="P7" s="274" t="s">
        <v>2213</v>
      </c>
      <c r="Q7" s="275" t="s">
        <v>88</v>
      </c>
      <c r="R7" s="131" t="s">
        <v>2214</v>
      </c>
      <c r="S7" s="131"/>
      <c r="T7" s="276"/>
      <c r="U7" s="277"/>
      <c r="V7" s="277"/>
      <c r="W7" s="277"/>
      <c r="X7" s="277"/>
      <c r="Y7" s="277"/>
      <c r="Z7" t="e">
        <f>VLOOKUP(A7,#REF!,9,FALSE)</f>
        <v>#REF!</v>
      </c>
    </row>
    <row r="8" spans="1:26" ht="15.75" thickBot="1">
      <c r="A8" s="278" t="s">
        <v>2215</v>
      </c>
      <c r="B8" s="102" t="s">
        <v>50</v>
      </c>
      <c r="C8" s="215">
        <v>45807</v>
      </c>
      <c r="D8" s="268"/>
      <c r="E8" s="269" t="s">
        <v>2212</v>
      </c>
      <c r="F8" s="268"/>
      <c r="G8" s="270" t="s">
        <v>2175</v>
      </c>
      <c r="H8" s="268"/>
      <c r="I8" s="268"/>
      <c r="J8" s="279"/>
      <c r="K8" s="205"/>
      <c r="L8" s="205"/>
      <c r="M8" s="205"/>
      <c r="N8" s="272"/>
      <c r="O8" s="273"/>
      <c r="P8" s="274" t="s">
        <v>2186</v>
      </c>
      <c r="Q8" s="275" t="s">
        <v>2216</v>
      </c>
      <c r="R8" s="131" t="s">
        <v>2217</v>
      </c>
      <c r="S8" s="131"/>
      <c r="T8" s="276"/>
      <c r="U8" s="277"/>
      <c r="V8" s="277"/>
      <c r="W8" s="277"/>
      <c r="X8" s="277"/>
      <c r="Y8" s="277"/>
      <c r="Z8" t="e">
        <f>VLOOKUP(A8,#REF!,9,FALSE)</f>
        <v>#REF!</v>
      </c>
    </row>
    <row r="9" spans="1:26" ht="15.75" thickBot="1">
      <c r="A9" s="121" t="s">
        <v>1134</v>
      </c>
      <c r="B9" s="102" t="s">
        <v>50</v>
      </c>
      <c r="C9" s="215">
        <v>45807</v>
      </c>
      <c r="D9" s="280"/>
      <c r="E9" s="269" t="s">
        <v>2212</v>
      </c>
      <c r="F9" s="280"/>
      <c r="G9" s="281" t="s">
        <v>2175</v>
      </c>
      <c r="H9" s="268"/>
      <c r="I9" s="268"/>
      <c r="J9" s="279"/>
      <c r="K9" s="205"/>
      <c r="L9" s="205"/>
      <c r="M9" s="205"/>
      <c r="N9" s="272"/>
      <c r="O9" s="273"/>
      <c r="P9" s="274" t="s">
        <v>2213</v>
      </c>
      <c r="Q9" s="275" t="s">
        <v>88</v>
      </c>
      <c r="R9" s="131" t="s">
        <v>2214</v>
      </c>
      <c r="S9" s="131"/>
      <c r="T9" s="276"/>
      <c r="U9" s="277"/>
      <c r="V9" s="277"/>
      <c r="W9" s="277"/>
      <c r="X9" s="277"/>
      <c r="Y9" s="277"/>
      <c r="Z9" t="e">
        <f>VLOOKUP(A9,#REF!,9,FALSE)</f>
        <v>#REF!</v>
      </c>
    </row>
    <row r="10" spans="1:26" ht="15.75" thickBot="1">
      <c r="A10" s="121" t="s">
        <v>1111</v>
      </c>
      <c r="B10" s="102" t="s">
        <v>50</v>
      </c>
      <c r="C10" s="215" t="e">
        <v>#N/A</v>
      </c>
      <c r="D10" s="282"/>
      <c r="E10" s="269" t="s">
        <v>2212</v>
      </c>
      <c r="F10" s="282"/>
      <c r="G10" s="283" t="s">
        <v>2175</v>
      </c>
      <c r="H10" s="230"/>
      <c r="I10" s="230"/>
      <c r="J10" s="45"/>
      <c r="K10" s="204"/>
      <c r="L10" s="204"/>
      <c r="M10" s="204"/>
      <c r="N10" s="284"/>
      <c r="O10" s="285"/>
      <c r="P10" s="274" t="s">
        <v>2213</v>
      </c>
      <c r="Q10" s="275" t="s">
        <v>58</v>
      </c>
      <c r="R10" s="131" t="s">
        <v>2214</v>
      </c>
      <c r="S10" s="131"/>
      <c r="T10" s="276"/>
      <c r="U10" s="277"/>
      <c r="V10" s="277"/>
      <c r="W10" s="277"/>
      <c r="X10" s="277"/>
      <c r="Y10" s="277"/>
      <c r="Z10" t="e">
        <f>VLOOKUP(A10,#REF!,9,FALSE)</f>
        <v>#REF!</v>
      </c>
    </row>
    <row r="11" spans="1:26" ht="15.75" thickBot="1">
      <c r="A11" s="121" t="s">
        <v>503</v>
      </c>
      <c r="B11" s="102" t="s">
        <v>50</v>
      </c>
      <c r="C11" s="215">
        <v>45807</v>
      </c>
      <c r="D11" s="282"/>
      <c r="E11" s="269" t="s">
        <v>2212</v>
      </c>
      <c r="F11" s="282"/>
      <c r="G11" s="283" t="s">
        <v>2175</v>
      </c>
      <c r="H11" s="230"/>
      <c r="I11" s="230"/>
      <c r="J11" s="45"/>
      <c r="K11" s="204"/>
      <c r="L11" s="204"/>
      <c r="M11" s="204"/>
      <c r="N11" s="284"/>
      <c r="O11" s="285"/>
      <c r="P11" s="274" t="s">
        <v>2213</v>
      </c>
      <c r="Q11" s="275" t="s">
        <v>88</v>
      </c>
      <c r="R11" s="131" t="s">
        <v>2214</v>
      </c>
      <c r="S11" s="131"/>
      <c r="T11" s="276"/>
      <c r="U11" s="277"/>
      <c r="V11" s="277"/>
      <c r="W11" s="277"/>
      <c r="X11" s="277"/>
      <c r="Y11" s="277"/>
      <c r="Z11" t="e">
        <f>VLOOKUP(A11,#REF!,9,FALSE)</f>
        <v>#REF!</v>
      </c>
    </row>
    <row r="12" spans="1:26" ht="15.75" thickBot="1">
      <c r="A12" s="121" t="s">
        <v>1106</v>
      </c>
      <c r="B12" s="102" t="s">
        <v>50</v>
      </c>
      <c r="C12" s="215" t="e">
        <v>#N/A</v>
      </c>
      <c r="D12" s="282"/>
      <c r="E12" s="269" t="s">
        <v>2212</v>
      </c>
      <c r="F12" s="282"/>
      <c r="G12" s="283" t="s">
        <v>2175</v>
      </c>
      <c r="H12" s="230"/>
      <c r="I12" s="230"/>
      <c r="J12" s="45"/>
      <c r="K12" s="204"/>
      <c r="L12" s="204"/>
      <c r="M12" s="204"/>
      <c r="N12" s="284"/>
      <c r="O12" s="285"/>
      <c r="P12" s="274" t="s">
        <v>2213</v>
      </c>
      <c r="Q12" s="275" t="s">
        <v>88</v>
      </c>
      <c r="R12" s="131" t="s">
        <v>2214</v>
      </c>
      <c r="S12" s="131"/>
      <c r="T12" s="276"/>
      <c r="U12" s="277"/>
      <c r="V12" s="277"/>
      <c r="W12" s="277"/>
      <c r="X12" s="277"/>
      <c r="Y12" s="277"/>
      <c r="Z12" t="e">
        <f>VLOOKUP(A12,#REF!,9,FALSE)</f>
        <v>#REF!</v>
      </c>
    </row>
    <row r="13" spans="1:26" ht="15.75" thickBot="1">
      <c r="A13" s="121" t="s">
        <v>1132</v>
      </c>
      <c r="B13" s="102" t="s">
        <v>50</v>
      </c>
      <c r="C13" s="215" t="e">
        <v>#N/A</v>
      </c>
      <c r="D13" s="282"/>
      <c r="E13" s="269" t="s">
        <v>2212</v>
      </c>
      <c r="F13" s="282"/>
      <c r="G13" s="283" t="s">
        <v>2175</v>
      </c>
      <c r="H13" s="230"/>
      <c r="I13" s="230"/>
      <c r="J13" s="45"/>
      <c r="K13" s="204"/>
      <c r="L13" s="204"/>
      <c r="M13" s="204"/>
      <c r="N13" s="284"/>
      <c r="O13" s="285"/>
      <c r="P13" s="274" t="s">
        <v>2213</v>
      </c>
      <c r="Q13" s="275" t="s">
        <v>88</v>
      </c>
      <c r="R13" s="131" t="s">
        <v>2214</v>
      </c>
      <c r="S13" s="131"/>
      <c r="T13" s="276"/>
      <c r="U13" s="277"/>
      <c r="V13" s="277"/>
      <c r="W13" s="277"/>
      <c r="X13" s="277"/>
      <c r="Y13" s="277"/>
      <c r="Z13" t="e">
        <f>VLOOKUP(A13,#REF!,9,FALSE)</f>
        <v>#REF!</v>
      </c>
    </row>
    <row r="14" spans="1:26" ht="15.75" thickBot="1">
      <c r="A14" s="278" t="s">
        <v>499</v>
      </c>
      <c r="B14" s="102" t="s">
        <v>50</v>
      </c>
      <c r="C14" s="215">
        <v>45807</v>
      </c>
      <c r="D14" s="282"/>
      <c r="E14" s="269" t="s">
        <v>2212</v>
      </c>
      <c r="F14" s="282"/>
      <c r="G14" s="283" t="s">
        <v>2175</v>
      </c>
      <c r="H14" s="230"/>
      <c r="I14" s="230"/>
      <c r="J14" s="45"/>
      <c r="K14" s="204"/>
      <c r="L14" s="204"/>
      <c r="M14" s="204"/>
      <c r="N14" s="284"/>
      <c r="O14" s="285"/>
      <c r="P14" s="274" t="s">
        <v>2213</v>
      </c>
      <c r="Q14" s="275" t="s">
        <v>88</v>
      </c>
      <c r="R14" s="131" t="s">
        <v>2214</v>
      </c>
      <c r="S14" s="131"/>
      <c r="T14" s="276"/>
      <c r="U14" s="277"/>
      <c r="V14" s="277"/>
      <c r="W14" s="277"/>
      <c r="X14" s="277"/>
      <c r="Y14" s="277"/>
      <c r="Z14" t="e">
        <f>VLOOKUP(A14,#REF!,9,FALSE)</f>
        <v>#REF!</v>
      </c>
    </row>
    <row r="15" spans="1:26" ht="15.75" thickBot="1">
      <c r="A15" s="121" t="s">
        <v>1110</v>
      </c>
      <c r="B15" s="102" t="s">
        <v>50</v>
      </c>
      <c r="C15" s="215" t="e">
        <v>#N/A</v>
      </c>
      <c r="D15" s="282"/>
      <c r="E15" s="269" t="s">
        <v>2212</v>
      </c>
      <c r="F15" s="282"/>
      <c r="G15" s="283" t="s">
        <v>2175</v>
      </c>
      <c r="H15" s="230"/>
      <c r="I15" s="230"/>
      <c r="J15" s="45"/>
      <c r="K15" s="204"/>
      <c r="L15" s="204"/>
      <c r="M15" s="204"/>
      <c r="N15" s="284"/>
      <c r="O15" s="285"/>
      <c r="P15" s="274" t="s">
        <v>2213</v>
      </c>
      <c r="Q15" s="275" t="s">
        <v>88</v>
      </c>
      <c r="R15" s="131" t="s">
        <v>2214</v>
      </c>
      <c r="S15" s="131"/>
      <c r="T15" s="276"/>
      <c r="U15" s="277"/>
      <c r="V15" s="277"/>
      <c r="W15" s="277"/>
      <c r="X15" s="277"/>
      <c r="Y15" s="277"/>
      <c r="Z15" t="e">
        <f>VLOOKUP(A15,#REF!,9,FALSE)</f>
        <v>#REF!</v>
      </c>
    </row>
    <row r="16" spans="1:26" ht="15.75" thickBot="1">
      <c r="A16" s="286" t="s">
        <v>2218</v>
      </c>
      <c r="B16" s="102" t="s">
        <v>50</v>
      </c>
      <c r="C16" s="215" t="e">
        <v>#N/A</v>
      </c>
      <c r="D16" s="282"/>
      <c r="E16" s="269" t="s">
        <v>2212</v>
      </c>
      <c r="F16" s="282"/>
      <c r="G16" s="283" t="s">
        <v>2175</v>
      </c>
      <c r="H16" s="230"/>
      <c r="I16" s="230"/>
      <c r="J16" s="45"/>
      <c r="K16" s="204"/>
      <c r="L16" s="204"/>
      <c r="M16" s="204"/>
      <c r="N16" s="284"/>
      <c r="O16" s="285"/>
      <c r="P16" s="274" t="s">
        <v>2213</v>
      </c>
      <c r="Q16" s="275" t="s">
        <v>88</v>
      </c>
      <c r="R16" s="131" t="s">
        <v>2214</v>
      </c>
      <c r="S16" s="131"/>
      <c r="T16" s="276"/>
      <c r="U16" s="277"/>
      <c r="V16" s="277"/>
      <c r="W16" s="277"/>
      <c r="X16" s="277"/>
      <c r="Y16" s="277"/>
      <c r="Z16" t="e">
        <f>VLOOKUP(A16,#REF!,9,FALSE)</f>
        <v>#REF!</v>
      </c>
    </row>
    <row r="17" spans="1:26" ht="15.75" thickBot="1">
      <c r="A17" s="275" t="s">
        <v>951</v>
      </c>
      <c r="B17" s="102" t="s">
        <v>50</v>
      </c>
      <c r="C17" s="215" t="e">
        <v>#N/A</v>
      </c>
      <c r="D17" s="282"/>
      <c r="E17" s="269" t="s">
        <v>2177</v>
      </c>
      <c r="F17" s="282"/>
      <c r="G17" s="283" t="s">
        <v>2175</v>
      </c>
      <c r="H17" s="230"/>
      <c r="I17" s="230"/>
      <c r="J17" s="45"/>
      <c r="K17" s="204"/>
      <c r="L17" s="204"/>
      <c r="M17" s="204"/>
      <c r="N17" s="284"/>
      <c r="O17" s="285"/>
      <c r="P17" s="274"/>
      <c r="Q17" s="275" t="s">
        <v>88</v>
      </c>
      <c r="R17" s="131" t="s">
        <v>2214</v>
      </c>
      <c r="S17" s="131"/>
      <c r="T17" s="276"/>
      <c r="U17" s="277"/>
      <c r="V17" s="277"/>
      <c r="W17" s="277"/>
      <c r="X17" s="277"/>
      <c r="Y17" s="277"/>
      <c r="Z17" t="e">
        <f>VLOOKUP(A17,#REF!,9,FALSE)</f>
        <v>#REF!</v>
      </c>
    </row>
    <row r="18" spans="1:26" ht="15.75" thickBot="1">
      <c r="A18" s="275" t="s">
        <v>922</v>
      </c>
      <c r="B18" s="102" t="s">
        <v>50</v>
      </c>
      <c r="C18" s="215">
        <v>45807</v>
      </c>
      <c r="D18" s="282"/>
      <c r="E18" s="269" t="s">
        <v>2177</v>
      </c>
      <c r="F18" s="282"/>
      <c r="G18" s="283" t="s">
        <v>2175</v>
      </c>
      <c r="H18" s="230"/>
      <c r="I18" s="230"/>
      <c r="J18" s="45"/>
      <c r="K18" s="204"/>
      <c r="L18" s="204"/>
      <c r="M18" s="204"/>
      <c r="N18" s="284"/>
      <c r="O18" s="285"/>
      <c r="P18" s="274" t="s">
        <v>2183</v>
      </c>
      <c r="Q18" s="275"/>
      <c r="R18" s="131" t="s">
        <v>2214</v>
      </c>
      <c r="S18" s="131"/>
      <c r="T18" s="276"/>
      <c r="U18" s="277"/>
      <c r="V18" s="277"/>
      <c r="W18" s="277"/>
      <c r="X18" s="277"/>
      <c r="Y18" s="277"/>
      <c r="Z18" t="e">
        <f>VLOOKUP(A18,#REF!,9,FALSE)</f>
        <v>#REF!</v>
      </c>
    </row>
    <row r="19" spans="1:26" ht="15.75" thickBot="1">
      <c r="A19" s="275" t="s">
        <v>925</v>
      </c>
      <c r="B19" s="102" t="s">
        <v>50</v>
      </c>
      <c r="C19" s="215" t="e">
        <v>#N/A</v>
      </c>
      <c r="D19" s="282"/>
      <c r="E19" s="269" t="s">
        <v>2177</v>
      </c>
      <c r="F19" s="282"/>
      <c r="G19" s="283" t="s">
        <v>2196</v>
      </c>
      <c r="H19" s="230"/>
      <c r="I19" s="230"/>
      <c r="J19" s="45"/>
      <c r="K19" s="204"/>
      <c r="L19" s="204"/>
      <c r="M19" s="204"/>
      <c r="N19" s="284"/>
      <c r="O19" s="285"/>
      <c r="P19" s="274"/>
      <c r="Q19" s="275" t="s">
        <v>2196</v>
      </c>
      <c r="R19" s="131" t="s">
        <v>2214</v>
      </c>
      <c r="S19" s="131"/>
      <c r="T19" s="276"/>
      <c r="U19" s="277"/>
      <c r="V19" s="277"/>
      <c r="W19" s="277"/>
      <c r="X19" s="277"/>
      <c r="Y19" s="277"/>
      <c r="Z19" t="e">
        <f>VLOOKUP(A19,#REF!,9,FALSE)</f>
        <v>#REF!</v>
      </c>
    </row>
    <row r="20" spans="1:26" ht="15.75" thickBot="1">
      <c r="A20" s="275" t="s">
        <v>868</v>
      </c>
      <c r="B20" s="102" t="s">
        <v>50</v>
      </c>
      <c r="C20" s="215" t="e">
        <v>#N/A</v>
      </c>
      <c r="D20" s="282"/>
      <c r="E20" s="269" t="s">
        <v>2177</v>
      </c>
      <c r="F20" s="282"/>
      <c r="G20" s="283" t="s">
        <v>2196</v>
      </c>
      <c r="H20" s="230"/>
      <c r="I20" s="230"/>
      <c r="J20" s="45"/>
      <c r="K20" s="204"/>
      <c r="L20" s="204"/>
      <c r="M20" s="204"/>
      <c r="N20" s="284"/>
      <c r="O20" s="285"/>
      <c r="P20" s="274"/>
      <c r="Q20" s="275" t="s">
        <v>2196</v>
      </c>
      <c r="R20" s="131" t="s">
        <v>2214</v>
      </c>
      <c r="S20" s="131"/>
      <c r="T20" s="276"/>
      <c r="U20" s="277"/>
      <c r="V20" s="277"/>
      <c r="W20" s="277"/>
      <c r="X20" s="277"/>
      <c r="Y20" s="277"/>
      <c r="Z20" t="e">
        <f>VLOOKUP(A20,#REF!,9,FALSE)</f>
        <v>#REF!</v>
      </c>
    </row>
    <row r="21" spans="1:26" s="214" customFormat="1" ht="15.75" thickBot="1">
      <c r="A21" s="262" t="s">
        <v>2192</v>
      </c>
      <c r="B21" s="102" t="e">
        <v>#N/A</v>
      </c>
      <c r="C21" s="231">
        <v>45807</v>
      </c>
      <c r="D21" s="282"/>
      <c r="E21" s="269" t="s">
        <v>2177</v>
      </c>
      <c r="F21" s="282"/>
      <c r="G21" s="283" t="s">
        <v>2175</v>
      </c>
      <c r="H21" s="230"/>
      <c r="I21" s="230"/>
      <c r="J21" s="230"/>
      <c r="K21" s="229"/>
      <c r="L21" s="229"/>
      <c r="M21" s="229"/>
      <c r="N21" s="284"/>
      <c r="O21" s="285"/>
      <c r="P21" s="274"/>
      <c r="Q21" s="225" t="s">
        <v>64</v>
      </c>
      <c r="R21" s="131" t="s">
        <v>2214</v>
      </c>
      <c r="S21" s="228"/>
      <c r="T21" s="227"/>
      <c r="U21" s="226"/>
      <c r="V21" s="226"/>
      <c r="W21" s="226"/>
      <c r="X21" s="226"/>
      <c r="Y21" s="226" t="s">
        <v>2219</v>
      </c>
      <c r="Z21" t="e">
        <f>VLOOKUP(A21,#REF!,9,FALSE)</f>
        <v>#REF!</v>
      </c>
    </row>
    <row r="22" spans="1:26" ht="15.75" thickBot="1">
      <c r="A22" s="275" t="s">
        <v>870</v>
      </c>
      <c r="B22" s="102" t="s">
        <v>50</v>
      </c>
      <c r="C22" s="215" t="e">
        <v>#N/A</v>
      </c>
      <c r="D22" s="282"/>
      <c r="E22" s="269" t="s">
        <v>2177</v>
      </c>
      <c r="F22" s="282"/>
      <c r="G22" s="283" t="s">
        <v>2196</v>
      </c>
      <c r="H22" s="230"/>
      <c r="I22" s="230"/>
      <c r="J22" s="45"/>
      <c r="K22" s="204"/>
      <c r="L22" s="204"/>
      <c r="M22" s="204"/>
      <c r="N22" s="284"/>
      <c r="O22" s="285"/>
      <c r="P22" s="274"/>
      <c r="Q22" s="275" t="s">
        <v>2196</v>
      </c>
      <c r="R22" s="131" t="s">
        <v>2214</v>
      </c>
      <c r="S22" s="131"/>
      <c r="T22" s="276"/>
      <c r="U22" s="277"/>
      <c r="V22" s="277"/>
      <c r="W22" s="277"/>
      <c r="X22" s="277"/>
      <c r="Y22" s="277"/>
      <c r="Z22" t="e">
        <f>VLOOKUP(A22,#REF!,9,FALSE)</f>
        <v>#REF!</v>
      </c>
    </row>
    <row r="23" spans="1:26" ht="15.75" thickBot="1">
      <c r="A23" s="275" t="s">
        <v>853</v>
      </c>
      <c r="B23" s="102" t="s">
        <v>50</v>
      </c>
      <c r="C23" s="215" t="e">
        <v>#N/A</v>
      </c>
      <c r="D23" s="282"/>
      <c r="E23" s="269" t="s">
        <v>2177</v>
      </c>
      <c r="F23" s="282"/>
      <c r="G23" s="283" t="s">
        <v>2175</v>
      </c>
      <c r="H23" s="230"/>
      <c r="I23" s="230"/>
      <c r="J23" s="45"/>
      <c r="K23" s="204"/>
      <c r="L23" s="204"/>
      <c r="M23" s="204"/>
      <c r="N23" s="284"/>
      <c r="O23" s="285"/>
      <c r="P23" s="274"/>
      <c r="Q23" s="275" t="s">
        <v>64</v>
      </c>
      <c r="R23" s="131" t="s">
        <v>2214</v>
      </c>
      <c r="S23" s="131"/>
      <c r="T23" s="276"/>
      <c r="U23" s="277"/>
      <c r="V23" s="277"/>
      <c r="W23" s="277"/>
      <c r="X23" s="277"/>
      <c r="Y23" s="277" t="s">
        <v>2220</v>
      </c>
      <c r="Z23" t="e">
        <f>VLOOKUP(A23,#REF!,9,FALSE)</f>
        <v>#REF!</v>
      </c>
    </row>
    <row r="24" spans="1:26" s="214" customFormat="1" ht="69.599999999999994" customHeight="1" thickBot="1">
      <c r="A24" s="225" t="s">
        <v>2188</v>
      </c>
      <c r="B24" s="232" t="e">
        <v>#N/A</v>
      </c>
      <c r="C24" s="231">
        <v>45716</v>
      </c>
      <c r="D24" s="282"/>
      <c r="E24" s="269" t="s">
        <v>2177</v>
      </c>
      <c r="F24" s="282"/>
      <c r="G24" s="283" t="s">
        <v>2175</v>
      </c>
      <c r="H24" s="230"/>
      <c r="I24" s="230"/>
      <c r="J24" s="230"/>
      <c r="K24" s="229"/>
      <c r="L24" s="229"/>
      <c r="M24" s="229"/>
      <c r="N24" s="284"/>
      <c r="O24" s="285"/>
      <c r="P24" s="274" t="s">
        <v>2189</v>
      </c>
      <c r="Q24" s="225" t="s">
        <v>64</v>
      </c>
      <c r="R24" s="131" t="s">
        <v>2214</v>
      </c>
      <c r="S24" s="228"/>
      <c r="T24" s="227"/>
      <c r="U24" s="226"/>
      <c r="V24" s="226"/>
      <c r="W24" s="226"/>
      <c r="X24" s="226"/>
      <c r="Y24" s="226" t="s">
        <v>2220</v>
      </c>
      <c r="Z24" t="e">
        <f>VLOOKUP(A24,#REF!,9,FALSE)</f>
        <v>#REF!</v>
      </c>
    </row>
    <row r="25" spans="1:26" ht="15.75" thickBot="1">
      <c r="A25" s="275" t="s">
        <v>857</v>
      </c>
      <c r="B25" s="102" t="s">
        <v>50</v>
      </c>
      <c r="C25" s="215">
        <v>45772</v>
      </c>
      <c r="D25" s="282"/>
      <c r="E25" s="269" t="s">
        <v>2177</v>
      </c>
      <c r="F25" s="282"/>
      <c r="G25" s="283" t="s">
        <v>2175</v>
      </c>
      <c r="H25" s="230"/>
      <c r="I25" s="230"/>
      <c r="J25" s="45"/>
      <c r="K25" s="204"/>
      <c r="L25" s="204"/>
      <c r="M25" s="204"/>
      <c r="N25" s="284"/>
      <c r="O25" s="285"/>
      <c r="P25" s="274" t="s">
        <v>2189</v>
      </c>
      <c r="Q25" s="275" t="s">
        <v>64</v>
      </c>
      <c r="R25" s="131" t="s">
        <v>2214</v>
      </c>
      <c r="S25" s="131"/>
      <c r="T25" s="276"/>
      <c r="U25" s="277"/>
      <c r="V25" s="277"/>
      <c r="W25" s="277"/>
      <c r="X25" s="277"/>
      <c r="Y25" s="277"/>
      <c r="Z25" t="e">
        <f>VLOOKUP(A25,#REF!,9,FALSE)</f>
        <v>#REF!</v>
      </c>
    </row>
    <row r="26" spans="1:26" ht="15.75" thickBot="1">
      <c r="A26" s="275" t="s">
        <v>860</v>
      </c>
      <c r="B26" s="102" t="s">
        <v>50</v>
      </c>
      <c r="C26" s="215">
        <v>45772</v>
      </c>
      <c r="D26" s="282"/>
      <c r="E26" s="269" t="s">
        <v>2177</v>
      </c>
      <c r="F26" s="282"/>
      <c r="G26" s="283" t="s">
        <v>2175</v>
      </c>
      <c r="H26" s="230"/>
      <c r="I26" s="230"/>
      <c r="J26" s="45"/>
      <c r="K26" s="204"/>
      <c r="L26" s="204"/>
      <c r="M26" s="204"/>
      <c r="N26" s="284"/>
      <c r="O26" s="285"/>
      <c r="P26" s="274" t="s">
        <v>2189</v>
      </c>
      <c r="Q26" s="275" t="s">
        <v>64</v>
      </c>
      <c r="R26" s="131" t="s">
        <v>2214</v>
      </c>
      <c r="S26" s="131"/>
      <c r="T26" s="276"/>
      <c r="U26" s="277"/>
      <c r="V26" s="277"/>
      <c r="W26" s="277"/>
      <c r="X26" s="277"/>
      <c r="Y26" s="277"/>
      <c r="Z26" t="e">
        <f>VLOOKUP(A26,#REF!,9,FALSE)</f>
        <v>#REF!</v>
      </c>
    </row>
    <row r="27" spans="1:26" ht="15.75" thickBot="1">
      <c r="A27" s="275" t="s">
        <v>1039</v>
      </c>
      <c r="B27" s="102" t="s">
        <v>50</v>
      </c>
      <c r="C27" s="215">
        <v>45772</v>
      </c>
      <c r="D27" s="282"/>
      <c r="E27" s="269" t="s">
        <v>2177</v>
      </c>
      <c r="F27" s="282"/>
      <c r="G27" s="283" t="s">
        <v>2175</v>
      </c>
      <c r="H27" s="230"/>
      <c r="I27" s="230"/>
      <c r="J27" s="45"/>
      <c r="K27" s="204"/>
      <c r="L27" s="204"/>
      <c r="M27" s="204"/>
      <c r="N27" s="284"/>
      <c r="O27" s="285"/>
      <c r="P27" s="274" t="s">
        <v>2189</v>
      </c>
      <c r="Q27" s="275" t="s">
        <v>64</v>
      </c>
      <c r="R27" s="131" t="s">
        <v>2214</v>
      </c>
      <c r="S27" s="131"/>
      <c r="T27" s="276"/>
      <c r="U27" s="277"/>
      <c r="V27" s="277"/>
      <c r="W27" s="277"/>
      <c r="X27" s="277"/>
      <c r="Y27" s="277"/>
      <c r="Z27" t="e">
        <f>VLOOKUP(A27,#REF!,9,FALSE)</f>
        <v>#REF!</v>
      </c>
    </row>
    <row r="28" spans="1:26" ht="70.150000000000006" customHeight="1" thickBot="1">
      <c r="A28" s="225" t="s">
        <v>2191</v>
      </c>
      <c r="B28" s="232"/>
      <c r="C28" s="231"/>
      <c r="D28" s="282"/>
      <c r="E28" s="269" t="s">
        <v>2177</v>
      </c>
      <c r="F28" s="282"/>
      <c r="G28" s="283" t="s">
        <v>2175</v>
      </c>
      <c r="H28" s="230"/>
      <c r="I28" s="230"/>
      <c r="J28" s="230"/>
      <c r="K28" s="229"/>
      <c r="L28" s="229"/>
      <c r="M28" s="229"/>
      <c r="N28" s="284"/>
      <c r="O28" s="285"/>
      <c r="P28" s="274" t="s">
        <v>2189</v>
      </c>
      <c r="Q28" s="225" t="s">
        <v>64</v>
      </c>
      <c r="R28" s="131" t="s">
        <v>2214</v>
      </c>
      <c r="S28" s="228"/>
      <c r="T28" s="227"/>
      <c r="U28" s="226"/>
      <c r="V28" s="226"/>
      <c r="W28" s="226"/>
      <c r="X28" s="226"/>
      <c r="Y28" s="288" t="s">
        <v>2221</v>
      </c>
      <c r="Z28" t="e">
        <f>VLOOKUP(A28,#REF!,9,FALSE)</f>
        <v>#REF!</v>
      </c>
    </row>
    <row r="29" spans="1:26" s="214" customFormat="1" ht="69.599999999999994" customHeight="1" thickBot="1">
      <c r="A29" s="225" t="s">
        <v>2194</v>
      </c>
      <c r="B29" s="232" t="e">
        <v>#N/A</v>
      </c>
      <c r="C29" s="231" t="e">
        <v>#N/A</v>
      </c>
      <c r="D29" s="282"/>
      <c r="E29" s="269" t="s">
        <v>2177</v>
      </c>
      <c r="F29" s="282"/>
      <c r="G29" s="283" t="s">
        <v>2175</v>
      </c>
      <c r="H29" s="230"/>
      <c r="I29" s="230"/>
      <c r="J29" s="230"/>
      <c r="K29" s="229"/>
      <c r="L29" s="229"/>
      <c r="M29" s="229"/>
      <c r="N29" s="284"/>
      <c r="O29" s="285"/>
      <c r="P29" s="274"/>
      <c r="Q29" s="220" t="s">
        <v>64</v>
      </c>
      <c r="R29" s="131" t="s">
        <v>2214</v>
      </c>
      <c r="S29" s="228"/>
      <c r="T29" s="227"/>
      <c r="U29" s="226"/>
      <c r="V29" s="226"/>
      <c r="W29" s="226"/>
      <c r="X29" s="226"/>
      <c r="Y29" s="226" t="s">
        <v>2221</v>
      </c>
      <c r="Z29" t="e">
        <f>VLOOKUP(A29,#REF!,9,FALSE)</f>
        <v>#REF!</v>
      </c>
    </row>
    <row r="30" spans="1:26" ht="15.75" thickBot="1">
      <c r="A30" s="275" t="s">
        <v>888</v>
      </c>
      <c r="B30" s="102" t="s">
        <v>50</v>
      </c>
      <c r="C30" s="215">
        <v>45772</v>
      </c>
      <c r="D30" s="282"/>
      <c r="E30" s="269" t="s">
        <v>2177</v>
      </c>
      <c r="F30" s="282"/>
      <c r="G30" s="283" t="s">
        <v>2196</v>
      </c>
      <c r="H30" s="230"/>
      <c r="I30" s="230"/>
      <c r="J30" s="45"/>
      <c r="K30" s="204"/>
      <c r="L30" s="204"/>
      <c r="M30" s="204"/>
      <c r="N30" s="284"/>
      <c r="O30" s="285"/>
      <c r="P30" s="274"/>
      <c r="Q30" s="275" t="s">
        <v>2196</v>
      </c>
      <c r="R30" s="131" t="s">
        <v>2214</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2177</v>
      </c>
      <c r="F31" s="289"/>
      <c r="G31" s="290" t="s">
        <v>2196</v>
      </c>
      <c r="H31" s="222"/>
      <c r="I31" s="222"/>
      <c r="J31" s="236"/>
      <c r="K31" s="237"/>
      <c r="L31" s="237"/>
      <c r="M31" s="237"/>
      <c r="N31" s="222"/>
      <c r="O31" s="291"/>
      <c r="P31" s="274"/>
      <c r="Q31" s="233" t="s">
        <v>2196</v>
      </c>
      <c r="R31" s="131" t="s">
        <v>2214</v>
      </c>
      <c r="S31" s="238"/>
      <c r="T31" s="239"/>
      <c r="U31" s="240"/>
      <c r="V31" s="240"/>
      <c r="W31" s="240"/>
      <c r="X31" s="240"/>
      <c r="Y31" s="240" t="s">
        <v>2222</v>
      </c>
      <c r="Z31" t="e">
        <f>VLOOKUP(A31,#REF!,9,FALSE)</f>
        <v>#REF!</v>
      </c>
    </row>
    <row r="32" spans="1:26" ht="15.75" thickBot="1">
      <c r="A32" s="275" t="s">
        <v>892</v>
      </c>
      <c r="B32" s="102" t="s">
        <v>50</v>
      </c>
      <c r="C32" s="215">
        <v>45772</v>
      </c>
      <c r="D32" s="282"/>
      <c r="E32" s="269" t="s">
        <v>2177</v>
      </c>
      <c r="F32" s="282"/>
      <c r="G32" s="283" t="s">
        <v>2196</v>
      </c>
      <c r="H32" s="230"/>
      <c r="I32" s="230"/>
      <c r="J32" s="45"/>
      <c r="K32" s="204"/>
      <c r="L32" s="204"/>
      <c r="M32" s="204"/>
      <c r="N32" s="284"/>
      <c r="O32" s="285"/>
      <c r="P32" s="274"/>
      <c r="Q32" s="275" t="s">
        <v>2196</v>
      </c>
      <c r="R32" s="131" t="s">
        <v>2214</v>
      </c>
      <c r="S32" s="131"/>
      <c r="T32" s="276"/>
      <c r="U32" s="277"/>
      <c r="V32" s="277"/>
      <c r="W32" s="277"/>
      <c r="X32" s="277"/>
      <c r="Y32" s="277"/>
      <c r="Z32" t="e">
        <f>VLOOKUP(A32,#REF!,9,FALSE)</f>
        <v>#REF!</v>
      </c>
    </row>
    <row r="33" spans="1:26" ht="15.75" thickBot="1">
      <c r="A33" s="275" t="s">
        <v>880</v>
      </c>
      <c r="B33" s="102" t="s">
        <v>50</v>
      </c>
      <c r="C33" s="215">
        <v>45831</v>
      </c>
      <c r="D33" s="282"/>
      <c r="E33" s="269" t="s">
        <v>2177</v>
      </c>
      <c r="F33" s="282"/>
      <c r="G33" s="283" t="s">
        <v>2175</v>
      </c>
      <c r="H33" s="230"/>
      <c r="I33" s="230"/>
      <c r="J33" s="45"/>
      <c r="K33" s="204"/>
      <c r="L33" s="204"/>
      <c r="M33" s="204"/>
      <c r="N33" s="284"/>
      <c r="O33" s="285"/>
      <c r="P33" s="274"/>
      <c r="Q33" s="225" t="s">
        <v>64</v>
      </c>
      <c r="R33" s="131" t="s">
        <v>2214</v>
      </c>
      <c r="S33" s="131"/>
      <c r="T33" s="276"/>
      <c r="U33" s="277"/>
      <c r="V33" s="277"/>
      <c r="W33" s="277"/>
      <c r="X33" s="277"/>
      <c r="Y33" s="277"/>
      <c r="Z33" t="e">
        <f>VLOOKUP(A33,#REF!,9,FALSE)</f>
        <v>#REF!</v>
      </c>
    </row>
    <row r="34" spans="1:26" ht="15.75" thickBot="1">
      <c r="A34" s="275" t="s">
        <v>874</v>
      </c>
      <c r="B34" s="102" t="s">
        <v>50</v>
      </c>
      <c r="C34" s="215">
        <v>45831</v>
      </c>
      <c r="D34" s="282"/>
      <c r="E34" s="269" t="s">
        <v>2177</v>
      </c>
      <c r="F34" s="282"/>
      <c r="G34" s="283" t="s">
        <v>2175</v>
      </c>
      <c r="H34" s="230"/>
      <c r="I34" s="230"/>
      <c r="J34" s="45"/>
      <c r="K34" s="204"/>
      <c r="L34" s="204"/>
      <c r="M34" s="204"/>
      <c r="N34" s="284"/>
      <c r="O34" s="285"/>
      <c r="P34" s="274"/>
      <c r="Q34" s="275" t="s">
        <v>64</v>
      </c>
      <c r="R34" s="131" t="s">
        <v>2214</v>
      </c>
      <c r="S34" s="131"/>
      <c r="T34" s="276"/>
      <c r="U34" s="277"/>
      <c r="V34" s="277"/>
      <c r="W34" s="277"/>
      <c r="X34" s="277"/>
      <c r="Y34" s="277"/>
      <c r="Z34" t="e">
        <f>VLOOKUP(A34,#REF!,9,FALSE)</f>
        <v>#REF!</v>
      </c>
    </row>
    <row r="35" spans="1:26" ht="15.75" thickBot="1">
      <c r="A35" s="275" t="s">
        <v>876</v>
      </c>
      <c r="B35" s="102" t="s">
        <v>50</v>
      </c>
      <c r="C35" s="215">
        <v>45831</v>
      </c>
      <c r="D35" s="282"/>
      <c r="E35" s="269" t="s">
        <v>2177</v>
      </c>
      <c r="F35" s="282"/>
      <c r="G35" s="283" t="s">
        <v>2175</v>
      </c>
      <c r="H35" s="230"/>
      <c r="I35" s="230"/>
      <c r="J35" s="45"/>
      <c r="K35" s="204"/>
      <c r="L35" s="204"/>
      <c r="M35" s="204"/>
      <c r="N35" s="284"/>
      <c r="O35" s="285"/>
      <c r="P35" s="274"/>
      <c r="Q35" s="275" t="s">
        <v>64</v>
      </c>
      <c r="R35" s="131" t="s">
        <v>2214</v>
      </c>
      <c r="S35" s="131"/>
      <c r="T35" s="276"/>
      <c r="U35" s="277"/>
      <c r="V35" s="277"/>
      <c r="W35" s="277"/>
      <c r="X35" s="277"/>
      <c r="Y35" s="277"/>
      <c r="Z35" t="e">
        <f>VLOOKUP(A35,#REF!,9,FALSE)</f>
        <v>#REF!</v>
      </c>
    </row>
    <row r="36" spans="1:26" ht="15.75" thickBot="1">
      <c r="A36" s="275" t="s">
        <v>872</v>
      </c>
      <c r="B36" s="102" t="s">
        <v>50</v>
      </c>
      <c r="C36" s="215">
        <v>45772</v>
      </c>
      <c r="D36" s="282"/>
      <c r="E36" s="269" t="s">
        <v>2177</v>
      </c>
      <c r="F36" s="282"/>
      <c r="G36" s="283" t="s">
        <v>2196</v>
      </c>
      <c r="H36" s="230"/>
      <c r="I36" s="230"/>
      <c r="J36" s="45"/>
      <c r="K36" s="204"/>
      <c r="L36" s="204"/>
      <c r="M36" s="204"/>
      <c r="N36" s="284"/>
      <c r="O36" s="285"/>
      <c r="P36" s="274"/>
      <c r="Q36" s="275" t="s">
        <v>2196</v>
      </c>
      <c r="R36" s="131" t="s">
        <v>2214</v>
      </c>
      <c r="S36" s="131"/>
      <c r="T36" s="276"/>
      <c r="U36" s="277"/>
      <c r="V36" s="277"/>
      <c r="W36" s="277"/>
      <c r="X36" s="277"/>
      <c r="Y36" s="277"/>
      <c r="Z36" t="e">
        <f>VLOOKUP(A36,#REF!,9,FALSE)</f>
        <v>#REF!</v>
      </c>
    </row>
    <row r="37" spans="1:26" ht="15.75" thickBot="1">
      <c r="A37" s="275" t="s">
        <v>882</v>
      </c>
      <c r="B37" s="102" t="s">
        <v>50</v>
      </c>
      <c r="C37" s="215">
        <v>45831</v>
      </c>
      <c r="D37" s="282"/>
      <c r="E37" s="269" t="s">
        <v>2177</v>
      </c>
      <c r="F37" s="282"/>
      <c r="G37" s="283" t="s">
        <v>2175</v>
      </c>
      <c r="H37" s="230"/>
      <c r="I37" s="230"/>
      <c r="J37" s="45"/>
      <c r="K37" s="204"/>
      <c r="L37" s="204"/>
      <c r="M37" s="204"/>
      <c r="N37" s="284"/>
      <c r="O37" s="285"/>
      <c r="P37" s="274"/>
      <c r="Q37" s="275" t="s">
        <v>64</v>
      </c>
      <c r="R37" s="131" t="s">
        <v>2214</v>
      </c>
      <c r="S37" s="131"/>
      <c r="T37" s="276"/>
      <c r="U37" s="277"/>
      <c r="V37" s="277"/>
      <c r="W37" s="277"/>
      <c r="X37" s="277"/>
      <c r="Y37" s="277"/>
      <c r="Z37" t="e">
        <f>VLOOKUP(A37,#REF!,9,FALSE)</f>
        <v>#REF!</v>
      </c>
    </row>
    <row r="38" spans="1:26" ht="15.75" thickBot="1">
      <c r="A38" s="275" t="s">
        <v>886</v>
      </c>
      <c r="B38" s="102" t="s">
        <v>50</v>
      </c>
      <c r="C38" s="215">
        <v>45831</v>
      </c>
      <c r="D38" s="282"/>
      <c r="E38" s="269" t="s">
        <v>2177</v>
      </c>
      <c r="F38" s="282"/>
      <c r="G38" s="283" t="s">
        <v>2175</v>
      </c>
      <c r="H38" s="230"/>
      <c r="I38" s="230"/>
      <c r="J38" s="45"/>
      <c r="K38" s="204"/>
      <c r="L38" s="204"/>
      <c r="M38" s="204"/>
      <c r="N38" s="284"/>
      <c r="O38" s="285"/>
      <c r="P38" s="274"/>
      <c r="Q38" s="275" t="s">
        <v>64</v>
      </c>
      <c r="R38" s="131" t="s">
        <v>2214</v>
      </c>
      <c r="S38" s="131"/>
      <c r="T38" s="276"/>
      <c r="U38" s="277"/>
      <c r="V38" s="277"/>
      <c r="W38" s="277"/>
      <c r="X38" s="277"/>
      <c r="Y38" s="277"/>
      <c r="Z38" t="e">
        <f>VLOOKUP(A38,#REF!,9,FALSE)</f>
        <v>#REF!</v>
      </c>
    </row>
    <row r="39" spans="1:26" s="216" customFormat="1" ht="70.150000000000006" customHeight="1" thickBot="1">
      <c r="A39" s="220" t="s">
        <v>2197</v>
      </c>
      <c r="B39" s="224" t="e">
        <v>#N/A</v>
      </c>
      <c r="C39" s="223" t="e">
        <v>#N/A</v>
      </c>
      <c r="D39" s="289"/>
      <c r="E39" s="269" t="s">
        <v>2177</v>
      </c>
      <c r="F39" s="289"/>
      <c r="G39" s="290" t="s">
        <v>2196</v>
      </c>
      <c r="H39" s="222"/>
      <c r="I39" s="222"/>
      <c r="J39" s="222"/>
      <c r="K39" s="221"/>
      <c r="L39" s="221"/>
      <c r="M39" s="221"/>
      <c r="N39" s="222"/>
      <c r="O39" s="291"/>
      <c r="P39" s="274"/>
      <c r="Q39" s="220" t="s">
        <v>2196</v>
      </c>
      <c r="R39" s="131" t="s">
        <v>2214</v>
      </c>
      <c r="S39" s="219"/>
      <c r="T39" s="218"/>
      <c r="U39" s="217"/>
      <c r="V39" s="217"/>
      <c r="W39" s="217"/>
      <c r="X39" s="217"/>
      <c r="Y39" s="217" t="s">
        <v>2221</v>
      </c>
      <c r="Z39" t="e">
        <f>VLOOKUP(A39,#REF!,9,FALSE)</f>
        <v>#REF!</v>
      </c>
    </row>
    <row r="40" spans="1:26" ht="15.75" thickBot="1">
      <c r="A40" s="275" t="s">
        <v>890</v>
      </c>
      <c r="B40" s="102" t="s">
        <v>50</v>
      </c>
      <c r="C40" s="215">
        <v>45831</v>
      </c>
      <c r="D40" s="282"/>
      <c r="E40" s="269" t="s">
        <v>2177</v>
      </c>
      <c r="F40" s="282"/>
      <c r="G40" s="283" t="s">
        <v>2175</v>
      </c>
      <c r="H40" s="230"/>
      <c r="I40" s="230"/>
      <c r="J40" s="45"/>
      <c r="K40" s="204"/>
      <c r="L40" s="204"/>
      <c r="M40" s="204"/>
      <c r="N40" s="284"/>
      <c r="O40" s="285"/>
      <c r="P40" s="274"/>
      <c r="Q40" s="275" t="s">
        <v>64</v>
      </c>
      <c r="R40" s="131" t="s">
        <v>2214</v>
      </c>
      <c r="S40" s="131"/>
      <c r="T40" s="276"/>
      <c r="U40" s="277"/>
      <c r="V40" s="277"/>
      <c r="W40" s="277"/>
      <c r="X40" s="277"/>
      <c r="Y40" s="277"/>
      <c r="Z40" t="e">
        <f>VLOOKUP(A40,#REF!,9,FALSE)</f>
        <v>#REF!</v>
      </c>
    </row>
    <row r="41" spans="1:26" ht="15.75" thickBot="1">
      <c r="A41" s="275" t="s">
        <v>75</v>
      </c>
      <c r="B41" s="102" t="s">
        <v>50</v>
      </c>
      <c r="C41" s="215">
        <v>45807</v>
      </c>
      <c r="D41" s="282"/>
      <c r="E41" s="269" t="s">
        <v>2212</v>
      </c>
      <c r="F41" s="282"/>
      <c r="G41" s="283" t="s">
        <v>2175</v>
      </c>
      <c r="H41" s="230"/>
      <c r="I41" s="230"/>
      <c r="J41" s="45"/>
      <c r="K41" s="204"/>
      <c r="L41" s="204"/>
      <c r="M41" s="204"/>
      <c r="N41" s="284"/>
      <c r="O41" s="285"/>
      <c r="P41" s="274" t="s">
        <v>2213</v>
      </c>
      <c r="Q41" s="275" t="s">
        <v>58</v>
      </c>
      <c r="R41" s="131" t="s">
        <v>2214</v>
      </c>
      <c r="S41" s="131"/>
      <c r="T41" s="276"/>
      <c r="U41" s="277"/>
      <c r="V41" s="277"/>
      <c r="W41" s="277"/>
      <c r="X41" s="277"/>
      <c r="Y41" s="277"/>
      <c r="Z41" t="e">
        <f>VLOOKUP(A41,#REF!,9,FALSE)</f>
        <v>#REF!</v>
      </c>
    </row>
    <row r="42" spans="1:26" ht="15.75" thickBot="1">
      <c r="A42" s="275" t="s">
        <v>512</v>
      </c>
      <c r="B42" s="102" t="s">
        <v>50</v>
      </c>
      <c r="C42" s="215">
        <v>45807</v>
      </c>
      <c r="D42" s="282"/>
      <c r="E42" s="269" t="s">
        <v>2212</v>
      </c>
      <c r="F42" s="282"/>
      <c r="G42" s="283" t="s">
        <v>2175</v>
      </c>
      <c r="H42" s="230"/>
      <c r="I42" s="230"/>
      <c r="J42" s="45"/>
      <c r="K42" s="204"/>
      <c r="L42" s="204"/>
      <c r="M42" s="204"/>
      <c r="N42" s="284"/>
      <c r="O42" s="285"/>
      <c r="P42" s="274" t="s">
        <v>2213</v>
      </c>
      <c r="Q42" s="275" t="s">
        <v>64</v>
      </c>
      <c r="R42" s="131" t="s">
        <v>2214</v>
      </c>
      <c r="S42" s="131"/>
      <c r="T42" s="276"/>
      <c r="U42" s="277"/>
      <c r="V42" s="277"/>
      <c r="W42" s="277"/>
      <c r="X42" s="277"/>
      <c r="Y42" s="277"/>
      <c r="Z42" t="e">
        <f>VLOOKUP(A42,#REF!,9,FALSE)</f>
        <v>#REF!</v>
      </c>
    </row>
    <row r="43" spans="1:26" ht="15.75" thickBot="1">
      <c r="A43" s="275" t="s">
        <v>509</v>
      </c>
      <c r="B43" s="102" t="s">
        <v>50</v>
      </c>
      <c r="C43" s="215">
        <v>45807</v>
      </c>
      <c r="D43" s="282"/>
      <c r="E43" s="269" t="s">
        <v>2212</v>
      </c>
      <c r="F43" s="282"/>
      <c r="G43" s="283" t="s">
        <v>2175</v>
      </c>
      <c r="H43" s="230"/>
      <c r="I43" s="230"/>
      <c r="J43" s="45"/>
      <c r="K43" s="204"/>
      <c r="L43" s="204"/>
      <c r="M43" s="204"/>
      <c r="N43" s="284"/>
      <c r="O43" s="285"/>
      <c r="P43" s="274" t="s">
        <v>2213</v>
      </c>
      <c r="Q43" s="275" t="s">
        <v>58</v>
      </c>
      <c r="R43" s="131" t="s">
        <v>2214</v>
      </c>
      <c r="S43" s="131"/>
      <c r="T43" s="276"/>
      <c r="U43" s="277"/>
      <c r="V43" s="277"/>
      <c r="W43" s="277"/>
      <c r="X43" s="277"/>
      <c r="Y43" s="277"/>
      <c r="Z43" t="e">
        <f>VLOOKUP(A43,#REF!,9,FALSE)</f>
        <v>#REF!</v>
      </c>
    </row>
    <row r="44" spans="1:26" ht="15.75" thickBot="1">
      <c r="A44" s="275" t="s">
        <v>506</v>
      </c>
      <c r="B44" s="102" t="s">
        <v>50</v>
      </c>
      <c r="C44" s="215">
        <v>45807</v>
      </c>
      <c r="D44" s="282"/>
      <c r="E44" s="269" t="s">
        <v>2212</v>
      </c>
      <c r="F44" s="282"/>
      <c r="G44" s="283" t="s">
        <v>2175</v>
      </c>
      <c r="H44" s="230"/>
      <c r="I44" s="230"/>
      <c r="J44" s="45"/>
      <c r="K44" s="204"/>
      <c r="L44" s="204"/>
      <c r="M44" s="204"/>
      <c r="N44" s="284"/>
      <c r="O44" s="285"/>
      <c r="P44" s="274" t="s">
        <v>2183</v>
      </c>
      <c r="Q44" s="275" t="s">
        <v>64</v>
      </c>
      <c r="R44" s="131" t="s">
        <v>2214</v>
      </c>
      <c r="S44" s="131"/>
      <c r="T44" s="276"/>
      <c r="U44" s="277"/>
      <c r="V44" s="277"/>
      <c r="W44" s="277"/>
      <c r="X44" s="277"/>
      <c r="Y44" s="277"/>
      <c r="Z44" t="e">
        <f>VLOOKUP(A44,#REF!,9,FALSE)</f>
        <v>#REF!</v>
      </c>
    </row>
    <row r="45" spans="1:26" ht="15.75" thickBot="1">
      <c r="A45" s="335" t="s">
        <v>659</v>
      </c>
      <c r="B45" s="102" t="s">
        <v>50</v>
      </c>
      <c r="C45" s="215">
        <v>45807</v>
      </c>
      <c r="D45" s="282"/>
      <c r="E45" s="269" t="s">
        <v>2177</v>
      </c>
      <c r="F45" s="282"/>
      <c r="G45" s="283" t="s">
        <v>2175</v>
      </c>
      <c r="H45" s="230"/>
      <c r="I45" s="230"/>
      <c r="J45" s="45"/>
      <c r="K45" s="204"/>
      <c r="L45" s="204"/>
      <c r="M45" s="204"/>
      <c r="N45" s="284"/>
      <c r="O45" s="285"/>
      <c r="P45" s="274"/>
      <c r="Q45" s="275" t="s">
        <v>58</v>
      </c>
      <c r="R45" s="131" t="s">
        <v>2214</v>
      </c>
      <c r="S45" s="131"/>
      <c r="T45" s="276"/>
      <c r="U45" s="277"/>
      <c r="V45" s="277"/>
      <c r="W45" s="277"/>
      <c r="X45" s="277"/>
      <c r="Y45" s="277"/>
      <c r="Z45" t="e">
        <f>VLOOKUP(A45,#REF!,9,FALSE)</f>
        <v>#REF!</v>
      </c>
    </row>
    <row r="46" spans="1:26" ht="15.75" thickBot="1">
      <c r="A46" s="292" t="s">
        <v>661</v>
      </c>
      <c r="B46" s="102" t="s">
        <v>50</v>
      </c>
      <c r="C46" s="215">
        <v>45807</v>
      </c>
      <c r="D46" s="282"/>
      <c r="E46" s="269" t="s">
        <v>2177</v>
      </c>
      <c r="F46" s="282"/>
      <c r="G46" s="290" t="s">
        <v>2175</v>
      </c>
      <c r="H46" s="230"/>
      <c r="I46" s="230"/>
      <c r="J46" s="45"/>
      <c r="K46" s="204"/>
      <c r="L46" s="204"/>
      <c r="M46" s="204"/>
      <c r="N46" s="284"/>
      <c r="O46" s="285"/>
      <c r="P46" s="274"/>
      <c r="Q46" s="275" t="s">
        <v>58</v>
      </c>
      <c r="R46" s="131" t="s">
        <v>2214</v>
      </c>
      <c r="S46" s="131"/>
      <c r="T46" s="276"/>
      <c r="U46" s="277"/>
      <c r="V46" s="277"/>
      <c r="W46" s="277"/>
      <c r="X46" s="277"/>
      <c r="Y46" s="277"/>
      <c r="Z46" t="e">
        <f>VLOOKUP(A46,#REF!,9,FALSE)</f>
        <v>#REF!</v>
      </c>
    </row>
    <row r="47" spans="1:26" ht="15.75" thickBot="1">
      <c r="A47" s="293" t="s">
        <v>149</v>
      </c>
      <c r="B47" s="102" t="s">
        <v>50</v>
      </c>
      <c r="C47" s="215">
        <v>45807</v>
      </c>
      <c r="D47" s="282"/>
      <c r="E47" s="269" t="s">
        <v>2177</v>
      </c>
      <c r="F47" s="282"/>
      <c r="G47" s="283" t="s">
        <v>2175</v>
      </c>
      <c r="H47" s="230"/>
      <c r="I47" s="230"/>
      <c r="J47" s="45"/>
      <c r="K47" s="204"/>
      <c r="L47" s="204"/>
      <c r="M47" s="204"/>
      <c r="N47" s="284"/>
      <c r="O47" s="285"/>
      <c r="P47" s="274" t="s">
        <v>2186</v>
      </c>
      <c r="Q47" s="275" t="s">
        <v>58</v>
      </c>
      <c r="R47" s="131" t="s">
        <v>2217</v>
      </c>
      <c r="S47" s="131"/>
      <c r="T47" s="276"/>
      <c r="U47" s="277"/>
      <c r="V47" s="277"/>
      <c r="W47" s="277"/>
      <c r="X47" s="277"/>
      <c r="Y47" s="277"/>
      <c r="Z47" t="e">
        <f>VLOOKUP(A47,#REF!,9,FALSE)</f>
        <v>#REF!</v>
      </c>
    </row>
    <row r="48" spans="1:26" ht="15.75" thickBot="1">
      <c r="A48" s="292" t="s">
        <v>710</v>
      </c>
      <c r="B48" s="102" t="s">
        <v>50</v>
      </c>
      <c r="C48" s="215">
        <v>45807</v>
      </c>
      <c r="D48" s="282"/>
      <c r="E48" s="269" t="s">
        <v>2177</v>
      </c>
      <c r="F48" s="282"/>
      <c r="G48" s="290" t="s">
        <v>2196</v>
      </c>
      <c r="H48" s="230"/>
      <c r="I48" s="230"/>
      <c r="J48" s="45"/>
      <c r="K48" s="204"/>
      <c r="L48" s="204"/>
      <c r="M48" s="204"/>
      <c r="N48" s="284"/>
      <c r="O48" s="285"/>
      <c r="P48" s="274" t="s">
        <v>2223</v>
      </c>
      <c r="Q48" s="275" t="s">
        <v>2196</v>
      </c>
      <c r="R48" s="131" t="s">
        <v>2214</v>
      </c>
      <c r="S48" s="131"/>
      <c r="T48" s="276"/>
      <c r="U48" s="277"/>
      <c r="V48" s="277"/>
      <c r="W48" s="277"/>
      <c r="X48" s="277"/>
      <c r="Y48" s="277"/>
      <c r="Z48" t="e">
        <f>VLOOKUP(A48,#REF!,9,FALSE)</f>
        <v>#REF!</v>
      </c>
    </row>
    <row r="49" spans="1:26" ht="15.75" thickBot="1">
      <c r="A49" s="292" t="s">
        <v>704</v>
      </c>
      <c r="B49" s="102" t="s">
        <v>96</v>
      </c>
      <c r="C49" s="215">
        <v>45772</v>
      </c>
      <c r="D49" s="282"/>
      <c r="E49" s="269" t="s">
        <v>2177</v>
      </c>
      <c r="F49" s="282"/>
      <c r="G49" s="290" t="s">
        <v>2196</v>
      </c>
      <c r="H49" s="230"/>
      <c r="I49" s="230"/>
      <c r="J49" s="45"/>
      <c r="K49" s="204"/>
      <c r="L49" s="204"/>
      <c r="M49" s="204"/>
      <c r="N49" s="284"/>
      <c r="O49" s="285"/>
      <c r="P49" s="274" t="s">
        <v>2223</v>
      </c>
      <c r="Q49" s="275" t="s">
        <v>2196</v>
      </c>
      <c r="R49" s="131" t="s">
        <v>2214</v>
      </c>
      <c r="S49" s="131"/>
      <c r="T49" s="276"/>
      <c r="U49" s="277"/>
      <c r="V49" s="277"/>
      <c r="W49" s="277"/>
      <c r="X49" s="277"/>
      <c r="Y49" s="277"/>
      <c r="Z49" t="e">
        <f>VLOOKUP(A49,#REF!,9,FALSE)</f>
        <v>#REF!</v>
      </c>
    </row>
    <row r="50" spans="1:26" ht="15.75" thickBot="1">
      <c r="A50" s="292" t="s">
        <v>702</v>
      </c>
      <c r="B50" s="102" t="s">
        <v>96</v>
      </c>
      <c r="C50" s="215">
        <v>45772</v>
      </c>
      <c r="D50" s="282"/>
      <c r="E50" s="269" t="s">
        <v>2177</v>
      </c>
      <c r="F50" s="282"/>
      <c r="G50" s="290" t="s">
        <v>2196</v>
      </c>
      <c r="H50" s="230"/>
      <c r="I50" s="230"/>
      <c r="J50" s="45"/>
      <c r="K50" s="204"/>
      <c r="L50" s="204"/>
      <c r="M50" s="204"/>
      <c r="N50" s="284"/>
      <c r="O50" s="285"/>
      <c r="P50" s="274" t="s">
        <v>2223</v>
      </c>
      <c r="Q50" s="275" t="s">
        <v>2196</v>
      </c>
      <c r="R50" s="131" t="s">
        <v>2214</v>
      </c>
      <c r="S50" s="131"/>
      <c r="T50" s="276"/>
      <c r="U50" s="277"/>
      <c r="V50" s="277"/>
      <c r="W50" s="277"/>
      <c r="X50" s="277"/>
      <c r="Y50" s="277"/>
      <c r="Z50" t="e">
        <f>VLOOKUP(A50,#REF!,9,FALSE)</f>
        <v>#REF!</v>
      </c>
    </row>
    <row r="51" spans="1:26" ht="15.75" thickBot="1">
      <c r="A51" s="292" t="s">
        <v>708</v>
      </c>
      <c r="B51" s="102" t="e">
        <v>#N/A</v>
      </c>
      <c r="C51" s="215" t="e">
        <v>#N/A</v>
      </c>
      <c r="D51" s="282"/>
      <c r="E51" s="269" t="s">
        <v>2177</v>
      </c>
      <c r="F51" s="282"/>
      <c r="G51" s="290" t="s">
        <v>2196</v>
      </c>
      <c r="H51" s="230"/>
      <c r="I51" s="230"/>
      <c r="J51" s="45"/>
      <c r="K51" s="204"/>
      <c r="L51" s="204"/>
      <c r="M51" s="204"/>
      <c r="N51" s="284"/>
      <c r="O51" s="285"/>
      <c r="P51" s="274" t="s">
        <v>2223</v>
      </c>
      <c r="Q51" s="275" t="s">
        <v>2196</v>
      </c>
      <c r="R51" s="131" t="s">
        <v>2214</v>
      </c>
      <c r="S51" s="131"/>
      <c r="T51" s="276"/>
      <c r="U51" s="277"/>
      <c r="V51" s="277"/>
      <c r="W51" s="277"/>
      <c r="X51" s="277"/>
      <c r="Y51" s="277"/>
      <c r="Z51" t="e">
        <f>VLOOKUP(A51,#REF!,9,FALSE)</f>
        <v>#REF!</v>
      </c>
    </row>
    <row r="52" spans="1:26" ht="13.9" customHeight="1" thickBot="1">
      <c r="A52" s="292" t="s">
        <v>684</v>
      </c>
      <c r="B52" s="102" t="s">
        <v>96</v>
      </c>
      <c r="C52" s="215">
        <v>45925</v>
      </c>
      <c r="D52" s="282"/>
      <c r="E52" s="269" t="s">
        <v>2212</v>
      </c>
      <c r="F52" s="282"/>
      <c r="G52" s="283" t="s">
        <v>2175</v>
      </c>
      <c r="H52" s="230"/>
      <c r="I52" s="230"/>
      <c r="J52" s="45"/>
      <c r="K52" s="204"/>
      <c r="L52" s="204"/>
      <c r="M52" s="204"/>
      <c r="N52" s="284"/>
      <c r="O52" s="285"/>
      <c r="P52" s="274" t="s">
        <v>2213</v>
      </c>
      <c r="Q52" s="275" t="s">
        <v>64</v>
      </c>
      <c r="R52" s="131" t="s">
        <v>2214</v>
      </c>
      <c r="S52" s="131"/>
      <c r="T52" s="276"/>
      <c r="U52" s="277"/>
      <c r="V52" s="277"/>
      <c r="W52" s="277"/>
      <c r="X52" s="277"/>
      <c r="Y52" s="277"/>
      <c r="Z52" t="e">
        <f>VLOOKUP(A52,#REF!,9,FALSE)</f>
        <v>#REF!</v>
      </c>
    </row>
    <row r="53" spans="1:26" ht="15.75" thickBot="1">
      <c r="A53" s="292" t="s">
        <v>686</v>
      </c>
      <c r="B53" s="102" t="s">
        <v>96</v>
      </c>
      <c r="C53" s="215">
        <v>45925</v>
      </c>
      <c r="D53" s="282"/>
      <c r="E53" s="269" t="s">
        <v>2212</v>
      </c>
      <c r="F53" s="282"/>
      <c r="G53" s="283" t="s">
        <v>2175</v>
      </c>
      <c r="H53" s="230"/>
      <c r="I53" s="230"/>
      <c r="J53" s="45"/>
      <c r="K53" s="204"/>
      <c r="L53" s="204"/>
      <c r="M53" s="204"/>
      <c r="N53" s="284"/>
      <c r="O53" s="285"/>
      <c r="P53" s="274" t="s">
        <v>2213</v>
      </c>
      <c r="Q53" s="275" t="s">
        <v>64</v>
      </c>
      <c r="R53" s="131" t="s">
        <v>2214</v>
      </c>
      <c r="S53" s="131"/>
      <c r="T53" s="276"/>
      <c r="U53" s="277"/>
      <c r="V53" s="277"/>
      <c r="W53" s="277"/>
      <c r="X53" s="277"/>
      <c r="Y53" s="277"/>
      <c r="Z53" t="e">
        <f>VLOOKUP(A53,#REF!,9,FALSE)</f>
        <v>#REF!</v>
      </c>
    </row>
    <row r="54" spans="1:26" ht="15.75" thickBot="1">
      <c r="A54" s="292" t="s">
        <v>682</v>
      </c>
      <c r="B54" s="102" t="s">
        <v>96</v>
      </c>
      <c r="C54" s="215">
        <v>45925</v>
      </c>
      <c r="D54" s="282"/>
      <c r="E54" s="269" t="s">
        <v>2212</v>
      </c>
      <c r="F54" s="282"/>
      <c r="G54" s="283" t="s">
        <v>2175</v>
      </c>
      <c r="H54" s="230"/>
      <c r="I54" s="230"/>
      <c r="J54" s="45"/>
      <c r="K54" s="204"/>
      <c r="L54" s="204"/>
      <c r="M54" s="204"/>
      <c r="N54" s="284"/>
      <c r="O54" s="285"/>
      <c r="P54" s="274" t="s">
        <v>2213</v>
      </c>
      <c r="Q54" s="275" t="s">
        <v>64</v>
      </c>
      <c r="R54" s="131" t="s">
        <v>2214</v>
      </c>
      <c r="S54" s="131"/>
      <c r="T54" s="276"/>
      <c r="U54" s="277"/>
      <c r="V54" s="277"/>
      <c r="W54" s="277"/>
      <c r="X54" s="277"/>
      <c r="Y54" s="277"/>
      <c r="Z54" t="e">
        <f>VLOOKUP(A54,#REF!,9,FALSE)</f>
        <v>#REF!</v>
      </c>
    </row>
    <row r="55" spans="1:26" ht="15.75" thickBot="1">
      <c r="A55" s="292" t="s">
        <v>740</v>
      </c>
      <c r="B55" s="102" t="s">
        <v>96</v>
      </c>
      <c r="C55" s="215">
        <v>45862</v>
      </c>
      <c r="D55" s="282"/>
      <c r="E55" s="269" t="s">
        <v>2212</v>
      </c>
      <c r="F55" s="282"/>
      <c r="G55" s="283" t="s">
        <v>2175</v>
      </c>
      <c r="H55" s="230"/>
      <c r="I55" s="230"/>
      <c r="J55" s="45"/>
      <c r="K55" s="204"/>
      <c r="L55" s="204"/>
      <c r="M55" s="204"/>
      <c r="N55" s="284"/>
      <c r="O55" s="285"/>
      <c r="P55" s="274" t="s">
        <v>2186</v>
      </c>
      <c r="Q55" s="275" t="s">
        <v>58</v>
      </c>
      <c r="R55" s="131" t="s">
        <v>2217</v>
      </c>
      <c r="S55" s="131"/>
      <c r="T55" s="276"/>
      <c r="U55" s="277"/>
      <c r="V55" s="277"/>
      <c r="W55" s="277"/>
      <c r="X55" s="277"/>
      <c r="Y55" s="277"/>
      <c r="Z55" t="e">
        <f>VLOOKUP(A55,#REF!,9,FALSE)</f>
        <v>#REF!</v>
      </c>
    </row>
    <row r="56" spans="1:26" ht="15.75" thickBot="1">
      <c r="A56" s="292" t="s">
        <v>113</v>
      </c>
      <c r="B56" s="102"/>
      <c r="C56" s="215" t="e">
        <v>#N/A</v>
      </c>
      <c r="D56" s="282"/>
      <c r="E56" s="269" t="s">
        <v>2212</v>
      </c>
      <c r="F56" s="282"/>
      <c r="G56" s="283" t="s">
        <v>2175</v>
      </c>
      <c r="H56" s="230"/>
      <c r="I56" s="230"/>
      <c r="J56" s="45"/>
      <c r="K56" s="204"/>
      <c r="L56" s="204"/>
      <c r="M56" s="204"/>
      <c r="N56" s="284"/>
      <c r="O56" s="285"/>
      <c r="P56" s="274" t="s">
        <v>2224</v>
      </c>
      <c r="Q56" s="275" t="s">
        <v>58</v>
      </c>
      <c r="R56" s="131" t="s">
        <v>2217</v>
      </c>
      <c r="S56" s="131"/>
      <c r="T56" s="276"/>
      <c r="U56" s="277"/>
      <c r="V56" s="277"/>
      <c r="W56" s="277"/>
      <c r="X56" s="277"/>
      <c r="Y56" s="277"/>
      <c r="Z56" t="e">
        <f>VLOOKUP(A56,#REF!,9,FALSE)</f>
        <v>#REF!</v>
      </c>
    </row>
    <row r="57" spans="1:26" ht="15.75" thickBot="1">
      <c r="A57" s="162" t="s">
        <v>2225</v>
      </c>
      <c r="B57" s="102" t="s">
        <v>96</v>
      </c>
      <c r="C57" s="294">
        <v>45787</v>
      </c>
      <c r="D57" s="282"/>
      <c r="E57" s="269" t="s">
        <v>2212</v>
      </c>
      <c r="F57" s="282"/>
      <c r="G57" s="283" t="s">
        <v>2175</v>
      </c>
      <c r="H57" s="230"/>
      <c r="I57" s="230"/>
      <c r="J57" s="45"/>
      <c r="K57" s="204"/>
      <c r="L57" s="204"/>
      <c r="M57" s="204"/>
      <c r="N57" s="284"/>
      <c r="O57" s="285"/>
      <c r="P57" s="274" t="s">
        <v>2186</v>
      </c>
      <c r="Q57" s="275" t="s">
        <v>2226</v>
      </c>
      <c r="R57" s="131" t="s">
        <v>2217</v>
      </c>
      <c r="S57" s="131"/>
      <c r="T57" s="276"/>
      <c r="U57" s="277"/>
      <c r="V57" s="277"/>
      <c r="W57" s="277"/>
      <c r="X57" s="277"/>
      <c r="Y57" s="277"/>
      <c r="Z57" t="e">
        <f>VLOOKUP(A57,#REF!,9,FALSE)</f>
        <v>#REF!</v>
      </c>
    </row>
    <row r="58" spans="1:26" ht="15.75" thickBot="1">
      <c r="A58" s="618" t="s">
        <v>682</v>
      </c>
      <c r="B58" s="102" t="s">
        <v>50</v>
      </c>
      <c r="C58" s="296">
        <v>45807</v>
      </c>
      <c r="D58" s="282"/>
      <c r="E58" s="269" t="s">
        <v>2177</v>
      </c>
      <c r="F58" s="282"/>
      <c r="G58" s="283" t="s">
        <v>2175</v>
      </c>
      <c r="H58" s="230"/>
      <c r="I58" s="230"/>
      <c r="J58" s="45"/>
      <c r="K58" s="204"/>
      <c r="L58" s="204"/>
      <c r="M58" s="204"/>
      <c r="N58" s="284"/>
      <c r="O58" s="285"/>
      <c r="P58" s="287"/>
      <c r="Q58" s="275" t="s">
        <v>64</v>
      </c>
      <c r="R58" s="131" t="s">
        <v>2214</v>
      </c>
      <c r="S58" s="131"/>
      <c r="T58" s="276"/>
      <c r="U58" s="277"/>
      <c r="V58" s="277"/>
      <c r="W58" s="277"/>
      <c r="X58" s="277"/>
      <c r="Y58" s="277"/>
    </row>
    <row r="59" spans="1:26" ht="15.75" thickBot="1">
      <c r="A59" s="618" t="s">
        <v>684</v>
      </c>
      <c r="B59" s="102" t="s">
        <v>96</v>
      </c>
      <c r="C59" s="296">
        <v>45772</v>
      </c>
      <c r="D59" s="282"/>
      <c r="E59" s="269" t="s">
        <v>2177</v>
      </c>
      <c r="F59" s="282"/>
      <c r="G59" s="283" t="s">
        <v>2175</v>
      </c>
      <c r="H59" s="230"/>
      <c r="I59" s="230"/>
      <c r="J59" s="45"/>
      <c r="K59" s="204"/>
      <c r="L59" s="204"/>
      <c r="M59" s="204"/>
      <c r="N59" s="284"/>
      <c r="O59" s="285"/>
      <c r="P59" s="287"/>
      <c r="Q59" s="275" t="s">
        <v>64</v>
      </c>
      <c r="R59" s="131" t="s">
        <v>2214</v>
      </c>
      <c r="S59" s="131"/>
      <c r="T59" s="276"/>
      <c r="U59" s="277"/>
      <c r="V59" s="277"/>
      <c r="W59" s="277"/>
      <c r="X59" s="277"/>
      <c r="Y59" s="277"/>
    </row>
    <row r="60" spans="1:26" ht="15.75" thickBot="1">
      <c r="A60" s="619" t="s">
        <v>686</v>
      </c>
      <c r="B60" s="102" t="s">
        <v>96</v>
      </c>
      <c r="C60" s="296">
        <v>45772</v>
      </c>
      <c r="D60" s="282"/>
      <c r="E60" s="269" t="s">
        <v>2177</v>
      </c>
      <c r="F60" s="282"/>
      <c r="G60" s="283" t="s">
        <v>2175</v>
      </c>
      <c r="H60" s="230"/>
      <c r="I60" s="230"/>
      <c r="J60" s="45"/>
      <c r="K60" s="204"/>
      <c r="L60" s="204"/>
      <c r="M60" s="204"/>
      <c r="N60" s="284"/>
      <c r="O60" s="285"/>
      <c r="P60" s="287"/>
      <c r="Q60" s="275" t="s">
        <v>64</v>
      </c>
      <c r="R60" s="131" t="s">
        <v>2214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2206</v>
      </c>
      <c r="B70" s="301">
        <f>SUM(K4:K9)</f>
        <v>0</v>
      </c>
      <c r="C70" s="302" t="e">
        <f>B70/B73</f>
        <v>#DIV/0!</v>
      </c>
    </row>
    <row r="71" spans="1:25">
      <c r="A71" s="300" t="s">
        <v>2162</v>
      </c>
      <c r="B71" s="301">
        <f>SUM(L4:L9)</f>
        <v>0</v>
      </c>
      <c r="C71" s="302" t="e">
        <f>B71/B73</f>
        <v>#DIV/0!</v>
      </c>
    </row>
    <row r="72" spans="1:25">
      <c r="A72" s="300" t="s">
        <v>2207</v>
      </c>
      <c r="B72" s="301">
        <f>SUM(M4:M9)</f>
        <v>0</v>
      </c>
      <c r="C72" s="302" t="e">
        <f>B72/B73</f>
        <v>#DIV/0!</v>
      </c>
    </row>
    <row r="73" spans="1:25">
      <c r="A73" s="300" t="s">
        <v>1085</v>
      </c>
      <c r="B73" s="301">
        <f>SUM(B70:B72)</f>
        <v>0</v>
      </c>
      <c r="C73" s="279"/>
    </row>
    <row r="80" spans="1:25">
      <c r="A80" t="s">
        <v>2227</v>
      </c>
    </row>
    <row r="81" spans="1:1">
      <c r="A81" t="s">
        <v>2228</v>
      </c>
    </row>
    <row r="82" spans="1:1">
      <c r="A82" t="s">
        <v>2213</v>
      </c>
    </row>
    <row r="83" spans="1:1">
      <c r="A83" t="s">
        <v>2229</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BB4F4D2-C233-44D7-A203-92B9BBD8A39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2026-01-28T18:06:56Z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