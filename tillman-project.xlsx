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30" documentId="8_{E14B221E-02E2-46A3-8CEC-C736815F2DD5}" xr6:coauthVersionLast="47" xr6:coauthVersionMax="47" xr10:uidLastSave="{04F20154-B279-4F75-ADDB-E7BBF3CD8F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10" r:id="rId12"/>
    <pivotCache cacheId="611" r:id="rId13"/>
    <pivotCache cacheId="612" r:id="rId14"/>
    <pivotCache cacheId="613" r:id="rId15"/>
    <pivotCache cacheId="6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<sst xmlns="http://schemas.openxmlformats.org/spreadsheetml/2006/main" count="15517" uniqueCount="2007">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</sst>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3" fontId="5" fillId="22" borderId="20" xfId="0" applyNumberFormat="1" applyFont="1" applyFill="1" applyBorder="1" applyAlignment="1">
      <alignment horizontal="center"/>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8" borderId="20" xfId="0"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2">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5">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4">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3">
        <v>0.99</v>
      </c>
      <c r="V83" s="168">
        <v>45722</v>
      </c>
      <c r="W83" s="145">
        <v>1</v>
      </c>
      <c r="X83" s="145">
        <v>1</v>
      </c>
      <c r="Y83" s="145">
        <v>1</v>
      </c>
      <c r="Z83" s="168">
        <v>45917</v>
      </c>
      <c r="AA83" s="149" t="s">
        <v>827</v>
      </c>
    </row>
    <row r="84" spans="1:27" ht="39.75" customHeight="1">
      <c r="A84" s="1215"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4">
        <v>0.99</v>
      </c>
      <c r="V84" s="54">
        <v>45756</v>
      </c>
      <c r="W84" s="676">
        <v>1</v>
      </c>
      <c r="X84" s="676">
        <v>1</v>
      </c>
      <c r="Y84" s="22">
        <v>1</v>
      </c>
      <c r="Z84" s="54"/>
      <c r="AA84" s="1221" t="s">
        <v>830</v>
      </c>
    </row>
    <row r="85" spans="1:27" ht="39.75" customHeight="1">
      <c r="A85" s="1215" t="s">
        <v>831</v>
      </c>
      <c r="B85" s="1216" t="s">
        <v>50</v>
      </c>
      <c r="C85" s="943">
        <v>45688</v>
      </c>
      <c r="D85" s="943" t="s">
        <v>593</v>
      </c>
      <c r="E85" s="943">
        <v>45695</v>
      </c>
      <c r="F85" s="942" t="s">
        <v>61</v>
      </c>
      <c r="G85" s="1217"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4">
        <v>1.1100000000000001</v>
      </c>
      <c r="V85" s="125">
        <v>45750</v>
      </c>
      <c r="W85" s="71">
        <v>1</v>
      </c>
      <c r="X85" s="71">
        <v>1</v>
      </c>
      <c r="Y85" s="22">
        <v>1</v>
      </c>
      <c r="Z85" s="54"/>
      <c r="AA85" s="1222" t="s">
        <v>833</v>
      </c>
    </row>
    <row r="86" spans="1:27" ht="39.75" customHeight="1">
      <c r="A86" s="1215" t="s">
        <v>834</v>
      </c>
      <c r="B86" s="1045" t="s">
        <v>50</v>
      </c>
      <c r="C86" s="1218">
        <v>45688</v>
      </c>
      <c r="D86" s="1037" t="s">
        <v>71</v>
      </c>
      <c r="E86" s="1218">
        <v>45686</v>
      </c>
      <c r="F86" s="1218" t="s">
        <v>61</v>
      </c>
      <c r="G86" s="1219" t="s">
        <v>835</v>
      </c>
      <c r="H86" s="1026">
        <v>88</v>
      </c>
      <c r="I86" s="1025" t="s">
        <v>609</v>
      </c>
      <c r="J86" s="1026" t="s">
        <v>63</v>
      </c>
      <c r="K86" s="1220">
        <v>45706</v>
      </c>
      <c r="L86" s="1025" t="s">
        <v>57</v>
      </c>
      <c r="M86" s="439">
        <v>69212.5</v>
      </c>
      <c r="N86" s="439">
        <v>70500</v>
      </c>
      <c r="O86" s="679" t="s">
        <v>57</v>
      </c>
      <c r="P86" s="1116" t="s">
        <v>235</v>
      </c>
      <c r="Q86" s="615">
        <v>45679</v>
      </c>
      <c r="R86" s="1027">
        <v>5661</v>
      </c>
      <c r="S86" s="107">
        <v>5752</v>
      </c>
      <c r="T86" s="31">
        <v>0</v>
      </c>
      <c r="U86" s="1224">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1949</v>
      </c>
      <c r="C1" s="1228"/>
      <c r="D1" s="574"/>
      <c r="E1" s="1228" t="s">
        <v>1950</v>
      </c>
      <c r="F1" s="1228"/>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1976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5B1B85-8BFC-4A43-AA49-7C855ECA72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2025-12-08T12:09:11Z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