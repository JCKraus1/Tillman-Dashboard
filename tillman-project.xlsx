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23" documentId="120_S{26355A1A-C9FF-5539-9B49-32C1F08D0326}" xr6:coauthVersionLast="47" xr6:coauthVersionMax="47" xr10:uidLastSave="{DB6DA9CE-B87A-46CC-A219-2F3C9EE3991E}"/>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Footage'!$A$81:$DQ$81</definedName>
    <definedName name="_xlnm._FilterDatabase" localSheetId="5" hidden="1">'UG Condensed'!$A$1:$BE$142</definedName>
    <definedName name="_xlnm._FilterDatabase" localSheetId="8" hidden="1">'Daily Production_RAW DATA'!$A$1:$F$2685</definedName>
  </definedNames>
  <calcPr calcId="191028"/>
  <pivotCaches>
    <pivotCache cacheId="3783" r:id="rId10"/>
    <pivotCache cacheId="3784" r:id="rId11"/>
    <pivotCache cacheId="3785" r:id="rId12"/>
    <pivotCache cacheId="3786" r:id="rId13"/>
    <pivotCache cacheId="378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1" i="30" l="1"/>
  <c r="U251" i="30"/>
  <c r="U249" i="30"/>
  <c r="X66" i="2"/>
  <c r="Y66" i="2"/>
  <c r="U254" i="30"/>
  <c r="U248" i="30"/>
  <c r="U146" i="30"/>
  <c r="U250" i="30"/>
  <c r="Y21" i="31"/>
  <c r="X21" i="31"/>
  <c r="U269" i="30"/>
  <c r="U42" i="30"/>
  <c r="U267" i="30"/>
  <c r="U246" i="30"/>
  <c r="U155" i="30"/>
  <c r="U256" i="30"/>
  <c r="U268" i="30"/>
  <c r="X67" i="2"/>
  <c r="Y67" i="2"/>
  <c r="X68" i="2"/>
  <c r="Y68" i="2"/>
  <c r="Y78" i="2"/>
  <c r="X78" i="2"/>
  <c r="Y77" i="2"/>
  <c r="X77" i="2"/>
  <c r="Y76" i="2"/>
  <c r="X76" i="2"/>
  <c r="Y75" i="2"/>
  <c r="X75" i="2"/>
  <c r="Y74" i="2"/>
  <c r="X74" i="2"/>
  <c r="Y73" i="2"/>
  <c r="X73" i="2"/>
  <c r="Y72" i="2"/>
  <c r="X72" i="2"/>
  <c r="Y71" i="2"/>
  <c r="X71" i="2"/>
  <c r="Y70" i="2"/>
  <c r="X70" i="2"/>
  <c r="Y69" i="2"/>
  <c r="X69" i="2"/>
  <c r="U259" i="30"/>
  <c r="U252" i="30"/>
  <c r="U239" i="30"/>
  <c r="U262" i="30"/>
  <c r="U247" i="30"/>
  <c r="X33" i="31"/>
  <c r="Y33"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6" i="2"/>
  <c r="X26" i="2"/>
  <c r="Y24" i="2"/>
  <c r="X24" i="2"/>
  <c r="U218" i="30"/>
  <c r="U139" i="30"/>
  <c r="U265" i="30"/>
  <c r="U244" i="30"/>
  <c r="U266" i="30"/>
  <c r="U224" i="30"/>
  <c r="U162" i="30"/>
  <c r="U193" i="30"/>
  <c r="X31" i="2"/>
  <c r="Y31" i="2"/>
  <c r="U206" i="30"/>
  <c r="X30" i="2"/>
  <c r="Y30" i="2"/>
  <c r="X60" i="2"/>
  <c r="Y60" i="2"/>
  <c r="X61" i="2"/>
  <c r="Y61" i="2"/>
  <c r="U231" i="30"/>
  <c r="U148" i="30"/>
  <c r="U154" i="30"/>
  <c r="U164" i="30"/>
  <c r="U264" i="30"/>
  <c r="U209" i="30"/>
  <c r="U165" i="30"/>
  <c r="X22" i="31"/>
  <c r="Y22" i="31"/>
  <c r="U253" i="30"/>
  <c r="U211" i="30"/>
  <c r="X56" i="2"/>
  <c r="Y56" i="2"/>
  <c r="X57" i="2"/>
  <c r="Y57" i="2"/>
  <c r="X47" i="2"/>
  <c r="Y47" i="2"/>
  <c r="U263" i="30"/>
  <c r="Y17" i="31"/>
  <c r="X17" i="31"/>
  <c r="Y16" i="31"/>
  <c r="X16" i="31"/>
  <c r="Y12" i="31"/>
  <c r="X12" i="31"/>
  <c r="Y11" i="31"/>
  <c r="X11" i="31"/>
  <c r="U220" i="30"/>
  <c r="U197" i="30"/>
  <c r="U196" i="30"/>
  <c r="Y17" i="2"/>
  <c r="X82" i="2"/>
  <c r="Y82" i="2"/>
  <c r="Y8" i="31"/>
  <c r="X8" i="31"/>
  <c r="Y7" i="31"/>
  <c r="X7" i="31"/>
  <c r="U217" i="30"/>
  <c r="Y24" i="31"/>
  <c r="X24" i="31"/>
  <c r="Y65" i="2"/>
  <c r="X65" i="2"/>
  <c r="Y35" i="31"/>
  <c r="X35" i="31"/>
  <c r="U195" i="30"/>
  <c r="U184" i="30"/>
  <c r="Y15" i="31"/>
  <c r="X15" i="31"/>
  <c r="Y37" i="31"/>
  <c r="X37" i="31"/>
  <c r="U242" i="30"/>
  <c r="U243" i="30"/>
  <c r="U241" i="30"/>
  <c r="Y38" i="31"/>
  <c r="X38" i="31"/>
  <c r="Y20" i="31"/>
  <c r="X20" i="31"/>
  <c r="Y145" i="2"/>
  <c r="Y146" i="2"/>
  <c r="Y147" i="2"/>
  <c r="Y148" i="2"/>
  <c r="Y149" i="2"/>
  <c r="Y150" i="2"/>
  <c r="Y151" i="2"/>
  <c r="Y152" i="2"/>
  <c r="Y153" i="2"/>
  <c r="Y154" i="2"/>
  <c r="Y155" i="2"/>
  <c r="Y156" i="2"/>
  <c r="Y29" i="31"/>
  <c r="X29" i="31"/>
  <c r="Y30" i="31"/>
  <c r="X30" i="31"/>
  <c r="Y46" i="2"/>
  <c r="X46" i="2"/>
  <c r="Y53" i="2"/>
  <c r="X53" i="2"/>
  <c r="Y14" i="31"/>
  <c r="X14" i="31"/>
  <c r="U161" i="30"/>
  <c r="X28" i="31"/>
  <c r="Y28" i="31"/>
  <c r="X26" i="31"/>
  <c r="Y26" i="31"/>
  <c r="U47" i="30"/>
  <c r="U205" i="30"/>
  <c r="X13" i="31"/>
  <c r="Y13" i="31"/>
  <c r="Y27" i="31"/>
  <c r="X27" i="31"/>
  <c r="Y23" i="31"/>
  <c r="X23" i="31"/>
  <c r="Y25" i="31"/>
  <c r="X25" i="31"/>
  <c r="Y19" i="31"/>
  <c r="X19" i="31"/>
  <c r="X49" i="2"/>
  <c r="Y49" i="2"/>
  <c r="X34" i="31"/>
  <c r="Y34" i="31"/>
  <c r="Y5" i="31"/>
  <c r="X5" i="31"/>
  <c r="X59" i="2"/>
  <c r="Y59" i="2"/>
  <c r="Y11" i="2"/>
  <c r="X11" i="2"/>
  <c r="Y18" i="31"/>
  <c r="X18" i="31"/>
  <c r="Y20" i="2"/>
  <c r="X20" i="2"/>
  <c r="X7" i="2"/>
  <c r="Y7" i="2"/>
  <c r="Y4" i="31"/>
  <c r="X4" i="31"/>
  <c r="Y12" i="2"/>
  <c r="X12" i="2"/>
  <c r="T235" i="30"/>
  <c r="X51" i="2"/>
  <c r="Y51" i="2"/>
  <c r="Y15" i="2"/>
  <c r="X15" i="2"/>
  <c r="Y13" i="2"/>
  <c r="X13" i="2"/>
  <c r="Y10" i="31"/>
  <c r="X10" i="31"/>
  <c r="Y16" i="2"/>
  <c r="X16" i="2"/>
  <c r="X48" i="2"/>
  <c r="Y48" i="2"/>
  <c r="X54" i="2"/>
  <c r="Y54" i="2"/>
  <c r="U170" i="30"/>
  <c r="U157"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6" i="31"/>
  <c r="X36" i="31"/>
  <c r="Y32" i="31"/>
  <c r="X32" i="31"/>
  <c r="Y31" i="31"/>
  <c r="X31"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<sst xmlns="http://schemas.openxmlformats.org/spreadsheetml/2006/main" count="18274" uniqueCount="2286">
  <si>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</si>
  <si>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</si>
  <si>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</si>
  <si>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</si>
  <si>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</si>
  <si>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</si>
  <si>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</si>
  <si>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</si>
  <si>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</si>
  <si>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</si>
  <si>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</si>
  <si>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</si>
  <si>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</si>
  <si>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</si>
  <si>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</si>
  <si>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</si>
  <si>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</si>
  <si>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</si>
  <si>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</si>
  <si>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</si>
  <si>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</si>
  <si>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</si>
  <si>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</si>
  <si>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</si>
  <si>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</si>
  <si>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</si>
  <si>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</si>
  <si>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</si>
  <si>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</si>
  <si>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</si>
  <si>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</si>
  <si>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</si>
  <si>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</si>
  <si>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</si>
  <si>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</si>
  <si>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</si>
  <si>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</si>
  <si>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</si>
  <si>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</si>
  <si>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</si>
  <si>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</si>
  <si>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</si>
  <si>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</si>
  <si>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</si>
  <si>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</si>
  <si>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</si>
  <si>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</si>
  <si>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</si>
  <si>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</si>
  <si>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</si>
  <si>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</si>
  <si>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</si>
  <si>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</si>
  <si>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</si>
  <si>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</si>
  <si>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</si>
  <si>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</si>
  <si>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</si>
  <si>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</si>
  <si>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</si>
  <si>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</si>
  <si>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</si>
  <si>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</si>
  <si>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</si>
  <si>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</si>
  <si>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</si>
  <si>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</si>
  <si>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</si>
  <si>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</si>
  <si>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</si>
  <si>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</si>
  <si>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</si>
  <si>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</si>
  <si>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</si>
  <si>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</si>
  <si>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</si>
  <si>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</si>
  <si>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</si>
  <si>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</si>
  <si>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</si>
  <si>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</si>
  <si>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</si>
  <si>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</si>
  <si>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</si>
  <si>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</si>
  <si>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</si>
  <si>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</si>
  <si>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</si>
  <si>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</si>
  <si>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D-HWP109</t>
  </si>
  <si>
    <t>J.Garcia</t>
  </si>
  <si>
    <t>PLK105203</t>
  </si>
  <si>
    <t>Completed on Track</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</si>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</sst>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U59" activePane="topRight" state="frozen"/>
      <selection pane="topRight" activeCell="W63" sqref="W63"/>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2" t="s">
        <v>50</v>
      </c>
      <c r="C2" s="896">
        <v>46080</v>
      </c>
      <c r="D2" s="1001" t="s">
        <v>51</v>
      </c>
      <c r="E2" s="907">
        <v>46018</v>
      </c>
      <c r="F2" s="370" t="s">
        <v>52</v>
      </c>
      <c r="G2" s="908" t="s">
        <v>53</v>
      </c>
      <c r="H2" s="909">
        <v>89</v>
      </c>
      <c r="I2" s="525"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6">
        <f t="shared" ref="Y2:Y15" si="1">IFERROR($W2/$V2, 0)</f>
        <v>0.95422193464898086</v>
      </c>
      <c r="Z2" s="914">
        <v>45891</v>
      </c>
      <c r="AA2" s="904">
        <v>0</v>
      </c>
      <c r="AB2" s="904">
        <v>0</v>
      </c>
      <c r="AC2" s="511">
        <v>0</v>
      </c>
      <c r="AD2" s="1102" t="s">
        <v>58</v>
      </c>
      <c r="AE2" s="906"/>
      <c r="CX2" s="916"/>
      <c r="CY2" s="917"/>
      <c r="DD2" s="918"/>
      <c r="DL2" s="917"/>
    </row>
    <row r="3" spans="1:116" ht="24.75" customHeight="1">
      <c r="A3" s="895" t="s">
        <v>59</v>
      </c>
      <c r="B3" s="662" t="s">
        <v>50</v>
      </c>
      <c r="C3" s="896">
        <v>46080</v>
      </c>
      <c r="D3" s="1001" t="s">
        <v>60</v>
      </c>
      <c r="E3" s="907">
        <v>45700</v>
      </c>
      <c r="F3" s="370" t="s">
        <v>52</v>
      </c>
      <c r="G3" s="907" t="s">
        <v>61</v>
      </c>
      <c r="H3" s="909">
        <v>81</v>
      </c>
      <c r="I3" s="525" t="s">
        <v>54</v>
      </c>
      <c r="J3" s="909" t="s">
        <v>55</v>
      </c>
      <c r="K3" s="909"/>
      <c r="L3" s="907">
        <v>45702</v>
      </c>
      <c r="M3" s="667" t="s">
        <v>56</v>
      </c>
      <c r="N3" s="919">
        <v>70635</v>
      </c>
      <c r="O3" s="667" t="s">
        <v>56</v>
      </c>
      <c r="P3" s="921" t="s">
        <v>57</v>
      </c>
      <c r="Q3" s="912">
        <v>45696</v>
      </c>
      <c r="R3" s="912"/>
      <c r="S3" s="912"/>
      <c r="T3" s="912"/>
      <c r="U3" s="912"/>
      <c r="V3" s="913">
        <v>6092</v>
      </c>
      <c r="W3" s="902">
        <v>6091</v>
      </c>
      <c r="X3" s="902">
        <f>SUM(V3-W3)</f>
        <v>1</v>
      </c>
      <c r="Y3" s="526">
        <f t="shared" si="1"/>
        <v>0.99983585029546951</v>
      </c>
      <c r="Z3" s="912">
        <v>45747</v>
      </c>
      <c r="AA3" s="904">
        <v>0</v>
      </c>
      <c r="AB3" s="904">
        <v>0</v>
      </c>
      <c r="AC3" s="656">
        <v>0</v>
      </c>
      <c r="AD3" s="1102" t="s">
        <v>62</v>
      </c>
      <c r="AE3" s="922"/>
    </row>
    <row r="4" spans="1:116" ht="24.75" customHeight="1">
      <c r="A4" s="895" t="s">
        <v>63</v>
      </c>
      <c r="B4" s="662"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6">
        <f t="shared" si="1"/>
        <v>0.11233150274588118</v>
      </c>
      <c r="Z4" s="912">
        <v>45785</v>
      </c>
      <c r="AA4" s="904">
        <v>0</v>
      </c>
      <c r="AB4" s="904">
        <v>0</v>
      </c>
      <c r="AC4" s="913">
        <v>0</v>
      </c>
      <c r="AD4" s="1102" t="s">
        <v>65</v>
      </c>
      <c r="AE4" s="929"/>
    </row>
    <row r="5" spans="1:116" s="931" customFormat="1" ht="24.75" customHeight="1">
      <c r="A5" s="932" t="s">
        <v>66</v>
      </c>
      <c r="B5" s="662" t="s">
        <v>50</v>
      </c>
      <c r="C5" s="896">
        <v>46188</v>
      </c>
      <c r="D5" s="896"/>
      <c r="E5" s="907"/>
      <c r="F5" s="908"/>
      <c r="G5" s="908"/>
      <c r="H5" s="909">
        <v>262</v>
      </c>
      <c r="I5" s="525"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6">
        <f t="shared" ref="Y5:Y8" si="2">IFERROR($W5/$V5, 0)</f>
        <v>0</v>
      </c>
      <c r="Z5" s="912"/>
      <c r="AA5" s="904">
        <v>0</v>
      </c>
      <c r="AB5" s="904">
        <v>0</v>
      </c>
      <c r="AC5" s="511">
        <v>0</v>
      </c>
      <c r="AD5" s="924" t="s">
        <v>70</v>
      </c>
      <c r="AE5" s="930"/>
    </row>
    <row r="6" spans="1:116" s="931" customFormat="1" ht="24.75" customHeight="1">
      <c r="A6" s="932" t="s">
        <v>71</v>
      </c>
      <c r="B6" s="662" t="s">
        <v>50</v>
      </c>
      <c r="C6" s="896">
        <v>46188</v>
      </c>
      <c r="D6" s="896"/>
      <c r="E6" s="907"/>
      <c r="F6" s="908"/>
      <c r="G6" s="908"/>
      <c r="H6" s="909">
        <v>156</v>
      </c>
      <c r="I6" s="525" t="s">
        <v>54</v>
      </c>
      <c r="J6" s="898" t="s">
        <v>67</v>
      </c>
      <c r="K6" s="909" t="s">
        <v>72</v>
      </c>
      <c r="L6" s="907"/>
      <c r="M6" s="909" t="s">
        <v>73</v>
      </c>
      <c r="N6" s="919"/>
      <c r="O6" s="909" t="s">
        <v>73</v>
      </c>
      <c r="P6" s="921" t="s">
        <v>74</v>
      </c>
      <c r="Q6" s="912"/>
      <c r="R6" s="912"/>
      <c r="S6" s="912"/>
      <c r="T6" s="912"/>
      <c r="U6" s="912"/>
      <c r="V6" s="913">
        <v>4677</v>
      </c>
      <c r="W6" s="902"/>
      <c r="X6" s="902">
        <f t="shared" si="0"/>
        <v>4677</v>
      </c>
      <c r="Y6" s="526">
        <f t="shared" si="2"/>
        <v>0</v>
      </c>
      <c r="Z6" s="912"/>
      <c r="AA6" s="904">
        <v>0</v>
      </c>
      <c r="AB6" s="904">
        <v>0</v>
      </c>
      <c r="AC6" s="511">
        <v>0</v>
      </c>
      <c r="AD6" s="924" t="s">
        <v>75</v>
      </c>
      <c r="AE6" s="930"/>
    </row>
    <row r="7" spans="1:116" s="931" customFormat="1" ht="24.75" customHeight="1">
      <c r="A7" s="932" t="s">
        <v>76</v>
      </c>
      <c r="B7" s="662" t="s">
        <v>50</v>
      </c>
      <c r="C7" s="907">
        <v>46096</v>
      </c>
      <c r="D7" s="896"/>
      <c r="E7" s="907"/>
      <c r="F7" s="908"/>
      <c r="G7" s="908"/>
      <c r="H7" s="909">
        <v>18</v>
      </c>
      <c r="I7" s="525" t="s">
        <v>54</v>
      </c>
      <c r="J7" s="898" t="s">
        <v>67</v>
      </c>
      <c r="K7" s="928"/>
      <c r="L7" s="907"/>
      <c r="M7" s="909" t="s">
        <v>56</v>
      </c>
      <c r="N7" s="919">
        <v>2490.5</v>
      </c>
      <c r="O7" s="909" t="s">
        <v>56</v>
      </c>
      <c r="P7" s="921" t="s">
        <v>74</v>
      </c>
      <c r="Q7" s="912"/>
      <c r="R7" s="912"/>
      <c r="S7" s="912"/>
      <c r="T7" s="912"/>
      <c r="U7" s="912"/>
      <c r="V7" s="913">
        <v>130</v>
      </c>
      <c r="W7" s="902"/>
      <c r="X7" s="902">
        <f>SUM(V7-W7)</f>
        <v>130</v>
      </c>
      <c r="Y7" s="526">
        <f>IFERROR($W7/$V7, 0)</f>
        <v>0</v>
      </c>
      <c r="Z7" s="912"/>
      <c r="AA7" s="904">
        <v>0</v>
      </c>
      <c r="AB7" s="904">
        <v>0</v>
      </c>
      <c r="AC7" s="511">
        <v>0</v>
      </c>
      <c r="AD7" s="924" t="s">
        <v>77</v>
      </c>
      <c r="AE7" s="930"/>
    </row>
    <row r="8" spans="1:116" s="931" customFormat="1" ht="24.75" customHeight="1">
      <c r="A8" s="895"/>
      <c r="B8" s="662"/>
      <c r="C8" s="896"/>
      <c r="D8" s="896"/>
      <c r="E8" s="907"/>
      <c r="F8" s="908"/>
      <c r="G8" s="908"/>
      <c r="H8" s="909"/>
      <c r="I8" s="525"/>
      <c r="J8" s="898"/>
      <c r="K8" s="898"/>
      <c r="L8" s="907"/>
      <c r="M8" s="909"/>
      <c r="N8" s="919"/>
      <c r="O8" s="909"/>
      <c r="P8" s="921"/>
      <c r="Q8" s="912"/>
      <c r="R8" s="912"/>
      <c r="S8" s="912"/>
      <c r="T8" s="912"/>
      <c r="U8" s="912"/>
      <c r="V8" s="913"/>
      <c r="W8" s="902"/>
      <c r="X8" s="902"/>
      <c r="Y8" s="526"/>
      <c r="Z8" s="912"/>
      <c r="AA8" s="904"/>
      <c r="AB8" s="904"/>
      <c r="AC8" s="764"/>
      <c r="AD8" s="905"/>
      <c r="AE8" s="930"/>
    </row>
    <row r="9" spans="1:116" s="931" customFormat="1" ht="24.75" customHeight="1">
      <c r="A9" s="897"/>
      <c r="B9" s="669"/>
      <c r="C9" s="896"/>
      <c r="D9" s="896"/>
      <c r="E9" s="907"/>
      <c r="F9" s="908"/>
      <c r="G9" s="908"/>
      <c r="H9" s="909"/>
      <c r="I9" s="525"/>
      <c r="J9" s="898"/>
      <c r="K9" s="898"/>
      <c r="L9" s="907"/>
      <c r="M9" s="909"/>
      <c r="N9" s="919"/>
      <c r="O9" s="909"/>
      <c r="P9" s="921"/>
      <c r="Q9" s="912"/>
      <c r="R9" s="912"/>
      <c r="S9" s="912"/>
      <c r="T9" s="912"/>
      <c r="U9" s="912"/>
      <c r="V9" s="913"/>
      <c r="W9" s="902"/>
      <c r="X9" s="902"/>
      <c r="Y9" s="526"/>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5" t="s">
        <v>54</v>
      </c>
      <c r="J11" s="898" t="s">
        <v>55</v>
      </c>
      <c r="K11" s="898" t="s">
        <v>84</v>
      </c>
      <c r="L11" s="896">
        <v>46028</v>
      </c>
      <c r="M11" s="909" t="s">
        <v>56</v>
      </c>
      <c r="N11" s="899">
        <v>60922</v>
      </c>
      <c r="O11" s="909" t="s">
        <v>56</v>
      </c>
      <c r="P11" s="900" t="s">
        <v>57</v>
      </c>
      <c r="Q11" s="901">
        <v>46029</v>
      </c>
      <c r="R11" s="901"/>
      <c r="S11" s="901"/>
      <c r="T11" s="901"/>
      <c r="U11" s="901"/>
      <c r="V11" s="638">
        <v>4907</v>
      </c>
      <c r="W11" s="1365">
        <v>1594</v>
      </c>
      <c r="X11" s="902">
        <f>SUM(V11-W11)</f>
        <v>3313</v>
      </c>
      <c r="Y11" s="526">
        <f t="shared" si="1"/>
        <v>0.32484206235989405</v>
      </c>
      <c r="Z11" s="912">
        <v>46072</v>
      </c>
      <c r="AA11" s="904">
        <v>0</v>
      </c>
      <c r="AB11" s="904">
        <v>0</v>
      </c>
      <c r="AC11" s="511">
        <v>0</v>
      </c>
      <c r="AD11" s="905" t="s">
        <v>85</v>
      </c>
      <c r="AE11" s="930"/>
    </row>
    <row r="12" spans="1:116" s="931" customFormat="1" ht="24.75" customHeight="1">
      <c r="A12" s="895" t="s">
        <v>86</v>
      </c>
      <c r="B12" s="897" t="s">
        <v>80</v>
      </c>
      <c r="C12" s="896">
        <v>46073</v>
      </c>
      <c r="D12" s="896"/>
      <c r="E12" s="896">
        <v>46042</v>
      </c>
      <c r="F12" s="897" t="s">
        <v>82</v>
      </c>
      <c r="G12" s="897" t="s">
        <v>87</v>
      </c>
      <c r="H12" s="898">
        <v>79</v>
      </c>
      <c r="I12" s="525" t="s">
        <v>54</v>
      </c>
      <c r="J12" s="898" t="s">
        <v>55</v>
      </c>
      <c r="K12" s="898" t="s">
        <v>84</v>
      </c>
      <c r="L12" s="896"/>
      <c r="M12" s="909" t="s">
        <v>56</v>
      </c>
      <c r="N12" s="899">
        <v>59768</v>
      </c>
      <c r="O12" s="909" t="s">
        <v>56</v>
      </c>
      <c r="P12" s="900" t="s">
        <v>69</v>
      </c>
      <c r="Q12" s="901">
        <v>46029</v>
      </c>
      <c r="R12" s="901"/>
      <c r="S12" s="901"/>
      <c r="T12" s="901"/>
      <c r="U12" s="901"/>
      <c r="V12" s="638">
        <v>4862</v>
      </c>
      <c r="W12" s="902"/>
      <c r="X12" s="902">
        <f>SUM(V12-W12)</f>
        <v>4862</v>
      </c>
      <c r="Y12" s="526">
        <f t="shared" si="1"/>
        <v>0</v>
      </c>
      <c r="Z12" s="912"/>
      <c r="AA12" s="904">
        <v>0</v>
      </c>
      <c r="AB12" s="904">
        <v>0</v>
      </c>
      <c r="AC12" s="511">
        <v>0</v>
      </c>
      <c r="AD12" s="905" t="s">
        <v>88</v>
      </c>
      <c r="AE12" s="930"/>
    </row>
    <row r="13" spans="1:116" s="931" customFormat="1" ht="24.75" customHeight="1">
      <c r="A13" s="953" t="s">
        <v>89</v>
      </c>
      <c r="B13" s="897" t="s">
        <v>80</v>
      </c>
      <c r="C13" s="896">
        <v>46073</v>
      </c>
      <c r="D13" s="896" t="s">
        <v>90</v>
      </c>
      <c r="E13" s="896">
        <v>46045</v>
      </c>
      <c r="F13" s="897" t="s">
        <v>82</v>
      </c>
      <c r="G13" s="897" t="s">
        <v>91</v>
      </c>
      <c r="H13" s="898">
        <v>87</v>
      </c>
      <c r="I13" s="525" t="s">
        <v>92</v>
      </c>
      <c r="J13" s="898" t="s">
        <v>55</v>
      </c>
      <c r="K13" s="898"/>
      <c r="L13" s="896">
        <v>46038</v>
      </c>
      <c r="M13" s="909" t="s">
        <v>56</v>
      </c>
      <c r="N13" s="899">
        <v>82790</v>
      </c>
      <c r="O13" s="909" t="s">
        <v>56</v>
      </c>
      <c r="P13" s="954" t="s">
        <v>93</v>
      </c>
      <c r="Q13" s="901">
        <v>46029</v>
      </c>
      <c r="R13" s="901"/>
      <c r="S13" s="901"/>
      <c r="T13" s="901"/>
      <c r="U13" s="901"/>
      <c r="V13" s="638">
        <v>7108</v>
      </c>
      <c r="W13" s="955">
        <v>7301</v>
      </c>
      <c r="X13" s="902">
        <f>SUM(V13-W13)</f>
        <v>-193</v>
      </c>
      <c r="Y13" s="526">
        <f t="shared" si="1"/>
        <v>1.0271525042205965</v>
      </c>
      <c r="Z13" s="912">
        <v>46057</v>
      </c>
      <c r="AA13" s="904">
        <v>0</v>
      </c>
      <c r="AB13" s="904">
        <v>0</v>
      </c>
      <c r="AC13" s="511">
        <v>0</v>
      </c>
      <c r="AD13" s="905" t="s">
        <v>94</v>
      </c>
      <c r="AE13" s="930"/>
    </row>
    <row r="14" spans="1:116" s="931" customFormat="1" ht="24.75" customHeight="1">
      <c r="A14" s="895" t="s">
        <v>95</v>
      </c>
      <c r="B14" s="897" t="s">
        <v>80</v>
      </c>
      <c r="C14" s="896">
        <v>46073</v>
      </c>
      <c r="D14" s="896"/>
      <c r="E14" s="907">
        <v>46042</v>
      </c>
      <c r="F14" s="897" t="s">
        <v>96</v>
      </c>
      <c r="G14" s="908" t="s">
        <v>97</v>
      </c>
      <c r="H14" s="898">
        <v>55</v>
      </c>
      <c r="I14" s="525" t="s">
        <v>54</v>
      </c>
      <c r="J14" s="898" t="s">
        <v>55</v>
      </c>
      <c r="K14" s="898" t="s">
        <v>84</v>
      </c>
      <c r="L14" s="907">
        <v>46038</v>
      </c>
      <c r="M14" s="909" t="s">
        <v>56</v>
      </c>
      <c r="N14" s="919">
        <v>44782</v>
      </c>
      <c r="O14" s="909" t="s">
        <v>56</v>
      </c>
      <c r="P14" s="921" t="s">
        <v>69</v>
      </c>
      <c r="Q14" s="912">
        <v>46029</v>
      </c>
      <c r="R14" s="912"/>
      <c r="S14" s="912"/>
      <c r="T14" s="912"/>
      <c r="U14" s="912"/>
      <c r="V14" s="913">
        <v>3690</v>
      </c>
      <c r="W14" s="902"/>
      <c r="X14" s="902">
        <f t="shared" ref="X14:X25" si="3">SUM(V14-W14)</f>
        <v>3690</v>
      </c>
      <c r="Y14" s="526">
        <f t="shared" si="1"/>
        <v>0</v>
      </c>
      <c r="Z14" s="912"/>
      <c r="AA14" s="904">
        <v>0</v>
      </c>
      <c r="AB14" s="904">
        <v>0</v>
      </c>
      <c r="AC14" s="511">
        <v>0</v>
      </c>
      <c r="AD14" s="905" t="s">
        <v>98</v>
      </c>
      <c r="AE14" s="930"/>
    </row>
    <row r="15" spans="1:116" s="931" customFormat="1" ht="24.75" customHeight="1">
      <c r="A15" s="932" t="s">
        <v>99</v>
      </c>
      <c r="B15" s="897" t="s">
        <v>80</v>
      </c>
      <c r="C15" s="896">
        <v>46041</v>
      </c>
      <c r="D15" s="896"/>
      <c r="E15" s="896"/>
      <c r="F15" s="897"/>
      <c r="G15" s="897" t="s">
        <v>100</v>
      </c>
      <c r="H15" s="898">
        <v>43</v>
      </c>
      <c r="I15" s="525" t="s">
        <v>54</v>
      </c>
      <c r="J15" s="898" t="s">
        <v>101</v>
      </c>
      <c r="K15" s="898" t="s">
        <v>68</v>
      </c>
      <c r="L15" s="896"/>
      <c r="M15" s="909" t="s">
        <v>56</v>
      </c>
      <c r="N15" s="899">
        <v>47561.5</v>
      </c>
      <c r="O15" s="909" t="s">
        <v>56</v>
      </c>
      <c r="P15" s="900" t="s">
        <v>74</v>
      </c>
      <c r="Q15" s="901"/>
      <c r="R15" s="901"/>
      <c r="S15" s="901"/>
      <c r="T15" s="901"/>
      <c r="U15" s="901"/>
      <c r="V15" s="638">
        <v>3905</v>
      </c>
      <c r="W15" s="902"/>
      <c r="X15" s="902">
        <f>SUM(V15-W15)</f>
        <v>3905</v>
      </c>
      <c r="Y15" s="526">
        <f t="shared" si="1"/>
        <v>0</v>
      </c>
      <c r="Z15" s="912"/>
      <c r="AA15" s="904">
        <v>0</v>
      </c>
      <c r="AB15" s="904">
        <v>0</v>
      </c>
      <c r="AC15" s="511">
        <v>0</v>
      </c>
      <c r="AD15" s="905" t="s">
        <v>102</v>
      </c>
      <c r="AE15" s="930"/>
    </row>
    <row r="16" spans="1:116" ht="24.75" customHeight="1">
      <c r="A16" s="932" t="s">
        <v>103</v>
      </c>
      <c r="B16" s="897" t="s">
        <v>80</v>
      </c>
      <c r="C16" s="907">
        <v>45838</v>
      </c>
      <c r="D16" s="896"/>
      <c r="E16" s="896"/>
      <c r="F16" s="897"/>
      <c r="G16" s="897" t="s">
        <v>104</v>
      </c>
      <c r="H16" s="898">
        <v>26</v>
      </c>
      <c r="I16" s="525" t="s">
        <v>54</v>
      </c>
      <c r="J16" s="898" t="s">
        <v>101</v>
      </c>
      <c r="K16" s="898" t="s">
        <v>105</v>
      </c>
      <c r="L16" s="896"/>
      <c r="M16" s="898" t="s">
        <v>56</v>
      </c>
      <c r="N16" s="899">
        <v>12781.6</v>
      </c>
      <c r="O16" s="898" t="s">
        <v>56</v>
      </c>
      <c r="P16" s="900" t="s">
        <v>74</v>
      </c>
      <c r="Q16" s="901"/>
      <c r="R16" s="901"/>
      <c r="S16" s="901"/>
      <c r="T16" s="901"/>
      <c r="U16" s="901"/>
      <c r="V16" s="638">
        <v>937</v>
      </c>
      <c r="W16" s="902"/>
      <c r="X16" s="902">
        <f>SUM(V16-W16)</f>
        <v>937</v>
      </c>
      <c r="Y16" s="526">
        <f t="shared" ref="Y16:Y26" si="4">IFERROR($W16/$V16, 0)</f>
        <v>0</v>
      </c>
      <c r="Z16" s="903"/>
      <c r="AA16" s="904">
        <v>0</v>
      </c>
      <c r="AB16" s="904">
        <v>0</v>
      </c>
      <c r="AC16" s="862">
        <v>0</v>
      </c>
      <c r="AD16" s="938" t="s">
        <v>106</v>
      </c>
      <c r="AE16" s="937"/>
    </row>
    <row r="17" spans="1:32" ht="24.75" customHeight="1">
      <c r="A17" s="895" t="s">
        <v>107</v>
      </c>
      <c r="B17" s="897" t="s">
        <v>80</v>
      </c>
      <c r="C17" s="896">
        <v>46006</v>
      </c>
      <c r="D17" s="896" t="s">
        <v>108</v>
      </c>
      <c r="E17" s="896">
        <v>45936</v>
      </c>
      <c r="F17" s="897" t="s">
        <v>96</v>
      </c>
      <c r="G17" s="897" t="s">
        <v>109</v>
      </c>
      <c r="H17" s="898">
        <v>0</v>
      </c>
      <c r="I17" s="525" t="s">
        <v>54</v>
      </c>
      <c r="J17" s="898" t="s">
        <v>55</v>
      </c>
      <c r="K17" s="898"/>
      <c r="L17" s="896" t="s">
        <v>110</v>
      </c>
      <c r="M17" s="898" t="s">
        <v>56</v>
      </c>
      <c r="N17" s="899">
        <v>54857.5</v>
      </c>
      <c r="O17" s="898" t="s">
        <v>56</v>
      </c>
      <c r="P17" s="900" t="s">
        <v>69</v>
      </c>
      <c r="Q17" s="934">
        <v>45933</v>
      </c>
      <c r="R17" s="935"/>
      <c r="S17" s="933"/>
      <c r="T17" s="933"/>
      <c r="U17" s="933"/>
      <c r="V17" s="902">
        <v>4104</v>
      </c>
      <c r="W17" s="902">
        <v>3928</v>
      </c>
      <c r="X17" s="902">
        <f t="shared" si="3"/>
        <v>176</v>
      </c>
      <c r="Y17" s="526">
        <f>IFERROR($W17/$V17, 0)</f>
        <v>0.9571150097465887</v>
      </c>
      <c r="Z17" s="912">
        <v>45938</v>
      </c>
      <c r="AA17" s="904">
        <v>0</v>
      </c>
      <c r="AB17" s="904">
        <v>0</v>
      </c>
      <c r="AC17" s="511">
        <v>0</v>
      </c>
      <c r="AD17" s="905" t="s">
        <v>111</v>
      </c>
      <c r="AE17" s="922"/>
    </row>
    <row r="18" spans="1:32" ht="24.75" customHeight="1">
      <c r="A18" s="932" t="s">
        <v>112</v>
      </c>
      <c r="B18" s="897" t="s">
        <v>80</v>
      </c>
      <c r="C18" s="896">
        <v>46117</v>
      </c>
      <c r="D18" s="896"/>
      <c r="E18" s="896"/>
      <c r="F18" s="510" t="s">
        <v>113</v>
      </c>
      <c r="G18" s="897" t="s">
        <v>114</v>
      </c>
      <c r="H18" s="898">
        <v>0</v>
      </c>
      <c r="I18" s="525" t="s">
        <v>54</v>
      </c>
      <c r="J18" s="898" t="s">
        <v>101</v>
      </c>
      <c r="K18" s="898" t="s">
        <v>105</v>
      </c>
      <c r="L18" s="896"/>
      <c r="M18" s="898" t="s">
        <v>56</v>
      </c>
      <c r="N18" s="899">
        <v>13022.05</v>
      </c>
      <c r="O18" s="898" t="s">
        <v>56</v>
      </c>
      <c r="P18" s="900" t="s">
        <v>74</v>
      </c>
      <c r="Q18" s="934"/>
      <c r="R18" s="939"/>
      <c r="S18" s="901"/>
      <c r="T18" s="901"/>
      <c r="U18" s="901"/>
      <c r="V18" s="638">
        <v>923</v>
      </c>
      <c r="W18" s="638"/>
      <c r="X18" s="902">
        <f t="shared" si="3"/>
        <v>923</v>
      </c>
      <c r="Y18" s="526">
        <f t="shared" si="4"/>
        <v>0</v>
      </c>
      <c r="Z18" s="926"/>
      <c r="AA18" s="904">
        <v>0</v>
      </c>
      <c r="AB18" s="904">
        <v>0</v>
      </c>
      <c r="AC18" s="902">
        <v>0</v>
      </c>
      <c r="AD18" s="924" t="s">
        <v>115</v>
      </c>
    </row>
    <row r="19" spans="1:32" ht="24.75" customHeight="1">
      <c r="A19" s="932" t="s">
        <v>116</v>
      </c>
      <c r="B19" s="897" t="s">
        <v>80</v>
      </c>
      <c r="C19" s="896">
        <v>46053</v>
      </c>
      <c r="D19" s="896"/>
      <c r="E19" s="896"/>
      <c r="F19" s="897" t="s">
        <v>82</v>
      </c>
      <c r="G19" s="897" t="s">
        <v>117</v>
      </c>
      <c r="H19" s="898">
        <v>0</v>
      </c>
      <c r="I19" s="525" t="s">
        <v>54</v>
      </c>
      <c r="J19" s="898" t="s">
        <v>101</v>
      </c>
      <c r="K19" s="898" t="s">
        <v>68</v>
      </c>
      <c r="L19" s="896"/>
      <c r="M19" s="898" t="s">
        <v>56</v>
      </c>
      <c r="N19" s="899">
        <v>72842</v>
      </c>
      <c r="O19" s="898" t="s">
        <v>56</v>
      </c>
      <c r="P19" s="900" t="s">
        <v>74</v>
      </c>
      <c r="Q19" s="943"/>
      <c r="R19" s="901"/>
      <c r="S19" s="901"/>
      <c r="T19" s="901"/>
      <c r="U19" s="934"/>
      <c r="V19" s="944">
        <v>5780</v>
      </c>
      <c r="W19" s="944"/>
      <c r="X19" s="941">
        <f t="shared" si="3"/>
        <v>5780</v>
      </c>
      <c r="Y19" s="526">
        <f t="shared" si="4"/>
        <v>0</v>
      </c>
      <c r="Z19" s="903"/>
      <c r="AA19" s="904">
        <v>0</v>
      </c>
      <c r="AB19" s="904">
        <v>0</v>
      </c>
      <c r="AC19" s="511">
        <v>0</v>
      </c>
      <c r="AD19" s="905" t="s">
        <v>118</v>
      </c>
    </row>
    <row r="20" spans="1:32" ht="24.75" customHeight="1">
      <c r="A20" s="1114" t="s">
        <v>119</v>
      </c>
      <c r="B20" s="897" t="s">
        <v>80</v>
      </c>
      <c r="C20" s="896">
        <v>46142</v>
      </c>
      <c r="D20" s="896" t="s">
        <v>120</v>
      </c>
      <c r="E20" s="896"/>
      <c r="F20" s="897" t="s">
        <v>121</v>
      </c>
      <c r="G20" s="897" t="s">
        <v>122</v>
      </c>
      <c r="H20" s="898">
        <v>0</v>
      </c>
      <c r="I20" s="898" t="s">
        <v>54</v>
      </c>
      <c r="J20" s="898" t="s">
        <v>55</v>
      </c>
      <c r="K20" s="898"/>
      <c r="L20" s="896"/>
      <c r="M20" s="898" t="s">
        <v>56</v>
      </c>
      <c r="N20" s="899">
        <v>255.05</v>
      </c>
      <c r="O20" s="898" t="s">
        <v>56</v>
      </c>
      <c r="P20" s="900" t="s">
        <v>69</v>
      </c>
      <c r="Q20" s="901"/>
      <c r="R20" s="901"/>
      <c r="S20" s="901"/>
      <c r="T20" s="901"/>
      <c r="U20" s="901"/>
      <c r="V20" s="638">
        <v>3</v>
      </c>
      <c r="W20" s="902"/>
      <c r="X20" s="902">
        <f>SUM(V20-W20)</f>
        <v>3</v>
      </c>
      <c r="Y20" s="526">
        <f t="shared" si="4"/>
        <v>0</v>
      </c>
      <c r="Z20" s="903"/>
      <c r="AA20" s="904">
        <v>0</v>
      </c>
      <c r="AB20" s="904">
        <v>0</v>
      </c>
      <c r="AC20" s="511">
        <v>0</v>
      </c>
      <c r="AD20" s="905" t="s">
        <v>123</v>
      </c>
    </row>
    <row r="21" spans="1:32" ht="24.75" customHeight="1">
      <c r="A21" s="932" t="s">
        <v>124</v>
      </c>
      <c r="B21" s="897" t="s">
        <v>80</v>
      </c>
      <c r="C21" s="896">
        <v>46020</v>
      </c>
      <c r="D21" s="896"/>
      <c r="E21" s="896"/>
      <c r="F21" s="897" t="s">
        <v>96</v>
      </c>
      <c r="G21" s="897" t="s">
        <v>125</v>
      </c>
      <c r="H21" s="898">
        <v>0</v>
      </c>
      <c r="I21" s="898" t="s">
        <v>54</v>
      </c>
      <c r="J21" s="898" t="s">
        <v>101</v>
      </c>
      <c r="K21" s="898" t="s">
        <v>105</v>
      </c>
      <c r="L21" s="897"/>
      <c r="M21" s="898" t="s">
        <v>56</v>
      </c>
      <c r="N21" s="899">
        <v>17916.55</v>
      </c>
      <c r="O21" s="898" t="s">
        <v>56</v>
      </c>
      <c r="P21" s="900" t="s">
        <v>74</v>
      </c>
      <c r="Q21" s="901"/>
      <c r="R21" s="901"/>
      <c r="S21" s="901"/>
      <c r="T21" s="901"/>
      <c r="U21" s="901"/>
      <c r="V21" s="764">
        <v>1433</v>
      </c>
      <c r="W21" s="764"/>
      <c r="X21" s="902">
        <f t="shared" si="3"/>
        <v>1433</v>
      </c>
      <c r="Y21" s="526">
        <f t="shared" si="4"/>
        <v>0</v>
      </c>
      <c r="Z21" s="926"/>
      <c r="AA21" s="904">
        <v>0</v>
      </c>
      <c r="AB21" s="904">
        <v>0</v>
      </c>
      <c r="AC21" s="902">
        <v>0</v>
      </c>
      <c r="AD21" s="942" t="s">
        <v>126</v>
      </c>
    </row>
    <row r="22" spans="1:32" ht="24.75" customHeight="1">
      <c r="A22" s="932" t="s">
        <v>127</v>
      </c>
      <c r="B22" s="897" t="s">
        <v>80</v>
      </c>
      <c r="C22" s="896">
        <v>46052</v>
      </c>
      <c r="D22" s="896"/>
      <c r="E22" s="896">
        <v>45866</v>
      </c>
      <c r="F22" s="897" t="s">
        <v>96</v>
      </c>
      <c r="G22" s="897" t="s">
        <v>128</v>
      </c>
      <c r="H22" s="898">
        <v>0</v>
      </c>
      <c r="I22" s="525" t="s">
        <v>54</v>
      </c>
      <c r="J22" s="898" t="s">
        <v>101</v>
      </c>
      <c r="K22" s="898" t="s">
        <v>68</v>
      </c>
      <c r="L22" s="896">
        <v>45866</v>
      </c>
      <c r="M22" s="898" t="s">
        <v>56</v>
      </c>
      <c r="N22" s="899">
        <v>18401.05</v>
      </c>
      <c r="O22" s="898" t="s">
        <v>56</v>
      </c>
      <c r="P22" s="900" t="s">
        <v>74</v>
      </c>
      <c r="Q22" s="901">
        <v>45866</v>
      </c>
      <c r="R22" s="901"/>
      <c r="S22" s="901"/>
      <c r="T22" s="901"/>
      <c r="U22" s="901"/>
      <c r="V22" s="638">
        <v>1403</v>
      </c>
      <c r="W22" s="638"/>
      <c r="X22" s="902">
        <f t="shared" si="3"/>
        <v>1403</v>
      </c>
      <c r="Y22" s="526">
        <f t="shared" si="4"/>
        <v>0</v>
      </c>
      <c r="Z22" s="926"/>
      <c r="AA22" s="904">
        <v>0</v>
      </c>
      <c r="AB22" s="904">
        <v>0</v>
      </c>
      <c r="AC22" s="902">
        <v>0</v>
      </c>
      <c r="AD22" s="924" t="s">
        <v>129</v>
      </c>
    </row>
    <row r="23" spans="1:32" ht="24.75" customHeight="1">
      <c r="A23" s="932" t="s">
        <v>130</v>
      </c>
      <c r="B23" s="897" t="s">
        <v>80</v>
      </c>
      <c r="C23" s="896">
        <v>46010</v>
      </c>
      <c r="D23" s="896" t="s">
        <v>131</v>
      </c>
      <c r="E23" s="896">
        <v>46007</v>
      </c>
      <c r="F23" s="897" t="s">
        <v>96</v>
      </c>
      <c r="G23" s="897" t="s">
        <v>132</v>
      </c>
      <c r="H23" s="898">
        <v>0</v>
      </c>
      <c r="I23" s="525" t="s">
        <v>54</v>
      </c>
      <c r="J23" s="898" t="s">
        <v>101</v>
      </c>
      <c r="K23" s="898" t="s">
        <v>68</v>
      </c>
      <c r="L23" s="896" t="s">
        <v>110</v>
      </c>
      <c r="M23" s="898" t="s">
        <v>56</v>
      </c>
      <c r="N23" s="899">
        <v>34863</v>
      </c>
      <c r="O23" s="898" t="s">
        <v>56</v>
      </c>
      <c r="P23" s="900" t="s">
        <v>69</v>
      </c>
      <c r="Q23" s="901">
        <v>46056</v>
      </c>
      <c r="R23" s="901"/>
      <c r="S23" s="901"/>
      <c r="T23" s="901"/>
      <c r="U23" s="901"/>
      <c r="V23" s="638">
        <v>2710</v>
      </c>
      <c r="W23" s="638"/>
      <c r="X23" s="902">
        <f t="shared" si="3"/>
        <v>2710</v>
      </c>
      <c r="Y23" s="526">
        <f t="shared" si="4"/>
        <v>0</v>
      </c>
      <c r="Z23" s="903"/>
      <c r="AA23" s="904">
        <v>0</v>
      </c>
      <c r="AB23" s="904">
        <v>0</v>
      </c>
      <c r="AC23" s="511">
        <v>0</v>
      </c>
      <c r="AD23" s="905" t="s">
        <v>133</v>
      </c>
      <c r="AF23" s="945"/>
    </row>
    <row r="24" spans="1:32" ht="24.75" customHeight="1">
      <c r="A24" s="932" t="s">
        <v>134</v>
      </c>
      <c r="B24" s="897" t="s">
        <v>80</v>
      </c>
      <c r="C24" s="896">
        <v>46073</v>
      </c>
      <c r="D24" s="896"/>
      <c r="E24" s="896"/>
      <c r="F24" s="897"/>
      <c r="G24" s="897" t="s">
        <v>135</v>
      </c>
      <c r="H24" s="898">
        <v>0</v>
      </c>
      <c r="I24" s="525" t="s">
        <v>54</v>
      </c>
      <c r="J24" s="898" t="s">
        <v>55</v>
      </c>
      <c r="K24" s="898" t="s">
        <v>105</v>
      </c>
      <c r="L24" s="896"/>
      <c r="M24" s="898" t="s">
        <v>56</v>
      </c>
      <c r="N24" s="899">
        <v>38359.1</v>
      </c>
      <c r="O24" s="898" t="s">
        <v>56</v>
      </c>
      <c r="P24" s="900" t="s">
        <v>74</v>
      </c>
      <c r="Q24" s="901"/>
      <c r="R24" s="901"/>
      <c r="S24" s="901"/>
      <c r="T24" s="901"/>
      <c r="U24" s="901"/>
      <c r="V24" s="638">
        <v>3146</v>
      </c>
      <c r="W24" s="638">
        <v>2230</v>
      </c>
      <c r="X24" s="902">
        <f>SUM(V24-W24)</f>
        <v>916</v>
      </c>
      <c r="Y24" s="526">
        <f t="shared" si="4"/>
        <v>0.70883661792752706</v>
      </c>
      <c r="Z24" s="912">
        <v>46042</v>
      </c>
      <c r="AA24" s="904">
        <v>0</v>
      </c>
      <c r="AB24" s="904">
        <v>0</v>
      </c>
      <c r="AC24" s="902">
        <v>0</v>
      </c>
      <c r="AD24" s="924" t="s">
        <v>136</v>
      </c>
      <c r="AF24" s="945"/>
    </row>
    <row r="25" spans="1:32" ht="24.75" customHeight="1">
      <c r="A25" s="1114" t="s">
        <v>137</v>
      </c>
      <c r="B25" s="897" t="s">
        <v>80</v>
      </c>
      <c r="C25" s="896">
        <v>46203</v>
      </c>
      <c r="D25" s="896" t="s">
        <v>120</v>
      </c>
      <c r="E25" s="896"/>
      <c r="F25" s="897" t="s">
        <v>121</v>
      </c>
      <c r="G25" s="897" t="s">
        <v>138</v>
      </c>
      <c r="H25" s="898">
        <v>0</v>
      </c>
      <c r="I25" s="525" t="s">
        <v>54</v>
      </c>
      <c r="J25" s="898" t="s">
        <v>67</v>
      </c>
      <c r="K25" s="898"/>
      <c r="L25" s="896" t="s">
        <v>110</v>
      </c>
      <c r="M25" s="898" t="s">
        <v>56</v>
      </c>
      <c r="N25" s="899">
        <v>388</v>
      </c>
      <c r="O25" s="898" t="s">
        <v>56</v>
      </c>
      <c r="P25" s="900" t="s">
        <v>69</v>
      </c>
      <c r="Q25" s="946" t="s">
        <v>110</v>
      </c>
      <c r="R25" s="939"/>
      <c r="S25" s="901"/>
      <c r="T25" s="901"/>
      <c r="U25" s="901"/>
      <c r="V25" s="638">
        <v>0</v>
      </c>
      <c r="W25" s="638"/>
      <c r="X25" s="902">
        <f t="shared" si="3"/>
        <v>0</v>
      </c>
      <c r="Y25" s="526">
        <f t="shared" si="4"/>
        <v>0</v>
      </c>
      <c r="Z25" s="926"/>
      <c r="AA25" s="904">
        <v>0</v>
      </c>
      <c r="AB25" s="904">
        <v>0</v>
      </c>
      <c r="AC25" s="902">
        <v>0</v>
      </c>
      <c r="AD25" s="924" t="s">
        <v>139</v>
      </c>
      <c r="AF25" s="945"/>
    </row>
    <row r="26" spans="1:32" ht="24.75" customHeight="1">
      <c r="A26" s="1272" t="s">
        <v>140</v>
      </c>
      <c r="B26" s="897" t="s">
        <v>80</v>
      </c>
      <c r="C26" s="896">
        <v>46073</v>
      </c>
      <c r="D26" s="896" t="s">
        <v>120</v>
      </c>
      <c r="E26" s="1000"/>
      <c r="F26" s="897" t="s">
        <v>121</v>
      </c>
      <c r="G26" s="897"/>
      <c r="H26" s="898">
        <v>0</v>
      </c>
      <c r="I26" s="525" t="s">
        <v>54</v>
      </c>
      <c r="J26" s="898" t="s">
        <v>55</v>
      </c>
      <c r="K26" s="1366"/>
      <c r="L26" s="1000"/>
      <c r="M26" s="898" t="s">
        <v>56</v>
      </c>
      <c r="N26" s="1367">
        <v>223.8</v>
      </c>
      <c r="O26" s="898" t="s">
        <v>56</v>
      </c>
      <c r="P26" s="900" t="s">
        <v>74</v>
      </c>
      <c r="Q26" s="1368"/>
      <c r="R26" s="1368"/>
      <c r="S26" s="1368"/>
      <c r="T26" s="1368"/>
      <c r="U26" s="1368"/>
      <c r="V26" s="815">
        <v>0</v>
      </c>
      <c r="W26" s="1271"/>
      <c r="X26" s="1369">
        <f>SUM(V26-W26)</f>
        <v>0</v>
      </c>
      <c r="Y26" s="526">
        <f t="shared" si="4"/>
        <v>0</v>
      </c>
      <c r="Z26" s="926"/>
      <c r="AA26" s="904">
        <v>0</v>
      </c>
      <c r="AB26" s="904">
        <v>0</v>
      </c>
      <c r="AC26" s="902">
        <v>0</v>
      </c>
      <c r="AD26" s="924"/>
      <c r="AE26" s="947"/>
      <c r="AF26" s="945"/>
    </row>
    <row r="27" spans="1:32" ht="24.75" customHeight="1">
      <c r="A27" s="897"/>
      <c r="B27" s="545"/>
      <c r="C27" s="896"/>
      <c r="D27" s="896"/>
      <c r="E27" s="896"/>
      <c r="F27" s="897"/>
      <c r="G27" s="897"/>
      <c r="H27" s="898"/>
      <c r="I27" s="525"/>
      <c r="J27" s="898"/>
      <c r="K27" s="898"/>
      <c r="L27" s="896"/>
      <c r="M27" s="898"/>
      <c r="N27" s="899"/>
      <c r="O27" s="898"/>
      <c r="P27" s="900"/>
      <c r="Q27" s="901"/>
      <c r="R27" s="901"/>
      <c r="S27" s="901"/>
      <c r="T27" s="901"/>
      <c r="U27" s="901"/>
      <c r="V27" s="944"/>
      <c r="W27" s="941"/>
      <c r="X27" s="902"/>
      <c r="Y27" s="526"/>
      <c r="Z27" s="903"/>
      <c r="AA27" s="904"/>
      <c r="AB27" s="904"/>
      <c r="AC27" s="902"/>
      <c r="AD27" s="905"/>
      <c r="AE27" s="947"/>
      <c r="AF27" s="945"/>
    </row>
    <row r="28" spans="1:32" ht="24.75" customHeight="1">
      <c r="A28" s="897"/>
      <c r="B28" s="545"/>
      <c r="C28" s="896"/>
      <c r="D28" s="896"/>
      <c r="E28" s="896"/>
      <c r="F28" s="897"/>
      <c r="G28" s="897"/>
      <c r="H28" s="898"/>
      <c r="I28" s="525"/>
      <c r="J28" s="898"/>
      <c r="K28" s="898"/>
      <c r="L28" s="896"/>
      <c r="M28" s="898"/>
      <c r="N28" s="899"/>
      <c r="O28" s="898"/>
      <c r="P28" s="900"/>
      <c r="Q28" s="901"/>
      <c r="R28" s="901"/>
      <c r="S28" s="901"/>
      <c r="T28" s="901"/>
      <c r="U28" s="901"/>
      <c r="V28" s="1016"/>
      <c r="W28" s="902"/>
      <c r="X28" s="902"/>
      <c r="Y28" s="526"/>
      <c r="Z28" s="903"/>
      <c r="AA28" s="904"/>
      <c r="AB28" s="904"/>
      <c r="AC28" s="902"/>
      <c r="AD28" s="905"/>
      <c r="AE28" s="947"/>
      <c r="AF28" s="945"/>
    </row>
    <row r="29" spans="1:32" ht="24.75" customHeight="1">
      <c r="A29" s="887" t="s">
        <v>141</v>
      </c>
      <c r="B29" s="888" t="s">
        <v>20</v>
      </c>
      <c r="C29" s="888" t="s">
        <v>21</v>
      </c>
      <c r="D29" s="888" t="s">
        <v>22</v>
      </c>
      <c r="E29" s="888" t="s">
        <v>23</v>
      </c>
      <c r="F29" s="888" t="s">
        <v>24</v>
      </c>
      <c r="G29" s="888" t="s">
        <v>25</v>
      </c>
      <c r="H29" s="888" t="s">
        <v>26</v>
      </c>
      <c r="I29" s="888" t="s">
        <v>27</v>
      </c>
      <c r="J29" s="888" t="s">
        <v>28</v>
      </c>
      <c r="K29" s="888" t="s">
        <v>29</v>
      </c>
      <c r="L29" s="888" t="s">
        <v>30</v>
      </c>
      <c r="M29" s="888" t="s">
        <v>31</v>
      </c>
      <c r="N29" s="889" t="s">
        <v>32</v>
      </c>
      <c r="O29" s="888" t="s">
        <v>33</v>
      </c>
      <c r="P29" s="890" t="s">
        <v>34</v>
      </c>
      <c r="Q29" s="891" t="s">
        <v>35</v>
      </c>
      <c r="R29" s="891" t="s">
        <v>36</v>
      </c>
      <c r="S29" s="891" t="s">
        <v>37</v>
      </c>
      <c r="T29" s="891" t="s">
        <v>38</v>
      </c>
      <c r="U29" s="891" t="s">
        <v>39</v>
      </c>
      <c r="V29" s="891" t="s">
        <v>40</v>
      </c>
      <c r="W29" s="891" t="s">
        <v>41</v>
      </c>
      <c r="X29" s="891" t="s">
        <v>42</v>
      </c>
      <c r="Y29" s="891" t="s">
        <v>43</v>
      </c>
      <c r="Z29" s="891" t="s">
        <v>44</v>
      </c>
      <c r="AA29" s="892" t="s">
        <v>45</v>
      </c>
      <c r="AB29" s="891" t="s">
        <v>46</v>
      </c>
      <c r="AC29" s="891" t="s">
        <v>47</v>
      </c>
      <c r="AD29" s="893" t="s">
        <v>48</v>
      </c>
      <c r="AE29" s="947"/>
      <c r="AF29" s="945"/>
    </row>
    <row r="30" spans="1:32" ht="24.75" customHeight="1">
      <c r="A30" s="999" t="s">
        <v>142</v>
      </c>
      <c r="B30" s="669" t="s">
        <v>143</v>
      </c>
      <c r="C30" s="896">
        <v>46107</v>
      </c>
      <c r="D30" s="1053" t="s">
        <v>144</v>
      </c>
      <c r="E30" s="1000">
        <v>46077</v>
      </c>
      <c r="F30" s="1053"/>
      <c r="G30" s="897"/>
      <c r="H30" s="898">
        <v>0</v>
      </c>
      <c r="I30" s="525" t="s">
        <v>54</v>
      </c>
      <c r="J30" s="898" t="s">
        <v>55</v>
      </c>
      <c r="K30" s="1366"/>
      <c r="L30" s="1000"/>
      <c r="M30" s="898" t="s">
        <v>56</v>
      </c>
      <c r="N30" s="1367">
        <v>12404.9</v>
      </c>
      <c r="O30" s="667" t="s">
        <v>56</v>
      </c>
      <c r="P30" s="921" t="s">
        <v>74</v>
      </c>
      <c r="Q30" s="1368"/>
      <c r="R30" s="1368"/>
      <c r="S30" s="1368"/>
      <c r="T30" s="1368"/>
      <c r="U30" s="1368"/>
      <c r="V30" s="1369">
        <v>1111</v>
      </c>
      <c r="W30" s="1369"/>
      <c r="X30" s="1369">
        <f>SUM(V30-W30)</f>
        <v>1111</v>
      </c>
      <c r="Y30" s="694">
        <f>IFERROR($W30/$V30, 0)</f>
        <v>0</v>
      </c>
      <c r="Z30" s="1370"/>
      <c r="AA30" s="904">
        <v>0</v>
      </c>
      <c r="AB30" s="904">
        <v>0</v>
      </c>
      <c r="AC30" s="913">
        <v>0</v>
      </c>
      <c r="AD30" s="905" t="s">
        <v>145</v>
      </c>
      <c r="AE30" s="947"/>
      <c r="AF30" s="945"/>
    </row>
    <row r="31" spans="1:32" ht="24.75" customHeight="1">
      <c r="A31" s="1257" t="s">
        <v>146</v>
      </c>
      <c r="B31" s="669" t="s">
        <v>143</v>
      </c>
      <c r="C31" s="1000"/>
      <c r="D31" s="1053" t="s">
        <v>144</v>
      </c>
      <c r="E31" s="1000">
        <v>46077</v>
      </c>
      <c r="F31" s="1053" t="s">
        <v>147</v>
      </c>
      <c r="G31" s="897"/>
      <c r="H31" s="898">
        <v>0</v>
      </c>
      <c r="I31" s="525" t="s">
        <v>54</v>
      </c>
      <c r="J31" s="898" t="s">
        <v>55</v>
      </c>
      <c r="K31" s="1366" t="s">
        <v>72</v>
      </c>
      <c r="L31" s="1000"/>
      <c r="M31" s="972" t="s">
        <v>73</v>
      </c>
      <c r="N31" s="1133"/>
      <c r="O31" s="972" t="s">
        <v>73</v>
      </c>
      <c r="P31" s="962" t="s">
        <v>74</v>
      </c>
      <c r="Q31" s="1368"/>
      <c r="R31" s="1368"/>
      <c r="S31" s="1368"/>
      <c r="T31" s="1368"/>
      <c r="U31" s="1368"/>
      <c r="V31" s="1369">
        <v>311</v>
      </c>
      <c r="W31" s="1369"/>
      <c r="X31" s="1369">
        <f>SUM(V31-W31)</f>
        <v>311</v>
      </c>
      <c r="Y31" s="694">
        <f>IFERROR($W31/$V31, 0)</f>
        <v>0</v>
      </c>
      <c r="Z31" s="1370"/>
      <c r="AA31" s="904">
        <v>0</v>
      </c>
      <c r="AB31" s="904">
        <v>0</v>
      </c>
      <c r="AC31" s="913">
        <v>0</v>
      </c>
      <c r="AD31" s="905" t="s">
        <v>148</v>
      </c>
      <c r="AE31" s="947"/>
      <c r="AF31" s="945"/>
    </row>
    <row r="32" spans="1:32" ht="24.75" customHeight="1">
      <c r="A32" s="895" t="s">
        <v>149</v>
      </c>
      <c r="B32" s="669" t="s">
        <v>143</v>
      </c>
      <c r="C32" s="896">
        <v>46079</v>
      </c>
      <c r="D32" s="896" t="s">
        <v>131</v>
      </c>
      <c r="E32" s="896">
        <v>45966</v>
      </c>
      <c r="F32" s="896" t="s">
        <v>150</v>
      </c>
      <c r="G32" s="897" t="s">
        <v>151</v>
      </c>
      <c r="H32" s="898">
        <v>0</v>
      </c>
      <c r="I32" s="525" t="s">
        <v>54</v>
      </c>
      <c r="J32" s="898" t="s">
        <v>55</v>
      </c>
      <c r="K32" s="909"/>
      <c r="L32" s="896"/>
      <c r="M32" s="898" t="s">
        <v>56</v>
      </c>
      <c r="N32" s="899">
        <v>82825</v>
      </c>
      <c r="O32" s="898" t="s">
        <v>56</v>
      </c>
      <c r="P32" s="900" t="s">
        <v>69</v>
      </c>
      <c r="Q32" s="901">
        <v>45965</v>
      </c>
      <c r="R32" s="901"/>
      <c r="S32" s="901"/>
      <c r="T32" s="901"/>
      <c r="U32" s="901"/>
      <c r="V32" s="638">
        <v>6210</v>
      </c>
      <c r="W32" s="638"/>
      <c r="X32" s="902">
        <f t="shared" ref="X32:X64" si="5">SUM(V32-W32)</f>
        <v>6210</v>
      </c>
      <c r="Y32" s="526">
        <f t="shared" ref="Y32:Y64" si="6">IFERROR($W32/$V32, 0)</f>
        <v>0</v>
      </c>
      <c r="Z32" s="903"/>
      <c r="AA32" s="904">
        <v>0</v>
      </c>
      <c r="AB32" s="904">
        <v>0</v>
      </c>
      <c r="AC32" s="913">
        <v>0</v>
      </c>
      <c r="AD32" s="905" t="s">
        <v>152</v>
      </c>
      <c r="AE32" s="947"/>
      <c r="AF32" s="945"/>
    </row>
    <row r="33" spans="1:56" ht="24.75" customHeight="1">
      <c r="A33" s="895" t="s">
        <v>153</v>
      </c>
      <c r="B33" s="669" t="s">
        <v>143</v>
      </c>
      <c r="C33" s="896">
        <v>46079</v>
      </c>
      <c r="D33" s="896" t="s">
        <v>131</v>
      </c>
      <c r="E33" s="896">
        <v>45966</v>
      </c>
      <c r="F33" s="896" t="s">
        <v>150</v>
      </c>
      <c r="G33" s="897" t="s">
        <v>154</v>
      </c>
      <c r="H33" s="898">
        <v>7</v>
      </c>
      <c r="I33" s="525" t="s">
        <v>54</v>
      </c>
      <c r="J33" s="898" t="s">
        <v>55</v>
      </c>
      <c r="K33" s="909"/>
      <c r="L33" s="896"/>
      <c r="M33" s="898" t="s">
        <v>56</v>
      </c>
      <c r="N33" s="899">
        <v>34736.85</v>
      </c>
      <c r="O33" s="898" t="s">
        <v>56</v>
      </c>
      <c r="P33" s="900" t="s">
        <v>57</v>
      </c>
      <c r="Q33" s="901">
        <v>45965</v>
      </c>
      <c r="R33" s="901"/>
      <c r="S33" s="901"/>
      <c r="T33" s="901"/>
      <c r="U33" s="901"/>
      <c r="V33" s="638">
        <v>2601</v>
      </c>
      <c r="W33" s="638">
        <v>1661</v>
      </c>
      <c r="X33" s="902">
        <f t="shared" si="5"/>
        <v>940</v>
      </c>
      <c r="Y33" s="526">
        <f t="shared" si="6"/>
        <v>0.63860053825451746</v>
      </c>
      <c r="Z33" s="912">
        <v>45973</v>
      </c>
      <c r="AA33" s="904">
        <v>0</v>
      </c>
      <c r="AB33" s="904">
        <v>0</v>
      </c>
      <c r="AC33" s="913">
        <v>2601</v>
      </c>
      <c r="AD33" s="905" t="s">
        <v>155</v>
      </c>
      <c r="AE33" s="947"/>
      <c r="AF33" s="945"/>
    </row>
    <row r="34" spans="1:56" ht="24.75" customHeight="1">
      <c r="A34" s="895" t="s">
        <v>156</v>
      </c>
      <c r="B34" s="669" t="s">
        <v>143</v>
      </c>
      <c r="C34" s="896">
        <v>46073</v>
      </c>
      <c r="D34" s="896" t="s">
        <v>157</v>
      </c>
      <c r="E34" s="896">
        <v>45980</v>
      </c>
      <c r="F34" s="896" t="s">
        <v>158</v>
      </c>
      <c r="G34" s="897" t="s">
        <v>159</v>
      </c>
      <c r="H34" s="898">
        <v>82</v>
      </c>
      <c r="I34" s="898" t="s">
        <v>54</v>
      </c>
      <c r="J34" s="898" t="s">
        <v>55</v>
      </c>
      <c r="K34" s="898"/>
      <c r="L34" s="896"/>
      <c r="M34" s="898" t="s">
        <v>56</v>
      </c>
      <c r="N34" s="899">
        <v>56294</v>
      </c>
      <c r="O34" s="898" t="s">
        <v>56</v>
      </c>
      <c r="P34" s="900" t="s">
        <v>57</v>
      </c>
      <c r="Q34" s="901">
        <v>45981</v>
      </c>
      <c r="R34" s="901"/>
      <c r="S34" s="901"/>
      <c r="T34" s="901"/>
      <c r="U34" s="901"/>
      <c r="V34" s="902">
        <v>4146</v>
      </c>
      <c r="W34" s="902">
        <v>3667</v>
      </c>
      <c r="X34" s="902">
        <f t="shared" si="5"/>
        <v>479</v>
      </c>
      <c r="Y34" s="526">
        <f t="shared" si="6"/>
        <v>0.88446695610226722</v>
      </c>
      <c r="Z34" s="912"/>
      <c r="AA34" s="904">
        <v>0</v>
      </c>
      <c r="AB34" s="904">
        <v>0</v>
      </c>
      <c r="AC34" s="902">
        <v>0</v>
      </c>
      <c r="AD34" s="905" t="s">
        <v>160</v>
      </c>
      <c r="AE34" s="947"/>
    </row>
    <row r="35" spans="1:56" ht="24.75" customHeight="1">
      <c r="A35" s="895" t="s">
        <v>161</v>
      </c>
      <c r="B35" s="669" t="s">
        <v>143</v>
      </c>
      <c r="C35" s="896">
        <v>46073</v>
      </c>
      <c r="D35" s="896"/>
      <c r="E35" s="896"/>
      <c r="F35" s="896"/>
      <c r="G35" s="897" t="s">
        <v>162</v>
      </c>
      <c r="H35" s="898">
        <v>54</v>
      </c>
      <c r="I35" s="898" t="s">
        <v>54</v>
      </c>
      <c r="J35" s="898" t="s">
        <v>55</v>
      </c>
      <c r="K35" s="898"/>
      <c r="L35" s="896"/>
      <c r="M35" s="898" t="s">
        <v>56</v>
      </c>
      <c r="N35" s="899">
        <v>58240</v>
      </c>
      <c r="O35" s="898" t="s">
        <v>56</v>
      </c>
      <c r="P35" s="900" t="s">
        <v>74</v>
      </c>
      <c r="Q35" s="901"/>
      <c r="R35" s="901"/>
      <c r="S35" s="901"/>
      <c r="T35" s="901"/>
      <c r="U35" s="901"/>
      <c r="V35" s="902">
        <v>4594</v>
      </c>
      <c r="W35" s="902"/>
      <c r="X35" s="902">
        <f t="shared" si="5"/>
        <v>4594</v>
      </c>
      <c r="Y35" s="526">
        <f t="shared" si="6"/>
        <v>0</v>
      </c>
      <c r="Z35" s="912"/>
      <c r="AA35" s="904">
        <v>0</v>
      </c>
      <c r="AB35" s="904">
        <v>0</v>
      </c>
      <c r="AC35" s="913">
        <v>0</v>
      </c>
      <c r="AD35" s="905" t="s">
        <v>163</v>
      </c>
      <c r="AE35" s="947"/>
    </row>
    <row r="36" spans="1:56" ht="24.75" customHeight="1">
      <c r="A36" s="895" t="s">
        <v>164</v>
      </c>
      <c r="B36" s="669" t="s">
        <v>143</v>
      </c>
      <c r="C36" s="896">
        <v>45999</v>
      </c>
      <c r="D36" s="907" t="s">
        <v>131</v>
      </c>
      <c r="E36" s="907">
        <v>45959</v>
      </c>
      <c r="F36" s="908" t="s">
        <v>150</v>
      </c>
      <c r="G36" s="907" t="s">
        <v>165</v>
      </c>
      <c r="H36" s="670">
        <v>69</v>
      </c>
      <c r="I36" s="898" t="s">
        <v>54</v>
      </c>
      <c r="J36" s="898" t="s">
        <v>55</v>
      </c>
      <c r="K36" s="898"/>
      <c r="L36" s="907">
        <v>45925</v>
      </c>
      <c r="M36" s="667" t="s">
        <v>56</v>
      </c>
      <c r="N36" s="671">
        <v>51632</v>
      </c>
      <c r="O36" s="667" t="s">
        <v>56</v>
      </c>
      <c r="P36" s="921" t="s">
        <v>57</v>
      </c>
      <c r="Q36" s="912">
        <v>45932</v>
      </c>
      <c r="R36" s="912"/>
      <c r="S36" s="912"/>
      <c r="T36" s="912"/>
      <c r="U36" s="912"/>
      <c r="V36" s="780">
        <v>3997</v>
      </c>
      <c r="W36" s="638">
        <v>3743</v>
      </c>
      <c r="X36" s="902">
        <f t="shared" si="5"/>
        <v>254</v>
      </c>
      <c r="Y36" s="526">
        <f t="shared" si="6"/>
        <v>0.93645233925444082</v>
      </c>
      <c r="Z36" s="912">
        <v>45960</v>
      </c>
      <c r="AA36" s="904">
        <v>0</v>
      </c>
      <c r="AB36" s="904">
        <v>0</v>
      </c>
      <c r="AC36" s="511">
        <v>0</v>
      </c>
      <c r="AD36" s="905" t="s">
        <v>166</v>
      </c>
      <c r="AE36" s="945"/>
      <c r="AF36" s="948"/>
      <c r="AG36" s="948"/>
      <c r="AH36" s="948"/>
      <c r="AI36" s="948"/>
      <c r="AJ36" s="948"/>
      <c r="AK36" s="948"/>
      <c r="AL36" s="948"/>
      <c r="AM36" s="894"/>
      <c r="AN36" s="894"/>
      <c r="AO36" s="894"/>
      <c r="AP36" s="894"/>
      <c r="AQ36" s="894"/>
      <c r="AR36" s="894"/>
      <c r="AS36" s="894"/>
      <c r="AT36" s="894"/>
      <c r="AU36" s="894"/>
      <c r="AV36" s="894"/>
      <c r="AW36" s="894"/>
      <c r="AX36" s="894"/>
      <c r="AY36" s="894"/>
      <c r="AZ36" s="894"/>
      <c r="BA36" s="894"/>
      <c r="BB36" s="894"/>
      <c r="BC36" s="894"/>
      <c r="BD36" s="894"/>
    </row>
    <row r="37" spans="1:56" ht="24.75" customHeight="1">
      <c r="A37" s="949" t="s">
        <v>167</v>
      </c>
      <c r="B37" s="669" t="s">
        <v>143</v>
      </c>
      <c r="C37" s="896">
        <v>45999</v>
      </c>
      <c r="D37" s="907" t="s">
        <v>157</v>
      </c>
      <c r="E37" s="907">
        <v>45975</v>
      </c>
      <c r="F37" s="908" t="s">
        <v>158</v>
      </c>
      <c r="G37" s="907" t="s">
        <v>168</v>
      </c>
      <c r="H37" s="670">
        <v>48</v>
      </c>
      <c r="I37" s="898" t="s">
        <v>54</v>
      </c>
      <c r="J37" s="898" t="s">
        <v>55</v>
      </c>
      <c r="K37" s="898"/>
      <c r="L37" s="907"/>
      <c r="M37" s="667" t="s">
        <v>56</v>
      </c>
      <c r="N37" s="671">
        <v>39064</v>
      </c>
      <c r="O37" s="667" t="s">
        <v>56</v>
      </c>
      <c r="P37" s="921" t="s">
        <v>69</v>
      </c>
      <c r="Q37" s="912">
        <v>45932</v>
      </c>
      <c r="R37" s="912"/>
      <c r="S37" s="912"/>
      <c r="T37" s="912"/>
      <c r="U37" s="912"/>
      <c r="V37" s="780">
        <v>2982</v>
      </c>
      <c r="W37" s="638"/>
      <c r="X37" s="902">
        <f t="shared" si="5"/>
        <v>2982</v>
      </c>
      <c r="Y37" s="526">
        <f t="shared" si="6"/>
        <v>0</v>
      </c>
      <c r="Z37" s="903"/>
      <c r="AA37" s="904">
        <v>0</v>
      </c>
      <c r="AB37" s="904">
        <v>0</v>
      </c>
      <c r="AC37" s="511">
        <v>0</v>
      </c>
      <c r="AD37" s="905" t="s">
        <v>169</v>
      </c>
      <c r="AE37" s="950"/>
    </row>
    <row r="38" spans="1:56" ht="24.75" customHeight="1">
      <c r="A38" s="895" t="s">
        <v>170</v>
      </c>
      <c r="B38" s="669" t="s">
        <v>143</v>
      </c>
      <c r="C38" s="896">
        <v>46249</v>
      </c>
      <c r="D38" s="907"/>
      <c r="E38" s="907"/>
      <c r="F38" s="908"/>
      <c r="G38" s="907"/>
      <c r="H38" s="909">
        <v>52</v>
      </c>
      <c r="I38" s="667" t="s">
        <v>54</v>
      </c>
      <c r="J38" s="670" t="s">
        <v>55</v>
      </c>
      <c r="K38" s="898"/>
      <c r="L38" s="907"/>
      <c r="M38" s="667" t="s">
        <v>56</v>
      </c>
      <c r="N38" s="919">
        <v>61830</v>
      </c>
      <c r="O38" s="667" t="s">
        <v>56</v>
      </c>
      <c r="P38" s="921" t="s">
        <v>74</v>
      </c>
      <c r="Q38" s="912"/>
      <c r="R38" s="912"/>
      <c r="S38" s="912"/>
      <c r="T38" s="912"/>
      <c r="U38" s="912"/>
      <c r="V38" s="913">
        <v>5149</v>
      </c>
      <c r="W38" s="902"/>
      <c r="X38" s="902">
        <f t="shared" si="5"/>
        <v>5149</v>
      </c>
      <c r="Y38" s="526">
        <f t="shared" si="6"/>
        <v>0</v>
      </c>
      <c r="Z38" s="903"/>
      <c r="AA38" s="904">
        <v>0</v>
      </c>
      <c r="AB38" s="904">
        <v>0</v>
      </c>
      <c r="AC38" s="511">
        <v>0</v>
      </c>
      <c r="AD38" s="905" t="s">
        <v>171</v>
      </c>
      <c r="AE38" s="950"/>
    </row>
    <row r="39" spans="1:56" ht="24.75" customHeight="1">
      <c r="A39" s="895" t="s">
        <v>172</v>
      </c>
      <c r="B39" s="669" t="s">
        <v>143</v>
      </c>
      <c r="C39" s="907">
        <v>46171</v>
      </c>
      <c r="D39" s="907"/>
      <c r="E39" s="907"/>
      <c r="F39" s="908"/>
      <c r="G39" s="907"/>
      <c r="H39" s="909">
        <v>56</v>
      </c>
      <c r="I39" s="667" t="s">
        <v>54</v>
      </c>
      <c r="J39" s="670" t="s">
        <v>55</v>
      </c>
      <c r="K39" s="898"/>
      <c r="L39" s="907"/>
      <c r="M39" s="667" t="s">
        <v>56</v>
      </c>
      <c r="N39" s="919">
        <v>75665</v>
      </c>
      <c r="O39" s="667" t="s">
        <v>56</v>
      </c>
      <c r="P39" s="921" t="s">
        <v>74</v>
      </c>
      <c r="Q39" s="912"/>
      <c r="R39" s="912"/>
      <c r="S39" s="912"/>
      <c r="T39" s="912"/>
      <c r="U39" s="912"/>
      <c r="V39" s="913">
        <v>6249</v>
      </c>
      <c r="W39" s="902"/>
      <c r="X39" s="902">
        <f t="shared" si="5"/>
        <v>6249</v>
      </c>
      <c r="Y39" s="526">
        <f t="shared" si="6"/>
        <v>0</v>
      </c>
      <c r="Z39" s="903"/>
      <c r="AA39" s="904">
        <v>0</v>
      </c>
      <c r="AB39" s="904">
        <v>0</v>
      </c>
      <c r="AC39" s="511">
        <v>0</v>
      </c>
      <c r="AD39" s="905" t="s">
        <v>173</v>
      </c>
      <c r="AE39" s="950"/>
    </row>
    <row r="40" spans="1:56" ht="24.75" customHeight="1">
      <c r="A40" s="895" t="s">
        <v>174</v>
      </c>
      <c r="B40" s="669" t="s">
        <v>143</v>
      </c>
      <c r="C40" s="907">
        <v>46171</v>
      </c>
      <c r="D40" s="907"/>
      <c r="E40" s="907"/>
      <c r="F40" s="908"/>
      <c r="G40" s="907" t="s">
        <v>175</v>
      </c>
      <c r="H40" s="670">
        <v>70</v>
      </c>
      <c r="I40" s="667" t="s">
        <v>54</v>
      </c>
      <c r="J40" s="670" t="s">
        <v>55</v>
      </c>
      <c r="K40" s="898"/>
      <c r="L40" s="907"/>
      <c r="M40" s="667" t="s">
        <v>56</v>
      </c>
      <c r="N40" s="671">
        <v>80624</v>
      </c>
      <c r="O40" s="667" t="s">
        <v>56</v>
      </c>
      <c r="P40" s="921" t="s">
        <v>74</v>
      </c>
      <c r="Q40" s="912"/>
      <c r="R40" s="912"/>
      <c r="S40" s="912"/>
      <c r="T40" s="912"/>
      <c r="U40" s="912"/>
      <c r="V40" s="780">
        <v>6762</v>
      </c>
      <c r="W40" s="638"/>
      <c r="X40" s="902">
        <f t="shared" si="5"/>
        <v>6762</v>
      </c>
      <c r="Y40" s="526">
        <f t="shared" si="6"/>
        <v>0</v>
      </c>
      <c r="Z40" s="903"/>
      <c r="AA40" s="904">
        <v>0</v>
      </c>
      <c r="AB40" s="904">
        <v>0</v>
      </c>
      <c r="AC40" s="511">
        <v>0</v>
      </c>
      <c r="AD40" s="905" t="s">
        <v>176</v>
      </c>
      <c r="AE40" s="950"/>
    </row>
    <row r="41" spans="1:56" ht="24.75" customHeight="1">
      <c r="A41" s="895" t="s">
        <v>177</v>
      </c>
      <c r="B41" s="669" t="s">
        <v>143</v>
      </c>
      <c r="C41" s="907">
        <v>46171</v>
      </c>
      <c r="D41" s="907"/>
      <c r="E41" s="907"/>
      <c r="F41" s="908"/>
      <c r="G41" s="907"/>
      <c r="H41" s="909">
        <v>30</v>
      </c>
      <c r="I41" s="667" t="s">
        <v>54</v>
      </c>
      <c r="J41" s="670" t="s">
        <v>55</v>
      </c>
      <c r="K41" s="898"/>
      <c r="L41" s="907"/>
      <c r="M41" s="667" t="s">
        <v>56</v>
      </c>
      <c r="N41" s="919">
        <v>45160</v>
      </c>
      <c r="O41" s="667" t="s">
        <v>56</v>
      </c>
      <c r="P41" s="921" t="s">
        <v>74</v>
      </c>
      <c r="Q41" s="912"/>
      <c r="R41" s="912"/>
      <c r="S41" s="912"/>
      <c r="T41" s="912"/>
      <c r="U41" s="912"/>
      <c r="V41" s="913">
        <v>3700</v>
      </c>
      <c r="W41" s="902"/>
      <c r="X41" s="902">
        <f t="shared" si="5"/>
        <v>3700</v>
      </c>
      <c r="Y41" s="526">
        <f t="shared" si="6"/>
        <v>0</v>
      </c>
      <c r="Z41" s="903"/>
      <c r="AA41" s="904">
        <v>0</v>
      </c>
      <c r="AB41" s="904">
        <v>0</v>
      </c>
      <c r="AC41" s="511">
        <v>0</v>
      </c>
      <c r="AD41" s="905" t="s">
        <v>178</v>
      </c>
      <c r="AE41" s="950"/>
    </row>
    <row r="42" spans="1:56" ht="24.75" customHeight="1">
      <c r="A42" s="895" t="s">
        <v>179</v>
      </c>
      <c r="B42" s="669" t="s">
        <v>143</v>
      </c>
      <c r="C42" s="907">
        <v>46171</v>
      </c>
      <c r="D42" s="907"/>
      <c r="E42" s="907"/>
      <c r="F42" s="908"/>
      <c r="G42" s="907"/>
      <c r="H42" s="670">
        <v>48</v>
      </c>
      <c r="I42" s="667" t="s">
        <v>54</v>
      </c>
      <c r="J42" s="670" t="s">
        <v>55</v>
      </c>
      <c r="K42" s="898"/>
      <c r="L42" s="907"/>
      <c r="M42" s="667" t="s">
        <v>56</v>
      </c>
      <c r="N42" s="671">
        <v>54814</v>
      </c>
      <c r="O42" s="667" t="s">
        <v>56</v>
      </c>
      <c r="P42" s="921" t="s">
        <v>74</v>
      </c>
      <c r="Q42" s="912"/>
      <c r="R42" s="912"/>
      <c r="S42" s="912"/>
      <c r="T42" s="912"/>
      <c r="U42" s="912"/>
      <c r="V42" s="780">
        <v>4515</v>
      </c>
      <c r="W42" s="638"/>
      <c r="X42" s="902">
        <f t="shared" si="5"/>
        <v>4515</v>
      </c>
      <c r="Y42" s="526">
        <f t="shared" si="6"/>
        <v>0</v>
      </c>
      <c r="Z42" s="903"/>
      <c r="AA42" s="904">
        <v>0</v>
      </c>
      <c r="AB42" s="904">
        <v>0</v>
      </c>
      <c r="AC42" s="511">
        <v>0</v>
      </c>
      <c r="AD42" s="905" t="s">
        <v>180</v>
      </c>
      <c r="AE42" s="950"/>
    </row>
    <row r="43" spans="1:56" ht="24.75" customHeight="1">
      <c r="A43" s="895" t="s">
        <v>181</v>
      </c>
      <c r="B43" s="669" t="s">
        <v>143</v>
      </c>
      <c r="C43" s="907">
        <v>46171</v>
      </c>
      <c r="D43" s="907"/>
      <c r="E43" s="907"/>
      <c r="F43" s="908"/>
      <c r="G43" s="907" t="s">
        <v>182</v>
      </c>
      <c r="H43" s="670">
        <v>60</v>
      </c>
      <c r="I43" s="667" t="s">
        <v>54</v>
      </c>
      <c r="J43" s="670" t="s">
        <v>55</v>
      </c>
      <c r="K43" s="898"/>
      <c r="L43" s="907"/>
      <c r="M43" s="667" t="s">
        <v>56</v>
      </c>
      <c r="N43" s="671">
        <v>76865.5</v>
      </c>
      <c r="O43" s="667" t="s">
        <v>56</v>
      </c>
      <c r="P43" s="921" t="s">
        <v>74</v>
      </c>
      <c r="Q43" s="912"/>
      <c r="R43" s="912"/>
      <c r="S43" s="912"/>
      <c r="T43" s="912"/>
      <c r="U43" s="912"/>
      <c r="V43" s="780">
        <v>5795</v>
      </c>
      <c r="W43" s="638"/>
      <c r="X43" s="902">
        <f t="shared" si="5"/>
        <v>5795</v>
      </c>
      <c r="Y43" s="526">
        <f t="shared" si="6"/>
        <v>0</v>
      </c>
      <c r="Z43" s="903"/>
      <c r="AA43" s="904">
        <v>0</v>
      </c>
      <c r="AB43" s="904">
        <v>0</v>
      </c>
      <c r="AC43" s="511">
        <v>0</v>
      </c>
      <c r="AD43" s="905" t="s">
        <v>180</v>
      </c>
      <c r="AE43" s="950"/>
    </row>
    <row r="44" spans="1:56" ht="24.75" customHeight="1">
      <c r="A44" s="895" t="s">
        <v>183</v>
      </c>
      <c r="B44" s="669" t="s">
        <v>143</v>
      </c>
      <c r="C44" s="907">
        <v>46171</v>
      </c>
      <c r="D44" s="907"/>
      <c r="E44" s="907"/>
      <c r="F44" s="908"/>
      <c r="G44" s="907" t="s">
        <v>184</v>
      </c>
      <c r="H44" s="670">
        <v>72</v>
      </c>
      <c r="I44" s="667" t="s">
        <v>54</v>
      </c>
      <c r="J44" s="670" t="s">
        <v>55</v>
      </c>
      <c r="K44" s="898"/>
      <c r="L44" s="907"/>
      <c r="M44" s="667" t="s">
        <v>56</v>
      </c>
      <c r="N44" s="671">
        <v>85035</v>
      </c>
      <c r="O44" s="667" t="s">
        <v>56</v>
      </c>
      <c r="P44" s="921" t="s">
        <v>74</v>
      </c>
      <c r="Q44" s="912"/>
      <c r="R44" s="912"/>
      <c r="S44" s="912"/>
      <c r="T44" s="912"/>
      <c r="U44" s="912"/>
      <c r="V44" s="780">
        <v>7140</v>
      </c>
      <c r="W44" s="638"/>
      <c r="X44" s="902">
        <f t="shared" si="5"/>
        <v>7140</v>
      </c>
      <c r="Y44" s="526">
        <f t="shared" si="6"/>
        <v>0</v>
      </c>
      <c r="Z44" s="903"/>
      <c r="AA44" s="904">
        <v>0</v>
      </c>
      <c r="AB44" s="904">
        <v>0</v>
      </c>
      <c r="AC44" s="511">
        <v>0</v>
      </c>
      <c r="AD44" s="905" t="s">
        <v>180</v>
      </c>
      <c r="AE44" s="950"/>
    </row>
    <row r="45" spans="1:56" ht="24.75" customHeight="1">
      <c r="A45" s="895" t="s">
        <v>185</v>
      </c>
      <c r="B45" s="669" t="s">
        <v>143</v>
      </c>
      <c r="C45" s="896">
        <v>45997</v>
      </c>
      <c r="D45" s="907"/>
      <c r="E45" s="907"/>
      <c r="F45" s="908"/>
      <c r="G45" s="907"/>
      <c r="H45" s="909">
        <v>20</v>
      </c>
      <c r="I45" s="667" t="s">
        <v>54</v>
      </c>
      <c r="J45" s="670" t="s">
        <v>55</v>
      </c>
      <c r="K45" s="898"/>
      <c r="L45" s="907"/>
      <c r="M45" s="667" t="s">
        <v>56</v>
      </c>
      <c r="N45" s="919">
        <v>23501</v>
      </c>
      <c r="O45" s="667" t="s">
        <v>56</v>
      </c>
      <c r="P45" s="921" t="s">
        <v>74</v>
      </c>
      <c r="Q45" s="912"/>
      <c r="R45" s="912"/>
      <c r="S45" s="912"/>
      <c r="T45" s="912"/>
      <c r="U45" s="912"/>
      <c r="V45" s="913">
        <v>1831</v>
      </c>
      <c r="W45" s="902"/>
      <c r="X45" s="902">
        <f t="shared" si="5"/>
        <v>1831</v>
      </c>
      <c r="Y45" s="526">
        <f t="shared" si="6"/>
        <v>0</v>
      </c>
      <c r="Z45" s="903"/>
      <c r="AA45" s="904">
        <v>0</v>
      </c>
      <c r="AB45" s="904">
        <v>0</v>
      </c>
      <c r="AC45" s="511">
        <v>0</v>
      </c>
      <c r="AD45" s="905" t="s">
        <v>173</v>
      </c>
      <c r="AE45" s="950"/>
    </row>
    <row r="46" spans="1:56" ht="24.75" customHeight="1">
      <c r="A46" s="999" t="s">
        <v>186</v>
      </c>
      <c r="B46" s="669" t="s">
        <v>143</v>
      </c>
      <c r="C46" s="896">
        <v>46079</v>
      </c>
      <c r="D46" s="1002"/>
      <c r="E46" s="1002"/>
      <c r="F46" s="1001"/>
      <c r="G46" s="907"/>
      <c r="H46" s="1371">
        <v>0</v>
      </c>
      <c r="I46" s="667" t="s">
        <v>54</v>
      </c>
      <c r="J46" s="670" t="s">
        <v>55</v>
      </c>
      <c r="K46" s="1366"/>
      <c r="L46" s="1002"/>
      <c r="M46" s="667" t="s">
        <v>56</v>
      </c>
      <c r="N46" s="1372">
        <v>36998.550000000003</v>
      </c>
      <c r="O46" s="667" t="s">
        <v>56</v>
      </c>
      <c r="P46" s="921" t="s">
        <v>74</v>
      </c>
      <c r="Q46" s="1373"/>
      <c r="R46" s="1373"/>
      <c r="S46" s="1373"/>
      <c r="T46" s="1373"/>
      <c r="U46" s="1373"/>
      <c r="V46" s="1374">
        <v>2944</v>
      </c>
      <c r="W46" s="1369"/>
      <c r="X46" s="1369">
        <f>SUM(V46-W46)</f>
        <v>2944</v>
      </c>
      <c r="Y46" s="526">
        <f>IFERROR($W46/$V46, 0)</f>
        <v>0</v>
      </c>
      <c r="Z46" s="1375"/>
      <c r="AA46" s="904">
        <v>0</v>
      </c>
      <c r="AB46" s="904">
        <v>0</v>
      </c>
      <c r="AC46" s="511">
        <v>0</v>
      </c>
      <c r="AD46" s="905"/>
      <c r="AE46" s="950"/>
    </row>
    <row r="47" spans="1:56" ht="24.75" customHeight="1">
      <c r="A47" s="999" t="s">
        <v>187</v>
      </c>
      <c r="B47" s="669" t="s">
        <v>143</v>
      </c>
      <c r="C47" s="1000">
        <v>46079</v>
      </c>
      <c r="D47" s="1002"/>
      <c r="E47" s="1002"/>
      <c r="F47" s="1001"/>
      <c r="G47" s="907"/>
      <c r="H47" s="1371">
        <v>0</v>
      </c>
      <c r="I47" s="667" t="s">
        <v>54</v>
      </c>
      <c r="J47" s="670" t="s">
        <v>55</v>
      </c>
      <c r="K47" s="1366"/>
      <c r="L47" s="1002"/>
      <c r="M47" s="667" t="s">
        <v>56</v>
      </c>
      <c r="N47" s="1372">
        <v>49932.800000000003</v>
      </c>
      <c r="O47" s="667" t="s">
        <v>56</v>
      </c>
      <c r="P47" s="921" t="s">
        <v>74</v>
      </c>
      <c r="Q47" s="1373"/>
      <c r="R47" s="1373"/>
      <c r="S47" s="1373"/>
      <c r="T47" s="1373"/>
      <c r="U47" s="1373"/>
      <c r="V47" s="1374">
        <v>4048</v>
      </c>
      <c r="W47" s="1369"/>
      <c r="X47" s="1369">
        <f>SUM(V47-W47)</f>
        <v>4048</v>
      </c>
      <c r="Y47" s="526">
        <f>IFERROR($W47/$V47, 0)</f>
        <v>0</v>
      </c>
      <c r="Z47" s="1375"/>
      <c r="AA47" s="904">
        <v>0</v>
      </c>
      <c r="AB47" s="904">
        <v>0</v>
      </c>
      <c r="AC47" s="511">
        <v>0</v>
      </c>
      <c r="AD47" s="905"/>
      <c r="AE47" s="950"/>
    </row>
    <row r="48" spans="1:56" ht="24.75" customHeight="1">
      <c r="A48" s="895" t="s">
        <v>188</v>
      </c>
      <c r="B48" s="669" t="s">
        <v>143</v>
      </c>
      <c r="C48" s="896">
        <v>46112</v>
      </c>
      <c r="D48" s="907"/>
      <c r="E48" s="907"/>
      <c r="F48" s="908"/>
      <c r="G48" s="907" t="s">
        <v>189</v>
      </c>
      <c r="H48" s="909">
        <v>20</v>
      </c>
      <c r="I48" s="667" t="s">
        <v>54</v>
      </c>
      <c r="J48" s="670" t="s">
        <v>55</v>
      </c>
      <c r="K48" s="898"/>
      <c r="L48" s="907"/>
      <c r="M48" s="909" t="s">
        <v>56</v>
      </c>
      <c r="N48" s="919">
        <v>1733.25</v>
      </c>
      <c r="O48" s="909" t="s">
        <v>56</v>
      </c>
      <c r="P48" s="921" t="s">
        <v>69</v>
      </c>
      <c r="Q48" s="912">
        <v>45979</v>
      </c>
      <c r="R48" s="912"/>
      <c r="S48" s="912"/>
      <c r="T48" s="912"/>
      <c r="U48" s="912"/>
      <c r="V48" s="913">
        <v>255</v>
      </c>
      <c r="W48" s="902"/>
      <c r="X48" s="902">
        <f>SUM(V48-W48)</f>
        <v>255</v>
      </c>
      <c r="Y48" s="526">
        <f>IFERROR($W48/$V48, 0)</f>
        <v>0</v>
      </c>
      <c r="Z48" s="903"/>
      <c r="AA48" s="904">
        <v>0</v>
      </c>
      <c r="AB48" s="904">
        <v>0</v>
      </c>
      <c r="AC48" s="511">
        <v>0</v>
      </c>
      <c r="AD48" s="952" t="s">
        <v>190</v>
      </c>
      <c r="AE48" s="950"/>
    </row>
    <row r="49" spans="1:31" ht="24.75" customHeight="1">
      <c r="A49" s="895" t="s">
        <v>191</v>
      </c>
      <c r="B49" s="669" t="s">
        <v>143</v>
      </c>
      <c r="C49" s="896">
        <v>46099</v>
      </c>
      <c r="D49" s="907"/>
      <c r="E49" s="907"/>
      <c r="F49" s="908"/>
      <c r="G49" s="907"/>
      <c r="H49" s="909">
        <v>0</v>
      </c>
      <c r="I49" s="667" t="s">
        <v>54</v>
      </c>
      <c r="J49" s="670" t="s">
        <v>55</v>
      </c>
      <c r="K49" s="898"/>
      <c r="L49" s="907"/>
      <c r="M49" s="667" t="s">
        <v>56</v>
      </c>
      <c r="N49" s="919">
        <v>18270.8</v>
      </c>
      <c r="O49" s="667" t="s">
        <v>56</v>
      </c>
      <c r="P49" s="921" t="s">
        <v>74</v>
      </c>
      <c r="Q49" s="912"/>
      <c r="R49" s="912"/>
      <c r="S49" s="912"/>
      <c r="T49" s="912"/>
      <c r="U49" s="912"/>
      <c r="V49" s="913">
        <v>1388</v>
      </c>
      <c r="W49" s="902"/>
      <c r="X49" s="902">
        <f>SUM(V49-W49)</f>
        <v>1388</v>
      </c>
      <c r="Y49" s="526">
        <f>IFERROR($W49/$V49, 0)</f>
        <v>0</v>
      </c>
      <c r="Z49" s="903"/>
      <c r="AA49" s="904">
        <v>0</v>
      </c>
      <c r="AB49" s="904">
        <v>0</v>
      </c>
      <c r="AC49" s="913">
        <v>0</v>
      </c>
      <c r="AD49" s="905" t="s">
        <v>192</v>
      </c>
      <c r="AE49" s="950"/>
    </row>
    <row r="50" spans="1:31" ht="24.75" customHeight="1">
      <c r="A50" s="895" t="s">
        <v>193</v>
      </c>
      <c r="B50" s="669" t="s">
        <v>143</v>
      </c>
      <c r="C50" s="896">
        <v>46112</v>
      </c>
      <c r="D50" s="908" t="s">
        <v>131</v>
      </c>
      <c r="E50" s="907">
        <v>46077</v>
      </c>
      <c r="F50" s="908"/>
      <c r="G50" s="908" t="s">
        <v>194</v>
      </c>
      <c r="H50" s="909">
        <v>0</v>
      </c>
      <c r="I50" s="667" t="s">
        <v>54</v>
      </c>
      <c r="J50" s="909" t="s">
        <v>55</v>
      </c>
      <c r="K50" s="898"/>
      <c r="L50" s="907"/>
      <c r="M50" s="909" t="s">
        <v>56</v>
      </c>
      <c r="N50" s="919">
        <v>3995.4</v>
      </c>
      <c r="O50" s="909" t="s">
        <v>56</v>
      </c>
      <c r="P50" s="921" t="s">
        <v>69</v>
      </c>
      <c r="Q50" s="912">
        <v>45979</v>
      </c>
      <c r="R50" s="912"/>
      <c r="S50" s="912"/>
      <c r="T50" s="912"/>
      <c r="U50" s="912"/>
      <c r="V50" s="913">
        <v>294</v>
      </c>
      <c r="W50" s="902"/>
      <c r="X50" s="902">
        <f t="shared" si="5"/>
        <v>294</v>
      </c>
      <c r="Y50" s="526">
        <f t="shared" si="6"/>
        <v>0</v>
      </c>
      <c r="Z50" s="903"/>
      <c r="AA50" s="904">
        <v>0</v>
      </c>
      <c r="AB50" s="904">
        <v>0</v>
      </c>
      <c r="AC50" s="913">
        <v>0</v>
      </c>
      <c r="AD50" s="905" t="s">
        <v>195</v>
      </c>
      <c r="AE50" s="950"/>
    </row>
    <row r="51" spans="1:31" ht="24.75" customHeight="1">
      <c r="A51" s="895" t="s">
        <v>196</v>
      </c>
      <c r="B51" s="669" t="s">
        <v>143</v>
      </c>
      <c r="C51" s="896">
        <v>46040</v>
      </c>
      <c r="D51" s="908"/>
      <c r="E51" s="907"/>
      <c r="F51" s="908"/>
      <c r="G51" s="908" t="s">
        <v>197</v>
      </c>
      <c r="H51" s="909">
        <v>0</v>
      </c>
      <c r="I51" s="667" t="s">
        <v>54</v>
      </c>
      <c r="J51" s="909" t="s">
        <v>55</v>
      </c>
      <c r="K51" s="898"/>
      <c r="L51" s="907"/>
      <c r="M51" s="909" t="s">
        <v>56</v>
      </c>
      <c r="N51" s="919">
        <v>18171.599999999999</v>
      </c>
      <c r="O51" s="909" t="s">
        <v>56</v>
      </c>
      <c r="P51" s="921" t="s">
        <v>69</v>
      </c>
      <c r="Q51" s="912">
        <v>45979</v>
      </c>
      <c r="R51" s="912"/>
      <c r="S51" s="912"/>
      <c r="T51" s="912"/>
      <c r="U51" s="912"/>
      <c r="V51" s="913">
        <v>1514</v>
      </c>
      <c r="W51" s="902"/>
      <c r="X51" s="902">
        <f>SUM(V51-W51)</f>
        <v>1514</v>
      </c>
      <c r="Y51" s="526">
        <f>IFERROR($W51/$V51, 0)</f>
        <v>0</v>
      </c>
      <c r="Z51" s="903"/>
      <c r="AA51" s="904">
        <v>0</v>
      </c>
      <c r="AB51" s="904">
        <v>0</v>
      </c>
      <c r="AC51" s="913">
        <v>0</v>
      </c>
      <c r="AD51" s="905" t="s">
        <v>198</v>
      </c>
      <c r="AE51" s="950"/>
    </row>
    <row r="52" spans="1:31" ht="24.75" customHeight="1">
      <c r="A52" s="895" t="s">
        <v>199</v>
      </c>
      <c r="B52" s="669" t="s">
        <v>143</v>
      </c>
      <c r="C52" s="896">
        <v>46040</v>
      </c>
      <c r="D52" s="908" t="s">
        <v>131</v>
      </c>
      <c r="E52" s="907">
        <v>46077</v>
      </c>
      <c r="F52" s="908"/>
      <c r="G52" s="908" t="s">
        <v>200</v>
      </c>
      <c r="H52" s="909">
        <v>0</v>
      </c>
      <c r="I52" s="667" t="s">
        <v>54</v>
      </c>
      <c r="J52" s="909" t="s">
        <v>55</v>
      </c>
      <c r="K52" s="898"/>
      <c r="L52" s="907"/>
      <c r="M52" s="909" t="s">
        <v>56</v>
      </c>
      <c r="N52" s="919">
        <v>1675.2</v>
      </c>
      <c r="O52" s="909" t="s">
        <v>56</v>
      </c>
      <c r="P52" s="921" t="s">
        <v>69</v>
      </c>
      <c r="Q52" s="912">
        <v>45979</v>
      </c>
      <c r="R52" s="912"/>
      <c r="S52" s="912"/>
      <c r="T52" s="912"/>
      <c r="U52" s="912"/>
      <c r="V52" s="913">
        <v>123</v>
      </c>
      <c r="W52" s="902"/>
      <c r="X52" s="902">
        <f t="shared" si="5"/>
        <v>123</v>
      </c>
      <c r="Y52" s="526">
        <f t="shared" si="6"/>
        <v>0</v>
      </c>
      <c r="Z52" s="903"/>
      <c r="AA52" s="904">
        <v>0</v>
      </c>
      <c r="AB52" s="904">
        <v>0</v>
      </c>
      <c r="AC52" s="913">
        <v>0</v>
      </c>
      <c r="AD52" s="905" t="s">
        <v>201</v>
      </c>
      <c r="AE52" s="950"/>
    </row>
    <row r="53" spans="1:31" ht="24.75" customHeight="1">
      <c r="A53" s="895" t="s">
        <v>202</v>
      </c>
      <c r="B53" s="669" t="s">
        <v>143</v>
      </c>
      <c r="C53" s="896">
        <v>46079</v>
      </c>
      <c r="D53" s="1001" t="s">
        <v>157</v>
      </c>
      <c r="E53" s="1002">
        <v>46056</v>
      </c>
      <c r="F53" s="1001" t="s">
        <v>147</v>
      </c>
      <c r="G53" s="908"/>
      <c r="H53" s="909">
        <v>0</v>
      </c>
      <c r="I53" s="667" t="s">
        <v>54</v>
      </c>
      <c r="J53" s="909" t="s">
        <v>55</v>
      </c>
      <c r="K53" s="1366"/>
      <c r="L53" s="1002"/>
      <c r="M53" s="909" t="s">
        <v>56</v>
      </c>
      <c r="N53" s="1372">
        <v>118710.8</v>
      </c>
      <c r="O53" s="909" t="s">
        <v>56</v>
      </c>
      <c r="P53" s="900" t="s">
        <v>57</v>
      </c>
      <c r="Q53" s="1373"/>
      <c r="R53" s="1373"/>
      <c r="S53" s="1373"/>
      <c r="T53" s="1373"/>
      <c r="U53" s="1373"/>
      <c r="V53" s="1374">
        <v>9628</v>
      </c>
      <c r="W53" s="1369">
        <v>2042</v>
      </c>
      <c r="X53" s="1369">
        <f>SUM(V53-W53)</f>
        <v>7586</v>
      </c>
      <c r="Y53" s="526">
        <f>IFERROR($W53/$V53, 0)</f>
        <v>0.21208973826339841</v>
      </c>
      <c r="Z53" s="1373">
        <v>46064</v>
      </c>
      <c r="AA53" s="904">
        <v>0</v>
      </c>
      <c r="AB53" s="904">
        <v>0</v>
      </c>
      <c r="AC53" s="913">
        <v>0</v>
      </c>
      <c r="AD53" s="905" t="s">
        <v>203</v>
      </c>
      <c r="AE53" s="950"/>
    </row>
    <row r="54" spans="1:31" ht="24.75" customHeight="1">
      <c r="A54" s="895" t="s">
        <v>204</v>
      </c>
      <c r="B54" s="669" t="s">
        <v>143</v>
      </c>
      <c r="C54" s="896">
        <v>46073</v>
      </c>
      <c r="D54" s="908" t="s">
        <v>144</v>
      </c>
      <c r="E54" s="907">
        <v>46055</v>
      </c>
      <c r="F54" s="908" t="s">
        <v>147</v>
      </c>
      <c r="G54" s="908" t="s">
        <v>205</v>
      </c>
      <c r="H54" s="909">
        <v>0</v>
      </c>
      <c r="I54" s="667" t="s">
        <v>54</v>
      </c>
      <c r="J54" s="909" t="s">
        <v>55</v>
      </c>
      <c r="K54" s="898"/>
      <c r="L54" s="907"/>
      <c r="M54" s="909" t="s">
        <v>56</v>
      </c>
      <c r="N54" s="919">
        <v>105558.2</v>
      </c>
      <c r="O54" s="909" t="s">
        <v>56</v>
      </c>
      <c r="P54" s="921" t="s">
        <v>57</v>
      </c>
      <c r="Q54" s="912">
        <v>45978</v>
      </c>
      <c r="R54" s="912"/>
      <c r="S54" s="912"/>
      <c r="T54" s="912"/>
      <c r="U54" s="912"/>
      <c r="V54" s="913">
        <v>7753</v>
      </c>
      <c r="W54" s="902">
        <v>6319</v>
      </c>
      <c r="X54" s="902">
        <f>SUM(V54-W54)</f>
        <v>1434</v>
      </c>
      <c r="Y54" s="526">
        <f>IFERROR($W54/$V54, 0)</f>
        <v>0.81503933961047337</v>
      </c>
      <c r="Z54" s="912">
        <v>46070</v>
      </c>
      <c r="AA54" s="904">
        <v>0</v>
      </c>
      <c r="AB54" s="904">
        <v>0</v>
      </c>
      <c r="AC54" s="913">
        <v>0</v>
      </c>
      <c r="AD54" s="905" t="s">
        <v>206</v>
      </c>
      <c r="AE54" s="950"/>
    </row>
    <row r="55" spans="1:31" ht="24.75" customHeight="1">
      <c r="A55" s="895" t="s">
        <v>207</v>
      </c>
      <c r="B55" s="669" t="s">
        <v>143</v>
      </c>
      <c r="C55" s="896">
        <v>46096</v>
      </c>
      <c r="D55" s="908" t="s">
        <v>144</v>
      </c>
      <c r="E55" s="907">
        <v>46077</v>
      </c>
      <c r="F55" s="908" t="s">
        <v>147</v>
      </c>
      <c r="G55" s="908"/>
      <c r="H55" s="909">
        <v>0</v>
      </c>
      <c r="I55" s="667" t="s">
        <v>54</v>
      </c>
      <c r="J55" s="909" t="s">
        <v>55</v>
      </c>
      <c r="K55" s="898"/>
      <c r="L55" s="907"/>
      <c r="M55" s="909" t="s">
        <v>56</v>
      </c>
      <c r="N55" s="919">
        <v>73653.899999999994</v>
      </c>
      <c r="O55" s="909" t="s">
        <v>56</v>
      </c>
      <c r="P55" s="921" t="s">
        <v>74</v>
      </c>
      <c r="Q55" s="912"/>
      <c r="R55" s="912"/>
      <c r="S55" s="912"/>
      <c r="T55" s="912"/>
      <c r="U55" s="912"/>
      <c r="V55" s="780">
        <v>5394</v>
      </c>
      <c r="W55" s="902"/>
      <c r="X55" s="902">
        <f t="shared" si="5"/>
        <v>5394</v>
      </c>
      <c r="Y55" s="526">
        <f t="shared" si="6"/>
        <v>0</v>
      </c>
      <c r="Z55" s="903"/>
      <c r="AA55" s="904">
        <v>0</v>
      </c>
      <c r="AB55" s="904">
        <v>0</v>
      </c>
      <c r="AC55" s="913">
        <v>0</v>
      </c>
      <c r="AD55" s="924"/>
      <c r="AE55" s="950"/>
    </row>
    <row r="56" spans="1:31" ht="24.75" customHeight="1">
      <c r="A56" s="895" t="s">
        <v>208</v>
      </c>
      <c r="B56" s="669" t="s">
        <v>143</v>
      </c>
      <c r="C56" s="896">
        <v>46103</v>
      </c>
      <c r="D56" s="1001" t="s">
        <v>131</v>
      </c>
      <c r="E56" s="907">
        <v>46077</v>
      </c>
      <c r="F56" s="1001"/>
      <c r="G56" s="908"/>
      <c r="H56" s="1371">
        <v>0</v>
      </c>
      <c r="I56" s="667" t="s">
        <v>54</v>
      </c>
      <c r="J56" s="909" t="s">
        <v>55</v>
      </c>
      <c r="K56" s="1366"/>
      <c r="L56" s="1002"/>
      <c r="M56" s="909" t="s">
        <v>56</v>
      </c>
      <c r="N56" s="1372">
        <v>15002.75</v>
      </c>
      <c r="O56" s="909" t="s">
        <v>56</v>
      </c>
      <c r="P56" s="921" t="s">
        <v>74</v>
      </c>
      <c r="Q56" s="1373"/>
      <c r="R56" s="1373"/>
      <c r="S56" s="1373"/>
      <c r="T56" s="1373"/>
      <c r="U56" s="1373"/>
      <c r="V56" s="1374">
        <v>1175</v>
      </c>
      <c r="W56" s="1369"/>
      <c r="X56" s="1369">
        <f>SUM(V56-W56)</f>
        <v>1175</v>
      </c>
      <c r="Y56" s="526">
        <f>IFERROR($W56/$V56, 0)</f>
        <v>0</v>
      </c>
      <c r="Z56" s="1375"/>
      <c r="AA56" s="904">
        <v>0</v>
      </c>
      <c r="AB56" s="904">
        <v>0</v>
      </c>
      <c r="AC56" s="913">
        <v>0</v>
      </c>
      <c r="AD56" s="905"/>
      <c r="AE56" s="950"/>
    </row>
    <row r="57" spans="1:31" ht="24.75" customHeight="1">
      <c r="A57" s="895" t="s">
        <v>209</v>
      </c>
      <c r="B57" s="669" t="s">
        <v>143</v>
      </c>
      <c r="C57" s="896">
        <v>46103</v>
      </c>
      <c r="D57" s="897" t="s">
        <v>144</v>
      </c>
      <c r="E57" s="907">
        <v>46077</v>
      </c>
      <c r="F57" s="1001"/>
      <c r="G57" s="908"/>
      <c r="H57" s="1371">
        <v>0</v>
      </c>
      <c r="I57" s="667" t="s">
        <v>54</v>
      </c>
      <c r="J57" s="909" t="s">
        <v>55</v>
      </c>
      <c r="K57" s="1366"/>
      <c r="L57" s="1002"/>
      <c r="M57" s="909" t="s">
        <v>56</v>
      </c>
      <c r="N57" s="1372">
        <v>12977.65</v>
      </c>
      <c r="O57" s="909" t="s">
        <v>56</v>
      </c>
      <c r="P57" s="921" t="s">
        <v>74</v>
      </c>
      <c r="Q57" s="1373"/>
      <c r="R57" s="1373"/>
      <c r="S57" s="1373"/>
      <c r="T57" s="1373"/>
      <c r="U57" s="1373"/>
      <c r="V57" s="1374">
        <v>1029</v>
      </c>
      <c r="W57" s="1369"/>
      <c r="X57" s="1369">
        <f>SUM(V57-W57)</f>
        <v>1029</v>
      </c>
      <c r="Y57" s="526">
        <f>IFERROR($W57/$V57, 0)</f>
        <v>0</v>
      </c>
      <c r="Z57" s="1375"/>
      <c r="AA57" s="904">
        <v>0</v>
      </c>
      <c r="AB57" s="904">
        <v>0</v>
      </c>
      <c r="AC57" s="913">
        <v>0</v>
      </c>
      <c r="AD57" s="905"/>
      <c r="AE57" s="950"/>
    </row>
    <row r="58" spans="1:31" ht="24.75" customHeight="1">
      <c r="A58" s="895" t="s">
        <v>210</v>
      </c>
      <c r="B58" s="669" t="s">
        <v>143</v>
      </c>
      <c r="C58" s="896">
        <v>46112</v>
      </c>
      <c r="D58" s="908"/>
      <c r="E58" s="907"/>
      <c r="F58" s="908"/>
      <c r="G58" s="908"/>
      <c r="H58" s="909">
        <v>0</v>
      </c>
      <c r="I58" s="667" t="s">
        <v>54</v>
      </c>
      <c r="J58" s="909" t="s">
        <v>55</v>
      </c>
      <c r="K58" s="898"/>
      <c r="L58" s="907"/>
      <c r="M58" s="909" t="s">
        <v>56</v>
      </c>
      <c r="N58" s="919">
        <v>6526.35</v>
      </c>
      <c r="O58" s="909" t="s">
        <v>56</v>
      </c>
      <c r="P58" s="921" t="s">
        <v>74</v>
      </c>
      <c r="Q58" s="912"/>
      <c r="R58" s="912"/>
      <c r="S58" s="912"/>
      <c r="T58" s="912"/>
      <c r="U58" s="912"/>
      <c r="V58" s="913">
        <v>411</v>
      </c>
      <c r="W58" s="902"/>
      <c r="X58" s="902">
        <f t="shared" si="5"/>
        <v>411</v>
      </c>
      <c r="Y58" s="526">
        <f t="shared" si="6"/>
        <v>0</v>
      </c>
      <c r="Z58" s="903"/>
      <c r="AA58" s="904">
        <v>0</v>
      </c>
      <c r="AB58" s="904">
        <v>0</v>
      </c>
      <c r="AC58" s="913">
        <v>0</v>
      </c>
      <c r="AD58" s="905" t="s">
        <v>211</v>
      </c>
      <c r="AE58" s="950"/>
    </row>
    <row r="59" spans="1:31" ht="24.75" customHeight="1">
      <c r="A59" s="895" t="s">
        <v>212</v>
      </c>
      <c r="B59" s="669" t="s">
        <v>143</v>
      </c>
      <c r="C59" s="907">
        <v>46081</v>
      </c>
      <c r="D59" s="908"/>
      <c r="E59" s="907"/>
      <c r="F59" s="908"/>
      <c r="G59" s="908" t="s">
        <v>213</v>
      </c>
      <c r="H59" s="909">
        <v>0</v>
      </c>
      <c r="I59" s="667" t="s">
        <v>54</v>
      </c>
      <c r="J59" s="670" t="s">
        <v>55</v>
      </c>
      <c r="K59" s="898" t="s">
        <v>68</v>
      </c>
      <c r="L59" s="907"/>
      <c r="M59" s="909" t="s">
        <v>56</v>
      </c>
      <c r="N59" s="919">
        <v>170309.8</v>
      </c>
      <c r="O59" s="909" t="s">
        <v>56</v>
      </c>
      <c r="P59" s="921" t="s">
        <v>74</v>
      </c>
      <c r="Q59" s="912"/>
      <c r="R59" s="912"/>
      <c r="S59" s="912"/>
      <c r="T59" s="912"/>
      <c r="U59" s="912"/>
      <c r="V59" s="913">
        <v>13379</v>
      </c>
      <c r="W59" s="902"/>
      <c r="X59" s="902">
        <f>SUM(V59-W59)</f>
        <v>13379</v>
      </c>
      <c r="Y59" s="526">
        <f>IFERROR($W59/$V59, 0)</f>
        <v>0</v>
      </c>
      <c r="Z59" s="903"/>
      <c r="AA59" s="904">
        <v>0</v>
      </c>
      <c r="AB59" s="904">
        <v>0</v>
      </c>
      <c r="AC59" s="913">
        <v>0</v>
      </c>
      <c r="AD59" s="905"/>
      <c r="AE59" s="950"/>
    </row>
    <row r="60" spans="1:31" ht="24.75" customHeight="1">
      <c r="A60" s="1257" t="s">
        <v>214</v>
      </c>
      <c r="B60" s="669" t="s">
        <v>143</v>
      </c>
      <c r="C60" s="1000">
        <v>46108</v>
      </c>
      <c r="D60" s="1001"/>
      <c r="E60" s="1002"/>
      <c r="F60" s="1001"/>
      <c r="G60" s="908"/>
      <c r="H60" s="1371">
        <v>107</v>
      </c>
      <c r="I60" s="667" t="s">
        <v>54</v>
      </c>
      <c r="J60" s="968" t="s">
        <v>67</v>
      </c>
      <c r="K60" s="1366" t="s">
        <v>72</v>
      </c>
      <c r="L60" s="1002"/>
      <c r="M60" s="972" t="s">
        <v>73</v>
      </c>
      <c r="N60" s="1133"/>
      <c r="O60" s="972" t="s">
        <v>73</v>
      </c>
      <c r="P60" s="962" t="s">
        <v>74</v>
      </c>
      <c r="Q60" s="1373"/>
      <c r="R60" s="1373"/>
      <c r="S60" s="1373"/>
      <c r="T60" s="1373"/>
      <c r="U60" s="1373"/>
      <c r="V60" s="1374">
        <v>9568</v>
      </c>
      <c r="W60" s="1369"/>
      <c r="X60" s="1369">
        <f>SUM(V60-W60)</f>
        <v>9568</v>
      </c>
      <c r="Y60" s="526">
        <f>IFERROR($W60/$V60, 0)</f>
        <v>0</v>
      </c>
      <c r="Z60" s="1375"/>
      <c r="AA60" s="904">
        <v>0</v>
      </c>
      <c r="AB60" s="904">
        <v>0</v>
      </c>
      <c r="AC60" s="913">
        <v>0</v>
      </c>
      <c r="AD60" s="905" t="s">
        <v>215</v>
      </c>
      <c r="AE60" s="950"/>
    </row>
    <row r="61" spans="1:31" ht="24.75" customHeight="1">
      <c r="A61" s="1328" t="s">
        <v>216</v>
      </c>
      <c r="B61" s="669" t="s">
        <v>143</v>
      </c>
      <c r="C61" s="1000">
        <v>46174</v>
      </c>
      <c r="D61" s="1001"/>
      <c r="E61" s="1002"/>
      <c r="F61" s="1001"/>
      <c r="G61" s="908"/>
      <c r="H61" s="1371">
        <v>115</v>
      </c>
      <c r="I61" s="667" t="s">
        <v>54</v>
      </c>
      <c r="J61" s="968" t="s">
        <v>67</v>
      </c>
      <c r="K61" s="1366"/>
      <c r="L61" s="1002"/>
      <c r="M61" s="909" t="s">
        <v>56</v>
      </c>
      <c r="N61" s="1133">
        <v>125188</v>
      </c>
      <c r="O61" s="909" t="s">
        <v>56</v>
      </c>
      <c r="P61" s="921" t="s">
        <v>74</v>
      </c>
      <c r="Q61" s="1373"/>
      <c r="R61" s="1373"/>
      <c r="S61" s="1373"/>
      <c r="T61" s="1373"/>
      <c r="U61" s="1373"/>
      <c r="V61" s="1374">
        <v>11028</v>
      </c>
      <c r="W61" s="1369"/>
      <c r="X61" s="1369">
        <f>SUM(V61-W61)</f>
        <v>11028</v>
      </c>
      <c r="Y61" s="526">
        <f>IFERROR($W61/$V61, 0)</f>
        <v>0</v>
      </c>
      <c r="Z61" s="1375"/>
      <c r="AA61" s="904">
        <v>0</v>
      </c>
      <c r="AB61" s="904">
        <v>0</v>
      </c>
      <c r="AC61" s="913">
        <v>0</v>
      </c>
      <c r="AD61" s="905"/>
      <c r="AE61" s="950"/>
    </row>
    <row r="62" spans="1:31" ht="24.75" customHeight="1">
      <c r="A62" s="895" t="s">
        <v>217</v>
      </c>
      <c r="B62" s="669" t="s">
        <v>218</v>
      </c>
      <c r="C62" s="896">
        <v>46081</v>
      </c>
      <c r="D62" s="908" t="s">
        <v>144</v>
      </c>
      <c r="E62" s="907">
        <v>46038</v>
      </c>
      <c r="F62" s="908" t="s">
        <v>158</v>
      </c>
      <c r="G62" s="908" t="s">
        <v>219</v>
      </c>
      <c r="H62" s="909">
        <v>88</v>
      </c>
      <c r="I62" s="667" t="s">
        <v>54</v>
      </c>
      <c r="J62" s="670" t="s">
        <v>55</v>
      </c>
      <c r="K62" s="898"/>
      <c r="L62" s="907">
        <v>46021</v>
      </c>
      <c r="M62" s="909" t="s">
        <v>56</v>
      </c>
      <c r="N62" s="919">
        <v>79638</v>
      </c>
      <c r="O62" s="909" t="s">
        <v>56</v>
      </c>
      <c r="P62" s="921" t="s">
        <v>57</v>
      </c>
      <c r="Q62" s="912">
        <v>46028</v>
      </c>
      <c r="R62" s="912"/>
      <c r="S62" s="912"/>
      <c r="T62" s="912"/>
      <c r="U62" s="912"/>
      <c r="V62" s="913">
        <v>6343</v>
      </c>
      <c r="W62" s="902">
        <v>5635</v>
      </c>
      <c r="X62" s="902">
        <f t="shared" si="5"/>
        <v>708</v>
      </c>
      <c r="Y62" s="526">
        <f t="shared" si="6"/>
        <v>0.88838089232224504</v>
      </c>
      <c r="Z62" s="912">
        <v>46042</v>
      </c>
      <c r="AA62" s="904">
        <v>0</v>
      </c>
      <c r="AB62" s="904">
        <v>0</v>
      </c>
      <c r="AC62" s="913">
        <v>0</v>
      </c>
      <c r="AD62" s="905" t="s">
        <v>220</v>
      </c>
      <c r="AE62" s="950"/>
    </row>
    <row r="63" spans="1:31" ht="24.75" customHeight="1">
      <c r="A63" s="967" t="s">
        <v>221</v>
      </c>
      <c r="B63" s="802" t="s">
        <v>218</v>
      </c>
      <c r="C63" s="896">
        <v>46081</v>
      </c>
      <c r="D63" s="908" t="s">
        <v>144</v>
      </c>
      <c r="E63" s="907">
        <v>46055</v>
      </c>
      <c r="F63" s="908" t="s">
        <v>158</v>
      </c>
      <c r="G63" s="908" t="s">
        <v>222</v>
      </c>
      <c r="H63" s="909">
        <v>86</v>
      </c>
      <c r="I63" s="667" t="s">
        <v>54</v>
      </c>
      <c r="J63" s="670" t="s">
        <v>55</v>
      </c>
      <c r="K63" s="898"/>
      <c r="L63" s="907">
        <v>46056</v>
      </c>
      <c r="M63" s="909" t="s">
        <v>56</v>
      </c>
      <c r="N63" s="919">
        <v>97494</v>
      </c>
      <c r="O63" s="909" t="s">
        <v>56</v>
      </c>
      <c r="P63" s="921" t="s">
        <v>57</v>
      </c>
      <c r="Q63" s="912">
        <v>46062</v>
      </c>
      <c r="R63" s="912"/>
      <c r="S63" s="912"/>
      <c r="T63" s="912"/>
      <c r="U63" s="912"/>
      <c r="V63" s="913">
        <v>8265</v>
      </c>
      <c r="W63" s="902">
        <v>7458</v>
      </c>
      <c r="X63" s="902">
        <f t="shared" si="5"/>
        <v>807</v>
      </c>
      <c r="Y63" s="526">
        <f t="shared" si="6"/>
        <v>0.9023593466424682</v>
      </c>
      <c r="Z63" s="912">
        <v>46064</v>
      </c>
      <c r="AA63" s="904">
        <v>0</v>
      </c>
      <c r="AB63" s="904">
        <v>0</v>
      </c>
      <c r="AC63" s="913">
        <v>0</v>
      </c>
      <c r="AD63" s="905" t="s">
        <v>223</v>
      </c>
      <c r="AE63" s="950"/>
    </row>
    <row r="64" spans="1:31" ht="24.75" customHeight="1">
      <c r="A64" s="1024" t="s">
        <v>224</v>
      </c>
      <c r="B64" s="1128" t="s">
        <v>218</v>
      </c>
      <c r="C64" s="1044">
        <v>46171</v>
      </c>
      <c r="D64" s="908" t="s">
        <v>144</v>
      </c>
      <c r="E64" s="907">
        <v>46043</v>
      </c>
      <c r="F64" s="908" t="s">
        <v>158</v>
      </c>
      <c r="G64" s="908" t="s">
        <v>225</v>
      </c>
      <c r="H64" s="909">
        <v>26</v>
      </c>
      <c r="I64" s="667" t="s">
        <v>54</v>
      </c>
      <c r="J64" s="909" t="s">
        <v>55</v>
      </c>
      <c r="K64" s="898"/>
      <c r="L64" s="907"/>
      <c r="M64" s="909" t="s">
        <v>56</v>
      </c>
      <c r="N64" s="919">
        <v>35576</v>
      </c>
      <c r="O64" s="909" t="s">
        <v>56</v>
      </c>
      <c r="P64" s="957" t="s">
        <v>57</v>
      </c>
      <c r="Q64" s="958"/>
      <c r="R64" s="958"/>
      <c r="S64" s="958"/>
      <c r="T64" s="958"/>
      <c r="U64" s="958"/>
      <c r="V64" s="913">
        <v>3150</v>
      </c>
      <c r="W64" s="1021">
        <v>2970</v>
      </c>
      <c r="X64" s="1021">
        <f t="shared" si="5"/>
        <v>180</v>
      </c>
      <c r="Y64" s="654">
        <f t="shared" si="6"/>
        <v>0.94285714285714284</v>
      </c>
      <c r="Z64" s="1042">
        <v>46043</v>
      </c>
      <c r="AA64" s="904">
        <v>0</v>
      </c>
      <c r="AB64" s="960">
        <v>0</v>
      </c>
      <c r="AC64" s="959">
        <v>0</v>
      </c>
      <c r="AD64" s="961" t="s">
        <v>226</v>
      </c>
      <c r="AE64" s="950"/>
    </row>
    <row r="65" spans="1:31" ht="24.75" customHeight="1">
      <c r="A65" s="1129" t="s">
        <v>227</v>
      </c>
      <c r="B65" s="1334" t="s">
        <v>218</v>
      </c>
      <c r="C65" s="1034">
        <v>46081</v>
      </c>
      <c r="D65" s="1130"/>
      <c r="E65" s="1131"/>
      <c r="F65" s="1130"/>
      <c r="G65" s="1132"/>
      <c r="H65" s="1376">
        <v>0</v>
      </c>
      <c r="I65" s="524" t="s">
        <v>54</v>
      </c>
      <c r="J65" s="972" t="s">
        <v>101</v>
      </c>
      <c r="K65" s="1377" t="s">
        <v>72</v>
      </c>
      <c r="L65" s="1131"/>
      <c r="M65" s="972" t="s">
        <v>73</v>
      </c>
      <c r="N65" s="1133"/>
      <c r="O65" s="972" t="s">
        <v>73</v>
      </c>
      <c r="P65" s="962" t="s">
        <v>74</v>
      </c>
      <c r="Q65" s="1373"/>
      <c r="R65" s="1373"/>
      <c r="S65" s="1373"/>
      <c r="T65" s="1373"/>
      <c r="U65" s="1373"/>
      <c r="V65" s="1378">
        <v>6202</v>
      </c>
      <c r="W65" s="1379"/>
      <c r="X65" s="1379">
        <f>SUM(V65-W65)</f>
        <v>6202</v>
      </c>
      <c r="Y65" s="693">
        <f>IFERROR($W65/$V65, 0)</f>
        <v>0</v>
      </c>
      <c r="Z65" s="1380"/>
      <c r="AA65" s="1115">
        <v>0</v>
      </c>
      <c r="AB65" s="1145">
        <v>0</v>
      </c>
      <c r="AC65" s="959">
        <v>0</v>
      </c>
      <c r="AD65" s="905" t="s">
        <v>228</v>
      </c>
      <c r="AE65" s="950"/>
    </row>
    <row r="66" spans="1:31" ht="24.75" customHeight="1">
      <c r="A66" s="1257" t="s">
        <v>229</v>
      </c>
      <c r="B66" s="1334" t="s">
        <v>218</v>
      </c>
      <c r="C66" s="1000">
        <v>46172</v>
      </c>
      <c r="D66" s="1001"/>
      <c r="E66" s="1002"/>
      <c r="F66" s="1001"/>
      <c r="G66" s="908"/>
      <c r="H66" s="1371">
        <v>402</v>
      </c>
      <c r="I66" s="524" t="s">
        <v>54</v>
      </c>
      <c r="J66" s="972" t="s">
        <v>101</v>
      </c>
      <c r="K66" s="1377" t="s">
        <v>72</v>
      </c>
      <c r="L66" s="1002"/>
      <c r="M66" s="972" t="s">
        <v>73</v>
      </c>
      <c r="N66" s="1133"/>
      <c r="O66" s="972" t="s">
        <v>73</v>
      </c>
      <c r="P66" s="962" t="s">
        <v>74</v>
      </c>
      <c r="Q66" s="1373"/>
      <c r="R66" s="1373"/>
      <c r="S66" s="1373"/>
      <c r="T66" s="1373"/>
      <c r="U66" s="1373"/>
      <c r="V66" s="1374">
        <v>30807</v>
      </c>
      <c r="W66" s="1369"/>
      <c r="X66" s="1369">
        <f>SUM(V66-W66)</f>
        <v>30807</v>
      </c>
      <c r="Y66" s="526">
        <f>IFERROR($W66/$V66, 0)</f>
        <v>0</v>
      </c>
      <c r="Z66" s="1373"/>
      <c r="AA66" s="1115">
        <v>0</v>
      </c>
      <c r="AB66" s="1145">
        <v>0</v>
      </c>
      <c r="AC66" s="959">
        <v>0</v>
      </c>
      <c r="AD66" s="905"/>
      <c r="AE66" s="950"/>
    </row>
    <row r="67" spans="1:31" ht="24.75" customHeight="1">
      <c r="A67" s="1132" t="s">
        <v>230</v>
      </c>
      <c r="B67" s="1335" t="s">
        <v>231</v>
      </c>
      <c r="C67" s="1000"/>
      <c r="D67" s="1001"/>
      <c r="E67" s="1002"/>
      <c r="F67" s="1001"/>
      <c r="G67" s="908"/>
      <c r="H67" s="1376">
        <v>0</v>
      </c>
      <c r="I67" s="524" t="s">
        <v>54</v>
      </c>
      <c r="J67" s="972" t="s">
        <v>101</v>
      </c>
      <c r="K67" s="1377" t="s">
        <v>72</v>
      </c>
      <c r="L67" s="1002"/>
      <c r="M67" s="972" t="s">
        <v>73</v>
      </c>
      <c r="N67" s="1133"/>
      <c r="O67" s="972" t="s">
        <v>73</v>
      </c>
      <c r="P67" s="962" t="s">
        <v>74</v>
      </c>
      <c r="Q67" s="1373"/>
      <c r="R67" s="1373"/>
      <c r="S67" s="1373"/>
      <c r="T67" s="1373"/>
      <c r="U67" s="1373"/>
      <c r="V67" s="1374"/>
      <c r="W67" s="1369"/>
      <c r="X67" s="1369">
        <f>SUM(V67-W67)</f>
        <v>0</v>
      </c>
      <c r="Y67" s="526">
        <f>IFERROR($W67/$V67, 0)</f>
        <v>0</v>
      </c>
      <c r="Z67" s="1380"/>
      <c r="AA67" s="1115">
        <v>0</v>
      </c>
      <c r="AB67" s="1145">
        <v>0</v>
      </c>
      <c r="AC67" s="959">
        <v>0</v>
      </c>
      <c r="AD67" s="905" t="s">
        <v>232</v>
      </c>
      <c r="AE67" s="950"/>
    </row>
    <row r="68" spans="1:31" ht="24.75" customHeight="1">
      <c r="A68" s="1132" t="s">
        <v>233</v>
      </c>
      <c r="B68" s="1335" t="s">
        <v>231</v>
      </c>
      <c r="C68" s="1000"/>
      <c r="D68" s="1001"/>
      <c r="E68" s="1002"/>
      <c r="F68" s="1001"/>
      <c r="G68" s="908"/>
      <c r="H68" s="1376">
        <v>0</v>
      </c>
      <c r="I68" s="524" t="s">
        <v>54</v>
      </c>
      <c r="J68" s="972" t="s">
        <v>101</v>
      </c>
      <c r="K68" s="1377" t="s">
        <v>72</v>
      </c>
      <c r="L68" s="1002"/>
      <c r="M68" s="972" t="s">
        <v>73</v>
      </c>
      <c r="N68" s="1133"/>
      <c r="O68" s="972" t="s">
        <v>73</v>
      </c>
      <c r="P68" s="962" t="s">
        <v>74</v>
      </c>
      <c r="Q68" s="1373"/>
      <c r="R68" s="1373"/>
      <c r="S68" s="1373"/>
      <c r="T68" s="1373"/>
      <c r="U68" s="1373"/>
      <c r="V68" s="1374"/>
      <c r="W68" s="1369"/>
      <c r="X68" s="1369">
        <f>SUM(V68-W68)</f>
        <v>0</v>
      </c>
      <c r="Y68" s="526">
        <f>IFERROR($W68/$V68, 0)</f>
        <v>0</v>
      </c>
      <c r="Z68" s="1380"/>
      <c r="AA68" s="1115">
        <v>0</v>
      </c>
      <c r="AB68" s="1145">
        <v>0</v>
      </c>
      <c r="AC68" s="959">
        <v>0</v>
      </c>
      <c r="AD68" s="905" t="s">
        <v>232</v>
      </c>
      <c r="AE68" s="950"/>
    </row>
    <row r="69" spans="1:31" ht="24.75" customHeight="1">
      <c r="A69" s="1336" t="s">
        <v>234</v>
      </c>
      <c r="B69" s="1335" t="s">
        <v>231</v>
      </c>
      <c r="C69" s="1000"/>
      <c r="D69" s="1001"/>
      <c r="E69" s="1002"/>
      <c r="F69" s="1001"/>
      <c r="G69" s="908"/>
      <c r="H69" s="1376">
        <v>0</v>
      </c>
      <c r="I69" s="524" t="s">
        <v>54</v>
      </c>
      <c r="J69" s="972" t="s">
        <v>101</v>
      </c>
      <c r="K69" s="1377" t="s">
        <v>72</v>
      </c>
      <c r="L69" s="1002"/>
      <c r="M69" s="972" t="s">
        <v>73</v>
      </c>
      <c r="N69" s="1133"/>
      <c r="O69" s="972" t="s">
        <v>73</v>
      </c>
      <c r="P69" s="962" t="s">
        <v>74</v>
      </c>
      <c r="Q69" s="1373"/>
      <c r="R69" s="1373"/>
      <c r="S69" s="1373"/>
      <c r="T69" s="1373"/>
      <c r="U69" s="1373"/>
      <c r="V69" s="1374">
        <v>1925</v>
      </c>
      <c r="W69" s="1369"/>
      <c r="X69" s="1369">
        <f>SUM(V69-W69)</f>
        <v>1925</v>
      </c>
      <c r="Y69" s="526">
        <f>IFERROR($W69/$V69, 0)</f>
        <v>0</v>
      </c>
      <c r="Z69" s="1380"/>
      <c r="AA69" s="1115">
        <v>0</v>
      </c>
      <c r="AB69" s="1145">
        <v>0</v>
      </c>
      <c r="AC69" s="959">
        <v>0</v>
      </c>
      <c r="AD69" s="905" t="s">
        <v>232</v>
      </c>
      <c r="AE69" s="950"/>
    </row>
    <row r="70" spans="1:31" ht="24.75" customHeight="1">
      <c r="A70" s="999" t="s">
        <v>235</v>
      </c>
      <c r="B70" s="1335" t="s">
        <v>231</v>
      </c>
      <c r="C70" s="1000"/>
      <c r="D70" s="1001"/>
      <c r="E70" s="1002"/>
      <c r="F70" s="1001"/>
      <c r="G70" s="908"/>
      <c r="H70" s="1376">
        <v>0</v>
      </c>
      <c r="I70" s="524" t="s">
        <v>54</v>
      </c>
      <c r="J70" s="972" t="s">
        <v>101</v>
      </c>
      <c r="K70" s="1377" t="s">
        <v>72</v>
      </c>
      <c r="L70" s="1002"/>
      <c r="M70" s="972" t="s">
        <v>73</v>
      </c>
      <c r="N70" s="1133"/>
      <c r="O70" s="972" t="s">
        <v>73</v>
      </c>
      <c r="P70" s="962" t="s">
        <v>74</v>
      </c>
      <c r="Q70" s="1373"/>
      <c r="R70" s="1373"/>
      <c r="S70" s="1373"/>
      <c r="T70" s="1373"/>
      <c r="U70" s="1373"/>
      <c r="V70" s="1374">
        <v>2136</v>
      </c>
      <c r="W70" s="1369"/>
      <c r="X70" s="1369">
        <f>SUM(V70-W70)</f>
        <v>2136</v>
      </c>
      <c r="Y70" s="526">
        <f>IFERROR($W70/$V70, 0)</f>
        <v>0</v>
      </c>
      <c r="Z70" s="1380"/>
      <c r="AA70" s="1115">
        <v>0</v>
      </c>
      <c r="AB70" s="1145">
        <v>0</v>
      </c>
      <c r="AC70" s="959">
        <v>0</v>
      </c>
      <c r="AD70" s="905" t="s">
        <v>232</v>
      </c>
      <c r="AE70" s="950"/>
    </row>
    <row r="71" spans="1:31" ht="24.75" customHeight="1">
      <c r="A71" s="999" t="s">
        <v>236</v>
      </c>
      <c r="B71" s="1335" t="s">
        <v>231</v>
      </c>
      <c r="C71" s="1000"/>
      <c r="D71" s="1001"/>
      <c r="E71" s="1002"/>
      <c r="F71" s="1001"/>
      <c r="G71" s="908"/>
      <c r="H71" s="1376">
        <v>0</v>
      </c>
      <c r="I71" s="524" t="s">
        <v>54</v>
      </c>
      <c r="J71" s="972" t="s">
        <v>101</v>
      </c>
      <c r="K71" s="1377" t="s">
        <v>72</v>
      </c>
      <c r="L71" s="1002"/>
      <c r="M71" s="972" t="s">
        <v>73</v>
      </c>
      <c r="N71" s="1133"/>
      <c r="O71" s="972" t="s">
        <v>73</v>
      </c>
      <c r="P71" s="962" t="s">
        <v>74</v>
      </c>
      <c r="Q71" s="1373"/>
      <c r="R71" s="1373"/>
      <c r="S71" s="1373"/>
      <c r="T71" s="1373"/>
      <c r="U71" s="1373"/>
      <c r="V71" s="1374">
        <v>105</v>
      </c>
      <c r="W71" s="1369"/>
      <c r="X71" s="1369">
        <f>SUM(V71-W71)</f>
        <v>105</v>
      </c>
      <c r="Y71" s="526">
        <f>IFERROR($W71/$V71, 0)</f>
        <v>0</v>
      </c>
      <c r="Z71" s="1380"/>
      <c r="AA71" s="1115">
        <v>0</v>
      </c>
      <c r="AB71" s="1145">
        <v>0</v>
      </c>
      <c r="AC71" s="959">
        <v>0</v>
      </c>
      <c r="AD71" s="905" t="s">
        <v>232</v>
      </c>
      <c r="AE71" s="950"/>
    </row>
    <row r="72" spans="1:31" ht="24.75" customHeight="1">
      <c r="A72" s="999" t="s">
        <v>237</v>
      </c>
      <c r="B72" s="1335" t="s">
        <v>231</v>
      </c>
      <c r="C72" s="1000"/>
      <c r="D72" s="1001"/>
      <c r="E72" s="1002"/>
      <c r="F72" s="1001"/>
      <c r="G72" s="908"/>
      <c r="H72" s="1376">
        <v>0</v>
      </c>
      <c r="I72" s="524" t="s">
        <v>54</v>
      </c>
      <c r="J72" s="972" t="s">
        <v>101</v>
      </c>
      <c r="K72" s="1377" t="s">
        <v>72</v>
      </c>
      <c r="L72" s="1002"/>
      <c r="M72" s="972" t="s">
        <v>73</v>
      </c>
      <c r="N72" s="1133"/>
      <c r="O72" s="972" t="s">
        <v>73</v>
      </c>
      <c r="P72" s="962" t="s">
        <v>74</v>
      </c>
      <c r="Q72" s="1373"/>
      <c r="R72" s="1373"/>
      <c r="S72" s="1373"/>
      <c r="T72" s="1373"/>
      <c r="U72" s="1373"/>
      <c r="V72" s="1374">
        <v>406</v>
      </c>
      <c r="W72" s="1369"/>
      <c r="X72" s="1369">
        <f>SUM(V72-W72)</f>
        <v>406</v>
      </c>
      <c r="Y72" s="526">
        <f>IFERROR($W72/$V72, 0)</f>
        <v>0</v>
      </c>
      <c r="Z72" s="1380"/>
      <c r="AA72" s="1115">
        <v>0</v>
      </c>
      <c r="AB72" s="1145">
        <v>0</v>
      </c>
      <c r="AC72" s="959">
        <v>0</v>
      </c>
      <c r="AD72" s="905" t="s">
        <v>232</v>
      </c>
      <c r="AE72" s="950"/>
    </row>
    <row r="73" spans="1:31" ht="24.75" customHeight="1">
      <c r="A73" s="999" t="s">
        <v>238</v>
      </c>
      <c r="B73" s="1335" t="s">
        <v>231</v>
      </c>
      <c r="C73" s="1000"/>
      <c r="D73" s="1001"/>
      <c r="E73" s="1002"/>
      <c r="F73" s="1001"/>
      <c r="G73" s="908"/>
      <c r="H73" s="1376">
        <v>0</v>
      </c>
      <c r="I73" s="524" t="s">
        <v>54</v>
      </c>
      <c r="J73" s="972" t="s">
        <v>101</v>
      </c>
      <c r="K73" s="1377" t="s">
        <v>72</v>
      </c>
      <c r="L73" s="1002"/>
      <c r="M73" s="972" t="s">
        <v>73</v>
      </c>
      <c r="N73" s="1133"/>
      <c r="O73" s="972" t="s">
        <v>73</v>
      </c>
      <c r="P73" s="962" t="s">
        <v>74</v>
      </c>
      <c r="Q73" s="1373"/>
      <c r="R73" s="1373"/>
      <c r="S73" s="1373"/>
      <c r="T73" s="1373"/>
      <c r="U73" s="1373"/>
      <c r="V73" s="1374"/>
      <c r="W73" s="1369"/>
      <c r="X73" s="1369">
        <f>SUM(V73-W73)</f>
        <v>0</v>
      </c>
      <c r="Y73" s="526">
        <f>IFERROR($W73/$V73, 0)</f>
        <v>0</v>
      </c>
      <c r="Z73" s="1380"/>
      <c r="AA73" s="1115">
        <v>0</v>
      </c>
      <c r="AB73" s="1145">
        <v>0</v>
      </c>
      <c r="AC73" s="959">
        <v>0</v>
      </c>
      <c r="AD73" s="905" t="s">
        <v>232</v>
      </c>
      <c r="AE73" s="950"/>
    </row>
    <row r="74" spans="1:31" ht="24.75" customHeight="1">
      <c r="A74" s="999" t="s">
        <v>239</v>
      </c>
      <c r="B74" s="1335" t="s">
        <v>231</v>
      </c>
      <c r="C74" s="1000"/>
      <c r="D74" s="1001"/>
      <c r="E74" s="1002"/>
      <c r="F74" s="1001"/>
      <c r="G74" s="908"/>
      <c r="H74" s="1376">
        <v>0</v>
      </c>
      <c r="I74" s="524" t="s">
        <v>54</v>
      </c>
      <c r="J74" s="972" t="s">
        <v>101</v>
      </c>
      <c r="K74" s="1377" t="s">
        <v>72</v>
      </c>
      <c r="L74" s="1002"/>
      <c r="M74" s="972" t="s">
        <v>73</v>
      </c>
      <c r="N74" s="1133"/>
      <c r="O74" s="972" t="s">
        <v>73</v>
      </c>
      <c r="P74" s="962" t="s">
        <v>74</v>
      </c>
      <c r="Q74" s="1373"/>
      <c r="R74" s="1373"/>
      <c r="S74" s="1373"/>
      <c r="T74" s="1373"/>
      <c r="U74" s="1373"/>
      <c r="V74" s="1374"/>
      <c r="W74" s="1369"/>
      <c r="X74" s="1369">
        <f>SUM(V74-W74)</f>
        <v>0</v>
      </c>
      <c r="Y74" s="526">
        <f>IFERROR($W74/$V74, 0)</f>
        <v>0</v>
      </c>
      <c r="Z74" s="1380"/>
      <c r="AA74" s="1115">
        <v>0</v>
      </c>
      <c r="AB74" s="1145">
        <v>0</v>
      </c>
      <c r="AC74" s="959">
        <v>0</v>
      </c>
      <c r="AD74" s="905" t="s">
        <v>232</v>
      </c>
      <c r="AE74" s="950"/>
    </row>
    <row r="75" spans="1:31" ht="24.75" customHeight="1">
      <c r="A75" s="999" t="s">
        <v>240</v>
      </c>
      <c r="B75" s="1335" t="s">
        <v>231</v>
      </c>
      <c r="C75" s="1000"/>
      <c r="D75" s="1001"/>
      <c r="E75" s="1002"/>
      <c r="F75" s="1001"/>
      <c r="G75" s="908"/>
      <c r="H75" s="1376">
        <v>0</v>
      </c>
      <c r="I75" s="524" t="s">
        <v>54</v>
      </c>
      <c r="J75" s="972" t="s">
        <v>101</v>
      </c>
      <c r="K75" s="1377" t="s">
        <v>72</v>
      </c>
      <c r="L75" s="1002"/>
      <c r="M75" s="972" t="s">
        <v>73</v>
      </c>
      <c r="N75" s="1133"/>
      <c r="O75" s="972" t="s">
        <v>73</v>
      </c>
      <c r="P75" s="962" t="s">
        <v>74</v>
      </c>
      <c r="Q75" s="1373"/>
      <c r="R75" s="1373"/>
      <c r="S75" s="1373"/>
      <c r="T75" s="1373"/>
      <c r="U75" s="1373"/>
      <c r="V75" s="1374"/>
      <c r="W75" s="1369"/>
      <c r="X75" s="1369">
        <f>SUM(V75-W75)</f>
        <v>0</v>
      </c>
      <c r="Y75" s="526">
        <f>IFERROR($W75/$V75, 0)</f>
        <v>0</v>
      </c>
      <c r="Z75" s="1380"/>
      <c r="AA75" s="1115">
        <v>0</v>
      </c>
      <c r="AB75" s="1145">
        <v>0</v>
      </c>
      <c r="AC75" s="959">
        <v>0</v>
      </c>
      <c r="AD75" s="905" t="s">
        <v>232</v>
      </c>
      <c r="AE75" s="950"/>
    </row>
    <row r="76" spans="1:31" ht="24.75" customHeight="1">
      <c r="A76" s="999" t="s">
        <v>241</v>
      </c>
      <c r="B76" s="1335" t="s">
        <v>231</v>
      </c>
      <c r="C76" s="1000"/>
      <c r="D76" s="1001"/>
      <c r="E76" s="1002"/>
      <c r="F76" s="1001"/>
      <c r="G76" s="908"/>
      <c r="H76" s="1376">
        <v>0</v>
      </c>
      <c r="I76" s="524" t="s">
        <v>54</v>
      </c>
      <c r="J76" s="972" t="s">
        <v>101</v>
      </c>
      <c r="K76" s="1377" t="s">
        <v>72</v>
      </c>
      <c r="L76" s="1002"/>
      <c r="M76" s="972" t="s">
        <v>73</v>
      </c>
      <c r="N76" s="1133"/>
      <c r="O76" s="972" t="s">
        <v>73</v>
      </c>
      <c r="P76" s="962" t="s">
        <v>74</v>
      </c>
      <c r="Q76" s="1373"/>
      <c r="R76" s="1373"/>
      <c r="S76" s="1373"/>
      <c r="T76" s="1373"/>
      <c r="U76" s="1373"/>
      <c r="V76" s="1374"/>
      <c r="W76" s="1369"/>
      <c r="X76" s="1369">
        <f>SUM(V76-W76)</f>
        <v>0</v>
      </c>
      <c r="Y76" s="526">
        <f>IFERROR($W76/$V76, 0)</f>
        <v>0</v>
      </c>
      <c r="Z76" s="1380"/>
      <c r="AA76" s="1115">
        <v>0</v>
      </c>
      <c r="AB76" s="1145">
        <v>0</v>
      </c>
      <c r="AC76" s="959">
        <v>0</v>
      </c>
      <c r="AD76" s="905" t="s">
        <v>232</v>
      </c>
      <c r="AE76" s="950"/>
    </row>
    <row r="77" spans="1:31" ht="24.75" customHeight="1">
      <c r="A77" s="999" t="s">
        <v>242</v>
      </c>
      <c r="B77" s="1335" t="s">
        <v>231</v>
      </c>
      <c r="C77" s="1000"/>
      <c r="D77" s="1001"/>
      <c r="E77" s="1002"/>
      <c r="F77" s="1001"/>
      <c r="G77" s="908"/>
      <c r="H77" s="1376">
        <v>0</v>
      </c>
      <c r="I77" s="524" t="s">
        <v>54</v>
      </c>
      <c r="J77" s="972" t="s">
        <v>101</v>
      </c>
      <c r="K77" s="1377" t="s">
        <v>72</v>
      </c>
      <c r="L77" s="1002"/>
      <c r="M77" s="972" t="s">
        <v>73</v>
      </c>
      <c r="N77" s="1133"/>
      <c r="O77" s="972" t="s">
        <v>73</v>
      </c>
      <c r="P77" s="962" t="s">
        <v>74</v>
      </c>
      <c r="Q77" s="1373"/>
      <c r="R77" s="1373"/>
      <c r="S77" s="1373"/>
      <c r="T77" s="1373"/>
      <c r="U77" s="1373"/>
      <c r="V77" s="1378"/>
      <c r="W77" s="1379"/>
      <c r="X77" s="1379">
        <f>SUM(V77-W77)</f>
        <v>0</v>
      </c>
      <c r="Y77" s="693">
        <f>IFERROR($W77/$V77, 0)</f>
        <v>0</v>
      </c>
      <c r="Z77" s="1380"/>
      <c r="AA77" s="1115">
        <v>0</v>
      </c>
      <c r="AB77" s="1145">
        <v>0</v>
      </c>
      <c r="AC77" s="959">
        <v>0</v>
      </c>
      <c r="AD77" s="905" t="s">
        <v>232</v>
      </c>
      <c r="AE77" s="950"/>
    </row>
    <row r="78" spans="1:31" ht="24.75" customHeight="1">
      <c r="A78" s="999" t="s">
        <v>243</v>
      </c>
      <c r="B78" s="1335" t="s">
        <v>231</v>
      </c>
      <c r="C78" s="1000"/>
      <c r="D78" s="1001"/>
      <c r="E78" s="1002"/>
      <c r="F78" s="1001"/>
      <c r="G78" s="908"/>
      <c r="H78" s="1376">
        <v>0</v>
      </c>
      <c r="I78" s="524" t="s">
        <v>54</v>
      </c>
      <c r="J78" s="972" t="s">
        <v>101</v>
      </c>
      <c r="K78" s="1377" t="s">
        <v>72</v>
      </c>
      <c r="L78" s="1002"/>
      <c r="M78" s="972" t="s">
        <v>73</v>
      </c>
      <c r="N78" s="1133"/>
      <c r="O78" s="972" t="s">
        <v>73</v>
      </c>
      <c r="P78" s="962" t="s">
        <v>74</v>
      </c>
      <c r="Q78" s="1373"/>
      <c r="R78" s="1373"/>
      <c r="S78" s="1373"/>
      <c r="T78" s="1373"/>
      <c r="U78" s="1373"/>
      <c r="V78" s="1378"/>
      <c r="W78" s="1379"/>
      <c r="X78" s="1379">
        <f>SUM(V78-W78)</f>
        <v>0</v>
      </c>
      <c r="Y78" s="521">
        <f>IFERROR($W78/$V78, 0)</f>
        <v>0</v>
      </c>
      <c r="Z78" s="1381"/>
      <c r="AA78" s="1338">
        <v>0</v>
      </c>
      <c r="AB78" s="1145">
        <v>0</v>
      </c>
      <c r="AC78" s="959">
        <v>0</v>
      </c>
      <c r="AD78" s="905" t="s">
        <v>232</v>
      </c>
      <c r="AE78" s="950"/>
    </row>
    <row r="79" spans="1:31" ht="24.75" customHeight="1">
      <c r="A79" s="967"/>
      <c r="B79" s="802"/>
      <c r="C79" s="966"/>
      <c r="D79" s="1132"/>
      <c r="E79" s="970"/>
      <c r="F79" s="1132"/>
      <c r="G79" s="1132"/>
      <c r="H79" s="972"/>
      <c r="I79" s="524"/>
      <c r="J79" s="972"/>
      <c r="K79" s="968"/>
      <c r="L79" s="970"/>
      <c r="M79" s="972"/>
      <c r="N79" s="1133"/>
      <c r="O79" s="972"/>
      <c r="P79" s="962"/>
      <c r="Q79" s="912"/>
      <c r="R79" s="912"/>
      <c r="S79" s="912"/>
      <c r="T79" s="912"/>
      <c r="U79" s="912"/>
      <c r="V79" s="1045"/>
      <c r="W79" s="1016"/>
      <c r="X79" s="963"/>
      <c r="Y79" s="779"/>
      <c r="Z79" s="1146"/>
      <c r="AA79" s="1337"/>
      <c r="AB79" s="904"/>
      <c r="AC79" s="913"/>
      <c r="AD79" s="905"/>
      <c r="AE79" s="950"/>
    </row>
    <row r="80" spans="1:31" ht="24.75" customHeight="1">
      <c r="A80" s="967"/>
      <c r="B80" s="874"/>
      <c r="C80" s="966"/>
      <c r="D80" s="515"/>
      <c r="E80" s="966"/>
      <c r="F80" s="967"/>
      <c r="G80" s="967"/>
      <c r="H80" s="967"/>
      <c r="I80" s="531"/>
      <c r="J80" s="968"/>
      <c r="K80" s="969"/>
      <c r="L80" s="970"/>
      <c r="M80" s="967"/>
      <c r="N80" s="971"/>
      <c r="O80" s="972"/>
      <c r="P80" s="950"/>
      <c r="Q80" s="973"/>
      <c r="R80" s="974"/>
      <c r="S80" s="974"/>
      <c r="T80" s="974"/>
      <c r="U80" s="974"/>
      <c r="V80" s="975"/>
      <c r="W80" s="975"/>
      <c r="X80" s="976"/>
      <c r="Y80" s="875"/>
      <c r="Z80" s="894"/>
      <c r="AA80" s="977"/>
      <c r="AB80" s="977"/>
      <c r="AC80" s="975"/>
      <c r="AD80" s="936"/>
      <c r="AE80" s="945"/>
    </row>
    <row r="81" spans="1:31" ht="24.75" customHeight="1">
      <c r="A81" s="978" t="s">
        <v>244</v>
      </c>
      <c r="B81" s="978" t="s">
        <v>20</v>
      </c>
      <c r="C81" s="978" t="s">
        <v>21</v>
      </c>
      <c r="D81" s="978" t="s">
        <v>22</v>
      </c>
      <c r="E81" s="978" t="s">
        <v>23</v>
      </c>
      <c r="F81" s="978" t="s">
        <v>24</v>
      </c>
      <c r="G81" s="978" t="s">
        <v>25</v>
      </c>
      <c r="H81" s="978" t="s">
        <v>26</v>
      </c>
      <c r="I81" s="978" t="s">
        <v>27</v>
      </c>
      <c r="J81" s="978" t="s">
        <v>28</v>
      </c>
      <c r="K81" s="978" t="s">
        <v>29</v>
      </c>
      <c r="L81" s="978" t="s">
        <v>30</v>
      </c>
      <c r="M81" s="978" t="s">
        <v>31</v>
      </c>
      <c r="N81" s="1030" t="s">
        <v>32</v>
      </c>
      <c r="O81" s="978" t="s">
        <v>33</v>
      </c>
      <c r="P81" s="1117" t="s">
        <v>34</v>
      </c>
      <c r="Q81" s="891" t="s">
        <v>35</v>
      </c>
      <c r="R81" s="891" t="s">
        <v>36</v>
      </c>
      <c r="S81" s="891" t="s">
        <v>37</v>
      </c>
      <c r="T81" s="891" t="s">
        <v>38</v>
      </c>
      <c r="U81" s="891" t="s">
        <v>39</v>
      </c>
      <c r="V81" s="891" t="s">
        <v>40</v>
      </c>
      <c r="W81" s="891" t="s">
        <v>41</v>
      </c>
      <c r="X81" s="1116" t="s">
        <v>42</v>
      </c>
      <c r="Y81" s="1116" t="s">
        <v>43</v>
      </c>
      <c r="Z81" s="1117" t="s">
        <v>44</v>
      </c>
      <c r="AA81" s="892" t="s">
        <v>45</v>
      </c>
      <c r="AB81" s="891" t="s">
        <v>46</v>
      </c>
      <c r="AC81" s="891" t="s">
        <v>47</v>
      </c>
      <c r="AD81" s="893" t="s">
        <v>48</v>
      </c>
      <c r="AE81" s="945"/>
    </row>
    <row r="82" spans="1:31" ht="24.75" customHeight="1">
      <c r="A82" s="967" t="s">
        <v>245</v>
      </c>
      <c r="B82" s="874" t="s">
        <v>246</v>
      </c>
      <c r="C82" s="1034">
        <v>46081</v>
      </c>
      <c r="D82" s="908" t="s">
        <v>247</v>
      </c>
      <c r="E82" s="966">
        <v>46059</v>
      </c>
      <c r="F82" s="967" t="s">
        <v>158</v>
      </c>
      <c r="G82" s="967"/>
      <c r="H82" s="968">
        <v>171</v>
      </c>
      <c r="I82" s="531" t="s">
        <v>54</v>
      </c>
      <c r="J82" s="968" t="s">
        <v>67</v>
      </c>
      <c r="K82" s="968" t="s">
        <v>72</v>
      </c>
      <c r="L82" s="970">
        <v>46062</v>
      </c>
      <c r="M82" s="909" t="s">
        <v>56</v>
      </c>
      <c r="N82" s="1133">
        <v>160211</v>
      </c>
      <c r="O82" s="909" t="s">
        <v>56</v>
      </c>
      <c r="P82" s="921" t="s">
        <v>57</v>
      </c>
      <c r="Q82" s="986">
        <v>46062</v>
      </c>
      <c r="R82" s="974"/>
      <c r="S82" s="974"/>
      <c r="T82" s="974"/>
      <c r="U82" s="974"/>
      <c r="V82" s="944">
        <v>12242</v>
      </c>
      <c r="W82" s="944">
        <v>2125</v>
      </c>
      <c r="X82" s="944">
        <f>SUM(V82-W82)</f>
        <v>10117</v>
      </c>
      <c r="Y82" s="706">
        <f>IFERROR($W82/$V82, 0)</f>
        <v>0.17358274791700704</v>
      </c>
      <c r="Z82" s="934">
        <v>46070</v>
      </c>
      <c r="AA82" s="1115"/>
      <c r="AB82" s="1115"/>
      <c r="AC82" s="1013"/>
      <c r="AD82" s="936" t="s">
        <v>248</v>
      </c>
      <c r="AE82" s="945"/>
    </row>
    <row r="83" spans="1:31" ht="24.75" customHeight="1">
      <c r="A83" s="967"/>
      <c r="B83" s="874"/>
      <c r="C83" s="1034"/>
      <c r="D83" s="515"/>
      <c r="E83" s="966"/>
      <c r="F83" s="967"/>
      <c r="G83" s="967"/>
      <c r="H83" s="968"/>
      <c r="I83" s="524"/>
      <c r="J83" s="972"/>
      <c r="K83" s="969"/>
      <c r="L83" s="970"/>
      <c r="M83" s="972"/>
      <c r="N83" s="1028"/>
      <c r="O83" s="972"/>
      <c r="P83" s="950"/>
      <c r="Q83" s="986"/>
      <c r="R83" s="974"/>
      <c r="S83" s="974"/>
      <c r="T83" s="974"/>
      <c r="U83" s="974"/>
      <c r="V83" s="944"/>
      <c r="W83" s="944"/>
      <c r="X83" s="944"/>
      <c r="Y83" s="706"/>
      <c r="Z83" s="934"/>
      <c r="AA83" s="1115"/>
      <c r="AB83" s="1115"/>
      <c r="AC83" s="1013"/>
      <c r="AD83" s="936"/>
      <c r="AE83" s="945"/>
    </row>
    <row r="84" spans="1:31" ht="24.75" customHeight="1">
      <c r="A84" s="967"/>
      <c r="B84" s="969"/>
      <c r="C84" s="969"/>
      <c r="D84" s="969"/>
      <c r="E84" s="969"/>
      <c r="F84" s="967"/>
      <c r="G84" s="967"/>
      <c r="H84" s="969"/>
      <c r="I84" s="969"/>
      <c r="J84" s="969"/>
      <c r="K84" s="969"/>
      <c r="L84" s="967"/>
      <c r="M84" s="969"/>
      <c r="N84" s="1029"/>
      <c r="O84" s="969"/>
      <c r="P84" s="945"/>
      <c r="AE84" s="945"/>
    </row>
    <row r="85" spans="1:31" ht="24.75" customHeight="1">
      <c r="A85" s="978" t="s">
        <v>249</v>
      </c>
      <c r="B85" s="978" t="s">
        <v>20</v>
      </c>
      <c r="C85" s="978" t="s">
        <v>21</v>
      </c>
      <c r="D85" s="978" t="s">
        <v>22</v>
      </c>
      <c r="E85" s="978" t="s">
        <v>23</v>
      </c>
      <c r="F85" s="978" t="s">
        <v>24</v>
      </c>
      <c r="G85" s="978" t="s">
        <v>25</v>
      </c>
      <c r="H85" s="978" t="s">
        <v>26</v>
      </c>
      <c r="I85" s="978" t="s">
        <v>27</v>
      </c>
      <c r="J85" s="978" t="s">
        <v>28</v>
      </c>
      <c r="K85" s="978" t="s">
        <v>29</v>
      </c>
      <c r="L85" s="978" t="s">
        <v>30</v>
      </c>
      <c r="M85" s="978" t="s">
        <v>31</v>
      </c>
      <c r="N85" s="1030" t="s">
        <v>32</v>
      </c>
      <c r="O85" s="978" t="s">
        <v>33</v>
      </c>
      <c r="P85" s="1124" t="s">
        <v>34</v>
      </c>
      <c r="Q85" s="1119" t="s">
        <v>35</v>
      </c>
      <c r="R85" s="1119" t="s">
        <v>36</v>
      </c>
      <c r="S85" s="1119" t="s">
        <v>37</v>
      </c>
      <c r="T85" s="1119" t="s">
        <v>38</v>
      </c>
      <c r="U85" s="1119" t="s">
        <v>39</v>
      </c>
      <c r="V85" s="1119" t="s">
        <v>40</v>
      </c>
      <c r="W85" s="1119" t="s">
        <v>41</v>
      </c>
      <c r="X85" s="1120" t="s">
        <v>42</v>
      </c>
      <c r="Y85" s="1120" t="s">
        <v>43</v>
      </c>
      <c r="Z85" s="1118" t="s">
        <v>44</v>
      </c>
      <c r="AA85" s="1121" t="s">
        <v>45</v>
      </c>
      <c r="AB85" s="1122" t="s">
        <v>46</v>
      </c>
      <c r="AC85" s="1122" t="s">
        <v>47</v>
      </c>
      <c r="AD85" s="1123" t="s">
        <v>48</v>
      </c>
      <c r="AE85" s="945"/>
    </row>
    <row r="86" spans="1:31" ht="24.75" customHeight="1">
      <c r="A86" s="1033" t="s">
        <v>250</v>
      </c>
      <c r="B86" s="874" t="s">
        <v>251</v>
      </c>
      <c r="C86" s="1034">
        <v>46096</v>
      </c>
      <c r="D86" s="515"/>
      <c r="E86" s="1034"/>
      <c r="F86" s="1033"/>
      <c r="G86" s="967"/>
      <c r="H86" s="980">
        <v>0</v>
      </c>
      <c r="I86" s="531" t="s">
        <v>54</v>
      </c>
      <c r="J86" s="968" t="s">
        <v>101</v>
      </c>
      <c r="K86" s="968" t="s">
        <v>105</v>
      </c>
      <c r="L86" s="1034"/>
      <c r="M86" s="972" t="s">
        <v>73</v>
      </c>
      <c r="N86" s="1133"/>
      <c r="O86" s="972" t="s">
        <v>73</v>
      </c>
      <c r="P86" s="962" t="s">
        <v>74</v>
      </c>
      <c r="Q86" s="1382"/>
      <c r="R86" s="1017"/>
      <c r="S86" s="1017"/>
      <c r="T86" s="1017"/>
      <c r="U86" s="1017"/>
      <c r="V86" s="982">
        <v>4564</v>
      </c>
      <c r="W86" s="944"/>
      <c r="X86" s="982">
        <v>4564</v>
      </c>
      <c r="Y86" s="875"/>
      <c r="Z86" s="1383"/>
      <c r="AA86" s="960">
        <v>0</v>
      </c>
      <c r="AB86" s="960">
        <v>0</v>
      </c>
      <c r="AC86" s="959">
        <v>0</v>
      </c>
      <c r="AD86" s="936" t="s">
        <v>252</v>
      </c>
      <c r="AE86" s="945"/>
    </row>
    <row r="87" spans="1:31" ht="24.75" customHeight="1">
      <c r="A87" s="1033" t="s">
        <v>253</v>
      </c>
      <c r="B87" s="874" t="s">
        <v>251</v>
      </c>
      <c r="C87" s="1034">
        <v>46071</v>
      </c>
      <c r="D87" s="515"/>
      <c r="E87" s="1034"/>
      <c r="F87" s="1033"/>
      <c r="G87" s="967"/>
      <c r="H87" s="980">
        <v>0</v>
      </c>
      <c r="I87" s="531" t="s">
        <v>54</v>
      </c>
      <c r="J87" s="968" t="s">
        <v>101</v>
      </c>
      <c r="K87" s="968" t="s">
        <v>105</v>
      </c>
      <c r="L87" s="1034"/>
      <c r="M87" s="972" t="s">
        <v>73</v>
      </c>
      <c r="N87" s="1133"/>
      <c r="O87" s="972" t="s">
        <v>73</v>
      </c>
      <c r="P87" s="962" t="s">
        <v>74</v>
      </c>
      <c r="Q87" s="1382"/>
      <c r="R87" s="1017"/>
      <c r="S87" s="1017"/>
      <c r="T87" s="1017"/>
      <c r="U87" s="1017"/>
      <c r="V87" s="982">
        <v>5936</v>
      </c>
      <c r="W87" s="944"/>
      <c r="X87" s="982">
        <v>5936</v>
      </c>
      <c r="Y87" s="875"/>
      <c r="Z87" s="1383"/>
      <c r="AA87" s="960">
        <v>0</v>
      </c>
      <c r="AB87" s="960">
        <v>0</v>
      </c>
      <c r="AC87" s="959">
        <v>0</v>
      </c>
      <c r="AD87" s="936" t="s">
        <v>252</v>
      </c>
      <c r="AE87" s="945"/>
    </row>
    <row r="88" spans="1:31" ht="24.75" customHeight="1">
      <c r="A88" s="1033" t="s">
        <v>254</v>
      </c>
      <c r="B88" s="874" t="s">
        <v>251</v>
      </c>
      <c r="C88" s="1034">
        <v>46372</v>
      </c>
      <c r="D88" s="515"/>
      <c r="E88" s="1034"/>
      <c r="F88" s="1033"/>
      <c r="G88" s="967"/>
      <c r="H88" s="980">
        <v>60</v>
      </c>
      <c r="I88" s="531" t="s">
        <v>54</v>
      </c>
      <c r="J88" s="968" t="s">
        <v>101</v>
      </c>
      <c r="K88" s="968" t="s">
        <v>105</v>
      </c>
      <c r="L88" s="1034"/>
      <c r="M88" s="972" t="s">
        <v>56</v>
      </c>
      <c r="N88" s="1133">
        <v>82732</v>
      </c>
      <c r="O88" s="972" t="s">
        <v>56</v>
      </c>
      <c r="P88" s="962" t="s">
        <v>74</v>
      </c>
      <c r="Q88" s="1382"/>
      <c r="R88" s="1017"/>
      <c r="S88" s="1017"/>
      <c r="T88" s="1017"/>
      <c r="U88" s="1017"/>
      <c r="V88" s="982">
        <v>7117</v>
      </c>
      <c r="W88" s="944"/>
      <c r="X88" s="982">
        <v>7117</v>
      </c>
      <c r="Y88" s="875"/>
      <c r="Z88" s="1383"/>
      <c r="AA88" s="960">
        <v>0</v>
      </c>
      <c r="AB88" s="960">
        <v>0</v>
      </c>
      <c r="AC88" s="959">
        <v>0</v>
      </c>
      <c r="AD88" s="936" t="s">
        <v>255</v>
      </c>
      <c r="AE88" s="945"/>
    </row>
    <row r="89" spans="1:31" ht="24.75" customHeight="1">
      <c r="A89" s="1033" t="s">
        <v>256</v>
      </c>
      <c r="B89" s="874" t="s">
        <v>251</v>
      </c>
      <c r="C89" s="1034">
        <v>46372</v>
      </c>
      <c r="D89" s="515"/>
      <c r="E89" s="1034"/>
      <c r="F89" s="1033"/>
      <c r="G89" s="967"/>
      <c r="H89" s="980">
        <v>83</v>
      </c>
      <c r="I89" s="531" t="s">
        <v>54</v>
      </c>
      <c r="J89" s="968" t="s">
        <v>101</v>
      </c>
      <c r="K89" s="968" t="s">
        <v>105</v>
      </c>
      <c r="L89" s="1034"/>
      <c r="M89" s="972" t="s">
        <v>56</v>
      </c>
      <c r="N89" s="1133">
        <v>110980</v>
      </c>
      <c r="O89" s="972" t="s">
        <v>56</v>
      </c>
      <c r="P89" s="962" t="s">
        <v>74</v>
      </c>
      <c r="Q89" s="1382"/>
      <c r="R89" s="1017"/>
      <c r="S89" s="1017"/>
      <c r="T89" s="1017"/>
      <c r="U89" s="1017"/>
      <c r="V89" s="982">
        <v>9590</v>
      </c>
      <c r="W89" s="944"/>
      <c r="X89" s="982">
        <v>9590</v>
      </c>
      <c r="Y89" s="875"/>
      <c r="Z89" s="1383"/>
      <c r="AA89" s="960">
        <v>0</v>
      </c>
      <c r="AB89" s="960">
        <v>0</v>
      </c>
      <c r="AC89" s="959">
        <v>0</v>
      </c>
      <c r="AD89" s="936" t="s">
        <v>255</v>
      </c>
      <c r="AE89" s="945"/>
    </row>
    <row r="90" spans="1:31" ht="24.75" customHeight="1">
      <c r="A90" s="1033" t="s">
        <v>257</v>
      </c>
      <c r="B90" s="874" t="s">
        <v>251</v>
      </c>
      <c r="C90" s="1034">
        <v>46372</v>
      </c>
      <c r="D90" s="515"/>
      <c r="E90" s="1034"/>
      <c r="F90" s="1033"/>
      <c r="G90" s="967"/>
      <c r="H90" s="980">
        <v>84</v>
      </c>
      <c r="I90" s="531" t="s">
        <v>54</v>
      </c>
      <c r="J90" s="968" t="s">
        <v>101</v>
      </c>
      <c r="K90" s="968" t="s">
        <v>105</v>
      </c>
      <c r="L90" s="1034"/>
      <c r="M90" s="972" t="s">
        <v>56</v>
      </c>
      <c r="N90" s="1133">
        <v>108948</v>
      </c>
      <c r="O90" s="972" t="s">
        <v>56</v>
      </c>
      <c r="P90" s="962" t="s">
        <v>74</v>
      </c>
      <c r="Q90" s="1382"/>
      <c r="R90" s="1017"/>
      <c r="S90" s="1017"/>
      <c r="T90" s="1017"/>
      <c r="U90" s="1017"/>
      <c r="V90" s="982">
        <v>9329</v>
      </c>
      <c r="W90" s="944"/>
      <c r="X90" s="982">
        <v>9329</v>
      </c>
      <c r="Y90" s="875"/>
      <c r="Z90" s="1383"/>
      <c r="AA90" s="960">
        <v>0</v>
      </c>
      <c r="AB90" s="960">
        <v>0</v>
      </c>
      <c r="AC90" s="959">
        <v>0</v>
      </c>
      <c r="AD90" s="936" t="s">
        <v>255</v>
      </c>
      <c r="AE90" s="945"/>
    </row>
    <row r="91" spans="1:31" ht="24.75" customHeight="1">
      <c r="A91" s="1033" t="s">
        <v>258</v>
      </c>
      <c r="B91" s="874" t="s">
        <v>251</v>
      </c>
      <c r="C91" s="1034">
        <v>46372</v>
      </c>
      <c r="D91" s="515"/>
      <c r="E91" s="1034"/>
      <c r="F91" s="1033"/>
      <c r="G91" s="967"/>
      <c r="H91" s="980">
        <v>89</v>
      </c>
      <c r="I91" s="531" t="s">
        <v>54</v>
      </c>
      <c r="J91" s="968" t="s">
        <v>101</v>
      </c>
      <c r="K91" s="968" t="s">
        <v>105</v>
      </c>
      <c r="L91" s="1034"/>
      <c r="M91" s="972" t="s">
        <v>56</v>
      </c>
      <c r="N91" s="1133">
        <v>116114</v>
      </c>
      <c r="O91" s="972" t="s">
        <v>56</v>
      </c>
      <c r="P91" s="962" t="s">
        <v>74</v>
      </c>
      <c r="Q91" s="1382"/>
      <c r="R91" s="1017"/>
      <c r="S91" s="1017"/>
      <c r="T91" s="1017"/>
      <c r="U91" s="1017"/>
      <c r="V91" s="982">
        <v>9709</v>
      </c>
      <c r="W91" s="944"/>
      <c r="X91" s="982">
        <v>9709</v>
      </c>
      <c r="Y91" s="875"/>
      <c r="Z91" s="1383"/>
      <c r="AA91" s="960">
        <v>0</v>
      </c>
      <c r="AB91" s="960">
        <v>0</v>
      </c>
      <c r="AC91" s="959">
        <v>0</v>
      </c>
      <c r="AD91" s="936" t="s">
        <v>255</v>
      </c>
      <c r="AE91" s="945"/>
    </row>
    <row r="92" spans="1:31" ht="24.75" customHeight="1">
      <c r="A92" s="1033" t="s">
        <v>259</v>
      </c>
      <c r="B92" s="874" t="s">
        <v>251</v>
      </c>
      <c r="C92" s="1034">
        <v>46340</v>
      </c>
      <c r="D92" s="515"/>
      <c r="E92" s="1034"/>
      <c r="F92" s="1033"/>
      <c r="G92" s="967"/>
      <c r="H92" s="980">
        <v>79</v>
      </c>
      <c r="I92" s="531" t="s">
        <v>54</v>
      </c>
      <c r="J92" s="968" t="s">
        <v>101</v>
      </c>
      <c r="K92" s="968" t="s">
        <v>105</v>
      </c>
      <c r="L92" s="1034"/>
      <c r="M92" s="972" t="s">
        <v>56</v>
      </c>
      <c r="N92" s="1133">
        <v>108665</v>
      </c>
      <c r="O92" s="972" t="s">
        <v>56</v>
      </c>
      <c r="P92" s="962" t="s">
        <v>74</v>
      </c>
      <c r="Q92" s="1382"/>
      <c r="R92" s="1017"/>
      <c r="S92" s="1017"/>
      <c r="T92" s="1017"/>
      <c r="U92" s="1017"/>
      <c r="V92" s="982">
        <v>9263</v>
      </c>
      <c r="W92" s="944"/>
      <c r="X92" s="982">
        <v>9263</v>
      </c>
      <c r="Y92" s="875"/>
      <c r="Z92" s="1383"/>
      <c r="AA92" s="960">
        <v>0</v>
      </c>
      <c r="AB92" s="960">
        <v>0</v>
      </c>
      <c r="AC92" s="959">
        <v>0</v>
      </c>
      <c r="AD92" s="936" t="s">
        <v>255</v>
      </c>
      <c r="AE92" s="945"/>
    </row>
    <row r="93" spans="1:31" ht="24.75" customHeight="1">
      <c r="A93" s="1033" t="s">
        <v>260</v>
      </c>
      <c r="B93" s="874" t="s">
        <v>251</v>
      </c>
      <c r="C93" s="1034">
        <v>46340</v>
      </c>
      <c r="D93" s="515"/>
      <c r="E93" s="1034"/>
      <c r="F93" s="1033"/>
      <c r="G93" s="967"/>
      <c r="H93" s="980">
        <v>87</v>
      </c>
      <c r="I93" s="531" t="s">
        <v>54</v>
      </c>
      <c r="J93" s="968" t="s">
        <v>101</v>
      </c>
      <c r="K93" s="968" t="s">
        <v>105</v>
      </c>
      <c r="L93" s="1034"/>
      <c r="M93" s="972" t="s">
        <v>56</v>
      </c>
      <c r="N93" s="1133">
        <v>120731</v>
      </c>
      <c r="O93" s="972" t="s">
        <v>56</v>
      </c>
      <c r="P93" s="962" t="s">
        <v>74</v>
      </c>
      <c r="Q93" s="1382"/>
      <c r="R93" s="1017"/>
      <c r="S93" s="1017"/>
      <c r="T93" s="1017"/>
      <c r="U93" s="1017"/>
      <c r="V93" s="982">
        <v>10385</v>
      </c>
      <c r="W93" s="944"/>
      <c r="X93" s="982">
        <v>10385</v>
      </c>
      <c r="Y93" s="875"/>
      <c r="Z93" s="1383"/>
      <c r="AA93" s="960">
        <v>0</v>
      </c>
      <c r="AB93" s="960">
        <v>0</v>
      </c>
      <c r="AC93" s="959">
        <v>0</v>
      </c>
      <c r="AD93" s="936" t="s">
        <v>255</v>
      </c>
      <c r="AE93" s="945"/>
    </row>
    <row r="94" spans="1:31" ht="24.75" customHeight="1">
      <c r="A94" s="1033" t="s">
        <v>261</v>
      </c>
      <c r="B94" s="874" t="s">
        <v>251</v>
      </c>
      <c r="C94" s="1034">
        <v>46310</v>
      </c>
      <c r="D94" s="515"/>
      <c r="E94" s="1034"/>
      <c r="F94" s="1033"/>
      <c r="G94" s="967"/>
      <c r="H94" s="980">
        <v>86</v>
      </c>
      <c r="I94" s="531" t="s">
        <v>54</v>
      </c>
      <c r="J94" s="968" t="s">
        <v>101</v>
      </c>
      <c r="K94" s="968" t="s">
        <v>105</v>
      </c>
      <c r="L94" s="1034"/>
      <c r="M94" s="972" t="s">
        <v>56</v>
      </c>
      <c r="N94" s="1133">
        <v>111864</v>
      </c>
      <c r="O94" s="972" t="s">
        <v>56</v>
      </c>
      <c r="P94" s="962" t="s">
        <v>74</v>
      </c>
      <c r="Q94" s="1382"/>
      <c r="R94" s="1017"/>
      <c r="S94" s="1017"/>
      <c r="T94" s="1017"/>
      <c r="U94" s="1017"/>
      <c r="V94" s="982">
        <v>9398</v>
      </c>
      <c r="W94" s="944"/>
      <c r="X94" s="982">
        <v>9398</v>
      </c>
      <c r="Y94" s="875"/>
      <c r="Z94" s="1383"/>
      <c r="AA94" s="960">
        <v>0</v>
      </c>
      <c r="AB94" s="960">
        <v>0</v>
      </c>
      <c r="AC94" s="959">
        <v>0</v>
      </c>
      <c r="AD94" s="936" t="s">
        <v>255</v>
      </c>
      <c r="AE94" s="945"/>
    </row>
    <row r="95" spans="1:31" ht="24.75" customHeight="1">
      <c r="A95" s="1033" t="s">
        <v>262</v>
      </c>
      <c r="B95" s="874" t="s">
        <v>251</v>
      </c>
      <c r="C95" s="1034">
        <v>46310</v>
      </c>
      <c r="D95" s="515"/>
      <c r="E95" s="1034"/>
      <c r="F95" s="1033"/>
      <c r="G95" s="967"/>
      <c r="H95" s="980">
        <v>63</v>
      </c>
      <c r="I95" s="531" t="s">
        <v>54</v>
      </c>
      <c r="J95" s="968" t="s">
        <v>101</v>
      </c>
      <c r="K95" s="968" t="s">
        <v>105</v>
      </c>
      <c r="L95" s="1034"/>
      <c r="M95" s="972" t="s">
        <v>56</v>
      </c>
      <c r="N95" s="1133">
        <v>88533.5</v>
      </c>
      <c r="O95" s="972" t="s">
        <v>56</v>
      </c>
      <c r="P95" s="962" t="s">
        <v>74</v>
      </c>
      <c r="Q95" s="1382"/>
      <c r="R95" s="1017"/>
      <c r="S95" s="1017"/>
      <c r="T95" s="1017"/>
      <c r="U95" s="1017"/>
      <c r="V95" s="982">
        <v>7517</v>
      </c>
      <c r="W95" s="944"/>
      <c r="X95" s="982">
        <v>7517</v>
      </c>
      <c r="Y95" s="875"/>
      <c r="Z95" s="1383"/>
      <c r="AA95" s="960">
        <v>0</v>
      </c>
      <c r="AB95" s="960">
        <v>0</v>
      </c>
      <c r="AC95" s="959">
        <v>0</v>
      </c>
      <c r="AD95" s="936" t="s">
        <v>255</v>
      </c>
      <c r="AE95" s="945"/>
    </row>
    <row r="96" spans="1:31" ht="24.75" customHeight="1">
      <c r="A96" s="1033" t="s">
        <v>263</v>
      </c>
      <c r="B96" s="874" t="s">
        <v>251</v>
      </c>
      <c r="C96" s="1034">
        <v>46218</v>
      </c>
      <c r="D96" s="515"/>
      <c r="E96" s="1034"/>
      <c r="F96" s="1033"/>
      <c r="G96" s="967"/>
      <c r="H96" s="980">
        <v>78</v>
      </c>
      <c r="I96" s="531" t="s">
        <v>54</v>
      </c>
      <c r="J96" s="968" t="s">
        <v>101</v>
      </c>
      <c r="K96" s="968" t="s">
        <v>105</v>
      </c>
      <c r="L96" s="1034"/>
      <c r="M96" s="972" t="s">
        <v>56</v>
      </c>
      <c r="N96" s="1133">
        <v>75143.5</v>
      </c>
      <c r="O96" s="972" t="s">
        <v>56</v>
      </c>
      <c r="P96" s="962" t="s">
        <v>74</v>
      </c>
      <c r="Q96" s="1382"/>
      <c r="R96" s="1017"/>
      <c r="S96" s="1017"/>
      <c r="T96" s="1017"/>
      <c r="U96" s="1017"/>
      <c r="V96" s="982">
        <v>5920</v>
      </c>
      <c r="W96" s="944"/>
      <c r="X96" s="982">
        <v>5920</v>
      </c>
      <c r="Y96" s="875"/>
      <c r="Z96" s="1383"/>
      <c r="AA96" s="960">
        <v>0</v>
      </c>
      <c r="AB96" s="960">
        <v>0</v>
      </c>
      <c r="AC96" s="959">
        <v>0</v>
      </c>
      <c r="AD96" s="936" t="s">
        <v>255</v>
      </c>
      <c r="AE96" s="945"/>
    </row>
    <row r="97" spans="1:31" ht="24.75" customHeight="1">
      <c r="A97" s="1033" t="s">
        <v>264</v>
      </c>
      <c r="B97" s="874" t="s">
        <v>251</v>
      </c>
      <c r="C97" s="1034">
        <v>46310</v>
      </c>
      <c r="D97" s="515"/>
      <c r="E97" s="1034"/>
      <c r="F97" s="1033"/>
      <c r="G97" s="967"/>
      <c r="H97" s="980">
        <v>60</v>
      </c>
      <c r="I97" s="531" t="s">
        <v>54</v>
      </c>
      <c r="J97" s="968" t="s">
        <v>101</v>
      </c>
      <c r="K97" s="968" t="s">
        <v>105</v>
      </c>
      <c r="L97" s="1034"/>
      <c r="M97" s="972" t="s">
        <v>56</v>
      </c>
      <c r="N97" s="1133">
        <v>66890</v>
      </c>
      <c r="O97" s="972" t="s">
        <v>56</v>
      </c>
      <c r="P97" s="962" t="s">
        <v>74</v>
      </c>
      <c r="Q97" s="1382"/>
      <c r="R97" s="1017"/>
      <c r="S97" s="1017"/>
      <c r="T97" s="1017"/>
      <c r="U97" s="1017"/>
      <c r="V97" s="982">
        <v>5589</v>
      </c>
      <c r="W97" s="944"/>
      <c r="X97" s="982">
        <v>5589</v>
      </c>
      <c r="Y97" s="875"/>
      <c r="Z97" s="1383"/>
      <c r="AA97" s="960">
        <v>0</v>
      </c>
      <c r="AB97" s="960">
        <v>0</v>
      </c>
      <c r="AC97" s="959">
        <v>0</v>
      </c>
      <c r="AD97" s="936" t="s">
        <v>255</v>
      </c>
      <c r="AE97" s="945"/>
    </row>
    <row r="98" spans="1:31" ht="24.75" customHeight="1">
      <c r="A98" s="1033" t="s">
        <v>265</v>
      </c>
      <c r="B98" s="874" t="s">
        <v>251</v>
      </c>
      <c r="C98" s="1034">
        <v>46310</v>
      </c>
      <c r="D98" s="515"/>
      <c r="E98" s="1034"/>
      <c r="F98" s="1033"/>
      <c r="G98" s="967"/>
      <c r="H98" s="980">
        <v>60</v>
      </c>
      <c r="I98" s="531" t="s">
        <v>54</v>
      </c>
      <c r="J98" s="968" t="s">
        <v>101</v>
      </c>
      <c r="K98" s="968" t="s">
        <v>105</v>
      </c>
      <c r="L98" s="1034"/>
      <c r="M98" s="972" t="s">
        <v>56</v>
      </c>
      <c r="N98" s="1133">
        <v>65974</v>
      </c>
      <c r="O98" s="972" t="s">
        <v>56</v>
      </c>
      <c r="P98" s="962" t="s">
        <v>74</v>
      </c>
      <c r="Q98" s="1382"/>
      <c r="R98" s="1017"/>
      <c r="S98" s="1017"/>
      <c r="T98" s="1017"/>
      <c r="U98" s="1017"/>
      <c r="V98" s="982">
        <v>5515</v>
      </c>
      <c r="W98" s="944"/>
      <c r="X98" s="982">
        <v>5515</v>
      </c>
      <c r="Y98" s="875"/>
      <c r="Z98" s="1383"/>
      <c r="AA98" s="960">
        <v>0</v>
      </c>
      <c r="AB98" s="960">
        <v>0</v>
      </c>
      <c r="AC98" s="959">
        <v>0</v>
      </c>
      <c r="AD98" s="936" t="s">
        <v>255</v>
      </c>
      <c r="AE98" s="945"/>
    </row>
    <row r="99" spans="1:31" ht="24.75" customHeight="1">
      <c r="A99" s="1033" t="s">
        <v>266</v>
      </c>
      <c r="B99" s="874" t="s">
        <v>251</v>
      </c>
      <c r="C99" s="1034">
        <v>46188</v>
      </c>
      <c r="D99" s="515"/>
      <c r="E99" s="1034"/>
      <c r="F99" s="1033"/>
      <c r="G99" s="967"/>
      <c r="H99" s="980">
        <v>62</v>
      </c>
      <c r="I99" s="531" t="s">
        <v>54</v>
      </c>
      <c r="J99" s="968" t="s">
        <v>101</v>
      </c>
      <c r="K99" s="968" t="s">
        <v>105</v>
      </c>
      <c r="L99" s="1034"/>
      <c r="M99" s="972" t="s">
        <v>56</v>
      </c>
      <c r="N99" s="1133">
        <v>63989.5</v>
      </c>
      <c r="O99" s="972" t="s">
        <v>56</v>
      </c>
      <c r="P99" s="962" t="s">
        <v>74</v>
      </c>
      <c r="Q99" s="1382"/>
      <c r="R99" s="1017"/>
      <c r="S99" s="1017"/>
      <c r="T99" s="1017"/>
      <c r="U99" s="1017"/>
      <c r="V99" s="982">
        <v>5191</v>
      </c>
      <c r="W99" s="944"/>
      <c r="X99" s="982">
        <v>5191</v>
      </c>
      <c r="Y99" s="875"/>
      <c r="Z99" s="1383"/>
      <c r="AA99" s="960">
        <v>0</v>
      </c>
      <c r="AB99" s="960">
        <v>0</v>
      </c>
      <c r="AC99" s="959">
        <v>0</v>
      </c>
      <c r="AD99" s="936" t="s">
        <v>255</v>
      </c>
      <c r="AE99" s="945"/>
    </row>
    <row r="100" spans="1:31" ht="24.75" customHeight="1">
      <c r="A100" s="1033" t="s">
        <v>267</v>
      </c>
      <c r="B100" s="874" t="s">
        <v>251</v>
      </c>
      <c r="C100" s="1034">
        <v>46188</v>
      </c>
      <c r="D100" s="515"/>
      <c r="E100" s="1034"/>
      <c r="F100" s="1033"/>
      <c r="G100" s="967"/>
      <c r="H100" s="980">
        <v>60</v>
      </c>
      <c r="I100" s="531" t="s">
        <v>54</v>
      </c>
      <c r="J100" s="968" t="s">
        <v>101</v>
      </c>
      <c r="K100" s="968" t="s">
        <v>105</v>
      </c>
      <c r="L100" s="1034"/>
      <c r="M100" s="972" t="s">
        <v>56</v>
      </c>
      <c r="N100" s="1133">
        <v>67355.5</v>
      </c>
      <c r="O100" s="972" t="s">
        <v>56</v>
      </c>
      <c r="P100" s="962" t="s">
        <v>74</v>
      </c>
      <c r="Q100" s="1382"/>
      <c r="R100" s="1017"/>
      <c r="S100" s="1017"/>
      <c r="T100" s="1017"/>
      <c r="U100" s="1017"/>
      <c r="V100" s="982">
        <v>5620</v>
      </c>
      <c r="W100" s="944"/>
      <c r="X100" s="982">
        <v>5620</v>
      </c>
      <c r="Y100" s="875"/>
      <c r="Z100" s="1383"/>
      <c r="AA100" s="960">
        <v>0</v>
      </c>
      <c r="AB100" s="960">
        <v>0</v>
      </c>
      <c r="AC100" s="959">
        <v>0</v>
      </c>
      <c r="AD100" s="936" t="s">
        <v>255</v>
      </c>
      <c r="AE100" s="945"/>
    </row>
    <row r="101" spans="1:31" ht="24.75" customHeight="1">
      <c r="A101" s="1033" t="s">
        <v>268</v>
      </c>
      <c r="B101" s="874" t="s">
        <v>251</v>
      </c>
      <c r="C101" s="1034">
        <v>46127</v>
      </c>
      <c r="D101" s="515"/>
      <c r="E101" s="1034"/>
      <c r="F101" s="1033"/>
      <c r="G101" s="967"/>
      <c r="H101" s="980">
        <v>86</v>
      </c>
      <c r="I101" s="531" t="s">
        <v>54</v>
      </c>
      <c r="J101" s="968" t="s">
        <v>101</v>
      </c>
      <c r="K101" s="968" t="s">
        <v>105</v>
      </c>
      <c r="L101" s="1034"/>
      <c r="M101" s="972" t="s">
        <v>56</v>
      </c>
      <c r="N101" s="1133">
        <v>86438.5</v>
      </c>
      <c r="O101" s="972" t="s">
        <v>56</v>
      </c>
      <c r="P101" s="962" t="s">
        <v>74</v>
      </c>
      <c r="Q101" s="1382"/>
      <c r="R101" s="1017"/>
      <c r="S101" s="1017"/>
      <c r="T101" s="1017"/>
      <c r="U101" s="1017"/>
      <c r="V101" s="982">
        <v>6864</v>
      </c>
      <c r="W101" s="944"/>
      <c r="X101" s="982">
        <v>6864</v>
      </c>
      <c r="Y101" s="875"/>
      <c r="Z101" s="1383"/>
      <c r="AA101" s="960">
        <v>0</v>
      </c>
      <c r="AB101" s="960">
        <v>0</v>
      </c>
      <c r="AC101" s="959">
        <v>0</v>
      </c>
      <c r="AD101" s="936" t="s">
        <v>255</v>
      </c>
      <c r="AE101" s="945"/>
    </row>
    <row r="102" spans="1:31" ht="24.75" customHeight="1">
      <c r="A102" s="1033" t="s">
        <v>269</v>
      </c>
      <c r="B102" s="874" t="s">
        <v>251</v>
      </c>
      <c r="C102" s="1034">
        <v>46188</v>
      </c>
      <c r="D102" s="515"/>
      <c r="E102" s="1034"/>
      <c r="F102" s="1033"/>
      <c r="G102" s="967"/>
      <c r="H102" s="980">
        <v>89</v>
      </c>
      <c r="I102" s="531" t="s">
        <v>54</v>
      </c>
      <c r="J102" s="968" t="s">
        <v>101</v>
      </c>
      <c r="K102" s="968" t="s">
        <v>105</v>
      </c>
      <c r="L102" s="1034"/>
      <c r="M102" s="972" t="s">
        <v>56</v>
      </c>
      <c r="N102" s="1133">
        <v>88748.5</v>
      </c>
      <c r="O102" s="972" t="s">
        <v>56</v>
      </c>
      <c r="P102" s="962" t="s">
        <v>74</v>
      </c>
      <c r="Q102" s="1382"/>
      <c r="R102" s="1017"/>
      <c r="S102" s="1017"/>
      <c r="T102" s="1017"/>
      <c r="U102" s="1017"/>
      <c r="V102" s="982">
        <v>6461</v>
      </c>
      <c r="W102" s="944"/>
      <c r="X102" s="982">
        <v>6461</v>
      </c>
      <c r="Y102" s="875"/>
      <c r="Z102" s="1383"/>
      <c r="AA102" s="960">
        <v>0</v>
      </c>
      <c r="AB102" s="960">
        <v>0</v>
      </c>
      <c r="AC102" s="959">
        <v>0</v>
      </c>
      <c r="AD102" s="936" t="s">
        <v>255</v>
      </c>
      <c r="AE102" s="945"/>
    </row>
    <row r="103" spans="1:31" ht="24.75" customHeight="1">
      <c r="A103" s="1033" t="s">
        <v>270</v>
      </c>
      <c r="B103" s="874" t="s">
        <v>251</v>
      </c>
      <c r="C103" s="1034">
        <v>46127</v>
      </c>
      <c r="D103" s="515"/>
      <c r="E103" s="1034"/>
      <c r="F103" s="1033"/>
      <c r="G103" s="967"/>
      <c r="H103" s="980">
        <v>25</v>
      </c>
      <c r="I103" s="531" t="s">
        <v>54</v>
      </c>
      <c r="J103" s="968" t="s">
        <v>101</v>
      </c>
      <c r="K103" s="968" t="s">
        <v>105</v>
      </c>
      <c r="L103" s="1034"/>
      <c r="M103" s="972" t="s">
        <v>56</v>
      </c>
      <c r="N103" s="1133">
        <v>33288</v>
      </c>
      <c r="O103" s="972" t="s">
        <v>56</v>
      </c>
      <c r="P103" s="962" t="s">
        <v>74</v>
      </c>
      <c r="Q103" s="1382"/>
      <c r="R103" s="1017"/>
      <c r="S103" s="1017"/>
      <c r="T103" s="1017"/>
      <c r="U103" s="1017"/>
      <c r="V103" s="982">
        <v>2790</v>
      </c>
      <c r="W103" s="944"/>
      <c r="X103" s="982">
        <v>2790</v>
      </c>
      <c r="Y103" s="875"/>
      <c r="Z103" s="1383"/>
      <c r="AA103" s="960">
        <v>0</v>
      </c>
      <c r="AB103" s="960">
        <v>0</v>
      </c>
      <c r="AC103" s="959">
        <v>0</v>
      </c>
      <c r="AD103" s="936" t="s">
        <v>255</v>
      </c>
      <c r="AE103" s="945"/>
    </row>
    <row r="104" spans="1:31" ht="24.75" customHeight="1">
      <c r="A104" s="1033" t="s">
        <v>271</v>
      </c>
      <c r="B104" s="874" t="s">
        <v>251</v>
      </c>
      <c r="C104" s="1034">
        <v>46127</v>
      </c>
      <c r="D104" s="515"/>
      <c r="E104" s="1034"/>
      <c r="F104" s="1033"/>
      <c r="G104" s="967"/>
      <c r="H104" s="980">
        <v>79</v>
      </c>
      <c r="I104" s="531" t="s">
        <v>54</v>
      </c>
      <c r="J104" s="968" t="s">
        <v>101</v>
      </c>
      <c r="K104" s="968" t="s">
        <v>105</v>
      </c>
      <c r="L104" s="1034"/>
      <c r="M104" s="972" t="s">
        <v>56</v>
      </c>
      <c r="N104" s="1133">
        <v>89875.5</v>
      </c>
      <c r="O104" s="972" t="s">
        <v>56</v>
      </c>
      <c r="P104" s="962" t="s">
        <v>74</v>
      </c>
      <c r="Q104" s="1382"/>
      <c r="R104" s="1017"/>
      <c r="S104" s="1017"/>
      <c r="T104" s="1017"/>
      <c r="U104" s="1017"/>
      <c r="V104" s="982">
        <v>7368</v>
      </c>
      <c r="W104" s="944"/>
      <c r="X104" s="982">
        <v>7368</v>
      </c>
      <c r="Y104" s="875"/>
      <c r="Z104" s="1383"/>
      <c r="AA104" s="960">
        <v>0</v>
      </c>
      <c r="AB104" s="960">
        <v>0</v>
      </c>
      <c r="AC104" s="959">
        <v>0</v>
      </c>
      <c r="AD104" s="936" t="s">
        <v>255</v>
      </c>
      <c r="AE104" s="945"/>
    </row>
    <row r="105" spans="1:31" ht="24.75" customHeight="1">
      <c r="A105" s="1033" t="s">
        <v>272</v>
      </c>
      <c r="B105" s="874" t="s">
        <v>251</v>
      </c>
      <c r="C105" s="1034">
        <v>46188</v>
      </c>
      <c r="D105" s="515"/>
      <c r="E105" s="1034"/>
      <c r="F105" s="1033"/>
      <c r="G105" s="967"/>
      <c r="H105" s="980">
        <v>84</v>
      </c>
      <c r="I105" s="531" t="s">
        <v>54</v>
      </c>
      <c r="J105" s="968" t="s">
        <v>101</v>
      </c>
      <c r="K105" s="968" t="s">
        <v>105</v>
      </c>
      <c r="L105" s="1034"/>
      <c r="M105" s="972" t="s">
        <v>56</v>
      </c>
      <c r="N105" s="1133">
        <v>95052.5</v>
      </c>
      <c r="O105" s="972" t="s">
        <v>56</v>
      </c>
      <c r="P105" s="962" t="s">
        <v>74</v>
      </c>
      <c r="Q105" s="1382"/>
      <c r="R105" s="1017"/>
      <c r="S105" s="1017"/>
      <c r="T105" s="1017"/>
      <c r="U105" s="1017"/>
      <c r="V105" s="982">
        <v>7844</v>
      </c>
      <c r="W105" s="944"/>
      <c r="X105" s="982">
        <v>7844</v>
      </c>
      <c r="Y105" s="875"/>
      <c r="Z105" s="1383"/>
      <c r="AA105" s="960">
        <v>0</v>
      </c>
      <c r="AB105" s="960">
        <v>0</v>
      </c>
      <c r="AC105" s="959">
        <v>0</v>
      </c>
      <c r="AD105" s="936" t="s">
        <v>255</v>
      </c>
      <c r="AE105" s="945"/>
    </row>
    <row r="106" spans="1:31" ht="24.75" customHeight="1">
      <c r="A106" s="1033" t="s">
        <v>273</v>
      </c>
      <c r="B106" s="874" t="s">
        <v>251</v>
      </c>
      <c r="C106" s="1034">
        <v>46188</v>
      </c>
      <c r="D106" s="515"/>
      <c r="E106" s="1034"/>
      <c r="F106" s="1033"/>
      <c r="G106" s="967"/>
      <c r="H106" s="980">
        <v>88</v>
      </c>
      <c r="I106" s="531" t="s">
        <v>54</v>
      </c>
      <c r="J106" s="968" t="s">
        <v>101</v>
      </c>
      <c r="K106" s="968" t="s">
        <v>105</v>
      </c>
      <c r="L106" s="1034"/>
      <c r="M106" s="972" t="s">
        <v>56</v>
      </c>
      <c r="N106" s="1133">
        <v>102476</v>
      </c>
      <c r="O106" s="972" t="s">
        <v>56</v>
      </c>
      <c r="P106" s="962" t="s">
        <v>74</v>
      </c>
      <c r="Q106" s="1382"/>
      <c r="R106" s="1017"/>
      <c r="S106" s="1017"/>
      <c r="T106" s="1017"/>
      <c r="U106" s="1017"/>
      <c r="V106" s="982">
        <v>8148</v>
      </c>
      <c r="W106" s="944"/>
      <c r="X106" s="982">
        <v>8148</v>
      </c>
      <c r="Y106" s="875"/>
      <c r="Z106" s="1383"/>
      <c r="AA106" s="960">
        <v>0</v>
      </c>
      <c r="AB106" s="960">
        <v>0</v>
      </c>
      <c r="AC106" s="959">
        <v>0</v>
      </c>
      <c r="AD106" s="936" t="s">
        <v>255</v>
      </c>
      <c r="AE106" s="945"/>
    </row>
    <row r="107" spans="1:31" ht="24.75" customHeight="1">
      <c r="A107" s="1033" t="s">
        <v>274</v>
      </c>
      <c r="B107" s="874" t="s">
        <v>251</v>
      </c>
      <c r="C107" s="1034">
        <v>46157</v>
      </c>
      <c r="D107" s="515"/>
      <c r="E107" s="1034"/>
      <c r="F107" s="1033"/>
      <c r="G107" s="967"/>
      <c r="H107" s="980">
        <v>60</v>
      </c>
      <c r="I107" s="531" t="s">
        <v>54</v>
      </c>
      <c r="J107" s="968" t="s">
        <v>101</v>
      </c>
      <c r="K107" s="968" t="s">
        <v>105</v>
      </c>
      <c r="L107" s="1034"/>
      <c r="M107" s="972" t="s">
        <v>56</v>
      </c>
      <c r="N107" s="1133">
        <v>80344</v>
      </c>
      <c r="O107" s="972" t="s">
        <v>56</v>
      </c>
      <c r="P107" s="962" t="s">
        <v>74</v>
      </c>
      <c r="Q107" s="1382"/>
      <c r="R107" s="1017"/>
      <c r="S107" s="1017"/>
      <c r="T107" s="1017"/>
      <c r="U107" s="1017"/>
      <c r="V107" s="982">
        <v>6829</v>
      </c>
      <c r="W107" s="944"/>
      <c r="X107" s="982">
        <v>6829</v>
      </c>
      <c r="Y107" s="875"/>
      <c r="Z107" s="1383"/>
      <c r="AA107" s="960">
        <v>0</v>
      </c>
      <c r="AB107" s="960">
        <v>0</v>
      </c>
      <c r="AC107" s="959">
        <v>0</v>
      </c>
      <c r="AD107" s="936" t="s">
        <v>255</v>
      </c>
      <c r="AE107" s="945"/>
    </row>
    <row r="108" spans="1:31" ht="24.75" customHeight="1">
      <c r="A108" s="1033" t="s">
        <v>275</v>
      </c>
      <c r="B108" s="874" t="s">
        <v>251</v>
      </c>
      <c r="C108" s="1034">
        <v>46188</v>
      </c>
      <c r="D108" s="515"/>
      <c r="E108" s="1034"/>
      <c r="F108" s="1033"/>
      <c r="G108" s="967"/>
      <c r="H108" s="980">
        <v>61</v>
      </c>
      <c r="I108" s="531" t="s">
        <v>54</v>
      </c>
      <c r="J108" s="968" t="s">
        <v>101</v>
      </c>
      <c r="K108" s="968" t="s">
        <v>105</v>
      </c>
      <c r="L108" s="1034"/>
      <c r="M108" s="972" t="s">
        <v>56</v>
      </c>
      <c r="N108" s="1133">
        <v>73166</v>
      </c>
      <c r="O108" s="972" t="s">
        <v>56</v>
      </c>
      <c r="P108" s="962" t="s">
        <v>74</v>
      </c>
      <c r="Q108" s="1382"/>
      <c r="R108" s="1017"/>
      <c r="S108" s="1017"/>
      <c r="T108" s="1017"/>
      <c r="U108" s="1017"/>
      <c r="V108" s="982">
        <v>6157</v>
      </c>
      <c r="W108" s="944"/>
      <c r="X108" s="982">
        <v>6157</v>
      </c>
      <c r="Y108" s="875"/>
      <c r="Z108" s="1383"/>
      <c r="AA108" s="960">
        <v>0</v>
      </c>
      <c r="AB108" s="960">
        <v>0</v>
      </c>
      <c r="AC108" s="959">
        <v>0</v>
      </c>
      <c r="AD108" s="936" t="s">
        <v>255</v>
      </c>
      <c r="AE108" s="945"/>
    </row>
    <row r="109" spans="1:31" ht="24.75" customHeight="1">
      <c r="A109" s="1033" t="s">
        <v>276</v>
      </c>
      <c r="B109" s="874" t="s">
        <v>251</v>
      </c>
      <c r="C109" s="1034">
        <v>46188</v>
      </c>
      <c r="D109" s="515"/>
      <c r="E109" s="1034"/>
      <c r="F109" s="1033"/>
      <c r="G109" s="967"/>
      <c r="H109" s="980">
        <v>89</v>
      </c>
      <c r="I109" s="531" t="s">
        <v>54</v>
      </c>
      <c r="J109" s="968" t="s">
        <v>101</v>
      </c>
      <c r="K109" s="968" t="s">
        <v>105</v>
      </c>
      <c r="L109" s="1034"/>
      <c r="M109" s="972" t="s">
        <v>56</v>
      </c>
      <c r="N109" s="1133">
        <v>114642</v>
      </c>
      <c r="O109" s="972" t="s">
        <v>56</v>
      </c>
      <c r="P109" s="962" t="s">
        <v>74</v>
      </c>
      <c r="Q109" s="1382"/>
      <c r="R109" s="1017"/>
      <c r="S109" s="1017"/>
      <c r="T109" s="1017"/>
      <c r="U109" s="1017"/>
      <c r="V109" s="982">
        <v>9537</v>
      </c>
      <c r="W109" s="944"/>
      <c r="X109" s="982">
        <v>9537</v>
      </c>
      <c r="Y109" s="875"/>
      <c r="Z109" s="1383"/>
      <c r="AA109" s="960">
        <v>0</v>
      </c>
      <c r="AB109" s="960">
        <v>0</v>
      </c>
      <c r="AC109" s="959">
        <v>0</v>
      </c>
      <c r="AD109" s="936" t="s">
        <v>255</v>
      </c>
      <c r="AE109" s="945"/>
    </row>
    <row r="110" spans="1:31" ht="24.75" customHeight="1">
      <c r="A110" s="1033" t="s">
        <v>277</v>
      </c>
      <c r="B110" s="874" t="s">
        <v>251</v>
      </c>
      <c r="C110" s="1034">
        <v>46188</v>
      </c>
      <c r="D110" s="515"/>
      <c r="E110" s="1034"/>
      <c r="F110" s="1033"/>
      <c r="G110" s="967"/>
      <c r="H110" s="980">
        <v>87</v>
      </c>
      <c r="I110" s="531" t="s">
        <v>54</v>
      </c>
      <c r="J110" s="968" t="s">
        <v>101</v>
      </c>
      <c r="K110" s="968" t="s">
        <v>105</v>
      </c>
      <c r="L110" s="1034"/>
      <c r="M110" s="972" t="s">
        <v>56</v>
      </c>
      <c r="N110" s="1133">
        <v>85589.5</v>
      </c>
      <c r="O110" s="972" t="s">
        <v>56</v>
      </c>
      <c r="P110" s="962" t="s">
        <v>74</v>
      </c>
      <c r="Q110" s="1382"/>
      <c r="R110" s="1017"/>
      <c r="S110" s="1017"/>
      <c r="T110" s="1017"/>
      <c r="U110" s="1017"/>
      <c r="V110" s="982">
        <v>6796</v>
      </c>
      <c r="W110" s="944"/>
      <c r="X110" s="982">
        <v>6796</v>
      </c>
      <c r="Y110" s="875"/>
      <c r="Z110" s="1383"/>
      <c r="AA110" s="960">
        <v>0</v>
      </c>
      <c r="AB110" s="960">
        <v>0</v>
      </c>
      <c r="AC110" s="959">
        <v>0</v>
      </c>
      <c r="AD110" s="936" t="s">
        <v>255</v>
      </c>
      <c r="AE110" s="945"/>
    </row>
    <row r="111" spans="1:31" ht="24.75" customHeight="1">
      <c r="A111" s="1033" t="s">
        <v>278</v>
      </c>
      <c r="B111" s="874" t="s">
        <v>251</v>
      </c>
      <c r="C111" s="1034">
        <v>46188</v>
      </c>
      <c r="D111" s="515"/>
      <c r="E111" s="1034"/>
      <c r="F111" s="1033"/>
      <c r="G111" s="967"/>
      <c r="H111" s="980">
        <v>76</v>
      </c>
      <c r="I111" s="531" t="s">
        <v>54</v>
      </c>
      <c r="J111" s="968" t="s">
        <v>101</v>
      </c>
      <c r="K111" s="968" t="s">
        <v>105</v>
      </c>
      <c r="L111" s="1034"/>
      <c r="M111" s="972" t="s">
        <v>56</v>
      </c>
      <c r="N111" s="1133">
        <v>76640</v>
      </c>
      <c r="O111" s="972" t="s">
        <v>56</v>
      </c>
      <c r="P111" s="962" t="s">
        <v>74</v>
      </c>
      <c r="Q111" s="1382"/>
      <c r="R111" s="1017"/>
      <c r="S111" s="1017"/>
      <c r="T111" s="1017"/>
      <c r="U111" s="1017"/>
      <c r="V111" s="982">
        <v>6149</v>
      </c>
      <c r="W111" s="944"/>
      <c r="X111" s="982">
        <v>6149</v>
      </c>
      <c r="Y111" s="875"/>
      <c r="Z111" s="1383"/>
      <c r="AA111" s="960">
        <v>0</v>
      </c>
      <c r="AB111" s="960">
        <v>0</v>
      </c>
      <c r="AC111" s="959">
        <v>0</v>
      </c>
      <c r="AD111" s="936" t="s">
        <v>255</v>
      </c>
      <c r="AE111" s="945"/>
    </row>
    <row r="112" spans="1:31" ht="24.75" customHeight="1">
      <c r="A112" s="1033" t="s">
        <v>279</v>
      </c>
      <c r="B112" s="874" t="s">
        <v>251</v>
      </c>
      <c r="C112" s="1034">
        <v>46188</v>
      </c>
      <c r="D112" s="515"/>
      <c r="E112" s="1034"/>
      <c r="F112" s="1033"/>
      <c r="G112" s="967"/>
      <c r="H112" s="980">
        <v>89</v>
      </c>
      <c r="I112" s="531" t="s">
        <v>54</v>
      </c>
      <c r="J112" s="968" t="s">
        <v>101</v>
      </c>
      <c r="K112" s="968" t="s">
        <v>105</v>
      </c>
      <c r="L112" s="1034"/>
      <c r="M112" s="972" t="s">
        <v>56</v>
      </c>
      <c r="N112" s="1133">
        <v>80780</v>
      </c>
      <c r="O112" s="972" t="s">
        <v>56</v>
      </c>
      <c r="P112" s="962" t="s">
        <v>74</v>
      </c>
      <c r="Q112" s="1382"/>
      <c r="R112" s="1017"/>
      <c r="S112" s="1017"/>
      <c r="T112" s="1017"/>
      <c r="U112" s="1017"/>
      <c r="V112" s="982">
        <v>6284</v>
      </c>
      <c r="W112" s="944"/>
      <c r="X112" s="982">
        <v>6284</v>
      </c>
      <c r="Y112" s="875"/>
      <c r="Z112" s="1383"/>
      <c r="AA112" s="960">
        <v>0</v>
      </c>
      <c r="AB112" s="960">
        <v>0</v>
      </c>
      <c r="AC112" s="959">
        <v>0</v>
      </c>
      <c r="AD112" s="936" t="s">
        <v>255</v>
      </c>
      <c r="AE112" s="945"/>
    </row>
    <row r="113" spans="1:31" ht="24.75" customHeight="1">
      <c r="A113" s="1033" t="s">
        <v>280</v>
      </c>
      <c r="B113" s="874" t="s">
        <v>251</v>
      </c>
      <c r="C113" s="1034">
        <v>46188</v>
      </c>
      <c r="D113" s="515"/>
      <c r="E113" s="1034"/>
      <c r="F113" s="1033"/>
      <c r="G113" s="967"/>
      <c r="H113" s="980">
        <v>85</v>
      </c>
      <c r="I113" s="531" t="s">
        <v>54</v>
      </c>
      <c r="J113" s="968" t="s">
        <v>101</v>
      </c>
      <c r="K113" s="968" t="s">
        <v>105</v>
      </c>
      <c r="L113" s="1034"/>
      <c r="M113" s="972" t="s">
        <v>56</v>
      </c>
      <c r="N113" s="1133">
        <v>95244</v>
      </c>
      <c r="O113" s="972" t="s">
        <v>56</v>
      </c>
      <c r="P113" s="962" t="s">
        <v>74</v>
      </c>
      <c r="Q113" s="1382"/>
      <c r="R113" s="1017"/>
      <c r="S113" s="1017"/>
      <c r="T113" s="1017"/>
      <c r="U113" s="1017"/>
      <c r="V113" s="982">
        <v>7743</v>
      </c>
      <c r="W113" s="944"/>
      <c r="X113" s="982">
        <v>7743</v>
      </c>
      <c r="Y113" s="875"/>
      <c r="Z113" s="1383"/>
      <c r="AA113" s="960">
        <v>0</v>
      </c>
      <c r="AB113" s="960">
        <v>0</v>
      </c>
      <c r="AC113" s="959">
        <v>0</v>
      </c>
      <c r="AD113" s="936" t="s">
        <v>255</v>
      </c>
      <c r="AE113" s="945"/>
    </row>
    <row r="114" spans="1:31" ht="24.75" customHeight="1">
      <c r="A114" s="1033" t="s">
        <v>281</v>
      </c>
      <c r="B114" s="874" t="s">
        <v>251</v>
      </c>
      <c r="C114" s="1034">
        <v>46127</v>
      </c>
      <c r="D114" s="515"/>
      <c r="E114" s="1034"/>
      <c r="F114" s="1033"/>
      <c r="G114" s="967"/>
      <c r="H114" s="980">
        <v>87</v>
      </c>
      <c r="I114" s="531" t="s">
        <v>54</v>
      </c>
      <c r="J114" s="968" t="s">
        <v>101</v>
      </c>
      <c r="K114" s="968" t="s">
        <v>105</v>
      </c>
      <c r="L114" s="1034"/>
      <c r="M114" s="972" t="s">
        <v>56</v>
      </c>
      <c r="N114" s="1133">
        <v>86888</v>
      </c>
      <c r="O114" s="972" t="s">
        <v>56</v>
      </c>
      <c r="P114" s="962" t="s">
        <v>74</v>
      </c>
      <c r="Q114" s="1382"/>
      <c r="R114" s="1017"/>
      <c r="S114" s="1017"/>
      <c r="T114" s="1017"/>
      <c r="U114" s="1017"/>
      <c r="V114" s="982">
        <v>6932</v>
      </c>
      <c r="W114" s="944"/>
      <c r="X114" s="982">
        <v>6932</v>
      </c>
      <c r="Y114" s="875"/>
      <c r="Z114" s="1383"/>
      <c r="AA114" s="960">
        <v>0</v>
      </c>
      <c r="AB114" s="960">
        <v>0</v>
      </c>
      <c r="AC114" s="959">
        <v>0</v>
      </c>
      <c r="AD114" s="936" t="s">
        <v>255</v>
      </c>
      <c r="AE114" s="945"/>
    </row>
    <row r="115" spans="1:31" ht="24.75" customHeight="1">
      <c r="A115" s="1033" t="s">
        <v>282</v>
      </c>
      <c r="B115" s="874" t="s">
        <v>251</v>
      </c>
      <c r="C115" s="1034">
        <v>46127</v>
      </c>
      <c r="D115" s="515"/>
      <c r="E115" s="1034"/>
      <c r="F115" s="1033"/>
      <c r="G115" s="967"/>
      <c r="H115" s="980">
        <v>87</v>
      </c>
      <c r="I115" s="531" t="s">
        <v>54</v>
      </c>
      <c r="J115" s="968" t="s">
        <v>101</v>
      </c>
      <c r="K115" s="968" t="s">
        <v>105</v>
      </c>
      <c r="L115" s="1034"/>
      <c r="M115" s="972" t="s">
        <v>56</v>
      </c>
      <c r="N115" s="1133">
        <v>75700</v>
      </c>
      <c r="O115" s="972" t="s">
        <v>56</v>
      </c>
      <c r="P115" s="962" t="s">
        <v>74</v>
      </c>
      <c r="Q115" s="1382"/>
      <c r="R115" s="1017"/>
      <c r="S115" s="1017"/>
      <c r="T115" s="1017"/>
      <c r="U115" s="1017"/>
      <c r="V115" s="982">
        <v>6213</v>
      </c>
      <c r="W115" s="944"/>
      <c r="X115" s="982">
        <v>6213</v>
      </c>
      <c r="Y115" s="875"/>
      <c r="Z115" s="1383"/>
      <c r="AA115" s="960">
        <v>0</v>
      </c>
      <c r="AB115" s="960">
        <v>0</v>
      </c>
      <c r="AC115" s="959">
        <v>0</v>
      </c>
      <c r="AD115" s="936" t="s">
        <v>255</v>
      </c>
      <c r="AE115" s="945"/>
    </row>
    <row r="116" spans="1:31" ht="24.75" customHeight="1">
      <c r="A116" s="1033" t="s">
        <v>283</v>
      </c>
      <c r="B116" s="874" t="s">
        <v>251</v>
      </c>
      <c r="C116" s="1034">
        <v>46127</v>
      </c>
      <c r="D116" s="515"/>
      <c r="E116" s="1034"/>
      <c r="F116" s="1033"/>
      <c r="G116" s="967"/>
      <c r="H116" s="980">
        <v>52</v>
      </c>
      <c r="I116" s="531" t="s">
        <v>54</v>
      </c>
      <c r="J116" s="968" t="s">
        <v>101</v>
      </c>
      <c r="K116" s="968" t="s">
        <v>105</v>
      </c>
      <c r="L116" s="1034"/>
      <c r="M116" s="972" t="s">
        <v>56</v>
      </c>
      <c r="N116" s="1133">
        <v>53698</v>
      </c>
      <c r="O116" s="972" t="s">
        <v>56</v>
      </c>
      <c r="P116" s="962" t="s">
        <v>74</v>
      </c>
      <c r="Q116" s="1382"/>
      <c r="R116" s="1017"/>
      <c r="S116" s="1017"/>
      <c r="T116" s="1017"/>
      <c r="U116" s="1017"/>
      <c r="V116" s="982">
        <v>4339</v>
      </c>
      <c r="W116" s="944"/>
      <c r="X116" s="982">
        <v>4339</v>
      </c>
      <c r="Y116" s="875"/>
      <c r="Z116" s="1383"/>
      <c r="AA116" s="960">
        <v>0</v>
      </c>
      <c r="AB116" s="960">
        <v>0</v>
      </c>
      <c r="AC116" s="959">
        <v>0</v>
      </c>
      <c r="AD116" s="936" t="s">
        <v>255</v>
      </c>
      <c r="AE116" s="945"/>
    </row>
    <row r="117" spans="1:31" ht="24.75" customHeight="1">
      <c r="A117" s="1033" t="s">
        <v>284</v>
      </c>
      <c r="B117" s="874" t="s">
        <v>251</v>
      </c>
      <c r="C117" s="1034">
        <v>46127</v>
      </c>
      <c r="D117" s="515"/>
      <c r="E117" s="1034"/>
      <c r="F117" s="1033"/>
      <c r="G117" s="967"/>
      <c r="H117" s="980">
        <v>48</v>
      </c>
      <c r="I117" s="531" t="s">
        <v>54</v>
      </c>
      <c r="J117" s="968" t="s">
        <v>101</v>
      </c>
      <c r="K117" s="968" t="s">
        <v>105</v>
      </c>
      <c r="L117" s="1034"/>
      <c r="M117" s="972" t="s">
        <v>56</v>
      </c>
      <c r="N117" s="1133">
        <v>48883</v>
      </c>
      <c r="O117" s="972" t="s">
        <v>56</v>
      </c>
      <c r="P117" s="962" t="s">
        <v>74</v>
      </c>
      <c r="Q117" s="1382"/>
      <c r="R117" s="1017"/>
      <c r="S117" s="1017"/>
      <c r="T117" s="1017"/>
      <c r="U117" s="1017"/>
      <c r="V117" s="982">
        <v>3940</v>
      </c>
      <c r="W117" s="944"/>
      <c r="X117" s="982">
        <v>3940</v>
      </c>
      <c r="Y117" s="875"/>
      <c r="Z117" s="1383"/>
      <c r="AA117" s="960">
        <v>0</v>
      </c>
      <c r="AB117" s="960">
        <v>0</v>
      </c>
      <c r="AC117" s="959">
        <v>0</v>
      </c>
      <c r="AD117" s="936" t="s">
        <v>255</v>
      </c>
      <c r="AE117" s="945"/>
    </row>
    <row r="118" spans="1:31" ht="24.75" customHeight="1">
      <c r="A118" s="1033" t="s">
        <v>285</v>
      </c>
      <c r="B118" s="874" t="s">
        <v>251</v>
      </c>
      <c r="C118" s="1034">
        <v>46218</v>
      </c>
      <c r="D118" s="515"/>
      <c r="E118" s="1034"/>
      <c r="F118" s="1033"/>
      <c r="G118" s="967"/>
      <c r="H118" s="980">
        <v>88</v>
      </c>
      <c r="I118" s="531" t="s">
        <v>54</v>
      </c>
      <c r="J118" s="968" t="s">
        <v>101</v>
      </c>
      <c r="K118" s="968" t="s">
        <v>105</v>
      </c>
      <c r="L118" s="1034"/>
      <c r="M118" s="972" t="s">
        <v>56</v>
      </c>
      <c r="N118" s="1133">
        <v>83382</v>
      </c>
      <c r="O118" s="972" t="s">
        <v>56</v>
      </c>
      <c r="P118" s="962" t="s">
        <v>74</v>
      </c>
      <c r="Q118" s="1382"/>
      <c r="R118" s="1017"/>
      <c r="S118" s="1017"/>
      <c r="T118" s="1017"/>
      <c r="U118" s="1017"/>
      <c r="V118" s="982">
        <v>6855</v>
      </c>
      <c r="W118" s="944"/>
      <c r="X118" s="982">
        <v>6855</v>
      </c>
      <c r="Y118" s="875"/>
      <c r="Z118" s="1383"/>
      <c r="AA118" s="960">
        <v>0</v>
      </c>
      <c r="AB118" s="960">
        <v>0</v>
      </c>
      <c r="AC118" s="959">
        <v>0</v>
      </c>
      <c r="AD118" s="936" t="s">
        <v>255</v>
      </c>
      <c r="AE118" s="945"/>
    </row>
    <row r="119" spans="1:31" ht="24.75" customHeight="1">
      <c r="A119" s="1033" t="s">
        <v>286</v>
      </c>
      <c r="B119" s="874" t="s">
        <v>251</v>
      </c>
      <c r="C119" s="1034">
        <v>46127</v>
      </c>
      <c r="D119" s="515"/>
      <c r="E119" s="1034"/>
      <c r="F119" s="1033"/>
      <c r="G119" s="967"/>
      <c r="H119" s="980">
        <v>90</v>
      </c>
      <c r="I119" s="531" t="s">
        <v>54</v>
      </c>
      <c r="J119" s="968" t="s">
        <v>101</v>
      </c>
      <c r="K119" s="968" t="s">
        <v>105</v>
      </c>
      <c r="L119" s="1034"/>
      <c r="M119" s="972" t="s">
        <v>56</v>
      </c>
      <c r="N119" s="1133">
        <v>88834</v>
      </c>
      <c r="O119" s="972" t="s">
        <v>56</v>
      </c>
      <c r="P119" s="962" t="s">
        <v>74</v>
      </c>
      <c r="Q119" s="1382"/>
      <c r="R119" s="1017"/>
      <c r="S119" s="1017"/>
      <c r="T119" s="1017"/>
      <c r="U119" s="1017"/>
      <c r="V119" s="982">
        <v>7147</v>
      </c>
      <c r="W119" s="944"/>
      <c r="X119" s="982">
        <v>7147</v>
      </c>
      <c r="Y119" s="875"/>
      <c r="Z119" s="1383"/>
      <c r="AA119" s="960">
        <v>0</v>
      </c>
      <c r="AB119" s="960">
        <v>0</v>
      </c>
      <c r="AC119" s="959">
        <v>0</v>
      </c>
      <c r="AD119" s="936" t="s">
        <v>255</v>
      </c>
      <c r="AE119" s="945"/>
    </row>
    <row r="120" spans="1:31" ht="24.75" customHeight="1">
      <c r="A120" s="1033" t="s">
        <v>287</v>
      </c>
      <c r="B120" s="874" t="s">
        <v>251</v>
      </c>
      <c r="C120" s="1034">
        <v>46127</v>
      </c>
      <c r="D120" s="515"/>
      <c r="E120" s="1034"/>
      <c r="F120" s="1033"/>
      <c r="G120" s="967"/>
      <c r="H120" s="980">
        <v>83</v>
      </c>
      <c r="I120" s="531" t="s">
        <v>54</v>
      </c>
      <c r="J120" s="968" t="s">
        <v>101</v>
      </c>
      <c r="K120" s="968" t="s">
        <v>105</v>
      </c>
      <c r="L120" s="1034"/>
      <c r="M120" s="972" t="s">
        <v>56</v>
      </c>
      <c r="N120" s="1133">
        <v>81027.5</v>
      </c>
      <c r="O120" s="972" t="s">
        <v>56</v>
      </c>
      <c r="P120" s="962" t="s">
        <v>74</v>
      </c>
      <c r="Q120" s="1382"/>
      <c r="R120" s="1017"/>
      <c r="S120" s="1017"/>
      <c r="T120" s="1017"/>
      <c r="U120" s="1017"/>
      <c r="V120" s="982">
        <v>6376</v>
      </c>
      <c r="W120" s="944"/>
      <c r="X120" s="982">
        <v>6376</v>
      </c>
      <c r="Y120" s="875"/>
      <c r="Z120" s="1383"/>
      <c r="AA120" s="960">
        <v>0</v>
      </c>
      <c r="AB120" s="960">
        <v>0</v>
      </c>
      <c r="AC120" s="959">
        <v>0</v>
      </c>
      <c r="AD120" s="936" t="s">
        <v>255</v>
      </c>
      <c r="AE120" s="945"/>
    </row>
    <row r="121" spans="1:31" ht="24.75" customHeight="1">
      <c r="A121" s="1033" t="s">
        <v>288</v>
      </c>
      <c r="B121" s="874" t="s">
        <v>251</v>
      </c>
      <c r="C121" s="1034">
        <v>46248</v>
      </c>
      <c r="D121" s="515"/>
      <c r="E121" s="1034"/>
      <c r="F121" s="1033"/>
      <c r="G121" s="967"/>
      <c r="H121" s="980">
        <v>63</v>
      </c>
      <c r="I121" s="531" t="s">
        <v>54</v>
      </c>
      <c r="J121" s="968" t="s">
        <v>101</v>
      </c>
      <c r="K121" s="968" t="s">
        <v>105</v>
      </c>
      <c r="L121" s="1034"/>
      <c r="M121" s="972" t="s">
        <v>56</v>
      </c>
      <c r="N121" s="1133">
        <v>60264</v>
      </c>
      <c r="O121" s="972" t="s">
        <v>56</v>
      </c>
      <c r="P121" s="962" t="s">
        <v>74</v>
      </c>
      <c r="Q121" s="1382"/>
      <c r="R121" s="1017"/>
      <c r="S121" s="1017"/>
      <c r="T121" s="1017"/>
      <c r="U121" s="1017"/>
      <c r="V121" s="982">
        <v>4784</v>
      </c>
      <c r="W121" s="944"/>
      <c r="X121" s="982">
        <v>4784</v>
      </c>
      <c r="Y121" s="875"/>
      <c r="Z121" s="1383"/>
      <c r="AA121" s="960">
        <v>0</v>
      </c>
      <c r="AB121" s="960">
        <v>0</v>
      </c>
      <c r="AC121" s="959">
        <v>0</v>
      </c>
      <c r="AD121" s="936" t="s">
        <v>255</v>
      </c>
      <c r="AE121" s="945"/>
    </row>
    <row r="122" spans="1:31" ht="24.75" customHeight="1">
      <c r="A122" s="1033" t="s">
        <v>289</v>
      </c>
      <c r="B122" s="874" t="s">
        <v>251</v>
      </c>
      <c r="C122" s="1034">
        <v>46248</v>
      </c>
      <c r="D122" s="515"/>
      <c r="E122" s="1034"/>
      <c r="F122" s="1033"/>
      <c r="G122" s="967"/>
      <c r="H122" s="980">
        <v>86</v>
      </c>
      <c r="I122" s="531" t="s">
        <v>54</v>
      </c>
      <c r="J122" s="968" t="s">
        <v>101</v>
      </c>
      <c r="K122" s="968" t="s">
        <v>105</v>
      </c>
      <c r="L122" s="1034"/>
      <c r="M122" s="972" t="s">
        <v>56</v>
      </c>
      <c r="N122" s="1133">
        <v>81096</v>
      </c>
      <c r="O122" s="972" t="s">
        <v>56</v>
      </c>
      <c r="P122" s="962" t="s">
        <v>74</v>
      </c>
      <c r="Q122" s="1382"/>
      <c r="R122" s="1017"/>
      <c r="S122" s="1017"/>
      <c r="T122" s="1017"/>
      <c r="U122" s="1017"/>
      <c r="V122" s="982">
        <v>6387</v>
      </c>
      <c r="W122" s="944"/>
      <c r="X122" s="982">
        <v>6387</v>
      </c>
      <c r="Y122" s="875"/>
      <c r="Z122" s="1383"/>
      <c r="AA122" s="960">
        <v>0</v>
      </c>
      <c r="AB122" s="960">
        <v>0</v>
      </c>
      <c r="AC122" s="959">
        <v>0</v>
      </c>
      <c r="AD122" s="936" t="s">
        <v>255</v>
      </c>
      <c r="AE122" s="945"/>
    </row>
    <row r="123" spans="1:31" ht="24.75" customHeight="1">
      <c r="A123" s="1033" t="s">
        <v>290</v>
      </c>
      <c r="B123" s="874" t="s">
        <v>251</v>
      </c>
      <c r="C123" s="1034">
        <v>46280</v>
      </c>
      <c r="D123" s="515"/>
      <c r="E123" s="1034"/>
      <c r="F123" s="1033"/>
      <c r="G123" s="967"/>
      <c r="H123" s="980">
        <v>81</v>
      </c>
      <c r="I123" s="531" t="s">
        <v>54</v>
      </c>
      <c r="J123" s="968" t="s">
        <v>101</v>
      </c>
      <c r="K123" s="968" t="s">
        <v>105</v>
      </c>
      <c r="L123" s="1034"/>
      <c r="M123" s="972" t="s">
        <v>56</v>
      </c>
      <c r="N123" s="1133">
        <v>79796</v>
      </c>
      <c r="O123" s="972" t="s">
        <v>56</v>
      </c>
      <c r="P123" s="962" t="s">
        <v>74</v>
      </c>
      <c r="Q123" s="1382"/>
      <c r="R123" s="1017"/>
      <c r="S123" s="1017"/>
      <c r="T123" s="1017"/>
      <c r="U123" s="1017"/>
      <c r="V123" s="982">
        <v>6372</v>
      </c>
      <c r="W123" s="944"/>
      <c r="X123" s="982">
        <v>6372</v>
      </c>
      <c r="Y123" s="875"/>
      <c r="Z123" s="1383"/>
      <c r="AA123" s="960">
        <v>0</v>
      </c>
      <c r="AB123" s="960">
        <v>0</v>
      </c>
      <c r="AC123" s="959">
        <v>0</v>
      </c>
      <c r="AD123" s="936" t="s">
        <v>255</v>
      </c>
      <c r="AE123" s="945"/>
    </row>
    <row r="124" spans="1:31" ht="24.75" customHeight="1">
      <c r="A124" s="1033" t="s">
        <v>291</v>
      </c>
      <c r="B124" s="874" t="s">
        <v>251</v>
      </c>
      <c r="C124" s="1034">
        <v>46157</v>
      </c>
      <c r="D124" s="515"/>
      <c r="E124" s="1034"/>
      <c r="F124" s="1033"/>
      <c r="G124" s="967"/>
      <c r="H124" s="980">
        <v>77</v>
      </c>
      <c r="I124" s="531" t="s">
        <v>54</v>
      </c>
      <c r="J124" s="968" t="s">
        <v>101</v>
      </c>
      <c r="K124" s="968" t="s">
        <v>105</v>
      </c>
      <c r="L124" s="1034"/>
      <c r="M124" s="972" t="s">
        <v>56</v>
      </c>
      <c r="N124" s="1133">
        <v>69082</v>
      </c>
      <c r="O124" s="972" t="s">
        <v>56</v>
      </c>
      <c r="P124" s="962" t="s">
        <v>74</v>
      </c>
      <c r="Q124" s="1382"/>
      <c r="R124" s="1017"/>
      <c r="S124" s="1017"/>
      <c r="T124" s="1017"/>
      <c r="U124" s="1017"/>
      <c r="V124" s="982">
        <v>5363</v>
      </c>
      <c r="W124" s="944"/>
      <c r="X124" s="982">
        <v>5363</v>
      </c>
      <c r="Y124" s="875"/>
      <c r="Z124" s="1383"/>
      <c r="AA124" s="960">
        <v>0</v>
      </c>
      <c r="AB124" s="960">
        <v>0</v>
      </c>
      <c r="AC124" s="959">
        <v>0</v>
      </c>
      <c r="AD124" s="936" t="s">
        <v>255</v>
      </c>
      <c r="AE124" s="945"/>
    </row>
    <row r="125" spans="1:31" ht="24.75" customHeight="1">
      <c r="A125" s="1033" t="s">
        <v>292</v>
      </c>
      <c r="B125" s="874" t="s">
        <v>251</v>
      </c>
      <c r="C125" s="1034">
        <v>46281</v>
      </c>
      <c r="D125" s="515"/>
      <c r="E125" s="1034"/>
      <c r="F125" s="1033"/>
      <c r="G125" s="967"/>
      <c r="H125" s="980">
        <v>67</v>
      </c>
      <c r="I125" s="531" t="s">
        <v>54</v>
      </c>
      <c r="J125" s="968" t="s">
        <v>101</v>
      </c>
      <c r="K125" s="968" t="s">
        <v>105</v>
      </c>
      <c r="L125" s="1034"/>
      <c r="M125" s="972" t="s">
        <v>56</v>
      </c>
      <c r="N125" s="1133">
        <v>65448</v>
      </c>
      <c r="O125" s="972" t="s">
        <v>56</v>
      </c>
      <c r="P125" s="962" t="s">
        <v>74</v>
      </c>
      <c r="Q125" s="1382"/>
      <c r="R125" s="1017"/>
      <c r="S125" s="1017"/>
      <c r="T125" s="1017"/>
      <c r="U125" s="1017"/>
      <c r="V125" s="982">
        <v>5199</v>
      </c>
      <c r="W125" s="944"/>
      <c r="X125" s="982">
        <v>5199</v>
      </c>
      <c r="Y125" s="875"/>
      <c r="Z125" s="1383"/>
      <c r="AA125" s="960">
        <v>0</v>
      </c>
      <c r="AB125" s="960">
        <v>0</v>
      </c>
      <c r="AC125" s="959">
        <v>0</v>
      </c>
      <c r="AD125" s="936" t="s">
        <v>255</v>
      </c>
      <c r="AE125" s="945"/>
    </row>
    <row r="126" spans="1:31" ht="24.75" customHeight="1">
      <c r="A126" s="1033" t="s">
        <v>293</v>
      </c>
      <c r="B126" s="874" t="s">
        <v>251</v>
      </c>
      <c r="C126" s="1034">
        <v>46310</v>
      </c>
      <c r="D126" s="515"/>
      <c r="E126" s="1034"/>
      <c r="F126" s="1033"/>
      <c r="G126" s="967"/>
      <c r="H126" s="980">
        <v>90</v>
      </c>
      <c r="I126" s="531" t="s">
        <v>54</v>
      </c>
      <c r="J126" s="968" t="s">
        <v>101</v>
      </c>
      <c r="K126" s="968" t="s">
        <v>105</v>
      </c>
      <c r="L126" s="1034"/>
      <c r="M126" s="972" t="s">
        <v>56</v>
      </c>
      <c r="N126" s="1133">
        <v>116020.5</v>
      </c>
      <c r="O126" s="972" t="s">
        <v>56</v>
      </c>
      <c r="P126" s="962" t="s">
        <v>74</v>
      </c>
      <c r="Q126" s="1382"/>
      <c r="R126" s="1017"/>
      <c r="S126" s="1017"/>
      <c r="T126" s="1017"/>
      <c r="U126" s="1017"/>
      <c r="V126" s="982">
        <v>9771</v>
      </c>
      <c r="W126" s="944"/>
      <c r="X126" s="982">
        <v>9771</v>
      </c>
      <c r="Y126" s="875"/>
      <c r="Z126" s="1383"/>
      <c r="AA126" s="960">
        <v>0</v>
      </c>
      <c r="AB126" s="960">
        <v>0</v>
      </c>
      <c r="AC126" s="959">
        <v>0</v>
      </c>
      <c r="AD126" s="936" t="s">
        <v>255</v>
      </c>
      <c r="AE126" s="945"/>
    </row>
    <row r="127" spans="1:31" ht="24.75" customHeight="1">
      <c r="A127" s="1033" t="s">
        <v>294</v>
      </c>
      <c r="B127" s="874" t="s">
        <v>251</v>
      </c>
      <c r="C127" s="1034">
        <v>46372</v>
      </c>
      <c r="D127" s="515"/>
      <c r="E127" s="1034"/>
      <c r="F127" s="1033"/>
      <c r="G127" s="967"/>
      <c r="H127" s="980">
        <v>90</v>
      </c>
      <c r="I127" s="531" t="s">
        <v>54</v>
      </c>
      <c r="J127" s="968" t="s">
        <v>101</v>
      </c>
      <c r="K127" s="968" t="s">
        <v>105</v>
      </c>
      <c r="L127" s="1034"/>
      <c r="M127" s="972" t="s">
        <v>56</v>
      </c>
      <c r="N127" s="1133">
        <v>114306</v>
      </c>
      <c r="O127" s="972" t="s">
        <v>56</v>
      </c>
      <c r="P127" s="962" t="s">
        <v>74</v>
      </c>
      <c r="Q127" s="1382"/>
      <c r="R127" s="1017"/>
      <c r="S127" s="1017"/>
      <c r="T127" s="1017"/>
      <c r="U127" s="1017"/>
      <c r="V127" s="982">
        <v>9562</v>
      </c>
      <c r="W127" s="944"/>
      <c r="X127" s="982">
        <v>9562</v>
      </c>
      <c r="Y127" s="875"/>
      <c r="Z127" s="1383"/>
      <c r="AA127" s="960">
        <v>0</v>
      </c>
      <c r="AB127" s="960">
        <v>0</v>
      </c>
      <c r="AC127" s="959">
        <v>0</v>
      </c>
      <c r="AD127" s="936" t="s">
        <v>255</v>
      </c>
      <c r="AE127" s="945"/>
    </row>
    <row r="128" spans="1:31" ht="24.75" customHeight="1">
      <c r="A128" s="1033" t="s">
        <v>295</v>
      </c>
      <c r="B128" s="874" t="s">
        <v>251</v>
      </c>
      <c r="C128" s="1034">
        <v>46372</v>
      </c>
      <c r="D128" s="515"/>
      <c r="E128" s="1034"/>
      <c r="F128" s="1033"/>
      <c r="G128" s="967"/>
      <c r="H128" s="980">
        <v>87</v>
      </c>
      <c r="I128" s="531" t="s">
        <v>54</v>
      </c>
      <c r="J128" s="968" t="s">
        <v>101</v>
      </c>
      <c r="K128" s="968" t="s">
        <v>105</v>
      </c>
      <c r="L128" s="1034"/>
      <c r="M128" s="972" t="s">
        <v>56</v>
      </c>
      <c r="N128" s="1133">
        <v>80784</v>
      </c>
      <c r="O128" s="972" t="s">
        <v>56</v>
      </c>
      <c r="P128" s="962" t="s">
        <v>74</v>
      </c>
      <c r="Q128" s="1382"/>
      <c r="R128" s="1017"/>
      <c r="S128" s="1017"/>
      <c r="T128" s="1017"/>
      <c r="U128" s="1017"/>
      <c r="V128" s="982">
        <v>6309</v>
      </c>
      <c r="W128" s="944"/>
      <c r="X128" s="982">
        <v>6309</v>
      </c>
      <c r="Y128" s="875"/>
      <c r="Z128" s="1383"/>
      <c r="AA128" s="960">
        <v>0</v>
      </c>
      <c r="AB128" s="960">
        <v>0</v>
      </c>
      <c r="AC128" s="959">
        <v>0</v>
      </c>
      <c r="AD128" s="936" t="s">
        <v>255</v>
      </c>
      <c r="AE128" s="945"/>
    </row>
    <row r="129" spans="1:31" ht="24.75" customHeight="1">
      <c r="A129" s="1033" t="s">
        <v>296</v>
      </c>
      <c r="B129" s="874" t="s">
        <v>251</v>
      </c>
      <c r="C129" s="1034">
        <v>46340</v>
      </c>
      <c r="D129" s="515"/>
      <c r="E129" s="1034"/>
      <c r="F129" s="1033"/>
      <c r="G129" s="967"/>
      <c r="H129" s="980">
        <v>90</v>
      </c>
      <c r="I129" s="531" t="s">
        <v>54</v>
      </c>
      <c r="J129" s="968" t="s">
        <v>101</v>
      </c>
      <c r="K129" s="968" t="s">
        <v>105</v>
      </c>
      <c r="L129" s="1034"/>
      <c r="M129" s="972" t="s">
        <v>56</v>
      </c>
      <c r="N129" s="1133">
        <v>125540.85</v>
      </c>
      <c r="O129" s="972" t="s">
        <v>56</v>
      </c>
      <c r="P129" s="962" t="s">
        <v>74</v>
      </c>
      <c r="Q129" s="1382"/>
      <c r="R129" s="1017"/>
      <c r="S129" s="1017"/>
      <c r="T129" s="1017"/>
      <c r="U129" s="1017"/>
      <c r="V129" s="982">
        <v>10260</v>
      </c>
      <c r="W129" s="944"/>
      <c r="X129" s="982">
        <v>10260</v>
      </c>
      <c r="Y129" s="875"/>
      <c r="Z129" s="1383"/>
      <c r="AA129" s="960">
        <v>0</v>
      </c>
      <c r="AB129" s="960">
        <v>0</v>
      </c>
      <c r="AC129" s="959">
        <v>0</v>
      </c>
      <c r="AD129" s="936" t="s">
        <v>255</v>
      </c>
      <c r="AE129" s="945"/>
    </row>
    <row r="130" spans="1:31" ht="24.75" customHeight="1">
      <c r="A130" s="1033" t="s">
        <v>297</v>
      </c>
      <c r="B130" s="874" t="s">
        <v>251</v>
      </c>
      <c r="C130" s="1034">
        <v>46340</v>
      </c>
      <c r="D130" s="515"/>
      <c r="E130" s="1034"/>
      <c r="F130" s="1033"/>
      <c r="G130" s="967"/>
      <c r="H130" s="980">
        <v>89</v>
      </c>
      <c r="I130" s="531" t="s">
        <v>54</v>
      </c>
      <c r="J130" s="968" t="s">
        <v>101</v>
      </c>
      <c r="K130" s="968" t="s">
        <v>105</v>
      </c>
      <c r="L130" s="1034"/>
      <c r="M130" s="972" t="s">
        <v>56</v>
      </c>
      <c r="N130" s="1133">
        <v>119327</v>
      </c>
      <c r="O130" s="972" t="s">
        <v>56</v>
      </c>
      <c r="P130" s="962" t="s">
        <v>74</v>
      </c>
      <c r="Q130" s="1382"/>
      <c r="R130" s="1017"/>
      <c r="S130" s="1017"/>
      <c r="T130" s="1017"/>
      <c r="U130" s="1017"/>
      <c r="V130" s="982">
        <v>10080</v>
      </c>
      <c r="W130" s="944"/>
      <c r="X130" s="982">
        <v>10080</v>
      </c>
      <c r="Y130" s="875"/>
      <c r="Z130" s="1383"/>
      <c r="AA130" s="960">
        <v>0</v>
      </c>
      <c r="AB130" s="960">
        <v>0</v>
      </c>
      <c r="AC130" s="959">
        <v>0</v>
      </c>
      <c r="AD130" s="936" t="s">
        <v>255</v>
      </c>
      <c r="AE130" s="945"/>
    </row>
    <row r="131" spans="1:31" ht="24.75" customHeight="1">
      <c r="A131" s="1033" t="s">
        <v>298</v>
      </c>
      <c r="B131" s="874" t="s">
        <v>251</v>
      </c>
      <c r="C131" s="1034">
        <v>46340</v>
      </c>
      <c r="D131" s="515"/>
      <c r="E131" s="1034"/>
      <c r="F131" s="1033"/>
      <c r="G131" s="967"/>
      <c r="H131" s="980">
        <v>76</v>
      </c>
      <c r="I131" s="531" t="s">
        <v>54</v>
      </c>
      <c r="J131" s="968" t="s">
        <v>101</v>
      </c>
      <c r="K131" s="968" t="s">
        <v>105</v>
      </c>
      <c r="L131" s="1034"/>
      <c r="M131" s="972" t="s">
        <v>56</v>
      </c>
      <c r="N131" s="1133">
        <v>85720</v>
      </c>
      <c r="O131" s="972" t="s">
        <v>56</v>
      </c>
      <c r="P131" s="962" t="s">
        <v>74</v>
      </c>
      <c r="Q131" s="1382"/>
      <c r="R131" s="1017"/>
      <c r="S131" s="1017"/>
      <c r="T131" s="1017"/>
      <c r="U131" s="1017"/>
      <c r="V131" s="982">
        <v>6859</v>
      </c>
      <c r="W131" s="944"/>
      <c r="X131" s="982">
        <v>6859</v>
      </c>
      <c r="Y131" s="875"/>
      <c r="Z131" s="1383"/>
      <c r="AA131" s="960">
        <v>0</v>
      </c>
      <c r="AB131" s="960">
        <v>0</v>
      </c>
      <c r="AC131" s="959">
        <v>0</v>
      </c>
      <c r="AD131" s="936" t="s">
        <v>255</v>
      </c>
      <c r="AE131" s="945"/>
    </row>
    <row r="132" spans="1:31" ht="24.75" customHeight="1">
      <c r="A132" s="1033" t="s">
        <v>299</v>
      </c>
      <c r="B132" s="874" t="s">
        <v>251</v>
      </c>
      <c r="C132" s="1034">
        <v>46340</v>
      </c>
      <c r="D132" s="515"/>
      <c r="E132" s="1034"/>
      <c r="F132" s="1033"/>
      <c r="G132" s="967"/>
      <c r="H132" s="980">
        <v>84</v>
      </c>
      <c r="I132" s="531" t="s">
        <v>54</v>
      </c>
      <c r="J132" s="968" t="s">
        <v>101</v>
      </c>
      <c r="K132" s="968" t="s">
        <v>105</v>
      </c>
      <c r="L132" s="1034"/>
      <c r="M132" s="972" t="s">
        <v>56</v>
      </c>
      <c r="N132" s="1133">
        <v>75682</v>
      </c>
      <c r="O132" s="972" t="s">
        <v>56</v>
      </c>
      <c r="P132" s="962" t="s">
        <v>74</v>
      </c>
      <c r="Q132" s="1382"/>
      <c r="R132" s="1017"/>
      <c r="S132" s="1017"/>
      <c r="T132" s="1017"/>
      <c r="U132" s="1017"/>
      <c r="V132" s="982">
        <v>5873</v>
      </c>
      <c r="W132" s="944"/>
      <c r="X132" s="982">
        <v>5873</v>
      </c>
      <c r="Y132" s="875"/>
      <c r="Z132" s="1383"/>
      <c r="AA132" s="960">
        <v>0</v>
      </c>
      <c r="AB132" s="960">
        <v>0</v>
      </c>
      <c r="AC132" s="959">
        <v>0</v>
      </c>
      <c r="AD132" s="936" t="s">
        <v>255</v>
      </c>
      <c r="AE132" s="945"/>
    </row>
    <row r="133" spans="1:31" ht="24.75" customHeight="1">
      <c r="A133" s="1033" t="s">
        <v>300</v>
      </c>
      <c r="B133" s="874" t="s">
        <v>251</v>
      </c>
      <c r="C133" s="1034">
        <v>46340</v>
      </c>
      <c r="D133" s="515"/>
      <c r="E133" s="1034"/>
      <c r="F133" s="1033"/>
      <c r="G133" s="967"/>
      <c r="H133" s="980">
        <v>55</v>
      </c>
      <c r="I133" s="531" t="s">
        <v>54</v>
      </c>
      <c r="J133" s="968" t="s">
        <v>101</v>
      </c>
      <c r="K133" s="968" t="s">
        <v>105</v>
      </c>
      <c r="L133" s="1034"/>
      <c r="M133" s="972" t="s">
        <v>56</v>
      </c>
      <c r="N133" s="1133">
        <v>60784</v>
      </c>
      <c r="O133" s="972" t="s">
        <v>56</v>
      </c>
      <c r="P133" s="962" t="s">
        <v>74</v>
      </c>
      <c r="Q133" s="1382"/>
      <c r="R133" s="1017"/>
      <c r="S133" s="1017"/>
      <c r="T133" s="1017"/>
      <c r="U133" s="1017"/>
      <c r="V133" s="982">
        <v>4945</v>
      </c>
      <c r="W133" s="944"/>
      <c r="X133" s="982">
        <v>4945</v>
      </c>
      <c r="Y133" s="875"/>
      <c r="Z133" s="1383"/>
      <c r="AA133" s="960">
        <v>0</v>
      </c>
      <c r="AB133" s="960">
        <v>0</v>
      </c>
      <c r="AC133" s="959">
        <v>0</v>
      </c>
      <c r="AD133" s="936" t="s">
        <v>255</v>
      </c>
      <c r="AE133" s="945"/>
    </row>
    <row r="134" spans="1:31" ht="24.75" customHeight="1">
      <c r="A134" s="1033" t="s">
        <v>301</v>
      </c>
      <c r="B134" s="874" t="s">
        <v>251</v>
      </c>
      <c r="C134" s="1034">
        <v>46248</v>
      </c>
      <c r="D134" s="515"/>
      <c r="E134" s="1034"/>
      <c r="F134" s="1033"/>
      <c r="G134" s="967"/>
      <c r="H134" s="980">
        <v>54</v>
      </c>
      <c r="I134" s="531" t="s">
        <v>54</v>
      </c>
      <c r="J134" s="968" t="s">
        <v>101</v>
      </c>
      <c r="K134" s="968" t="s">
        <v>105</v>
      </c>
      <c r="L134" s="1034"/>
      <c r="M134" s="972" t="s">
        <v>56</v>
      </c>
      <c r="N134" s="1133">
        <v>52670</v>
      </c>
      <c r="O134" s="972" t="s">
        <v>56</v>
      </c>
      <c r="P134" s="962" t="s">
        <v>74</v>
      </c>
      <c r="Q134" s="1382"/>
      <c r="R134" s="1017"/>
      <c r="S134" s="1017"/>
      <c r="T134" s="1017"/>
      <c r="U134" s="1017"/>
      <c r="V134" s="982">
        <v>4275</v>
      </c>
      <c r="W134" s="944"/>
      <c r="X134" s="982">
        <v>4275</v>
      </c>
      <c r="Y134" s="875"/>
      <c r="Z134" s="1383"/>
      <c r="AA134" s="960">
        <v>0</v>
      </c>
      <c r="AB134" s="960">
        <v>0</v>
      </c>
      <c r="AC134" s="959">
        <v>0</v>
      </c>
      <c r="AD134" s="936" t="s">
        <v>255</v>
      </c>
      <c r="AE134" s="945"/>
    </row>
    <row r="135" spans="1:31" ht="24.75" customHeight="1">
      <c r="A135" s="1033" t="s">
        <v>302</v>
      </c>
      <c r="B135" s="874" t="s">
        <v>251</v>
      </c>
      <c r="C135" s="1034">
        <v>46102</v>
      </c>
      <c r="D135" s="515"/>
      <c r="E135" s="1034"/>
      <c r="F135" s="1033"/>
      <c r="G135" s="967"/>
      <c r="H135" s="980">
        <v>88</v>
      </c>
      <c r="I135" s="531" t="s">
        <v>54</v>
      </c>
      <c r="J135" s="968" t="s">
        <v>101</v>
      </c>
      <c r="K135" s="968" t="s">
        <v>105</v>
      </c>
      <c r="L135" s="1034"/>
      <c r="M135" s="972" t="s">
        <v>73</v>
      </c>
      <c r="N135" s="1133"/>
      <c r="O135" s="972" t="s">
        <v>73</v>
      </c>
      <c r="P135" s="962" t="s">
        <v>74</v>
      </c>
      <c r="Q135" s="1382"/>
      <c r="R135" s="1017"/>
      <c r="S135" s="1017"/>
      <c r="T135" s="1017"/>
      <c r="U135" s="1017"/>
      <c r="V135" s="982">
        <v>6378</v>
      </c>
      <c r="W135" s="944"/>
      <c r="X135" s="982">
        <v>6378</v>
      </c>
      <c r="Y135" s="875"/>
      <c r="Z135" s="1383"/>
      <c r="AA135" s="960">
        <v>0</v>
      </c>
      <c r="AB135" s="960">
        <v>0</v>
      </c>
      <c r="AC135" s="959">
        <v>0</v>
      </c>
      <c r="AD135" s="936" t="s">
        <v>252</v>
      </c>
      <c r="AE135" s="945"/>
    </row>
    <row r="136" spans="1:31" ht="24.75" customHeight="1">
      <c r="A136" s="1033" t="s">
        <v>303</v>
      </c>
      <c r="B136" s="874" t="s">
        <v>251</v>
      </c>
      <c r="C136" s="1034">
        <v>46102</v>
      </c>
      <c r="D136" s="515"/>
      <c r="E136" s="1034"/>
      <c r="F136" s="1033"/>
      <c r="G136" s="967"/>
      <c r="H136" s="980">
        <v>0</v>
      </c>
      <c r="I136" s="531" t="s">
        <v>54</v>
      </c>
      <c r="J136" s="968" t="s">
        <v>101</v>
      </c>
      <c r="K136" s="968" t="s">
        <v>105</v>
      </c>
      <c r="L136" s="1034"/>
      <c r="M136" s="972" t="s">
        <v>73</v>
      </c>
      <c r="N136" s="1133"/>
      <c r="O136" s="972" t="s">
        <v>73</v>
      </c>
      <c r="P136" s="962" t="s">
        <v>74</v>
      </c>
      <c r="Q136" s="1382"/>
      <c r="R136" s="1017"/>
      <c r="S136" s="1017"/>
      <c r="T136" s="1017"/>
      <c r="U136" s="1017"/>
      <c r="V136" s="982">
        <v>7373</v>
      </c>
      <c r="W136" s="944"/>
      <c r="X136" s="982">
        <v>7373</v>
      </c>
      <c r="Y136" s="875"/>
      <c r="Z136" s="1383"/>
      <c r="AA136" s="960">
        <v>0</v>
      </c>
      <c r="AB136" s="960">
        <v>0</v>
      </c>
      <c r="AC136" s="959">
        <v>0</v>
      </c>
      <c r="AD136" s="936" t="s">
        <v>252</v>
      </c>
      <c r="AE136" s="945"/>
    </row>
    <row r="137" spans="1:31" ht="24.75" customHeight="1">
      <c r="A137" s="1033" t="s">
        <v>304</v>
      </c>
      <c r="B137" s="874" t="s">
        <v>251</v>
      </c>
      <c r="C137" s="1034">
        <v>46102</v>
      </c>
      <c r="D137" s="515"/>
      <c r="E137" s="1034"/>
      <c r="F137" s="1033"/>
      <c r="G137" s="967"/>
      <c r="H137" s="980">
        <v>0</v>
      </c>
      <c r="I137" s="531" t="s">
        <v>54</v>
      </c>
      <c r="J137" s="968" t="s">
        <v>101</v>
      </c>
      <c r="K137" s="968" t="s">
        <v>105</v>
      </c>
      <c r="L137" s="1034"/>
      <c r="M137" s="972" t="s">
        <v>73</v>
      </c>
      <c r="N137" s="1133"/>
      <c r="O137" s="972" t="s">
        <v>73</v>
      </c>
      <c r="P137" s="962" t="s">
        <v>74</v>
      </c>
      <c r="Q137" s="1382"/>
      <c r="R137" s="1017"/>
      <c r="S137" s="1017"/>
      <c r="T137" s="1017"/>
      <c r="U137" s="1017"/>
      <c r="V137" s="982">
        <v>5781</v>
      </c>
      <c r="W137" s="944"/>
      <c r="X137" s="982">
        <v>5781</v>
      </c>
      <c r="Y137" s="875"/>
      <c r="Z137" s="1383"/>
      <c r="AA137" s="960">
        <v>0</v>
      </c>
      <c r="AB137" s="960">
        <v>0</v>
      </c>
      <c r="AC137" s="959">
        <v>0</v>
      </c>
      <c r="AD137" s="936" t="s">
        <v>252</v>
      </c>
      <c r="AE137" s="945"/>
    </row>
    <row r="138" spans="1:31" ht="24.75" customHeight="1">
      <c r="A138" s="1033" t="s">
        <v>305</v>
      </c>
      <c r="B138" s="874" t="s">
        <v>251</v>
      </c>
      <c r="C138" s="1034">
        <v>46102</v>
      </c>
      <c r="D138" s="515"/>
      <c r="E138" s="1034"/>
      <c r="F138" s="1033"/>
      <c r="G138" s="967"/>
      <c r="H138" s="980">
        <v>0</v>
      </c>
      <c r="I138" s="531" t="s">
        <v>54</v>
      </c>
      <c r="J138" s="968" t="s">
        <v>101</v>
      </c>
      <c r="K138" s="968" t="s">
        <v>105</v>
      </c>
      <c r="L138" s="1034"/>
      <c r="M138" s="972" t="s">
        <v>73</v>
      </c>
      <c r="N138" s="1133"/>
      <c r="O138" s="972" t="s">
        <v>73</v>
      </c>
      <c r="P138" s="962" t="s">
        <v>74</v>
      </c>
      <c r="Q138" s="1382"/>
      <c r="R138" s="1017"/>
      <c r="S138" s="1017"/>
      <c r="T138" s="1017"/>
      <c r="U138" s="1017"/>
      <c r="V138" s="982">
        <v>9051</v>
      </c>
      <c r="W138" s="944"/>
      <c r="X138" s="982">
        <v>9051</v>
      </c>
      <c r="Y138" s="875"/>
      <c r="Z138" s="1383"/>
      <c r="AA138" s="960">
        <v>0</v>
      </c>
      <c r="AB138" s="960">
        <v>0</v>
      </c>
      <c r="AC138" s="959">
        <v>0</v>
      </c>
      <c r="AD138" s="936" t="s">
        <v>252</v>
      </c>
      <c r="AE138" s="945"/>
    </row>
    <row r="139" spans="1:31" ht="24.75" customHeight="1">
      <c r="A139" s="1033" t="s">
        <v>306</v>
      </c>
      <c r="B139" s="874" t="s">
        <v>251</v>
      </c>
      <c r="C139" s="1034">
        <v>46102</v>
      </c>
      <c r="D139" s="515"/>
      <c r="E139" s="1034"/>
      <c r="F139" s="1033"/>
      <c r="G139" s="967"/>
      <c r="H139" s="980">
        <v>0</v>
      </c>
      <c r="I139" s="531" t="s">
        <v>54</v>
      </c>
      <c r="J139" s="968" t="s">
        <v>101</v>
      </c>
      <c r="K139" s="968" t="s">
        <v>105</v>
      </c>
      <c r="L139" s="1034"/>
      <c r="M139" s="972" t="s">
        <v>73</v>
      </c>
      <c r="N139" s="1133"/>
      <c r="O139" s="972" t="s">
        <v>73</v>
      </c>
      <c r="P139" s="962" t="s">
        <v>74</v>
      </c>
      <c r="Q139" s="1382"/>
      <c r="R139" s="1017"/>
      <c r="S139" s="1017"/>
      <c r="T139" s="1017"/>
      <c r="U139" s="1017"/>
      <c r="V139" s="982">
        <v>7261</v>
      </c>
      <c r="W139" s="944"/>
      <c r="X139" s="982">
        <v>7261</v>
      </c>
      <c r="Y139" s="875"/>
      <c r="Z139" s="1383"/>
      <c r="AA139" s="960">
        <v>0</v>
      </c>
      <c r="AB139" s="960">
        <v>0</v>
      </c>
      <c r="AC139" s="959">
        <v>0</v>
      </c>
      <c r="AD139" s="936" t="s">
        <v>252</v>
      </c>
      <c r="AE139" s="945"/>
    </row>
    <row r="140" spans="1:31" ht="24.75" customHeight="1">
      <c r="A140" s="1033" t="s">
        <v>307</v>
      </c>
      <c r="B140" s="874" t="s">
        <v>251</v>
      </c>
      <c r="C140" s="1034">
        <v>46102</v>
      </c>
      <c r="D140" s="515"/>
      <c r="E140" s="1034"/>
      <c r="F140" s="1033"/>
      <c r="G140" s="967"/>
      <c r="H140" s="980">
        <v>0</v>
      </c>
      <c r="I140" s="531" t="s">
        <v>54</v>
      </c>
      <c r="J140" s="968" t="s">
        <v>101</v>
      </c>
      <c r="K140" s="968" t="s">
        <v>105</v>
      </c>
      <c r="L140" s="1034"/>
      <c r="M140" s="972" t="s">
        <v>73</v>
      </c>
      <c r="N140" s="1133"/>
      <c r="O140" s="972" t="s">
        <v>73</v>
      </c>
      <c r="P140" s="962" t="s">
        <v>74</v>
      </c>
      <c r="Q140" s="1382"/>
      <c r="R140" s="1017"/>
      <c r="S140" s="1017"/>
      <c r="T140" s="1017"/>
      <c r="U140" s="1017"/>
      <c r="V140" s="982">
        <v>9638</v>
      </c>
      <c r="W140" s="944"/>
      <c r="X140" s="982">
        <v>9638</v>
      </c>
      <c r="Y140" s="875"/>
      <c r="Z140" s="1383"/>
      <c r="AA140" s="960">
        <v>0</v>
      </c>
      <c r="AB140" s="960">
        <v>0</v>
      </c>
      <c r="AC140" s="959">
        <v>0</v>
      </c>
      <c r="AD140" s="936" t="s">
        <v>252</v>
      </c>
      <c r="AE140" s="945"/>
    </row>
    <row r="141" spans="1:31" ht="24.75" customHeight="1">
      <c r="A141" s="1033" t="s">
        <v>308</v>
      </c>
      <c r="B141" s="874" t="s">
        <v>251</v>
      </c>
      <c r="C141" s="1034">
        <v>46102</v>
      </c>
      <c r="D141" s="515"/>
      <c r="E141" s="1034"/>
      <c r="F141" s="1033"/>
      <c r="G141" s="967"/>
      <c r="H141" s="980">
        <v>0</v>
      </c>
      <c r="I141" s="531" t="s">
        <v>54</v>
      </c>
      <c r="J141" s="968" t="s">
        <v>101</v>
      </c>
      <c r="K141" s="968" t="s">
        <v>105</v>
      </c>
      <c r="L141" s="1034"/>
      <c r="M141" s="972" t="s">
        <v>73</v>
      </c>
      <c r="N141" s="1133"/>
      <c r="O141" s="972" t="s">
        <v>73</v>
      </c>
      <c r="P141" s="962" t="s">
        <v>74</v>
      </c>
      <c r="Q141" s="1382"/>
      <c r="R141" s="1017"/>
      <c r="S141" s="1017"/>
      <c r="T141" s="1017"/>
      <c r="U141" s="1017"/>
      <c r="V141" s="982">
        <v>8746</v>
      </c>
      <c r="W141" s="944"/>
      <c r="X141" s="982">
        <v>8746</v>
      </c>
      <c r="Y141" s="875"/>
      <c r="Z141" s="1383"/>
      <c r="AA141" s="960">
        <v>0</v>
      </c>
      <c r="AB141" s="960">
        <v>0</v>
      </c>
      <c r="AC141" s="959">
        <v>0</v>
      </c>
      <c r="AD141" s="936" t="s">
        <v>252</v>
      </c>
      <c r="AE141" s="945"/>
    </row>
    <row r="142" spans="1:31" ht="24.75" customHeight="1">
      <c r="A142" s="1033"/>
      <c r="B142" s="874"/>
      <c r="C142" s="1034"/>
      <c r="D142" s="515"/>
      <c r="E142" s="1034"/>
      <c r="F142" s="1033"/>
      <c r="G142" s="967"/>
      <c r="H142" s="1134"/>
      <c r="I142" s="531"/>
      <c r="J142" s="1134"/>
      <c r="K142" s="1136"/>
      <c r="L142" s="1034"/>
      <c r="M142" s="1134"/>
      <c r="N142" s="1135"/>
      <c r="O142" s="1134"/>
      <c r="P142" s="1127"/>
      <c r="Q142" s="1382"/>
      <c r="R142" s="1017"/>
      <c r="S142" s="1017"/>
      <c r="T142" s="1017"/>
      <c r="U142" s="1017"/>
      <c r="V142" s="1125"/>
      <c r="W142" s="944"/>
      <c r="X142" s="1125"/>
      <c r="Y142" s="875"/>
      <c r="Z142" s="1383"/>
      <c r="AA142" s="1384"/>
      <c r="AB142" s="1384"/>
      <c r="AC142" s="1126"/>
      <c r="AD142" s="936"/>
      <c r="AE142" s="945"/>
    </row>
    <row r="143" spans="1:31" ht="24.75" customHeight="1">
      <c r="A143" s="1033"/>
      <c r="B143" s="874"/>
      <c r="C143" s="1034"/>
      <c r="D143" s="515"/>
      <c r="E143" s="1034"/>
      <c r="F143" s="1033"/>
      <c r="G143" s="967"/>
      <c r="H143" s="1134"/>
      <c r="I143" s="531"/>
      <c r="J143" s="1134"/>
      <c r="K143" s="1136"/>
      <c r="L143" s="1034"/>
      <c r="M143" s="1134"/>
      <c r="N143" s="1135"/>
      <c r="O143" s="1134"/>
      <c r="P143" s="1127"/>
      <c r="Q143" s="1382"/>
      <c r="R143" s="1017"/>
      <c r="S143" s="1017"/>
      <c r="T143" s="1017"/>
      <c r="U143" s="1017"/>
      <c r="V143" s="1125"/>
      <c r="W143" s="944"/>
      <c r="X143" s="1125"/>
      <c r="Y143" s="875"/>
      <c r="Z143" s="1383"/>
      <c r="AA143" s="1384"/>
      <c r="AB143" s="1384"/>
      <c r="AC143" s="1126"/>
      <c r="AD143" s="936"/>
      <c r="AE143" s="945"/>
    </row>
    <row r="144" spans="1:31" ht="24.75" customHeight="1">
      <c r="A144" s="978" t="s">
        <v>309</v>
      </c>
      <c r="B144" s="978" t="s">
        <v>20</v>
      </c>
      <c r="C144" s="978" t="s">
        <v>21</v>
      </c>
      <c r="D144" s="978" t="s">
        <v>22</v>
      </c>
      <c r="E144" s="978" t="s">
        <v>23</v>
      </c>
      <c r="F144" s="978" t="s">
        <v>24</v>
      </c>
      <c r="G144" s="978" t="s">
        <v>25</v>
      </c>
      <c r="H144" s="978" t="s">
        <v>26</v>
      </c>
      <c r="I144" s="978" t="s">
        <v>27</v>
      </c>
      <c r="J144" s="978" t="s">
        <v>28</v>
      </c>
      <c r="K144" s="978" t="s">
        <v>29</v>
      </c>
      <c r="L144" s="978" t="s">
        <v>30</v>
      </c>
      <c r="M144" s="978" t="s">
        <v>31</v>
      </c>
      <c r="N144" s="1030" t="s">
        <v>32</v>
      </c>
      <c r="O144" s="978" t="s">
        <v>33</v>
      </c>
      <c r="P144" s="1035" t="s">
        <v>34</v>
      </c>
      <c r="Q144" s="979" t="s">
        <v>35</v>
      </c>
      <c r="R144" s="979" t="s">
        <v>36</v>
      </c>
      <c r="S144" s="979" t="s">
        <v>37</v>
      </c>
      <c r="T144" s="979" t="s">
        <v>38</v>
      </c>
      <c r="U144" s="979" t="s">
        <v>39</v>
      </c>
      <c r="V144" s="979" t="s">
        <v>40</v>
      </c>
      <c r="W144" s="979" t="s">
        <v>41</v>
      </c>
      <c r="X144" s="979" t="s">
        <v>42</v>
      </c>
      <c r="Y144" s="979" t="s">
        <v>43</v>
      </c>
      <c r="Z144" s="979" t="s">
        <v>44</v>
      </c>
      <c r="AA144" s="1011" t="s">
        <v>45</v>
      </c>
      <c r="AB144" s="979" t="s">
        <v>46</v>
      </c>
      <c r="AC144" s="979" t="s">
        <v>47</v>
      </c>
      <c r="AD144" s="1012" t="s">
        <v>48</v>
      </c>
      <c r="AE144" s="945"/>
    </row>
    <row r="145" spans="1:31" ht="24.75" customHeight="1">
      <c r="A145" s="967" t="s">
        <v>310</v>
      </c>
      <c r="B145" s="874" t="s">
        <v>311</v>
      </c>
      <c r="C145" s="966">
        <v>46356</v>
      </c>
      <c r="D145" s="515" t="s">
        <v>312</v>
      </c>
      <c r="E145" s="966">
        <v>46029</v>
      </c>
      <c r="F145" s="967" t="s">
        <v>313</v>
      </c>
      <c r="G145" s="967"/>
      <c r="H145" s="980">
        <v>53</v>
      </c>
      <c r="I145" s="531" t="s">
        <v>54</v>
      </c>
      <c r="J145" s="968" t="s">
        <v>101</v>
      </c>
      <c r="K145" s="968" t="s">
        <v>105</v>
      </c>
      <c r="L145" s="966"/>
      <c r="M145" s="972" t="s">
        <v>56</v>
      </c>
      <c r="N145" s="1031">
        <v>51528.05</v>
      </c>
      <c r="O145" s="972" t="s">
        <v>56</v>
      </c>
      <c r="P145" s="950" t="s">
        <v>74</v>
      </c>
      <c r="Q145" s="934">
        <v>45659</v>
      </c>
      <c r="R145" s="974"/>
      <c r="S145" s="974"/>
      <c r="T145" s="974"/>
      <c r="U145" s="974"/>
      <c r="V145" s="982">
        <v>4005</v>
      </c>
      <c r="W145" s="944"/>
      <c r="X145" s="982">
        <v>4005</v>
      </c>
      <c r="Y145" s="875">
        <f t="shared" ref="Y145:Y156" si="7">IFERROR($W145/$V145, 0)</f>
        <v>0</v>
      </c>
      <c r="Z145" s="894"/>
      <c r="AA145" s="960">
        <v>0</v>
      </c>
      <c r="AB145" s="960">
        <v>0</v>
      </c>
      <c r="AC145" s="959">
        <v>0</v>
      </c>
      <c r="AD145" s="936" t="s">
        <v>314</v>
      </c>
      <c r="AE145" s="945"/>
    </row>
    <row r="146" spans="1:31" ht="24.75" customHeight="1">
      <c r="A146" s="967" t="s">
        <v>315</v>
      </c>
      <c r="B146" s="874" t="s">
        <v>311</v>
      </c>
      <c r="C146" s="966">
        <v>46388</v>
      </c>
      <c r="D146" s="515"/>
      <c r="E146" s="966"/>
      <c r="F146" s="967"/>
      <c r="G146" s="967"/>
      <c r="H146" s="980">
        <v>55</v>
      </c>
      <c r="I146" s="531" t="s">
        <v>54</v>
      </c>
      <c r="J146" s="968" t="s">
        <v>101</v>
      </c>
      <c r="K146" s="968" t="s">
        <v>105</v>
      </c>
      <c r="L146" s="966"/>
      <c r="M146" s="972" t="s">
        <v>56</v>
      </c>
      <c r="N146" s="1031">
        <v>55435.9</v>
      </c>
      <c r="O146" s="972" t="s">
        <v>56</v>
      </c>
      <c r="P146" s="950" t="s">
        <v>74</v>
      </c>
      <c r="Q146" s="934"/>
      <c r="R146" s="974"/>
      <c r="S146" s="974"/>
      <c r="T146" s="974"/>
      <c r="U146" s="974"/>
      <c r="V146" s="982">
        <v>4571</v>
      </c>
      <c r="W146" s="1013"/>
      <c r="X146" s="982">
        <v>4571</v>
      </c>
      <c r="Y146" s="706">
        <f t="shared" si="7"/>
        <v>0</v>
      </c>
      <c r="Z146" s="934"/>
      <c r="AA146" s="960">
        <v>0</v>
      </c>
      <c r="AB146" s="960">
        <v>0</v>
      </c>
      <c r="AC146" s="959">
        <v>0</v>
      </c>
      <c r="AD146" s="936" t="s">
        <v>316</v>
      </c>
      <c r="AE146" s="945"/>
    </row>
    <row r="147" spans="1:31" ht="24.75" customHeight="1">
      <c r="A147" s="967" t="s">
        <v>317</v>
      </c>
      <c r="B147" s="874" t="s">
        <v>311</v>
      </c>
      <c r="C147" s="966">
        <v>46388</v>
      </c>
      <c r="D147" s="515"/>
      <c r="E147" s="966"/>
      <c r="F147" s="967"/>
      <c r="G147" s="967"/>
      <c r="H147" s="968">
        <v>71</v>
      </c>
      <c r="I147" s="531" t="s">
        <v>54</v>
      </c>
      <c r="J147" s="968" t="s">
        <v>101</v>
      </c>
      <c r="K147" s="968" t="s">
        <v>105</v>
      </c>
      <c r="L147" s="966"/>
      <c r="M147" s="972" t="s">
        <v>56</v>
      </c>
      <c r="N147" s="1028">
        <v>74320.899999999994</v>
      </c>
      <c r="O147" s="972" t="s">
        <v>56</v>
      </c>
      <c r="P147" s="950" t="s">
        <v>74</v>
      </c>
      <c r="Q147" s="986"/>
      <c r="R147" s="974"/>
      <c r="S147" s="974"/>
      <c r="T147" s="974"/>
      <c r="U147" s="974"/>
      <c r="V147" s="944">
        <v>5990</v>
      </c>
      <c r="W147" s="1013"/>
      <c r="X147" s="944">
        <v>5990</v>
      </c>
      <c r="Y147" s="706">
        <f t="shared" si="7"/>
        <v>0</v>
      </c>
      <c r="Z147" s="934"/>
      <c r="AA147" s="960">
        <v>0</v>
      </c>
      <c r="AB147" s="960">
        <v>0</v>
      </c>
      <c r="AC147" s="959">
        <v>0</v>
      </c>
      <c r="AD147" s="936" t="s">
        <v>316</v>
      </c>
      <c r="AE147" s="945"/>
    </row>
    <row r="148" spans="1:31" ht="24.75" customHeight="1">
      <c r="A148" s="967" t="s">
        <v>318</v>
      </c>
      <c r="B148" s="874" t="s">
        <v>311</v>
      </c>
      <c r="C148" s="966">
        <v>46388</v>
      </c>
      <c r="D148" s="515"/>
      <c r="E148" s="966"/>
      <c r="F148" s="967"/>
      <c r="G148" s="967"/>
      <c r="H148" s="968">
        <v>88</v>
      </c>
      <c r="I148" s="531" t="s">
        <v>54</v>
      </c>
      <c r="J148" s="968" t="s">
        <v>101</v>
      </c>
      <c r="K148" s="968" t="s">
        <v>105</v>
      </c>
      <c r="L148" s="966"/>
      <c r="M148" s="972" t="s">
        <v>56</v>
      </c>
      <c r="N148" s="1028">
        <v>88069</v>
      </c>
      <c r="O148" s="972" t="s">
        <v>56</v>
      </c>
      <c r="P148" s="950" t="s">
        <v>74</v>
      </c>
      <c r="Q148" s="986"/>
      <c r="R148" s="974"/>
      <c r="S148" s="974"/>
      <c r="T148" s="974"/>
      <c r="U148" s="974"/>
      <c r="V148" s="944">
        <v>7242</v>
      </c>
      <c r="W148" s="1013"/>
      <c r="X148" s="944">
        <v>7242</v>
      </c>
      <c r="Y148" s="706">
        <f t="shared" si="7"/>
        <v>0</v>
      </c>
      <c r="Z148" s="934"/>
      <c r="AA148" s="960">
        <v>0</v>
      </c>
      <c r="AB148" s="960">
        <v>0</v>
      </c>
      <c r="AC148" s="959">
        <v>0</v>
      </c>
      <c r="AD148" s="936" t="s">
        <v>316</v>
      </c>
      <c r="AE148" s="945"/>
    </row>
    <row r="149" spans="1:31" ht="24.75" customHeight="1">
      <c r="A149" s="967" t="s">
        <v>319</v>
      </c>
      <c r="B149" s="874" t="s">
        <v>311</v>
      </c>
      <c r="C149" s="966">
        <v>46520</v>
      </c>
      <c r="D149" s="515" t="s">
        <v>312</v>
      </c>
      <c r="E149" s="966">
        <v>46029</v>
      </c>
      <c r="F149" s="967" t="s">
        <v>313</v>
      </c>
      <c r="G149" s="967"/>
      <c r="H149" s="968">
        <v>73</v>
      </c>
      <c r="I149" s="531" t="s">
        <v>54</v>
      </c>
      <c r="J149" s="968" t="s">
        <v>101</v>
      </c>
      <c r="K149" s="968" t="s">
        <v>105</v>
      </c>
      <c r="L149" s="970"/>
      <c r="M149" s="972" t="s">
        <v>73</v>
      </c>
      <c r="N149" s="1028"/>
      <c r="O149" s="972" t="s">
        <v>56</v>
      </c>
      <c r="P149" s="950" t="s">
        <v>74</v>
      </c>
      <c r="Q149" s="934">
        <v>45659</v>
      </c>
      <c r="R149" s="974"/>
      <c r="S149" s="974"/>
      <c r="T149" s="974"/>
      <c r="U149" s="974"/>
      <c r="V149" s="944">
        <v>7660</v>
      </c>
      <c r="W149" s="1013"/>
      <c r="X149" s="944">
        <v>7660</v>
      </c>
      <c r="Y149" s="706">
        <f t="shared" si="7"/>
        <v>0</v>
      </c>
      <c r="Z149" s="894"/>
      <c r="AA149" s="960">
        <v>0</v>
      </c>
      <c r="AB149" s="960">
        <v>0</v>
      </c>
      <c r="AC149" s="959">
        <v>0</v>
      </c>
      <c r="AD149" s="936" t="s">
        <v>314</v>
      </c>
      <c r="AE149" s="945"/>
    </row>
    <row r="150" spans="1:31" ht="24.75" customHeight="1">
      <c r="A150" s="967" t="s">
        <v>320</v>
      </c>
      <c r="B150" s="874" t="s">
        <v>311</v>
      </c>
      <c r="C150" s="966">
        <v>46388</v>
      </c>
      <c r="D150" s="515"/>
      <c r="E150" s="966"/>
      <c r="F150" s="967"/>
      <c r="G150" s="967"/>
      <c r="H150" s="968">
        <v>87</v>
      </c>
      <c r="I150" s="531" t="s">
        <v>54</v>
      </c>
      <c r="J150" s="968" t="s">
        <v>101</v>
      </c>
      <c r="K150" s="968" t="s">
        <v>105</v>
      </c>
      <c r="L150" s="970"/>
      <c r="M150" s="972" t="s">
        <v>56</v>
      </c>
      <c r="N150" s="1032">
        <v>108458.4</v>
      </c>
      <c r="O150" s="972" t="s">
        <v>56</v>
      </c>
      <c r="P150" s="950" t="s">
        <v>74</v>
      </c>
      <c r="Q150" s="986"/>
      <c r="R150" s="974"/>
      <c r="S150" s="974"/>
      <c r="T150" s="974"/>
      <c r="U150" s="974"/>
      <c r="V150" s="944">
        <v>8596</v>
      </c>
      <c r="W150" s="1013"/>
      <c r="X150" s="944">
        <v>8596</v>
      </c>
      <c r="Y150" s="706">
        <f t="shared" si="7"/>
        <v>0</v>
      </c>
      <c r="Z150" s="934"/>
      <c r="AA150" s="960">
        <v>0</v>
      </c>
      <c r="AB150" s="960">
        <v>0</v>
      </c>
      <c r="AC150" s="959">
        <v>0</v>
      </c>
      <c r="AD150" s="936" t="s">
        <v>314</v>
      </c>
      <c r="AE150" s="945"/>
    </row>
    <row r="151" spans="1:31" ht="24.75" customHeight="1">
      <c r="A151" s="967" t="s">
        <v>321</v>
      </c>
      <c r="B151" s="874" t="s">
        <v>311</v>
      </c>
      <c r="C151" s="966">
        <v>46388</v>
      </c>
      <c r="D151" s="515"/>
      <c r="E151" s="966"/>
      <c r="F151" s="967"/>
      <c r="G151" s="967"/>
      <c r="H151" s="968">
        <v>70</v>
      </c>
      <c r="I151" s="531" t="s">
        <v>54</v>
      </c>
      <c r="J151" s="968" t="s">
        <v>101</v>
      </c>
      <c r="K151" s="968" t="s">
        <v>105</v>
      </c>
      <c r="L151" s="970"/>
      <c r="M151" s="972" t="s">
        <v>56</v>
      </c>
      <c r="N151" s="1032">
        <v>70105.25</v>
      </c>
      <c r="O151" s="972" t="s">
        <v>56</v>
      </c>
      <c r="P151" s="950" t="s">
        <v>74</v>
      </c>
      <c r="Q151" s="986"/>
      <c r="R151" s="974"/>
      <c r="S151" s="974"/>
      <c r="T151" s="974"/>
      <c r="U151" s="974"/>
      <c r="V151" s="944">
        <v>5648</v>
      </c>
      <c r="W151" s="1013"/>
      <c r="X151" s="944">
        <v>5648</v>
      </c>
      <c r="Y151" s="706">
        <f t="shared" si="7"/>
        <v>0</v>
      </c>
      <c r="Z151" s="894"/>
      <c r="AA151" s="960">
        <v>0</v>
      </c>
      <c r="AB151" s="960">
        <v>0</v>
      </c>
      <c r="AC151" s="959">
        <v>0</v>
      </c>
      <c r="AD151" s="936" t="s">
        <v>322</v>
      </c>
      <c r="AE151" s="945"/>
    </row>
    <row r="152" spans="1:31" ht="24.75" customHeight="1">
      <c r="A152" s="967" t="s">
        <v>323</v>
      </c>
      <c r="B152" s="874" t="s">
        <v>311</v>
      </c>
      <c r="C152" s="966">
        <v>46388</v>
      </c>
      <c r="D152" s="515"/>
      <c r="E152" s="966"/>
      <c r="F152" s="967"/>
      <c r="G152" s="967"/>
      <c r="H152" s="968">
        <v>77</v>
      </c>
      <c r="I152" s="531" t="s">
        <v>54</v>
      </c>
      <c r="J152" s="968" t="s">
        <v>101</v>
      </c>
      <c r="K152" s="968" t="s">
        <v>105</v>
      </c>
      <c r="L152" s="970"/>
      <c r="M152" s="972" t="s">
        <v>56</v>
      </c>
      <c r="N152" s="1028">
        <v>78047.350000000006</v>
      </c>
      <c r="O152" s="972" t="s">
        <v>56</v>
      </c>
      <c r="P152" s="950" t="s">
        <v>74</v>
      </c>
      <c r="Q152" s="986"/>
      <c r="R152" s="974"/>
      <c r="S152" s="974"/>
      <c r="T152" s="974"/>
      <c r="U152" s="974"/>
      <c r="V152" s="944">
        <v>6238</v>
      </c>
      <c r="W152" s="1013"/>
      <c r="X152" s="944">
        <v>6238</v>
      </c>
      <c r="Y152" s="706">
        <f t="shared" si="7"/>
        <v>0</v>
      </c>
      <c r="Z152" s="894"/>
      <c r="AA152" s="960">
        <v>0</v>
      </c>
      <c r="AB152" s="960">
        <v>0</v>
      </c>
      <c r="AC152" s="959">
        <v>0</v>
      </c>
      <c r="AD152" s="936" t="s">
        <v>322</v>
      </c>
      <c r="AE152" s="945"/>
    </row>
    <row r="153" spans="1:31" ht="24.75" customHeight="1">
      <c r="A153" s="967" t="s">
        <v>324</v>
      </c>
      <c r="B153" s="874" t="s">
        <v>311</v>
      </c>
      <c r="C153" s="966">
        <v>46388</v>
      </c>
      <c r="D153" s="515"/>
      <c r="E153" s="966"/>
      <c r="F153" s="967"/>
      <c r="G153" s="967"/>
      <c r="H153" s="968">
        <v>52</v>
      </c>
      <c r="I153" s="531" t="s">
        <v>54</v>
      </c>
      <c r="J153" s="968" t="s">
        <v>101</v>
      </c>
      <c r="K153" s="968" t="s">
        <v>105</v>
      </c>
      <c r="L153" s="970"/>
      <c r="M153" s="972" t="s">
        <v>56</v>
      </c>
      <c r="N153" s="1028">
        <v>91411.65</v>
      </c>
      <c r="O153" s="972" t="s">
        <v>56</v>
      </c>
      <c r="P153" s="950" t="s">
        <v>74</v>
      </c>
      <c r="Q153" s="986"/>
      <c r="R153" s="974"/>
      <c r="S153" s="974"/>
      <c r="T153" s="974"/>
      <c r="U153" s="974"/>
      <c r="V153" s="944">
        <v>5926</v>
      </c>
      <c r="W153" s="1013"/>
      <c r="X153" s="944">
        <v>5926</v>
      </c>
      <c r="Y153" s="706">
        <f t="shared" si="7"/>
        <v>0</v>
      </c>
      <c r="Z153" s="934"/>
      <c r="AA153" s="960">
        <v>0</v>
      </c>
      <c r="AB153" s="960">
        <v>0</v>
      </c>
      <c r="AC153" s="959">
        <v>0</v>
      </c>
      <c r="AD153" s="936" t="s">
        <v>316</v>
      </c>
      <c r="AE153" s="945"/>
    </row>
    <row r="154" spans="1:31" ht="24.75" customHeight="1">
      <c r="A154" s="1033" t="s">
        <v>325</v>
      </c>
      <c r="B154" s="874" t="s">
        <v>311</v>
      </c>
      <c r="C154" s="966">
        <v>46388</v>
      </c>
      <c r="D154" s="515"/>
      <c r="E154" s="1034"/>
      <c r="F154" s="1033"/>
      <c r="G154" s="967"/>
      <c r="H154" s="968">
        <v>81</v>
      </c>
      <c r="I154" s="531" t="s">
        <v>54</v>
      </c>
      <c r="J154" s="968" t="s">
        <v>101</v>
      </c>
      <c r="K154" s="968" t="s">
        <v>105</v>
      </c>
      <c r="L154" s="1034"/>
      <c r="M154" s="972" t="s">
        <v>56</v>
      </c>
      <c r="N154" s="1028">
        <v>105892.05</v>
      </c>
      <c r="O154" s="972" t="s">
        <v>56</v>
      </c>
      <c r="P154" s="950" t="s">
        <v>74</v>
      </c>
      <c r="Q154" s="1382"/>
      <c r="R154" s="1017"/>
      <c r="S154" s="1017"/>
      <c r="T154" s="1017"/>
      <c r="U154" s="1017"/>
      <c r="V154" s="944">
        <v>8641</v>
      </c>
      <c r="W154" s="1379"/>
      <c r="X154" s="944">
        <v>8641</v>
      </c>
      <c r="Y154" s="706">
        <f t="shared" si="7"/>
        <v>0</v>
      </c>
      <c r="Z154" s="1018"/>
      <c r="AA154" s="960">
        <v>0</v>
      </c>
      <c r="AB154" s="960">
        <v>0</v>
      </c>
      <c r="AC154" s="959">
        <v>0</v>
      </c>
      <c r="AD154" s="936" t="s">
        <v>316</v>
      </c>
      <c r="AE154" s="945"/>
    </row>
    <row r="155" spans="1:31" ht="24.75" customHeight="1">
      <c r="A155" s="1033" t="s">
        <v>326</v>
      </c>
      <c r="B155" s="874" t="s">
        <v>311</v>
      </c>
      <c r="C155" s="966">
        <v>46388</v>
      </c>
      <c r="D155" s="515"/>
      <c r="E155" s="1034"/>
      <c r="F155" s="1033"/>
      <c r="G155" s="967"/>
      <c r="H155" s="968">
        <v>79</v>
      </c>
      <c r="I155" s="531" t="s">
        <v>54</v>
      </c>
      <c r="J155" s="968" t="s">
        <v>101</v>
      </c>
      <c r="K155" s="968" t="s">
        <v>105</v>
      </c>
      <c r="L155" s="1034"/>
      <c r="M155" s="972" t="s">
        <v>56</v>
      </c>
      <c r="N155" s="1028">
        <v>88420</v>
      </c>
      <c r="O155" s="972" t="s">
        <v>56</v>
      </c>
      <c r="P155" s="950" t="s">
        <v>74</v>
      </c>
      <c r="Q155" s="1385"/>
      <c r="R155" s="1019"/>
      <c r="S155" s="1019"/>
      <c r="T155" s="1019"/>
      <c r="U155" s="1019"/>
      <c r="V155" s="1021">
        <v>7502</v>
      </c>
      <c r="W155" s="1386"/>
      <c r="X155" s="1021">
        <v>7502</v>
      </c>
      <c r="Y155" s="711">
        <f t="shared" si="7"/>
        <v>0</v>
      </c>
      <c r="Z155" s="1020"/>
      <c r="AA155" s="960">
        <v>0</v>
      </c>
      <c r="AB155" s="960">
        <v>0</v>
      </c>
      <c r="AC155" s="959">
        <v>0</v>
      </c>
      <c r="AD155" s="936" t="s">
        <v>316</v>
      </c>
      <c r="AE155" s="945"/>
    </row>
    <row r="156" spans="1:31" ht="24.75" customHeight="1">
      <c r="A156" s="1033" t="s">
        <v>327</v>
      </c>
      <c r="B156" s="874" t="s">
        <v>311</v>
      </c>
      <c r="C156" s="966">
        <v>46082</v>
      </c>
      <c r="D156" s="515" t="s">
        <v>312</v>
      </c>
      <c r="E156" s="966">
        <v>46029</v>
      </c>
      <c r="F156" s="1033" t="s">
        <v>313</v>
      </c>
      <c r="G156" s="967"/>
      <c r="H156" s="968">
        <v>0</v>
      </c>
      <c r="I156" s="531" t="s">
        <v>54</v>
      </c>
      <c r="J156" s="968" t="s">
        <v>101</v>
      </c>
      <c r="K156" s="968" t="s">
        <v>105</v>
      </c>
      <c r="L156" s="1034"/>
      <c r="M156" s="972" t="s">
        <v>73</v>
      </c>
      <c r="N156" s="1028"/>
      <c r="O156" s="972" t="s">
        <v>56</v>
      </c>
      <c r="P156" s="950" t="s">
        <v>74</v>
      </c>
      <c r="Q156" s="934">
        <v>45659</v>
      </c>
      <c r="R156" s="1019"/>
      <c r="S156" s="1019"/>
      <c r="T156" s="1019"/>
      <c r="U156" s="1019"/>
      <c r="V156" s="1021">
        <v>3682</v>
      </c>
      <c r="W156" s="1386"/>
      <c r="X156" s="1021">
        <v>3682</v>
      </c>
      <c r="Y156" s="711">
        <f t="shared" si="7"/>
        <v>0</v>
      </c>
      <c r="Z156" s="1020"/>
      <c r="AA156" s="960">
        <v>0</v>
      </c>
      <c r="AB156" s="960">
        <v>0</v>
      </c>
      <c r="AC156" s="959">
        <v>0</v>
      </c>
      <c r="AD156" s="936" t="s">
        <v>328</v>
      </c>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967"/>
      <c r="B158" s="969"/>
      <c r="C158" s="969"/>
      <c r="D158" s="969"/>
      <c r="E158" s="969"/>
      <c r="F158" s="967"/>
      <c r="G158" s="967"/>
      <c r="H158" s="969"/>
      <c r="I158" s="969"/>
      <c r="J158" s="969"/>
      <c r="K158" s="969"/>
      <c r="L158" s="967"/>
      <c r="M158" s="969"/>
      <c r="N158" s="1029"/>
      <c r="O158" s="969"/>
      <c r="P158" s="945"/>
      <c r="AE158" s="945"/>
    </row>
    <row r="159" spans="1:31" ht="24.75" customHeight="1">
      <c r="A159" s="1040"/>
      <c r="B159" s="1041"/>
      <c r="C159" s="1041"/>
      <c r="D159" s="1041"/>
      <c r="E159" s="1041"/>
      <c r="F159" s="1040"/>
      <c r="G159" s="1040"/>
      <c r="H159" s="1041"/>
      <c r="I159" s="1041"/>
      <c r="J159" s="1041"/>
      <c r="K159" s="1041"/>
      <c r="L159" s="1040"/>
      <c r="M159" s="1041"/>
      <c r="N159" s="1113"/>
      <c r="O159" s="1041"/>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945"/>
      <c r="AE162" s="945"/>
    </row>
    <row r="163" spans="1:31" ht="24.75" customHeight="1">
      <c r="A163" s="967"/>
      <c r="B163" s="969"/>
      <c r="C163" s="969"/>
      <c r="D163" s="969"/>
      <c r="E163" s="969"/>
      <c r="F163" s="967"/>
      <c r="G163" s="967"/>
      <c r="H163" s="969"/>
      <c r="I163" s="969"/>
      <c r="J163" s="969"/>
      <c r="K163" s="969"/>
      <c r="L163" s="967"/>
      <c r="M163" s="969"/>
      <c r="N163" s="1029"/>
      <c r="O163" s="969"/>
      <c r="P163" s="1036"/>
      <c r="Q163" s="947"/>
      <c r="R163" s="947"/>
      <c r="S163" s="947"/>
      <c r="T163" s="947"/>
      <c r="U163" s="947"/>
      <c r="V163" s="1008"/>
      <c r="W163" s="947"/>
      <c r="X163" s="947"/>
      <c r="Y163" s="947"/>
      <c r="Z163" s="947"/>
      <c r="AA163" s="947"/>
      <c r="AB163" s="947"/>
      <c r="AC163" s="947"/>
      <c r="AD163" s="1010"/>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24.75" customHeight="1">
      <c r="A191" s="967"/>
      <c r="B191" s="969"/>
      <c r="C191" s="969"/>
      <c r="D191" s="969"/>
      <c r="E191" s="969"/>
      <c r="F191" s="967"/>
      <c r="G191" s="967"/>
      <c r="H191" s="969"/>
      <c r="I191" s="969"/>
      <c r="J191" s="969"/>
      <c r="K191" s="969"/>
      <c r="L191" s="967"/>
      <c r="M191" s="969"/>
      <c r="N191" s="1029"/>
      <c r="O191" s="969"/>
      <c r="P191" s="945"/>
    </row>
    <row r="192" spans="1:16" ht="15" customHeight="1">
      <c r="A192" s="1008"/>
      <c r="B192" s="947"/>
      <c r="C192" s="947"/>
      <c r="D192" s="947"/>
      <c r="E192" s="947"/>
      <c r="F192" s="1008"/>
      <c r="G192" s="1008"/>
      <c r="H192" s="947"/>
      <c r="I192" s="947"/>
      <c r="J192" s="947"/>
      <c r="K192" s="947"/>
      <c r="L192" s="1008"/>
      <c r="M192" s="947"/>
      <c r="N192" s="1009"/>
      <c r="O192" s="947"/>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6"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143</v>
      </c>
      <c r="C2" s="363">
        <v>45960</v>
      </c>
      <c r="D2" s="363" t="s">
        <v>331</v>
      </c>
      <c r="E2" s="363">
        <v>45909</v>
      </c>
      <c r="F2" s="363" t="s">
        <v>150</v>
      </c>
      <c r="G2" s="546" t="s">
        <v>332</v>
      </c>
      <c r="H2" s="365">
        <v>0</v>
      </c>
      <c r="I2" s="365" t="s">
        <v>92</v>
      </c>
      <c r="J2" s="365" t="s">
        <v>55</v>
      </c>
      <c r="K2" s="365"/>
      <c r="L2" s="363">
        <v>45905</v>
      </c>
      <c r="M2" s="365" t="s">
        <v>56</v>
      </c>
      <c r="N2" s="733">
        <v>98170.1</v>
      </c>
      <c r="O2" s="365" t="s">
        <v>56</v>
      </c>
      <c r="P2" s="496" t="s">
        <v>93</v>
      </c>
      <c r="Q2" s="367">
        <v>45908</v>
      </c>
      <c r="R2" s="367"/>
      <c r="S2" s="367"/>
      <c r="T2" s="367"/>
      <c r="U2" s="367"/>
      <c r="V2" s="336">
        <v>9086</v>
      </c>
      <c r="W2" s="456">
        <v>8945</v>
      </c>
      <c r="X2" s="46">
        <f>SUM(V2-W2)</f>
        <v>141</v>
      </c>
      <c r="Y2" s="521">
        <f>IFERROR($W2/$V2, 0)</f>
        <v>0.98448162007484041</v>
      </c>
      <c r="Z2" s="542">
        <v>45922</v>
      </c>
      <c r="AA2" s="283">
        <v>1</v>
      </c>
      <c r="AB2" s="283">
        <v>0</v>
      </c>
      <c r="AC2" s="10">
        <v>5312</v>
      </c>
      <c r="AD2" s="1081" t="s">
        <v>333</v>
      </c>
    </row>
    <row r="3" spans="1:30" ht="39.75" customHeight="1">
      <c r="A3" s="746" t="s">
        <v>334</v>
      </c>
      <c r="B3" s="669" t="s">
        <v>143</v>
      </c>
      <c r="C3" s="363">
        <v>45960</v>
      </c>
      <c r="D3" s="363" t="s">
        <v>131</v>
      </c>
      <c r="E3" s="363">
        <v>45905</v>
      </c>
      <c r="F3" s="363" t="s">
        <v>150</v>
      </c>
      <c r="G3" s="546"/>
      <c r="H3" s="365">
        <v>0</v>
      </c>
      <c r="I3" s="525" t="s">
        <v>92</v>
      </c>
      <c r="J3" s="365" t="s">
        <v>55</v>
      </c>
      <c r="K3" s="373"/>
      <c r="L3" s="302">
        <v>45943</v>
      </c>
      <c r="M3" s="856" t="s">
        <v>56</v>
      </c>
      <c r="N3" s="733">
        <v>2167.3000000000002</v>
      </c>
      <c r="O3" s="365" t="s">
        <v>56</v>
      </c>
      <c r="P3" s="496" t="s">
        <v>93</v>
      </c>
      <c r="Q3" s="367">
        <v>45908</v>
      </c>
      <c r="R3" s="367"/>
      <c r="S3" s="367"/>
      <c r="T3" s="367"/>
      <c r="U3" s="367"/>
      <c r="V3" s="336">
        <v>158</v>
      </c>
      <c r="W3" s="456">
        <v>429</v>
      </c>
      <c r="X3" s="46">
        <f>SUM(V3-W3)</f>
        <v>-271</v>
      </c>
      <c r="Y3" s="521">
        <f>IFERROR($W3/$V3, 0)</f>
        <v>2.7151898734177213</v>
      </c>
      <c r="Z3" s="31" t="s">
        <v>335</v>
      </c>
      <c r="AA3" s="283">
        <v>0</v>
      </c>
      <c r="AB3" s="283">
        <v>0</v>
      </c>
      <c r="AC3" s="10">
        <v>0</v>
      </c>
      <c r="AD3" s="1080" t="s">
        <v>336</v>
      </c>
    </row>
    <row r="4" spans="1:30" ht="39.75" customHeight="1">
      <c r="A4" s="679" t="s">
        <v>337</v>
      </c>
      <c r="B4" s="669" t="s">
        <v>143</v>
      </c>
      <c r="C4" s="363">
        <v>45991</v>
      </c>
      <c r="D4" s="371" t="s">
        <v>157</v>
      </c>
      <c r="E4" s="371">
        <v>45950</v>
      </c>
      <c r="F4" s="370" t="s">
        <v>158</v>
      </c>
      <c r="G4" s="666"/>
      <c r="H4" s="670">
        <v>82</v>
      </c>
      <c r="I4" s="667" t="s">
        <v>92</v>
      </c>
      <c r="J4" s="670" t="s">
        <v>55</v>
      </c>
      <c r="K4" s="380"/>
      <c r="L4" s="20">
        <v>45902</v>
      </c>
      <c r="M4" s="857" t="s">
        <v>56</v>
      </c>
      <c r="N4" s="1138">
        <v>87830</v>
      </c>
      <c r="O4" s="667" t="s">
        <v>56</v>
      </c>
      <c r="P4" s="496" t="s">
        <v>93</v>
      </c>
      <c r="Q4" s="374">
        <v>45898</v>
      </c>
      <c r="R4" s="374"/>
      <c r="S4" s="374"/>
      <c r="T4" s="374"/>
      <c r="U4" s="374"/>
      <c r="V4" s="780">
        <v>7022</v>
      </c>
      <c r="W4" s="799">
        <v>6905</v>
      </c>
      <c r="X4" s="46">
        <f>SUM(V4-W4)</f>
        <v>117</v>
      </c>
      <c r="Y4" s="521">
        <f>IFERROR($W4/$V4, 0)</f>
        <v>0.98333808031899739</v>
      </c>
      <c r="Z4" s="542">
        <v>45958</v>
      </c>
      <c r="AA4" s="283">
        <v>0</v>
      </c>
      <c r="AB4" s="283">
        <v>0</v>
      </c>
      <c r="AC4" s="10">
        <v>0</v>
      </c>
      <c r="AD4" s="1082" t="s">
        <v>338</v>
      </c>
    </row>
    <row r="5" spans="1:30" ht="39.75" customHeight="1">
      <c r="A5" s="746" t="s">
        <v>339</v>
      </c>
      <c r="B5" s="669" t="s">
        <v>143</v>
      </c>
      <c r="C5" s="363">
        <v>45989</v>
      </c>
      <c r="D5" s="371" t="s">
        <v>157</v>
      </c>
      <c r="E5" s="371">
        <v>45964</v>
      </c>
      <c r="F5" s="370" t="s">
        <v>158</v>
      </c>
      <c r="G5" s="666" t="s">
        <v>340</v>
      </c>
      <c r="H5" s="670">
        <v>74</v>
      </c>
      <c r="I5" s="365" t="s">
        <v>92</v>
      </c>
      <c r="J5" s="365" t="s">
        <v>55</v>
      </c>
      <c r="K5" s="365"/>
      <c r="L5" s="20">
        <v>45932</v>
      </c>
      <c r="M5" s="857" t="s">
        <v>56</v>
      </c>
      <c r="N5" s="671">
        <v>47064</v>
      </c>
      <c r="O5" s="667" t="s">
        <v>56</v>
      </c>
      <c r="P5" s="496" t="s">
        <v>93</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3" t="s">
        <v>341</v>
      </c>
    </row>
    <row r="6" spans="1:30" ht="39.75" customHeight="1">
      <c r="A6" s="679" t="s">
        <v>342</v>
      </c>
      <c r="B6" s="669" t="s">
        <v>143</v>
      </c>
      <c r="C6" s="363">
        <v>45960</v>
      </c>
      <c r="D6" s="371" t="s">
        <v>157</v>
      </c>
      <c r="E6" s="371">
        <v>45930</v>
      </c>
      <c r="F6" s="370" t="s">
        <v>158</v>
      </c>
      <c r="G6" s="666"/>
      <c r="H6" s="670">
        <v>80</v>
      </c>
      <c r="I6" s="667" t="s">
        <v>92</v>
      </c>
      <c r="J6" s="670" t="s">
        <v>55</v>
      </c>
      <c r="K6" s="667"/>
      <c r="L6" s="674">
        <v>45902</v>
      </c>
      <c r="M6" s="524" t="s">
        <v>56</v>
      </c>
      <c r="N6" s="1139">
        <v>90173</v>
      </c>
      <c r="O6" s="857" t="s">
        <v>56</v>
      </c>
      <c r="P6" s="496" t="s">
        <v>93</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2" t="s">
        <v>338</v>
      </c>
    </row>
    <row r="7" spans="1:30" ht="39.75" customHeight="1">
      <c r="A7" s="953" t="s">
        <v>343</v>
      </c>
      <c r="B7" s="669" t="s">
        <v>143</v>
      </c>
      <c r="C7" s="896">
        <v>45999</v>
      </c>
      <c r="D7" s="907" t="s">
        <v>144</v>
      </c>
      <c r="E7" s="907">
        <v>45964</v>
      </c>
      <c r="F7" s="908" t="s">
        <v>147</v>
      </c>
      <c r="G7" s="907" t="s">
        <v>344</v>
      </c>
      <c r="H7" s="670">
        <v>81</v>
      </c>
      <c r="I7" s="898" t="s">
        <v>92</v>
      </c>
      <c r="J7" s="898" t="s">
        <v>55</v>
      </c>
      <c r="K7" s="667"/>
      <c r="L7" s="907" t="s">
        <v>345</v>
      </c>
      <c r="M7" s="524" t="s">
        <v>56</v>
      </c>
      <c r="N7" s="1241">
        <v>68962</v>
      </c>
      <c r="O7" s="857" t="s">
        <v>56</v>
      </c>
      <c r="P7" s="954" t="s">
        <v>93</v>
      </c>
      <c r="Q7" s="912">
        <v>45932</v>
      </c>
      <c r="R7" s="998"/>
      <c r="S7" s="998"/>
      <c r="T7" s="998"/>
      <c r="U7" s="998"/>
      <c r="V7" s="780">
        <v>5333</v>
      </c>
      <c r="W7" s="799">
        <v>5264</v>
      </c>
      <c r="X7" s="902">
        <f t="shared" si="2"/>
        <v>69</v>
      </c>
      <c r="Y7" s="526">
        <f t="shared" si="3"/>
        <v>0.98706169135570976</v>
      </c>
      <c r="Z7" s="912">
        <v>46044</v>
      </c>
      <c r="AA7" s="904">
        <v>0</v>
      </c>
      <c r="AB7" s="904">
        <v>0</v>
      </c>
      <c r="AC7" s="511">
        <v>0</v>
      </c>
      <c r="AD7" s="905" t="s">
        <v>346</v>
      </c>
    </row>
    <row r="8" spans="1:30" ht="39.75" customHeight="1">
      <c r="A8" s="953" t="s">
        <v>347</v>
      </c>
      <c r="B8" s="669" t="s">
        <v>143</v>
      </c>
      <c r="C8" s="896">
        <v>46040</v>
      </c>
      <c r="D8" s="908" t="s">
        <v>348</v>
      </c>
      <c r="E8" s="907">
        <v>45867</v>
      </c>
      <c r="F8" s="908" t="s">
        <v>147</v>
      </c>
      <c r="G8" s="908" t="s">
        <v>349</v>
      </c>
      <c r="H8" s="909">
        <v>0</v>
      </c>
      <c r="I8" s="667" t="s">
        <v>92</v>
      </c>
      <c r="J8" s="909" t="s">
        <v>55</v>
      </c>
      <c r="K8" s="365"/>
      <c r="L8" s="907" t="s">
        <v>345</v>
      </c>
      <c r="M8" s="909" t="s">
        <v>56</v>
      </c>
      <c r="N8" s="919">
        <v>144972.5</v>
      </c>
      <c r="O8" s="909" t="s">
        <v>56</v>
      </c>
      <c r="P8" s="954" t="s">
        <v>93</v>
      </c>
      <c r="Q8" s="912">
        <v>45867</v>
      </c>
      <c r="R8" s="912"/>
      <c r="S8" s="912"/>
      <c r="T8" s="912"/>
      <c r="U8" s="912"/>
      <c r="V8" s="780">
        <v>9840</v>
      </c>
      <c r="W8" s="799">
        <v>9806</v>
      </c>
      <c r="X8" s="902">
        <f>SUM(V8-W8)</f>
        <v>34</v>
      </c>
      <c r="Y8" s="526">
        <f>IFERROR($W8/$V8, 0)</f>
        <v>0.99654471544715451</v>
      </c>
      <c r="Z8" s="912">
        <v>45884</v>
      </c>
      <c r="AA8" s="904">
        <v>1</v>
      </c>
      <c r="AB8" s="904">
        <v>0</v>
      </c>
      <c r="AC8" s="913">
        <v>9106</v>
      </c>
      <c r="AD8" s="905" t="s">
        <v>350</v>
      </c>
    </row>
    <row r="9" spans="1:30" ht="39.75" customHeight="1">
      <c r="A9" s="746" t="s">
        <v>351</v>
      </c>
      <c r="B9" s="383" t="s">
        <v>143</v>
      </c>
      <c r="C9" s="363">
        <v>45991</v>
      </c>
      <c r="D9" s="370" t="s">
        <v>352</v>
      </c>
      <c r="E9" s="371">
        <v>45716</v>
      </c>
      <c r="F9" s="370" t="s">
        <v>158</v>
      </c>
      <c r="G9" s="372" t="s">
        <v>353</v>
      </c>
      <c r="H9" s="373">
        <v>44</v>
      </c>
      <c r="I9" s="377" t="s">
        <v>92</v>
      </c>
      <c r="J9" s="373" t="s">
        <v>55</v>
      </c>
      <c r="K9" s="373"/>
      <c r="L9" s="371">
        <v>45716</v>
      </c>
      <c r="M9" s="373" t="s">
        <v>56</v>
      </c>
      <c r="N9" s="784">
        <v>57973.5</v>
      </c>
      <c r="O9" s="373" t="s">
        <v>56</v>
      </c>
      <c r="P9" s="496" t="s">
        <v>93</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354</v>
      </c>
      <c r="B10" s="669" t="s">
        <v>143</v>
      </c>
      <c r="C10" s="363" t="s">
        <v>355</v>
      </c>
      <c r="D10" s="370" t="s">
        <v>131</v>
      </c>
      <c r="E10" s="371">
        <v>45964</v>
      </c>
      <c r="F10" s="370" t="s">
        <v>150</v>
      </c>
      <c r="G10" s="663"/>
      <c r="H10" s="373">
        <v>0</v>
      </c>
      <c r="I10" s="365" t="s">
        <v>92</v>
      </c>
      <c r="J10" s="373" t="s">
        <v>55</v>
      </c>
      <c r="K10" s="365"/>
      <c r="L10" s="371" t="s">
        <v>345</v>
      </c>
      <c r="M10" s="373" t="s">
        <v>56</v>
      </c>
      <c r="N10" s="784">
        <v>2670.65</v>
      </c>
      <c r="O10" s="373" t="s">
        <v>56</v>
      </c>
      <c r="P10" s="496" t="s">
        <v>93</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3" t="s">
        <v>356</v>
      </c>
    </row>
    <row r="11" spans="1:30" ht="39.75" customHeight="1">
      <c r="A11" s="953" t="s">
        <v>357</v>
      </c>
      <c r="B11" s="669" t="s">
        <v>143</v>
      </c>
      <c r="C11" s="896">
        <v>46040</v>
      </c>
      <c r="D11" s="908" t="s">
        <v>247</v>
      </c>
      <c r="E11" s="907">
        <v>46034</v>
      </c>
      <c r="F11" s="908" t="s">
        <v>147</v>
      </c>
      <c r="G11" s="908"/>
      <c r="H11" s="909">
        <v>76</v>
      </c>
      <c r="I11" s="667" t="s">
        <v>92</v>
      </c>
      <c r="J11" s="670" t="s">
        <v>55</v>
      </c>
      <c r="K11" s="1366"/>
      <c r="L11" s="907">
        <v>46036</v>
      </c>
      <c r="M11" s="909" t="s">
        <v>56</v>
      </c>
      <c r="N11" s="919">
        <v>64325</v>
      </c>
      <c r="O11" s="909" t="s">
        <v>56</v>
      </c>
      <c r="P11" s="954" t="s">
        <v>93</v>
      </c>
      <c r="Q11" s="912">
        <v>46034</v>
      </c>
      <c r="R11" s="912"/>
      <c r="S11" s="912"/>
      <c r="T11" s="912"/>
      <c r="U11" s="912"/>
      <c r="V11" s="913">
        <v>8189</v>
      </c>
      <c r="W11" s="955">
        <v>8349</v>
      </c>
      <c r="X11" s="902">
        <f>SUM(V11-W11)</f>
        <v>-160</v>
      </c>
      <c r="Y11" s="526">
        <f>IFERROR($W11/$V11, 0)</f>
        <v>1.0195384051776775</v>
      </c>
      <c r="Z11" s="912">
        <v>46042</v>
      </c>
      <c r="AA11" s="904">
        <v>0</v>
      </c>
      <c r="AB11" s="904">
        <v>0</v>
      </c>
      <c r="AC11" s="913">
        <v>0</v>
      </c>
      <c r="AD11" s="905" t="s">
        <v>358</v>
      </c>
    </row>
    <row r="12" spans="1:30" ht="39.75" customHeight="1">
      <c r="A12" s="1076" t="s">
        <v>359</v>
      </c>
      <c r="B12" s="669" t="s">
        <v>143</v>
      </c>
      <c r="C12" s="896">
        <v>46040</v>
      </c>
      <c r="D12" s="1001" t="s">
        <v>360</v>
      </c>
      <c r="E12" s="1002">
        <v>46027</v>
      </c>
      <c r="F12" s="1001" t="s">
        <v>147</v>
      </c>
      <c r="G12" s="908"/>
      <c r="H12" s="1371">
        <v>109</v>
      </c>
      <c r="I12" s="667" t="s">
        <v>92</v>
      </c>
      <c r="J12" s="670" t="s">
        <v>55</v>
      </c>
      <c r="K12" s="1366"/>
      <c r="L12" s="1002">
        <v>45663</v>
      </c>
      <c r="M12" s="909" t="s">
        <v>56</v>
      </c>
      <c r="N12" s="1372">
        <v>123587.5</v>
      </c>
      <c r="O12" s="1371" t="s">
        <v>56</v>
      </c>
      <c r="P12" s="1387" t="s">
        <v>93</v>
      </c>
      <c r="Q12" s="1373">
        <v>46008</v>
      </c>
      <c r="R12" s="1373"/>
      <c r="S12" s="1373"/>
      <c r="T12" s="1373"/>
      <c r="U12" s="1373"/>
      <c r="V12" s="1374">
        <v>6825</v>
      </c>
      <c r="W12" s="1388">
        <v>6575</v>
      </c>
      <c r="X12" s="1369">
        <f>SUM(V12-W12)</f>
        <v>250</v>
      </c>
      <c r="Y12" s="526">
        <f>IFERROR($W12/$V12, 0)</f>
        <v>0.96336996336996339</v>
      </c>
      <c r="Z12" s="1373">
        <v>46034</v>
      </c>
      <c r="AA12" s="904">
        <v>0</v>
      </c>
      <c r="AB12" s="904">
        <v>0</v>
      </c>
      <c r="AC12" s="913">
        <v>0</v>
      </c>
      <c r="AD12" s="905" t="s">
        <v>361</v>
      </c>
    </row>
    <row r="13" spans="1:30" ht="39.75" customHeight="1">
      <c r="A13" s="746" t="s">
        <v>362</v>
      </c>
      <c r="B13" s="669" t="s">
        <v>218</v>
      </c>
      <c r="C13" s="363">
        <v>46006</v>
      </c>
      <c r="D13" s="370" t="s">
        <v>144</v>
      </c>
      <c r="E13" s="371">
        <v>45987</v>
      </c>
      <c r="F13" s="370" t="s">
        <v>158</v>
      </c>
      <c r="G13" s="663" t="s">
        <v>363</v>
      </c>
      <c r="H13" s="373">
        <v>35</v>
      </c>
      <c r="I13" s="667" t="s">
        <v>92</v>
      </c>
      <c r="J13" s="373" t="s">
        <v>55</v>
      </c>
      <c r="K13" s="365"/>
      <c r="L13" s="371" t="s">
        <v>345</v>
      </c>
      <c r="M13" s="373" t="s">
        <v>56</v>
      </c>
      <c r="N13" s="784">
        <v>35942</v>
      </c>
      <c r="O13" s="373" t="s">
        <v>56</v>
      </c>
      <c r="P13" s="496" t="s">
        <v>93</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3" t="s">
        <v>364</v>
      </c>
    </row>
    <row r="14" spans="1:30" ht="39.75" customHeight="1">
      <c r="A14" s="953" t="s">
        <v>365</v>
      </c>
      <c r="B14" s="669" t="s">
        <v>218</v>
      </c>
      <c r="C14" s="896">
        <v>46006</v>
      </c>
      <c r="D14" s="908" t="s">
        <v>144</v>
      </c>
      <c r="E14" s="907">
        <v>45987</v>
      </c>
      <c r="F14" s="908" t="s">
        <v>158</v>
      </c>
      <c r="G14" s="908" t="s">
        <v>366</v>
      </c>
      <c r="H14" s="909">
        <v>30</v>
      </c>
      <c r="I14" s="667" t="s">
        <v>92</v>
      </c>
      <c r="J14" s="670" t="s">
        <v>55</v>
      </c>
      <c r="K14" s="898"/>
      <c r="L14" s="371" t="s">
        <v>345</v>
      </c>
      <c r="M14" s="909" t="s">
        <v>56</v>
      </c>
      <c r="N14" s="1140">
        <v>31387.05</v>
      </c>
      <c r="O14" s="909" t="s">
        <v>56</v>
      </c>
      <c r="P14" s="954" t="s">
        <v>93</v>
      </c>
      <c r="Q14" s="912">
        <v>45992</v>
      </c>
      <c r="R14" s="998"/>
      <c r="S14" s="998"/>
      <c r="T14" s="998"/>
      <c r="U14" s="998"/>
      <c r="V14" s="913">
        <v>2580</v>
      </c>
      <c r="W14" s="955">
        <v>2637</v>
      </c>
      <c r="X14" s="902">
        <f t="shared" ref="X14" si="6">SUM(V14-W14)</f>
        <v>-57</v>
      </c>
      <c r="Y14" s="526">
        <f t="shared" ref="Y14" si="7">IFERROR($W14/$V14, 0)</f>
        <v>1.0220930232558139</v>
      </c>
      <c r="Z14" s="912">
        <v>46001</v>
      </c>
      <c r="AA14" s="904">
        <v>0</v>
      </c>
      <c r="AB14" s="904">
        <v>0</v>
      </c>
      <c r="AC14" s="913">
        <v>0</v>
      </c>
      <c r="AD14" s="1083" t="s">
        <v>367</v>
      </c>
    </row>
    <row r="15" spans="1:30" ht="39.75" customHeight="1">
      <c r="A15" s="953" t="s">
        <v>368</v>
      </c>
      <c r="B15" s="669" t="s">
        <v>218</v>
      </c>
      <c r="C15" s="896">
        <v>46040</v>
      </c>
      <c r="D15" s="908" t="s">
        <v>144</v>
      </c>
      <c r="E15" s="907">
        <v>46031</v>
      </c>
      <c r="F15" s="908" t="s">
        <v>158</v>
      </c>
      <c r="G15" s="908" t="s">
        <v>369</v>
      </c>
      <c r="H15" s="909">
        <v>73</v>
      </c>
      <c r="I15" s="667" t="s">
        <v>92</v>
      </c>
      <c r="J15" s="670" t="s">
        <v>55</v>
      </c>
      <c r="K15" s="898"/>
      <c r="L15" s="371" t="s">
        <v>345</v>
      </c>
      <c r="M15" s="909" t="s">
        <v>56</v>
      </c>
      <c r="N15" s="919">
        <v>77814</v>
      </c>
      <c r="O15" s="909" t="s">
        <v>56</v>
      </c>
      <c r="P15" s="954" t="s">
        <v>93</v>
      </c>
      <c r="Q15" s="912">
        <v>46015</v>
      </c>
      <c r="R15" s="912"/>
      <c r="S15" s="912"/>
      <c r="T15" s="912"/>
      <c r="U15" s="912"/>
      <c r="V15" s="913">
        <v>6263</v>
      </c>
      <c r="W15" s="955">
        <v>6221</v>
      </c>
      <c r="X15" s="902">
        <f t="shared" si="4"/>
        <v>42</v>
      </c>
      <c r="Y15" s="526">
        <f t="shared" si="5"/>
        <v>0.9932939485869392</v>
      </c>
      <c r="Z15" s="912">
        <v>46024</v>
      </c>
      <c r="AA15" s="904">
        <v>0</v>
      </c>
      <c r="AB15" s="904">
        <v>0</v>
      </c>
      <c r="AC15" s="913">
        <v>0</v>
      </c>
      <c r="AD15" s="1083" t="s">
        <v>370</v>
      </c>
    </row>
    <row r="16" spans="1:30" ht="39.75" customHeight="1">
      <c r="A16" s="953" t="s">
        <v>371</v>
      </c>
      <c r="B16" s="669" t="s">
        <v>218</v>
      </c>
      <c r="C16" s="896">
        <v>46081</v>
      </c>
      <c r="D16" s="908" t="s">
        <v>131</v>
      </c>
      <c r="E16" s="907">
        <v>46001</v>
      </c>
      <c r="F16" s="908" t="s">
        <v>158</v>
      </c>
      <c r="G16" s="908" t="s">
        <v>372</v>
      </c>
      <c r="H16" s="909">
        <v>80</v>
      </c>
      <c r="I16" s="667" t="s">
        <v>92</v>
      </c>
      <c r="J16" s="670" t="s">
        <v>55</v>
      </c>
      <c r="K16" s="898"/>
      <c r="L16" s="907">
        <v>46021</v>
      </c>
      <c r="M16" s="909" t="s">
        <v>56</v>
      </c>
      <c r="N16" s="919">
        <v>65843.5</v>
      </c>
      <c r="O16" s="909" t="s">
        <v>56</v>
      </c>
      <c r="P16" s="954" t="s">
        <v>93</v>
      </c>
      <c r="Q16" s="912">
        <v>45995</v>
      </c>
      <c r="R16" s="912"/>
      <c r="S16" s="912"/>
      <c r="T16" s="912"/>
      <c r="U16" s="912"/>
      <c r="V16" s="913">
        <v>5052</v>
      </c>
      <c r="W16" s="955">
        <v>4889</v>
      </c>
      <c r="X16" s="902">
        <f t="shared" si="4"/>
        <v>163</v>
      </c>
      <c r="Y16" s="526">
        <f t="shared" si="5"/>
        <v>0.967735550277118</v>
      </c>
      <c r="Z16" s="912">
        <v>46001</v>
      </c>
      <c r="AA16" s="904">
        <v>0</v>
      </c>
      <c r="AB16" s="904">
        <v>0</v>
      </c>
      <c r="AC16" s="913">
        <v>0</v>
      </c>
      <c r="AD16" s="905" t="s">
        <v>373</v>
      </c>
    </row>
    <row r="17" spans="1:30" ht="39.75" customHeight="1">
      <c r="A17" s="953" t="s">
        <v>374</v>
      </c>
      <c r="B17" s="669" t="s">
        <v>218</v>
      </c>
      <c r="C17" s="896">
        <v>46081</v>
      </c>
      <c r="D17" s="908" t="s">
        <v>144</v>
      </c>
      <c r="E17" s="907">
        <v>46043</v>
      </c>
      <c r="F17" s="908" t="s">
        <v>158</v>
      </c>
      <c r="G17" s="908" t="s">
        <v>375</v>
      </c>
      <c r="H17" s="909">
        <v>61</v>
      </c>
      <c r="I17" s="667" t="s">
        <v>92</v>
      </c>
      <c r="J17" s="909" t="s">
        <v>55</v>
      </c>
      <c r="K17" s="898"/>
      <c r="L17" s="907">
        <v>46038</v>
      </c>
      <c r="M17" s="909" t="s">
        <v>56</v>
      </c>
      <c r="N17" s="919">
        <v>56650</v>
      </c>
      <c r="O17" s="909" t="s">
        <v>56</v>
      </c>
      <c r="P17" s="954" t="s">
        <v>93</v>
      </c>
      <c r="Q17" s="912">
        <v>46038</v>
      </c>
      <c r="R17" s="912"/>
      <c r="S17" s="912"/>
      <c r="T17" s="912"/>
      <c r="U17" s="912"/>
      <c r="V17" s="913">
        <v>4641</v>
      </c>
      <c r="W17" s="955">
        <v>4757</v>
      </c>
      <c r="X17" s="902">
        <f t="shared" si="4"/>
        <v>-116</v>
      </c>
      <c r="Y17" s="526">
        <f t="shared" si="5"/>
        <v>1.0249946132299073</v>
      </c>
      <c r="Z17" s="912">
        <v>46051</v>
      </c>
      <c r="AA17" s="904">
        <v>0</v>
      </c>
      <c r="AB17" s="904">
        <v>0</v>
      </c>
      <c r="AC17" s="913">
        <v>0</v>
      </c>
      <c r="AD17" s="905" t="s">
        <v>376</v>
      </c>
    </row>
    <row r="18" spans="1:30" ht="39.75" customHeight="1">
      <c r="A18" s="746" t="s">
        <v>377</v>
      </c>
      <c r="B18" s="383" t="s">
        <v>218</v>
      </c>
      <c r="C18" s="363">
        <v>46053</v>
      </c>
      <c r="D18" s="370" t="s">
        <v>144</v>
      </c>
      <c r="E18" s="371">
        <v>45964</v>
      </c>
      <c r="F18" s="370" t="s">
        <v>158</v>
      </c>
      <c r="G18" s="372"/>
      <c r="H18" s="373">
        <v>82</v>
      </c>
      <c r="I18" s="667" t="s">
        <v>92</v>
      </c>
      <c r="J18" s="373" t="s">
        <v>55</v>
      </c>
      <c r="K18" s="365"/>
      <c r="L18" s="371" t="s">
        <v>345</v>
      </c>
      <c r="M18" s="373" t="s">
        <v>56</v>
      </c>
      <c r="N18" s="784">
        <v>101871</v>
      </c>
      <c r="O18" s="373" t="s">
        <v>56</v>
      </c>
      <c r="P18" s="496" t="s">
        <v>93</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3" t="s">
        <v>378</v>
      </c>
    </row>
    <row r="19" spans="1:30" ht="39.75" customHeight="1">
      <c r="A19" s="746" t="s">
        <v>379</v>
      </c>
      <c r="B19" s="383" t="s">
        <v>218</v>
      </c>
      <c r="C19" s="363">
        <v>46053</v>
      </c>
      <c r="D19" s="370" t="s">
        <v>144</v>
      </c>
      <c r="E19" s="371">
        <v>45974</v>
      </c>
      <c r="F19" s="370" t="s">
        <v>158</v>
      </c>
      <c r="G19" s="372" t="s">
        <v>380</v>
      </c>
      <c r="H19" s="373">
        <v>77</v>
      </c>
      <c r="I19" s="667" t="s">
        <v>92</v>
      </c>
      <c r="J19" s="373" t="s">
        <v>55</v>
      </c>
      <c r="K19" s="365"/>
      <c r="L19" s="371">
        <v>45965</v>
      </c>
      <c r="M19" s="373" t="s">
        <v>56</v>
      </c>
      <c r="N19" s="784">
        <v>90786</v>
      </c>
      <c r="O19" s="373" t="s">
        <v>56</v>
      </c>
      <c r="P19" s="496" t="s">
        <v>93</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3" t="s">
        <v>378</v>
      </c>
    </row>
    <row r="20" spans="1:30" ht="39.75" customHeight="1">
      <c r="A20" s="1043" t="s">
        <v>381</v>
      </c>
      <c r="B20" s="802" t="s">
        <v>218</v>
      </c>
      <c r="C20" s="896">
        <v>46040</v>
      </c>
      <c r="D20" s="908" t="s">
        <v>144</v>
      </c>
      <c r="E20" s="907">
        <v>45996</v>
      </c>
      <c r="F20" s="908" t="s">
        <v>158</v>
      </c>
      <c r="G20" s="908" t="s">
        <v>382</v>
      </c>
      <c r="H20" s="909">
        <v>78</v>
      </c>
      <c r="I20" s="667" t="s">
        <v>92</v>
      </c>
      <c r="J20" s="909" t="s">
        <v>55</v>
      </c>
      <c r="K20" s="898"/>
      <c r="L20" s="371" t="s">
        <v>345</v>
      </c>
      <c r="M20" s="909" t="s">
        <v>56</v>
      </c>
      <c r="N20" s="919">
        <v>84477</v>
      </c>
      <c r="O20" s="909" t="s">
        <v>56</v>
      </c>
      <c r="P20" s="954" t="s">
        <v>93</v>
      </c>
      <c r="Q20" s="912">
        <v>46000</v>
      </c>
      <c r="R20" s="912"/>
      <c r="S20" s="912"/>
      <c r="T20" s="912"/>
      <c r="U20" s="912"/>
      <c r="V20" s="913">
        <v>6758</v>
      </c>
      <c r="W20" s="988">
        <v>6565</v>
      </c>
      <c r="X20" s="944">
        <f t="shared" ref="X20:X21" si="8">SUM(V20-W20)</f>
        <v>193</v>
      </c>
      <c r="Y20" s="521">
        <f t="shared" ref="Y20:Y21" si="9">IFERROR($W20/$V20, 0)</f>
        <v>0.97144125480911514</v>
      </c>
      <c r="Z20" s="1042">
        <v>46006</v>
      </c>
      <c r="AA20" s="904">
        <v>0</v>
      </c>
      <c r="AB20" s="1078">
        <v>0</v>
      </c>
      <c r="AC20" s="1079">
        <v>0</v>
      </c>
      <c r="AD20" s="1084" t="s">
        <v>364</v>
      </c>
    </row>
    <row r="21" spans="1:30" ht="39.75" customHeight="1">
      <c r="A21" s="953" t="s">
        <v>383</v>
      </c>
      <c r="B21" s="897" t="s">
        <v>80</v>
      </c>
      <c r="C21" s="896">
        <v>46073</v>
      </c>
      <c r="D21" s="896" t="s">
        <v>81</v>
      </c>
      <c r="E21" s="907">
        <v>46041</v>
      </c>
      <c r="F21" s="897" t="s">
        <v>96</v>
      </c>
      <c r="G21" s="908" t="s">
        <v>384</v>
      </c>
      <c r="H21" s="898">
        <v>67</v>
      </c>
      <c r="I21" s="525" t="s">
        <v>92</v>
      </c>
      <c r="J21" s="898" t="s">
        <v>55</v>
      </c>
      <c r="K21" s="898"/>
      <c r="L21" s="907">
        <v>46038</v>
      </c>
      <c r="M21" s="909" t="s">
        <v>56</v>
      </c>
      <c r="N21" s="919">
        <v>66854</v>
      </c>
      <c r="O21" s="909" t="s">
        <v>56</v>
      </c>
      <c r="P21" s="954" t="s">
        <v>93</v>
      </c>
      <c r="Q21" s="912">
        <v>46029</v>
      </c>
      <c r="R21" s="912"/>
      <c r="S21" s="912"/>
      <c r="T21" s="912"/>
      <c r="U21" s="912"/>
      <c r="V21" s="913">
        <v>5534</v>
      </c>
      <c r="W21" s="955">
        <v>5407</v>
      </c>
      <c r="X21" s="902">
        <f t="shared" si="8"/>
        <v>127</v>
      </c>
      <c r="Y21" s="526">
        <f t="shared" si="9"/>
        <v>0.97705095771593786</v>
      </c>
      <c r="Z21" s="912">
        <v>46069</v>
      </c>
      <c r="AA21" s="904">
        <v>0</v>
      </c>
      <c r="AB21" s="904">
        <v>0</v>
      </c>
      <c r="AC21" s="511">
        <v>0</v>
      </c>
      <c r="AD21" s="905" t="s">
        <v>385</v>
      </c>
    </row>
    <row r="22" spans="1:30" ht="39.75" customHeight="1">
      <c r="A22" s="953" t="s">
        <v>386</v>
      </c>
      <c r="B22" s="897" t="s">
        <v>80</v>
      </c>
      <c r="C22" s="896">
        <v>46073</v>
      </c>
      <c r="D22" s="896" t="s">
        <v>81</v>
      </c>
      <c r="E22" s="896">
        <v>46045</v>
      </c>
      <c r="F22" s="897" t="s">
        <v>96</v>
      </c>
      <c r="G22" s="897"/>
      <c r="H22" s="898">
        <v>81</v>
      </c>
      <c r="I22" s="525" t="s">
        <v>54</v>
      </c>
      <c r="J22" s="898" t="s">
        <v>55</v>
      </c>
      <c r="K22" s="898"/>
      <c r="L22" s="896">
        <v>46027</v>
      </c>
      <c r="M22" s="898" t="s">
        <v>56</v>
      </c>
      <c r="N22" s="899">
        <v>53152.33</v>
      </c>
      <c r="O22" s="898" t="s">
        <v>56</v>
      </c>
      <c r="P22" s="954" t="s">
        <v>93</v>
      </c>
      <c r="Q22" s="901">
        <v>46027</v>
      </c>
      <c r="R22" s="901"/>
      <c r="S22" s="901"/>
      <c r="T22" s="901"/>
      <c r="U22" s="901"/>
      <c r="V22" s="638">
        <v>3323</v>
      </c>
      <c r="W22" s="955">
        <v>3100</v>
      </c>
      <c r="X22" s="902">
        <f>SUM(V22-W22)</f>
        <v>223</v>
      </c>
      <c r="Y22" s="526">
        <f>IFERROR($W22/$V22, 0)</f>
        <v>0.93289196509178451</v>
      </c>
      <c r="Z22" s="912">
        <v>46056</v>
      </c>
      <c r="AA22" s="904">
        <v>1</v>
      </c>
      <c r="AB22" s="904">
        <v>1</v>
      </c>
      <c r="AC22" s="638">
        <v>1760</v>
      </c>
      <c r="AD22" s="905" t="s">
        <v>387</v>
      </c>
    </row>
    <row r="23" spans="1:30" ht="39.75" customHeight="1">
      <c r="A23" s="746" t="s">
        <v>388</v>
      </c>
      <c r="B23" s="361" t="s">
        <v>80</v>
      </c>
      <c r="C23" s="363">
        <v>46021</v>
      </c>
      <c r="D23" s="361" t="s">
        <v>389</v>
      </c>
      <c r="E23" s="363" t="s">
        <v>345</v>
      </c>
      <c r="F23" s="361" t="s">
        <v>82</v>
      </c>
      <c r="G23" s="364" t="s">
        <v>390</v>
      </c>
      <c r="H23" s="365">
        <v>0</v>
      </c>
      <c r="I23" s="365" t="s">
        <v>92</v>
      </c>
      <c r="J23" s="365" t="s">
        <v>55</v>
      </c>
      <c r="K23" s="365"/>
      <c r="L23" s="363" t="s">
        <v>110</v>
      </c>
      <c r="M23" s="365" t="s">
        <v>56</v>
      </c>
      <c r="N23" s="733">
        <v>1931.75</v>
      </c>
      <c r="O23" s="365" t="s">
        <v>56</v>
      </c>
      <c r="P23" s="832" t="s">
        <v>93</v>
      </c>
      <c r="Q23" s="61"/>
      <c r="R23" s="518"/>
      <c r="S23" s="367"/>
      <c r="T23" s="367"/>
      <c r="U23" s="367"/>
      <c r="V23" s="336">
        <v>0</v>
      </c>
      <c r="W23" s="456">
        <v>0</v>
      </c>
      <c r="X23" s="368">
        <f>SUM(V23-W23)</f>
        <v>0</v>
      </c>
      <c r="Y23" s="526">
        <f t="shared" ref="Y23:Y38" si="10">IFERROR($W23/$V23, 0)</f>
        <v>0</v>
      </c>
      <c r="Z23" s="374">
        <v>45996</v>
      </c>
      <c r="AA23" s="283">
        <v>0</v>
      </c>
      <c r="AB23" s="283">
        <v>1</v>
      </c>
      <c r="AC23" s="368">
        <v>0</v>
      </c>
      <c r="AD23" s="1080" t="s">
        <v>391</v>
      </c>
    </row>
    <row r="24" spans="1:30" ht="39.75" customHeight="1">
      <c r="A24" s="983" t="s">
        <v>392</v>
      </c>
      <c r="B24" s="874" t="s">
        <v>393</v>
      </c>
      <c r="C24" s="1034">
        <v>46052</v>
      </c>
      <c r="D24" s="772" t="s">
        <v>108</v>
      </c>
      <c r="E24" s="966">
        <v>45959</v>
      </c>
      <c r="F24" s="967" t="s">
        <v>394</v>
      </c>
      <c r="G24" s="967" t="s">
        <v>395</v>
      </c>
      <c r="H24" s="980">
        <v>83</v>
      </c>
      <c r="I24" s="773" t="s">
        <v>92</v>
      </c>
      <c r="J24" s="956" t="s">
        <v>55</v>
      </c>
      <c r="K24" s="365"/>
      <c r="L24" s="966" t="s">
        <v>345</v>
      </c>
      <c r="M24" s="956" t="s">
        <v>56</v>
      </c>
      <c r="N24" s="981">
        <v>45545.15</v>
      </c>
      <c r="O24" s="972" t="s">
        <v>56</v>
      </c>
      <c r="P24" s="985" t="s">
        <v>93</v>
      </c>
      <c r="Q24" s="934">
        <v>45946</v>
      </c>
      <c r="R24" s="1103"/>
      <c r="S24" s="1103"/>
      <c r="T24" s="1103"/>
      <c r="U24" s="1103"/>
      <c r="V24" s="982">
        <v>5827</v>
      </c>
      <c r="W24" s="988">
        <v>5827</v>
      </c>
      <c r="X24" s="982">
        <f>SUM(V24-W24)</f>
        <v>0</v>
      </c>
      <c r="Y24" s="875">
        <f t="shared" ref="Y24" si="11">IFERROR($W24/$V24, 0)</f>
        <v>1</v>
      </c>
      <c r="Z24" s="934">
        <v>45965</v>
      </c>
      <c r="AA24" s="283">
        <v>1</v>
      </c>
      <c r="AB24" s="283">
        <v>1</v>
      </c>
      <c r="AC24" s="283">
        <v>1</v>
      </c>
      <c r="AD24" s="936" t="s">
        <v>396</v>
      </c>
    </row>
    <row r="25" spans="1:30" ht="39.75" customHeight="1">
      <c r="A25" s="837" t="s">
        <v>397</v>
      </c>
      <c r="B25" s="358" t="s">
        <v>393</v>
      </c>
      <c r="C25" s="302">
        <v>45989</v>
      </c>
      <c r="D25" s="772" t="s">
        <v>108</v>
      </c>
      <c r="E25" s="302">
        <v>45959</v>
      </c>
      <c r="F25" s="301" t="s">
        <v>113</v>
      </c>
      <c r="G25" s="506" t="s">
        <v>398</v>
      </c>
      <c r="H25" s="303">
        <v>59</v>
      </c>
      <c r="I25" s="773" t="s">
        <v>92</v>
      </c>
      <c r="J25" s="774" t="s">
        <v>55</v>
      </c>
      <c r="K25" s="516"/>
      <c r="L25" s="20">
        <v>45964</v>
      </c>
      <c r="M25" s="774" t="s">
        <v>56</v>
      </c>
      <c r="N25" s="677">
        <v>65066.5</v>
      </c>
      <c r="O25" s="21" t="s">
        <v>56</v>
      </c>
      <c r="P25" s="836" t="s">
        <v>93</v>
      </c>
      <c r="Q25" s="22">
        <v>45964</v>
      </c>
      <c r="R25" s="791"/>
      <c r="S25" s="517"/>
      <c r="T25" s="517"/>
      <c r="U25" s="61">
        <v>46034</v>
      </c>
      <c r="V25" s="46">
        <v>5421</v>
      </c>
      <c r="W25" s="797">
        <v>5466</v>
      </c>
      <c r="X25" s="368">
        <f t="shared" ref="X25:X37" si="12">SUM(V25-W25)</f>
        <v>-45</v>
      </c>
      <c r="Y25" s="701">
        <f t="shared" si="10"/>
        <v>1.0083010514665192</v>
      </c>
      <c r="Z25" s="61">
        <v>45985</v>
      </c>
      <c r="AA25" s="283">
        <v>1</v>
      </c>
      <c r="AB25" s="283">
        <v>1</v>
      </c>
      <c r="AC25" s="283">
        <v>1</v>
      </c>
      <c r="AD25" s="1086" t="s">
        <v>399</v>
      </c>
    </row>
    <row r="26" spans="1:30" ht="39.75" customHeight="1">
      <c r="A26" s="983" t="s">
        <v>400</v>
      </c>
      <c r="B26" s="874" t="s">
        <v>393</v>
      </c>
      <c r="C26" s="966">
        <v>46019</v>
      </c>
      <c r="D26" s="772" t="s">
        <v>108</v>
      </c>
      <c r="E26" s="966">
        <v>45959</v>
      </c>
      <c r="F26" s="967" t="s">
        <v>113</v>
      </c>
      <c r="G26" s="967" t="s">
        <v>401</v>
      </c>
      <c r="H26" s="968">
        <v>90</v>
      </c>
      <c r="I26" s="773" t="s">
        <v>92</v>
      </c>
      <c r="J26" s="956" t="s">
        <v>55</v>
      </c>
      <c r="K26" s="516"/>
      <c r="L26" s="970">
        <v>45961</v>
      </c>
      <c r="M26" s="956" t="s">
        <v>56</v>
      </c>
      <c r="N26" s="984">
        <v>91897</v>
      </c>
      <c r="O26" s="972" t="s">
        <v>56</v>
      </c>
      <c r="P26" s="985" t="s">
        <v>93</v>
      </c>
      <c r="Q26" s="986">
        <v>45961</v>
      </c>
      <c r="R26" s="987"/>
      <c r="S26" s="974"/>
      <c r="T26" s="974"/>
      <c r="U26" s="61">
        <v>46034</v>
      </c>
      <c r="V26" s="944">
        <v>7457</v>
      </c>
      <c r="W26" s="988">
        <v>7468</v>
      </c>
      <c r="X26" s="902">
        <f>SUM(V26-W26)</f>
        <v>-11</v>
      </c>
      <c r="Y26" s="875">
        <f>IFERROR($W26/$V26, 0)</f>
        <v>1.0014751240445219</v>
      </c>
      <c r="Z26" s="934">
        <v>45974</v>
      </c>
      <c r="AA26" s="283">
        <v>1</v>
      </c>
      <c r="AB26" s="283">
        <v>1</v>
      </c>
      <c r="AC26" s="283">
        <v>1</v>
      </c>
      <c r="AD26" s="1086" t="s">
        <v>402</v>
      </c>
    </row>
    <row r="27" spans="1:30" ht="39.75" customHeight="1">
      <c r="A27" s="837" t="s">
        <v>403</v>
      </c>
      <c r="B27" s="358" t="s">
        <v>393</v>
      </c>
      <c r="C27" s="302">
        <v>45989</v>
      </c>
      <c r="D27" s="772" t="s">
        <v>108</v>
      </c>
      <c r="E27" s="302">
        <v>45959</v>
      </c>
      <c r="F27" s="301" t="s">
        <v>113</v>
      </c>
      <c r="G27" s="506" t="s">
        <v>404</v>
      </c>
      <c r="H27" s="303">
        <v>90</v>
      </c>
      <c r="I27" s="773" t="s">
        <v>92</v>
      </c>
      <c r="J27" s="774" t="s">
        <v>55</v>
      </c>
      <c r="K27" s="516"/>
      <c r="L27" s="20">
        <v>45964</v>
      </c>
      <c r="M27" s="774" t="s">
        <v>56</v>
      </c>
      <c r="N27" s="677">
        <v>96685</v>
      </c>
      <c r="O27" s="21" t="s">
        <v>56</v>
      </c>
      <c r="P27" s="836" t="s">
        <v>93</v>
      </c>
      <c r="Q27" s="22">
        <v>45964</v>
      </c>
      <c r="R27" s="791"/>
      <c r="S27" s="517"/>
      <c r="T27" s="517"/>
      <c r="U27" s="61">
        <v>46024</v>
      </c>
      <c r="V27" s="46">
        <v>7926</v>
      </c>
      <c r="W27" s="797">
        <v>7926</v>
      </c>
      <c r="X27" s="368">
        <f t="shared" si="12"/>
        <v>0</v>
      </c>
      <c r="Y27" s="701">
        <f t="shared" si="10"/>
        <v>1</v>
      </c>
      <c r="Z27" s="61">
        <v>45981</v>
      </c>
      <c r="AA27" s="283">
        <v>1</v>
      </c>
      <c r="AB27" s="283">
        <v>1</v>
      </c>
      <c r="AC27" s="283">
        <v>1</v>
      </c>
      <c r="AD27" s="1086" t="s">
        <v>405</v>
      </c>
    </row>
    <row r="28" spans="1:30" ht="39.75" customHeight="1">
      <c r="A28" s="983" t="s">
        <v>406</v>
      </c>
      <c r="B28" s="874" t="s">
        <v>393</v>
      </c>
      <c r="C28" s="966">
        <v>46021</v>
      </c>
      <c r="D28" s="772" t="s">
        <v>108</v>
      </c>
      <c r="E28" s="966">
        <v>45959</v>
      </c>
      <c r="F28" s="967" t="s">
        <v>113</v>
      </c>
      <c r="G28" s="967" t="s">
        <v>407</v>
      </c>
      <c r="H28" s="968">
        <v>88</v>
      </c>
      <c r="I28" s="773" t="s">
        <v>92</v>
      </c>
      <c r="J28" s="956" t="s">
        <v>55</v>
      </c>
      <c r="K28" s="516"/>
      <c r="L28" s="970">
        <v>45964</v>
      </c>
      <c r="M28" s="956" t="s">
        <v>56</v>
      </c>
      <c r="N28" s="984">
        <v>78736.5</v>
      </c>
      <c r="O28" s="972" t="s">
        <v>56</v>
      </c>
      <c r="P28" s="985" t="s">
        <v>93</v>
      </c>
      <c r="Q28" s="986">
        <v>45964</v>
      </c>
      <c r="R28" s="987"/>
      <c r="S28" s="974"/>
      <c r="T28" s="974"/>
      <c r="U28" s="934">
        <v>46048</v>
      </c>
      <c r="V28" s="944">
        <v>6403</v>
      </c>
      <c r="W28" s="988">
        <v>6432</v>
      </c>
      <c r="X28" s="902">
        <f>SUM(V28-W28)</f>
        <v>-29</v>
      </c>
      <c r="Y28" s="875">
        <f>IFERROR($W28/$V28, 0)</f>
        <v>1.004529126971732</v>
      </c>
      <c r="Z28" s="934">
        <v>46000</v>
      </c>
      <c r="AA28" s="283">
        <v>1</v>
      </c>
      <c r="AB28" s="283">
        <v>1</v>
      </c>
      <c r="AC28" s="283">
        <v>1</v>
      </c>
      <c r="AD28" s="1086" t="s">
        <v>408</v>
      </c>
    </row>
    <row r="29" spans="1:30" ht="39.75" customHeight="1">
      <c r="A29" s="983" t="s">
        <v>409</v>
      </c>
      <c r="B29" s="874" t="s">
        <v>393</v>
      </c>
      <c r="C29" s="966">
        <v>46021</v>
      </c>
      <c r="D29" s="772" t="s">
        <v>108</v>
      </c>
      <c r="E29" s="966">
        <v>45959</v>
      </c>
      <c r="F29" s="967" t="s">
        <v>113</v>
      </c>
      <c r="G29" s="967" t="s">
        <v>410</v>
      </c>
      <c r="H29" s="968">
        <v>86</v>
      </c>
      <c r="I29" s="773" t="s">
        <v>92</v>
      </c>
      <c r="J29" s="956" t="s">
        <v>55</v>
      </c>
      <c r="K29" s="516"/>
      <c r="L29" s="970">
        <v>45964</v>
      </c>
      <c r="M29" s="956" t="s">
        <v>56</v>
      </c>
      <c r="N29" s="984">
        <v>80698</v>
      </c>
      <c r="O29" s="972" t="s">
        <v>56</v>
      </c>
      <c r="P29" s="985" t="s">
        <v>93</v>
      </c>
      <c r="Q29" s="986">
        <v>45964</v>
      </c>
      <c r="R29" s="987"/>
      <c r="S29" s="974"/>
      <c r="T29" s="974"/>
      <c r="U29" s="974"/>
      <c r="V29" s="944">
        <v>6739</v>
      </c>
      <c r="W29" s="988">
        <v>6773</v>
      </c>
      <c r="X29" s="902">
        <f>SUM(V29-W29)</f>
        <v>-34</v>
      </c>
      <c r="Y29" s="875">
        <f t="shared" ref="Y29" si="13">IFERROR($W29/$V29, 0)</f>
        <v>1.0050452589404957</v>
      </c>
      <c r="Z29" s="934">
        <v>46008</v>
      </c>
      <c r="AA29" s="283">
        <v>1</v>
      </c>
      <c r="AB29" s="283">
        <v>1</v>
      </c>
      <c r="AC29" s="283">
        <v>1</v>
      </c>
      <c r="AD29" s="1086" t="s">
        <v>411</v>
      </c>
    </row>
    <row r="30" spans="1:30" ht="39.75" customHeight="1">
      <c r="A30" s="983" t="s">
        <v>412</v>
      </c>
      <c r="B30" s="874" t="s">
        <v>393</v>
      </c>
      <c r="C30" s="966">
        <v>46019</v>
      </c>
      <c r="D30" s="772" t="s">
        <v>108</v>
      </c>
      <c r="E30" s="966">
        <v>45959</v>
      </c>
      <c r="F30" s="967" t="s">
        <v>113</v>
      </c>
      <c r="G30" s="967" t="s">
        <v>413</v>
      </c>
      <c r="H30" s="968">
        <v>87</v>
      </c>
      <c r="I30" s="773" t="s">
        <v>92</v>
      </c>
      <c r="J30" s="956" t="s">
        <v>55</v>
      </c>
      <c r="K30" s="969"/>
      <c r="L30" s="970">
        <v>45964</v>
      </c>
      <c r="M30" s="956" t="s">
        <v>56</v>
      </c>
      <c r="N30" s="984">
        <v>87875</v>
      </c>
      <c r="O30" s="972" t="s">
        <v>56</v>
      </c>
      <c r="P30" s="985" t="s">
        <v>93</v>
      </c>
      <c r="Q30" s="986">
        <v>45964</v>
      </c>
      <c r="R30" s="987"/>
      <c r="S30" s="974"/>
      <c r="T30" s="974"/>
      <c r="U30" s="61">
        <v>46034</v>
      </c>
      <c r="V30" s="944">
        <v>7319</v>
      </c>
      <c r="W30" s="988">
        <v>7319</v>
      </c>
      <c r="X30" s="902">
        <f>SUM(V30-W30)</f>
        <v>0</v>
      </c>
      <c r="Y30" s="875">
        <f t="shared" ref="Y30" si="14">IFERROR($W30/$V30, 0)</f>
        <v>1</v>
      </c>
      <c r="Z30" s="934">
        <v>46000</v>
      </c>
      <c r="AA30" s="283">
        <v>1</v>
      </c>
      <c r="AB30" s="283">
        <v>1</v>
      </c>
      <c r="AC30" s="283">
        <v>1</v>
      </c>
      <c r="AD30" s="1086" t="s">
        <v>414</v>
      </c>
    </row>
    <row r="31" spans="1:30" ht="39.75" customHeight="1">
      <c r="A31" s="838" t="s">
        <v>415</v>
      </c>
      <c r="B31" s="639" t="s">
        <v>50</v>
      </c>
      <c r="C31" s="714">
        <v>45991</v>
      </c>
      <c r="D31" s="848" t="s">
        <v>131</v>
      </c>
      <c r="E31" s="25">
        <v>45743</v>
      </c>
      <c r="F31" s="624" t="s">
        <v>52</v>
      </c>
      <c r="G31" s="640" t="s">
        <v>416</v>
      </c>
      <c r="H31" s="628">
        <v>69</v>
      </c>
      <c r="I31" s="525" t="s">
        <v>92</v>
      </c>
      <c r="J31" s="365" t="s">
        <v>55</v>
      </c>
      <c r="K31" s="724"/>
      <c r="L31" s="20">
        <v>45741</v>
      </c>
      <c r="M31" s="303" t="s">
        <v>56</v>
      </c>
      <c r="N31" s="677">
        <v>67734.5</v>
      </c>
      <c r="O31" s="303" t="s">
        <v>56</v>
      </c>
      <c r="P31" s="836" t="s">
        <v>93</v>
      </c>
      <c r="Q31" s="22">
        <v>45744</v>
      </c>
      <c r="R31" s="22"/>
      <c r="S31" s="22"/>
      <c r="T31" s="22"/>
      <c r="U31" s="22"/>
      <c r="V31" s="6">
        <v>4822</v>
      </c>
      <c r="W31" s="797">
        <v>4958</v>
      </c>
      <c r="X31" s="46">
        <f t="shared" si="12"/>
        <v>-136</v>
      </c>
      <c r="Y31" s="779">
        <f t="shared" si="10"/>
        <v>1.0282040647034425</v>
      </c>
      <c r="Z31" s="22">
        <v>45784</v>
      </c>
      <c r="AA31" s="283">
        <v>0</v>
      </c>
      <c r="AB31" s="283">
        <v>0</v>
      </c>
      <c r="AC31" s="511">
        <v>0</v>
      </c>
      <c r="AD31" s="1007" t="s">
        <v>417</v>
      </c>
    </row>
    <row r="32" spans="1:30" ht="39.75" customHeight="1">
      <c r="A32" s="838" t="s">
        <v>418</v>
      </c>
      <c r="B32" s="623" t="s">
        <v>50</v>
      </c>
      <c r="C32" s="714">
        <v>45991</v>
      </c>
      <c r="D32" s="839" t="s">
        <v>419</v>
      </c>
      <c r="E32" s="625">
        <v>45735</v>
      </c>
      <c r="F32" s="624" t="s">
        <v>52</v>
      </c>
      <c r="G32" s="627" t="s">
        <v>420</v>
      </c>
      <c r="H32" s="628">
        <v>70</v>
      </c>
      <c r="I32" s="366" t="s">
        <v>92</v>
      </c>
      <c r="J32" s="373" t="s">
        <v>55</v>
      </c>
      <c r="K32" s="21"/>
      <c r="L32" s="302">
        <v>45716</v>
      </c>
      <c r="M32" s="21" t="s">
        <v>56</v>
      </c>
      <c r="N32" s="841">
        <v>56262.5</v>
      </c>
      <c r="O32" s="21" t="s">
        <v>56</v>
      </c>
      <c r="P32" s="836" t="s">
        <v>93</v>
      </c>
      <c r="Q32" s="22">
        <v>45744</v>
      </c>
      <c r="R32" s="22">
        <v>45917</v>
      </c>
      <c r="S32" s="22">
        <v>45930</v>
      </c>
      <c r="T32" s="22"/>
      <c r="U32" s="22"/>
      <c r="V32" s="6">
        <v>4870</v>
      </c>
      <c r="W32" s="797">
        <v>5044</v>
      </c>
      <c r="X32" s="46">
        <f t="shared" si="12"/>
        <v>-174</v>
      </c>
      <c r="Y32" s="779">
        <f t="shared" si="10"/>
        <v>1.0357289527720739</v>
      </c>
      <c r="Z32" s="22">
        <v>45754</v>
      </c>
      <c r="AA32" s="283">
        <v>0</v>
      </c>
      <c r="AB32" s="283">
        <v>0</v>
      </c>
      <c r="AC32" s="10">
        <v>0</v>
      </c>
      <c r="AD32" s="1088" t="s">
        <v>421</v>
      </c>
    </row>
    <row r="33" spans="1:30" ht="39.75" customHeight="1">
      <c r="A33" s="953" t="s">
        <v>422</v>
      </c>
      <c r="B33" s="662" t="s">
        <v>50</v>
      </c>
      <c r="C33" s="896">
        <v>46080</v>
      </c>
      <c r="D33" s="908" t="s">
        <v>51</v>
      </c>
      <c r="E33" s="907">
        <v>45748</v>
      </c>
      <c r="F33" s="370" t="s">
        <v>52</v>
      </c>
      <c r="G33" s="908" t="s">
        <v>423</v>
      </c>
      <c r="H33" s="909">
        <v>0</v>
      </c>
      <c r="I33" s="909" t="s">
        <v>92</v>
      </c>
      <c r="J33" s="909" t="s">
        <v>55</v>
      </c>
      <c r="K33" s="909"/>
      <c r="L33" s="907">
        <v>46028</v>
      </c>
      <c r="M33" s="909" t="s">
        <v>56</v>
      </c>
      <c r="N33" s="919">
        <v>29634.15</v>
      </c>
      <c r="O33" s="909" t="s">
        <v>56</v>
      </c>
      <c r="P33" s="954" t="s">
        <v>93</v>
      </c>
      <c r="Q33" s="912">
        <v>45743</v>
      </c>
      <c r="R33" s="912"/>
      <c r="S33" s="912"/>
      <c r="T33" s="912"/>
      <c r="U33" s="912"/>
      <c r="V33" s="913">
        <v>1831</v>
      </c>
      <c r="W33" s="955">
        <v>1904</v>
      </c>
      <c r="X33" s="902">
        <f>SUM(V33-W33)</f>
        <v>-73</v>
      </c>
      <c r="Y33" s="526">
        <f>IFERROR($W33/$V33, 0)</f>
        <v>1.0398689240851993</v>
      </c>
      <c r="Z33" s="912">
        <v>45790</v>
      </c>
      <c r="AA33" s="904">
        <v>0</v>
      </c>
      <c r="AB33" s="904">
        <v>0</v>
      </c>
      <c r="AC33" s="913">
        <v>0</v>
      </c>
      <c r="AD33" s="924" t="s">
        <v>424</v>
      </c>
    </row>
    <row r="34" spans="1:30" ht="39.75" customHeight="1">
      <c r="A34" s="746" t="s">
        <v>425</v>
      </c>
      <c r="B34" s="662" t="s">
        <v>50</v>
      </c>
      <c r="C34" s="363">
        <v>45991</v>
      </c>
      <c r="D34" s="363" t="s">
        <v>131</v>
      </c>
      <c r="E34" s="371">
        <v>45748</v>
      </c>
      <c r="F34" s="370" t="s">
        <v>52</v>
      </c>
      <c r="G34" s="663" t="s">
        <v>426</v>
      </c>
      <c r="H34" s="373">
        <v>0</v>
      </c>
      <c r="I34" s="373" t="s">
        <v>92</v>
      </c>
      <c r="J34" s="365" t="s">
        <v>55</v>
      </c>
      <c r="K34" s="664"/>
      <c r="L34" s="371">
        <v>45741</v>
      </c>
      <c r="M34" s="365" t="s">
        <v>56</v>
      </c>
      <c r="N34" s="784">
        <v>17203.45</v>
      </c>
      <c r="O34" s="365" t="s">
        <v>56</v>
      </c>
      <c r="P34" s="771" t="s">
        <v>93</v>
      </c>
      <c r="Q34" s="374">
        <v>45742</v>
      </c>
      <c r="R34" s="374"/>
      <c r="S34" s="374"/>
      <c r="T34" s="374"/>
      <c r="U34" s="374"/>
      <c r="V34" s="10">
        <v>1157</v>
      </c>
      <c r="W34" s="497">
        <v>1181</v>
      </c>
      <c r="X34" s="368">
        <f>SUM(V34-W34)</f>
        <v>-24</v>
      </c>
      <c r="Y34" s="526">
        <f>IFERROR($W34/$V34, 0)</f>
        <v>1.0207433016421781</v>
      </c>
      <c r="Z34" s="374">
        <v>45925</v>
      </c>
      <c r="AA34" s="283">
        <v>0</v>
      </c>
      <c r="AB34" s="283">
        <v>0</v>
      </c>
      <c r="AC34" s="511">
        <v>0</v>
      </c>
      <c r="AD34" s="1089" t="s">
        <v>427</v>
      </c>
    </row>
    <row r="35" spans="1:30" ht="39.75" customHeight="1">
      <c r="A35" s="953" t="s">
        <v>428</v>
      </c>
      <c r="B35" s="662" t="s">
        <v>50</v>
      </c>
      <c r="C35" s="896">
        <v>46048</v>
      </c>
      <c r="D35" s="896" t="s">
        <v>429</v>
      </c>
      <c r="E35" s="907">
        <v>45748</v>
      </c>
      <c r="F35" s="665" t="s">
        <v>52</v>
      </c>
      <c r="G35" s="908" t="s">
        <v>430</v>
      </c>
      <c r="H35" s="909">
        <v>0</v>
      </c>
      <c r="I35" s="909" t="s">
        <v>92</v>
      </c>
      <c r="J35" s="898" t="s">
        <v>55</v>
      </c>
      <c r="K35" s="664"/>
      <c r="L35" s="907">
        <v>45742</v>
      </c>
      <c r="M35" s="898" t="s">
        <v>56</v>
      </c>
      <c r="N35" s="919">
        <v>13442.35</v>
      </c>
      <c r="O35" s="898" t="s">
        <v>56</v>
      </c>
      <c r="P35" s="1077" t="s">
        <v>93</v>
      </c>
      <c r="Q35" s="912">
        <v>46027</v>
      </c>
      <c r="R35" s="912"/>
      <c r="S35" s="912"/>
      <c r="T35" s="912"/>
      <c r="U35" s="912"/>
      <c r="V35" s="903">
        <v>831</v>
      </c>
      <c r="W35" s="1101">
        <v>863</v>
      </c>
      <c r="X35" s="902">
        <f t="shared" ref="X35" si="15">SUM(V35-W35)</f>
        <v>-32</v>
      </c>
      <c r="Y35" s="526">
        <f t="shared" ref="Y35" si="16">IFERROR($W35/$V35, 0)</f>
        <v>1.0385078219013237</v>
      </c>
      <c r="Z35" s="912">
        <v>46034</v>
      </c>
      <c r="AA35" s="904">
        <v>0</v>
      </c>
      <c r="AB35" s="904">
        <v>0</v>
      </c>
      <c r="AC35" s="511">
        <v>0</v>
      </c>
      <c r="AD35" s="1102" t="s">
        <v>431</v>
      </c>
    </row>
    <row r="36" spans="1:30" ht="39.75" customHeight="1">
      <c r="A36" s="838" t="s">
        <v>432</v>
      </c>
      <c r="B36" s="639" t="s">
        <v>50</v>
      </c>
      <c r="C36" s="714">
        <v>45991</v>
      </c>
      <c r="D36" s="848" t="s">
        <v>131</v>
      </c>
      <c r="E36" s="25">
        <v>45779</v>
      </c>
      <c r="F36" s="624" t="s">
        <v>52</v>
      </c>
      <c r="G36" s="640" t="s">
        <v>433</v>
      </c>
      <c r="H36" s="628">
        <v>0</v>
      </c>
      <c r="I36" s="373" t="s">
        <v>92</v>
      </c>
      <c r="J36" s="365" t="s">
        <v>55</v>
      </c>
      <c r="K36" s="724"/>
      <c r="L36" s="20">
        <v>45742</v>
      </c>
      <c r="M36" s="730" t="s">
        <v>56</v>
      </c>
      <c r="N36" s="841">
        <v>23800.25</v>
      </c>
      <c r="O36" s="303" t="s">
        <v>56</v>
      </c>
      <c r="P36" s="836" t="s">
        <v>93</v>
      </c>
      <c r="Q36" s="22">
        <v>45743</v>
      </c>
      <c r="R36" s="132"/>
      <c r="S36" s="22"/>
      <c r="T36" s="22"/>
      <c r="U36" s="22"/>
      <c r="V36" s="6">
        <v>1697</v>
      </c>
      <c r="W36" s="797">
        <v>1815</v>
      </c>
      <c r="X36" s="368">
        <f t="shared" si="12"/>
        <v>-118</v>
      </c>
      <c r="Y36" s="693">
        <f t="shared" si="10"/>
        <v>1.0695344725987035</v>
      </c>
      <c r="Z36" s="22">
        <v>45791</v>
      </c>
      <c r="AA36" s="474">
        <v>1</v>
      </c>
      <c r="AB36" s="474">
        <v>0</v>
      </c>
      <c r="AC36" s="849">
        <v>0</v>
      </c>
      <c r="AD36" s="1088" t="s">
        <v>434</v>
      </c>
    </row>
    <row r="37" spans="1:30" ht="39.75" customHeight="1">
      <c r="A37" s="953" t="s">
        <v>435</v>
      </c>
      <c r="B37" s="662" t="s">
        <v>50</v>
      </c>
      <c r="C37" s="896">
        <v>46044</v>
      </c>
      <c r="D37" s="896" t="s">
        <v>131</v>
      </c>
      <c r="E37" s="907">
        <v>45700</v>
      </c>
      <c r="F37" s="907" t="s">
        <v>52</v>
      </c>
      <c r="G37" s="907" t="s">
        <v>436</v>
      </c>
      <c r="H37" s="909">
        <v>0</v>
      </c>
      <c r="I37" s="909" t="s">
        <v>92</v>
      </c>
      <c r="J37" s="909" t="s">
        <v>55</v>
      </c>
      <c r="K37" s="909"/>
      <c r="L37" s="907">
        <v>45700</v>
      </c>
      <c r="M37" s="909" t="s">
        <v>56</v>
      </c>
      <c r="N37" s="919">
        <v>19745.25</v>
      </c>
      <c r="O37" s="909" t="s">
        <v>56</v>
      </c>
      <c r="P37" s="1077" t="s">
        <v>93</v>
      </c>
      <c r="Q37" s="912">
        <v>45696</v>
      </c>
      <c r="R37" s="912"/>
      <c r="S37" s="912"/>
      <c r="T37" s="912"/>
      <c r="U37" s="912"/>
      <c r="V37" s="913">
        <v>1534</v>
      </c>
      <c r="W37" s="955">
        <v>1571</v>
      </c>
      <c r="X37" s="902">
        <f t="shared" si="12"/>
        <v>-37</v>
      </c>
      <c r="Y37" s="526">
        <f t="shared" si="10"/>
        <v>1.0241199478487615</v>
      </c>
      <c r="Z37" s="912">
        <v>45736</v>
      </c>
      <c r="AA37" s="904">
        <v>0</v>
      </c>
      <c r="AB37" s="904">
        <v>0</v>
      </c>
      <c r="AC37" s="656">
        <v>0</v>
      </c>
      <c r="AD37" s="1087" t="s">
        <v>437</v>
      </c>
    </row>
    <row r="38" spans="1:30" ht="39.75" customHeight="1">
      <c r="A38" s="953" t="s">
        <v>438</v>
      </c>
      <c r="B38" s="662" t="s">
        <v>50</v>
      </c>
      <c r="C38" s="896">
        <v>46218</v>
      </c>
      <c r="D38" s="896" t="s">
        <v>439</v>
      </c>
      <c r="E38" s="20" t="s">
        <v>345</v>
      </c>
      <c r="F38" s="908" t="s">
        <v>52</v>
      </c>
      <c r="G38" s="908" t="s">
        <v>440</v>
      </c>
      <c r="H38" s="909">
        <v>380</v>
      </c>
      <c r="I38" s="525" t="s">
        <v>92</v>
      </c>
      <c r="J38" s="898" t="s">
        <v>67</v>
      </c>
      <c r="K38" s="928"/>
      <c r="L38" s="907">
        <v>45964</v>
      </c>
      <c r="M38" s="909" t="s">
        <v>56</v>
      </c>
      <c r="N38" s="919">
        <v>117414</v>
      </c>
      <c r="O38" s="909" t="s">
        <v>56</v>
      </c>
      <c r="P38" s="954" t="s">
        <v>93</v>
      </c>
      <c r="Q38" s="912">
        <v>45964</v>
      </c>
      <c r="R38" s="912"/>
      <c r="S38" s="912"/>
      <c r="T38" s="912"/>
      <c r="U38" s="912"/>
      <c r="V38" s="913">
        <v>9181</v>
      </c>
      <c r="W38" s="955">
        <v>9179</v>
      </c>
      <c r="X38" s="902">
        <f>SUM(V38-W38)</f>
        <v>2</v>
      </c>
      <c r="Y38" s="694">
        <f t="shared" si="10"/>
        <v>0.99978215880623023</v>
      </c>
      <c r="Z38" s="901">
        <v>45992</v>
      </c>
      <c r="AA38" s="904">
        <v>1</v>
      </c>
      <c r="AB38" s="904">
        <v>0</v>
      </c>
      <c r="AC38" s="511">
        <v>0</v>
      </c>
      <c r="AD38" s="1080" t="s">
        <v>441</v>
      </c>
    </row>
    <row r="39" spans="1:30" ht="39.75" customHeight="1"/>
    <row r="40" spans="1:30" ht="39.75" customHeight="1"/>
    <row r="41" spans="1:30" ht="39.75" customHeight="1"/>
    <row r="42" spans="1:30" ht="39.75" customHeight="1"/>
    <row r="43"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9:K25 K27:K30" xr:uid="{1F77D159-87F8-4334-B8DB-1D98E9EF8F0C}">
      <formula1>"Pending Locates,Permits, SOW Pending, NTP Pending, Materials, Reassigned, Door Tags"</formula1>
    </dataValidation>
    <dataValidation type="list" allowBlank="1" showInputMessage="1" showErrorMessage="1" sqref="I37 I11:I12 I8 I14:I16 I21:I22" xr:uid="{FF75A226-FC7F-404C-911A-49986724D48A}">
      <formula1>"On Track, In Jeopardy, Completed on Track, Completed, Completed -Missed TSD, On Hold Per Tillman"</formula1>
    </dataValidation>
    <dataValidation type="list" allowBlank="1" showInputMessage="1" showErrorMessage="1" sqref="I38 I13 I17:I20 I23:I36 I2:I10" xr:uid="{FAE40925-7EC8-4626-B635-D815FEB73FF5}">
      <formula1>"On Track, In Jeopardy, Completed on Track, Completed, Completed -Missed TSD"</formula1>
    </dataValidation>
    <dataValidation type="list" allowBlank="1" showInputMessage="1" showErrorMessage="1" sqref="J5 J13 J2:J3 J17:J38 J7:J9" xr:uid="{ECCD296E-320E-42DF-8A21-19E7E0361B1B}">
      <formula1>"Received, Pending, Not Required"</formula1>
    </dataValidation>
    <dataValidation allowBlank="1" showInputMessage="1" showErrorMessage="1" sqref="E37:E38 D36 L33:L38 Q36:U38 U29 L25:L30 Q25:T30 D24:D32 L1:L23 Q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X118" activePane="topRight" state="frozen"/>
      <selection pane="topRight" activeCell="A119" sqref="A11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6" t="s">
        <v>48</v>
      </c>
    </row>
    <row r="2" spans="1:27" ht="39.75" customHeight="1">
      <c r="A2" s="300" t="s">
        <v>444</v>
      </c>
      <c r="B2" s="802" t="s">
        <v>143</v>
      </c>
      <c r="C2" s="302">
        <v>45868</v>
      </c>
      <c r="D2" s="19" t="s">
        <v>445</v>
      </c>
      <c r="E2" s="20">
        <v>45716</v>
      </c>
      <c r="F2" s="19" t="s">
        <v>158</v>
      </c>
      <c r="G2" s="1275" t="s">
        <v>446</v>
      </c>
      <c r="H2" s="21">
        <v>0</v>
      </c>
      <c r="I2" s="524" t="s">
        <v>92</v>
      </c>
      <c r="J2" s="21" t="s">
        <v>55</v>
      </c>
      <c r="K2" s="302">
        <v>45716</v>
      </c>
      <c r="L2" s="21" t="s">
        <v>56</v>
      </c>
      <c r="M2" s="346">
        <v>64932.55</v>
      </c>
      <c r="N2" s="1066">
        <v>69110.8</v>
      </c>
      <c r="O2" s="21" t="s">
        <v>56</v>
      </c>
      <c r="P2" s="303" t="s">
        <v>93</v>
      </c>
      <c r="Q2" s="132">
        <v>45721</v>
      </c>
      <c r="R2" s="6">
        <v>5151</v>
      </c>
      <c r="S2" s="46">
        <v>5207</v>
      </c>
      <c r="T2" s="1144">
        <v>0</v>
      </c>
      <c r="U2" s="521">
        <v>1.01</v>
      </c>
      <c r="V2" s="542">
        <v>45748</v>
      </c>
      <c r="W2" s="283">
        <v>1</v>
      </c>
      <c r="X2" s="283">
        <v>1</v>
      </c>
      <c r="Y2" s="390">
        <v>1</v>
      </c>
      <c r="Z2" s="284" t="s">
        <v>447</v>
      </c>
      <c r="AA2" s="40"/>
    </row>
    <row r="3" spans="1:27" ht="39.75" customHeight="1">
      <c r="A3" s="539" t="s">
        <v>448</v>
      </c>
      <c r="B3" s="802" t="s">
        <v>143</v>
      </c>
      <c r="C3" s="302">
        <v>45991</v>
      </c>
      <c r="D3" s="20" t="s">
        <v>352</v>
      </c>
      <c r="E3" s="522">
        <v>45707</v>
      </c>
      <c r="F3" s="19" t="s">
        <v>158</v>
      </c>
      <c r="G3" s="523" t="s">
        <v>449</v>
      </c>
      <c r="H3" s="524">
        <v>0</v>
      </c>
      <c r="I3" s="524" t="s">
        <v>92</v>
      </c>
      <c r="J3" s="524" t="s">
        <v>55</v>
      </c>
      <c r="K3" s="20">
        <v>45708</v>
      </c>
      <c r="L3" s="524" t="s">
        <v>56</v>
      </c>
      <c r="M3" s="527">
        <v>87944.4</v>
      </c>
      <c r="N3" s="1066">
        <v>99159.12</v>
      </c>
      <c r="O3" s="524" t="s">
        <v>56</v>
      </c>
      <c r="P3" s="303" t="s">
        <v>93</v>
      </c>
      <c r="Q3" s="542">
        <v>45709</v>
      </c>
      <c r="R3" s="685">
        <v>7008</v>
      </c>
      <c r="S3" s="764">
        <v>7258</v>
      </c>
      <c r="T3" s="862">
        <v>0</v>
      </c>
      <c r="U3" s="521">
        <v>1.04</v>
      </c>
      <c r="V3" s="542">
        <v>45747</v>
      </c>
      <c r="W3" s="526">
        <v>1</v>
      </c>
      <c r="X3" s="526">
        <v>1</v>
      </c>
      <c r="Y3" s="390">
        <v>1</v>
      </c>
      <c r="Z3" s="284">
        <v>46072</v>
      </c>
      <c r="AA3" s="703" t="s">
        <v>450</v>
      </c>
    </row>
    <row r="4" spans="1:27" ht="39.75" customHeight="1">
      <c r="A4" s="300" t="s">
        <v>451</v>
      </c>
      <c r="B4" s="314" t="s">
        <v>143</v>
      </c>
      <c r="C4" s="20">
        <v>45807</v>
      </c>
      <c r="D4" s="20" t="s">
        <v>452</v>
      </c>
      <c r="E4" s="20">
        <v>45706</v>
      </c>
      <c r="F4" s="19" t="s">
        <v>158</v>
      </c>
      <c r="G4" s="309" t="s">
        <v>453</v>
      </c>
      <c r="H4" s="21">
        <v>56</v>
      </c>
      <c r="I4" s="307" t="s">
        <v>92</v>
      </c>
      <c r="J4" s="21" t="s">
        <v>55</v>
      </c>
      <c r="K4" s="20">
        <v>45701</v>
      </c>
      <c r="L4" s="307" t="s">
        <v>56</v>
      </c>
      <c r="M4" s="346">
        <v>55089</v>
      </c>
      <c r="N4" s="429">
        <v>57509</v>
      </c>
      <c r="O4" s="622" t="s">
        <v>56</v>
      </c>
      <c r="P4" s="303" t="s">
        <v>93</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143</v>
      </c>
      <c r="C5" s="302">
        <v>45991</v>
      </c>
      <c r="D5" s="19" t="s">
        <v>456</v>
      </c>
      <c r="E5" s="20">
        <v>45716</v>
      </c>
      <c r="F5" s="19" t="s">
        <v>150</v>
      </c>
      <c r="G5" s="306" t="s">
        <v>457</v>
      </c>
      <c r="H5" s="21">
        <v>31</v>
      </c>
      <c r="I5" s="307" t="s">
        <v>92</v>
      </c>
      <c r="J5" s="21" t="s">
        <v>55</v>
      </c>
      <c r="K5" s="302">
        <v>45716</v>
      </c>
      <c r="L5" s="21" t="s">
        <v>56</v>
      </c>
      <c r="M5" s="346">
        <v>28777</v>
      </c>
      <c r="N5" s="429">
        <v>28496.799999999999</v>
      </c>
      <c r="O5" s="21" t="s">
        <v>56</v>
      </c>
      <c r="P5" s="303" t="s">
        <v>93</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143</v>
      </c>
      <c r="C6" s="302">
        <v>45991</v>
      </c>
      <c r="D6" s="19" t="s">
        <v>459</v>
      </c>
      <c r="E6" s="20">
        <v>45735</v>
      </c>
      <c r="F6" s="19" t="s">
        <v>158</v>
      </c>
      <c r="G6" s="306" t="s">
        <v>460</v>
      </c>
      <c r="H6" s="21">
        <v>0</v>
      </c>
      <c r="I6" s="21" t="s">
        <v>92</v>
      </c>
      <c r="J6" s="21" t="s">
        <v>55</v>
      </c>
      <c r="K6" s="485">
        <v>45718</v>
      </c>
      <c r="L6" s="21" t="s">
        <v>56</v>
      </c>
      <c r="M6" s="346">
        <v>200394.1</v>
      </c>
      <c r="N6" s="346">
        <v>209003.94</v>
      </c>
      <c r="O6" s="21" t="s">
        <v>56</v>
      </c>
      <c r="P6" s="303" t="s">
        <v>93</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131</v>
      </c>
      <c r="E7" s="522">
        <v>45691</v>
      </c>
      <c r="F7" s="522" t="s">
        <v>96</v>
      </c>
      <c r="G7" s="534" t="s">
        <v>462</v>
      </c>
      <c r="H7" s="21">
        <v>0</v>
      </c>
      <c r="I7" s="524" t="s">
        <v>92</v>
      </c>
      <c r="J7" s="21" t="s">
        <v>55</v>
      </c>
      <c r="K7" s="20">
        <v>45708</v>
      </c>
      <c r="L7" s="21" t="s">
        <v>56</v>
      </c>
      <c r="M7" s="346">
        <v>62460.45</v>
      </c>
      <c r="N7" s="429">
        <v>61491.05</v>
      </c>
      <c r="O7" s="21" t="s">
        <v>56</v>
      </c>
      <c r="P7" s="21" t="s">
        <v>93</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96</v>
      </c>
      <c r="G8" s="448" t="s">
        <v>465</v>
      </c>
      <c r="H8" s="303">
        <v>0</v>
      </c>
      <c r="I8" s="531" t="s">
        <v>92</v>
      </c>
      <c r="J8" s="303" t="s">
        <v>55</v>
      </c>
      <c r="K8" s="302">
        <v>45735</v>
      </c>
      <c r="L8" s="303" t="s">
        <v>56</v>
      </c>
      <c r="M8" s="349">
        <v>15690.1</v>
      </c>
      <c r="N8" s="429">
        <v>16153.75</v>
      </c>
      <c r="O8" s="303" t="s">
        <v>56</v>
      </c>
      <c r="P8" s="303" t="s">
        <v>93</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108</v>
      </c>
      <c r="E9" s="302">
        <v>45813</v>
      </c>
      <c r="F9" s="464" t="s">
        <v>113</v>
      </c>
      <c r="G9" s="448" t="s">
        <v>468</v>
      </c>
      <c r="H9" s="303">
        <v>0</v>
      </c>
      <c r="I9" s="304" t="s">
        <v>92</v>
      </c>
      <c r="J9" s="303" t="s">
        <v>55</v>
      </c>
      <c r="K9" s="302">
        <v>45793</v>
      </c>
      <c r="L9" s="303" t="s">
        <v>56</v>
      </c>
      <c r="M9" s="349">
        <v>104070.8</v>
      </c>
      <c r="N9" s="346">
        <v>106593.55</v>
      </c>
      <c r="O9" s="303" t="s">
        <v>56</v>
      </c>
      <c r="P9" s="303" t="s">
        <v>93</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108</v>
      </c>
      <c r="E10" s="302">
        <v>45778</v>
      </c>
      <c r="F10" s="301" t="s">
        <v>96</v>
      </c>
      <c r="G10" s="535" t="s">
        <v>471</v>
      </c>
      <c r="H10" s="303">
        <v>0</v>
      </c>
      <c r="I10" s="303" t="s">
        <v>92</v>
      </c>
      <c r="J10" s="303" t="s">
        <v>55</v>
      </c>
      <c r="K10" s="302">
        <v>45782</v>
      </c>
      <c r="L10" s="303" t="s">
        <v>56</v>
      </c>
      <c r="M10" s="349">
        <v>119135.3</v>
      </c>
      <c r="N10" s="346">
        <v>121256.65</v>
      </c>
      <c r="O10" s="303" t="s">
        <v>56</v>
      </c>
      <c r="P10" s="303" t="s">
        <v>93</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7" t="s">
        <v>472</v>
      </c>
    </row>
    <row r="11" spans="1:27" ht="39.75" customHeight="1">
      <c r="A11" s="300" t="s">
        <v>473</v>
      </c>
      <c r="B11" s="19" t="s">
        <v>80</v>
      </c>
      <c r="C11" s="20">
        <v>45787</v>
      </c>
      <c r="D11" s="522" t="s">
        <v>108</v>
      </c>
      <c r="E11" s="20">
        <v>45715</v>
      </c>
      <c r="F11" s="19" t="s">
        <v>96</v>
      </c>
      <c r="G11" s="534" t="s">
        <v>474</v>
      </c>
      <c r="H11" s="21">
        <v>0</v>
      </c>
      <c r="I11" s="524" t="s">
        <v>92</v>
      </c>
      <c r="J11" s="21" t="s">
        <v>55</v>
      </c>
      <c r="K11" s="19" t="s">
        <v>93</v>
      </c>
      <c r="L11" s="21" t="s">
        <v>56</v>
      </c>
      <c r="M11" s="346">
        <v>12601.45</v>
      </c>
      <c r="N11" s="429">
        <v>13008.1</v>
      </c>
      <c r="O11" s="21" t="s">
        <v>56</v>
      </c>
      <c r="P11" s="21" t="s">
        <v>93</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108</v>
      </c>
      <c r="E12" s="20">
        <v>45828</v>
      </c>
      <c r="F12" s="308" t="s">
        <v>113</v>
      </c>
      <c r="G12" s="306" t="s">
        <v>476</v>
      </c>
      <c r="H12" s="21">
        <v>0</v>
      </c>
      <c r="I12" s="307" t="s">
        <v>92</v>
      </c>
      <c r="J12" s="21" t="s">
        <v>55</v>
      </c>
      <c r="K12" s="302">
        <v>45826</v>
      </c>
      <c r="L12" s="303" t="s">
        <v>56</v>
      </c>
      <c r="M12" s="349">
        <v>144886</v>
      </c>
      <c r="N12" s="346">
        <v>138688</v>
      </c>
      <c r="O12" s="303" t="s">
        <v>56</v>
      </c>
      <c r="P12" s="303" t="s">
        <v>93</v>
      </c>
      <c r="Q12" s="1278">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113</v>
      </c>
      <c r="G13" s="536" t="s">
        <v>61</v>
      </c>
      <c r="H13" s="303">
        <v>54</v>
      </c>
      <c r="I13" s="531" t="s">
        <v>480</v>
      </c>
      <c r="J13" s="303" t="s">
        <v>55</v>
      </c>
      <c r="K13" s="301" t="s">
        <v>93</v>
      </c>
      <c r="L13" s="531" t="s">
        <v>56</v>
      </c>
      <c r="M13" s="349">
        <v>47461.5</v>
      </c>
      <c r="N13" s="444">
        <v>45340</v>
      </c>
      <c r="O13" s="531" t="s">
        <v>56</v>
      </c>
      <c r="P13" s="303" t="s">
        <v>93</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108</v>
      </c>
      <c r="E14" s="20">
        <v>45712</v>
      </c>
      <c r="F14" s="522" t="s">
        <v>96</v>
      </c>
      <c r="G14" s="530" t="s">
        <v>482</v>
      </c>
      <c r="H14" s="21">
        <v>49</v>
      </c>
      <c r="I14" s="21" t="s">
        <v>480</v>
      </c>
      <c r="J14" s="21" t="s">
        <v>55</v>
      </c>
      <c r="K14" s="20">
        <v>45713</v>
      </c>
      <c r="L14" s="524" t="s">
        <v>56</v>
      </c>
      <c r="M14" s="346">
        <v>43064</v>
      </c>
      <c r="N14" s="445">
        <v>44346</v>
      </c>
      <c r="O14" s="524" t="s">
        <v>56</v>
      </c>
      <c r="P14" s="303" t="s">
        <v>93</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108</v>
      </c>
      <c r="E15" s="20">
        <v>45706</v>
      </c>
      <c r="F15" s="522" t="s">
        <v>113</v>
      </c>
      <c r="G15" s="534" t="s">
        <v>484</v>
      </c>
      <c r="H15" s="21">
        <v>56</v>
      </c>
      <c r="I15" s="524" t="s">
        <v>480</v>
      </c>
      <c r="J15" s="21" t="s">
        <v>55</v>
      </c>
      <c r="K15" s="529">
        <v>45707</v>
      </c>
      <c r="L15" s="21" t="s">
        <v>56</v>
      </c>
      <c r="M15" s="346">
        <v>62522.54</v>
      </c>
      <c r="N15" s="429">
        <v>56001</v>
      </c>
      <c r="O15" s="21" t="s">
        <v>56</v>
      </c>
      <c r="P15" s="21" t="s">
        <v>93</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108</v>
      </c>
      <c r="E16" s="20">
        <v>45755</v>
      </c>
      <c r="F16" s="522" t="s">
        <v>113</v>
      </c>
      <c r="G16" s="448" t="s">
        <v>486</v>
      </c>
      <c r="H16" s="21">
        <v>82</v>
      </c>
      <c r="I16" s="524" t="s">
        <v>92</v>
      </c>
      <c r="J16" s="21" t="s">
        <v>55</v>
      </c>
      <c r="K16" s="529">
        <v>45756</v>
      </c>
      <c r="L16" s="21" t="s">
        <v>56</v>
      </c>
      <c r="M16" s="346">
        <v>67171.5</v>
      </c>
      <c r="N16" s="429">
        <v>64739</v>
      </c>
      <c r="O16" s="21" t="s">
        <v>56</v>
      </c>
      <c r="P16" s="21" t="s">
        <v>93</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113</v>
      </c>
      <c r="G17" s="534" t="s">
        <v>488</v>
      </c>
      <c r="H17" s="21">
        <v>79</v>
      </c>
      <c r="I17" s="524" t="s">
        <v>92</v>
      </c>
      <c r="J17" s="21" t="s">
        <v>55</v>
      </c>
      <c r="K17" s="20">
        <v>45749</v>
      </c>
      <c r="L17" s="21" t="s">
        <v>56</v>
      </c>
      <c r="M17" s="346">
        <v>72492</v>
      </c>
      <c r="N17" s="429">
        <v>73087.5</v>
      </c>
      <c r="O17" s="21" t="s">
        <v>56</v>
      </c>
      <c r="P17" s="21" t="s">
        <v>93</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108</v>
      </c>
      <c r="E18" s="20">
        <v>45749</v>
      </c>
      <c r="F18" s="522" t="s">
        <v>96</v>
      </c>
      <c r="G18" s="534" t="s">
        <v>490</v>
      </c>
      <c r="H18" s="21">
        <v>59</v>
      </c>
      <c r="I18" s="524" t="s">
        <v>92</v>
      </c>
      <c r="J18" s="21" t="s">
        <v>55</v>
      </c>
      <c r="K18" s="20">
        <v>45750</v>
      </c>
      <c r="L18" s="21" t="s">
        <v>56</v>
      </c>
      <c r="M18" s="346">
        <v>51295</v>
      </c>
      <c r="N18" s="429">
        <v>51485.5</v>
      </c>
      <c r="O18" s="21" t="s">
        <v>56</v>
      </c>
      <c r="P18" s="21" t="s">
        <v>93</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96</v>
      </c>
      <c r="G19" s="530" t="s">
        <v>493</v>
      </c>
      <c r="H19" s="21">
        <v>23</v>
      </c>
      <c r="I19" s="21" t="s">
        <v>92</v>
      </c>
      <c r="J19" s="21" t="s">
        <v>55</v>
      </c>
      <c r="K19" s="19" t="s">
        <v>93</v>
      </c>
      <c r="L19" s="524" t="s">
        <v>56</v>
      </c>
      <c r="M19" s="346">
        <v>26617</v>
      </c>
      <c r="N19" s="445">
        <v>25405</v>
      </c>
      <c r="O19" s="524" t="s">
        <v>56</v>
      </c>
      <c r="P19" s="21" t="s">
        <v>93</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131</v>
      </c>
      <c r="E20" s="20">
        <v>45679</v>
      </c>
      <c r="F20" s="522" t="s">
        <v>96</v>
      </c>
      <c r="G20" s="530" t="s">
        <v>495</v>
      </c>
      <c r="H20" s="21">
        <v>70</v>
      </c>
      <c r="I20" s="524" t="s">
        <v>480</v>
      </c>
      <c r="J20" s="21" t="s">
        <v>55</v>
      </c>
      <c r="K20" s="19" t="s">
        <v>93</v>
      </c>
      <c r="L20" s="524" t="s">
        <v>56</v>
      </c>
      <c r="M20" s="346">
        <v>72118</v>
      </c>
      <c r="N20" s="537">
        <v>70778</v>
      </c>
      <c r="O20" s="524" t="s">
        <v>56</v>
      </c>
      <c r="P20" s="21" t="s">
        <v>93</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108</v>
      </c>
      <c r="E21" s="20">
        <v>45685</v>
      </c>
      <c r="F21" s="522" t="s">
        <v>96</v>
      </c>
      <c r="G21" s="530" t="s">
        <v>497</v>
      </c>
      <c r="H21" s="21">
        <v>75</v>
      </c>
      <c r="I21" s="524" t="s">
        <v>480</v>
      </c>
      <c r="J21" s="21" t="s">
        <v>55</v>
      </c>
      <c r="K21" s="19" t="s">
        <v>93</v>
      </c>
      <c r="L21" s="524" t="s">
        <v>56</v>
      </c>
      <c r="M21" s="346">
        <v>69288</v>
      </c>
      <c r="N21" s="445">
        <v>70664</v>
      </c>
      <c r="O21" s="524" t="s">
        <v>56</v>
      </c>
      <c r="P21" s="21" t="s">
        <v>93</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113</v>
      </c>
      <c r="G22" s="530" t="s">
        <v>500</v>
      </c>
      <c r="H22" s="21">
        <v>65</v>
      </c>
      <c r="I22" s="524" t="s">
        <v>480</v>
      </c>
      <c r="J22" s="21" t="s">
        <v>55</v>
      </c>
      <c r="K22" s="20">
        <v>45673</v>
      </c>
      <c r="L22" s="524" t="s">
        <v>56</v>
      </c>
      <c r="M22" s="346">
        <v>69555</v>
      </c>
      <c r="N22" s="537">
        <v>70432</v>
      </c>
      <c r="O22" s="524" t="s">
        <v>56</v>
      </c>
      <c r="P22" s="21" t="s">
        <v>93</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108</v>
      </c>
      <c r="E23" s="20">
        <v>45685</v>
      </c>
      <c r="F23" s="522" t="s">
        <v>96</v>
      </c>
      <c r="G23" s="530" t="s">
        <v>502</v>
      </c>
      <c r="H23" s="21">
        <v>81</v>
      </c>
      <c r="I23" s="524" t="s">
        <v>480</v>
      </c>
      <c r="J23" s="21" t="s">
        <v>55</v>
      </c>
      <c r="K23" s="19" t="s">
        <v>93</v>
      </c>
      <c r="L23" s="524" t="s">
        <v>56</v>
      </c>
      <c r="M23" s="346">
        <v>83754</v>
      </c>
      <c r="N23" s="445">
        <v>80572.5</v>
      </c>
      <c r="O23" s="524" t="s">
        <v>56</v>
      </c>
      <c r="P23" s="21" t="s">
        <v>93</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108</v>
      </c>
      <c r="E24" s="20">
        <v>45708</v>
      </c>
      <c r="F24" s="522" t="s">
        <v>113</v>
      </c>
      <c r="G24" s="534" t="s">
        <v>504</v>
      </c>
      <c r="H24" s="21">
        <v>50</v>
      </c>
      <c r="I24" s="21" t="s">
        <v>480</v>
      </c>
      <c r="J24" s="21" t="s">
        <v>55</v>
      </c>
      <c r="K24" s="20">
        <v>45705</v>
      </c>
      <c r="L24" s="21" t="s">
        <v>56</v>
      </c>
      <c r="M24" s="346">
        <v>43895.5</v>
      </c>
      <c r="N24" s="445">
        <v>44479.5</v>
      </c>
      <c r="O24" s="21" t="s">
        <v>56</v>
      </c>
      <c r="P24" s="21" t="s">
        <v>93</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108</v>
      </c>
      <c r="E25" s="20">
        <v>45729</v>
      </c>
      <c r="F25" s="19" t="s">
        <v>113</v>
      </c>
      <c r="G25" s="534" t="s">
        <v>506</v>
      </c>
      <c r="H25" s="21">
        <v>52</v>
      </c>
      <c r="I25" s="21" t="s">
        <v>92</v>
      </c>
      <c r="J25" s="21" t="s">
        <v>55</v>
      </c>
      <c r="K25" s="20">
        <v>45733</v>
      </c>
      <c r="L25" s="21" t="s">
        <v>56</v>
      </c>
      <c r="M25" s="346">
        <v>50824.5</v>
      </c>
      <c r="N25" s="445">
        <v>50928.5</v>
      </c>
      <c r="O25" s="21" t="s">
        <v>56</v>
      </c>
      <c r="P25" s="21" t="s">
        <v>93</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108</v>
      </c>
      <c r="E26" s="20">
        <v>45735</v>
      </c>
      <c r="F26" s="522" t="s">
        <v>96</v>
      </c>
      <c r="G26" s="534" t="s">
        <v>508</v>
      </c>
      <c r="H26" s="21">
        <v>86</v>
      </c>
      <c r="I26" s="21" t="s">
        <v>92</v>
      </c>
      <c r="J26" s="21" t="s">
        <v>55</v>
      </c>
      <c r="K26" s="20">
        <v>45737</v>
      </c>
      <c r="L26" s="21" t="s">
        <v>56</v>
      </c>
      <c r="M26" s="346">
        <v>83462</v>
      </c>
      <c r="N26" s="445">
        <v>83033</v>
      </c>
      <c r="O26" s="21" t="s">
        <v>56</v>
      </c>
      <c r="P26" s="21" t="s">
        <v>93</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108</v>
      </c>
      <c r="E27" s="20">
        <v>45712</v>
      </c>
      <c r="F27" s="522" t="s">
        <v>113</v>
      </c>
      <c r="G27" s="534" t="s">
        <v>510</v>
      </c>
      <c r="H27" s="21">
        <v>51</v>
      </c>
      <c r="I27" s="524" t="s">
        <v>480</v>
      </c>
      <c r="J27" s="21" t="s">
        <v>55</v>
      </c>
      <c r="K27" s="19" t="s">
        <v>93</v>
      </c>
      <c r="L27" s="21" t="s">
        <v>56</v>
      </c>
      <c r="M27" s="346">
        <v>47414</v>
      </c>
      <c r="N27" s="445">
        <v>45744</v>
      </c>
      <c r="O27" s="21" t="s">
        <v>56</v>
      </c>
      <c r="P27" s="21" t="s">
        <v>93</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108</v>
      </c>
      <c r="E28" s="20">
        <v>45735</v>
      </c>
      <c r="F28" s="522" t="s">
        <v>113</v>
      </c>
      <c r="G28" s="534" t="s">
        <v>512</v>
      </c>
      <c r="H28" s="21">
        <v>59</v>
      </c>
      <c r="I28" s="524" t="s">
        <v>92</v>
      </c>
      <c r="J28" s="21" t="s">
        <v>55</v>
      </c>
      <c r="K28" s="20">
        <v>45736</v>
      </c>
      <c r="L28" s="21" t="s">
        <v>56</v>
      </c>
      <c r="M28" s="346">
        <v>59562.5</v>
      </c>
      <c r="N28" s="445">
        <v>52525.5</v>
      </c>
      <c r="O28" s="21" t="s">
        <v>56</v>
      </c>
      <c r="P28" s="21" t="s">
        <v>93</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108</v>
      </c>
      <c r="E29" s="20">
        <v>45735</v>
      </c>
      <c r="F29" s="522" t="s">
        <v>96</v>
      </c>
      <c r="G29" s="534" t="s">
        <v>514</v>
      </c>
      <c r="H29" s="21">
        <v>35</v>
      </c>
      <c r="I29" s="21" t="s">
        <v>92</v>
      </c>
      <c r="J29" s="21" t="s">
        <v>55</v>
      </c>
      <c r="K29" s="20">
        <v>45735</v>
      </c>
      <c r="L29" s="21" t="s">
        <v>56</v>
      </c>
      <c r="M29" s="346">
        <v>41187</v>
      </c>
      <c r="N29" s="445">
        <v>39597.5</v>
      </c>
      <c r="O29" s="21" t="s">
        <v>56</v>
      </c>
      <c r="P29" s="21" t="s">
        <v>93</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108</v>
      </c>
      <c r="E30" s="308">
        <v>45695</v>
      </c>
      <c r="F30" s="308" t="s">
        <v>113</v>
      </c>
      <c r="G30" s="447" t="s">
        <v>516</v>
      </c>
      <c r="H30" s="21">
        <v>22</v>
      </c>
      <c r="I30" s="21" t="s">
        <v>92</v>
      </c>
      <c r="J30" s="21" t="s">
        <v>55</v>
      </c>
      <c r="K30" s="19" t="s">
        <v>93</v>
      </c>
      <c r="L30" s="21" t="s">
        <v>56</v>
      </c>
      <c r="M30" s="346">
        <v>14497.5</v>
      </c>
      <c r="N30" s="445">
        <v>14042</v>
      </c>
      <c r="O30" s="21" t="s">
        <v>56</v>
      </c>
      <c r="P30" s="21" t="s">
        <v>93</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108</v>
      </c>
      <c r="E31" s="464">
        <v>45839</v>
      </c>
      <c r="F31" s="301" t="s">
        <v>96</v>
      </c>
      <c r="G31" s="301" t="s">
        <v>518</v>
      </c>
      <c r="H31" s="303">
        <v>77</v>
      </c>
      <c r="I31" s="303" t="s">
        <v>92</v>
      </c>
      <c r="J31" s="303" t="s">
        <v>55</v>
      </c>
      <c r="K31" s="302">
        <v>45840</v>
      </c>
      <c r="L31" s="303" t="s">
        <v>56</v>
      </c>
      <c r="M31" s="349">
        <v>10430.549999999999</v>
      </c>
      <c r="N31" s="346">
        <v>37639.800000000003</v>
      </c>
      <c r="O31" s="303" t="s">
        <v>56</v>
      </c>
      <c r="P31" s="303" t="s">
        <v>93</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108</v>
      </c>
      <c r="E32" s="515">
        <v>45910</v>
      </c>
      <c r="F32" s="515" t="s">
        <v>113</v>
      </c>
      <c r="G32" s="301" t="s">
        <v>521</v>
      </c>
      <c r="H32" s="303">
        <v>87</v>
      </c>
      <c r="I32" s="303" t="s">
        <v>92</v>
      </c>
      <c r="J32" s="303" t="s">
        <v>55</v>
      </c>
      <c r="K32" s="302">
        <v>45912</v>
      </c>
      <c r="L32" s="303" t="s">
        <v>56</v>
      </c>
      <c r="M32" s="349">
        <v>60115.95</v>
      </c>
      <c r="N32" s="346">
        <v>58210</v>
      </c>
      <c r="O32" s="303" t="s">
        <v>56</v>
      </c>
      <c r="P32" s="303" t="s">
        <v>93</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108</v>
      </c>
      <c r="E33" s="464">
        <v>45840</v>
      </c>
      <c r="F33" s="302" t="s">
        <v>96</v>
      </c>
      <c r="G33" s="301" t="s">
        <v>524</v>
      </c>
      <c r="H33" s="303">
        <v>81</v>
      </c>
      <c r="I33" s="303" t="s">
        <v>92</v>
      </c>
      <c r="J33" s="303" t="s">
        <v>55</v>
      </c>
      <c r="K33" s="302">
        <v>45847</v>
      </c>
      <c r="L33" s="303" t="s">
        <v>56</v>
      </c>
      <c r="M33" s="349">
        <v>71310.899999999994</v>
      </c>
      <c r="N33" s="346">
        <v>62984.35</v>
      </c>
      <c r="O33" s="303" t="s">
        <v>56</v>
      </c>
      <c r="P33" s="303" t="s">
        <v>93</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108</v>
      </c>
      <c r="E34" s="464">
        <v>45839</v>
      </c>
      <c r="F34" s="301" t="s">
        <v>96</v>
      </c>
      <c r="G34" s="301" t="s">
        <v>527</v>
      </c>
      <c r="H34" s="303">
        <v>86</v>
      </c>
      <c r="I34" s="303" t="s">
        <v>92</v>
      </c>
      <c r="J34" s="303" t="s">
        <v>55</v>
      </c>
      <c r="K34" s="302">
        <v>45840</v>
      </c>
      <c r="L34" s="303" t="s">
        <v>56</v>
      </c>
      <c r="M34" s="349">
        <v>53605.2</v>
      </c>
      <c r="N34" s="346">
        <v>52185.2</v>
      </c>
      <c r="O34" s="303" t="s">
        <v>56</v>
      </c>
      <c r="P34" s="303" t="s">
        <v>93</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108</v>
      </c>
      <c r="E35" s="515">
        <v>45833</v>
      </c>
      <c r="F35" s="301" t="s">
        <v>113</v>
      </c>
      <c r="G35" s="301" t="s">
        <v>530</v>
      </c>
      <c r="H35" s="303">
        <v>66</v>
      </c>
      <c r="I35" s="303" t="s">
        <v>92</v>
      </c>
      <c r="J35" s="303" t="s">
        <v>55</v>
      </c>
      <c r="K35" s="302">
        <v>45833</v>
      </c>
      <c r="L35" s="303" t="s">
        <v>56</v>
      </c>
      <c r="M35" s="349">
        <v>32940.449999999997</v>
      </c>
      <c r="N35" s="346">
        <v>43258.2</v>
      </c>
      <c r="O35" s="303" t="s">
        <v>56</v>
      </c>
      <c r="P35" s="303" t="s">
        <v>93</v>
      </c>
      <c r="Q35" s="822">
        <v>45833</v>
      </c>
      <c r="R35" s="719">
        <v>2067</v>
      </c>
      <c r="S35" s="512">
        <v>2937</v>
      </c>
      <c r="T35" s="862">
        <v>0</v>
      </c>
      <c r="U35" s="706">
        <v>1.42</v>
      </c>
      <c r="V35" s="542">
        <v>45840</v>
      </c>
      <c r="W35" s="283">
        <v>1</v>
      </c>
      <c r="X35" s="283">
        <v>1</v>
      </c>
      <c r="Y35" s="283">
        <v>1</v>
      </c>
      <c r="Z35" s="284">
        <v>45897</v>
      </c>
      <c r="AA35" s="86" t="s">
        <v>531</v>
      </c>
    </row>
    <row r="36" spans="1:27" ht="39.75" customHeight="1">
      <c r="A36" s="300" t="s">
        <v>532</v>
      </c>
      <c r="B36" s="301" t="s">
        <v>80</v>
      </c>
      <c r="C36" s="20">
        <v>45868</v>
      </c>
      <c r="D36" s="464" t="s">
        <v>108</v>
      </c>
      <c r="E36" s="464">
        <v>45839</v>
      </c>
      <c r="F36" s="302" t="s">
        <v>96</v>
      </c>
      <c r="G36" s="301" t="s">
        <v>533</v>
      </c>
      <c r="H36" s="303">
        <v>43</v>
      </c>
      <c r="I36" s="303" t="s">
        <v>92</v>
      </c>
      <c r="J36" s="303" t="s">
        <v>55</v>
      </c>
      <c r="K36" s="302">
        <v>45840</v>
      </c>
      <c r="L36" s="303" t="s">
        <v>56</v>
      </c>
      <c r="M36" s="349">
        <v>23404.75</v>
      </c>
      <c r="N36" s="346">
        <v>18702.400000000001</v>
      </c>
      <c r="O36" s="303" t="s">
        <v>56</v>
      </c>
      <c r="P36" s="303" t="s">
        <v>93</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108</v>
      </c>
      <c r="E37" s="302">
        <v>45887</v>
      </c>
      <c r="F37" s="464" t="s">
        <v>113</v>
      </c>
      <c r="G37" s="506" t="s">
        <v>536</v>
      </c>
      <c r="H37" s="303">
        <v>73</v>
      </c>
      <c r="I37" s="304" t="s">
        <v>92</v>
      </c>
      <c r="J37" s="303" t="s">
        <v>55</v>
      </c>
      <c r="K37" s="302">
        <v>45887</v>
      </c>
      <c r="L37" s="303" t="s">
        <v>56</v>
      </c>
      <c r="M37" s="349">
        <v>37930</v>
      </c>
      <c r="N37" s="346">
        <v>38208</v>
      </c>
      <c r="O37" s="303" t="s">
        <v>56</v>
      </c>
      <c r="P37" s="303" t="s">
        <v>93</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108</v>
      </c>
      <c r="E38" s="20">
        <v>45758</v>
      </c>
      <c r="F38" s="522" t="s">
        <v>96</v>
      </c>
      <c r="G38" s="448" t="s">
        <v>539</v>
      </c>
      <c r="H38" s="21">
        <v>62</v>
      </c>
      <c r="I38" s="21" t="s">
        <v>92</v>
      </c>
      <c r="J38" s="21" t="s">
        <v>55</v>
      </c>
      <c r="K38" s="20">
        <v>45762</v>
      </c>
      <c r="L38" s="21" t="s">
        <v>56</v>
      </c>
      <c r="M38" s="346">
        <v>62502</v>
      </c>
      <c r="N38" s="429">
        <v>59129.5</v>
      </c>
      <c r="O38" s="21" t="s">
        <v>56</v>
      </c>
      <c r="P38" s="21" t="s">
        <v>93</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108</v>
      </c>
      <c r="E39" s="20">
        <v>45758</v>
      </c>
      <c r="F39" s="308" t="s">
        <v>96</v>
      </c>
      <c r="G39" s="448" t="s">
        <v>541</v>
      </c>
      <c r="H39" s="21">
        <v>89</v>
      </c>
      <c r="I39" s="21" t="s">
        <v>92</v>
      </c>
      <c r="J39" s="21" t="s">
        <v>55</v>
      </c>
      <c r="K39" s="20">
        <v>45762</v>
      </c>
      <c r="L39" s="21" t="s">
        <v>56</v>
      </c>
      <c r="M39" s="346">
        <v>70705.5</v>
      </c>
      <c r="N39" s="429">
        <v>67666</v>
      </c>
      <c r="O39" s="21" t="s">
        <v>56</v>
      </c>
      <c r="P39" s="21" t="s">
        <v>93</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108</v>
      </c>
      <c r="E40" s="20">
        <v>45758</v>
      </c>
      <c r="F40" s="308" t="s">
        <v>96</v>
      </c>
      <c r="G40" s="448" t="s">
        <v>543</v>
      </c>
      <c r="H40" s="21">
        <v>87</v>
      </c>
      <c r="I40" s="21" t="s">
        <v>92</v>
      </c>
      <c r="J40" s="21" t="s">
        <v>55</v>
      </c>
      <c r="K40" s="20">
        <v>45762</v>
      </c>
      <c r="L40" s="21" t="s">
        <v>56</v>
      </c>
      <c r="M40" s="346">
        <v>66004.5</v>
      </c>
      <c r="N40" s="429">
        <v>64943.5</v>
      </c>
      <c r="O40" s="21" t="s">
        <v>56</v>
      </c>
      <c r="P40" s="21" t="s">
        <v>93</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108</v>
      </c>
      <c r="E41" s="20">
        <v>45786</v>
      </c>
      <c r="F41" s="464" t="s">
        <v>96</v>
      </c>
      <c r="G41" s="506" t="s">
        <v>545</v>
      </c>
      <c r="H41" s="303">
        <v>60</v>
      </c>
      <c r="I41" s="303" t="s">
        <v>92</v>
      </c>
      <c r="J41" s="303" t="s">
        <v>55</v>
      </c>
      <c r="K41" s="302">
        <v>45790</v>
      </c>
      <c r="L41" s="303" t="s">
        <v>56</v>
      </c>
      <c r="M41" s="349">
        <v>57237</v>
      </c>
      <c r="N41" s="443">
        <v>55777</v>
      </c>
      <c r="O41" s="21" t="s">
        <v>56</v>
      </c>
      <c r="P41" s="303" t="s">
        <v>93</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108</v>
      </c>
      <c r="E42" s="363">
        <v>45959</v>
      </c>
      <c r="F42" s="361" t="s">
        <v>82</v>
      </c>
      <c r="G42" s="546"/>
      <c r="H42" s="365">
        <v>61</v>
      </c>
      <c r="I42" s="525" t="s">
        <v>92</v>
      </c>
      <c r="J42" s="365" t="s">
        <v>55</v>
      </c>
      <c r="K42" s="363">
        <v>45962</v>
      </c>
      <c r="L42" s="365" t="s">
        <v>56</v>
      </c>
      <c r="M42" s="790">
        <v>35050</v>
      </c>
      <c r="N42" s="790">
        <v>34279.800000000003</v>
      </c>
      <c r="O42" s="365" t="s">
        <v>56</v>
      </c>
      <c r="P42" s="1343" t="s">
        <v>93</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2" t="s">
        <v>550</v>
      </c>
      <c r="B43" s="897" t="s">
        <v>80</v>
      </c>
      <c r="C43" s="896">
        <v>46006</v>
      </c>
      <c r="D43" s="896" t="s">
        <v>108</v>
      </c>
      <c r="E43" s="896">
        <v>46021</v>
      </c>
      <c r="F43" s="897" t="s">
        <v>96</v>
      </c>
      <c r="G43" s="897" t="s">
        <v>551</v>
      </c>
      <c r="H43" s="898">
        <v>85</v>
      </c>
      <c r="I43" s="525" t="s">
        <v>92</v>
      </c>
      <c r="J43" s="898" t="s">
        <v>55</v>
      </c>
      <c r="K43" s="896">
        <v>46027</v>
      </c>
      <c r="L43" s="898" t="s">
        <v>56</v>
      </c>
      <c r="M43" s="1093">
        <v>38323.550000000003</v>
      </c>
      <c r="N43" s="346">
        <v>38080</v>
      </c>
      <c r="O43" s="898" t="s">
        <v>56</v>
      </c>
      <c r="P43" s="900" t="s">
        <v>93</v>
      </c>
      <c r="Q43" s="901">
        <v>46021</v>
      </c>
      <c r="R43" s="902">
        <v>2691</v>
      </c>
      <c r="S43" s="902">
        <v>2740</v>
      </c>
      <c r="T43" s="6">
        <v>0</v>
      </c>
      <c r="U43" s="521">
        <v>1.02</v>
      </c>
      <c r="V43" s="912">
        <v>46029</v>
      </c>
      <c r="W43" s="474">
        <v>1</v>
      </c>
      <c r="X43" s="474">
        <v>1</v>
      </c>
      <c r="Y43" s="769">
        <v>1</v>
      </c>
      <c r="Z43" s="39" t="s">
        <v>548</v>
      </c>
      <c r="AA43" s="1143" t="s">
        <v>552</v>
      </c>
    </row>
    <row r="44" spans="1:27" ht="39.75" customHeight="1">
      <c r="A44" s="1092" t="s">
        <v>553</v>
      </c>
      <c r="B44" s="897" t="s">
        <v>80</v>
      </c>
      <c r="C44" s="896">
        <v>46052</v>
      </c>
      <c r="D44" s="896" t="s">
        <v>554</v>
      </c>
      <c r="E44" s="896">
        <v>46021</v>
      </c>
      <c r="F44" s="897" t="s">
        <v>82</v>
      </c>
      <c r="G44" s="897" t="s">
        <v>555</v>
      </c>
      <c r="H44" s="898">
        <v>58</v>
      </c>
      <c r="I44" s="525" t="s">
        <v>92</v>
      </c>
      <c r="J44" s="898" t="s">
        <v>55</v>
      </c>
      <c r="K44" s="896">
        <v>46021</v>
      </c>
      <c r="L44" s="898" t="s">
        <v>56</v>
      </c>
      <c r="M44" s="1093">
        <v>58952.88</v>
      </c>
      <c r="N44" s="346">
        <v>55647.74</v>
      </c>
      <c r="O44" s="898" t="s">
        <v>56</v>
      </c>
      <c r="P44" s="900" t="s">
        <v>93</v>
      </c>
      <c r="Q44" s="901">
        <v>46021</v>
      </c>
      <c r="R44" s="902">
        <v>4731</v>
      </c>
      <c r="S44" s="902">
        <v>4579</v>
      </c>
      <c r="T44" s="6">
        <v>0</v>
      </c>
      <c r="U44" s="521">
        <v>0.97</v>
      </c>
      <c r="V44" s="912">
        <v>46043</v>
      </c>
      <c r="W44" s="474">
        <v>1</v>
      </c>
      <c r="X44" s="283">
        <v>1</v>
      </c>
      <c r="Y44" s="526">
        <v>1</v>
      </c>
      <c r="Z44" s="39" t="s">
        <v>548</v>
      </c>
      <c r="AA44" s="936" t="s">
        <v>556</v>
      </c>
    </row>
    <row r="45" spans="1:27" ht="39.75" customHeight="1">
      <c r="A45" s="300" t="s">
        <v>557</v>
      </c>
      <c r="B45" s="305" t="s">
        <v>80</v>
      </c>
      <c r="C45" s="20">
        <v>45688</v>
      </c>
      <c r="D45" s="20" t="s">
        <v>558</v>
      </c>
      <c r="E45" s="20">
        <v>45684</v>
      </c>
      <c r="F45" s="308" t="s">
        <v>113</v>
      </c>
      <c r="G45" s="309" t="s">
        <v>559</v>
      </c>
      <c r="H45" s="21">
        <v>0</v>
      </c>
      <c r="I45" s="307" t="s">
        <v>93</v>
      </c>
      <c r="J45" s="21" t="s">
        <v>55</v>
      </c>
      <c r="K45" s="485">
        <v>45673</v>
      </c>
      <c r="L45" s="307" t="s">
        <v>56</v>
      </c>
      <c r="M45" s="346">
        <v>24886.5</v>
      </c>
      <c r="N45" s="429">
        <v>7262</v>
      </c>
      <c r="O45" s="307" t="s">
        <v>56</v>
      </c>
      <c r="P45" s="21" t="s">
        <v>93</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108</v>
      </c>
      <c r="E46" s="302">
        <v>45849</v>
      </c>
      <c r="F46" s="515" t="s">
        <v>96</v>
      </c>
      <c r="G46" s="535"/>
      <c r="H46" s="303">
        <v>0</v>
      </c>
      <c r="I46" s="303" t="s">
        <v>92</v>
      </c>
      <c r="J46" s="303" t="s">
        <v>55</v>
      </c>
      <c r="K46" s="302">
        <v>45848</v>
      </c>
      <c r="L46" s="303" t="s">
        <v>56</v>
      </c>
      <c r="M46" s="349">
        <v>23436.55</v>
      </c>
      <c r="N46" s="346">
        <v>15484.65</v>
      </c>
      <c r="O46" s="303" t="s">
        <v>56</v>
      </c>
      <c r="P46" s="303" t="s">
        <v>93</v>
      </c>
      <c r="Q46" s="518">
        <v>45848</v>
      </c>
      <c r="R46" s="764">
        <v>1743</v>
      </c>
      <c r="S46" s="764">
        <v>924</v>
      </c>
      <c r="T46" s="5">
        <v>0</v>
      </c>
      <c r="U46" s="706">
        <v>0.53</v>
      </c>
      <c r="V46" s="708">
        <v>45854</v>
      </c>
      <c r="W46" s="474">
        <v>1</v>
      </c>
      <c r="X46" s="474">
        <v>1</v>
      </c>
      <c r="Y46" s="474">
        <v>1</v>
      </c>
      <c r="Z46" s="284" t="s">
        <v>447</v>
      </c>
      <c r="AA46" s="1098"/>
    </row>
    <row r="47" spans="1:27" ht="39.75" customHeight="1">
      <c r="A47" s="300" t="s">
        <v>561</v>
      </c>
      <c r="B47" s="874" t="s">
        <v>80</v>
      </c>
      <c r="C47" s="20">
        <v>45899</v>
      </c>
      <c r="D47" s="19" t="s">
        <v>562</v>
      </c>
      <c r="E47" s="302">
        <v>45876</v>
      </c>
      <c r="F47" s="522" t="s">
        <v>113</v>
      </c>
      <c r="G47" s="535" t="s">
        <v>563</v>
      </c>
      <c r="H47" s="303">
        <v>0</v>
      </c>
      <c r="I47" s="531" t="s">
        <v>92</v>
      </c>
      <c r="J47" s="303" t="s">
        <v>55</v>
      </c>
      <c r="K47" s="20" t="s">
        <v>345</v>
      </c>
      <c r="L47" s="303" t="s">
        <v>56</v>
      </c>
      <c r="M47" s="349">
        <v>1343</v>
      </c>
      <c r="N47" s="346">
        <v>2310</v>
      </c>
      <c r="O47" s="303" t="s">
        <v>56</v>
      </c>
      <c r="P47" s="303" t="s">
        <v>93</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7" t="s">
        <v>564</v>
      </c>
    </row>
    <row r="48" spans="1:27" ht="39.75" customHeight="1">
      <c r="A48" s="300" t="s">
        <v>565</v>
      </c>
      <c r="B48" s="874" t="s">
        <v>80</v>
      </c>
      <c r="C48" s="20">
        <v>45930</v>
      </c>
      <c r="D48" s="515" t="s">
        <v>131</v>
      </c>
      <c r="E48" s="302">
        <v>45902</v>
      </c>
      <c r="F48" s="301" t="s">
        <v>96</v>
      </c>
      <c r="G48" s="536"/>
      <c r="H48" s="303">
        <v>0</v>
      </c>
      <c r="I48" s="531" t="s">
        <v>92</v>
      </c>
      <c r="J48" s="303" t="s">
        <v>55</v>
      </c>
      <c r="K48" s="20">
        <v>45902</v>
      </c>
      <c r="L48" s="303" t="s">
        <v>56</v>
      </c>
      <c r="M48" s="349">
        <v>5604.6</v>
      </c>
      <c r="N48" s="429">
        <v>7746.35</v>
      </c>
      <c r="O48" s="303" t="s">
        <v>56</v>
      </c>
      <c r="P48" s="303" t="s">
        <v>93</v>
      </c>
      <c r="Q48" s="132">
        <v>45902</v>
      </c>
      <c r="R48" s="46">
        <v>328</v>
      </c>
      <c r="S48" s="46">
        <v>335</v>
      </c>
      <c r="T48" s="1056">
        <v>0</v>
      </c>
      <c r="U48" s="369">
        <v>1.02</v>
      </c>
      <c r="V48" s="374">
        <v>45922</v>
      </c>
      <c r="W48" s="283">
        <v>1</v>
      </c>
      <c r="X48" s="283">
        <v>1</v>
      </c>
      <c r="Y48" s="368">
        <v>0</v>
      </c>
      <c r="Z48" s="385"/>
      <c r="AA48" s="817" t="s">
        <v>566</v>
      </c>
    </row>
    <row r="49" spans="1:27" ht="39.75" customHeight="1">
      <c r="A49" s="300" t="s">
        <v>567</v>
      </c>
      <c r="B49" s="301" t="s">
        <v>80</v>
      </c>
      <c r="C49" s="20">
        <v>45899</v>
      </c>
      <c r="D49" s="302" t="s">
        <v>108</v>
      </c>
      <c r="E49" s="302">
        <v>45870</v>
      </c>
      <c r="F49" s="515" t="s">
        <v>113</v>
      </c>
      <c r="G49" s="535" t="s">
        <v>568</v>
      </c>
      <c r="H49" s="303">
        <v>0</v>
      </c>
      <c r="I49" s="303" t="s">
        <v>92</v>
      </c>
      <c r="J49" s="303" t="s">
        <v>55</v>
      </c>
      <c r="K49" s="302">
        <v>45870</v>
      </c>
      <c r="L49" s="303" t="s">
        <v>56</v>
      </c>
      <c r="M49" s="349">
        <v>49307.5</v>
      </c>
      <c r="N49" s="346">
        <v>47409</v>
      </c>
      <c r="O49" s="303" t="s">
        <v>56</v>
      </c>
      <c r="P49" s="303" t="s">
        <v>93</v>
      </c>
      <c r="Q49" s="1279">
        <v>45870</v>
      </c>
      <c r="R49" s="1057">
        <v>3914</v>
      </c>
      <c r="S49" s="1057">
        <v>3675</v>
      </c>
      <c r="T49" s="46">
        <v>0</v>
      </c>
      <c r="U49" s="706">
        <v>0.94</v>
      </c>
      <c r="V49" s="708">
        <v>45873</v>
      </c>
      <c r="W49" s="474">
        <v>1</v>
      </c>
      <c r="X49" s="474">
        <v>1</v>
      </c>
      <c r="Y49" s="474">
        <v>1</v>
      </c>
      <c r="Z49" s="284">
        <v>45916</v>
      </c>
      <c r="AA49" s="1098" t="s">
        <v>569</v>
      </c>
    </row>
    <row r="50" spans="1:27" ht="39.75" customHeight="1">
      <c r="A50" s="300" t="s">
        <v>570</v>
      </c>
      <c r="B50" s="301" t="s">
        <v>80</v>
      </c>
      <c r="C50" s="515">
        <v>45805</v>
      </c>
      <c r="D50" s="515" t="s">
        <v>108</v>
      </c>
      <c r="E50" s="515">
        <v>45695</v>
      </c>
      <c r="F50" s="515" t="s">
        <v>113</v>
      </c>
      <c r="G50" s="626" t="s">
        <v>571</v>
      </c>
      <c r="H50" s="303">
        <v>0</v>
      </c>
      <c r="I50" s="531" t="s">
        <v>92</v>
      </c>
      <c r="J50" s="303" t="s">
        <v>55</v>
      </c>
      <c r="K50" s="302">
        <v>45705</v>
      </c>
      <c r="L50" s="303" t="s">
        <v>56</v>
      </c>
      <c r="M50" s="349">
        <v>88491.8</v>
      </c>
      <c r="N50" s="346">
        <v>85791.25</v>
      </c>
      <c r="O50" s="303" t="s">
        <v>56</v>
      </c>
      <c r="P50" s="303" t="s">
        <v>93</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108</v>
      </c>
      <c r="E51" s="302">
        <v>45870</v>
      </c>
      <c r="F51" s="515" t="s">
        <v>113</v>
      </c>
      <c r="G51" s="535" t="s">
        <v>574</v>
      </c>
      <c r="H51" s="303">
        <v>0</v>
      </c>
      <c r="I51" s="303" t="s">
        <v>92</v>
      </c>
      <c r="J51" s="303" t="s">
        <v>55</v>
      </c>
      <c r="K51" s="302">
        <v>45870</v>
      </c>
      <c r="L51" s="303" t="s">
        <v>56</v>
      </c>
      <c r="M51" s="349">
        <v>12886.4</v>
      </c>
      <c r="N51" s="346">
        <v>18418.349999999999</v>
      </c>
      <c r="O51" s="303" t="s">
        <v>56</v>
      </c>
      <c r="P51" s="303" t="s">
        <v>93</v>
      </c>
      <c r="Q51" s="752">
        <v>45870</v>
      </c>
      <c r="R51" s="879">
        <v>884</v>
      </c>
      <c r="S51" s="879">
        <v>797</v>
      </c>
      <c r="T51" s="46">
        <v>0</v>
      </c>
      <c r="U51" s="706">
        <v>0.9</v>
      </c>
      <c r="V51" s="708">
        <v>45876</v>
      </c>
      <c r="W51" s="474">
        <v>1</v>
      </c>
      <c r="X51" s="474">
        <v>1</v>
      </c>
      <c r="Y51" s="474">
        <v>1</v>
      </c>
      <c r="Z51" s="284">
        <v>45916</v>
      </c>
      <c r="AA51" s="1098" t="s">
        <v>575</v>
      </c>
    </row>
    <row r="52" spans="1:27" ht="39.75" customHeight="1">
      <c r="A52" s="300" t="s">
        <v>576</v>
      </c>
      <c r="B52" s="301" t="s">
        <v>80</v>
      </c>
      <c r="C52" s="20">
        <v>45899</v>
      </c>
      <c r="D52" s="302" t="s">
        <v>108</v>
      </c>
      <c r="E52" s="302">
        <v>45882</v>
      </c>
      <c r="F52" s="464" t="s">
        <v>113</v>
      </c>
      <c r="G52" s="506" t="s">
        <v>577</v>
      </c>
      <c r="H52" s="303">
        <v>0</v>
      </c>
      <c r="I52" s="304" t="s">
        <v>92</v>
      </c>
      <c r="J52" s="303" t="s">
        <v>55</v>
      </c>
      <c r="K52" s="302">
        <v>45882</v>
      </c>
      <c r="L52" s="303" t="s">
        <v>56</v>
      </c>
      <c r="M52" s="349">
        <v>13056.5</v>
      </c>
      <c r="N52" s="346">
        <v>15624.85</v>
      </c>
      <c r="O52" s="303" t="s">
        <v>56</v>
      </c>
      <c r="P52" s="303" t="s">
        <v>93</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108</v>
      </c>
      <c r="E53" s="20">
        <v>45786</v>
      </c>
      <c r="F53" s="464" t="s">
        <v>113</v>
      </c>
      <c r="G53" s="448" t="s">
        <v>580</v>
      </c>
      <c r="H53" s="303">
        <v>0</v>
      </c>
      <c r="I53" s="304" t="s">
        <v>92</v>
      </c>
      <c r="J53" s="303" t="s">
        <v>55</v>
      </c>
      <c r="K53" s="302">
        <v>45790</v>
      </c>
      <c r="L53" s="303" t="s">
        <v>56</v>
      </c>
      <c r="M53" s="349">
        <v>63283</v>
      </c>
      <c r="N53" s="429">
        <v>84546.7</v>
      </c>
      <c r="O53" s="303" t="s">
        <v>56</v>
      </c>
      <c r="P53" s="303" t="s">
        <v>93</v>
      </c>
      <c r="Q53" s="518">
        <v>45790</v>
      </c>
      <c r="R53" s="46">
        <v>5776</v>
      </c>
      <c r="S53" s="46">
        <v>5776</v>
      </c>
      <c r="T53" s="940">
        <v>0</v>
      </c>
      <c r="U53" s="38">
        <v>1</v>
      </c>
      <c r="V53" s="518">
        <v>45796</v>
      </c>
      <c r="W53" s="283">
        <v>1</v>
      </c>
      <c r="X53" s="283">
        <v>1</v>
      </c>
      <c r="Y53" s="474">
        <v>1</v>
      </c>
      <c r="Z53" s="385">
        <v>45846</v>
      </c>
      <c r="AA53" s="507" t="s">
        <v>581</v>
      </c>
    </row>
    <row r="54" spans="1:27" ht="39.75" customHeight="1">
      <c r="A54" s="300" t="s">
        <v>582</v>
      </c>
      <c r="B54" s="301" t="s">
        <v>80</v>
      </c>
      <c r="C54" s="20">
        <v>45930</v>
      </c>
      <c r="D54" s="19" t="s">
        <v>131</v>
      </c>
      <c r="E54" s="302">
        <v>45868</v>
      </c>
      <c r="F54" s="301" t="s">
        <v>96</v>
      </c>
      <c r="G54" s="535" t="s">
        <v>583</v>
      </c>
      <c r="H54" s="303">
        <v>0</v>
      </c>
      <c r="I54" s="303" t="s">
        <v>92</v>
      </c>
      <c r="J54" s="303" t="s">
        <v>55</v>
      </c>
      <c r="K54" s="302">
        <v>45868</v>
      </c>
      <c r="L54" s="303" t="s">
        <v>56</v>
      </c>
      <c r="M54" s="349">
        <v>14179.65</v>
      </c>
      <c r="N54" s="346">
        <v>15936.8</v>
      </c>
      <c r="O54" s="303" t="s">
        <v>56</v>
      </c>
      <c r="P54" s="303" t="s">
        <v>93</v>
      </c>
      <c r="Q54" s="752">
        <v>45868</v>
      </c>
      <c r="R54" s="879">
        <v>973</v>
      </c>
      <c r="S54" s="879">
        <v>1060</v>
      </c>
      <c r="T54" s="5">
        <v>0</v>
      </c>
      <c r="U54" s="706">
        <v>1.0900000000000001</v>
      </c>
      <c r="V54" s="708">
        <v>45880</v>
      </c>
      <c r="W54" s="474">
        <v>1</v>
      </c>
      <c r="X54" s="474">
        <v>1</v>
      </c>
      <c r="Y54" s="474">
        <v>1</v>
      </c>
      <c r="Z54" s="471">
        <v>45926</v>
      </c>
      <c r="AA54" s="1098" t="s">
        <v>584</v>
      </c>
    </row>
    <row r="55" spans="1:27" ht="39.75" customHeight="1">
      <c r="A55" s="300" t="s">
        <v>585</v>
      </c>
      <c r="B55" s="301" t="s">
        <v>80</v>
      </c>
      <c r="C55" s="20">
        <v>45868</v>
      </c>
      <c r="D55" s="302" t="s">
        <v>131</v>
      </c>
      <c r="E55" s="464">
        <v>45839</v>
      </c>
      <c r="F55" s="302" t="s">
        <v>96</v>
      </c>
      <c r="G55" s="306" t="s">
        <v>586</v>
      </c>
      <c r="H55" s="21">
        <v>0</v>
      </c>
      <c r="I55" s="21" t="s">
        <v>92</v>
      </c>
      <c r="J55" s="21" t="s">
        <v>55</v>
      </c>
      <c r="K55" s="485">
        <v>45838</v>
      </c>
      <c r="L55" s="21" t="s">
        <v>56</v>
      </c>
      <c r="M55" s="346">
        <v>72566</v>
      </c>
      <c r="N55" s="346">
        <v>9904.1</v>
      </c>
      <c r="O55" s="21" t="s">
        <v>56</v>
      </c>
      <c r="P55" s="303" t="s">
        <v>93</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131</v>
      </c>
      <c r="E56" s="20">
        <v>45945</v>
      </c>
      <c r="F56" s="19" t="s">
        <v>96</v>
      </c>
      <c r="G56" s="534" t="s">
        <v>589</v>
      </c>
      <c r="H56" s="21">
        <v>0</v>
      </c>
      <c r="I56" s="21" t="s">
        <v>92</v>
      </c>
      <c r="J56" s="21" t="s">
        <v>55</v>
      </c>
      <c r="K56" s="302">
        <v>45936</v>
      </c>
      <c r="L56" s="316" t="s">
        <v>56</v>
      </c>
      <c r="M56" s="349">
        <v>4235.8</v>
      </c>
      <c r="N56" s="346">
        <v>3228.9</v>
      </c>
      <c r="O56" s="1324" t="s">
        <v>56</v>
      </c>
      <c r="P56" s="1327" t="s">
        <v>93</v>
      </c>
      <c r="Q56" s="367">
        <v>45939</v>
      </c>
      <c r="R56" s="336">
        <v>228</v>
      </c>
      <c r="S56" s="336">
        <v>240</v>
      </c>
      <c r="T56" s="719">
        <v>0</v>
      </c>
      <c r="U56" s="654">
        <v>1.05</v>
      </c>
      <c r="V56" s="542">
        <v>45926</v>
      </c>
      <c r="W56" s="283">
        <v>1</v>
      </c>
      <c r="X56" s="283">
        <v>1</v>
      </c>
      <c r="Y56" s="369">
        <v>1</v>
      </c>
      <c r="Z56" s="22">
        <v>45972</v>
      </c>
      <c r="AA56" s="1294" t="s">
        <v>590</v>
      </c>
    </row>
    <row r="57" spans="1:27" ht="39.75" customHeight="1">
      <c r="A57" s="300" t="s">
        <v>591</v>
      </c>
      <c r="B57" s="19" t="s">
        <v>80</v>
      </c>
      <c r="C57" s="20">
        <v>45930</v>
      </c>
      <c r="D57" s="522" t="s">
        <v>131</v>
      </c>
      <c r="E57" s="20">
        <v>45902</v>
      </c>
      <c r="F57" s="19" t="s">
        <v>96</v>
      </c>
      <c r="G57" s="534"/>
      <c r="H57" s="21">
        <v>0</v>
      </c>
      <c r="I57" s="21" t="s">
        <v>92</v>
      </c>
      <c r="J57" s="21" t="s">
        <v>55</v>
      </c>
      <c r="K57" s="302">
        <v>45902</v>
      </c>
      <c r="L57" s="303" t="s">
        <v>56</v>
      </c>
      <c r="M57" s="349">
        <v>3067.9</v>
      </c>
      <c r="N57" s="346">
        <v>8729.7000000000007</v>
      </c>
      <c r="O57" s="303" t="s">
        <v>56</v>
      </c>
      <c r="P57" s="303" t="s">
        <v>93</v>
      </c>
      <c r="Q57" s="752">
        <v>45902</v>
      </c>
      <c r="R57" s="879">
        <v>662</v>
      </c>
      <c r="S57" s="885">
        <v>662</v>
      </c>
      <c r="T57" s="882">
        <v>0</v>
      </c>
      <c r="U57" s="706">
        <v>1</v>
      </c>
      <c r="V57" s="708">
        <v>45909</v>
      </c>
      <c r="W57" s="769">
        <v>1</v>
      </c>
      <c r="X57" s="769">
        <v>1</v>
      </c>
      <c r="Y57" s="769">
        <v>1</v>
      </c>
      <c r="Z57" s="471">
        <v>45926</v>
      </c>
      <c r="AA57" s="817" t="s">
        <v>592</v>
      </c>
    </row>
    <row r="58" spans="1:27" ht="39.75" customHeight="1">
      <c r="A58" s="300" t="s">
        <v>593</v>
      </c>
      <c r="B58" s="301" t="s">
        <v>80</v>
      </c>
      <c r="C58" s="20">
        <v>45868</v>
      </c>
      <c r="D58" s="302" t="s">
        <v>131</v>
      </c>
      <c r="E58" s="302">
        <v>45849</v>
      </c>
      <c r="F58" s="515" t="s">
        <v>96</v>
      </c>
      <c r="G58" s="535" t="s">
        <v>594</v>
      </c>
      <c r="H58" s="303">
        <v>0</v>
      </c>
      <c r="I58" s="303" t="s">
        <v>92</v>
      </c>
      <c r="J58" s="303" t="s">
        <v>55</v>
      </c>
      <c r="K58" s="302">
        <v>45848</v>
      </c>
      <c r="L58" s="303" t="s">
        <v>56</v>
      </c>
      <c r="M58" s="349">
        <v>1206</v>
      </c>
      <c r="N58" s="346">
        <v>1195</v>
      </c>
      <c r="O58" s="303" t="s">
        <v>56</v>
      </c>
      <c r="P58" s="303" t="s">
        <v>93</v>
      </c>
      <c r="Q58" s="752">
        <v>45848</v>
      </c>
      <c r="R58" s="879">
        <v>90</v>
      </c>
      <c r="S58" s="879">
        <v>90</v>
      </c>
      <c r="T58" s="5">
        <v>0</v>
      </c>
      <c r="U58" s="706">
        <v>1</v>
      </c>
      <c r="V58" s="708">
        <v>45854</v>
      </c>
      <c r="W58" s="474">
        <v>1</v>
      </c>
      <c r="X58" s="474">
        <v>1</v>
      </c>
      <c r="Y58" s="474">
        <v>1</v>
      </c>
      <c r="Z58" s="284">
        <v>45898</v>
      </c>
      <c r="AA58" s="1098" t="s">
        <v>595</v>
      </c>
    </row>
    <row r="59" spans="1:27" ht="39.75" customHeight="1">
      <c r="A59" s="300" t="s">
        <v>596</v>
      </c>
      <c r="B59" s="301" t="s">
        <v>80</v>
      </c>
      <c r="C59" s="20">
        <v>45899</v>
      </c>
      <c r="D59" s="515" t="s">
        <v>131</v>
      </c>
      <c r="E59" s="515">
        <v>45882</v>
      </c>
      <c r="F59" s="301" t="s">
        <v>96</v>
      </c>
      <c r="G59" s="626" t="s">
        <v>597</v>
      </c>
      <c r="H59" s="303">
        <v>0</v>
      </c>
      <c r="I59" s="531" t="s">
        <v>92</v>
      </c>
      <c r="J59" s="303" t="s">
        <v>55</v>
      </c>
      <c r="K59" s="302" t="s">
        <v>345</v>
      </c>
      <c r="L59" s="303" t="s">
        <v>56</v>
      </c>
      <c r="M59" s="349">
        <v>18903.7</v>
      </c>
      <c r="N59" s="346">
        <v>7007.75</v>
      </c>
      <c r="O59" s="303" t="s">
        <v>56</v>
      </c>
      <c r="P59" s="303" t="s">
        <v>93</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131</v>
      </c>
      <c r="E60" s="20">
        <v>45806</v>
      </c>
      <c r="F60" s="301" t="s">
        <v>96</v>
      </c>
      <c r="G60" s="626" t="s">
        <v>600</v>
      </c>
      <c r="H60" s="303">
        <v>0</v>
      </c>
      <c r="I60" s="531" t="s">
        <v>92</v>
      </c>
      <c r="J60" s="303" t="s">
        <v>55</v>
      </c>
      <c r="K60" s="302" t="s">
        <v>601</v>
      </c>
      <c r="L60" s="303" t="s">
        <v>56</v>
      </c>
      <c r="M60" s="349">
        <v>21888.65</v>
      </c>
      <c r="N60" s="346">
        <v>21950.85</v>
      </c>
      <c r="O60" s="303" t="s">
        <v>56</v>
      </c>
      <c r="P60" s="303" t="s">
        <v>93</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108</v>
      </c>
      <c r="E61" s="308">
        <v>45695</v>
      </c>
      <c r="F61" s="308" t="s">
        <v>96</v>
      </c>
      <c r="G61" s="309" t="s">
        <v>604</v>
      </c>
      <c r="H61" s="21">
        <v>0</v>
      </c>
      <c r="I61" s="307" t="s">
        <v>93</v>
      </c>
      <c r="J61" s="21" t="s">
        <v>55</v>
      </c>
      <c r="K61" s="19" t="s">
        <v>93</v>
      </c>
      <c r="L61" s="21" t="s">
        <v>56</v>
      </c>
      <c r="M61" s="346">
        <v>3425.55</v>
      </c>
      <c r="N61" s="429">
        <v>7741.4</v>
      </c>
      <c r="O61" s="21" t="s">
        <v>56</v>
      </c>
      <c r="P61" s="21" t="s">
        <v>93</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108</v>
      </c>
      <c r="E62" s="20">
        <v>45763</v>
      </c>
      <c r="F62" s="515" t="s">
        <v>113</v>
      </c>
      <c r="G62" s="448" t="s">
        <v>606</v>
      </c>
      <c r="H62" s="303">
        <v>0</v>
      </c>
      <c r="I62" s="531" t="s">
        <v>92</v>
      </c>
      <c r="J62" s="303" t="s">
        <v>55</v>
      </c>
      <c r="K62" s="301" t="s">
        <v>93</v>
      </c>
      <c r="L62" s="303" t="s">
        <v>56</v>
      </c>
      <c r="M62" s="349">
        <v>3707.3</v>
      </c>
      <c r="N62" s="346">
        <v>8209.69</v>
      </c>
      <c r="O62" s="303" t="s">
        <v>56</v>
      </c>
      <c r="P62" s="303" t="s">
        <v>93</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96</v>
      </c>
      <c r="G63" s="448" t="s">
        <v>608</v>
      </c>
      <c r="H63" s="21">
        <v>48</v>
      </c>
      <c r="I63" s="524" t="s">
        <v>480</v>
      </c>
      <c r="J63" s="21" t="s">
        <v>67</v>
      </c>
      <c r="K63" s="19" t="s">
        <v>93</v>
      </c>
      <c r="L63" s="21" t="s">
        <v>56</v>
      </c>
      <c r="M63" s="346">
        <v>21648.75</v>
      </c>
      <c r="N63" s="429">
        <v>35235</v>
      </c>
      <c r="O63" s="21" t="s">
        <v>56</v>
      </c>
      <c r="P63" s="21" t="s">
        <v>93</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92</v>
      </c>
      <c r="J64" s="303" t="s">
        <v>55</v>
      </c>
      <c r="K64" s="302">
        <v>45817</v>
      </c>
      <c r="L64" s="303" t="s">
        <v>56</v>
      </c>
      <c r="M64" s="349">
        <v>75953</v>
      </c>
      <c r="N64" s="349">
        <v>61562</v>
      </c>
      <c r="O64" s="303" t="s">
        <v>56</v>
      </c>
      <c r="P64" s="303" t="s">
        <v>93</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92</v>
      </c>
      <c r="J65" s="21" t="s">
        <v>55</v>
      </c>
      <c r="K65" s="20">
        <v>45716</v>
      </c>
      <c r="L65" s="21" t="s">
        <v>56</v>
      </c>
      <c r="M65" s="346">
        <v>64727</v>
      </c>
      <c r="N65" s="429">
        <v>68203</v>
      </c>
      <c r="O65" s="21" t="s">
        <v>56</v>
      </c>
      <c r="P65" s="303" t="s">
        <v>93</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93</v>
      </c>
      <c r="J66" s="21" t="s">
        <v>55</v>
      </c>
      <c r="K66" s="20">
        <v>45728</v>
      </c>
      <c r="L66" s="21" t="s">
        <v>56</v>
      </c>
      <c r="M66" s="346">
        <v>88033.5</v>
      </c>
      <c r="N66" s="429">
        <v>88045.5</v>
      </c>
      <c r="O66" s="21" t="s">
        <v>56</v>
      </c>
      <c r="P66" s="21" t="s">
        <v>93</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108</v>
      </c>
      <c r="E67" s="20">
        <v>45727</v>
      </c>
      <c r="F67" s="19" t="s">
        <v>52</v>
      </c>
      <c r="G67" s="463" t="s">
        <v>619</v>
      </c>
      <c r="H67" s="21">
        <v>90</v>
      </c>
      <c r="I67" s="21" t="s">
        <v>93</v>
      </c>
      <c r="J67" s="21" t="s">
        <v>55</v>
      </c>
      <c r="K67" s="20">
        <v>45728</v>
      </c>
      <c r="L67" s="21" t="s">
        <v>56</v>
      </c>
      <c r="M67" s="346">
        <v>82979.5</v>
      </c>
      <c r="N67" s="429">
        <v>78032</v>
      </c>
      <c r="O67" s="21" t="s">
        <v>56</v>
      </c>
      <c r="P67" s="303" t="s">
        <v>93</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92</v>
      </c>
      <c r="J68" s="21" t="s">
        <v>55</v>
      </c>
      <c r="K68" s="20">
        <v>45728</v>
      </c>
      <c r="L68" s="21" t="s">
        <v>56</v>
      </c>
      <c r="M68" s="346">
        <v>60843.5</v>
      </c>
      <c r="N68" s="429">
        <v>59355.5</v>
      </c>
      <c r="O68" s="21" t="s">
        <v>56</v>
      </c>
      <c r="P68" s="303" t="s">
        <v>93</v>
      </c>
      <c r="Q68" s="542">
        <v>45722</v>
      </c>
      <c r="R68" s="682">
        <v>4979</v>
      </c>
      <c r="S68" s="368">
        <v>5020</v>
      </c>
      <c r="T68" s="520">
        <v>0</v>
      </c>
      <c r="U68" s="521">
        <v>1.01</v>
      </c>
      <c r="V68" s="854">
        <v>45741</v>
      </c>
      <c r="W68" s="526">
        <v>1</v>
      </c>
      <c r="X68" s="526">
        <v>1</v>
      </c>
      <c r="Y68" s="8">
        <v>1</v>
      </c>
      <c r="Z68" s="284" t="s">
        <v>447</v>
      </c>
      <c r="AA68" s="1097" t="s">
        <v>624</v>
      </c>
    </row>
    <row r="69" spans="1:27" ht="39.75" customHeight="1">
      <c r="A69" s="300" t="s">
        <v>625</v>
      </c>
      <c r="B69" s="533" t="s">
        <v>50</v>
      </c>
      <c r="C69" s="20">
        <v>45742</v>
      </c>
      <c r="D69" s="19" t="s">
        <v>622</v>
      </c>
      <c r="E69" s="20">
        <v>45716</v>
      </c>
      <c r="F69" s="19" t="s">
        <v>626</v>
      </c>
      <c r="G69" s="532" t="s">
        <v>627</v>
      </c>
      <c r="H69" s="21">
        <v>87</v>
      </c>
      <c r="I69" s="21" t="s">
        <v>93</v>
      </c>
      <c r="J69" s="21" t="s">
        <v>55</v>
      </c>
      <c r="K69" s="20">
        <v>45716</v>
      </c>
      <c r="L69" s="21" t="s">
        <v>56</v>
      </c>
      <c r="M69" s="346">
        <v>74446</v>
      </c>
      <c r="N69" s="443">
        <v>73894</v>
      </c>
      <c r="O69" s="21" t="s">
        <v>56</v>
      </c>
      <c r="P69" s="303" t="s">
        <v>93</v>
      </c>
      <c r="Q69" s="132">
        <v>45723</v>
      </c>
      <c r="R69" s="482">
        <v>6149</v>
      </c>
      <c r="S69" s="46">
        <v>6362</v>
      </c>
      <c r="T69" s="575">
        <v>0</v>
      </c>
      <c r="U69" s="1055">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108</v>
      </c>
      <c r="E70" s="20">
        <v>45716</v>
      </c>
      <c r="F70" s="19" t="s">
        <v>52</v>
      </c>
      <c r="G70" s="306" t="s">
        <v>629</v>
      </c>
      <c r="H70" s="21">
        <v>83</v>
      </c>
      <c r="I70" s="307" t="s">
        <v>93</v>
      </c>
      <c r="J70" s="21" t="s">
        <v>55</v>
      </c>
      <c r="K70" s="485">
        <v>45716</v>
      </c>
      <c r="L70" s="21" t="s">
        <v>56</v>
      </c>
      <c r="M70" s="538">
        <v>84935.5</v>
      </c>
      <c r="N70" s="444">
        <v>81445</v>
      </c>
      <c r="O70" s="21" t="s">
        <v>56</v>
      </c>
      <c r="P70" s="303" t="s">
        <v>93</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92</v>
      </c>
      <c r="J71" s="307" t="s">
        <v>55</v>
      </c>
      <c r="K71" s="308">
        <v>45714</v>
      </c>
      <c r="L71" s="307" t="s">
        <v>56</v>
      </c>
      <c r="M71" s="508">
        <v>94170.5</v>
      </c>
      <c r="N71" s="1066">
        <v>90860.5</v>
      </c>
      <c r="O71" s="307" t="s">
        <v>56</v>
      </c>
      <c r="P71" s="303" t="s">
        <v>93</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108</v>
      </c>
      <c r="E72" s="522">
        <v>45685</v>
      </c>
      <c r="F72" s="522" t="s">
        <v>52</v>
      </c>
      <c r="G72" s="523" t="s">
        <v>635</v>
      </c>
      <c r="H72" s="524">
        <v>76</v>
      </c>
      <c r="I72" s="531" t="s">
        <v>92</v>
      </c>
      <c r="J72" s="524" t="s">
        <v>55</v>
      </c>
      <c r="K72" s="522">
        <v>45692</v>
      </c>
      <c r="L72" s="524" t="s">
        <v>56</v>
      </c>
      <c r="M72" s="527">
        <v>90302</v>
      </c>
      <c r="N72" s="346">
        <v>98764.5</v>
      </c>
      <c r="O72" s="524" t="s">
        <v>56</v>
      </c>
      <c r="P72" s="303" t="s">
        <v>93</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7" t="s">
        <v>636</v>
      </c>
    </row>
    <row r="73" spans="1:27" ht="39.75" customHeight="1">
      <c r="A73" s="540" t="s">
        <v>637</v>
      </c>
      <c r="B73" s="305" t="s">
        <v>50</v>
      </c>
      <c r="C73" s="20">
        <v>45772</v>
      </c>
      <c r="D73" s="308" t="s">
        <v>631</v>
      </c>
      <c r="E73" s="308">
        <v>45698</v>
      </c>
      <c r="F73" s="20" t="s">
        <v>52</v>
      </c>
      <c r="G73" s="447" t="s">
        <v>638</v>
      </c>
      <c r="H73" s="307">
        <v>89</v>
      </c>
      <c r="I73" s="307" t="s">
        <v>92</v>
      </c>
      <c r="J73" s="307" t="s">
        <v>55</v>
      </c>
      <c r="K73" s="308">
        <v>45695</v>
      </c>
      <c r="L73" s="307" t="s">
        <v>56</v>
      </c>
      <c r="M73" s="1276">
        <v>89698.5</v>
      </c>
      <c r="N73" s="429">
        <v>86876.5</v>
      </c>
      <c r="O73" s="307" t="s">
        <v>56</v>
      </c>
      <c r="P73" s="303" t="s">
        <v>93</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92</v>
      </c>
      <c r="J74" s="307" t="s">
        <v>55</v>
      </c>
      <c r="K74" s="308">
        <v>45698</v>
      </c>
      <c r="L74" s="307" t="s">
        <v>56</v>
      </c>
      <c r="M74" s="508">
        <v>71361</v>
      </c>
      <c r="N74" s="429">
        <v>72125</v>
      </c>
      <c r="O74" s="307" t="s">
        <v>56</v>
      </c>
      <c r="P74" s="21" t="s">
        <v>93</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92</v>
      </c>
      <c r="J75" s="524" t="s">
        <v>55</v>
      </c>
      <c r="K75" s="522">
        <v>45686</v>
      </c>
      <c r="L75" s="524" t="s">
        <v>56</v>
      </c>
      <c r="M75" s="527">
        <v>61924</v>
      </c>
      <c r="N75" s="429">
        <v>61494</v>
      </c>
      <c r="O75" s="524" t="s">
        <v>56</v>
      </c>
      <c r="P75" s="303" t="s">
        <v>93</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92</v>
      </c>
      <c r="J76" s="307" t="s">
        <v>55</v>
      </c>
      <c r="K76" s="308">
        <v>45700</v>
      </c>
      <c r="L76" s="307" t="s">
        <v>56</v>
      </c>
      <c r="M76" s="508">
        <v>76139.5</v>
      </c>
      <c r="N76" s="443">
        <v>79581.5</v>
      </c>
      <c r="O76" s="307" t="s">
        <v>56</v>
      </c>
      <c r="P76" s="303" t="s">
        <v>93</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108</v>
      </c>
      <c r="E77" s="308">
        <v>45685</v>
      </c>
      <c r="F77" s="19" t="s">
        <v>52</v>
      </c>
      <c r="G77" s="447" t="s">
        <v>648</v>
      </c>
      <c r="H77" s="307">
        <v>81</v>
      </c>
      <c r="I77" s="304" t="s">
        <v>92</v>
      </c>
      <c r="J77" s="307" t="s">
        <v>55</v>
      </c>
      <c r="K77" s="308">
        <v>45699</v>
      </c>
      <c r="L77" s="307" t="s">
        <v>56</v>
      </c>
      <c r="M77" s="508">
        <v>73583.5</v>
      </c>
      <c r="N77" s="429">
        <v>84066</v>
      </c>
      <c r="O77" s="622" t="s">
        <v>56</v>
      </c>
      <c r="P77" s="303" t="s">
        <v>93</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92</v>
      </c>
      <c r="J78" s="524" t="s">
        <v>55</v>
      </c>
      <c r="K78" s="522">
        <v>45698</v>
      </c>
      <c r="L78" s="524" t="s">
        <v>56</v>
      </c>
      <c r="M78" s="527">
        <v>63402.5</v>
      </c>
      <c r="N78" s="429">
        <v>62670.5</v>
      </c>
      <c r="O78" s="524" t="s">
        <v>56</v>
      </c>
      <c r="P78" s="303" t="s">
        <v>93</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93</v>
      </c>
      <c r="L79" s="307" t="s">
        <v>56</v>
      </c>
      <c r="M79" s="508">
        <v>51958</v>
      </c>
      <c r="N79" s="429">
        <v>20330.259999999998</v>
      </c>
      <c r="O79" s="307" t="s">
        <v>56</v>
      </c>
      <c r="P79" s="21" t="s">
        <v>93</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93</v>
      </c>
      <c r="Q80" s="542">
        <v>45675</v>
      </c>
      <c r="R80" s="10">
        <v>6526</v>
      </c>
      <c r="S80" s="368">
        <v>6316</v>
      </c>
      <c r="T80" s="51">
        <v>0</v>
      </c>
      <c r="U80" s="654">
        <v>0.97</v>
      </c>
      <c r="V80" s="542">
        <v>45685</v>
      </c>
      <c r="W80" s="526">
        <v>1</v>
      </c>
      <c r="X80" s="526">
        <v>1</v>
      </c>
      <c r="Y80" s="656">
        <v>0</v>
      </c>
      <c r="Z80" s="367">
        <v>45894</v>
      </c>
      <c r="AA80" s="1099"/>
    </row>
    <row r="81" spans="1:27" ht="39.75" customHeight="1">
      <c r="A81" s="300" t="s">
        <v>661</v>
      </c>
      <c r="B81" s="533" t="s">
        <v>50</v>
      </c>
      <c r="C81" s="522">
        <v>45688</v>
      </c>
      <c r="D81" s="522" t="s">
        <v>662</v>
      </c>
      <c r="E81" s="522">
        <v>45692</v>
      </c>
      <c r="F81" s="522" t="s">
        <v>150</v>
      </c>
      <c r="G81" s="523" t="s">
        <v>663</v>
      </c>
      <c r="H81" s="21">
        <v>86</v>
      </c>
      <c r="I81" s="524" t="s">
        <v>480</v>
      </c>
      <c r="J81" s="21" t="s">
        <v>55</v>
      </c>
      <c r="K81" s="301" t="s">
        <v>93</v>
      </c>
      <c r="L81" s="524" t="s">
        <v>56</v>
      </c>
      <c r="M81" s="346">
        <v>82480.5</v>
      </c>
      <c r="N81" s="346">
        <v>77870.5</v>
      </c>
      <c r="O81" s="524" t="s">
        <v>56</v>
      </c>
      <c r="P81" s="303" t="s">
        <v>93</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7" t="s">
        <v>50</v>
      </c>
      <c r="C82" s="515">
        <v>45688</v>
      </c>
      <c r="D82" s="515" t="s">
        <v>631</v>
      </c>
      <c r="E82" s="515">
        <v>45695</v>
      </c>
      <c r="F82" s="302" t="s">
        <v>52</v>
      </c>
      <c r="G82" s="626" t="s">
        <v>666</v>
      </c>
      <c r="H82" s="303">
        <v>88</v>
      </c>
      <c r="I82" s="531" t="s">
        <v>480</v>
      </c>
      <c r="J82" s="303" t="s">
        <v>55</v>
      </c>
      <c r="K82" s="301" t="s">
        <v>93</v>
      </c>
      <c r="L82" s="531" t="s">
        <v>56</v>
      </c>
      <c r="M82" s="349">
        <v>43130</v>
      </c>
      <c r="N82" s="346">
        <v>43560</v>
      </c>
      <c r="O82" s="531" t="s">
        <v>56</v>
      </c>
      <c r="P82" s="303" t="s">
        <v>93</v>
      </c>
      <c r="Q82" s="752">
        <v>45691</v>
      </c>
      <c r="R82" s="473">
        <v>2931</v>
      </c>
      <c r="S82" s="46">
        <v>3257</v>
      </c>
      <c r="T82" s="6">
        <v>0</v>
      </c>
      <c r="U82" s="866">
        <v>1.1100000000000001</v>
      </c>
      <c r="V82" s="61">
        <v>45750</v>
      </c>
      <c r="W82" s="706">
        <v>1</v>
      </c>
      <c r="X82" s="706">
        <v>1</v>
      </c>
      <c r="Y82" s="521">
        <v>1</v>
      </c>
      <c r="Z82" s="284" t="s">
        <v>447</v>
      </c>
      <c r="AA82" s="886" t="s">
        <v>667</v>
      </c>
    </row>
    <row r="83" spans="1:27" ht="39.75" customHeight="1">
      <c r="A83" s="300" t="s">
        <v>668</v>
      </c>
      <c r="B83" s="533" t="s">
        <v>50</v>
      </c>
      <c r="C83" s="522">
        <v>45688</v>
      </c>
      <c r="D83" s="20" t="s">
        <v>131</v>
      </c>
      <c r="E83" s="522">
        <v>45686</v>
      </c>
      <c r="F83" s="522" t="s">
        <v>52</v>
      </c>
      <c r="G83" s="523" t="s">
        <v>669</v>
      </c>
      <c r="H83" s="21">
        <v>88</v>
      </c>
      <c r="I83" s="524" t="s">
        <v>480</v>
      </c>
      <c r="J83" s="21" t="s">
        <v>55</v>
      </c>
      <c r="K83" s="529">
        <v>45706</v>
      </c>
      <c r="L83" s="524" t="s">
        <v>56</v>
      </c>
      <c r="M83" s="346">
        <v>69212.5</v>
      </c>
      <c r="N83" s="346">
        <v>70500</v>
      </c>
      <c r="O83" s="524" t="s">
        <v>56</v>
      </c>
      <c r="P83" s="303" t="s">
        <v>93</v>
      </c>
      <c r="Q83" s="708">
        <v>45679</v>
      </c>
      <c r="R83" s="775">
        <v>5661</v>
      </c>
      <c r="S83" s="46">
        <v>5752</v>
      </c>
      <c r="T83" s="6">
        <v>0</v>
      </c>
      <c r="U83" s="866">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92</v>
      </c>
      <c r="J84" s="303" t="s">
        <v>55</v>
      </c>
      <c r="K84" s="20">
        <v>45741</v>
      </c>
      <c r="L84" s="303" t="s">
        <v>56</v>
      </c>
      <c r="M84" s="346">
        <v>74508.5</v>
      </c>
      <c r="N84" s="429">
        <v>75008.5</v>
      </c>
      <c r="O84" s="303" t="s">
        <v>56</v>
      </c>
      <c r="P84" s="303" t="s">
        <v>93</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150</v>
      </c>
      <c r="G85" s="306" t="s">
        <v>677</v>
      </c>
      <c r="H85" s="21">
        <v>88</v>
      </c>
      <c r="I85" s="307" t="s">
        <v>92</v>
      </c>
      <c r="J85" s="21" t="s">
        <v>55</v>
      </c>
      <c r="K85" s="20">
        <v>45741</v>
      </c>
      <c r="L85" s="21" t="s">
        <v>56</v>
      </c>
      <c r="M85" s="346">
        <v>73070.5</v>
      </c>
      <c r="N85" s="429">
        <v>72678</v>
      </c>
      <c r="O85" s="21" t="s">
        <v>56</v>
      </c>
      <c r="P85" s="21" t="s">
        <v>93</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92</v>
      </c>
      <c r="J86" s="303" t="s">
        <v>55</v>
      </c>
      <c r="K86" s="20">
        <v>45741</v>
      </c>
      <c r="L86" s="303" t="s">
        <v>56</v>
      </c>
      <c r="M86" s="346">
        <v>49071</v>
      </c>
      <c r="N86" s="346">
        <v>51376.61</v>
      </c>
      <c r="O86" s="303" t="s">
        <v>56</v>
      </c>
      <c r="P86" s="303" t="s">
        <v>93</v>
      </c>
      <c r="Q86" s="752">
        <v>45745</v>
      </c>
      <c r="R86" s="473">
        <v>3967</v>
      </c>
      <c r="S86" s="46">
        <v>3936</v>
      </c>
      <c r="T86" s="6">
        <v>0</v>
      </c>
      <c r="U86" s="866">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150</v>
      </c>
      <c r="G87" s="523" t="s">
        <v>682</v>
      </c>
      <c r="H87" s="21">
        <v>73</v>
      </c>
      <c r="I87" s="531" t="s">
        <v>480</v>
      </c>
      <c r="J87" s="21" t="s">
        <v>55</v>
      </c>
      <c r="K87" s="20">
        <v>45698</v>
      </c>
      <c r="L87" s="524" t="s">
        <v>56</v>
      </c>
      <c r="M87" s="346">
        <v>60575.5</v>
      </c>
      <c r="N87" s="429">
        <v>59352</v>
      </c>
      <c r="O87" s="524" t="s">
        <v>56</v>
      </c>
      <c r="P87" s="303" t="s">
        <v>93</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150</v>
      </c>
      <c r="G88" s="447" t="s">
        <v>685</v>
      </c>
      <c r="H88" s="21">
        <v>65</v>
      </c>
      <c r="I88" s="307" t="s">
        <v>480</v>
      </c>
      <c r="J88" s="21" t="s">
        <v>55</v>
      </c>
      <c r="K88" s="20">
        <v>45698</v>
      </c>
      <c r="L88" s="307" t="s">
        <v>56</v>
      </c>
      <c r="M88" s="346">
        <v>65001</v>
      </c>
      <c r="N88" s="444">
        <v>68269</v>
      </c>
      <c r="O88" s="307" t="s">
        <v>56</v>
      </c>
      <c r="P88" s="303" t="s">
        <v>93</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92</v>
      </c>
      <c r="J89" s="303" t="s">
        <v>55</v>
      </c>
      <c r="K89" s="20">
        <v>45741</v>
      </c>
      <c r="L89" s="303" t="s">
        <v>56</v>
      </c>
      <c r="M89" s="346">
        <v>62104</v>
      </c>
      <c r="N89" s="444">
        <v>64186</v>
      </c>
      <c r="O89" s="303" t="s">
        <v>56</v>
      </c>
      <c r="P89" s="303" t="s">
        <v>93</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92</v>
      </c>
      <c r="J90" s="303" t="s">
        <v>55</v>
      </c>
      <c r="K90" s="20">
        <v>45741</v>
      </c>
      <c r="L90" s="303" t="s">
        <v>56</v>
      </c>
      <c r="M90" s="346">
        <v>63756.5</v>
      </c>
      <c r="N90" s="444">
        <v>64902.5</v>
      </c>
      <c r="O90" s="303" t="s">
        <v>56</v>
      </c>
      <c r="P90" s="303" t="s">
        <v>93</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108</v>
      </c>
      <c r="E91" s="20">
        <v>45743</v>
      </c>
      <c r="F91" s="19" t="s">
        <v>52</v>
      </c>
      <c r="G91" s="306" t="s">
        <v>691</v>
      </c>
      <c r="H91" s="21">
        <v>75</v>
      </c>
      <c r="I91" s="307" t="s">
        <v>92</v>
      </c>
      <c r="J91" s="21" t="s">
        <v>55</v>
      </c>
      <c r="K91" s="20">
        <v>45741</v>
      </c>
      <c r="L91" s="21" t="s">
        <v>56</v>
      </c>
      <c r="M91" s="346">
        <v>67840.5</v>
      </c>
      <c r="N91" s="429">
        <v>66607.5</v>
      </c>
      <c r="O91" s="21" t="s">
        <v>56</v>
      </c>
      <c r="P91" s="21" t="s">
        <v>93</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150</v>
      </c>
      <c r="G92" s="306" t="s">
        <v>693</v>
      </c>
      <c r="H92" s="21">
        <v>69</v>
      </c>
      <c r="I92" s="21" t="s">
        <v>92</v>
      </c>
      <c r="J92" s="21" t="s">
        <v>55</v>
      </c>
      <c r="K92" s="20">
        <v>45757</v>
      </c>
      <c r="L92" s="21" t="s">
        <v>56</v>
      </c>
      <c r="M92" s="346">
        <v>53906.75</v>
      </c>
      <c r="N92" s="429">
        <v>54578.5</v>
      </c>
      <c r="O92" s="21" t="s">
        <v>56</v>
      </c>
      <c r="P92" s="21" t="s">
        <v>93</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92</v>
      </c>
      <c r="J93" s="303" t="s">
        <v>55</v>
      </c>
      <c r="K93" s="302">
        <v>45757</v>
      </c>
      <c r="L93" s="303" t="s">
        <v>56</v>
      </c>
      <c r="M93" s="349">
        <v>47432.5</v>
      </c>
      <c r="N93" s="429">
        <v>54385.09</v>
      </c>
      <c r="O93" s="303" t="s">
        <v>56</v>
      </c>
      <c r="P93" s="303" t="s">
        <v>93</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93</v>
      </c>
      <c r="J94" s="21" t="s">
        <v>55</v>
      </c>
      <c r="K94" s="20">
        <v>45757</v>
      </c>
      <c r="L94" s="21" t="s">
        <v>56</v>
      </c>
      <c r="M94" s="346">
        <v>62383</v>
      </c>
      <c r="N94" s="429">
        <v>61939</v>
      </c>
      <c r="O94" s="21" t="s">
        <v>56</v>
      </c>
      <c r="P94" s="21" t="s">
        <v>93</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93</v>
      </c>
      <c r="J95" s="303" t="s">
        <v>55</v>
      </c>
      <c r="K95" s="302">
        <v>45757</v>
      </c>
      <c r="L95" s="303" t="s">
        <v>56</v>
      </c>
      <c r="M95" s="349">
        <v>80443.5</v>
      </c>
      <c r="N95" s="429">
        <v>81941</v>
      </c>
      <c r="O95" s="303" t="s">
        <v>56</v>
      </c>
      <c r="P95" s="303" t="s">
        <v>93</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92</v>
      </c>
      <c r="J96" s="303" t="s">
        <v>55</v>
      </c>
      <c r="K96" s="302">
        <v>45757</v>
      </c>
      <c r="L96" s="303" t="s">
        <v>56</v>
      </c>
      <c r="M96" s="349">
        <v>68736.5</v>
      </c>
      <c r="N96" s="429">
        <v>68249</v>
      </c>
      <c r="O96" s="303" t="s">
        <v>56</v>
      </c>
      <c r="P96" s="303" t="s">
        <v>93</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92</v>
      </c>
      <c r="J97" s="303" t="s">
        <v>55</v>
      </c>
      <c r="K97" s="20">
        <v>45741</v>
      </c>
      <c r="L97" s="303" t="s">
        <v>56</v>
      </c>
      <c r="M97" s="346">
        <v>73491.5</v>
      </c>
      <c r="N97" s="443">
        <v>202651</v>
      </c>
      <c r="O97" s="303" t="s">
        <v>56</v>
      </c>
      <c r="P97" s="303" t="s">
        <v>93</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92</v>
      </c>
      <c r="J98" s="303" t="s">
        <v>55</v>
      </c>
      <c r="K98" s="302">
        <v>45757</v>
      </c>
      <c r="L98" s="303" t="s">
        <v>56</v>
      </c>
      <c r="M98" s="349">
        <v>78331</v>
      </c>
      <c r="N98" s="346">
        <v>82072.25</v>
      </c>
      <c r="O98" s="303" t="s">
        <v>56</v>
      </c>
      <c r="P98" s="303" t="s">
        <v>93</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108</v>
      </c>
      <c r="E99" s="20">
        <v>45743</v>
      </c>
      <c r="F99" s="19" t="s">
        <v>52</v>
      </c>
      <c r="G99" s="534" t="s">
        <v>711</v>
      </c>
      <c r="H99" s="21">
        <v>81</v>
      </c>
      <c r="I99" s="524" t="s">
        <v>92</v>
      </c>
      <c r="J99" s="303" t="s">
        <v>55</v>
      </c>
      <c r="K99" s="20">
        <v>45741</v>
      </c>
      <c r="L99" s="303" t="s">
        <v>56</v>
      </c>
      <c r="M99" s="346">
        <v>74961</v>
      </c>
      <c r="N99" s="346">
        <v>77123</v>
      </c>
      <c r="O99" s="303" t="s">
        <v>56</v>
      </c>
      <c r="P99" s="303" t="s">
        <v>93</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92</v>
      </c>
      <c r="J100" s="303" t="s">
        <v>55</v>
      </c>
      <c r="K100" s="20">
        <v>45741</v>
      </c>
      <c r="L100" s="303" t="s">
        <v>56</v>
      </c>
      <c r="M100" s="346">
        <v>70235</v>
      </c>
      <c r="N100" s="443">
        <v>134171.5</v>
      </c>
      <c r="O100" s="303" t="s">
        <v>56</v>
      </c>
      <c r="P100" s="303" t="s">
        <v>93</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93</v>
      </c>
      <c r="L101" s="524" t="s">
        <v>56</v>
      </c>
      <c r="M101" s="346">
        <v>60625.5</v>
      </c>
      <c r="N101" s="429">
        <v>59084</v>
      </c>
      <c r="O101" s="524" t="s">
        <v>56</v>
      </c>
      <c r="P101" s="21" t="s">
        <v>93</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92</v>
      </c>
      <c r="J102" s="21" t="s">
        <v>55</v>
      </c>
      <c r="K102" s="20">
        <v>45721</v>
      </c>
      <c r="L102" s="21" t="s">
        <v>56</v>
      </c>
      <c r="M102" s="466">
        <v>79507</v>
      </c>
      <c r="N102" s="429">
        <v>86709.5</v>
      </c>
      <c r="O102" s="21" t="s">
        <v>56</v>
      </c>
      <c r="P102" s="21" t="s">
        <v>93</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93</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92</v>
      </c>
      <c r="J104" s="21" t="s">
        <v>55</v>
      </c>
      <c r="K104" s="20">
        <v>45716</v>
      </c>
      <c r="L104" s="21" t="s">
        <v>56</v>
      </c>
      <c r="M104" s="346">
        <v>64609</v>
      </c>
      <c r="N104" s="443">
        <v>76965</v>
      </c>
      <c r="O104" s="21" t="s">
        <v>56</v>
      </c>
      <c r="P104" s="303" t="s">
        <v>93</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150</v>
      </c>
      <c r="G105" s="309" t="s">
        <v>725</v>
      </c>
      <c r="H105" s="21">
        <v>64</v>
      </c>
      <c r="I105" s="307" t="s">
        <v>92</v>
      </c>
      <c r="J105" s="21" t="s">
        <v>55</v>
      </c>
      <c r="K105" s="20">
        <v>45701</v>
      </c>
      <c r="L105" s="307" t="s">
        <v>56</v>
      </c>
      <c r="M105" s="346">
        <v>48609</v>
      </c>
      <c r="N105" s="429">
        <v>48682.5</v>
      </c>
      <c r="O105" s="622" t="s">
        <v>56</v>
      </c>
      <c r="P105" s="303" t="s">
        <v>93</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92</v>
      </c>
      <c r="J106" s="21" t="s">
        <v>55</v>
      </c>
      <c r="K106" s="20">
        <v>45698</v>
      </c>
      <c r="L106" s="524" t="s">
        <v>56</v>
      </c>
      <c r="M106" s="346">
        <v>52222</v>
      </c>
      <c r="N106" s="429">
        <v>51838</v>
      </c>
      <c r="O106" s="524" t="s">
        <v>56</v>
      </c>
      <c r="P106" s="21" t="s">
        <v>93</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92</v>
      </c>
      <c r="J107" s="21" t="s">
        <v>55</v>
      </c>
      <c r="K107" s="20">
        <v>45698</v>
      </c>
      <c r="L107" s="524" t="s">
        <v>56</v>
      </c>
      <c r="M107" s="346">
        <v>67892.5</v>
      </c>
      <c r="N107" s="346">
        <v>65771.429999999993</v>
      </c>
      <c r="O107" s="524" t="s">
        <v>56</v>
      </c>
      <c r="P107" s="303" t="s">
        <v>93</v>
      </c>
      <c r="Q107" s="132">
        <v>45709</v>
      </c>
      <c r="R107" s="7">
        <v>5494</v>
      </c>
      <c r="S107" s="46">
        <v>5431</v>
      </c>
      <c r="T107" s="6">
        <v>0</v>
      </c>
      <c r="U107" s="865">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93</v>
      </c>
      <c r="J108" s="21" t="s">
        <v>55</v>
      </c>
      <c r="K108" s="20">
        <v>45716</v>
      </c>
      <c r="L108" s="21" t="s">
        <v>56</v>
      </c>
      <c r="M108" s="466">
        <v>67463</v>
      </c>
      <c r="N108" s="429">
        <v>69992</v>
      </c>
      <c r="O108" s="21" t="s">
        <v>56</v>
      </c>
      <c r="P108" s="21" t="s">
        <v>93</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93</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150</v>
      </c>
      <c r="G110" s="530" t="s">
        <v>738</v>
      </c>
      <c r="H110" s="21">
        <v>85</v>
      </c>
      <c r="I110" s="307" t="s">
        <v>92</v>
      </c>
      <c r="J110" s="21" t="s">
        <v>55</v>
      </c>
      <c r="K110" s="20">
        <v>45707</v>
      </c>
      <c r="L110" s="21" t="s">
        <v>56</v>
      </c>
      <c r="M110" s="346" t="s">
        <v>739</v>
      </c>
      <c r="N110" s="444">
        <v>67080</v>
      </c>
      <c r="O110" s="21" t="s">
        <v>56</v>
      </c>
      <c r="P110" s="303" t="s">
        <v>93</v>
      </c>
      <c r="Q110" s="1280">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92</v>
      </c>
      <c r="J111" s="303" t="s">
        <v>55</v>
      </c>
      <c r="K111" s="20">
        <v>45741</v>
      </c>
      <c r="L111" s="303" t="s">
        <v>56</v>
      </c>
      <c r="M111" s="346">
        <v>79069.5</v>
      </c>
      <c r="N111" s="443">
        <v>73300</v>
      </c>
      <c r="O111" s="303" t="s">
        <v>56</v>
      </c>
      <c r="P111" s="303" t="s">
        <v>93</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92</v>
      </c>
      <c r="J112" s="303" t="s">
        <v>55</v>
      </c>
      <c r="K112" s="20">
        <v>45741</v>
      </c>
      <c r="L112" s="303" t="s">
        <v>56</v>
      </c>
      <c r="M112" s="346">
        <v>16398</v>
      </c>
      <c r="N112" s="429">
        <v>15664</v>
      </c>
      <c r="O112" s="303" t="s">
        <v>56</v>
      </c>
      <c r="P112" s="303" t="s">
        <v>93</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92</v>
      </c>
      <c r="J113" s="303" t="s">
        <v>55</v>
      </c>
      <c r="K113" s="20">
        <v>45741</v>
      </c>
      <c r="L113" s="303" t="s">
        <v>56</v>
      </c>
      <c r="M113" s="346">
        <v>75396.5</v>
      </c>
      <c r="N113" s="346">
        <v>75756.5</v>
      </c>
      <c r="O113" s="303" t="s">
        <v>56</v>
      </c>
      <c r="P113" s="303" t="s">
        <v>93</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150</v>
      </c>
      <c r="G114" s="530" t="s">
        <v>748</v>
      </c>
      <c r="H114" s="21">
        <v>90</v>
      </c>
      <c r="I114" s="531" t="s">
        <v>92</v>
      </c>
      <c r="J114" s="21" t="s">
        <v>55</v>
      </c>
      <c r="K114" s="20">
        <v>45698</v>
      </c>
      <c r="L114" s="524" t="s">
        <v>56</v>
      </c>
      <c r="M114" s="346">
        <v>68216.5</v>
      </c>
      <c r="N114" s="346">
        <v>65624.5</v>
      </c>
      <c r="O114" s="524" t="s">
        <v>56</v>
      </c>
      <c r="P114" s="303" t="s">
        <v>93</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150</v>
      </c>
      <c r="G115" s="530" t="s">
        <v>751</v>
      </c>
      <c r="H115" s="21">
        <v>78</v>
      </c>
      <c r="I115" s="524" t="s">
        <v>93</v>
      </c>
      <c r="J115" s="21" t="s">
        <v>55</v>
      </c>
      <c r="K115" s="20">
        <v>45708</v>
      </c>
      <c r="L115" s="21" t="s">
        <v>56</v>
      </c>
      <c r="M115" s="346">
        <v>56854</v>
      </c>
      <c r="N115" s="429">
        <v>62254</v>
      </c>
      <c r="O115" s="21" t="s">
        <v>56</v>
      </c>
      <c r="P115" s="21" t="s">
        <v>93</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150</v>
      </c>
      <c r="G116" s="309" t="s">
        <v>753</v>
      </c>
      <c r="H116" s="21">
        <v>87</v>
      </c>
      <c r="I116" s="307" t="s">
        <v>93</v>
      </c>
      <c r="J116" s="21" t="s">
        <v>55</v>
      </c>
      <c r="K116" s="20">
        <v>45708</v>
      </c>
      <c r="L116" s="307" t="s">
        <v>56</v>
      </c>
      <c r="M116" s="346">
        <v>73639</v>
      </c>
      <c r="N116" s="444">
        <v>73025</v>
      </c>
      <c r="O116" s="307" t="s">
        <v>56</v>
      </c>
      <c r="P116" s="303" t="s">
        <v>93</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93</v>
      </c>
      <c r="J117" s="21" t="s">
        <v>55</v>
      </c>
      <c r="K117" s="20">
        <v>45698</v>
      </c>
      <c r="L117" s="307" t="s">
        <v>56</v>
      </c>
      <c r="M117" s="346">
        <v>54861</v>
      </c>
      <c r="N117" s="429">
        <v>55197</v>
      </c>
      <c r="O117" s="307" t="s">
        <v>56</v>
      </c>
      <c r="P117" s="21" t="s">
        <v>93</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108</v>
      </c>
      <c r="E118" s="308">
        <v>45698</v>
      </c>
      <c r="F118" s="308" t="s">
        <v>52</v>
      </c>
      <c r="G118" s="309" t="s">
        <v>757</v>
      </c>
      <c r="H118" s="21">
        <v>87</v>
      </c>
      <c r="I118" s="307" t="s">
        <v>93</v>
      </c>
      <c r="J118" s="21" t="s">
        <v>55</v>
      </c>
      <c r="K118" s="20">
        <v>45699</v>
      </c>
      <c r="L118" s="307" t="s">
        <v>56</v>
      </c>
      <c r="M118" s="346">
        <v>72566</v>
      </c>
      <c r="N118" s="346">
        <v>83382</v>
      </c>
      <c r="O118" s="307" t="s">
        <v>56</v>
      </c>
      <c r="P118" s="303" t="s">
        <v>93</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92</v>
      </c>
      <c r="J119" s="21" t="s">
        <v>55</v>
      </c>
      <c r="K119" s="20">
        <v>45735</v>
      </c>
      <c r="L119" s="21" t="s">
        <v>56</v>
      </c>
      <c r="M119" s="346">
        <v>41285</v>
      </c>
      <c r="N119" s="429">
        <v>40484</v>
      </c>
      <c r="O119" s="21" t="s">
        <v>56</v>
      </c>
      <c r="P119" s="303" t="s">
        <v>93</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93</v>
      </c>
      <c r="Q120" s="1281">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93</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93</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345</v>
      </c>
      <c r="F123" s="308" t="s">
        <v>771</v>
      </c>
      <c r="G123" s="447" t="s">
        <v>772</v>
      </c>
      <c r="H123" s="307">
        <v>0</v>
      </c>
      <c r="I123" s="307" t="s">
        <v>92</v>
      </c>
      <c r="J123" s="307" t="s">
        <v>55</v>
      </c>
      <c r="K123" s="301" t="s">
        <v>93</v>
      </c>
      <c r="L123" s="307" t="s">
        <v>56</v>
      </c>
      <c r="M123" s="508">
        <v>289634.75</v>
      </c>
      <c r="N123" s="429">
        <v>296306.83</v>
      </c>
      <c r="O123" s="622" t="s">
        <v>56</v>
      </c>
      <c r="P123" s="303" t="s">
        <v>93</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92</v>
      </c>
      <c r="J124" s="21" t="s">
        <v>55</v>
      </c>
      <c r="K124" s="20">
        <v>45741</v>
      </c>
      <c r="L124" s="303" t="s">
        <v>56</v>
      </c>
      <c r="M124" s="346">
        <v>47849</v>
      </c>
      <c r="N124" s="346">
        <v>51778</v>
      </c>
      <c r="O124" s="303" t="s">
        <v>56</v>
      </c>
      <c r="P124" s="303" t="s">
        <v>93</v>
      </c>
      <c r="Q124" s="542">
        <v>45744</v>
      </c>
      <c r="R124" s="10">
        <v>4194</v>
      </c>
      <c r="S124" s="368">
        <v>4448</v>
      </c>
      <c r="T124" s="386">
        <v>0</v>
      </c>
      <c r="U124" s="526">
        <v>1.06</v>
      </c>
      <c r="V124" s="374">
        <v>45784</v>
      </c>
      <c r="W124" s="369">
        <v>1</v>
      </c>
      <c r="X124" s="369">
        <v>1</v>
      </c>
      <c r="Y124" s="369">
        <v>1</v>
      </c>
      <c r="Z124" s="374">
        <v>45972</v>
      </c>
      <c r="AA124" s="809" t="s">
        <v>777</v>
      </c>
      <c r="AB124" s="1100">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92</v>
      </c>
      <c r="J125" s="21" t="s">
        <v>55</v>
      </c>
      <c r="K125" s="20" t="s">
        <v>345</v>
      </c>
      <c r="L125" s="524" t="s">
        <v>56</v>
      </c>
      <c r="M125" s="346">
        <v>1594</v>
      </c>
      <c r="N125" s="346">
        <v>1187.5</v>
      </c>
      <c r="O125" s="524" t="s">
        <v>56</v>
      </c>
      <c r="P125" s="303" t="s">
        <v>93</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5" t="s">
        <v>781</v>
      </c>
      <c r="B126" s="314" t="s">
        <v>393</v>
      </c>
      <c r="C126" s="20">
        <v>46045</v>
      </c>
      <c r="D126" s="522" t="s">
        <v>108</v>
      </c>
      <c r="E126" s="20"/>
      <c r="F126" s="19" t="s">
        <v>394</v>
      </c>
      <c r="G126" s="306"/>
      <c r="H126" s="992">
        <v>80</v>
      </c>
      <c r="I126" s="524" t="s">
        <v>92</v>
      </c>
      <c r="J126" s="21" t="s">
        <v>55</v>
      </c>
      <c r="K126" s="20" t="s">
        <v>345</v>
      </c>
      <c r="L126" s="21" t="s">
        <v>56</v>
      </c>
      <c r="M126" s="1075">
        <v>170</v>
      </c>
      <c r="N126" s="346">
        <v>588.79999999999995</v>
      </c>
      <c r="O126" s="21" t="s">
        <v>56</v>
      </c>
      <c r="P126" s="303" t="s">
        <v>93</v>
      </c>
      <c r="Q126" s="518" t="s">
        <v>345</v>
      </c>
      <c r="R126" s="843">
        <v>7137</v>
      </c>
      <c r="S126" s="368">
        <v>7141</v>
      </c>
      <c r="T126" s="1285">
        <v>0</v>
      </c>
      <c r="U126" s="30">
        <v>1</v>
      </c>
      <c r="V126" s="61">
        <v>45964</v>
      </c>
      <c r="W126" s="8">
        <v>1</v>
      </c>
      <c r="X126" s="1054">
        <v>1</v>
      </c>
      <c r="Y126" s="283">
        <v>1</v>
      </c>
      <c r="Z126" s="367">
        <v>45999</v>
      </c>
      <c r="AA126" s="355" t="s">
        <v>782</v>
      </c>
      <c r="AB126" s="1074"/>
      <c r="AC126" s="345"/>
      <c r="AD126" s="705"/>
    </row>
    <row r="127" spans="1:30" ht="39.75" customHeight="1">
      <c r="A127" s="995" t="s">
        <v>783</v>
      </c>
      <c r="B127" s="314" t="s">
        <v>393</v>
      </c>
      <c r="C127" s="20">
        <v>46045</v>
      </c>
      <c r="D127" s="522" t="s">
        <v>108</v>
      </c>
      <c r="E127" s="20"/>
      <c r="F127" s="19" t="s">
        <v>394</v>
      </c>
      <c r="G127" s="306"/>
      <c r="H127" s="992">
        <v>89</v>
      </c>
      <c r="I127" s="524" t="s">
        <v>92</v>
      </c>
      <c r="J127" s="21" t="s">
        <v>55</v>
      </c>
      <c r="K127" s="20" t="s">
        <v>345</v>
      </c>
      <c r="L127" s="21" t="s">
        <v>56</v>
      </c>
      <c r="M127" s="1075">
        <v>26696</v>
      </c>
      <c r="N127" s="346">
        <v>499.4</v>
      </c>
      <c r="O127" s="21" t="s">
        <v>56</v>
      </c>
      <c r="P127" s="303" t="s">
        <v>93</v>
      </c>
      <c r="Q127" s="130" t="s">
        <v>345</v>
      </c>
      <c r="R127" s="1282">
        <v>8153</v>
      </c>
      <c r="S127" s="46">
        <v>8114</v>
      </c>
      <c r="T127" s="796">
        <v>0</v>
      </c>
      <c r="U127" s="1283">
        <v>1</v>
      </c>
      <c r="V127" s="275">
        <v>45964</v>
      </c>
      <c r="W127" s="271">
        <v>1</v>
      </c>
      <c r="X127" s="271">
        <v>1</v>
      </c>
      <c r="Y127" s="271">
        <v>1</v>
      </c>
      <c r="Z127" s="367">
        <v>45999</v>
      </c>
      <c r="AA127" s="355" t="s">
        <v>784</v>
      </c>
      <c r="AB127" s="1074"/>
      <c r="AC127" s="345"/>
      <c r="AD127" s="705"/>
    </row>
    <row r="128" spans="1:30" ht="39.75" customHeight="1">
      <c r="A128" s="300" t="s">
        <v>785</v>
      </c>
      <c r="B128" s="358" t="s">
        <v>393</v>
      </c>
      <c r="C128" s="302">
        <v>46045</v>
      </c>
      <c r="D128" s="515" t="s">
        <v>108</v>
      </c>
      <c r="E128" s="302">
        <v>45959</v>
      </c>
      <c r="F128" s="301" t="s">
        <v>394</v>
      </c>
      <c r="G128" s="506"/>
      <c r="H128" s="835">
        <v>77</v>
      </c>
      <c r="I128" s="524" t="s">
        <v>92</v>
      </c>
      <c r="J128" s="21" t="s">
        <v>55</v>
      </c>
      <c r="K128" s="20" t="s">
        <v>345</v>
      </c>
      <c r="L128" s="21" t="s">
        <v>56</v>
      </c>
      <c r="M128" s="1075">
        <v>4046.5</v>
      </c>
      <c r="N128" s="346">
        <v>7377.15</v>
      </c>
      <c r="O128" s="21" t="s">
        <v>56</v>
      </c>
      <c r="P128" s="303" t="s">
        <v>93</v>
      </c>
      <c r="Q128" s="752" t="s">
        <v>345</v>
      </c>
      <c r="R128" s="1273">
        <v>5136</v>
      </c>
      <c r="S128" s="46">
        <v>5136</v>
      </c>
      <c r="T128" s="796">
        <v>0</v>
      </c>
      <c r="U128" s="1284">
        <v>1</v>
      </c>
      <c r="V128" s="752">
        <v>45964</v>
      </c>
      <c r="W128" s="474">
        <v>1</v>
      </c>
      <c r="X128" s="474">
        <v>1</v>
      </c>
      <c r="Y128" s="474">
        <v>1</v>
      </c>
      <c r="Z128" s="471">
        <v>45999</v>
      </c>
      <c r="AA128" s="1274" t="s">
        <v>786</v>
      </c>
      <c r="AB128" s="1074"/>
      <c r="AC128" s="345"/>
      <c r="AD128" s="705"/>
    </row>
    <row r="129" spans="1:30" ht="39.75" customHeight="1">
      <c r="A129" s="996" t="s">
        <v>787</v>
      </c>
      <c r="B129" s="1347" t="s">
        <v>393</v>
      </c>
      <c r="C129" s="714">
        <v>46045</v>
      </c>
      <c r="D129" s="804" t="s">
        <v>108</v>
      </c>
      <c r="E129" s="714"/>
      <c r="F129" s="624" t="s">
        <v>394</v>
      </c>
      <c r="G129" s="810"/>
      <c r="H129" s="1348">
        <v>62</v>
      </c>
      <c r="I129" s="641" t="s">
        <v>92</v>
      </c>
      <c r="J129" s="628" t="s">
        <v>55</v>
      </c>
      <c r="K129" s="25" t="s">
        <v>345</v>
      </c>
      <c r="L129" s="628" t="s">
        <v>56</v>
      </c>
      <c r="M129" s="1349">
        <v>170</v>
      </c>
      <c r="N129" s="1345">
        <v>948</v>
      </c>
      <c r="O129" s="628" t="s">
        <v>56</v>
      </c>
      <c r="P129" s="642" t="s">
        <v>93</v>
      </c>
      <c r="Q129" s="130" t="s">
        <v>345</v>
      </c>
      <c r="R129" s="796">
        <v>4095</v>
      </c>
      <c r="S129" s="778">
        <v>4088</v>
      </c>
      <c r="T129" s="1344">
        <v>0</v>
      </c>
      <c r="U129" s="81">
        <v>1</v>
      </c>
      <c r="V129" s="275">
        <v>45964</v>
      </c>
      <c r="W129" s="271">
        <v>1</v>
      </c>
      <c r="X129" s="271">
        <v>1</v>
      </c>
      <c r="Y129" s="271">
        <v>1</v>
      </c>
      <c r="Z129" s="367">
        <v>46002</v>
      </c>
      <c r="AA129" s="355" t="s">
        <v>788</v>
      </c>
      <c r="AB129" s="1074"/>
      <c r="AC129" s="345"/>
      <c r="AD129" s="705"/>
    </row>
    <row r="130" spans="1:30" ht="39.75" customHeight="1">
      <c r="A130" s="995" t="s">
        <v>789</v>
      </c>
      <c r="B130" s="314" t="s">
        <v>393</v>
      </c>
      <c r="C130" s="20">
        <v>46045</v>
      </c>
      <c r="D130" s="522" t="s">
        <v>108</v>
      </c>
      <c r="E130" s="20"/>
      <c r="F130" s="19" t="s">
        <v>394</v>
      </c>
      <c r="G130" s="306"/>
      <c r="H130" s="992">
        <v>83</v>
      </c>
      <c r="I130" s="524" t="s">
        <v>92</v>
      </c>
      <c r="J130" s="21" t="s">
        <v>55</v>
      </c>
      <c r="K130" s="20" t="s">
        <v>345</v>
      </c>
      <c r="L130" s="21" t="s">
        <v>56</v>
      </c>
      <c r="M130" s="1075">
        <v>170</v>
      </c>
      <c r="N130" s="346">
        <v>499.4</v>
      </c>
      <c r="O130" s="21" t="s">
        <v>56</v>
      </c>
      <c r="P130" s="303" t="s">
        <v>93</v>
      </c>
      <c r="Q130" s="1350" t="s">
        <v>345</v>
      </c>
      <c r="R130" s="1049">
        <v>5947</v>
      </c>
      <c r="S130" s="1351">
        <v>5947</v>
      </c>
      <c r="T130" s="1058">
        <v>0</v>
      </c>
      <c r="U130" s="4">
        <v>1</v>
      </c>
      <c r="V130" s="61">
        <v>45964</v>
      </c>
      <c r="W130" s="8">
        <v>1</v>
      </c>
      <c r="X130" s="8">
        <v>1</v>
      </c>
      <c r="Y130" s="8">
        <v>1</v>
      </c>
      <c r="Z130" s="61">
        <v>46002</v>
      </c>
      <c r="AA130" s="1346"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329</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143</v>
      </c>
      <c r="C137" s="363">
        <v>45960</v>
      </c>
      <c r="D137" s="363" t="s">
        <v>157</v>
      </c>
      <c r="E137" s="363">
        <v>45852</v>
      </c>
      <c r="F137" s="510" t="s">
        <v>158</v>
      </c>
      <c r="G137" s="546" t="s">
        <v>795</v>
      </c>
      <c r="H137" s="365">
        <v>0</v>
      </c>
      <c r="I137" s="365" t="s">
        <v>92</v>
      </c>
      <c r="J137" s="365" t="s">
        <v>55</v>
      </c>
      <c r="K137" s="363">
        <v>45852</v>
      </c>
      <c r="L137" s="365" t="s">
        <v>56</v>
      </c>
      <c r="M137" s="790">
        <v>42837.2</v>
      </c>
      <c r="N137" s="421"/>
      <c r="O137" s="365" t="s">
        <v>56</v>
      </c>
      <c r="P137" s="607" t="s">
        <v>93</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143</v>
      </c>
      <c r="C138" s="363">
        <v>45960</v>
      </c>
      <c r="D138" s="363" t="s">
        <v>797</v>
      </c>
      <c r="E138" s="363">
        <v>45897</v>
      </c>
      <c r="F138" s="361" t="s">
        <v>147</v>
      </c>
      <c r="G138" s="546"/>
      <c r="H138" s="365">
        <v>0</v>
      </c>
      <c r="I138" s="525" t="s">
        <v>92</v>
      </c>
      <c r="J138" s="365" t="s">
        <v>55</v>
      </c>
      <c r="K138" s="363">
        <v>45891</v>
      </c>
      <c r="L138" s="303" t="s">
        <v>56</v>
      </c>
      <c r="M138" s="349">
        <v>184994.5</v>
      </c>
      <c r="N138" s="1308"/>
      <c r="O138" s="365" t="s">
        <v>56</v>
      </c>
      <c r="P138" s="607" t="s">
        <v>93</v>
      </c>
      <c r="Q138" s="367">
        <v>45891</v>
      </c>
      <c r="R138" s="638">
        <v>14790</v>
      </c>
      <c r="S138" s="765">
        <v>14871</v>
      </c>
      <c r="T138" s="1244">
        <v>0</v>
      </c>
      <c r="U138" s="521">
        <v>1.01</v>
      </c>
      <c r="V138" s="542">
        <v>45910</v>
      </c>
      <c r="W138" s="283">
        <v>1</v>
      </c>
      <c r="X138" s="283">
        <v>0</v>
      </c>
      <c r="Y138" s="283">
        <v>0</v>
      </c>
      <c r="Z138" s="367">
        <v>46059</v>
      </c>
      <c r="AA138" s="1243" t="s">
        <v>798</v>
      </c>
    </row>
    <row r="139" spans="1:30" ht="39.75" customHeight="1">
      <c r="A139" s="1298" t="s">
        <v>799</v>
      </c>
      <c r="B139" s="1051" t="s">
        <v>143</v>
      </c>
      <c r="C139" s="728">
        <v>45999</v>
      </c>
      <c r="D139" s="732" t="s">
        <v>131</v>
      </c>
      <c r="E139" s="782">
        <v>45975</v>
      </c>
      <c r="F139" s="732" t="s">
        <v>150</v>
      </c>
      <c r="G139" s="783" t="s">
        <v>800</v>
      </c>
      <c r="H139" s="774">
        <v>0</v>
      </c>
      <c r="I139" s="731" t="s">
        <v>92</v>
      </c>
      <c r="J139" s="730" t="s">
        <v>55</v>
      </c>
      <c r="K139" s="674">
        <v>45960</v>
      </c>
      <c r="L139" s="21" t="s">
        <v>56</v>
      </c>
      <c r="M139" s="346">
        <v>4911.8999999999996</v>
      </c>
      <c r="N139" s="1309"/>
      <c r="O139" s="774" t="s">
        <v>56</v>
      </c>
      <c r="P139" s="1301" t="s">
        <v>93</v>
      </c>
      <c r="Q139" s="472">
        <v>45960</v>
      </c>
      <c r="R139" s="775">
        <v>294</v>
      </c>
      <c r="S139" s="881">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143</v>
      </c>
      <c r="C140" s="363">
        <v>45960</v>
      </c>
      <c r="D140" s="371" t="s">
        <v>144</v>
      </c>
      <c r="E140" s="371">
        <v>45950</v>
      </c>
      <c r="F140" s="370" t="s">
        <v>147</v>
      </c>
      <c r="G140" s="666"/>
      <c r="H140" s="670">
        <v>80</v>
      </c>
      <c r="I140" s="667" t="s">
        <v>92</v>
      </c>
      <c r="J140" s="670" t="s">
        <v>55</v>
      </c>
      <c r="K140" s="858">
        <v>45905</v>
      </c>
      <c r="L140" s="524" t="s">
        <v>56</v>
      </c>
      <c r="M140" s="1313">
        <v>66674.3</v>
      </c>
      <c r="N140" s="1310"/>
      <c r="O140" s="667" t="s">
        <v>56</v>
      </c>
      <c r="P140" s="607" t="s">
        <v>93</v>
      </c>
      <c r="Q140" s="374">
        <v>45922</v>
      </c>
      <c r="R140" s="780">
        <v>5285</v>
      </c>
      <c r="S140" s="1142">
        <v>5305</v>
      </c>
      <c r="T140" s="6">
        <v>0</v>
      </c>
      <c r="U140" s="521">
        <f>IFERROR(Table5[[#This Row],[Actual Redline Completed Footage UG]]/Table5[[#This Row],[Footage UG]], 0)</f>
        <v>1.0037842951750235</v>
      </c>
      <c r="V140" s="542">
        <v>45954</v>
      </c>
      <c r="W140" s="474">
        <v>1</v>
      </c>
      <c r="X140" s="474">
        <v>1</v>
      </c>
      <c r="Y140" s="474">
        <v>1</v>
      </c>
      <c r="Z140" s="379" t="s">
        <v>548</v>
      </c>
      <c r="AA140" s="1254" t="s">
        <v>803</v>
      </c>
    </row>
    <row r="141" spans="1:30" ht="39.75" customHeight="1">
      <c r="A141" s="605" t="s">
        <v>804</v>
      </c>
      <c r="B141" s="669" t="s">
        <v>143</v>
      </c>
      <c r="C141" s="363">
        <v>45960</v>
      </c>
      <c r="D141" s="371" t="s">
        <v>144</v>
      </c>
      <c r="E141" s="371">
        <v>45937</v>
      </c>
      <c r="F141" s="370" t="s">
        <v>147</v>
      </c>
      <c r="G141" s="666"/>
      <c r="H141" s="670">
        <v>82</v>
      </c>
      <c r="I141" s="667" t="s">
        <v>92</v>
      </c>
      <c r="J141" s="670" t="s">
        <v>55</v>
      </c>
      <c r="K141" s="371">
        <v>45903</v>
      </c>
      <c r="L141" s="667" t="s">
        <v>56</v>
      </c>
      <c r="M141" s="1364">
        <v>93666.75</v>
      </c>
      <c r="N141" s="1362"/>
      <c r="O141" s="667" t="s">
        <v>56</v>
      </c>
      <c r="P141" s="607" t="s">
        <v>93</v>
      </c>
      <c r="Q141" s="374">
        <v>45897</v>
      </c>
      <c r="R141" s="780">
        <v>7883</v>
      </c>
      <c r="S141" s="1142">
        <v>7909</v>
      </c>
      <c r="T141" s="1359">
        <v>0</v>
      </c>
      <c r="U141" s="1363">
        <f>IFERROR(Table5[[#This Row],[Actual Redline Completed Footage UG]]/Table5[[#This Row],[Footage UG]], 0)</f>
        <v>1.0032982367119117</v>
      </c>
      <c r="V141" s="542">
        <v>45945</v>
      </c>
      <c r="W141" s="474">
        <v>1</v>
      </c>
      <c r="X141" s="474">
        <v>1</v>
      </c>
      <c r="Y141" s="474">
        <v>1</v>
      </c>
      <c r="Z141" s="379" t="s">
        <v>548</v>
      </c>
      <c r="AA141" s="1254" t="s">
        <v>338</v>
      </c>
    </row>
    <row r="142" spans="1:30" ht="39.75" customHeight="1">
      <c r="A142" s="803" t="s">
        <v>805</v>
      </c>
      <c r="B142" s="669" t="s">
        <v>143</v>
      </c>
      <c r="C142" s="371">
        <v>45807</v>
      </c>
      <c r="D142" s="361" t="s">
        <v>445</v>
      </c>
      <c r="E142" s="370" t="s">
        <v>345</v>
      </c>
      <c r="F142" s="361" t="s">
        <v>158</v>
      </c>
      <c r="G142" s="663" t="s">
        <v>806</v>
      </c>
      <c r="H142" s="365">
        <v>84</v>
      </c>
      <c r="I142" s="667" t="s">
        <v>92</v>
      </c>
      <c r="J142" s="373" t="s">
        <v>55</v>
      </c>
      <c r="K142" s="363">
        <v>45716</v>
      </c>
      <c r="L142" s="1311" t="s">
        <v>56</v>
      </c>
      <c r="M142" s="1312">
        <v>2812.95</v>
      </c>
      <c r="N142" s="421"/>
      <c r="O142" s="373" t="s">
        <v>56</v>
      </c>
      <c r="P142" s="607" t="s">
        <v>93</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143</v>
      </c>
      <c r="C143" s="363">
        <v>45991</v>
      </c>
      <c r="D143" s="370" t="s">
        <v>157</v>
      </c>
      <c r="E143" s="371">
        <v>45880</v>
      </c>
      <c r="F143" s="370" t="s">
        <v>158</v>
      </c>
      <c r="G143" s="663" t="s">
        <v>808</v>
      </c>
      <c r="H143" s="373">
        <v>57</v>
      </c>
      <c r="I143" s="667" t="s">
        <v>92</v>
      </c>
      <c r="J143" s="373" t="s">
        <v>55</v>
      </c>
      <c r="K143" s="371">
        <v>45863</v>
      </c>
      <c r="L143" s="373" t="s">
        <v>56</v>
      </c>
      <c r="M143" s="1253">
        <v>49223.7</v>
      </c>
      <c r="N143" s="1307"/>
      <c r="O143" s="373" t="s">
        <v>56</v>
      </c>
      <c r="P143" s="607" t="s">
        <v>93</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3" t="s">
        <v>809</v>
      </c>
    </row>
    <row r="144" spans="1:30" ht="39.75" customHeight="1">
      <c r="A144" s="605" t="s">
        <v>810</v>
      </c>
      <c r="B144" s="669" t="s">
        <v>143</v>
      </c>
      <c r="C144" s="363">
        <v>45991</v>
      </c>
      <c r="D144" s="370" t="s">
        <v>157</v>
      </c>
      <c r="E144" s="371">
        <v>45880</v>
      </c>
      <c r="F144" s="370" t="s">
        <v>158</v>
      </c>
      <c r="G144" s="663" t="s">
        <v>811</v>
      </c>
      <c r="H144" s="373">
        <v>75</v>
      </c>
      <c r="I144" s="667" t="s">
        <v>92</v>
      </c>
      <c r="J144" s="373" t="s">
        <v>55</v>
      </c>
      <c r="K144" s="371">
        <v>45879</v>
      </c>
      <c r="L144" s="373" t="s">
        <v>56</v>
      </c>
      <c r="M144" s="1253">
        <v>68151.75</v>
      </c>
      <c r="N144" s="1307"/>
      <c r="O144" s="373" t="s">
        <v>56</v>
      </c>
      <c r="P144" s="607" t="s">
        <v>93</v>
      </c>
      <c r="Q144" s="374">
        <v>45881</v>
      </c>
      <c r="R144" s="842">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29"/>
    </row>
    <row r="145" spans="1:27" ht="39.75" customHeight="1">
      <c r="A145" s="1092" t="s">
        <v>812</v>
      </c>
      <c r="B145" s="669" t="s">
        <v>143</v>
      </c>
      <c r="C145" s="896">
        <v>46079</v>
      </c>
      <c r="D145" s="908" t="s">
        <v>144</v>
      </c>
      <c r="E145" s="907">
        <v>46055</v>
      </c>
      <c r="F145" s="908" t="s">
        <v>147</v>
      </c>
      <c r="G145" s="907" t="s">
        <v>813</v>
      </c>
      <c r="H145" s="909">
        <v>0</v>
      </c>
      <c r="I145" s="898" t="s">
        <v>92</v>
      </c>
      <c r="J145" s="670" t="s">
        <v>55</v>
      </c>
      <c r="K145" s="907" t="s">
        <v>345</v>
      </c>
      <c r="L145" s="909" t="s">
        <v>56</v>
      </c>
      <c r="M145" s="1255">
        <v>11518.95</v>
      </c>
      <c r="N145" s="1307"/>
      <c r="O145" s="909" t="s">
        <v>56</v>
      </c>
      <c r="P145" s="1094" t="s">
        <v>93</v>
      </c>
      <c r="Q145" s="912">
        <v>46056</v>
      </c>
      <c r="R145" s="951">
        <v>881</v>
      </c>
      <c r="S145" s="1095">
        <v>817</v>
      </c>
      <c r="T145" s="6">
        <v>0</v>
      </c>
      <c r="U145" s="521">
        <f>IFERROR(Table5[[#This Row],[Actual Redline Completed Footage UG]]/Table5[[#This Row],[Footage UG]], 0)</f>
        <v>0.92735527809307605</v>
      </c>
      <c r="V145" s="912">
        <v>46063</v>
      </c>
      <c r="W145" s="904">
        <v>1</v>
      </c>
      <c r="X145" s="904">
        <v>0</v>
      </c>
      <c r="Y145" s="283">
        <v>0</v>
      </c>
      <c r="Z145" s="367">
        <v>46072</v>
      </c>
      <c r="AA145" s="905" t="s">
        <v>814</v>
      </c>
    </row>
    <row r="146" spans="1:27" ht="39.75" customHeight="1">
      <c r="A146" s="1092" t="s">
        <v>815</v>
      </c>
      <c r="B146" s="669" t="s">
        <v>143</v>
      </c>
      <c r="C146" s="907">
        <v>46011</v>
      </c>
      <c r="D146" s="908" t="s">
        <v>144</v>
      </c>
      <c r="E146" s="907">
        <v>45923</v>
      </c>
      <c r="F146" s="908" t="s">
        <v>147</v>
      </c>
      <c r="G146" s="908" t="s">
        <v>816</v>
      </c>
      <c r="H146" s="909">
        <v>0</v>
      </c>
      <c r="I146" s="667" t="s">
        <v>92</v>
      </c>
      <c r="J146" s="909" t="s">
        <v>55</v>
      </c>
      <c r="K146" s="907" t="s">
        <v>345</v>
      </c>
      <c r="L146" s="909" t="s">
        <v>56</v>
      </c>
      <c r="M146" s="1255">
        <v>139581.6</v>
      </c>
      <c r="N146" s="1307"/>
      <c r="O146" s="909" t="s">
        <v>56</v>
      </c>
      <c r="P146" s="1094" t="s">
        <v>93</v>
      </c>
      <c r="Q146" s="912">
        <v>45918</v>
      </c>
      <c r="R146" s="780">
        <v>11150</v>
      </c>
      <c r="S146" s="1095">
        <v>10923</v>
      </c>
      <c r="T146" s="6">
        <v>0</v>
      </c>
      <c r="U146" s="521">
        <f>IFERROR(Table5[[#This Row],[Actual Redline Completed Footage UG]]/Table5[[#This Row],[Footage UG]], 0)</f>
        <v>0.97964125560538118</v>
      </c>
      <c r="V146" s="912">
        <v>46027</v>
      </c>
      <c r="W146" s="283">
        <v>1</v>
      </c>
      <c r="X146" s="904">
        <v>0</v>
      </c>
      <c r="Y146" s="283">
        <v>0</v>
      </c>
      <c r="Z146" s="379" t="s">
        <v>548</v>
      </c>
      <c r="AA146" s="924" t="s">
        <v>817</v>
      </c>
    </row>
    <row r="147" spans="1:27" ht="39.75" customHeight="1">
      <c r="A147" s="300" t="s">
        <v>818</v>
      </c>
      <c r="B147" s="314" t="s">
        <v>143</v>
      </c>
      <c r="C147" s="20">
        <v>45711</v>
      </c>
      <c r="D147" s="19" t="s">
        <v>108</v>
      </c>
      <c r="E147" s="20">
        <v>45707</v>
      </c>
      <c r="F147" s="19" t="s">
        <v>819</v>
      </c>
      <c r="G147" s="306" t="s">
        <v>820</v>
      </c>
      <c r="H147" s="21">
        <v>0</v>
      </c>
      <c r="I147" s="307" t="s">
        <v>92</v>
      </c>
      <c r="J147" s="21" t="s">
        <v>55</v>
      </c>
      <c r="K147" s="20">
        <v>45701</v>
      </c>
      <c r="L147" s="21" t="s">
        <v>56</v>
      </c>
      <c r="M147" s="346">
        <v>111163</v>
      </c>
      <c r="N147" s="599"/>
      <c r="O147" s="21" t="s">
        <v>56</v>
      </c>
      <c r="P147" s="461" t="s">
        <v>93</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143</v>
      </c>
      <c r="C148" s="363">
        <v>45960</v>
      </c>
      <c r="D148" s="370" t="s">
        <v>144</v>
      </c>
      <c r="E148" s="371">
        <v>45966</v>
      </c>
      <c r="F148" s="370" t="s">
        <v>147</v>
      </c>
      <c r="G148" s="663"/>
      <c r="H148" s="373">
        <v>0</v>
      </c>
      <c r="I148" s="667" t="s">
        <v>92</v>
      </c>
      <c r="J148" s="373" t="s">
        <v>55</v>
      </c>
      <c r="K148" s="371" t="s">
        <v>345</v>
      </c>
      <c r="L148" s="373" t="s">
        <v>56</v>
      </c>
      <c r="M148" s="1253">
        <v>29960</v>
      </c>
      <c r="N148" s="599"/>
      <c r="O148" s="373" t="s">
        <v>56</v>
      </c>
      <c r="P148" s="607" t="s">
        <v>93</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3" t="s">
        <v>822</v>
      </c>
    </row>
    <row r="149" spans="1:27" ht="39.75" customHeight="1">
      <c r="A149" s="605" t="s">
        <v>823</v>
      </c>
      <c r="B149" s="669" t="s">
        <v>143</v>
      </c>
      <c r="C149" s="363">
        <v>45960</v>
      </c>
      <c r="D149" s="370" t="s">
        <v>144</v>
      </c>
      <c r="E149" s="371">
        <v>45944</v>
      </c>
      <c r="F149" s="370" t="s">
        <v>147</v>
      </c>
      <c r="G149" s="663"/>
      <c r="H149" s="373">
        <v>0</v>
      </c>
      <c r="I149" s="667" t="s">
        <v>92</v>
      </c>
      <c r="J149" s="373" t="s">
        <v>55</v>
      </c>
      <c r="K149" s="371" t="s">
        <v>345</v>
      </c>
      <c r="L149" s="373" t="s">
        <v>56</v>
      </c>
      <c r="M149" s="630">
        <v>50539.6</v>
      </c>
      <c r="N149" s="599"/>
      <c r="O149" s="373" t="s">
        <v>56</v>
      </c>
      <c r="P149" s="607" t="s">
        <v>93</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143</v>
      </c>
      <c r="C150" s="363">
        <v>45991</v>
      </c>
      <c r="D150" s="370" t="s">
        <v>352</v>
      </c>
      <c r="E150" s="371">
        <v>45866</v>
      </c>
      <c r="F150" s="370" t="s">
        <v>158</v>
      </c>
      <c r="G150" s="663" t="s">
        <v>826</v>
      </c>
      <c r="H150" s="373">
        <v>0</v>
      </c>
      <c r="I150" s="667" t="s">
        <v>92</v>
      </c>
      <c r="J150" s="373" t="s">
        <v>55</v>
      </c>
      <c r="K150" s="371">
        <v>45863</v>
      </c>
      <c r="L150" s="373" t="s">
        <v>56</v>
      </c>
      <c r="M150" s="630">
        <v>143407.25</v>
      </c>
      <c r="N150" s="422"/>
      <c r="O150" s="373" t="s">
        <v>56</v>
      </c>
      <c r="P150" s="607" t="s">
        <v>93</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143</v>
      </c>
      <c r="C151" s="363">
        <v>45991</v>
      </c>
      <c r="D151" s="370" t="s">
        <v>131</v>
      </c>
      <c r="E151" s="371">
        <v>45880</v>
      </c>
      <c r="F151" s="370" t="s">
        <v>150</v>
      </c>
      <c r="G151" s="663" t="s">
        <v>828</v>
      </c>
      <c r="H151" s="373">
        <v>0</v>
      </c>
      <c r="I151" s="667" t="s">
        <v>92</v>
      </c>
      <c r="J151" s="373" t="s">
        <v>55</v>
      </c>
      <c r="K151" s="371">
        <v>45881</v>
      </c>
      <c r="L151" s="373" t="s">
        <v>56</v>
      </c>
      <c r="M151" s="630">
        <v>4815.6499999999996</v>
      </c>
      <c r="N151" s="422"/>
      <c r="O151" s="373" t="s">
        <v>56</v>
      </c>
      <c r="P151" s="607" t="s">
        <v>93</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2" t="s">
        <v>830</v>
      </c>
      <c r="B152" s="669" t="s">
        <v>143</v>
      </c>
      <c r="C152" s="896">
        <v>46040</v>
      </c>
      <c r="D152" s="908" t="s">
        <v>157</v>
      </c>
      <c r="E152" s="907">
        <v>46042</v>
      </c>
      <c r="F152" s="908" t="s">
        <v>147</v>
      </c>
      <c r="G152" s="908"/>
      <c r="H152" s="909">
        <v>0</v>
      </c>
      <c r="I152" s="667" t="s">
        <v>92</v>
      </c>
      <c r="J152" s="909" t="s">
        <v>55</v>
      </c>
      <c r="K152" s="907" t="s">
        <v>345</v>
      </c>
      <c r="L152" s="909" t="s">
        <v>56</v>
      </c>
      <c r="M152" s="1255">
        <v>45312.55</v>
      </c>
      <c r="N152" s="1307"/>
      <c r="O152" s="909" t="s">
        <v>56</v>
      </c>
      <c r="P152" s="1094" t="s">
        <v>93</v>
      </c>
      <c r="Q152" s="912">
        <v>46044</v>
      </c>
      <c r="R152" s="913">
        <v>3683</v>
      </c>
      <c r="S152" s="1095">
        <v>3713</v>
      </c>
      <c r="T152" s="6">
        <v>0</v>
      </c>
      <c r="U152" s="521">
        <f>IFERROR(Table5[[#This Row],[Actual Redline Completed Footage UG]]/Table5[[#This Row],[Footage UG]], 0)</f>
        <v>1.0081455335324463</v>
      </c>
      <c r="V152" s="912">
        <v>46050</v>
      </c>
      <c r="W152" s="904">
        <v>1</v>
      </c>
      <c r="X152" s="904">
        <v>0</v>
      </c>
      <c r="Y152" s="283">
        <v>0</v>
      </c>
      <c r="Z152" s="379" t="s">
        <v>548</v>
      </c>
      <c r="AA152" s="905" t="s">
        <v>831</v>
      </c>
    </row>
    <row r="153" spans="1:27" ht="39.75" customHeight="1">
      <c r="A153" s="1299" t="s">
        <v>832</v>
      </c>
      <c r="B153" s="672" t="s">
        <v>143</v>
      </c>
      <c r="C153" s="673">
        <v>45955</v>
      </c>
      <c r="D153" s="674" t="s">
        <v>108</v>
      </c>
      <c r="E153" s="674">
        <v>45919</v>
      </c>
      <c r="F153" s="674" t="s">
        <v>147</v>
      </c>
      <c r="G153" s="675" t="s">
        <v>833</v>
      </c>
      <c r="H153" s="316">
        <v>0</v>
      </c>
      <c r="I153" s="676" t="s">
        <v>92</v>
      </c>
      <c r="J153" s="316" t="s">
        <v>55</v>
      </c>
      <c r="K153" s="674" t="s">
        <v>345</v>
      </c>
      <c r="L153" s="316" t="s">
        <v>56</v>
      </c>
      <c r="M153" s="1242">
        <v>4646.75</v>
      </c>
      <c r="N153" s="677"/>
      <c r="O153" s="316" t="s">
        <v>73</v>
      </c>
      <c r="P153" s="1301" t="s">
        <v>93</v>
      </c>
      <c r="Q153" s="471" t="s">
        <v>67</v>
      </c>
      <c r="R153" s="1262">
        <v>117</v>
      </c>
      <c r="S153" s="881">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218</v>
      </c>
      <c r="C154" s="363">
        <v>46006</v>
      </c>
      <c r="D154" s="370" t="s">
        <v>144</v>
      </c>
      <c r="E154" s="371">
        <v>45975</v>
      </c>
      <c r="F154" s="370" t="s">
        <v>158</v>
      </c>
      <c r="G154" s="663" t="s">
        <v>835</v>
      </c>
      <c r="H154" s="373">
        <v>86</v>
      </c>
      <c r="I154" s="667" t="s">
        <v>92</v>
      </c>
      <c r="J154" s="670" t="s">
        <v>55</v>
      </c>
      <c r="K154" s="371" t="s">
        <v>345</v>
      </c>
      <c r="L154" s="373" t="s">
        <v>56</v>
      </c>
      <c r="M154" s="1253">
        <v>111432</v>
      </c>
      <c r="N154" s="599"/>
      <c r="O154" s="373" t="s">
        <v>56</v>
      </c>
      <c r="P154" s="607" t="s">
        <v>93</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4" t="s">
        <v>836</v>
      </c>
    </row>
    <row r="155" spans="1:27" ht="39.75" customHeight="1">
      <c r="A155" s="605" t="s">
        <v>837</v>
      </c>
      <c r="B155" s="383" t="s">
        <v>218</v>
      </c>
      <c r="C155" s="363">
        <v>46006</v>
      </c>
      <c r="D155" s="370" t="s">
        <v>144</v>
      </c>
      <c r="E155" s="371">
        <v>45980</v>
      </c>
      <c r="F155" s="370" t="s">
        <v>158</v>
      </c>
      <c r="G155" s="663" t="s">
        <v>838</v>
      </c>
      <c r="H155" s="373">
        <v>75</v>
      </c>
      <c r="I155" s="667" t="s">
        <v>92</v>
      </c>
      <c r="J155" s="373" t="s">
        <v>55</v>
      </c>
      <c r="K155" s="371" t="s">
        <v>345</v>
      </c>
      <c r="L155" s="373" t="s">
        <v>56</v>
      </c>
      <c r="M155" s="1253">
        <v>82330</v>
      </c>
      <c r="N155" s="599"/>
      <c r="O155" s="373" t="s">
        <v>56</v>
      </c>
      <c r="P155" s="607" t="s">
        <v>93</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3" t="s">
        <v>364</v>
      </c>
    </row>
    <row r="156" spans="1:27" ht="39.75" customHeight="1">
      <c r="A156" s="300" t="s">
        <v>839</v>
      </c>
      <c r="B156" s="301" t="s">
        <v>80</v>
      </c>
      <c r="C156" s="20">
        <v>45899</v>
      </c>
      <c r="D156" s="302" t="s">
        <v>108</v>
      </c>
      <c r="E156" s="302">
        <v>45873</v>
      </c>
      <c r="F156" s="464" t="s">
        <v>113</v>
      </c>
      <c r="G156" s="506"/>
      <c r="H156" s="303">
        <v>50</v>
      </c>
      <c r="I156" s="304" t="s">
        <v>92</v>
      </c>
      <c r="J156" s="303" t="s">
        <v>67</v>
      </c>
      <c r="K156" s="302">
        <v>45874</v>
      </c>
      <c r="L156" s="303" t="s">
        <v>56</v>
      </c>
      <c r="M156" s="349">
        <v>11894.25</v>
      </c>
      <c r="N156" s="43"/>
      <c r="O156" s="303" t="s">
        <v>56</v>
      </c>
      <c r="P156" s="462" t="s">
        <v>93</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108</v>
      </c>
      <c r="E157" s="363">
        <v>45786</v>
      </c>
      <c r="F157" s="381" t="s">
        <v>96</v>
      </c>
      <c r="G157" s="361" t="s">
        <v>841</v>
      </c>
      <c r="H157" s="365">
        <v>0</v>
      </c>
      <c r="I157" s="365" t="s">
        <v>92</v>
      </c>
      <c r="J157" s="365" t="s">
        <v>55</v>
      </c>
      <c r="K157" s="363">
        <v>45786</v>
      </c>
      <c r="L157" s="365" t="s">
        <v>56</v>
      </c>
      <c r="M157" s="790">
        <v>133172.15</v>
      </c>
      <c r="N157" s="599"/>
      <c r="O157" s="365" t="s">
        <v>56</v>
      </c>
      <c r="P157" s="607" t="s">
        <v>93</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131</v>
      </c>
      <c r="E158" s="20">
        <v>45918</v>
      </c>
      <c r="F158" s="19" t="s">
        <v>96</v>
      </c>
      <c r="G158" s="534"/>
      <c r="H158" s="21">
        <v>0</v>
      </c>
      <c r="I158" s="524" t="s">
        <v>92</v>
      </c>
      <c r="J158" s="21" t="s">
        <v>55</v>
      </c>
      <c r="K158" s="20">
        <v>45918</v>
      </c>
      <c r="L158" s="303" t="s">
        <v>56</v>
      </c>
      <c r="M158" s="349">
        <v>10840.25</v>
      </c>
      <c r="N158" s="599"/>
      <c r="O158" s="303" t="s">
        <v>56</v>
      </c>
      <c r="P158" s="603" t="s">
        <v>93</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131</v>
      </c>
      <c r="E159" s="371">
        <v>45918</v>
      </c>
      <c r="F159" s="361" t="s">
        <v>96</v>
      </c>
      <c r="G159" s="19" t="s">
        <v>846</v>
      </c>
      <c r="H159" s="787">
        <v>0</v>
      </c>
      <c r="I159" s="525" t="s">
        <v>92</v>
      </c>
      <c r="J159" s="365" t="s">
        <v>55</v>
      </c>
      <c r="K159" s="371">
        <v>45918</v>
      </c>
      <c r="L159" s="373" t="s">
        <v>56</v>
      </c>
      <c r="M159" s="630">
        <v>9611.9500000000007</v>
      </c>
      <c r="N159" s="422"/>
      <c r="O159" s="373" t="s">
        <v>56</v>
      </c>
      <c r="P159" s="607" t="s">
        <v>93</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108</v>
      </c>
      <c r="E160" s="20">
        <v>45853</v>
      </c>
      <c r="F160" s="19" t="s">
        <v>96</v>
      </c>
      <c r="G160" s="19" t="s">
        <v>849</v>
      </c>
      <c r="H160" s="21">
        <v>0</v>
      </c>
      <c r="I160" s="21" t="s">
        <v>92</v>
      </c>
      <c r="J160" s="21" t="s">
        <v>55</v>
      </c>
      <c r="K160" s="302">
        <v>45853</v>
      </c>
      <c r="L160" s="307" t="s">
        <v>56</v>
      </c>
      <c r="M160" s="349">
        <v>60849.9</v>
      </c>
      <c r="N160" s="43"/>
      <c r="O160" s="307" t="s">
        <v>56</v>
      </c>
      <c r="P160" s="603" t="s">
        <v>93</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131</v>
      </c>
      <c r="E161" s="363">
        <v>45793</v>
      </c>
      <c r="F161" s="381" t="s">
        <v>96</v>
      </c>
      <c r="G161" s="788" t="s">
        <v>852</v>
      </c>
      <c r="H161" s="365">
        <v>0</v>
      </c>
      <c r="I161" s="365" t="s">
        <v>92</v>
      </c>
      <c r="J161" s="365" t="s">
        <v>55</v>
      </c>
      <c r="K161" s="363">
        <v>45793</v>
      </c>
      <c r="L161" s="365" t="s">
        <v>56</v>
      </c>
      <c r="M161" s="790">
        <v>53589.8</v>
      </c>
      <c r="N161" s="43"/>
      <c r="O161" s="365" t="s">
        <v>56</v>
      </c>
      <c r="P161" s="607" t="s">
        <v>93</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2" t="s">
        <v>854</v>
      </c>
      <c r="B162" s="897" t="s">
        <v>80</v>
      </c>
      <c r="C162" s="896">
        <v>46073</v>
      </c>
      <c r="D162" s="896" t="s">
        <v>131</v>
      </c>
      <c r="E162" s="896">
        <v>46042</v>
      </c>
      <c r="F162" s="897" t="s">
        <v>82</v>
      </c>
      <c r="G162" s="897" t="s">
        <v>855</v>
      </c>
      <c r="H162" s="898">
        <v>11</v>
      </c>
      <c r="I162" s="525" t="s">
        <v>92</v>
      </c>
      <c r="J162" s="898" t="s">
        <v>55</v>
      </c>
      <c r="K162" s="896">
        <v>46029</v>
      </c>
      <c r="L162" s="898" t="s">
        <v>56</v>
      </c>
      <c r="M162" s="1093">
        <v>10772</v>
      </c>
      <c r="N162" s="43"/>
      <c r="O162" s="898" t="s">
        <v>56</v>
      </c>
      <c r="P162" s="1094" t="s">
        <v>93</v>
      </c>
      <c r="Q162" s="901">
        <v>46029</v>
      </c>
      <c r="R162" s="638">
        <v>789</v>
      </c>
      <c r="S162" s="1095">
        <v>888</v>
      </c>
      <c r="T162" s="5">
        <v>0</v>
      </c>
      <c r="U162" s="4">
        <f>IFERROR(Table5[[#This Row],[Actual Redline Completed Footage UG]]/Table5[[#This Row],[Footage UG]], 0)</f>
        <v>1.1254752851711027</v>
      </c>
      <c r="V162" s="912">
        <v>46056</v>
      </c>
      <c r="W162" s="904">
        <v>0</v>
      </c>
      <c r="X162" s="1078">
        <v>0</v>
      </c>
      <c r="Y162" s="1079">
        <v>0</v>
      </c>
      <c r="Z162" s="379" t="s">
        <v>548</v>
      </c>
      <c r="AA162" s="905" t="s">
        <v>856</v>
      </c>
    </row>
    <row r="163" spans="1:27" ht="39.75" customHeight="1">
      <c r="A163" s="300" t="s">
        <v>857</v>
      </c>
      <c r="B163" s="19" t="s">
        <v>80</v>
      </c>
      <c r="C163" s="20">
        <v>45930</v>
      </c>
      <c r="D163" s="20" t="s">
        <v>108</v>
      </c>
      <c r="E163" s="20">
        <v>45884</v>
      </c>
      <c r="F163" s="19" t="s">
        <v>113</v>
      </c>
      <c r="G163" s="306"/>
      <c r="H163" s="21">
        <v>69</v>
      </c>
      <c r="I163" s="307" t="s">
        <v>92</v>
      </c>
      <c r="J163" s="21" t="s">
        <v>55</v>
      </c>
      <c r="K163" s="302">
        <v>45884</v>
      </c>
      <c r="L163" s="303" t="s">
        <v>56</v>
      </c>
      <c r="M163" s="349">
        <v>67441</v>
      </c>
      <c r="N163" s="43"/>
      <c r="O163" s="303" t="s">
        <v>56</v>
      </c>
      <c r="P163" s="603" t="s">
        <v>93</v>
      </c>
      <c r="Q163" s="61">
        <v>45884</v>
      </c>
      <c r="R163" s="46">
        <v>4348</v>
      </c>
      <c r="S163" s="500">
        <v>4122</v>
      </c>
      <c r="T163" s="83">
        <v>0</v>
      </c>
      <c r="U163" s="699">
        <f>IFERROR(Table5[[#This Row],[Actual Redline Completed Footage UG]]/Table5[[#This Row],[Footage UG]], 0)</f>
        <v>0.94802207911683534</v>
      </c>
      <c r="V163" s="22">
        <v>45895</v>
      </c>
      <c r="W163" s="8">
        <v>1</v>
      </c>
      <c r="X163" s="8">
        <v>1</v>
      </c>
      <c r="Y163" s="1245">
        <v>1</v>
      </c>
      <c r="Z163" s="22">
        <v>45917</v>
      </c>
      <c r="AA163" s="355" t="s">
        <v>858</v>
      </c>
    </row>
    <row r="164" spans="1:27" ht="39.75" customHeight="1">
      <c r="A164" s="605" t="s">
        <v>859</v>
      </c>
      <c r="B164" s="361" t="s">
        <v>80</v>
      </c>
      <c r="C164" s="363">
        <v>45991</v>
      </c>
      <c r="D164" s="363" t="s">
        <v>108</v>
      </c>
      <c r="E164" s="363">
        <v>45966</v>
      </c>
      <c r="F164" s="361" t="s">
        <v>96</v>
      </c>
      <c r="G164" s="546" t="s">
        <v>860</v>
      </c>
      <c r="H164" s="365">
        <v>83</v>
      </c>
      <c r="I164" s="525" t="s">
        <v>92</v>
      </c>
      <c r="J164" s="365" t="s">
        <v>55</v>
      </c>
      <c r="K164" s="363">
        <v>45969</v>
      </c>
      <c r="L164" s="365" t="s">
        <v>56</v>
      </c>
      <c r="M164" s="880">
        <v>66402</v>
      </c>
      <c r="N164" s="43"/>
      <c r="O164" s="365" t="s">
        <v>56</v>
      </c>
      <c r="P164" s="607" t="s">
        <v>93</v>
      </c>
      <c r="Q164" s="367">
        <v>45969</v>
      </c>
      <c r="R164" s="368">
        <v>5324</v>
      </c>
      <c r="S164" s="388">
        <v>5304</v>
      </c>
      <c r="T164" s="37">
        <v>0</v>
      </c>
      <c r="U164" s="521">
        <f>IFERROR(Table5[[#This Row],[Actual Redline Completed Footage UG]]/Table5[[#This Row],[Footage UG]], 0)</f>
        <v>0.99624342599549209</v>
      </c>
      <c r="V164" s="374">
        <v>45979</v>
      </c>
      <c r="W164" s="8">
        <v>1</v>
      </c>
      <c r="X164" s="8">
        <v>1</v>
      </c>
      <c r="Y164" s="1245">
        <v>1</v>
      </c>
      <c r="Z164" s="39" t="s">
        <v>548</v>
      </c>
      <c r="AA164" s="1086" t="s">
        <v>861</v>
      </c>
    </row>
    <row r="165" spans="1:27" ht="39.75" customHeight="1">
      <c r="A165" s="605" t="s">
        <v>862</v>
      </c>
      <c r="B165" s="361" t="s">
        <v>80</v>
      </c>
      <c r="C165" s="363">
        <v>46001</v>
      </c>
      <c r="D165" s="363" t="s">
        <v>108</v>
      </c>
      <c r="E165" s="363">
        <v>45966</v>
      </c>
      <c r="F165" s="361" t="s">
        <v>96</v>
      </c>
      <c r="G165" s="546" t="s">
        <v>863</v>
      </c>
      <c r="H165" s="365">
        <v>77</v>
      </c>
      <c r="I165" s="525" t="s">
        <v>92</v>
      </c>
      <c r="J165" s="365" t="s">
        <v>55</v>
      </c>
      <c r="K165" s="363">
        <v>45967</v>
      </c>
      <c r="L165" s="365" t="s">
        <v>56</v>
      </c>
      <c r="M165" s="880">
        <v>63997.35</v>
      </c>
      <c r="N165" s="43"/>
      <c r="O165" s="365" t="s">
        <v>56</v>
      </c>
      <c r="P165" s="607" t="s">
        <v>93</v>
      </c>
      <c r="Q165" s="367">
        <v>45967</v>
      </c>
      <c r="R165" s="368">
        <v>5053</v>
      </c>
      <c r="S165" s="388">
        <v>4652</v>
      </c>
      <c r="T165" s="37">
        <v>0</v>
      </c>
      <c r="U165" s="693">
        <f>IFERROR(Table5[[#This Row],[Actual Redline Completed Footage UG]]/Table5[[#This Row],[Footage UG]], 0)</f>
        <v>0.92064120324559673</v>
      </c>
      <c r="V165" s="22">
        <v>45995</v>
      </c>
      <c r="W165" s="8">
        <v>1</v>
      </c>
      <c r="X165" s="8">
        <v>1</v>
      </c>
      <c r="Y165" s="1245">
        <v>1</v>
      </c>
      <c r="Z165" s="39" t="s">
        <v>548</v>
      </c>
      <c r="AA165" s="1086" t="s">
        <v>864</v>
      </c>
    </row>
    <row r="166" spans="1:27" ht="39.75" customHeight="1">
      <c r="A166" s="300" t="s">
        <v>865</v>
      </c>
      <c r="B166" s="301" t="s">
        <v>80</v>
      </c>
      <c r="C166" s="20">
        <v>45868</v>
      </c>
      <c r="D166" s="464" t="s">
        <v>108</v>
      </c>
      <c r="E166" s="302">
        <v>45796</v>
      </c>
      <c r="F166" s="464" t="s">
        <v>113</v>
      </c>
      <c r="G166" s="301" t="s">
        <v>866</v>
      </c>
      <c r="H166" s="303">
        <v>58</v>
      </c>
      <c r="I166" s="303" t="s">
        <v>92</v>
      </c>
      <c r="J166" s="303" t="s">
        <v>55</v>
      </c>
      <c r="K166" s="302">
        <v>45797</v>
      </c>
      <c r="L166" s="303" t="s">
        <v>56</v>
      </c>
      <c r="M166" s="349">
        <v>43097.65</v>
      </c>
      <c r="N166" s="599"/>
      <c r="O166" s="303" t="s">
        <v>56</v>
      </c>
      <c r="P166" s="603" t="s">
        <v>93</v>
      </c>
      <c r="Q166" s="61">
        <v>45810</v>
      </c>
      <c r="R166" s="46">
        <v>3309</v>
      </c>
      <c r="S166" s="500">
        <v>3194</v>
      </c>
      <c r="T166" s="5">
        <v>0</v>
      </c>
      <c r="U166" s="706">
        <f>IFERROR(Table5[[#This Row],[Actual Redline Completed Footage UG]]/Table5[[#This Row],[Footage UG]], 0)</f>
        <v>0.9652462979752191</v>
      </c>
      <c r="V166" s="1246">
        <v>45832</v>
      </c>
      <c r="W166" s="1247">
        <v>1</v>
      </c>
      <c r="X166" s="1247">
        <v>1</v>
      </c>
      <c r="Y166" s="474">
        <v>1</v>
      </c>
      <c r="Z166" s="1259">
        <v>45898</v>
      </c>
      <c r="AA166" s="1260" t="s">
        <v>867</v>
      </c>
    </row>
    <row r="167" spans="1:27" ht="39.75" customHeight="1">
      <c r="A167" s="1092" t="s">
        <v>868</v>
      </c>
      <c r="B167" s="897" t="s">
        <v>80</v>
      </c>
      <c r="C167" s="896">
        <v>46021</v>
      </c>
      <c r="D167" s="896" t="s">
        <v>108</v>
      </c>
      <c r="E167" s="896">
        <v>46001</v>
      </c>
      <c r="F167" s="897" t="s">
        <v>82</v>
      </c>
      <c r="G167" s="897"/>
      <c r="H167" s="898">
        <v>49</v>
      </c>
      <c r="I167" s="525" t="s">
        <v>92</v>
      </c>
      <c r="J167" s="898" t="s">
        <v>55</v>
      </c>
      <c r="K167" s="896">
        <v>45994</v>
      </c>
      <c r="L167" s="909" t="s">
        <v>56</v>
      </c>
      <c r="M167" s="1093">
        <v>42150</v>
      </c>
      <c r="N167" s="899"/>
      <c r="O167" s="909" t="s">
        <v>56</v>
      </c>
      <c r="P167" s="1094" t="s">
        <v>93</v>
      </c>
      <c r="Q167" s="901">
        <v>45994</v>
      </c>
      <c r="R167" s="638">
        <v>3885</v>
      </c>
      <c r="S167" s="1095">
        <v>3910</v>
      </c>
      <c r="T167" s="902">
        <v>0</v>
      </c>
      <c r="U167" s="526">
        <f>IFERROR($S167/$R167, 0)</f>
        <v>1.0064350064350065</v>
      </c>
      <c r="V167" s="912">
        <v>46006</v>
      </c>
      <c r="W167" s="904">
        <v>1</v>
      </c>
      <c r="X167" s="283">
        <v>1</v>
      </c>
      <c r="Y167" s="474">
        <v>1</v>
      </c>
      <c r="Z167" s="379" t="s">
        <v>548</v>
      </c>
      <c r="AA167" s="905" t="s">
        <v>869</v>
      </c>
    </row>
    <row r="168" spans="1:27" ht="39.75" customHeight="1">
      <c r="A168" s="789" t="s">
        <v>870</v>
      </c>
      <c r="B168" s="361" t="s">
        <v>80</v>
      </c>
      <c r="C168" s="371">
        <v>45899</v>
      </c>
      <c r="D168" s="1263" t="s">
        <v>554</v>
      </c>
      <c r="E168" s="371">
        <v>45889</v>
      </c>
      <c r="F168" s="510" t="s">
        <v>113</v>
      </c>
      <c r="G168" s="663"/>
      <c r="H168" s="373">
        <v>76</v>
      </c>
      <c r="I168" s="667" t="s">
        <v>92</v>
      </c>
      <c r="J168" s="373" t="s">
        <v>55</v>
      </c>
      <c r="K168" s="371">
        <v>45888</v>
      </c>
      <c r="L168" s="373" t="s">
        <v>56</v>
      </c>
      <c r="M168" s="630">
        <v>53902</v>
      </c>
      <c r="N168" s="422"/>
      <c r="O168" s="373" t="s">
        <v>56</v>
      </c>
      <c r="P168" s="607" t="s">
        <v>93</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108</v>
      </c>
      <c r="E169" s="665">
        <v>45880</v>
      </c>
      <c r="F169" s="348" t="s">
        <v>113</v>
      </c>
      <c r="G169" s="370" t="s">
        <v>873</v>
      </c>
      <c r="H169" s="373">
        <v>62</v>
      </c>
      <c r="I169" s="373" t="s">
        <v>92</v>
      </c>
      <c r="J169" s="373" t="s">
        <v>55</v>
      </c>
      <c r="K169" s="363">
        <v>45880</v>
      </c>
      <c r="L169" s="365" t="s">
        <v>56</v>
      </c>
      <c r="M169" s="790">
        <v>56807.95</v>
      </c>
      <c r="N169" s="599"/>
      <c r="O169" s="365" t="s">
        <v>56</v>
      </c>
      <c r="P169" s="607" t="s">
        <v>93</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108</v>
      </c>
      <c r="E170" s="515">
        <v>45882</v>
      </c>
      <c r="F170" s="515" t="s">
        <v>113</v>
      </c>
      <c r="G170" s="301" t="s">
        <v>876</v>
      </c>
      <c r="H170" s="303">
        <v>85</v>
      </c>
      <c r="I170" s="303" t="s">
        <v>92</v>
      </c>
      <c r="J170" s="303" t="s">
        <v>55</v>
      </c>
      <c r="K170" s="302">
        <v>45882</v>
      </c>
      <c r="L170" s="303" t="s">
        <v>56</v>
      </c>
      <c r="M170" s="349">
        <v>59869.5</v>
      </c>
      <c r="N170" s="599"/>
      <c r="O170" s="303" t="s">
        <v>56</v>
      </c>
      <c r="P170" s="462" t="s">
        <v>93</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108</v>
      </c>
      <c r="E171" s="302">
        <v>45896</v>
      </c>
      <c r="F171" s="464" t="s">
        <v>113</v>
      </c>
      <c r="G171" s="301" t="s">
        <v>524</v>
      </c>
      <c r="H171" s="303">
        <v>72</v>
      </c>
      <c r="I171" s="303" t="s">
        <v>92</v>
      </c>
      <c r="J171" s="303" t="s">
        <v>55</v>
      </c>
      <c r="K171" s="302">
        <v>45897</v>
      </c>
      <c r="L171" s="303" t="s">
        <v>56</v>
      </c>
      <c r="M171" s="349">
        <v>50874.95</v>
      </c>
      <c r="N171" s="599"/>
      <c r="O171" s="303" t="s">
        <v>56</v>
      </c>
      <c r="P171" s="469" t="s">
        <v>93</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108</v>
      </c>
      <c r="E172" s="363">
        <v>45896</v>
      </c>
      <c r="F172" s="361" t="s">
        <v>113</v>
      </c>
      <c r="G172" s="361" t="s">
        <v>881</v>
      </c>
      <c r="H172" s="365">
        <v>66</v>
      </c>
      <c r="I172" s="365" t="s">
        <v>92</v>
      </c>
      <c r="J172" s="365" t="s">
        <v>55</v>
      </c>
      <c r="K172" s="363">
        <v>45897</v>
      </c>
      <c r="L172" s="365" t="s">
        <v>56</v>
      </c>
      <c r="M172" s="790">
        <v>44896.1</v>
      </c>
      <c r="N172" s="421"/>
      <c r="O172" s="365" t="s">
        <v>56</v>
      </c>
      <c r="P172" s="607" t="s">
        <v>93</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108</v>
      </c>
      <c r="E173" s="510">
        <v>45910</v>
      </c>
      <c r="F173" s="361" t="s">
        <v>96</v>
      </c>
      <c r="G173" s="361" t="s">
        <v>884</v>
      </c>
      <c r="H173" s="365">
        <v>80</v>
      </c>
      <c r="I173" s="365" t="s">
        <v>92</v>
      </c>
      <c r="J173" s="365" t="s">
        <v>55</v>
      </c>
      <c r="K173" s="363">
        <v>45903</v>
      </c>
      <c r="L173" s="365" t="s">
        <v>56</v>
      </c>
      <c r="M173" s="790">
        <v>59116.7</v>
      </c>
      <c r="N173" s="421"/>
      <c r="O173" s="365" t="s">
        <v>56</v>
      </c>
      <c r="P173" s="607" t="s">
        <v>93</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2" t="s">
        <v>886</v>
      </c>
      <c r="B174" s="897" t="s">
        <v>80</v>
      </c>
      <c r="C174" s="896">
        <v>46010</v>
      </c>
      <c r="D174" s="896" t="s">
        <v>554</v>
      </c>
      <c r="E174" s="896">
        <v>45974</v>
      </c>
      <c r="F174" s="897" t="s">
        <v>96</v>
      </c>
      <c r="G174" s="897" t="s">
        <v>887</v>
      </c>
      <c r="H174" s="898">
        <v>67</v>
      </c>
      <c r="I174" s="525" t="s">
        <v>92</v>
      </c>
      <c r="J174" s="898" t="s">
        <v>55</v>
      </c>
      <c r="K174" s="896">
        <v>45936</v>
      </c>
      <c r="L174" s="898" t="s">
        <v>56</v>
      </c>
      <c r="M174" s="1093">
        <v>38192</v>
      </c>
      <c r="N174" s="899"/>
      <c r="O174" s="898" t="s">
        <v>56</v>
      </c>
      <c r="P174" s="1094" t="s">
        <v>93</v>
      </c>
      <c r="Q174" s="901">
        <v>45936</v>
      </c>
      <c r="R174" s="902">
        <v>2845</v>
      </c>
      <c r="S174" s="1095">
        <v>2825</v>
      </c>
      <c r="T174" s="902">
        <v>0</v>
      </c>
      <c r="U174" s="526">
        <f>IFERROR($S174/$R174, 0)</f>
        <v>0.99297012302284715</v>
      </c>
      <c r="V174" s="912">
        <v>46002</v>
      </c>
      <c r="W174" s="904">
        <v>1</v>
      </c>
      <c r="X174" s="283">
        <v>1</v>
      </c>
      <c r="Y174" s="81">
        <v>1</v>
      </c>
      <c r="Z174" s="379" t="s">
        <v>548</v>
      </c>
      <c r="AA174" s="905" t="s">
        <v>888</v>
      </c>
    </row>
    <row r="175" spans="1:27" ht="39.75" customHeight="1">
      <c r="A175" s="803" t="s">
        <v>889</v>
      </c>
      <c r="B175" s="361" t="s">
        <v>80</v>
      </c>
      <c r="C175" s="371">
        <v>45930</v>
      </c>
      <c r="D175" s="363" t="s">
        <v>108</v>
      </c>
      <c r="E175" s="510">
        <v>45910</v>
      </c>
      <c r="F175" s="510" t="s">
        <v>113</v>
      </c>
      <c r="G175" s="546" t="s">
        <v>890</v>
      </c>
      <c r="H175" s="365">
        <v>67</v>
      </c>
      <c r="I175" s="525" t="s">
        <v>92</v>
      </c>
      <c r="J175" s="365" t="s">
        <v>55</v>
      </c>
      <c r="K175" s="363">
        <v>45903</v>
      </c>
      <c r="L175" s="365" t="s">
        <v>56</v>
      </c>
      <c r="M175" s="790">
        <v>40406</v>
      </c>
      <c r="N175" s="421"/>
      <c r="O175" s="365" t="s">
        <v>56</v>
      </c>
      <c r="P175" s="607" t="s">
        <v>93</v>
      </c>
      <c r="Q175" s="367">
        <v>45903</v>
      </c>
      <c r="R175" s="368">
        <v>3895</v>
      </c>
      <c r="S175" s="388">
        <v>3809</v>
      </c>
      <c r="T175" s="46">
        <v>0</v>
      </c>
      <c r="U175" s="521">
        <f>IFERROR($S175/$R175, 0)</f>
        <v>0.97792041078305525</v>
      </c>
      <c r="V175" s="542">
        <v>45924</v>
      </c>
      <c r="W175" s="283">
        <v>1</v>
      </c>
      <c r="X175" s="283">
        <v>1</v>
      </c>
      <c r="Y175" s="81">
        <v>1</v>
      </c>
      <c r="Z175" s="379" t="s">
        <v>548</v>
      </c>
      <c r="AA175" s="1264" t="s">
        <v>891</v>
      </c>
    </row>
    <row r="176" spans="1:27" ht="39.75" customHeight="1">
      <c r="A176" s="1092" t="s">
        <v>892</v>
      </c>
      <c r="B176" s="897" t="s">
        <v>80</v>
      </c>
      <c r="C176" s="896">
        <v>46010</v>
      </c>
      <c r="D176" s="896" t="s">
        <v>554</v>
      </c>
      <c r="E176" s="896">
        <v>45974</v>
      </c>
      <c r="F176" s="897" t="s">
        <v>96</v>
      </c>
      <c r="G176" s="897" t="s">
        <v>893</v>
      </c>
      <c r="H176" s="898">
        <v>68</v>
      </c>
      <c r="I176" s="525" t="s">
        <v>92</v>
      </c>
      <c r="J176" s="898" t="s">
        <v>55</v>
      </c>
      <c r="K176" s="896">
        <v>45936</v>
      </c>
      <c r="L176" s="898" t="s">
        <v>56</v>
      </c>
      <c r="M176" s="1093">
        <v>37755.599999999999</v>
      </c>
      <c r="N176" s="899"/>
      <c r="O176" s="898" t="s">
        <v>56</v>
      </c>
      <c r="P176" s="1094" t="s">
        <v>93</v>
      </c>
      <c r="Q176" s="901">
        <v>45936</v>
      </c>
      <c r="R176" s="902">
        <v>2584</v>
      </c>
      <c r="S176" s="1095">
        <v>2584</v>
      </c>
      <c r="T176" s="902">
        <f>SUM(R176-S176)</f>
        <v>0</v>
      </c>
      <c r="U176" s="526">
        <f>IFERROR($S176/$R176, 0)</f>
        <v>1</v>
      </c>
      <c r="V176" s="912">
        <v>46000</v>
      </c>
      <c r="W176" s="904">
        <v>1</v>
      </c>
      <c r="X176" s="283">
        <v>1</v>
      </c>
      <c r="Y176" s="81">
        <v>1</v>
      </c>
      <c r="Z176" s="379" t="s">
        <v>548</v>
      </c>
      <c r="AA176" s="905" t="s">
        <v>894</v>
      </c>
    </row>
    <row r="177" spans="1:27" ht="39.75" customHeight="1">
      <c r="A177" s="1092" t="s">
        <v>895</v>
      </c>
      <c r="B177" s="897" t="s">
        <v>80</v>
      </c>
      <c r="C177" s="896">
        <v>46010</v>
      </c>
      <c r="D177" s="896" t="s">
        <v>554</v>
      </c>
      <c r="E177" s="896">
        <v>45974</v>
      </c>
      <c r="F177" s="897" t="s">
        <v>96</v>
      </c>
      <c r="G177" s="897" t="s">
        <v>896</v>
      </c>
      <c r="H177" s="898">
        <v>28</v>
      </c>
      <c r="I177" s="525" t="s">
        <v>92</v>
      </c>
      <c r="J177" s="898" t="s">
        <v>55</v>
      </c>
      <c r="K177" s="896">
        <v>45972</v>
      </c>
      <c r="L177" s="898" t="s">
        <v>56</v>
      </c>
      <c r="M177" s="1093">
        <v>27615.5</v>
      </c>
      <c r="N177" s="899"/>
      <c r="O177" s="898" t="s">
        <v>56</v>
      </c>
      <c r="P177" s="1094" t="s">
        <v>93</v>
      </c>
      <c r="Q177" s="934">
        <v>45979</v>
      </c>
      <c r="R177" s="902">
        <v>2027</v>
      </c>
      <c r="S177" s="1095">
        <v>2146</v>
      </c>
      <c r="T177" s="902">
        <v>0</v>
      </c>
      <c r="U177" s="694">
        <f>IFERROR($S177/$R177, 0)</f>
        <v>1.0587074494326592</v>
      </c>
      <c r="V177" s="901">
        <v>45994</v>
      </c>
      <c r="W177" s="904">
        <v>1</v>
      </c>
      <c r="X177" s="283">
        <v>1</v>
      </c>
      <c r="Y177" s="81">
        <v>1</v>
      </c>
      <c r="Z177" s="379" t="s">
        <v>548</v>
      </c>
      <c r="AA177" s="905" t="s">
        <v>897</v>
      </c>
    </row>
    <row r="178" spans="1:27" ht="39.75" customHeight="1">
      <c r="A178" s="300" t="s">
        <v>898</v>
      </c>
      <c r="B178" s="301" t="s">
        <v>80</v>
      </c>
      <c r="C178" s="20">
        <v>45930</v>
      </c>
      <c r="D178" s="302" t="s">
        <v>108</v>
      </c>
      <c r="E178" s="515">
        <v>45910</v>
      </c>
      <c r="F178" s="301" t="s">
        <v>96</v>
      </c>
      <c r="G178" s="535"/>
      <c r="H178" s="303">
        <v>54</v>
      </c>
      <c r="I178" s="531" t="s">
        <v>92</v>
      </c>
      <c r="J178" s="303" t="s">
        <v>55</v>
      </c>
      <c r="K178" s="302">
        <v>45903</v>
      </c>
      <c r="L178" s="303" t="s">
        <v>56</v>
      </c>
      <c r="M178" s="349">
        <v>27186</v>
      </c>
      <c r="N178" s="599"/>
      <c r="O178" s="303" t="s">
        <v>56</v>
      </c>
      <c r="P178" s="603" t="s">
        <v>93</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113</v>
      </c>
      <c r="G179" s="306" t="s">
        <v>901</v>
      </c>
      <c r="H179" s="21">
        <v>70</v>
      </c>
      <c r="I179" s="307" t="s">
        <v>92</v>
      </c>
      <c r="J179" s="21" t="s">
        <v>55</v>
      </c>
      <c r="K179" s="302">
        <v>45887</v>
      </c>
      <c r="L179" s="303" t="s">
        <v>56</v>
      </c>
      <c r="M179" s="349">
        <v>69889</v>
      </c>
      <c r="N179" s="43"/>
      <c r="O179" s="303" t="s">
        <v>56</v>
      </c>
      <c r="P179" s="462" t="s">
        <v>93</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108</v>
      </c>
      <c r="E180" s="20">
        <v>45887</v>
      </c>
      <c r="F180" s="19" t="s">
        <v>96</v>
      </c>
      <c r="G180" s="306" t="s">
        <v>904</v>
      </c>
      <c r="H180" s="21">
        <v>84</v>
      </c>
      <c r="I180" s="307" t="s">
        <v>92</v>
      </c>
      <c r="J180" s="21" t="s">
        <v>55</v>
      </c>
      <c r="K180" s="302">
        <v>45887</v>
      </c>
      <c r="L180" s="303" t="s">
        <v>56</v>
      </c>
      <c r="M180" s="349">
        <v>52110</v>
      </c>
      <c r="N180" s="599"/>
      <c r="O180" s="303" t="s">
        <v>56</v>
      </c>
      <c r="P180" s="462" t="s">
        <v>93</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108</v>
      </c>
      <c r="E181" s="20">
        <v>45896</v>
      </c>
      <c r="F181" s="308" t="s">
        <v>113</v>
      </c>
      <c r="G181" s="306"/>
      <c r="H181" s="21">
        <v>87</v>
      </c>
      <c r="I181" s="307" t="s">
        <v>92</v>
      </c>
      <c r="J181" s="21" t="s">
        <v>55</v>
      </c>
      <c r="K181" s="302">
        <v>45897</v>
      </c>
      <c r="L181" s="303" t="s">
        <v>56</v>
      </c>
      <c r="M181" s="349">
        <v>52204</v>
      </c>
      <c r="N181" s="599"/>
      <c r="O181" s="303" t="s">
        <v>56</v>
      </c>
      <c r="P181" s="603" t="s">
        <v>93</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2" t="s">
        <v>908</v>
      </c>
      <c r="B182" s="897" t="s">
        <v>80</v>
      </c>
      <c r="C182" s="896">
        <v>46006</v>
      </c>
      <c r="D182" s="896" t="s">
        <v>108</v>
      </c>
      <c r="E182" s="896">
        <v>45999</v>
      </c>
      <c r="F182" s="897" t="s">
        <v>96</v>
      </c>
      <c r="G182" s="897" t="s">
        <v>909</v>
      </c>
      <c r="H182" s="898">
        <v>87</v>
      </c>
      <c r="I182" s="525" t="s">
        <v>92</v>
      </c>
      <c r="J182" s="898" t="s">
        <v>55</v>
      </c>
      <c r="K182" s="896">
        <v>45999</v>
      </c>
      <c r="L182" s="898" t="s">
        <v>56</v>
      </c>
      <c r="M182" s="1093">
        <v>74384</v>
      </c>
      <c r="N182" s="899"/>
      <c r="O182" s="898" t="s">
        <v>56</v>
      </c>
      <c r="P182" s="1094" t="s">
        <v>93</v>
      </c>
      <c r="Q182" s="934">
        <v>45999</v>
      </c>
      <c r="R182" s="902">
        <v>6130</v>
      </c>
      <c r="S182" s="1095">
        <v>5915</v>
      </c>
      <c r="T182" s="902">
        <v>0</v>
      </c>
      <c r="U182" s="526">
        <f>IFERROR($S182/$R182, 0)</f>
        <v>0.96492659053833607</v>
      </c>
      <c r="V182" s="912">
        <v>46006</v>
      </c>
      <c r="W182" s="904">
        <v>1</v>
      </c>
      <c r="X182" s="904">
        <v>1</v>
      </c>
      <c r="Y182" s="477">
        <v>1</v>
      </c>
      <c r="Z182" s="379" t="s">
        <v>548</v>
      </c>
      <c r="AA182" s="905" t="s">
        <v>910</v>
      </c>
    </row>
    <row r="183" spans="1:27" ht="39.75" customHeight="1">
      <c r="A183" s="605" t="s">
        <v>911</v>
      </c>
      <c r="B183" s="361" t="s">
        <v>80</v>
      </c>
      <c r="C183" s="363">
        <v>46006</v>
      </c>
      <c r="D183" s="363" t="s">
        <v>108</v>
      </c>
      <c r="E183" s="363">
        <v>45979</v>
      </c>
      <c r="F183" s="361" t="s">
        <v>113</v>
      </c>
      <c r="G183" s="546" t="s">
        <v>912</v>
      </c>
      <c r="H183" s="365">
        <v>28</v>
      </c>
      <c r="I183" s="525" t="s">
        <v>92</v>
      </c>
      <c r="J183" s="365" t="s">
        <v>55</v>
      </c>
      <c r="K183" s="363">
        <v>45979</v>
      </c>
      <c r="L183" s="365" t="s">
        <v>56</v>
      </c>
      <c r="M183" s="790">
        <v>29683</v>
      </c>
      <c r="N183" s="421"/>
      <c r="O183" s="365" t="s">
        <v>56</v>
      </c>
      <c r="P183" s="607" t="s">
        <v>93</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2" t="s">
        <v>914</v>
      </c>
      <c r="B184" s="897" t="s">
        <v>80</v>
      </c>
      <c r="C184" s="896">
        <v>46006</v>
      </c>
      <c r="D184" s="896" t="s">
        <v>108</v>
      </c>
      <c r="E184" s="896">
        <v>46006</v>
      </c>
      <c r="F184" s="897" t="s">
        <v>96</v>
      </c>
      <c r="G184" s="897" t="s">
        <v>915</v>
      </c>
      <c r="H184" s="898">
        <v>21</v>
      </c>
      <c r="I184" s="525" t="s">
        <v>92</v>
      </c>
      <c r="J184" s="898" t="s">
        <v>55</v>
      </c>
      <c r="K184" s="896">
        <v>46006</v>
      </c>
      <c r="L184" s="898" t="s">
        <v>56</v>
      </c>
      <c r="M184" s="1093">
        <v>20891</v>
      </c>
      <c r="N184" s="599"/>
      <c r="O184" s="898" t="s">
        <v>56</v>
      </c>
      <c r="P184" s="1094" t="s">
        <v>93</v>
      </c>
      <c r="Q184" s="901">
        <v>46006</v>
      </c>
      <c r="R184" s="902">
        <v>1820</v>
      </c>
      <c r="S184" s="1095">
        <v>1714</v>
      </c>
      <c r="T184" s="6">
        <v>0</v>
      </c>
      <c r="U184" s="4">
        <f>IFERROR(Table5[[#This Row],[Actual Redline Completed Footage UG]]/Table5[[#This Row],[Footage UG]], 0)</f>
        <v>0.94175824175824174</v>
      </c>
      <c r="V184" s="912">
        <v>46028</v>
      </c>
      <c r="W184" s="904">
        <v>1</v>
      </c>
      <c r="X184" s="474">
        <v>1</v>
      </c>
      <c r="Y184" s="477">
        <v>1</v>
      </c>
      <c r="Z184" s="379" t="s">
        <v>548</v>
      </c>
      <c r="AA184" s="936" t="s">
        <v>916</v>
      </c>
    </row>
    <row r="185" spans="1:27" ht="39.75" customHeight="1">
      <c r="A185" s="300" t="s">
        <v>917</v>
      </c>
      <c r="B185" s="19" t="s">
        <v>80</v>
      </c>
      <c r="C185" s="20">
        <v>45930</v>
      </c>
      <c r="D185" s="20" t="s">
        <v>108</v>
      </c>
      <c r="E185" s="20">
        <v>45915</v>
      </c>
      <c r="F185" s="522" t="s">
        <v>113</v>
      </c>
      <c r="G185" s="534"/>
      <c r="H185" s="21">
        <v>53</v>
      </c>
      <c r="I185" s="524" t="s">
        <v>92</v>
      </c>
      <c r="J185" s="21" t="s">
        <v>55</v>
      </c>
      <c r="K185" s="302">
        <v>45912</v>
      </c>
      <c r="L185" s="303" t="s">
        <v>56</v>
      </c>
      <c r="M185" s="349">
        <v>47676</v>
      </c>
      <c r="N185" s="599"/>
      <c r="O185" s="303" t="s">
        <v>56</v>
      </c>
      <c r="P185" s="603" t="s">
        <v>93</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108</v>
      </c>
      <c r="E186" s="20">
        <v>45945</v>
      </c>
      <c r="F186" s="19" t="s">
        <v>82</v>
      </c>
      <c r="G186" s="534"/>
      <c r="H186" s="21">
        <v>59</v>
      </c>
      <c r="I186" s="524" t="s">
        <v>92</v>
      </c>
      <c r="J186" s="21" t="s">
        <v>55</v>
      </c>
      <c r="K186" s="302">
        <v>45933</v>
      </c>
      <c r="L186" s="303" t="s">
        <v>56</v>
      </c>
      <c r="M186" s="349">
        <v>44697.599999999999</v>
      </c>
      <c r="N186" s="599"/>
      <c r="O186" s="303" t="s">
        <v>56</v>
      </c>
      <c r="P186" s="603" t="s">
        <v>93</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108</v>
      </c>
      <c r="E187" s="363">
        <v>45915</v>
      </c>
      <c r="F187" s="510" t="s">
        <v>113</v>
      </c>
      <c r="G187" s="546"/>
      <c r="H187" s="365">
        <v>82</v>
      </c>
      <c r="I187" s="525" t="s">
        <v>92</v>
      </c>
      <c r="J187" s="365" t="s">
        <v>55</v>
      </c>
      <c r="K187" s="363">
        <v>45912</v>
      </c>
      <c r="L187" s="365" t="s">
        <v>56</v>
      </c>
      <c r="M187" s="790">
        <v>82621.149999999994</v>
      </c>
      <c r="N187" s="421"/>
      <c r="O187" s="365" t="s">
        <v>56</v>
      </c>
      <c r="P187" s="607" t="s">
        <v>93</v>
      </c>
      <c r="Q187" s="367">
        <v>45912</v>
      </c>
      <c r="R187" s="368">
        <v>5653</v>
      </c>
      <c r="S187" s="388">
        <v>5653</v>
      </c>
      <c r="T187" s="46">
        <f>SUM(R187-S187)</f>
        <v>0</v>
      </c>
      <c r="U187" s="521">
        <f>IFERROR($S187/$R187, 0)</f>
        <v>1</v>
      </c>
      <c r="V187" s="542">
        <v>45932</v>
      </c>
      <c r="W187" s="283">
        <v>1</v>
      </c>
      <c r="X187" s="283">
        <v>1</v>
      </c>
      <c r="Y187" s="477">
        <v>1</v>
      </c>
      <c r="Z187" s="379" t="s">
        <v>548</v>
      </c>
      <c r="AA187" s="1264" t="s">
        <v>922</v>
      </c>
    </row>
    <row r="188" spans="1:27" ht="39.75" customHeight="1">
      <c r="A188" s="605" t="s">
        <v>923</v>
      </c>
      <c r="B188" s="361" t="s">
        <v>80</v>
      </c>
      <c r="C188" s="371">
        <v>45960</v>
      </c>
      <c r="D188" s="363" t="s">
        <v>108</v>
      </c>
      <c r="E188" s="363">
        <v>45936</v>
      </c>
      <c r="F188" s="361" t="s">
        <v>82</v>
      </c>
      <c r="G188" s="546"/>
      <c r="H188" s="365">
        <v>35</v>
      </c>
      <c r="I188" s="525" t="s">
        <v>92</v>
      </c>
      <c r="J188" s="365" t="s">
        <v>55</v>
      </c>
      <c r="K188" s="363">
        <v>45933</v>
      </c>
      <c r="L188" s="365" t="s">
        <v>56</v>
      </c>
      <c r="M188" s="790">
        <v>26026</v>
      </c>
      <c r="N188" s="421"/>
      <c r="O188" s="365" t="s">
        <v>56</v>
      </c>
      <c r="P188" s="607" t="s">
        <v>93</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92</v>
      </c>
      <c r="J189" s="21" t="s">
        <v>55</v>
      </c>
      <c r="K189" s="302">
        <v>45933</v>
      </c>
      <c r="L189" s="303" t="s">
        <v>56</v>
      </c>
      <c r="M189" s="349">
        <v>58864</v>
      </c>
      <c r="N189" s="599"/>
      <c r="O189" s="303" t="s">
        <v>56</v>
      </c>
      <c r="P189" s="603" t="s">
        <v>93</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108</v>
      </c>
      <c r="E190" s="363">
        <v>45932</v>
      </c>
      <c r="F190" s="361" t="s">
        <v>113</v>
      </c>
      <c r="G190" s="546"/>
      <c r="H190" s="365">
        <v>34</v>
      </c>
      <c r="I190" s="525" t="s">
        <v>92</v>
      </c>
      <c r="J190" s="365" t="s">
        <v>55</v>
      </c>
      <c r="K190" s="363">
        <v>45933</v>
      </c>
      <c r="L190" s="365" t="s">
        <v>56</v>
      </c>
      <c r="M190" s="790">
        <v>29646</v>
      </c>
      <c r="N190" s="421"/>
      <c r="O190" s="365" t="s">
        <v>56</v>
      </c>
      <c r="P190" s="607" t="s">
        <v>93</v>
      </c>
      <c r="Q190" s="367">
        <v>45933</v>
      </c>
      <c r="R190" s="368">
        <v>2188</v>
      </c>
      <c r="S190" s="388">
        <v>2278</v>
      </c>
      <c r="T190" s="46">
        <v>0</v>
      </c>
      <c r="U190" s="521">
        <f>IFERROR($S190/$R190, 0)</f>
        <v>1.0411334552102376</v>
      </c>
      <c r="V190" s="542">
        <v>45931</v>
      </c>
      <c r="W190" s="283">
        <v>1</v>
      </c>
      <c r="X190" s="283">
        <v>1</v>
      </c>
      <c r="Y190" s="477">
        <v>1</v>
      </c>
      <c r="Z190" s="379" t="s">
        <v>548</v>
      </c>
      <c r="AA190" s="1264" t="s">
        <v>928</v>
      </c>
    </row>
    <row r="191" spans="1:27" ht="39.75" customHeight="1">
      <c r="A191" s="605" t="s">
        <v>929</v>
      </c>
      <c r="B191" s="361" t="s">
        <v>80</v>
      </c>
      <c r="C191" s="371">
        <v>45960</v>
      </c>
      <c r="D191" s="363" t="s">
        <v>81</v>
      </c>
      <c r="E191" s="363">
        <v>45932</v>
      </c>
      <c r="F191" s="361" t="s">
        <v>96</v>
      </c>
      <c r="G191" s="546"/>
      <c r="H191" s="365">
        <v>79</v>
      </c>
      <c r="I191" s="525" t="s">
        <v>92</v>
      </c>
      <c r="J191" s="365" t="s">
        <v>55</v>
      </c>
      <c r="K191" s="363">
        <v>45933</v>
      </c>
      <c r="L191" s="365" t="s">
        <v>56</v>
      </c>
      <c r="M191" s="790">
        <v>45014</v>
      </c>
      <c r="N191" s="421"/>
      <c r="O191" s="365" t="s">
        <v>56</v>
      </c>
      <c r="P191" s="607" t="s">
        <v>93</v>
      </c>
      <c r="Q191" s="367">
        <v>45933</v>
      </c>
      <c r="R191" s="368">
        <v>3378</v>
      </c>
      <c r="S191" s="388">
        <v>3372</v>
      </c>
      <c r="T191" s="368">
        <v>0</v>
      </c>
      <c r="U191" s="526">
        <f>IFERROR($S191/$R191, 0)</f>
        <v>0.9982238010657194</v>
      </c>
      <c r="V191" s="374">
        <v>45958</v>
      </c>
      <c r="W191" s="283">
        <v>1</v>
      </c>
      <c r="X191" s="283">
        <v>1</v>
      </c>
      <c r="Y191" s="477">
        <v>1</v>
      </c>
      <c r="Z191" s="379" t="s">
        <v>548</v>
      </c>
      <c r="AA191" s="1265" t="s">
        <v>930</v>
      </c>
    </row>
    <row r="192" spans="1:27" ht="39.75" customHeight="1">
      <c r="A192" s="605" t="s">
        <v>931</v>
      </c>
      <c r="B192" s="361" t="s">
        <v>80</v>
      </c>
      <c r="C192" s="371">
        <v>45960</v>
      </c>
      <c r="D192" s="363" t="s">
        <v>108</v>
      </c>
      <c r="E192" s="363">
        <v>45936</v>
      </c>
      <c r="F192" s="361" t="s">
        <v>96</v>
      </c>
      <c r="G192" s="546"/>
      <c r="H192" s="365">
        <v>75</v>
      </c>
      <c r="I192" s="525" t="s">
        <v>92</v>
      </c>
      <c r="J192" s="365" t="s">
        <v>55</v>
      </c>
      <c r="K192" s="363">
        <v>45936</v>
      </c>
      <c r="L192" s="365" t="s">
        <v>56</v>
      </c>
      <c r="M192" s="790">
        <v>38796</v>
      </c>
      <c r="N192" s="421"/>
      <c r="O192" s="365" t="s">
        <v>56</v>
      </c>
      <c r="P192" s="607" t="s">
        <v>93</v>
      </c>
      <c r="Q192" s="367">
        <v>45936</v>
      </c>
      <c r="R192" s="638">
        <v>2874</v>
      </c>
      <c r="S192" s="1142">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108</v>
      </c>
      <c r="E193" s="363">
        <v>45959</v>
      </c>
      <c r="F193" s="361" t="s">
        <v>934</v>
      </c>
      <c r="G193" s="546"/>
      <c r="H193" s="365">
        <v>69</v>
      </c>
      <c r="I193" s="525" t="s">
        <v>92</v>
      </c>
      <c r="J193" s="365" t="s">
        <v>55</v>
      </c>
      <c r="K193" s="363">
        <v>45962</v>
      </c>
      <c r="L193" s="365" t="s">
        <v>56</v>
      </c>
      <c r="M193" s="880">
        <v>37418</v>
      </c>
      <c r="N193" s="599"/>
      <c r="O193" s="365" t="s">
        <v>56</v>
      </c>
      <c r="P193" s="607" t="s">
        <v>93</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5" t="s">
        <v>935</v>
      </c>
    </row>
    <row r="194" spans="1:27" ht="39.75" customHeight="1">
      <c r="A194" s="605" t="s">
        <v>936</v>
      </c>
      <c r="B194" s="361" t="s">
        <v>80</v>
      </c>
      <c r="C194" s="371">
        <v>45976</v>
      </c>
      <c r="D194" s="363" t="s">
        <v>108</v>
      </c>
      <c r="E194" s="363">
        <v>45958</v>
      </c>
      <c r="F194" s="361" t="s">
        <v>82</v>
      </c>
      <c r="G194" s="546"/>
      <c r="H194" s="365">
        <v>48</v>
      </c>
      <c r="I194" s="525" t="s">
        <v>92</v>
      </c>
      <c r="J194" s="365" t="s">
        <v>55</v>
      </c>
      <c r="K194" s="363">
        <v>45954</v>
      </c>
      <c r="L194" s="365" t="s">
        <v>56</v>
      </c>
      <c r="M194" s="790">
        <v>54228.7</v>
      </c>
      <c r="N194" s="421"/>
      <c r="O194" s="365" t="s">
        <v>56</v>
      </c>
      <c r="P194" s="607" t="s">
        <v>93</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2" t="s">
        <v>938</v>
      </c>
      <c r="B195" s="897" t="s">
        <v>80</v>
      </c>
      <c r="C195" s="896">
        <v>46006</v>
      </c>
      <c r="D195" s="896" t="s">
        <v>108</v>
      </c>
      <c r="E195" s="896">
        <v>46021</v>
      </c>
      <c r="F195" s="897" t="s">
        <v>96</v>
      </c>
      <c r="G195" s="897" t="s">
        <v>939</v>
      </c>
      <c r="H195" s="898">
        <v>87</v>
      </c>
      <c r="I195" s="525" t="s">
        <v>92</v>
      </c>
      <c r="J195" s="898" t="s">
        <v>55</v>
      </c>
      <c r="K195" s="896">
        <v>46027</v>
      </c>
      <c r="L195" s="898" t="s">
        <v>56</v>
      </c>
      <c r="M195" s="1093">
        <v>63322.45</v>
      </c>
      <c r="N195" s="599"/>
      <c r="O195" s="898" t="s">
        <v>56</v>
      </c>
      <c r="P195" s="1094" t="s">
        <v>93</v>
      </c>
      <c r="Q195" s="901">
        <v>46021</v>
      </c>
      <c r="R195" s="902">
        <v>5030</v>
      </c>
      <c r="S195" s="1095">
        <v>5102</v>
      </c>
      <c r="T195" s="6">
        <v>0</v>
      </c>
      <c r="U195" s="521">
        <f>IFERROR(Table5[[#This Row],[Actual Redline Completed Footage UG]]/Table5[[#This Row],[Footage UG]], 0)</f>
        <v>1.0143141153081512</v>
      </c>
      <c r="V195" s="912">
        <v>46029</v>
      </c>
      <c r="W195" s="474">
        <v>1</v>
      </c>
      <c r="X195" s="474">
        <v>1</v>
      </c>
      <c r="Y195" s="526">
        <v>1</v>
      </c>
      <c r="Z195" s="1239" t="s">
        <v>548</v>
      </c>
      <c r="AA195" s="1083" t="s">
        <v>940</v>
      </c>
    </row>
    <row r="196" spans="1:27" ht="39.75" customHeight="1">
      <c r="A196" s="1092" t="s">
        <v>941</v>
      </c>
      <c r="B196" s="897" t="s">
        <v>80</v>
      </c>
      <c r="C196" s="896">
        <v>46052</v>
      </c>
      <c r="D196" s="896" t="s">
        <v>81</v>
      </c>
      <c r="E196" s="896">
        <v>46021</v>
      </c>
      <c r="F196" s="897" t="s">
        <v>82</v>
      </c>
      <c r="G196" s="897" t="s">
        <v>942</v>
      </c>
      <c r="H196" s="898">
        <v>88</v>
      </c>
      <c r="I196" s="525" t="s">
        <v>92</v>
      </c>
      <c r="J196" s="898" t="s">
        <v>55</v>
      </c>
      <c r="K196" s="896">
        <v>46021</v>
      </c>
      <c r="L196" s="898" t="s">
        <v>56</v>
      </c>
      <c r="M196" s="1093">
        <v>77109.5</v>
      </c>
      <c r="N196" s="599"/>
      <c r="O196" s="898" t="s">
        <v>56</v>
      </c>
      <c r="P196" s="1094" t="s">
        <v>93</v>
      </c>
      <c r="Q196" s="901">
        <v>46021</v>
      </c>
      <c r="R196" s="902">
        <v>6325</v>
      </c>
      <c r="S196" s="1095">
        <v>6251</v>
      </c>
      <c r="T196" s="6">
        <v>0</v>
      </c>
      <c r="U196" s="521">
        <f>IFERROR(Table5[[#This Row],[Actual Redline Completed Footage UG]]/Table5[[#This Row],[Footage UG]], 0)</f>
        <v>0.98830039525691704</v>
      </c>
      <c r="V196" s="912">
        <v>46043</v>
      </c>
      <c r="W196" s="474">
        <v>1</v>
      </c>
      <c r="X196" s="474">
        <v>1</v>
      </c>
      <c r="Y196" s="521">
        <v>1</v>
      </c>
      <c r="Z196" s="1239" t="s">
        <v>548</v>
      </c>
      <c r="AA196" s="905" t="s">
        <v>943</v>
      </c>
    </row>
    <row r="197" spans="1:27" ht="39.75" customHeight="1">
      <c r="A197" s="1092" t="s">
        <v>944</v>
      </c>
      <c r="B197" s="897" t="s">
        <v>80</v>
      </c>
      <c r="C197" s="896">
        <v>46052</v>
      </c>
      <c r="D197" s="896" t="s">
        <v>81</v>
      </c>
      <c r="E197" s="896">
        <v>46045</v>
      </c>
      <c r="F197" s="897" t="s">
        <v>82</v>
      </c>
      <c r="G197" s="897" t="s">
        <v>945</v>
      </c>
      <c r="H197" s="898">
        <v>69</v>
      </c>
      <c r="I197" s="525" t="s">
        <v>92</v>
      </c>
      <c r="J197" s="898" t="s">
        <v>55</v>
      </c>
      <c r="K197" s="896">
        <v>46027</v>
      </c>
      <c r="L197" s="898" t="s">
        <v>56</v>
      </c>
      <c r="M197" s="899">
        <v>41834.75</v>
      </c>
      <c r="N197" s="599"/>
      <c r="O197" s="898" t="s">
        <v>56</v>
      </c>
      <c r="P197" s="1094" t="s">
        <v>93</v>
      </c>
      <c r="Q197" s="901">
        <v>46027</v>
      </c>
      <c r="R197" s="902">
        <v>3183</v>
      </c>
      <c r="S197" s="1095">
        <v>3121</v>
      </c>
      <c r="T197" s="6">
        <v>0</v>
      </c>
      <c r="U197" s="521">
        <f>IFERROR(Table5[[#This Row],[Actual Redline Completed Footage UG]]/Table5[[#This Row],[Footage UG]], 0)</f>
        <v>0.98052152057807096</v>
      </c>
      <c r="V197" s="912">
        <v>46048</v>
      </c>
      <c r="W197" s="27">
        <v>1</v>
      </c>
      <c r="X197" s="8">
        <v>1</v>
      </c>
      <c r="Y197" s="521">
        <v>1</v>
      </c>
      <c r="Z197" s="44" t="s">
        <v>548</v>
      </c>
      <c r="AA197" s="936" t="s">
        <v>946</v>
      </c>
    </row>
    <row r="198" spans="1:27" ht="39.75" customHeight="1">
      <c r="A198" s="605" t="s">
        <v>947</v>
      </c>
      <c r="B198" s="361" t="s">
        <v>80</v>
      </c>
      <c r="C198" s="371">
        <v>45991</v>
      </c>
      <c r="D198" s="363" t="s">
        <v>81</v>
      </c>
      <c r="E198" s="363">
        <v>45936</v>
      </c>
      <c r="F198" s="361" t="s">
        <v>82</v>
      </c>
      <c r="G198" s="546"/>
      <c r="H198" s="365">
        <v>83</v>
      </c>
      <c r="I198" s="525" t="s">
        <v>92</v>
      </c>
      <c r="J198" s="365" t="s">
        <v>55</v>
      </c>
      <c r="K198" s="363">
        <v>45936</v>
      </c>
      <c r="L198" s="365" t="s">
        <v>56</v>
      </c>
      <c r="M198" s="790">
        <v>96748</v>
      </c>
      <c r="N198" s="421"/>
      <c r="O198" s="365" t="s">
        <v>56</v>
      </c>
      <c r="P198" s="801" t="s">
        <v>93</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108</v>
      </c>
      <c r="E199" s="363">
        <v>45966</v>
      </c>
      <c r="F199" s="361" t="s">
        <v>96</v>
      </c>
      <c r="G199" s="546" t="s">
        <v>950</v>
      </c>
      <c r="H199" s="365">
        <v>69</v>
      </c>
      <c r="I199" s="525" t="s">
        <v>92</v>
      </c>
      <c r="J199" s="365" t="s">
        <v>55</v>
      </c>
      <c r="K199" s="363">
        <v>45969</v>
      </c>
      <c r="L199" s="365" t="s">
        <v>56</v>
      </c>
      <c r="M199" s="790">
        <v>75672.100000000006</v>
      </c>
      <c r="N199" s="421"/>
      <c r="O199" s="365" t="s">
        <v>56</v>
      </c>
      <c r="P199" s="1258" t="s">
        <v>93</v>
      </c>
      <c r="Q199" s="61">
        <v>45969</v>
      </c>
      <c r="R199" s="368">
        <v>5654</v>
      </c>
      <c r="S199" s="388">
        <v>5654</v>
      </c>
      <c r="T199" s="368">
        <f>SUM(R199-S199)</f>
        <v>0</v>
      </c>
      <c r="U199" s="526">
        <f>IFERROR($S199/$R199, 0)</f>
        <v>1</v>
      </c>
      <c r="V199" s="374">
        <v>45978</v>
      </c>
      <c r="W199" s="283">
        <v>1</v>
      </c>
      <c r="X199" s="8">
        <v>1</v>
      </c>
      <c r="Y199" s="521">
        <v>1</v>
      </c>
      <c r="Z199" s="44" t="s">
        <v>548</v>
      </c>
      <c r="AA199" s="1266" t="s">
        <v>951</v>
      </c>
    </row>
    <row r="200" spans="1:27" ht="39.75" customHeight="1">
      <c r="A200" s="605" t="s">
        <v>952</v>
      </c>
      <c r="B200" s="361" t="s">
        <v>80</v>
      </c>
      <c r="C200" s="363">
        <v>46001</v>
      </c>
      <c r="D200" s="363" t="s">
        <v>108</v>
      </c>
      <c r="E200" s="363">
        <v>45966</v>
      </c>
      <c r="F200" s="361" t="s">
        <v>96</v>
      </c>
      <c r="G200" s="546" t="s">
        <v>953</v>
      </c>
      <c r="H200" s="365">
        <v>88</v>
      </c>
      <c r="I200" s="525" t="s">
        <v>92</v>
      </c>
      <c r="J200" s="365" t="s">
        <v>55</v>
      </c>
      <c r="K200" s="363">
        <v>45967</v>
      </c>
      <c r="L200" s="365" t="s">
        <v>56</v>
      </c>
      <c r="M200" s="790">
        <v>76565.850000000006</v>
      </c>
      <c r="N200" s="421"/>
      <c r="O200" s="365" t="s">
        <v>56</v>
      </c>
      <c r="P200" s="1258" t="s">
        <v>93</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108</v>
      </c>
      <c r="E201" s="363">
        <v>45966</v>
      </c>
      <c r="F201" s="361" t="s">
        <v>82</v>
      </c>
      <c r="G201" s="546" t="s">
        <v>956</v>
      </c>
      <c r="H201" s="365">
        <v>75</v>
      </c>
      <c r="I201" s="525" t="s">
        <v>92</v>
      </c>
      <c r="J201" s="365" t="s">
        <v>55</v>
      </c>
      <c r="K201" s="363">
        <v>45967</v>
      </c>
      <c r="L201" s="365" t="s">
        <v>56</v>
      </c>
      <c r="M201" s="790">
        <v>60620</v>
      </c>
      <c r="N201" s="421"/>
      <c r="O201" s="365" t="s">
        <v>56</v>
      </c>
      <c r="P201" s="1302" t="s">
        <v>93</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2" t="s">
        <v>958</v>
      </c>
      <c r="B202" s="897" t="s">
        <v>80</v>
      </c>
      <c r="C202" s="896">
        <v>46001</v>
      </c>
      <c r="D202" s="896" t="s">
        <v>108</v>
      </c>
      <c r="E202" s="896">
        <v>46009</v>
      </c>
      <c r="F202" s="897" t="s">
        <v>96</v>
      </c>
      <c r="G202" s="897" t="s">
        <v>959</v>
      </c>
      <c r="H202" s="898">
        <v>48</v>
      </c>
      <c r="I202" s="525" t="s">
        <v>92</v>
      </c>
      <c r="J202" s="898" t="s">
        <v>55</v>
      </c>
      <c r="K202" s="896">
        <v>45965</v>
      </c>
      <c r="L202" s="898" t="s">
        <v>56</v>
      </c>
      <c r="M202" s="1093">
        <v>18021.7</v>
      </c>
      <c r="N202" s="899"/>
      <c r="O202" s="898" t="s">
        <v>56</v>
      </c>
      <c r="P202" s="1094" t="s">
        <v>93</v>
      </c>
      <c r="Q202" s="901">
        <v>45965</v>
      </c>
      <c r="R202" s="902">
        <v>1111</v>
      </c>
      <c r="S202" s="1095">
        <v>1188</v>
      </c>
      <c r="T202" s="902">
        <v>0</v>
      </c>
      <c r="U202" s="526">
        <f>IFERROR($S202/$R202, 0)</f>
        <v>1.0693069306930694</v>
      </c>
      <c r="V202" s="912">
        <v>46020</v>
      </c>
      <c r="W202" s="283">
        <v>1</v>
      </c>
      <c r="X202" s="8">
        <v>1</v>
      </c>
      <c r="Y202" s="521">
        <v>1</v>
      </c>
      <c r="Z202" s="44" t="s">
        <v>548</v>
      </c>
      <c r="AA202" s="905" t="s">
        <v>960</v>
      </c>
    </row>
    <row r="203" spans="1:27" ht="39.75" customHeight="1">
      <c r="A203" s="1092" t="s">
        <v>961</v>
      </c>
      <c r="B203" s="897" t="s">
        <v>80</v>
      </c>
      <c r="C203" s="896">
        <v>46001</v>
      </c>
      <c r="D203" s="896" t="s">
        <v>108</v>
      </c>
      <c r="E203" s="896">
        <v>46009</v>
      </c>
      <c r="F203" s="897" t="s">
        <v>96</v>
      </c>
      <c r="G203" s="897" t="s">
        <v>962</v>
      </c>
      <c r="H203" s="898">
        <v>56</v>
      </c>
      <c r="I203" s="525" t="s">
        <v>92</v>
      </c>
      <c r="J203" s="898" t="s">
        <v>55</v>
      </c>
      <c r="K203" s="896">
        <v>45965</v>
      </c>
      <c r="L203" s="898" t="s">
        <v>56</v>
      </c>
      <c r="M203" s="1093">
        <v>20705</v>
      </c>
      <c r="N203" s="899"/>
      <c r="O203" s="898" t="s">
        <v>56</v>
      </c>
      <c r="P203" s="1094" t="s">
        <v>93</v>
      </c>
      <c r="Q203" s="901">
        <v>45965</v>
      </c>
      <c r="R203" s="902">
        <v>900</v>
      </c>
      <c r="S203" s="1095">
        <v>900</v>
      </c>
      <c r="T203" s="902">
        <f>SUM(R203-S203)</f>
        <v>0</v>
      </c>
      <c r="U203" s="526">
        <f>IFERROR($S203/$R203, 0)</f>
        <v>1</v>
      </c>
      <c r="V203" s="912">
        <v>46020</v>
      </c>
      <c r="W203" s="904">
        <v>1</v>
      </c>
      <c r="X203" s="8">
        <v>1</v>
      </c>
      <c r="Y203" s="521">
        <v>1</v>
      </c>
      <c r="Z203" s="44" t="s">
        <v>548</v>
      </c>
      <c r="AA203" s="905" t="s">
        <v>963</v>
      </c>
    </row>
    <row r="204" spans="1:27" ht="39.75" customHeight="1">
      <c r="A204" s="300" t="s">
        <v>964</v>
      </c>
      <c r="B204" s="533" t="s">
        <v>80</v>
      </c>
      <c r="C204" s="20">
        <v>45930</v>
      </c>
      <c r="D204" s="522" t="s">
        <v>131</v>
      </c>
      <c r="E204" s="20">
        <v>45902</v>
      </c>
      <c r="F204" s="19" t="s">
        <v>96</v>
      </c>
      <c r="G204" s="19"/>
      <c r="H204" s="21">
        <v>0</v>
      </c>
      <c r="I204" s="21" t="s">
        <v>92</v>
      </c>
      <c r="J204" s="21" t="s">
        <v>55</v>
      </c>
      <c r="K204" s="302">
        <v>45902</v>
      </c>
      <c r="L204" s="303" t="s">
        <v>56</v>
      </c>
      <c r="M204" s="349">
        <v>12695</v>
      </c>
      <c r="N204" s="599"/>
      <c r="O204" s="303" t="s">
        <v>56</v>
      </c>
      <c r="P204" s="603" t="s">
        <v>93</v>
      </c>
      <c r="Q204" s="61">
        <v>45902</v>
      </c>
      <c r="R204" s="815">
        <v>1010</v>
      </c>
      <c r="S204" s="816">
        <v>978</v>
      </c>
      <c r="T204" s="46">
        <v>0</v>
      </c>
      <c r="U204" s="521">
        <v>0.97</v>
      </c>
      <c r="V204" s="708">
        <v>45911</v>
      </c>
      <c r="W204" s="474">
        <v>1</v>
      </c>
      <c r="X204" s="1287">
        <v>1</v>
      </c>
      <c r="Y204" s="1289">
        <v>1</v>
      </c>
      <c r="Z204" s="103">
        <v>45972</v>
      </c>
      <c r="AA204" s="678" t="s">
        <v>965</v>
      </c>
    </row>
    <row r="205" spans="1:27" ht="39.75" customHeight="1">
      <c r="A205" s="618" t="s">
        <v>593</v>
      </c>
      <c r="B205" s="877" t="s">
        <v>80</v>
      </c>
      <c r="C205" s="751">
        <v>45838</v>
      </c>
      <c r="D205" s="878" t="s">
        <v>108</v>
      </c>
      <c r="E205" s="751">
        <v>45817</v>
      </c>
      <c r="F205" s="878" t="s">
        <v>96</v>
      </c>
      <c r="G205" s="883" t="s">
        <v>966</v>
      </c>
      <c r="H205" s="762">
        <v>0</v>
      </c>
      <c r="I205" s="814" t="s">
        <v>92</v>
      </c>
      <c r="J205" s="762" t="s">
        <v>55</v>
      </c>
      <c r="K205" s="884">
        <v>45821</v>
      </c>
      <c r="L205" s="814" t="s">
        <v>56</v>
      </c>
      <c r="M205" s="763">
        <v>23436.55</v>
      </c>
      <c r="N205" s="599"/>
      <c r="O205" s="814" t="s">
        <v>56</v>
      </c>
      <c r="P205" s="620" t="s">
        <v>93</v>
      </c>
      <c r="Q205" s="471">
        <v>45817</v>
      </c>
      <c r="R205" s="473">
        <v>1769</v>
      </c>
      <c r="S205" s="881">
        <v>1044</v>
      </c>
      <c r="T205" s="520">
        <v>0</v>
      </c>
      <c r="U205" s="706">
        <f>IFERROR(Table5[[#This Row],[Actual Redline Completed Footage UG]]/Table5[[#This Row],[Footage UG]], 0)</f>
        <v>0.5901639344262295</v>
      </c>
      <c r="V205" s="708">
        <v>45831</v>
      </c>
      <c r="W205" s="474">
        <v>1</v>
      </c>
      <c r="X205" s="8">
        <v>1</v>
      </c>
      <c r="Y205" s="8">
        <v>1</v>
      </c>
      <c r="Z205" s="22">
        <v>45897</v>
      </c>
      <c r="AA205" s="1288" t="s">
        <v>967</v>
      </c>
    </row>
    <row r="206" spans="1:27" ht="39.75" customHeight="1">
      <c r="A206" s="605" t="s">
        <v>968</v>
      </c>
      <c r="B206" s="545" t="s">
        <v>80</v>
      </c>
      <c r="C206" s="371">
        <v>45991</v>
      </c>
      <c r="D206" s="361" t="s">
        <v>969</v>
      </c>
      <c r="E206" s="363">
        <v>45936</v>
      </c>
      <c r="F206" s="361" t="s">
        <v>96</v>
      </c>
      <c r="G206" s="546"/>
      <c r="H206" s="365">
        <v>0</v>
      </c>
      <c r="I206" s="365" t="s">
        <v>92</v>
      </c>
      <c r="J206" s="365" t="s">
        <v>55</v>
      </c>
      <c r="K206" s="363" t="s">
        <v>110</v>
      </c>
      <c r="L206" s="365" t="s">
        <v>56</v>
      </c>
      <c r="M206" s="880">
        <v>74164.05</v>
      </c>
      <c r="N206" s="599"/>
      <c r="O206" s="365" t="s">
        <v>56</v>
      </c>
      <c r="P206" s="1258" t="s">
        <v>93</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5" t="s">
        <v>970</v>
      </c>
    </row>
    <row r="207" spans="1:27" ht="39.75" customHeight="1">
      <c r="A207" s="605" t="s">
        <v>971</v>
      </c>
      <c r="B207" s="545" t="s">
        <v>80</v>
      </c>
      <c r="C207" s="371">
        <v>45991</v>
      </c>
      <c r="D207" s="363" t="s">
        <v>81</v>
      </c>
      <c r="E207" s="363">
        <v>45961</v>
      </c>
      <c r="F207" s="361" t="s">
        <v>96</v>
      </c>
      <c r="G207" s="546"/>
      <c r="H207" s="365">
        <v>0</v>
      </c>
      <c r="I207" s="365" t="s">
        <v>92</v>
      </c>
      <c r="J207" s="365" t="s">
        <v>55</v>
      </c>
      <c r="K207" s="363" t="s">
        <v>110</v>
      </c>
      <c r="L207" s="365" t="s">
        <v>56</v>
      </c>
      <c r="M207" s="790">
        <v>39221.800000000003</v>
      </c>
      <c r="N207" s="1267"/>
      <c r="O207" s="1048" t="s">
        <v>56</v>
      </c>
      <c r="P207" s="1303" t="s">
        <v>93</v>
      </c>
      <c r="Q207" s="1046">
        <v>45950</v>
      </c>
      <c r="R207" s="638">
        <v>3078</v>
      </c>
      <c r="S207" s="1142">
        <v>3272</v>
      </c>
      <c r="T207" s="368">
        <v>0</v>
      </c>
      <c r="U207" s="526">
        <f>IFERROR($S207/$R207, 0)</f>
        <v>1.0630279402209226</v>
      </c>
      <c r="V207" s="374">
        <v>45966</v>
      </c>
      <c r="W207" s="283">
        <v>1</v>
      </c>
      <c r="X207" s="8">
        <v>1</v>
      </c>
      <c r="Y207" s="8">
        <v>1</v>
      </c>
      <c r="Z207" s="39" t="s">
        <v>548</v>
      </c>
      <c r="AA207" s="1296" t="s">
        <v>972</v>
      </c>
    </row>
    <row r="208" spans="1:27" ht="39.75" customHeight="1">
      <c r="A208" s="618" t="s">
        <v>973</v>
      </c>
      <c r="B208" s="811" t="s">
        <v>80</v>
      </c>
      <c r="C208" s="768">
        <v>45899</v>
      </c>
      <c r="D208" s="751" t="s">
        <v>131</v>
      </c>
      <c r="E208" s="751">
        <v>45876</v>
      </c>
      <c r="F208" s="751" t="s">
        <v>96</v>
      </c>
      <c r="G208" s="813" t="s">
        <v>974</v>
      </c>
      <c r="H208" s="762">
        <v>0</v>
      </c>
      <c r="I208" s="814" t="s">
        <v>92</v>
      </c>
      <c r="J208" s="762" t="s">
        <v>55</v>
      </c>
      <c r="K208" s="751">
        <v>45876</v>
      </c>
      <c r="L208" s="762" t="s">
        <v>56</v>
      </c>
      <c r="M208" s="763">
        <v>1462.85</v>
      </c>
      <c r="N208" s="43"/>
      <c r="O208" s="762" t="s">
        <v>56</v>
      </c>
      <c r="P208" s="620" t="s">
        <v>93</v>
      </c>
      <c r="Q208" s="275">
        <v>45876</v>
      </c>
      <c r="R208" s="770">
        <v>116</v>
      </c>
      <c r="S208" s="720">
        <v>130</v>
      </c>
      <c r="T208" s="5">
        <v>0</v>
      </c>
      <c r="U208" s="706">
        <f>IFERROR(Table5[[#This Row],[Actual Redline Completed Footage UG]]/Table5[[#This Row],[Footage UG]], 0)</f>
        <v>1.1206896551724137</v>
      </c>
      <c r="V208" s="708">
        <v>45896</v>
      </c>
      <c r="W208" s="769">
        <v>1</v>
      </c>
      <c r="X208" s="1240">
        <v>1</v>
      </c>
      <c r="Y208" s="1240">
        <v>1</v>
      </c>
      <c r="Z208" s="1046">
        <v>45926</v>
      </c>
      <c r="AA208" s="1097" t="s">
        <v>975</v>
      </c>
    </row>
    <row r="209" spans="1:27" ht="39.75" customHeight="1">
      <c r="A209" s="1248" t="s">
        <v>976</v>
      </c>
      <c r="B209" s="1053" t="s">
        <v>80</v>
      </c>
      <c r="C209" s="1000">
        <v>45959</v>
      </c>
      <c r="D209" s="1000" t="s">
        <v>108</v>
      </c>
      <c r="E209" s="1000">
        <v>45961</v>
      </c>
      <c r="F209" s="1053" t="s">
        <v>82</v>
      </c>
      <c r="G209" s="897"/>
      <c r="H209" s="1366">
        <v>0</v>
      </c>
      <c r="I209" s="525" t="s">
        <v>92</v>
      </c>
      <c r="J209" s="1366" t="s">
        <v>55</v>
      </c>
      <c r="K209" s="1000" t="s">
        <v>110</v>
      </c>
      <c r="L209" s="1366" t="s">
        <v>56</v>
      </c>
      <c r="M209" s="1389">
        <v>15670.45</v>
      </c>
      <c r="N209" s="43"/>
      <c r="O209" s="1366" t="s">
        <v>56</v>
      </c>
      <c r="P209" s="1390" t="s">
        <v>93</v>
      </c>
      <c r="Q209" s="1368">
        <v>46031</v>
      </c>
      <c r="R209" s="638">
        <v>1202</v>
      </c>
      <c r="S209" s="1095">
        <v>1208</v>
      </c>
      <c r="T209" s="5">
        <v>0</v>
      </c>
      <c r="U209" s="521">
        <f>IFERROR(Table5[[#This Row],[Actual Redline Completed Footage UG]]/Table5[[#This Row],[Footage UG]], 0)</f>
        <v>1.0049916805324459</v>
      </c>
      <c r="V209" s="912">
        <v>46035</v>
      </c>
      <c r="W209" s="283">
        <v>1</v>
      </c>
      <c r="X209" s="769">
        <v>1</v>
      </c>
      <c r="Y209" s="769">
        <v>1</v>
      </c>
      <c r="Z209" s="1239" t="s">
        <v>548</v>
      </c>
      <c r="AA209" s="1083" t="s">
        <v>977</v>
      </c>
    </row>
    <row r="210" spans="1:27" ht="39.75" customHeight="1">
      <c r="A210" s="1298" t="s">
        <v>978</v>
      </c>
      <c r="B210" s="545" t="s">
        <v>80</v>
      </c>
      <c r="C210" s="363">
        <v>45975</v>
      </c>
      <c r="D210" s="363" t="s">
        <v>979</v>
      </c>
      <c r="E210" s="363">
        <v>45982</v>
      </c>
      <c r="F210" s="510" t="s">
        <v>96</v>
      </c>
      <c r="G210" s="546" t="s">
        <v>980</v>
      </c>
      <c r="H210" s="365">
        <v>0</v>
      </c>
      <c r="I210" s="365" t="s">
        <v>92</v>
      </c>
      <c r="J210" s="365" t="s">
        <v>55</v>
      </c>
      <c r="K210" s="363">
        <v>45968</v>
      </c>
      <c r="L210" s="365" t="s">
        <v>56</v>
      </c>
      <c r="M210" s="790">
        <v>12840.7</v>
      </c>
      <c r="N210" s="421"/>
      <c r="O210" s="365" t="s">
        <v>56</v>
      </c>
      <c r="P210" s="607" t="s">
        <v>93</v>
      </c>
      <c r="Q210" s="61">
        <v>45937</v>
      </c>
      <c r="R210" s="815">
        <v>911</v>
      </c>
      <c r="S210" s="388">
        <v>974</v>
      </c>
      <c r="T210" s="46">
        <v>0</v>
      </c>
      <c r="U210" s="1015">
        <f>IFERROR($S210/$R210, 0)</f>
        <v>1.0691547749725576</v>
      </c>
      <c r="V210" s="374">
        <v>45985</v>
      </c>
      <c r="W210" s="283">
        <v>1</v>
      </c>
      <c r="X210" s="283">
        <v>1</v>
      </c>
      <c r="Y210" s="769">
        <v>1</v>
      </c>
      <c r="Z210" s="39" t="s">
        <v>548</v>
      </c>
      <c r="AA210" s="817"/>
    </row>
    <row r="211" spans="1:27" ht="39.75" customHeight="1">
      <c r="A211" s="1092" t="s">
        <v>981</v>
      </c>
      <c r="B211" s="897" t="s">
        <v>80</v>
      </c>
      <c r="C211" s="896">
        <v>45675</v>
      </c>
      <c r="D211" s="896" t="s">
        <v>108</v>
      </c>
      <c r="E211" s="896">
        <v>46006</v>
      </c>
      <c r="F211" s="897" t="s">
        <v>82</v>
      </c>
      <c r="G211" s="897"/>
      <c r="H211" s="898">
        <v>0</v>
      </c>
      <c r="I211" s="898" t="s">
        <v>92</v>
      </c>
      <c r="J211" s="898" t="s">
        <v>55</v>
      </c>
      <c r="K211" s="896">
        <v>46006</v>
      </c>
      <c r="L211" s="898" t="s">
        <v>56</v>
      </c>
      <c r="M211" s="1093">
        <v>45512.75</v>
      </c>
      <c r="N211" s="43"/>
      <c r="O211" s="898" t="s">
        <v>56</v>
      </c>
      <c r="P211" s="1094" t="s">
        <v>93</v>
      </c>
      <c r="Q211" s="901">
        <v>46006</v>
      </c>
      <c r="R211" s="638">
        <v>3675</v>
      </c>
      <c r="S211" s="1142">
        <v>3820</v>
      </c>
      <c r="T211" s="5">
        <v>0</v>
      </c>
      <c r="U211" s="521">
        <f>IFERROR(Table5[[#This Row],[Actual Redline Completed Footage UG]]/Table5[[#This Row],[Footage UG]], 0)</f>
        <v>1.0394557823129251</v>
      </c>
      <c r="V211" s="912">
        <v>46027</v>
      </c>
      <c r="W211" s="283">
        <v>1</v>
      </c>
      <c r="X211" s="769">
        <v>1</v>
      </c>
      <c r="Y211" s="526">
        <v>1</v>
      </c>
      <c r="Z211" s="855" t="s">
        <v>548</v>
      </c>
      <c r="AA211" s="1249" t="s">
        <v>982</v>
      </c>
    </row>
    <row r="212" spans="1:27" ht="39.75" customHeight="1">
      <c r="A212" s="621" t="s">
        <v>576</v>
      </c>
      <c r="B212" s="717" t="s">
        <v>80</v>
      </c>
      <c r="C212" s="25">
        <v>45899</v>
      </c>
      <c r="D212" s="714" t="s">
        <v>108</v>
      </c>
      <c r="E212" s="714">
        <v>45882</v>
      </c>
      <c r="F212" s="805" t="s">
        <v>113</v>
      </c>
      <c r="G212" s="810" t="s">
        <v>577</v>
      </c>
      <c r="H212" s="642">
        <v>0</v>
      </c>
      <c r="I212" s="651" t="s">
        <v>92</v>
      </c>
      <c r="J212" s="642" t="s">
        <v>55</v>
      </c>
      <c r="K212" s="302">
        <v>45882</v>
      </c>
      <c r="L212" s="303" t="s">
        <v>56</v>
      </c>
      <c r="M212" s="1325">
        <v>13056.5</v>
      </c>
      <c r="N212" s="636"/>
      <c r="O212" s="303" t="s">
        <v>56</v>
      </c>
      <c r="P212" s="462" t="s">
        <v>93</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0" t="s">
        <v>578</v>
      </c>
    </row>
    <row r="213" spans="1:27" ht="39.75" customHeight="1">
      <c r="A213" s="621" t="s">
        <v>983</v>
      </c>
      <c r="B213" s="717" t="s">
        <v>80</v>
      </c>
      <c r="C213" s="25">
        <v>45868</v>
      </c>
      <c r="D213" s="624" t="s">
        <v>131</v>
      </c>
      <c r="E213" s="714">
        <v>45853</v>
      </c>
      <c r="F213" s="804" t="s">
        <v>96</v>
      </c>
      <c r="G213" s="812" t="s">
        <v>984</v>
      </c>
      <c r="H213" s="642">
        <v>0</v>
      </c>
      <c r="I213" s="642" t="s">
        <v>92</v>
      </c>
      <c r="J213" s="642" t="s">
        <v>55</v>
      </c>
      <c r="K213" s="363">
        <v>45853</v>
      </c>
      <c r="L213" s="365" t="s">
        <v>56</v>
      </c>
      <c r="M213" s="349">
        <v>68216.5</v>
      </c>
      <c r="N213" s="599"/>
      <c r="O213" s="856" t="s">
        <v>56</v>
      </c>
      <c r="P213" s="607" t="s">
        <v>93</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1" t="s">
        <v>985</v>
      </c>
    </row>
    <row r="214" spans="1:27" ht="39.75" customHeight="1">
      <c r="A214" s="1092" t="s">
        <v>986</v>
      </c>
      <c r="B214" s="897" t="s">
        <v>80</v>
      </c>
      <c r="C214" s="896">
        <v>46031</v>
      </c>
      <c r="D214" s="896" t="s">
        <v>108</v>
      </c>
      <c r="E214" s="896">
        <v>46002</v>
      </c>
      <c r="F214" s="897" t="s">
        <v>82</v>
      </c>
      <c r="G214" s="897" t="s">
        <v>987</v>
      </c>
      <c r="H214" s="898">
        <v>0</v>
      </c>
      <c r="I214" s="898" t="s">
        <v>92</v>
      </c>
      <c r="J214" s="898" t="s">
        <v>55</v>
      </c>
      <c r="K214" s="896" t="s">
        <v>110</v>
      </c>
      <c r="L214" s="898" t="s">
        <v>56</v>
      </c>
      <c r="M214" s="1322">
        <v>23475.5</v>
      </c>
      <c r="N214" s="1028"/>
      <c r="O214" s="950" t="s">
        <v>56</v>
      </c>
      <c r="P214" s="1304" t="s">
        <v>93</v>
      </c>
      <c r="Q214" s="934">
        <v>45999</v>
      </c>
      <c r="R214" s="1047">
        <v>1890</v>
      </c>
      <c r="S214" s="1151">
        <v>2048</v>
      </c>
      <c r="T214" s="944">
        <v>0</v>
      </c>
      <c r="U214" s="1015">
        <f>IFERROR($S214/$R214, 0)</f>
        <v>1.0835978835978837</v>
      </c>
      <c r="V214" s="912">
        <v>46009</v>
      </c>
      <c r="W214" s="904">
        <v>1</v>
      </c>
      <c r="X214" s="283">
        <v>1</v>
      </c>
      <c r="Y214" s="1240">
        <v>1</v>
      </c>
      <c r="Z214" s="39" t="s">
        <v>548</v>
      </c>
      <c r="AA214" s="1292" t="s">
        <v>988</v>
      </c>
    </row>
    <row r="215" spans="1:27" ht="39.75" customHeight="1">
      <c r="A215" s="1092" t="s">
        <v>989</v>
      </c>
      <c r="B215" s="897" t="s">
        <v>80</v>
      </c>
      <c r="C215" s="896">
        <v>46003</v>
      </c>
      <c r="D215" s="896" t="s">
        <v>108</v>
      </c>
      <c r="E215" s="896">
        <v>46002</v>
      </c>
      <c r="F215" s="897" t="s">
        <v>82</v>
      </c>
      <c r="G215" s="897"/>
      <c r="H215" s="898">
        <v>0</v>
      </c>
      <c r="I215" s="898" t="s">
        <v>92</v>
      </c>
      <c r="J215" s="898" t="s">
        <v>55</v>
      </c>
      <c r="K215" s="896" t="s">
        <v>110</v>
      </c>
      <c r="L215" s="898" t="s">
        <v>56</v>
      </c>
      <c r="M215" s="1322">
        <v>11500.3</v>
      </c>
      <c r="N215" s="1028"/>
      <c r="O215" s="950" t="s">
        <v>56</v>
      </c>
      <c r="P215" s="1304" t="s">
        <v>93</v>
      </c>
      <c r="Q215" s="934">
        <v>45994</v>
      </c>
      <c r="R215" s="863">
        <v>908</v>
      </c>
      <c r="S215" s="1306">
        <v>925</v>
      </c>
      <c r="T215" s="1016">
        <v>0</v>
      </c>
      <c r="U215" s="526">
        <f>IFERROR($S215/$R215, 0)</f>
        <v>1.0187224669603525</v>
      </c>
      <c r="V215" s="912">
        <v>46013</v>
      </c>
      <c r="W215" s="904">
        <v>1</v>
      </c>
      <c r="X215" s="283">
        <v>1</v>
      </c>
      <c r="Y215" s="769">
        <v>1</v>
      </c>
      <c r="Z215" s="39" t="s">
        <v>548</v>
      </c>
      <c r="AA215" s="1292" t="s">
        <v>990</v>
      </c>
    </row>
    <row r="216" spans="1:27" ht="39.75" customHeight="1">
      <c r="A216" s="605" t="s">
        <v>991</v>
      </c>
      <c r="B216" s="361" t="s">
        <v>80</v>
      </c>
      <c r="C216" s="371">
        <v>45991</v>
      </c>
      <c r="D216" s="363" t="s">
        <v>81</v>
      </c>
      <c r="E216" s="363">
        <v>45953</v>
      </c>
      <c r="F216" s="361" t="s">
        <v>82</v>
      </c>
      <c r="G216" s="546" t="s">
        <v>992</v>
      </c>
      <c r="H216" s="365">
        <v>0</v>
      </c>
      <c r="I216" s="365" t="s">
        <v>92</v>
      </c>
      <c r="J216" s="365" t="s">
        <v>55</v>
      </c>
      <c r="K216" s="363" t="s">
        <v>110</v>
      </c>
      <c r="L216" s="365" t="s">
        <v>56</v>
      </c>
      <c r="M216" s="349">
        <v>51970</v>
      </c>
      <c r="N216" s="1323"/>
      <c r="O216" s="44" t="s">
        <v>56</v>
      </c>
      <c r="P216" s="1305" t="s">
        <v>93</v>
      </c>
      <c r="Q216" s="61">
        <v>45953</v>
      </c>
      <c r="R216" s="764">
        <v>4544</v>
      </c>
      <c r="S216" s="765">
        <v>4569</v>
      </c>
      <c r="T216" s="368">
        <v>0</v>
      </c>
      <c r="U216" s="526">
        <f>IFERROR($S216/$R216, 0)</f>
        <v>1.0055017605633803</v>
      </c>
      <c r="V216" s="374">
        <v>45960</v>
      </c>
      <c r="W216" s="283">
        <v>1</v>
      </c>
      <c r="X216" s="283">
        <v>1</v>
      </c>
      <c r="Y216" s="769">
        <v>1</v>
      </c>
      <c r="Z216" s="39" t="s">
        <v>548</v>
      </c>
      <c r="AA216" s="1293" t="s">
        <v>993</v>
      </c>
    </row>
    <row r="217" spans="1:27" ht="39.75" customHeight="1">
      <c r="A217" s="605" t="s">
        <v>994</v>
      </c>
      <c r="B217" s="361" t="s">
        <v>80</v>
      </c>
      <c r="C217" s="371">
        <v>45960</v>
      </c>
      <c r="D217" s="363" t="s">
        <v>995</v>
      </c>
      <c r="E217" s="363">
        <v>45939</v>
      </c>
      <c r="F217" s="361" t="s">
        <v>113</v>
      </c>
      <c r="G217" s="546"/>
      <c r="H217" s="365">
        <v>385</v>
      </c>
      <c r="I217" s="525" t="s">
        <v>92</v>
      </c>
      <c r="J217" s="365" t="s">
        <v>67</v>
      </c>
      <c r="K217" s="363">
        <v>45937</v>
      </c>
      <c r="L217" s="365" t="s">
        <v>56</v>
      </c>
      <c r="M217" s="1312">
        <v>210533.1</v>
      </c>
      <c r="N217" s="1326"/>
      <c r="O217" s="365" t="s">
        <v>56</v>
      </c>
      <c r="P217" s="607" t="s">
        <v>93</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5" t="s">
        <v>548</v>
      </c>
      <c r="AA217" s="1080" t="s">
        <v>996</v>
      </c>
    </row>
    <row r="218" spans="1:27" ht="39.75" customHeight="1">
      <c r="A218" s="1092" t="s">
        <v>997</v>
      </c>
      <c r="B218" s="545" t="s">
        <v>80</v>
      </c>
      <c r="C218" s="896">
        <v>46020</v>
      </c>
      <c r="D218" s="896" t="s">
        <v>998</v>
      </c>
      <c r="E218" s="896">
        <v>45978</v>
      </c>
      <c r="F218" s="897" t="s">
        <v>82</v>
      </c>
      <c r="G218" s="897" t="s">
        <v>999</v>
      </c>
      <c r="H218" s="898">
        <v>197</v>
      </c>
      <c r="I218" s="525" t="s">
        <v>92</v>
      </c>
      <c r="J218" s="898" t="s">
        <v>67</v>
      </c>
      <c r="K218" s="896">
        <v>45978</v>
      </c>
      <c r="L218" s="898" t="s">
        <v>56</v>
      </c>
      <c r="M218" s="1269">
        <v>87807.5</v>
      </c>
      <c r="N218" s="599"/>
      <c r="O218" s="898" t="s">
        <v>56</v>
      </c>
      <c r="P218" s="1270" t="s">
        <v>93</v>
      </c>
      <c r="Q218" s="934">
        <v>45978</v>
      </c>
      <c r="R218" s="638">
        <v>10187</v>
      </c>
      <c r="S218" s="1142">
        <v>8303</v>
      </c>
      <c r="T218" s="6">
        <v>0</v>
      </c>
      <c r="U218" s="521">
        <f>IFERROR(Table5[[#This Row],[Actual Redline Completed Footage UG]]/Table5[[#This Row],[Footage UG]], 0)</f>
        <v>0.81505840777461469</v>
      </c>
      <c r="V218" s="1042">
        <v>45985</v>
      </c>
      <c r="W218" s="904">
        <v>1</v>
      </c>
      <c r="X218" s="283">
        <v>1</v>
      </c>
      <c r="Y218" s="369">
        <v>1</v>
      </c>
      <c r="Z218" s="379" t="s">
        <v>548</v>
      </c>
      <c r="AA218" s="1083" t="s">
        <v>1000</v>
      </c>
    </row>
    <row r="219" spans="1:27" ht="39.75" customHeight="1">
      <c r="A219" s="605" t="s">
        <v>1001</v>
      </c>
      <c r="B219" s="361" t="s">
        <v>80</v>
      </c>
      <c r="C219" s="363">
        <v>45996</v>
      </c>
      <c r="D219" s="363" t="s">
        <v>995</v>
      </c>
      <c r="E219" s="363">
        <v>45958</v>
      </c>
      <c r="F219" s="361" t="s">
        <v>82</v>
      </c>
      <c r="G219" s="546" t="s">
        <v>1002</v>
      </c>
      <c r="H219" s="365">
        <v>303</v>
      </c>
      <c r="I219" s="525" t="s">
        <v>92</v>
      </c>
      <c r="J219" s="365" t="s">
        <v>67</v>
      </c>
      <c r="K219" s="363">
        <v>45953</v>
      </c>
      <c r="L219" s="365" t="s">
        <v>56</v>
      </c>
      <c r="M219" s="790">
        <v>168480.8</v>
      </c>
      <c r="N219" s="421"/>
      <c r="O219" s="365" t="s">
        <v>56</v>
      </c>
      <c r="P219" s="607" t="s">
        <v>93</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92</v>
      </c>
      <c r="J220" s="365" t="s">
        <v>67</v>
      </c>
      <c r="K220" s="363">
        <v>45905</v>
      </c>
      <c r="L220" s="365" t="s">
        <v>56</v>
      </c>
      <c r="M220" s="790">
        <v>145985.5</v>
      </c>
      <c r="N220" s="599"/>
      <c r="O220" s="365" t="s">
        <v>56</v>
      </c>
      <c r="P220" s="1258" t="s">
        <v>93</v>
      </c>
      <c r="Q220" s="61">
        <v>45906</v>
      </c>
      <c r="R220" s="1271">
        <v>14150</v>
      </c>
      <c r="S220" s="1142">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96</v>
      </c>
      <c r="G221" s="546"/>
      <c r="H221" s="365">
        <v>84</v>
      </c>
      <c r="I221" s="525" t="s">
        <v>92</v>
      </c>
      <c r="J221" s="365" t="s">
        <v>67</v>
      </c>
      <c r="K221" s="361" t="s">
        <v>93</v>
      </c>
      <c r="L221" s="365" t="s">
        <v>56</v>
      </c>
      <c r="M221" s="790">
        <v>30892</v>
      </c>
      <c r="N221" s="421"/>
      <c r="O221" s="365" t="s">
        <v>56</v>
      </c>
      <c r="P221" s="607" t="s">
        <v>93</v>
      </c>
      <c r="Q221" s="367">
        <v>45911</v>
      </c>
      <c r="R221" s="638">
        <v>2811</v>
      </c>
      <c r="S221" s="1142">
        <v>2732</v>
      </c>
      <c r="T221" s="46">
        <v>0</v>
      </c>
      <c r="U221" s="521">
        <f>IFERROR($S221/$R221, 0)</f>
        <v>0.97189612237637857</v>
      </c>
      <c r="V221" s="22">
        <v>45922</v>
      </c>
      <c r="W221" s="1054">
        <v>1</v>
      </c>
      <c r="X221" s="283">
        <v>1</v>
      </c>
      <c r="Y221" s="369">
        <v>1</v>
      </c>
      <c r="Z221" s="379" t="s">
        <v>548</v>
      </c>
      <c r="AA221" s="528" t="s">
        <v>1010</v>
      </c>
    </row>
    <row r="222" spans="1:27" ht="39.75" customHeight="1">
      <c r="A222" s="1298" t="s">
        <v>1011</v>
      </c>
      <c r="B222" s="361" t="s">
        <v>80</v>
      </c>
      <c r="C222" s="363">
        <v>46017</v>
      </c>
      <c r="D222" s="363" t="s">
        <v>998</v>
      </c>
      <c r="E222" s="363">
        <v>45936</v>
      </c>
      <c r="F222" s="361" t="s">
        <v>96</v>
      </c>
      <c r="G222" s="546"/>
      <c r="H222" s="365">
        <v>157</v>
      </c>
      <c r="I222" s="525" t="s">
        <v>92</v>
      </c>
      <c r="J222" s="365" t="s">
        <v>67</v>
      </c>
      <c r="K222" s="363">
        <v>45943</v>
      </c>
      <c r="L222" s="365" t="s">
        <v>56</v>
      </c>
      <c r="M222" s="790">
        <v>64059.5</v>
      </c>
      <c r="N222" s="421"/>
      <c r="O222" s="365" t="s">
        <v>56</v>
      </c>
      <c r="P222" s="800" t="s">
        <v>93</v>
      </c>
      <c r="Q222" s="367">
        <v>45943</v>
      </c>
      <c r="R222" s="368">
        <v>4725</v>
      </c>
      <c r="S222" s="1142">
        <v>4535</v>
      </c>
      <c r="T222" s="46">
        <v>0</v>
      </c>
      <c r="U222" s="521">
        <v>0.96</v>
      </c>
      <c r="V222" s="22">
        <v>45971</v>
      </c>
      <c r="W222" s="1054">
        <v>1</v>
      </c>
      <c r="X222" s="283">
        <v>1</v>
      </c>
      <c r="Y222" s="369">
        <v>1</v>
      </c>
      <c r="Z222" s="379" t="s">
        <v>548</v>
      </c>
      <c r="AA222" s="528"/>
    </row>
    <row r="223" spans="1:27" ht="39.75" customHeight="1">
      <c r="A223" s="621" t="s">
        <v>1012</v>
      </c>
      <c r="B223" s="624" t="s">
        <v>80</v>
      </c>
      <c r="C223" s="25">
        <v>45930</v>
      </c>
      <c r="D223" s="25" t="s">
        <v>108</v>
      </c>
      <c r="E223" s="25">
        <v>45874</v>
      </c>
      <c r="F223" s="625" t="s">
        <v>113</v>
      </c>
      <c r="G223" s="627"/>
      <c r="H223" s="628">
        <v>208</v>
      </c>
      <c r="I223" s="633" t="s">
        <v>92</v>
      </c>
      <c r="J223" s="628" t="s">
        <v>67</v>
      </c>
      <c r="K223" s="363">
        <v>45876</v>
      </c>
      <c r="L223" s="365" t="s">
        <v>56</v>
      </c>
      <c r="M223" s="790">
        <v>124980</v>
      </c>
      <c r="N223" s="636"/>
      <c r="O223" s="365" t="s">
        <v>56</v>
      </c>
      <c r="P223" s="1141" t="s">
        <v>93</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2" t="s">
        <v>1014</v>
      </c>
      <c r="B224" s="545" t="s">
        <v>80</v>
      </c>
      <c r="C224" s="896">
        <v>46015</v>
      </c>
      <c r="D224" s="896" t="s">
        <v>81</v>
      </c>
      <c r="E224" s="896">
        <v>45965</v>
      </c>
      <c r="F224" s="897" t="s">
        <v>96</v>
      </c>
      <c r="G224" s="897" t="s">
        <v>1015</v>
      </c>
      <c r="H224" s="898">
        <v>0</v>
      </c>
      <c r="I224" s="525" t="s">
        <v>92</v>
      </c>
      <c r="J224" s="898" t="s">
        <v>55</v>
      </c>
      <c r="K224" s="896" t="s">
        <v>345</v>
      </c>
      <c r="L224" s="898" t="s">
        <v>56</v>
      </c>
      <c r="M224" s="1093">
        <v>4773.8</v>
      </c>
      <c r="N224" s="43"/>
      <c r="O224" s="898" t="s">
        <v>56</v>
      </c>
      <c r="P224" s="1094" t="s">
        <v>93</v>
      </c>
      <c r="Q224" s="901" t="s">
        <v>67</v>
      </c>
      <c r="R224" s="638">
        <v>103</v>
      </c>
      <c r="S224" s="1142">
        <v>82</v>
      </c>
      <c r="T224" s="5">
        <v>0</v>
      </c>
      <c r="U224" s="4">
        <f>IFERROR(Table5[[#This Row],[Actual Redline Completed Footage UG]]/Table5[[#This Row],[Footage UG]], 0)</f>
        <v>0.79611650485436891</v>
      </c>
      <c r="V224" s="912">
        <v>45985</v>
      </c>
      <c r="W224" s="904">
        <v>0</v>
      </c>
      <c r="X224" s="904">
        <v>0</v>
      </c>
      <c r="Y224" s="902">
        <v>0</v>
      </c>
      <c r="Z224" s="379" t="s">
        <v>548</v>
      </c>
      <c r="AA224" s="905" t="s">
        <v>1016</v>
      </c>
    </row>
    <row r="225" spans="1:30" ht="39.75" customHeight="1">
      <c r="A225" s="1300" t="s">
        <v>1017</v>
      </c>
      <c r="B225" s="662" t="s">
        <v>50</v>
      </c>
      <c r="C225" s="665">
        <v>45716</v>
      </c>
      <c r="D225" s="665" t="s">
        <v>131</v>
      </c>
      <c r="E225" s="665">
        <v>45701</v>
      </c>
      <c r="F225" s="370" t="s">
        <v>52</v>
      </c>
      <c r="G225" s="683" t="s">
        <v>449</v>
      </c>
      <c r="H225" s="667">
        <v>0</v>
      </c>
      <c r="I225" s="667" t="s">
        <v>93</v>
      </c>
      <c r="J225" s="667" t="s">
        <v>55</v>
      </c>
      <c r="K225" s="665">
        <v>45705</v>
      </c>
      <c r="L225" s="667" t="s">
        <v>56</v>
      </c>
      <c r="M225" s="1065">
        <v>1295</v>
      </c>
      <c r="N225" s="684"/>
      <c r="O225" s="667" t="s">
        <v>56</v>
      </c>
      <c r="P225" s="607" t="s">
        <v>93</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92</v>
      </c>
      <c r="J226" s="628" t="s">
        <v>55</v>
      </c>
      <c r="K226" s="391">
        <v>45716</v>
      </c>
      <c r="L226" s="53" t="s">
        <v>56</v>
      </c>
      <c r="M226" s="629">
        <v>45321.5</v>
      </c>
      <c r="N226" s="636"/>
      <c r="O226" s="53" t="s">
        <v>56</v>
      </c>
      <c r="P226" s="619" t="s">
        <v>93</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92</v>
      </c>
      <c r="J227" s="642" t="s">
        <v>55</v>
      </c>
      <c r="K227" s="806">
        <v>45741</v>
      </c>
      <c r="L227" s="690" t="s">
        <v>56</v>
      </c>
      <c r="M227" s="807">
        <v>41813</v>
      </c>
      <c r="N227" s="636"/>
      <c r="O227" s="690" t="s">
        <v>56</v>
      </c>
      <c r="P227" s="800" t="s">
        <v>93</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92</v>
      </c>
      <c r="J228" s="628" t="s">
        <v>55</v>
      </c>
      <c r="K228" s="387">
        <v>45698</v>
      </c>
      <c r="L228" s="392" t="s">
        <v>56</v>
      </c>
      <c r="M228" s="629">
        <v>71979</v>
      </c>
      <c r="N228" s="631"/>
      <c r="O228" s="392" t="s">
        <v>56</v>
      </c>
      <c r="P228" s="635" t="s">
        <v>93</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6" t="s">
        <v>1026</v>
      </c>
      <c r="B229" s="533" t="s">
        <v>50</v>
      </c>
      <c r="C229" s="20">
        <v>45742</v>
      </c>
      <c r="D229" s="847" t="s">
        <v>662</v>
      </c>
      <c r="E229" s="522">
        <v>45680</v>
      </c>
      <c r="F229" s="19" t="s">
        <v>52</v>
      </c>
      <c r="G229" s="523" t="s">
        <v>1027</v>
      </c>
      <c r="H229" s="21">
        <v>79</v>
      </c>
      <c r="I229" s="773" t="s">
        <v>480</v>
      </c>
      <c r="J229" s="774" t="s">
        <v>55</v>
      </c>
      <c r="K229" s="301" t="s">
        <v>93</v>
      </c>
      <c r="L229" s="524" t="s">
        <v>56</v>
      </c>
      <c r="M229" s="1268">
        <v>64790.5</v>
      </c>
      <c r="N229" s="841"/>
      <c r="O229" s="524" t="s">
        <v>56</v>
      </c>
      <c r="P229" s="1062" t="s">
        <v>93</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144</v>
      </c>
      <c r="E230" s="363">
        <v>45927</v>
      </c>
      <c r="F230" s="361" t="s">
        <v>1030</v>
      </c>
      <c r="G230" s="546" t="s">
        <v>1031</v>
      </c>
      <c r="H230" s="365">
        <v>86</v>
      </c>
      <c r="I230" s="525" t="s">
        <v>92</v>
      </c>
      <c r="J230" s="365" t="s">
        <v>55</v>
      </c>
      <c r="K230" s="363">
        <v>45917</v>
      </c>
      <c r="L230" s="365" t="s">
        <v>56</v>
      </c>
      <c r="M230" s="790">
        <v>45500</v>
      </c>
      <c r="N230" s="421"/>
      <c r="O230" s="365" t="s">
        <v>56</v>
      </c>
      <c r="P230" s="607" t="s">
        <v>93</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2" t="s">
        <v>1032</v>
      </c>
      <c r="B231" s="662" t="s">
        <v>50</v>
      </c>
      <c r="C231" s="896">
        <v>46008</v>
      </c>
      <c r="D231" s="896" t="s">
        <v>429</v>
      </c>
      <c r="E231" s="907">
        <v>45743</v>
      </c>
      <c r="F231" s="908" t="s">
        <v>52</v>
      </c>
      <c r="G231" s="908" t="s">
        <v>1033</v>
      </c>
      <c r="H231" s="909">
        <v>54</v>
      </c>
      <c r="I231" s="525" t="s">
        <v>92</v>
      </c>
      <c r="J231" s="898" t="s">
        <v>55</v>
      </c>
      <c r="K231" s="907">
        <v>45741</v>
      </c>
      <c r="L231" s="898" t="s">
        <v>56</v>
      </c>
      <c r="M231" s="1255">
        <v>45215.5</v>
      </c>
      <c r="N231" s="599"/>
      <c r="O231" s="898" t="s">
        <v>56</v>
      </c>
      <c r="P231" s="1256" t="s">
        <v>93</v>
      </c>
      <c r="Q231" s="912">
        <v>45744</v>
      </c>
      <c r="R231" s="920">
        <v>3796</v>
      </c>
      <c r="S231" s="1095">
        <v>3772</v>
      </c>
      <c r="T231" s="5">
        <v>0</v>
      </c>
      <c r="U231" s="521">
        <f>IFERROR(Table5[[#This Row],[Actual Redline Completed Footage UG]]/Table5[[#This Row],[Footage UG]], 0)</f>
        <v>0.9936775553213909</v>
      </c>
      <c r="V231" s="914">
        <v>45996</v>
      </c>
      <c r="W231" s="904">
        <v>0</v>
      </c>
      <c r="X231" s="904">
        <v>0</v>
      </c>
      <c r="Y231" s="511">
        <v>0</v>
      </c>
      <c r="Z231" s="379" t="s">
        <v>548</v>
      </c>
      <c r="AA231" s="1087" t="s">
        <v>1034</v>
      </c>
    </row>
    <row r="232" spans="1:30" ht="39.75" customHeight="1">
      <c r="A232" s="605" t="s">
        <v>1035</v>
      </c>
      <c r="B232" s="662" t="s">
        <v>50</v>
      </c>
      <c r="C232" s="363">
        <v>45991</v>
      </c>
      <c r="D232" s="363" t="s">
        <v>131</v>
      </c>
      <c r="E232" s="371">
        <v>45743</v>
      </c>
      <c r="F232" s="370" t="s">
        <v>52</v>
      </c>
      <c r="G232" s="663" t="s">
        <v>1036</v>
      </c>
      <c r="H232" s="373">
        <v>70</v>
      </c>
      <c r="I232" s="525" t="s">
        <v>92</v>
      </c>
      <c r="J232" s="365" t="s">
        <v>55</v>
      </c>
      <c r="K232" s="371">
        <v>45741</v>
      </c>
      <c r="L232" s="365" t="s">
        <v>56</v>
      </c>
      <c r="M232" s="630">
        <v>67735.5</v>
      </c>
      <c r="N232" s="599"/>
      <c r="O232" s="365" t="s">
        <v>56</v>
      </c>
      <c r="P232" s="607" t="s">
        <v>93</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93</v>
      </c>
      <c r="J233" s="373" t="s">
        <v>55</v>
      </c>
      <c r="K233" s="371">
        <v>45712</v>
      </c>
      <c r="L233" s="373" t="s">
        <v>56</v>
      </c>
      <c r="M233" s="630">
        <v>14262</v>
      </c>
      <c r="N233" s="599"/>
      <c r="O233" s="373" t="s">
        <v>56</v>
      </c>
      <c r="P233" s="607" t="s">
        <v>93</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150</v>
      </c>
      <c r="G234" s="627" t="s">
        <v>1041</v>
      </c>
      <c r="H234" s="628">
        <v>0</v>
      </c>
      <c r="I234" s="628" t="s">
        <v>92</v>
      </c>
      <c r="J234" s="628" t="s">
        <v>55</v>
      </c>
      <c r="K234" s="371">
        <v>45714</v>
      </c>
      <c r="L234" s="373" t="s">
        <v>56</v>
      </c>
      <c r="M234" s="630">
        <v>93462.85</v>
      </c>
      <c r="N234" s="631"/>
      <c r="O234" s="373" t="s">
        <v>56</v>
      </c>
      <c r="P234" s="607" t="s">
        <v>93</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108</v>
      </c>
      <c r="E235" s="25">
        <v>45772</v>
      </c>
      <c r="F235" s="624" t="s">
        <v>52</v>
      </c>
      <c r="G235" s="624" t="s">
        <v>1043</v>
      </c>
      <c r="H235" s="628">
        <v>0</v>
      </c>
      <c r="I235" s="628" t="s">
        <v>92</v>
      </c>
      <c r="J235" s="628" t="s">
        <v>55</v>
      </c>
      <c r="K235" s="370" t="s">
        <v>345</v>
      </c>
      <c r="L235" s="365" t="s">
        <v>56</v>
      </c>
      <c r="M235" s="790">
        <v>4397.6499999999996</v>
      </c>
      <c r="N235" s="631"/>
      <c r="O235" s="365" t="s">
        <v>56</v>
      </c>
      <c r="P235" s="607" t="s">
        <v>93</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7" t="s">
        <v>1045</v>
      </c>
      <c r="B236" s="662" t="s">
        <v>50</v>
      </c>
      <c r="C236" s="714">
        <v>46008</v>
      </c>
      <c r="D236" s="1050" t="s">
        <v>1046</v>
      </c>
      <c r="E236" s="25">
        <v>45938</v>
      </c>
      <c r="F236" s="370" t="s">
        <v>52</v>
      </c>
      <c r="G236" s="683"/>
      <c r="H236" s="628">
        <v>193</v>
      </c>
      <c r="I236" s="525" t="s">
        <v>92</v>
      </c>
      <c r="J236" s="365" t="s">
        <v>67</v>
      </c>
      <c r="K236" s="665">
        <v>46303</v>
      </c>
      <c r="L236" s="690" t="s">
        <v>56</v>
      </c>
      <c r="M236" s="1268">
        <v>86136</v>
      </c>
      <c r="N236" s="599"/>
      <c r="O236" s="690" t="s">
        <v>56</v>
      </c>
      <c r="P236" s="800" t="s">
        <v>93</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8" t="s">
        <v>1048</v>
      </c>
      <c r="E237" s="25">
        <v>45952</v>
      </c>
      <c r="F237" s="370" t="s">
        <v>52</v>
      </c>
      <c r="G237" s="640"/>
      <c r="H237" s="628">
        <v>139</v>
      </c>
      <c r="I237" s="525" t="s">
        <v>92</v>
      </c>
      <c r="J237" s="365" t="s">
        <v>67</v>
      </c>
      <c r="K237" s="25" t="s">
        <v>345</v>
      </c>
      <c r="L237" s="774" t="s">
        <v>56</v>
      </c>
      <c r="M237" s="1268">
        <v>42766.5</v>
      </c>
      <c r="N237" s="599"/>
      <c r="O237" s="21" t="s">
        <v>56</v>
      </c>
      <c r="P237" s="1062" t="s">
        <v>93</v>
      </c>
      <c r="Q237" s="22">
        <v>45939</v>
      </c>
      <c r="R237" s="6">
        <v>6699</v>
      </c>
      <c r="S237" s="1063">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6">
        <v>46008</v>
      </c>
      <c r="D238" s="896" t="s">
        <v>770</v>
      </c>
      <c r="E238" s="907">
        <v>45958</v>
      </c>
      <c r="F238" s="370" t="s">
        <v>52</v>
      </c>
      <c r="G238" s="908" t="s">
        <v>1050</v>
      </c>
      <c r="H238" s="909">
        <v>517</v>
      </c>
      <c r="I238" s="525" t="s">
        <v>480</v>
      </c>
      <c r="J238" s="365" t="s">
        <v>67</v>
      </c>
      <c r="K238" s="907">
        <v>45964</v>
      </c>
      <c r="L238" s="909" t="s">
        <v>56</v>
      </c>
      <c r="M238" s="1255">
        <v>215088</v>
      </c>
      <c r="N238" s="919"/>
      <c r="O238" s="909" t="s">
        <v>56</v>
      </c>
      <c r="P238" s="1094" t="s">
        <v>93</v>
      </c>
      <c r="Q238" s="912">
        <v>45960</v>
      </c>
      <c r="R238" s="913">
        <v>22238</v>
      </c>
      <c r="S238" s="1095">
        <v>22321</v>
      </c>
      <c r="T238" s="902">
        <v>0</v>
      </c>
      <c r="U238" s="694">
        <f>IFERROR($S238/$R238, 0)</f>
        <v>1.0037323500314776</v>
      </c>
      <c r="V238" s="912">
        <v>45965</v>
      </c>
      <c r="W238" s="283">
        <v>1</v>
      </c>
      <c r="X238" s="283">
        <v>1</v>
      </c>
      <c r="Y238" s="369">
        <v>1</v>
      </c>
      <c r="Z238" s="379" t="s">
        <v>548</v>
      </c>
      <c r="AA238" s="924" t="s">
        <v>1051</v>
      </c>
      <c r="AB238" s="345"/>
      <c r="AC238" s="345"/>
      <c r="AD238" s="705"/>
    </row>
    <row r="239" spans="1:30" ht="39.75" customHeight="1">
      <c r="A239" s="1332" t="s">
        <v>1052</v>
      </c>
      <c r="B239" s="776" t="s">
        <v>393</v>
      </c>
      <c r="C239" s="363">
        <v>46045</v>
      </c>
      <c r="D239" s="510" t="s">
        <v>108</v>
      </c>
      <c r="E239" s="363">
        <v>45959</v>
      </c>
      <c r="F239" s="361" t="s">
        <v>394</v>
      </c>
      <c r="G239" s="364" t="s">
        <v>1053</v>
      </c>
      <c r="H239" s="840">
        <v>78</v>
      </c>
      <c r="I239" s="667" t="s">
        <v>92</v>
      </c>
      <c r="J239" s="373" t="s">
        <v>55</v>
      </c>
      <c r="K239" s="363">
        <v>45964</v>
      </c>
      <c r="L239" s="373" t="s">
        <v>56</v>
      </c>
      <c r="M239" s="1333">
        <v>170</v>
      </c>
      <c r="N239" s="1133"/>
      <c r="O239" s="373" t="s">
        <v>56</v>
      </c>
      <c r="P239" s="607" t="s">
        <v>93</v>
      </c>
      <c r="Q239" s="367">
        <v>45964</v>
      </c>
      <c r="R239" s="843">
        <v>7522</v>
      </c>
      <c r="S239" s="388">
        <v>7522</v>
      </c>
      <c r="T239" s="1013">
        <v>0</v>
      </c>
      <c r="U239" s="521">
        <f>IFERROR(Table5[[#This Row],[Actual Redline Completed Footage UG]]/Table5[[#This Row],[Footage UG]], 0)</f>
        <v>1</v>
      </c>
      <c r="V239" s="518">
        <v>45964</v>
      </c>
      <c r="W239" s="283">
        <v>1</v>
      </c>
      <c r="X239" s="283">
        <v>1</v>
      </c>
      <c r="Y239" s="283">
        <v>1</v>
      </c>
      <c r="Z239" s="367">
        <v>45999</v>
      </c>
      <c r="AA239" s="1083" t="s">
        <v>1054</v>
      </c>
      <c r="AB239" s="345"/>
      <c r="AC239" s="345"/>
      <c r="AD239" s="705"/>
    </row>
    <row r="240" spans="1:30" ht="39.75" customHeight="1">
      <c r="A240" s="1286" t="s">
        <v>1055</v>
      </c>
      <c r="B240" s="874" t="s">
        <v>393</v>
      </c>
      <c r="C240" s="302">
        <v>46019</v>
      </c>
      <c r="D240" s="772" t="s">
        <v>108</v>
      </c>
      <c r="E240" s="302">
        <v>45959</v>
      </c>
      <c r="F240" s="301" t="s">
        <v>394</v>
      </c>
      <c r="G240" s="535" t="s">
        <v>1056</v>
      </c>
      <c r="H240" s="835">
        <v>89</v>
      </c>
      <c r="I240" s="773" t="s">
        <v>92</v>
      </c>
      <c r="J240" s="774" t="s">
        <v>55</v>
      </c>
      <c r="K240" s="302">
        <v>45964</v>
      </c>
      <c r="L240" s="774" t="s">
        <v>56</v>
      </c>
      <c r="M240" s="1061">
        <v>62937.05</v>
      </c>
      <c r="N240" s="599"/>
      <c r="O240" s="21" t="s">
        <v>56</v>
      </c>
      <c r="P240" s="1062" t="s">
        <v>93</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6" t="s">
        <v>1057</v>
      </c>
      <c r="AB240" s="345"/>
      <c r="AC240" s="345"/>
      <c r="AD240" s="705"/>
    </row>
    <row r="241" spans="1:30" ht="39.75" customHeight="1">
      <c r="A241" s="996" t="s">
        <v>1058</v>
      </c>
      <c r="B241" s="993" t="s">
        <v>393</v>
      </c>
      <c r="C241" s="25">
        <v>46045</v>
      </c>
      <c r="D241" s="643" t="s">
        <v>108</v>
      </c>
      <c r="E241" s="25"/>
      <c r="F241" s="624" t="s">
        <v>394</v>
      </c>
      <c r="G241" s="627"/>
      <c r="H241" s="994">
        <v>85</v>
      </c>
      <c r="I241" s="641" t="s">
        <v>92</v>
      </c>
      <c r="J241" s="628" t="s">
        <v>55</v>
      </c>
      <c r="K241" s="371" t="s">
        <v>345</v>
      </c>
      <c r="L241" s="373" t="s">
        <v>56</v>
      </c>
      <c r="M241" s="1060">
        <v>29180.45</v>
      </c>
      <c r="N241" s="631"/>
      <c r="O241" s="373" t="s">
        <v>56</v>
      </c>
      <c r="P241" s="607" t="s">
        <v>93</v>
      </c>
      <c r="Q241" s="61" t="s">
        <v>345</v>
      </c>
      <c r="R241" s="796">
        <v>6249</v>
      </c>
      <c r="S241" s="1063">
        <v>6183</v>
      </c>
      <c r="T241" s="1068">
        <v>0</v>
      </c>
      <c r="U241" s="4">
        <f>IFERROR(Table5[[#This Row],[Actual Redline Completed Footage UG]]/Table5[[#This Row],[Footage UG]], 0)</f>
        <v>0.98943831012962069</v>
      </c>
      <c r="V241" s="518">
        <v>45964</v>
      </c>
      <c r="W241" s="283">
        <v>1</v>
      </c>
      <c r="X241" s="283">
        <v>1</v>
      </c>
      <c r="Y241" s="283">
        <v>1</v>
      </c>
      <c r="Z241" s="61">
        <v>46002</v>
      </c>
      <c r="AA241" s="844" t="s">
        <v>1059</v>
      </c>
      <c r="AB241" s="345"/>
      <c r="AC241" s="345"/>
      <c r="AD241" s="705"/>
    </row>
    <row r="242" spans="1:30" ht="39.75" customHeight="1">
      <c r="A242" s="1067" t="s">
        <v>1060</v>
      </c>
      <c r="B242" s="358" t="s">
        <v>393</v>
      </c>
      <c r="C242" s="302">
        <v>46045</v>
      </c>
      <c r="D242" s="772" t="s">
        <v>108</v>
      </c>
      <c r="E242" s="302"/>
      <c r="F242" s="624" t="s">
        <v>394</v>
      </c>
      <c r="G242" s="506"/>
      <c r="H242" s="835">
        <v>80</v>
      </c>
      <c r="I242" s="773" t="s">
        <v>92</v>
      </c>
      <c r="J242" s="774" t="s">
        <v>55</v>
      </c>
      <c r="K242" s="371" t="s">
        <v>345</v>
      </c>
      <c r="L242" s="774" t="s">
        <v>56</v>
      </c>
      <c r="M242" s="1061">
        <v>25891</v>
      </c>
      <c r="N242" s="599"/>
      <c r="O242" s="21" t="s">
        <v>56</v>
      </c>
      <c r="P242" s="1062" t="s">
        <v>93</v>
      </c>
      <c r="Q242" s="61" t="s">
        <v>345</v>
      </c>
      <c r="R242" s="796">
        <v>5254</v>
      </c>
      <c r="S242" s="721">
        <v>5254</v>
      </c>
      <c r="T242" s="1068">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6" t="s">
        <v>1061</v>
      </c>
      <c r="B243" s="993" t="s">
        <v>393</v>
      </c>
      <c r="C243" s="25">
        <v>46045</v>
      </c>
      <c r="D243" s="643" t="s">
        <v>108</v>
      </c>
      <c r="E243" s="25"/>
      <c r="F243" s="624" t="s">
        <v>394</v>
      </c>
      <c r="G243" s="627"/>
      <c r="H243" s="994">
        <v>85</v>
      </c>
      <c r="I243" s="641" t="s">
        <v>92</v>
      </c>
      <c r="J243" s="628" t="s">
        <v>55</v>
      </c>
      <c r="K243" s="371" t="s">
        <v>345</v>
      </c>
      <c r="L243" s="774" t="s">
        <v>56</v>
      </c>
      <c r="M243" s="1061">
        <v>30788</v>
      </c>
      <c r="N243" s="631"/>
      <c r="O243" s="21" t="s">
        <v>56</v>
      </c>
      <c r="P243" s="1062" t="s">
        <v>93</v>
      </c>
      <c r="Q243" s="367" t="s">
        <v>345</v>
      </c>
      <c r="R243" s="796">
        <v>5599</v>
      </c>
      <c r="S243" s="1063">
        <v>5599</v>
      </c>
      <c r="T243" s="1059">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7" t="s">
        <v>1063</v>
      </c>
      <c r="B244" s="358" t="s">
        <v>393</v>
      </c>
      <c r="C244" s="302">
        <v>46045</v>
      </c>
      <c r="D244" s="772" t="s">
        <v>108</v>
      </c>
      <c r="E244" s="363">
        <v>45959</v>
      </c>
      <c r="F244" s="361" t="s">
        <v>394</v>
      </c>
      <c r="G244" s="506"/>
      <c r="H244" s="835">
        <v>88</v>
      </c>
      <c r="I244" s="773" t="s">
        <v>92</v>
      </c>
      <c r="J244" s="774" t="s">
        <v>55</v>
      </c>
      <c r="K244" s="371" t="s">
        <v>345</v>
      </c>
      <c r="L244" s="774" t="s">
        <v>56</v>
      </c>
      <c r="M244" s="1061">
        <v>5668</v>
      </c>
      <c r="N244" s="599"/>
      <c r="O244" s="21" t="s">
        <v>56</v>
      </c>
      <c r="P244" s="1062" t="s">
        <v>93</v>
      </c>
      <c r="Q244" s="367" t="s">
        <v>345</v>
      </c>
      <c r="R244" s="796">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788</v>
      </c>
      <c r="AB244" s="345"/>
      <c r="AC244" s="345"/>
      <c r="AD244" s="705"/>
    </row>
    <row r="245" spans="1:30" ht="39.75" customHeight="1">
      <c r="A245" s="1067" t="s">
        <v>1064</v>
      </c>
      <c r="B245" s="358" t="s">
        <v>393</v>
      </c>
      <c r="C245" s="302">
        <v>46045</v>
      </c>
      <c r="D245" s="772" t="s">
        <v>108</v>
      </c>
      <c r="E245" s="363">
        <v>45959</v>
      </c>
      <c r="F245" s="361" t="s">
        <v>394</v>
      </c>
      <c r="G245" s="506"/>
      <c r="H245" s="835">
        <v>30</v>
      </c>
      <c r="I245" s="773" t="s">
        <v>92</v>
      </c>
      <c r="J245" s="774" t="s">
        <v>55</v>
      </c>
      <c r="K245" s="371" t="s">
        <v>345</v>
      </c>
      <c r="L245" s="774" t="s">
        <v>56</v>
      </c>
      <c r="M245" s="1061">
        <v>170</v>
      </c>
      <c r="N245" s="599"/>
      <c r="O245" s="21" t="s">
        <v>56</v>
      </c>
      <c r="P245" s="1062" t="s">
        <v>93</v>
      </c>
      <c r="Q245" s="367" t="s">
        <v>345</v>
      </c>
      <c r="R245" s="796">
        <v>2136</v>
      </c>
      <c r="S245" s="1063">
        <v>2136</v>
      </c>
      <c r="T245" s="1058">
        <v>0</v>
      </c>
      <c r="U245" s="4">
        <f>IFERROR(Table5[[#This Row],[Actual Redline Completed Footage UG]]/Table5[[#This Row],[Footage UG]], 0)</f>
        <v>1</v>
      </c>
      <c r="V245" s="61">
        <v>45973</v>
      </c>
      <c r="W245" s="283">
        <v>1</v>
      </c>
      <c r="X245" s="283">
        <v>1</v>
      </c>
      <c r="Y245" s="283">
        <v>1</v>
      </c>
      <c r="Z245" s="61">
        <v>46002</v>
      </c>
      <c r="AA245" s="1086" t="s">
        <v>1065</v>
      </c>
      <c r="AB245" s="345"/>
      <c r="AC245" s="345"/>
      <c r="AD245" s="705"/>
    </row>
    <row r="246" spans="1:30" ht="39.75" customHeight="1">
      <c r="A246" s="1261" t="s">
        <v>1066</v>
      </c>
      <c r="B246" s="874" t="s">
        <v>393</v>
      </c>
      <c r="C246" s="1034">
        <v>46052</v>
      </c>
      <c r="D246" s="772" t="s">
        <v>108</v>
      </c>
      <c r="E246" s="966">
        <v>45993</v>
      </c>
      <c r="F246" s="967" t="s">
        <v>113</v>
      </c>
      <c r="G246" s="967" t="s">
        <v>1067</v>
      </c>
      <c r="H246" s="980">
        <v>89</v>
      </c>
      <c r="I246" s="773" t="s">
        <v>92</v>
      </c>
      <c r="J246" s="956" t="s">
        <v>55</v>
      </c>
      <c r="K246" s="966">
        <v>45993</v>
      </c>
      <c r="L246" s="956" t="s">
        <v>56</v>
      </c>
      <c r="M246" s="1340">
        <v>93349.5</v>
      </c>
      <c r="N246" s="599"/>
      <c r="O246" s="972" t="s">
        <v>56</v>
      </c>
      <c r="P246" s="1320" t="s">
        <v>93</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1068</v>
      </c>
      <c r="AB246" s="345"/>
      <c r="AC246" s="345"/>
      <c r="AD246" s="705"/>
    </row>
    <row r="247" spans="1:30" ht="39.75" customHeight="1">
      <c r="A247" s="1067" t="s">
        <v>1069</v>
      </c>
      <c r="B247" s="358" t="s">
        <v>393</v>
      </c>
      <c r="C247" s="302">
        <v>46045</v>
      </c>
      <c r="D247" s="772" t="s">
        <v>108</v>
      </c>
      <c r="E247" s="302">
        <v>45959</v>
      </c>
      <c r="F247" s="301" t="s">
        <v>113</v>
      </c>
      <c r="G247" s="506"/>
      <c r="H247" s="303">
        <v>89</v>
      </c>
      <c r="I247" s="773" t="s">
        <v>92</v>
      </c>
      <c r="J247" s="774" t="s">
        <v>55</v>
      </c>
      <c r="K247" s="20">
        <v>45964</v>
      </c>
      <c r="L247" s="21" t="s">
        <v>56</v>
      </c>
      <c r="M247" s="1242">
        <v>84750.5</v>
      </c>
      <c r="N247" s="599"/>
      <c r="O247" s="21" t="s">
        <v>56</v>
      </c>
      <c r="P247" s="1062" t="s">
        <v>93</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1065</v>
      </c>
      <c r="AB247" s="345"/>
      <c r="AC247" s="345"/>
      <c r="AD247" s="705"/>
    </row>
    <row r="248" spans="1:30" ht="39.75" customHeight="1">
      <c r="A248" s="1067" t="s">
        <v>1070</v>
      </c>
      <c r="B248" s="358" t="s">
        <v>393</v>
      </c>
      <c r="C248" s="302">
        <v>46010</v>
      </c>
      <c r="D248" s="772" t="s">
        <v>108</v>
      </c>
      <c r="E248" s="302">
        <v>45959</v>
      </c>
      <c r="F248" s="301" t="s">
        <v>113</v>
      </c>
      <c r="G248" s="506" t="s">
        <v>1071</v>
      </c>
      <c r="H248" s="303">
        <v>89</v>
      </c>
      <c r="I248" s="773" t="s">
        <v>92</v>
      </c>
      <c r="J248" s="774" t="s">
        <v>55</v>
      </c>
      <c r="K248" s="20">
        <v>45964</v>
      </c>
      <c r="L248" s="774" t="s">
        <v>56</v>
      </c>
      <c r="M248" s="1242">
        <v>81602</v>
      </c>
      <c r="N248" s="599"/>
      <c r="O248" s="21" t="s">
        <v>56</v>
      </c>
      <c r="P248" s="1062" t="s">
        <v>93</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1072</v>
      </c>
      <c r="AB248" s="345"/>
      <c r="AC248" s="345"/>
      <c r="AD248" s="705"/>
    </row>
    <row r="249" spans="1:30" ht="39.75" customHeight="1">
      <c r="A249" s="1067" t="s">
        <v>1073</v>
      </c>
      <c r="B249" s="358" t="s">
        <v>393</v>
      </c>
      <c r="C249" s="302">
        <v>46045</v>
      </c>
      <c r="D249" s="772" t="s">
        <v>108</v>
      </c>
      <c r="E249" s="302">
        <v>45959</v>
      </c>
      <c r="F249" s="301" t="s">
        <v>113</v>
      </c>
      <c r="G249" s="506"/>
      <c r="H249" s="303">
        <v>88</v>
      </c>
      <c r="I249" s="773" t="s">
        <v>92</v>
      </c>
      <c r="J249" s="774" t="s">
        <v>55</v>
      </c>
      <c r="K249" s="20">
        <v>45961</v>
      </c>
      <c r="L249" s="21" t="s">
        <v>56</v>
      </c>
      <c r="M249" s="1242">
        <v>88231.9</v>
      </c>
      <c r="N249" s="599"/>
      <c r="O249" s="21" t="s">
        <v>56</v>
      </c>
      <c r="P249" s="1062" t="s">
        <v>93</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1074</v>
      </c>
      <c r="AB249" s="345"/>
      <c r="AC249" s="345"/>
      <c r="AD249" s="705"/>
    </row>
    <row r="250" spans="1:30" ht="39.75" customHeight="1">
      <c r="A250" s="1067" t="s">
        <v>1075</v>
      </c>
      <c r="B250" s="358" t="s">
        <v>393</v>
      </c>
      <c r="C250" s="302">
        <v>45989</v>
      </c>
      <c r="D250" s="772" t="s">
        <v>108</v>
      </c>
      <c r="E250" s="302">
        <v>45959</v>
      </c>
      <c r="F250" s="301" t="s">
        <v>113</v>
      </c>
      <c r="G250" s="506" t="s">
        <v>1076</v>
      </c>
      <c r="H250" s="303">
        <v>87</v>
      </c>
      <c r="I250" s="773" t="s">
        <v>92</v>
      </c>
      <c r="J250" s="774" t="s">
        <v>55</v>
      </c>
      <c r="K250" s="20">
        <v>45964</v>
      </c>
      <c r="L250" s="774" t="s">
        <v>56</v>
      </c>
      <c r="M250" s="1242">
        <v>93578</v>
      </c>
      <c r="N250" s="599"/>
      <c r="O250" s="21" t="s">
        <v>56</v>
      </c>
      <c r="P250" s="1062" t="s">
        <v>93</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5"/>
    </row>
    <row r="251" spans="1:30" ht="39.75" customHeight="1">
      <c r="A251" s="1286" t="s">
        <v>1077</v>
      </c>
      <c r="B251" s="874" t="s">
        <v>393</v>
      </c>
      <c r="C251" s="302">
        <v>46045</v>
      </c>
      <c r="D251" s="772" t="s">
        <v>108</v>
      </c>
      <c r="E251" s="302">
        <v>45959</v>
      </c>
      <c r="F251" s="301" t="s">
        <v>113</v>
      </c>
      <c r="G251" s="535"/>
      <c r="H251" s="303">
        <v>90</v>
      </c>
      <c r="I251" s="773" t="s">
        <v>92</v>
      </c>
      <c r="J251" s="774" t="s">
        <v>55</v>
      </c>
      <c r="K251" s="20">
        <v>45964</v>
      </c>
      <c r="L251" s="21" t="s">
        <v>56</v>
      </c>
      <c r="M251" s="1242">
        <v>84896</v>
      </c>
      <c r="N251" s="1358"/>
      <c r="O251" s="21" t="s">
        <v>56</v>
      </c>
      <c r="P251" s="1062" t="s">
        <v>93</v>
      </c>
      <c r="Q251" s="22">
        <v>45964</v>
      </c>
      <c r="R251" s="46">
        <v>7060</v>
      </c>
      <c r="S251" s="1063">
        <v>7060</v>
      </c>
      <c r="T251" s="1360">
        <v>0</v>
      </c>
      <c r="U251" s="1361">
        <f>IFERROR(Table5[[#This Row],[Actual Redline Completed Footage UG]]/Table5[[#This Row],[Footage UG]], 0)</f>
        <v>1</v>
      </c>
      <c r="V251" s="61">
        <v>45973</v>
      </c>
      <c r="W251" s="283">
        <v>1</v>
      </c>
      <c r="X251" s="283">
        <v>1</v>
      </c>
      <c r="Y251" s="283">
        <v>1</v>
      </c>
      <c r="Z251" s="61">
        <v>46024</v>
      </c>
      <c r="AA251" s="1143" t="s">
        <v>1078</v>
      </c>
      <c r="AB251" s="345"/>
      <c r="AC251" s="345"/>
      <c r="AD251" s="705"/>
    </row>
    <row r="252" spans="1:30" ht="39.75" customHeight="1">
      <c r="A252" s="1261" t="s">
        <v>1079</v>
      </c>
      <c r="B252" s="874" t="s">
        <v>393</v>
      </c>
      <c r="C252" s="966">
        <v>46019</v>
      </c>
      <c r="D252" s="772" t="s">
        <v>108</v>
      </c>
      <c r="E252" s="966">
        <v>45959</v>
      </c>
      <c r="F252" s="967" t="s">
        <v>113</v>
      </c>
      <c r="G252" s="967" t="s">
        <v>1080</v>
      </c>
      <c r="H252" s="968">
        <v>90</v>
      </c>
      <c r="I252" s="773" t="s">
        <v>92</v>
      </c>
      <c r="J252" s="956" t="s">
        <v>55</v>
      </c>
      <c r="K252" s="970">
        <v>45964</v>
      </c>
      <c r="L252" s="956" t="s">
        <v>56</v>
      </c>
      <c r="M252" s="1149">
        <v>85815</v>
      </c>
      <c r="N252" s="599"/>
      <c r="O252" s="972" t="s">
        <v>56</v>
      </c>
      <c r="P252" s="1150" t="s">
        <v>93</v>
      </c>
      <c r="Q252" s="986">
        <v>45964</v>
      </c>
      <c r="R252" s="944">
        <v>6981</v>
      </c>
      <c r="S252" s="1151">
        <v>6963</v>
      </c>
      <c r="T252" s="1058">
        <v>0</v>
      </c>
      <c r="U252" s="4">
        <f>IFERROR(Table5[[#This Row],[Actual Redline Completed Footage UG]]/Table5[[#This Row],[Footage UG]], 0)</f>
        <v>0.99742157284056721</v>
      </c>
      <c r="V252" s="934">
        <v>45981</v>
      </c>
      <c r="W252" s="283">
        <v>1</v>
      </c>
      <c r="X252" s="283">
        <v>1</v>
      </c>
      <c r="Y252" s="283">
        <v>1</v>
      </c>
      <c r="Z252" s="61">
        <v>46024</v>
      </c>
      <c r="AA252" s="1086" t="s">
        <v>1081</v>
      </c>
      <c r="AB252" s="345"/>
      <c r="AC252" s="345"/>
      <c r="AD252" s="705"/>
    </row>
    <row r="253" spans="1:30" ht="39.75" customHeight="1">
      <c r="A253" s="1067" t="s">
        <v>1082</v>
      </c>
      <c r="B253" s="358" t="s">
        <v>393</v>
      </c>
      <c r="C253" s="302">
        <v>46021</v>
      </c>
      <c r="D253" s="772" t="s">
        <v>108</v>
      </c>
      <c r="E253" s="302">
        <v>45959</v>
      </c>
      <c r="F253" s="301" t="s">
        <v>113</v>
      </c>
      <c r="G253" s="506" t="s">
        <v>1083</v>
      </c>
      <c r="H253" s="303">
        <v>89</v>
      </c>
      <c r="I253" s="773" t="s">
        <v>92</v>
      </c>
      <c r="J253" s="774" t="s">
        <v>55</v>
      </c>
      <c r="K253" s="20">
        <v>45961</v>
      </c>
      <c r="L253" s="774" t="s">
        <v>56</v>
      </c>
      <c r="M253" s="1242">
        <v>83615</v>
      </c>
      <c r="N253" s="599"/>
      <c r="O253" s="21" t="s">
        <v>56</v>
      </c>
      <c r="P253" s="1062" t="s">
        <v>93</v>
      </c>
      <c r="Q253" s="22">
        <v>45961</v>
      </c>
      <c r="R253" s="46">
        <v>7010</v>
      </c>
      <c r="S253" s="1063">
        <v>6748</v>
      </c>
      <c r="T253" s="1058">
        <v>0</v>
      </c>
      <c r="U253" s="4">
        <f>IFERROR(Table5[[#This Row],[Actual Redline Completed Footage UG]]/Table5[[#This Row],[Footage UG]], 0)</f>
        <v>0.96262482168330954</v>
      </c>
      <c r="V253" s="61">
        <v>45986</v>
      </c>
      <c r="W253" s="283">
        <v>1</v>
      </c>
      <c r="X253" s="283">
        <v>1</v>
      </c>
      <c r="Y253" s="283">
        <v>1</v>
      </c>
      <c r="Z253" s="934">
        <v>46048</v>
      </c>
      <c r="AA253" s="1086" t="s">
        <v>1084</v>
      </c>
      <c r="AB253" s="345"/>
      <c r="AC253" s="345"/>
      <c r="AD253" s="705"/>
    </row>
    <row r="254" spans="1:30" ht="39.75" customHeight="1">
      <c r="A254" s="1261" t="s">
        <v>1085</v>
      </c>
      <c r="B254" s="874" t="s">
        <v>393</v>
      </c>
      <c r="C254" s="1034">
        <v>46052</v>
      </c>
      <c r="D254" s="772" t="s">
        <v>108</v>
      </c>
      <c r="E254" s="966">
        <v>45959</v>
      </c>
      <c r="F254" s="967" t="s">
        <v>113</v>
      </c>
      <c r="G254" s="967" t="s">
        <v>1086</v>
      </c>
      <c r="H254" s="968">
        <v>87</v>
      </c>
      <c r="I254" s="773" t="s">
        <v>92</v>
      </c>
      <c r="J254" s="956" t="s">
        <v>55</v>
      </c>
      <c r="K254" s="970">
        <v>45964</v>
      </c>
      <c r="L254" s="956" t="s">
        <v>56</v>
      </c>
      <c r="M254" s="1149">
        <v>79552</v>
      </c>
      <c r="N254" s="599"/>
      <c r="O254" s="972" t="s">
        <v>56</v>
      </c>
      <c r="P254" s="1150" t="s">
        <v>93</v>
      </c>
      <c r="Q254" s="986">
        <v>45964</v>
      </c>
      <c r="R254" s="944">
        <v>6577</v>
      </c>
      <c r="S254" s="1151">
        <v>6577</v>
      </c>
      <c r="T254" s="1058">
        <v>0</v>
      </c>
      <c r="U254" s="4">
        <f>IFERROR(Table5[[#This Row],[Actual Redline Completed Footage UG]]/Table5[[#This Row],[Footage UG]], 0)</f>
        <v>1</v>
      </c>
      <c r="V254" s="934">
        <v>46000</v>
      </c>
      <c r="W254" s="960">
        <v>1</v>
      </c>
      <c r="X254" s="960">
        <v>1</v>
      </c>
      <c r="Y254" s="283">
        <v>1</v>
      </c>
      <c r="Z254" s="934">
        <v>46048</v>
      </c>
      <c r="AA254" s="936" t="s">
        <v>1087</v>
      </c>
      <c r="AB254" s="345"/>
      <c r="AC254" s="345"/>
      <c r="AD254" s="705"/>
    </row>
    <row r="255" spans="1:30" ht="39.75" customHeight="1">
      <c r="A255" s="1261" t="s">
        <v>1088</v>
      </c>
      <c r="B255" s="874" t="s">
        <v>393</v>
      </c>
      <c r="C255" s="966">
        <v>46021</v>
      </c>
      <c r="D255" s="772" t="s">
        <v>108</v>
      </c>
      <c r="E255" s="966">
        <v>45959</v>
      </c>
      <c r="F255" s="967" t="s">
        <v>113</v>
      </c>
      <c r="G255" s="967" t="s">
        <v>1089</v>
      </c>
      <c r="H255" s="968">
        <v>85</v>
      </c>
      <c r="I255" s="773" t="s">
        <v>92</v>
      </c>
      <c r="J255" s="956" t="s">
        <v>55</v>
      </c>
      <c r="K255" s="970">
        <v>45964</v>
      </c>
      <c r="L255" s="956" t="s">
        <v>56</v>
      </c>
      <c r="M255" s="1149">
        <v>84770</v>
      </c>
      <c r="N255" s="599"/>
      <c r="O255" s="972" t="s">
        <v>56</v>
      </c>
      <c r="P255" s="1150" t="s">
        <v>93</v>
      </c>
      <c r="Q255" s="986">
        <v>45964</v>
      </c>
      <c r="R255" s="944">
        <v>6965</v>
      </c>
      <c r="S255" s="1151">
        <v>6758</v>
      </c>
      <c r="T255" s="1058">
        <v>0</v>
      </c>
      <c r="U255" s="4">
        <f>IFERROR(Table5[[#This Row],[Actual Redline Completed Footage UG]]/Table5[[#This Row],[Footage UG]], 0)</f>
        <v>0.97027997128499643</v>
      </c>
      <c r="V255" s="934">
        <v>45999</v>
      </c>
      <c r="W255" s="283">
        <v>1</v>
      </c>
      <c r="X255" s="283">
        <v>1</v>
      </c>
      <c r="Y255" s="283">
        <v>1</v>
      </c>
      <c r="Z255" s="934">
        <v>46048</v>
      </c>
      <c r="AA255" s="1086" t="s">
        <v>1090</v>
      </c>
      <c r="AB255" s="345"/>
      <c r="AC255" s="345"/>
      <c r="AD255" s="705"/>
    </row>
    <row r="256" spans="1:30" ht="39.75" customHeight="1">
      <c r="A256" s="1261" t="s">
        <v>1091</v>
      </c>
      <c r="B256" s="874" t="s">
        <v>393</v>
      </c>
      <c r="C256" s="966">
        <v>46052</v>
      </c>
      <c r="D256" s="772" t="s">
        <v>108</v>
      </c>
      <c r="E256" s="966">
        <v>45987</v>
      </c>
      <c r="F256" s="967" t="s">
        <v>113</v>
      </c>
      <c r="G256" s="967" t="s">
        <v>1092</v>
      </c>
      <c r="H256" s="968">
        <v>85</v>
      </c>
      <c r="I256" s="773" t="s">
        <v>92</v>
      </c>
      <c r="J256" s="956" t="s">
        <v>55</v>
      </c>
      <c r="K256" s="970">
        <v>45987</v>
      </c>
      <c r="L256" s="956" t="s">
        <v>56</v>
      </c>
      <c r="M256" s="1149">
        <v>84092.5</v>
      </c>
      <c r="N256" s="599"/>
      <c r="O256" s="972" t="s">
        <v>56</v>
      </c>
      <c r="P256" s="1320" t="s">
        <v>93</v>
      </c>
      <c r="Q256" s="986">
        <v>45987</v>
      </c>
      <c r="R256" s="944">
        <v>6897</v>
      </c>
      <c r="S256" s="1151">
        <v>6897</v>
      </c>
      <c r="T256" s="1058">
        <v>0</v>
      </c>
      <c r="U256" s="4">
        <f>IFERROR(Table5[[#This Row],[Actual Redline Completed Footage UG]]/Table5[[#This Row],[Footage UG]], 0)</f>
        <v>1</v>
      </c>
      <c r="V256" s="934">
        <v>46009</v>
      </c>
      <c r="W256" s="283">
        <v>1</v>
      </c>
      <c r="X256" s="283">
        <v>1</v>
      </c>
      <c r="Y256" s="283">
        <v>1</v>
      </c>
      <c r="Z256" s="934">
        <v>46048</v>
      </c>
      <c r="AA256" s="936" t="s">
        <v>1093</v>
      </c>
      <c r="AB256" s="345"/>
      <c r="AC256" s="345"/>
      <c r="AD256" s="705"/>
    </row>
    <row r="257" spans="1:30" ht="39.75" customHeight="1">
      <c r="A257" s="1261" t="s">
        <v>1094</v>
      </c>
      <c r="B257" s="874" t="s">
        <v>393</v>
      </c>
      <c r="C257" s="1034">
        <v>46052</v>
      </c>
      <c r="D257" s="772" t="s">
        <v>108</v>
      </c>
      <c r="E257" s="966">
        <v>45987</v>
      </c>
      <c r="F257" s="967" t="s">
        <v>113</v>
      </c>
      <c r="G257" s="967" t="s">
        <v>1095</v>
      </c>
      <c r="H257" s="968">
        <v>76</v>
      </c>
      <c r="I257" s="773" t="s">
        <v>92</v>
      </c>
      <c r="J257" s="956" t="s">
        <v>55</v>
      </c>
      <c r="K257" s="970">
        <v>45987</v>
      </c>
      <c r="L257" s="956" t="s">
        <v>56</v>
      </c>
      <c r="M257" s="1149">
        <v>74892.5</v>
      </c>
      <c r="N257" s="599"/>
      <c r="O257" s="972" t="s">
        <v>56</v>
      </c>
      <c r="P257" s="1320" t="s">
        <v>93</v>
      </c>
      <c r="Q257" s="986">
        <v>45987</v>
      </c>
      <c r="R257" s="944">
        <v>6218</v>
      </c>
      <c r="S257" s="1151">
        <v>6218</v>
      </c>
      <c r="T257" s="1058">
        <v>0</v>
      </c>
      <c r="U257" s="4">
        <f>IFERROR(Table5[[#This Row],[Actual Redline Completed Footage UG]]/Table5[[#This Row],[Footage UG]], 0)</f>
        <v>1</v>
      </c>
      <c r="V257" s="934">
        <v>46386</v>
      </c>
      <c r="W257" s="283">
        <v>1</v>
      </c>
      <c r="X257" s="283">
        <v>1</v>
      </c>
      <c r="Y257" s="283">
        <v>1</v>
      </c>
      <c r="Z257" s="934">
        <v>46052</v>
      </c>
      <c r="AA257" s="936" t="s">
        <v>1096</v>
      </c>
      <c r="AB257" s="345"/>
      <c r="AC257" s="345"/>
      <c r="AD257" s="705"/>
    </row>
    <row r="258" spans="1:30" ht="39.75" customHeight="1">
      <c r="A258" s="1261" t="s">
        <v>1097</v>
      </c>
      <c r="B258" s="874" t="s">
        <v>393</v>
      </c>
      <c r="C258" s="1034">
        <v>46052</v>
      </c>
      <c r="D258" s="772" t="s">
        <v>108</v>
      </c>
      <c r="E258" s="966">
        <v>45987</v>
      </c>
      <c r="F258" s="967" t="s">
        <v>113</v>
      </c>
      <c r="G258" s="1024" t="s">
        <v>1098</v>
      </c>
      <c r="H258" s="1025">
        <v>86</v>
      </c>
      <c r="I258" s="667" t="s">
        <v>92</v>
      </c>
      <c r="J258" s="909" t="s">
        <v>55</v>
      </c>
      <c r="K258" s="970">
        <v>45987</v>
      </c>
      <c r="L258" s="956" t="s">
        <v>56</v>
      </c>
      <c r="M258" s="1149">
        <v>90841</v>
      </c>
      <c r="N258" s="599"/>
      <c r="O258" s="972" t="s">
        <v>56</v>
      </c>
      <c r="P258" s="1320" t="s">
        <v>93</v>
      </c>
      <c r="Q258" s="1090">
        <v>45987</v>
      </c>
      <c r="R258" s="944">
        <v>7491</v>
      </c>
      <c r="S258" s="1151">
        <v>7491</v>
      </c>
      <c r="T258" s="1058">
        <v>0</v>
      </c>
      <c r="U258" s="4">
        <f>IFERROR(Table5[[#This Row],[Actual Redline Completed Footage UG]]/Table5[[#This Row],[Footage UG]], 0)</f>
        <v>1</v>
      </c>
      <c r="V258" s="934">
        <v>46009</v>
      </c>
      <c r="W258" s="960">
        <v>1</v>
      </c>
      <c r="X258" s="960">
        <v>1</v>
      </c>
      <c r="Y258" s="283">
        <v>1</v>
      </c>
      <c r="Z258" s="934">
        <v>46052</v>
      </c>
      <c r="AA258" s="936" t="s">
        <v>1099</v>
      </c>
      <c r="AB258" s="345"/>
      <c r="AC258" s="345"/>
      <c r="AD258" s="705"/>
    </row>
    <row r="259" spans="1:30" ht="39.75" customHeight="1">
      <c r="A259" s="1261" t="s">
        <v>1100</v>
      </c>
      <c r="B259" s="874" t="s">
        <v>393</v>
      </c>
      <c r="C259" s="1034">
        <v>46052</v>
      </c>
      <c r="D259" s="772" t="s">
        <v>108</v>
      </c>
      <c r="E259" s="966">
        <v>45987</v>
      </c>
      <c r="F259" s="1038" t="s">
        <v>113</v>
      </c>
      <c r="G259" s="967" t="s">
        <v>1101</v>
      </c>
      <c r="H259" s="968">
        <v>78</v>
      </c>
      <c r="I259" s="524" t="s">
        <v>92</v>
      </c>
      <c r="J259" s="972" t="s">
        <v>55</v>
      </c>
      <c r="K259" s="970">
        <v>45987</v>
      </c>
      <c r="L259" s="956" t="s">
        <v>56</v>
      </c>
      <c r="M259" s="1149">
        <v>60606.5</v>
      </c>
      <c r="N259" s="599"/>
      <c r="O259" s="972" t="s">
        <v>56</v>
      </c>
      <c r="P259" s="1320" t="s">
        <v>93</v>
      </c>
      <c r="Q259" s="986">
        <v>45987</v>
      </c>
      <c r="R259" s="1021">
        <v>5456</v>
      </c>
      <c r="S259" s="1151">
        <v>5441</v>
      </c>
      <c r="T259" s="1058">
        <v>0</v>
      </c>
      <c r="U259" s="4">
        <f>IFERROR(Table5[[#This Row],[Actual Redline Completed Footage UG]]/Table5[[#This Row],[Footage UG]], 0)</f>
        <v>0.99725073313782986</v>
      </c>
      <c r="V259" s="934">
        <v>46028</v>
      </c>
      <c r="W259" s="283">
        <v>1</v>
      </c>
      <c r="X259" s="283">
        <v>1</v>
      </c>
      <c r="Y259" s="283">
        <v>1</v>
      </c>
      <c r="Z259" s="934">
        <v>46052</v>
      </c>
      <c r="AA259" s="936" t="s">
        <v>1102</v>
      </c>
      <c r="AB259" s="345"/>
      <c r="AC259" s="345"/>
      <c r="AD259" s="705"/>
    </row>
    <row r="260" spans="1:30" ht="39.75" customHeight="1">
      <c r="A260" s="1330" t="s">
        <v>1103</v>
      </c>
      <c r="B260" s="964" t="s">
        <v>393</v>
      </c>
      <c r="C260" s="1034">
        <v>46052</v>
      </c>
      <c r="D260" s="1023" t="s">
        <v>108</v>
      </c>
      <c r="E260" s="965">
        <v>45987</v>
      </c>
      <c r="F260" s="897" t="s">
        <v>113</v>
      </c>
      <c r="G260" s="967" t="s">
        <v>1104</v>
      </c>
      <c r="H260" s="968">
        <v>73</v>
      </c>
      <c r="I260" s="524" t="s">
        <v>92</v>
      </c>
      <c r="J260" s="972" t="s">
        <v>55</v>
      </c>
      <c r="K260" s="1026">
        <v>45987</v>
      </c>
      <c r="L260" s="909" t="s">
        <v>56</v>
      </c>
      <c r="M260" s="1093">
        <v>71371</v>
      </c>
      <c r="N260" s="599"/>
      <c r="O260" s="1027" t="s">
        <v>56</v>
      </c>
      <c r="P260" s="1150" t="s">
        <v>93</v>
      </c>
      <c r="Q260" s="986">
        <v>45987</v>
      </c>
      <c r="R260" s="944">
        <v>5810</v>
      </c>
      <c r="S260" s="1151">
        <v>5674</v>
      </c>
      <c r="T260" s="1058">
        <v>0</v>
      </c>
      <c r="U260" s="4">
        <f>IFERROR(Table5[[#This Row],[Actual Redline Completed Footage UG]]/Table5[[#This Row],[Footage UG]], 0)</f>
        <v>0.97659208261617902</v>
      </c>
      <c r="V260" s="934">
        <v>46030</v>
      </c>
      <c r="W260" s="960">
        <v>1</v>
      </c>
      <c r="X260" s="960">
        <v>1</v>
      </c>
      <c r="Y260" s="283">
        <v>1</v>
      </c>
      <c r="Z260" s="934">
        <v>46052</v>
      </c>
      <c r="AA260" s="936" t="s">
        <v>1105</v>
      </c>
      <c r="AB260" s="345"/>
      <c r="AC260" s="345"/>
      <c r="AD260" s="705"/>
    </row>
    <row r="261" spans="1:30" ht="39.75" customHeight="1">
      <c r="A261" s="1261" t="s">
        <v>1106</v>
      </c>
      <c r="B261" s="874" t="s">
        <v>393</v>
      </c>
      <c r="C261" s="966">
        <v>46019</v>
      </c>
      <c r="D261" s="772" t="s">
        <v>108</v>
      </c>
      <c r="E261" s="966">
        <v>45959</v>
      </c>
      <c r="F261" s="967" t="s">
        <v>113</v>
      </c>
      <c r="G261" s="967" t="s">
        <v>1107</v>
      </c>
      <c r="H261" s="968">
        <v>0</v>
      </c>
      <c r="I261" s="773" t="s">
        <v>92</v>
      </c>
      <c r="J261" s="956" t="s">
        <v>55</v>
      </c>
      <c r="K261" s="970">
        <v>45961</v>
      </c>
      <c r="L261" s="956" t="s">
        <v>56</v>
      </c>
      <c r="M261" s="1149">
        <v>64985.65</v>
      </c>
      <c r="N261" s="599"/>
      <c r="O261" s="972" t="s">
        <v>56</v>
      </c>
      <c r="P261" s="1320" t="s">
        <v>93</v>
      </c>
      <c r="Q261" s="986">
        <v>45964</v>
      </c>
      <c r="R261" s="944">
        <v>5155</v>
      </c>
      <c r="S261" s="1151">
        <v>5169</v>
      </c>
      <c r="T261" s="1058">
        <v>0</v>
      </c>
      <c r="U261" s="4">
        <f>IFERROR(Table5[[#This Row],[Actual Redline Completed Footage UG]]/Table5[[#This Row],[Footage UG]], 0)</f>
        <v>1.0027158098933076</v>
      </c>
      <c r="V261" s="934">
        <v>45992</v>
      </c>
      <c r="W261" s="960">
        <v>1</v>
      </c>
      <c r="X261" s="283">
        <v>1</v>
      </c>
      <c r="Y261" s="283">
        <v>1</v>
      </c>
      <c r="Z261" s="934">
        <v>46040</v>
      </c>
      <c r="AA261" s="1143" t="s">
        <v>1108</v>
      </c>
      <c r="AB261" s="345"/>
      <c r="AC261" s="345"/>
      <c r="AD261" s="705"/>
    </row>
    <row r="262" spans="1:30" ht="39.75" customHeight="1">
      <c r="A262" s="1261" t="s">
        <v>1109</v>
      </c>
      <c r="B262" s="874" t="s">
        <v>393</v>
      </c>
      <c r="C262" s="966">
        <v>46019</v>
      </c>
      <c r="D262" s="772" t="s">
        <v>108</v>
      </c>
      <c r="E262" s="966">
        <v>45959</v>
      </c>
      <c r="F262" s="967" t="s">
        <v>113</v>
      </c>
      <c r="G262" s="967" t="s">
        <v>1110</v>
      </c>
      <c r="H262" s="968">
        <v>0</v>
      </c>
      <c r="I262" s="773" t="s">
        <v>92</v>
      </c>
      <c r="J262" s="956" t="s">
        <v>55</v>
      </c>
      <c r="K262" s="970">
        <v>45961</v>
      </c>
      <c r="L262" s="956" t="s">
        <v>56</v>
      </c>
      <c r="M262" s="1149">
        <v>54043.5</v>
      </c>
      <c r="N262" s="599"/>
      <c r="O262" s="972" t="s">
        <v>56</v>
      </c>
      <c r="P262" s="1150" t="s">
        <v>93</v>
      </c>
      <c r="Q262" s="986">
        <v>45961</v>
      </c>
      <c r="R262" s="944">
        <v>4140</v>
      </c>
      <c r="S262" s="1151">
        <v>4140</v>
      </c>
      <c r="T262" s="1058">
        <v>0</v>
      </c>
      <c r="U262" s="4">
        <f>IFERROR(Table5[[#This Row],[Actual Redline Completed Footage UG]]/Table5[[#This Row],[Footage UG]], 0)</f>
        <v>1</v>
      </c>
      <c r="V262" s="934">
        <v>45974</v>
      </c>
      <c r="W262" s="960">
        <v>1</v>
      </c>
      <c r="X262" s="283">
        <v>1</v>
      </c>
      <c r="Y262" s="283">
        <v>1</v>
      </c>
      <c r="Z262" s="934">
        <v>46040</v>
      </c>
      <c r="AA262" s="1143" t="s">
        <v>1111</v>
      </c>
      <c r="AB262" s="345"/>
      <c r="AC262" s="345"/>
      <c r="AD262" s="705"/>
    </row>
    <row r="263" spans="1:30" ht="39.75" customHeight="1">
      <c r="A263" s="1148" t="s">
        <v>1112</v>
      </c>
      <c r="B263" s="1128" t="s">
        <v>393</v>
      </c>
      <c r="C263" s="1026">
        <v>46052</v>
      </c>
      <c r="D263" s="643" t="s">
        <v>108</v>
      </c>
      <c r="E263" s="1026">
        <v>46027</v>
      </c>
      <c r="F263" s="1147" t="s">
        <v>934</v>
      </c>
      <c r="G263" s="1147"/>
      <c r="H263" s="628">
        <v>68</v>
      </c>
      <c r="I263" s="641" t="s">
        <v>92</v>
      </c>
      <c r="J263" s="1027" t="s">
        <v>55</v>
      </c>
      <c r="K263" s="965">
        <v>46027</v>
      </c>
      <c r="L263" s="909" t="s">
        <v>56</v>
      </c>
      <c r="M263" s="1149">
        <v>68608</v>
      </c>
      <c r="N263" s="631"/>
      <c r="O263" s="1027" t="s">
        <v>56</v>
      </c>
      <c r="P263" s="1150" t="s">
        <v>93</v>
      </c>
      <c r="Q263" s="934">
        <v>46027</v>
      </c>
      <c r="R263" s="6">
        <v>5699</v>
      </c>
      <c r="S263" s="1151">
        <v>5669</v>
      </c>
      <c r="T263" s="1059">
        <v>0</v>
      </c>
      <c r="U263" s="81">
        <f>IFERROR(Table5[[#This Row],[Actual Redline Completed Footage UG]]/Table5[[#This Row],[Footage UG]], 0)</f>
        <v>0.99473591858220745</v>
      </c>
      <c r="V263" s="934">
        <v>46034</v>
      </c>
      <c r="W263" s="283">
        <v>1</v>
      </c>
      <c r="X263" s="283">
        <v>1</v>
      </c>
      <c r="Y263" s="283">
        <v>1</v>
      </c>
      <c r="Z263" s="934">
        <v>46052</v>
      </c>
      <c r="AA263" s="936" t="s">
        <v>1113</v>
      </c>
      <c r="AB263" s="345"/>
      <c r="AC263" s="345"/>
      <c r="AD263" s="705"/>
    </row>
    <row r="264" spans="1:30" ht="39.75" customHeight="1">
      <c r="A264" s="1252" t="s">
        <v>1114</v>
      </c>
      <c r="B264" s="1128" t="s">
        <v>393</v>
      </c>
      <c r="C264" s="1251">
        <v>46052</v>
      </c>
      <c r="D264" s="643" t="s">
        <v>108</v>
      </c>
      <c r="E264" s="1026">
        <v>46027</v>
      </c>
      <c r="F264" s="1250" t="s">
        <v>934</v>
      </c>
      <c r="G264" s="1147"/>
      <c r="H264" s="628">
        <v>85</v>
      </c>
      <c r="I264" s="641" t="s">
        <v>92</v>
      </c>
      <c r="J264" s="1027" t="s">
        <v>55</v>
      </c>
      <c r="K264" s="965">
        <v>46027</v>
      </c>
      <c r="L264" s="909" t="s">
        <v>56</v>
      </c>
      <c r="M264" s="1149">
        <v>73334</v>
      </c>
      <c r="N264" s="631"/>
      <c r="O264" s="1027" t="s">
        <v>56</v>
      </c>
      <c r="P264" s="1150" t="s">
        <v>93</v>
      </c>
      <c r="Q264" s="934">
        <v>46027</v>
      </c>
      <c r="R264" s="6">
        <v>5860</v>
      </c>
      <c r="S264" s="1391">
        <v>5883</v>
      </c>
      <c r="T264" s="1059">
        <v>0</v>
      </c>
      <c r="U264" s="81">
        <f>IFERROR(Table5[[#This Row],[Actual Redline Completed Footage UG]]/Table5[[#This Row],[Footage UG]], 0)</f>
        <v>1.0039249146757678</v>
      </c>
      <c r="V264" s="1382">
        <v>46034</v>
      </c>
      <c r="W264" s="283">
        <v>1</v>
      </c>
      <c r="X264" s="283">
        <v>1</v>
      </c>
      <c r="Y264" s="283">
        <v>1</v>
      </c>
      <c r="Z264" s="934">
        <v>46052</v>
      </c>
      <c r="AA264" s="936" t="s">
        <v>1115</v>
      </c>
      <c r="AB264" s="345"/>
      <c r="AC264" s="345"/>
      <c r="AD264" s="705"/>
    </row>
    <row r="265" spans="1:30" ht="39.75" customHeight="1">
      <c r="A265" s="1261" t="s">
        <v>1116</v>
      </c>
      <c r="B265" s="964" t="s">
        <v>393</v>
      </c>
      <c r="C265" s="966">
        <v>46052</v>
      </c>
      <c r="D265" s="1023" t="s">
        <v>108</v>
      </c>
      <c r="E265" s="965">
        <v>46027</v>
      </c>
      <c r="F265" s="1038" t="s">
        <v>934</v>
      </c>
      <c r="G265" s="967"/>
      <c r="H265" s="21">
        <v>81</v>
      </c>
      <c r="I265" s="524" t="s">
        <v>92</v>
      </c>
      <c r="J265" s="972" t="s">
        <v>55</v>
      </c>
      <c r="K265" s="965">
        <v>46027</v>
      </c>
      <c r="L265" s="909" t="s">
        <v>56</v>
      </c>
      <c r="M265" s="1149">
        <v>73885</v>
      </c>
      <c r="N265" s="599"/>
      <c r="O265" s="1027" t="s">
        <v>56</v>
      </c>
      <c r="P265" s="1150" t="s">
        <v>93</v>
      </c>
      <c r="Q265" s="934">
        <v>46027</v>
      </c>
      <c r="R265" s="6">
        <v>6021</v>
      </c>
      <c r="S265" s="1151">
        <v>6092</v>
      </c>
      <c r="T265" s="1058">
        <v>0</v>
      </c>
      <c r="U265" s="4">
        <f>IFERROR(Table5[[#This Row],[Actual Redline Completed Footage UG]]/Table5[[#This Row],[Footage UG]], 0)</f>
        <v>1.0117920611194153</v>
      </c>
      <c r="V265" s="934">
        <v>46035</v>
      </c>
      <c r="W265" s="283">
        <v>1</v>
      </c>
      <c r="X265" s="283">
        <v>1</v>
      </c>
      <c r="Y265" s="283">
        <v>1</v>
      </c>
      <c r="Z265" s="934">
        <v>46052</v>
      </c>
      <c r="AA265" s="936" t="s">
        <v>1117</v>
      </c>
      <c r="AB265" s="345"/>
      <c r="AC265" s="345"/>
      <c r="AD265" s="705"/>
    </row>
    <row r="266" spans="1:30" ht="39.75" customHeight="1">
      <c r="A266" s="1252" t="s">
        <v>1118</v>
      </c>
      <c r="B266" s="1128" t="s">
        <v>393</v>
      </c>
      <c r="C266" s="1251">
        <v>46052</v>
      </c>
      <c r="D266" s="643" t="s">
        <v>108</v>
      </c>
      <c r="E266" s="1026">
        <v>46027</v>
      </c>
      <c r="F266" s="1250" t="s">
        <v>934</v>
      </c>
      <c r="G266" s="1147"/>
      <c r="H266" s="628">
        <v>87</v>
      </c>
      <c r="I266" s="641" t="s">
        <v>92</v>
      </c>
      <c r="J266" s="1027" t="s">
        <v>55</v>
      </c>
      <c r="K266" s="965">
        <v>46027</v>
      </c>
      <c r="L266" s="909" t="s">
        <v>56</v>
      </c>
      <c r="M266" s="1149">
        <v>78025</v>
      </c>
      <c r="N266" s="631"/>
      <c r="O266" s="1027" t="s">
        <v>56</v>
      </c>
      <c r="P266" s="1150" t="s">
        <v>93</v>
      </c>
      <c r="Q266" s="934">
        <v>46027</v>
      </c>
      <c r="R266" s="6">
        <v>6432</v>
      </c>
      <c r="S266" s="1151">
        <v>6309</v>
      </c>
      <c r="T266" s="1059">
        <v>0</v>
      </c>
      <c r="U266" s="81">
        <f>IFERROR(Table5[[#This Row],[Actual Redline Completed Footage UG]]/Table5[[#This Row],[Footage UG]], 0)</f>
        <v>0.98087686567164178</v>
      </c>
      <c r="V266" s="934">
        <v>46035</v>
      </c>
      <c r="W266" s="960">
        <v>1</v>
      </c>
      <c r="X266" s="960">
        <v>1</v>
      </c>
      <c r="Y266" s="283">
        <v>1</v>
      </c>
      <c r="Z266" s="934">
        <v>46052</v>
      </c>
      <c r="AA266" s="936" t="s">
        <v>1119</v>
      </c>
      <c r="AB266" s="345"/>
      <c r="AC266" s="345"/>
      <c r="AD266" s="705"/>
    </row>
    <row r="267" spans="1:30" ht="39.75" customHeight="1">
      <c r="A267" s="1341" t="s">
        <v>1120</v>
      </c>
      <c r="B267" s="964" t="s">
        <v>393</v>
      </c>
      <c r="C267" s="1034">
        <v>46052</v>
      </c>
      <c r="D267" s="1023" t="s">
        <v>108</v>
      </c>
      <c r="E267" s="965">
        <v>46027</v>
      </c>
      <c r="F267" s="1039" t="s">
        <v>934</v>
      </c>
      <c r="G267" s="967"/>
      <c r="H267" s="21">
        <v>68</v>
      </c>
      <c r="I267" s="524" t="s">
        <v>92</v>
      </c>
      <c r="J267" s="972" t="s">
        <v>55</v>
      </c>
      <c r="K267" s="965">
        <v>46027</v>
      </c>
      <c r="L267" s="909" t="s">
        <v>56</v>
      </c>
      <c r="M267" s="1149">
        <v>59114.5</v>
      </c>
      <c r="N267" s="599"/>
      <c r="O267" s="1027" t="s">
        <v>56</v>
      </c>
      <c r="P267" s="1150" t="s">
        <v>93</v>
      </c>
      <c r="Q267" s="934">
        <v>46027</v>
      </c>
      <c r="R267" s="6">
        <v>4836</v>
      </c>
      <c r="S267" s="1391">
        <v>4894</v>
      </c>
      <c r="T267" s="1058">
        <v>0</v>
      </c>
      <c r="U267" s="4">
        <f>IFERROR(Table5[[#This Row],[Actual Redline Completed Footage UG]]/Table5[[#This Row],[Footage UG]], 0)</f>
        <v>1.011993382961125</v>
      </c>
      <c r="V267" s="1385">
        <v>46036</v>
      </c>
      <c r="W267" s="283">
        <v>1</v>
      </c>
      <c r="X267" s="283">
        <v>1</v>
      </c>
      <c r="Y267" s="283">
        <v>1</v>
      </c>
      <c r="Z267" s="934">
        <v>46052</v>
      </c>
      <c r="AA267" s="936" t="s">
        <v>1121</v>
      </c>
      <c r="AB267" s="345"/>
      <c r="AC267" s="345"/>
      <c r="AD267" s="705"/>
    </row>
    <row r="268" spans="1:30" ht="39.75" customHeight="1">
      <c r="A268" s="1261" t="s">
        <v>1122</v>
      </c>
      <c r="B268" s="964" t="s">
        <v>393</v>
      </c>
      <c r="C268" s="966">
        <v>46052</v>
      </c>
      <c r="D268" s="1023" t="s">
        <v>108</v>
      </c>
      <c r="E268" s="965">
        <v>46027</v>
      </c>
      <c r="F268" s="1038" t="s">
        <v>934</v>
      </c>
      <c r="G268" s="967"/>
      <c r="H268" s="21">
        <v>90</v>
      </c>
      <c r="I268" s="524" t="s">
        <v>92</v>
      </c>
      <c r="J268" s="972" t="s">
        <v>55</v>
      </c>
      <c r="K268" s="965">
        <v>46027</v>
      </c>
      <c r="L268" s="909" t="s">
        <v>56</v>
      </c>
      <c r="M268" s="1149">
        <v>88362</v>
      </c>
      <c r="N268" s="599"/>
      <c r="O268" s="1027" t="s">
        <v>56</v>
      </c>
      <c r="P268" s="1150" t="s">
        <v>93</v>
      </c>
      <c r="Q268" s="934">
        <v>46027</v>
      </c>
      <c r="R268" s="6">
        <v>7145</v>
      </c>
      <c r="S268" s="1339">
        <v>7173</v>
      </c>
      <c r="T268" s="1058">
        <v>0</v>
      </c>
      <c r="U268" s="4">
        <f>IFERROR(Table5[[#This Row],[Actual Redline Completed Footage UG]]/Table5[[#This Row],[Footage UG]], 0)</f>
        <v>1.0039188243526942</v>
      </c>
      <c r="V268" s="934">
        <v>46036</v>
      </c>
      <c r="W268" s="960">
        <v>1</v>
      </c>
      <c r="X268" s="960">
        <v>1</v>
      </c>
      <c r="Y268" s="283">
        <v>1</v>
      </c>
      <c r="Z268" s="379" t="s">
        <v>548</v>
      </c>
      <c r="AA268" s="936" t="s">
        <v>1123</v>
      </c>
      <c r="AB268" s="345"/>
      <c r="AC268" s="345"/>
      <c r="AD268" s="705"/>
    </row>
    <row r="269" spans="1:30" ht="39.75" customHeight="1">
      <c r="A269" s="1342" t="s">
        <v>1124</v>
      </c>
      <c r="B269" s="964" t="s">
        <v>393</v>
      </c>
      <c r="C269" s="1034">
        <v>46052</v>
      </c>
      <c r="D269" s="1023" t="s">
        <v>108</v>
      </c>
      <c r="E269" s="1037">
        <v>46027</v>
      </c>
      <c r="F269" s="1038" t="s">
        <v>934</v>
      </c>
      <c r="G269" s="967"/>
      <c r="H269" s="21">
        <v>90</v>
      </c>
      <c r="I269" s="524" t="s">
        <v>92</v>
      </c>
      <c r="J269" s="972" t="s">
        <v>55</v>
      </c>
      <c r="K269" s="965">
        <v>46027</v>
      </c>
      <c r="L269" s="909" t="s">
        <v>56</v>
      </c>
      <c r="M269" s="1093">
        <v>86984</v>
      </c>
      <c r="N269" s="599"/>
      <c r="O269" s="1027" t="s">
        <v>56</v>
      </c>
      <c r="P269" s="1150" t="s">
        <v>93</v>
      </c>
      <c r="Q269" s="934">
        <v>46027</v>
      </c>
      <c r="R269" s="6">
        <v>7341</v>
      </c>
      <c r="S269" s="1392">
        <v>7212</v>
      </c>
      <c r="T269" s="1058">
        <v>0</v>
      </c>
      <c r="U269" s="4">
        <f>IFERROR(Table5[[#This Row],[Actual Redline Completed Footage UG]]/Table5[[#This Row],[Footage UG]], 0)</f>
        <v>0.98242746219861055</v>
      </c>
      <c r="V269" s="1382">
        <v>46037</v>
      </c>
      <c r="W269" s="283">
        <v>1</v>
      </c>
      <c r="X269" s="283">
        <v>1</v>
      </c>
      <c r="Y269" s="283">
        <v>1</v>
      </c>
      <c r="Z269" s="934">
        <v>46048</v>
      </c>
      <c r="AA269" s="936" t="s">
        <v>1125</v>
      </c>
      <c r="AB269" s="345"/>
      <c r="AC269" s="345"/>
      <c r="AD269" s="705"/>
    </row>
    <row r="270" spans="1:30" ht="39.75" customHeight="1">
      <c r="A270" s="1321" t="s">
        <v>1126</v>
      </c>
      <c r="B270" s="802" t="s">
        <v>393</v>
      </c>
      <c r="C270" s="1131">
        <v>46052</v>
      </c>
      <c r="D270" s="522" t="s">
        <v>108</v>
      </c>
      <c r="E270" s="1131">
        <v>46027</v>
      </c>
      <c r="F270" s="1132" t="s">
        <v>113</v>
      </c>
      <c r="G270" s="1132"/>
      <c r="H270" s="972">
        <v>0</v>
      </c>
      <c r="I270" s="524" t="s">
        <v>92</v>
      </c>
      <c r="J270" s="972" t="s">
        <v>55</v>
      </c>
      <c r="K270" s="965">
        <v>46027</v>
      </c>
      <c r="L270" s="909" t="s">
        <v>56</v>
      </c>
      <c r="M270" s="1093">
        <v>54261.05</v>
      </c>
      <c r="N270" s="599"/>
      <c r="O270" s="1027" t="s">
        <v>56</v>
      </c>
      <c r="P270" s="1150" t="s">
        <v>93</v>
      </c>
      <c r="Q270" s="934">
        <v>46027</v>
      </c>
      <c r="R270" s="6">
        <v>4022</v>
      </c>
      <c r="S270" s="1151">
        <v>4019</v>
      </c>
      <c r="T270" s="1058">
        <v>0</v>
      </c>
      <c r="U270" s="4">
        <f>IFERROR(Table5[[#This Row],[Actual Redline Completed Footage UG]]/Table5[[#This Row],[Footage UG]], 0)</f>
        <v>0.99925410243659873</v>
      </c>
      <c r="V270" s="1104">
        <v>46037</v>
      </c>
      <c r="W270" s="960">
        <v>1</v>
      </c>
      <c r="X270" s="960">
        <v>1</v>
      </c>
      <c r="Y270" s="283">
        <v>1</v>
      </c>
      <c r="Z270" s="986">
        <v>46059</v>
      </c>
      <c r="AA270" s="936" t="s">
        <v>1127</v>
      </c>
      <c r="AB270" s="345"/>
      <c r="AC270" s="345"/>
      <c r="AD270" s="705"/>
    </row>
    <row r="271" spans="1:30" ht="39.75" customHeight="1">
      <c r="A271" s="1252" t="s">
        <v>1128</v>
      </c>
      <c r="B271" s="1128" t="s">
        <v>393</v>
      </c>
      <c r="C271" s="1251">
        <v>46052</v>
      </c>
      <c r="D271" s="643" t="s">
        <v>108</v>
      </c>
      <c r="E271" s="1026">
        <v>46027</v>
      </c>
      <c r="F271" s="1147" t="s">
        <v>113</v>
      </c>
      <c r="G271" s="1147"/>
      <c r="H271" s="1027">
        <v>0</v>
      </c>
      <c r="I271" s="641" t="s">
        <v>92</v>
      </c>
      <c r="J271" s="1027" t="s">
        <v>55</v>
      </c>
      <c r="K271" s="965">
        <v>46027</v>
      </c>
      <c r="L271" s="909" t="s">
        <v>56</v>
      </c>
      <c r="M271" s="1149">
        <v>18078.28</v>
      </c>
      <c r="N271" s="631"/>
      <c r="O271" s="1027" t="s">
        <v>56</v>
      </c>
      <c r="P271" s="1150" t="s">
        <v>93</v>
      </c>
      <c r="Q271" s="934">
        <v>46027</v>
      </c>
      <c r="R271" s="6">
        <v>1284</v>
      </c>
      <c r="S271" s="1392">
        <v>1277</v>
      </c>
      <c r="T271" s="1059">
        <v>0</v>
      </c>
      <c r="U271" s="81">
        <f>IFERROR(Table5[[#This Row],[Actual Redline Completed Footage UG]]/Table5[[#This Row],[Footage UG]], 0)</f>
        <v>0.99454828660436134</v>
      </c>
      <c r="V271" s="1382">
        <v>46042</v>
      </c>
      <c r="W271" s="960">
        <v>1</v>
      </c>
      <c r="X271" s="960">
        <v>1</v>
      </c>
      <c r="Y271" s="283">
        <v>1</v>
      </c>
      <c r="Z271" s="986">
        <v>46059</v>
      </c>
      <c r="AA271" s="936"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329</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143</v>
      </c>
      <c r="C276" s="371">
        <v>45807</v>
      </c>
      <c r="D276" s="361" t="s">
        <v>389</v>
      </c>
      <c r="E276" s="370" t="s">
        <v>345</v>
      </c>
      <c r="F276" s="361" t="s">
        <v>659</v>
      </c>
      <c r="G276" s="546" t="s">
        <v>457</v>
      </c>
      <c r="H276" s="365">
        <v>60</v>
      </c>
      <c r="I276" s="667" t="s">
        <v>92</v>
      </c>
      <c r="J276" s="373" t="s">
        <v>67</v>
      </c>
      <c r="K276" s="680"/>
      <c r="L276" s="363">
        <v>45716</v>
      </c>
      <c r="M276" s="373" t="s">
        <v>56</v>
      </c>
      <c r="N276" s="421">
        <v>2075.6999999999998</v>
      </c>
      <c r="O276" s="373" t="s">
        <v>56</v>
      </c>
      <c r="P276" s="740" t="s">
        <v>93</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143</v>
      </c>
      <c r="C277" s="371">
        <v>45807</v>
      </c>
      <c r="D277" s="370" t="s">
        <v>389</v>
      </c>
      <c r="E277" s="370" t="s">
        <v>345</v>
      </c>
      <c r="F277" s="370" t="s">
        <v>659</v>
      </c>
      <c r="G277" s="663" t="s">
        <v>1134</v>
      </c>
      <c r="H277" s="373">
        <v>79</v>
      </c>
      <c r="I277" s="667" t="s">
        <v>92</v>
      </c>
      <c r="J277" s="373" t="s">
        <v>67</v>
      </c>
      <c r="K277" s="380"/>
      <c r="L277" s="363">
        <v>45716</v>
      </c>
      <c r="M277" s="373" t="s">
        <v>56</v>
      </c>
      <c r="N277" s="422">
        <v>2947.5</v>
      </c>
      <c r="O277" s="373" t="s">
        <v>56</v>
      </c>
      <c r="P277" s="741" t="s">
        <v>93</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143</v>
      </c>
      <c r="C278" s="371">
        <v>45807</v>
      </c>
      <c r="D278" s="370" t="s">
        <v>389</v>
      </c>
      <c r="E278" s="370" t="s">
        <v>345</v>
      </c>
      <c r="F278" s="370" t="s">
        <v>659</v>
      </c>
      <c r="G278" s="663" t="s">
        <v>1136</v>
      </c>
      <c r="H278" s="373">
        <v>83</v>
      </c>
      <c r="I278" s="667" t="s">
        <v>92</v>
      </c>
      <c r="J278" s="373" t="s">
        <v>67</v>
      </c>
      <c r="K278" s="380"/>
      <c r="L278" s="363">
        <v>45716</v>
      </c>
      <c r="M278" s="373" t="s">
        <v>56</v>
      </c>
      <c r="N278" s="422">
        <v>2908.95</v>
      </c>
      <c r="O278" s="373" t="s">
        <v>56</v>
      </c>
      <c r="P278" s="741" t="s">
        <v>93</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345</v>
      </c>
      <c r="F279" s="370" t="s">
        <v>121</v>
      </c>
      <c r="G279" s="663" t="s">
        <v>1138</v>
      </c>
      <c r="H279" s="373">
        <v>68</v>
      </c>
      <c r="I279" s="373" t="s">
        <v>93</v>
      </c>
      <c r="J279" s="373" t="s">
        <v>67</v>
      </c>
      <c r="K279" s="373"/>
      <c r="L279" s="668">
        <v>45716</v>
      </c>
      <c r="M279" s="373" t="s">
        <v>56</v>
      </c>
      <c r="N279" s="422">
        <v>1134</v>
      </c>
      <c r="O279" s="373" t="s">
        <v>56</v>
      </c>
      <c r="P279" s="742" t="s">
        <v>93</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345</v>
      </c>
      <c r="F280" s="370" t="s">
        <v>121</v>
      </c>
      <c r="G280" s="681" t="s">
        <v>1140</v>
      </c>
      <c r="H280" s="373">
        <v>38</v>
      </c>
      <c r="I280" s="373" t="s">
        <v>93</v>
      </c>
      <c r="J280" s="373" t="s">
        <v>67</v>
      </c>
      <c r="K280" s="380"/>
      <c r="L280" s="363">
        <v>45716</v>
      </c>
      <c r="M280" s="373" t="s">
        <v>56</v>
      </c>
      <c r="N280" s="422">
        <v>870</v>
      </c>
      <c r="O280" s="373" t="s">
        <v>56</v>
      </c>
      <c r="P280" s="742" t="s">
        <v>93</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92</v>
      </c>
      <c r="J281" s="373" t="s">
        <v>55</v>
      </c>
      <c r="K281" s="373"/>
      <c r="L281" s="668">
        <v>45716</v>
      </c>
      <c r="M281" s="667" t="s">
        <v>56</v>
      </c>
      <c r="N281" s="422">
        <v>2025.6</v>
      </c>
      <c r="O281" s="667" t="s">
        <v>56</v>
      </c>
      <c r="P281" s="742" t="s">
        <v>93</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121</v>
      </c>
      <c r="G282" s="663" t="s">
        <v>1146</v>
      </c>
      <c r="H282" s="373">
        <v>84</v>
      </c>
      <c r="I282" s="373" t="s">
        <v>93</v>
      </c>
      <c r="J282" s="373" t="s">
        <v>67</v>
      </c>
      <c r="K282" s="373"/>
      <c r="L282" s="371">
        <v>45715</v>
      </c>
      <c r="M282" s="373" t="s">
        <v>56</v>
      </c>
      <c r="N282" s="422">
        <v>3801.75</v>
      </c>
      <c r="O282" s="373" t="s">
        <v>56</v>
      </c>
      <c r="P282" s="742" t="s">
        <v>93</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131</v>
      </c>
      <c r="E285" s="728">
        <v>45768</v>
      </c>
      <c r="F285" s="729" t="s">
        <v>113</v>
      </c>
      <c r="G285" s="726"/>
      <c r="H285" s="730">
        <v>0</v>
      </c>
      <c r="I285" s="731" t="s">
        <v>93</v>
      </c>
      <c r="J285" s="730" t="s">
        <v>67</v>
      </c>
      <c r="K285" s="727"/>
      <c r="L285" s="732" t="s">
        <v>67</v>
      </c>
      <c r="M285" s="730" t="s">
        <v>73</v>
      </c>
      <c r="N285" s="733">
        <v>0</v>
      </c>
      <c r="O285" s="730" t="s">
        <v>73</v>
      </c>
      <c r="P285" s="734" t="s">
        <v>93</v>
      </c>
      <c r="Q285" s="735" t="s">
        <v>67</v>
      </c>
      <c r="R285" s="736" t="s">
        <v>110</v>
      </c>
      <c r="S285" s="736" t="s">
        <v>110</v>
      </c>
      <c r="T285" s="736" t="s">
        <v>110</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131</v>
      </c>
      <c r="E286" s="688">
        <v>45768</v>
      </c>
      <c r="F286" s="687" t="s">
        <v>113</v>
      </c>
      <c r="G286" s="689"/>
      <c r="H286" s="690">
        <v>0</v>
      </c>
      <c r="I286" s="696" t="s">
        <v>93</v>
      </c>
      <c r="J286" s="690" t="s">
        <v>67</v>
      </c>
      <c r="K286" s="695"/>
      <c r="L286" s="697" t="s">
        <v>67</v>
      </c>
      <c r="M286" s="690" t="s">
        <v>73</v>
      </c>
      <c r="N286" s="691">
        <v>0</v>
      </c>
      <c r="O286" s="690" t="s">
        <v>73</v>
      </c>
      <c r="P286" s="692" t="s">
        <v>93</v>
      </c>
      <c r="Q286" s="36" t="s">
        <v>67</v>
      </c>
      <c r="R286" s="258" t="s">
        <v>110</v>
      </c>
      <c r="S286" s="258" t="s">
        <v>110</v>
      </c>
      <c r="T286" s="258" t="s">
        <v>110</v>
      </c>
      <c r="U286" s="36"/>
      <c r="V286" s="258">
        <v>3</v>
      </c>
      <c r="W286" s="258">
        <v>3</v>
      </c>
      <c r="X286" s="386">
        <f t="shared" si="2"/>
        <v>0</v>
      </c>
      <c r="Y286" s="699">
        <f t="shared" si="3"/>
        <v>1</v>
      </c>
      <c r="Z286" s="284">
        <v>45768</v>
      </c>
      <c r="AA286" s="27">
        <v>0</v>
      </c>
    </row>
    <row r="287" spans="1:30" ht="39.75" customHeight="1">
      <c r="A287" s="1319" t="s">
        <v>1150</v>
      </c>
      <c r="B287" s="1051" t="s">
        <v>143</v>
      </c>
      <c r="C287" s="1314">
        <v>46053</v>
      </c>
      <c r="D287" s="1315" t="s">
        <v>1151</v>
      </c>
      <c r="E287" s="1316">
        <v>46030</v>
      </c>
      <c r="F287" s="732" t="s">
        <v>147</v>
      </c>
      <c r="G287" s="1317"/>
      <c r="H287" s="956">
        <v>0</v>
      </c>
      <c r="I287" s="731" t="s">
        <v>92</v>
      </c>
      <c r="J287" s="1393" t="s">
        <v>55</v>
      </c>
      <c r="K287" s="43"/>
      <c r="L287" s="697" t="s">
        <v>67</v>
      </c>
      <c r="M287" s="774" t="s">
        <v>56</v>
      </c>
      <c r="N287" s="1394">
        <v>1035</v>
      </c>
      <c r="O287" s="956" t="s">
        <v>56</v>
      </c>
      <c r="P287" s="1318" t="s">
        <v>93</v>
      </c>
      <c r="Q287" s="1395">
        <v>46030</v>
      </c>
      <c r="R287" s="258" t="s">
        <v>110</v>
      </c>
      <c r="S287" s="258" t="s">
        <v>110</v>
      </c>
      <c r="T287" s="258" t="s">
        <v>110</v>
      </c>
      <c r="U287" s="36"/>
      <c r="V287" s="1396">
        <v>0</v>
      </c>
      <c r="W287" s="1397">
        <v>0</v>
      </c>
      <c r="X287" s="386">
        <f t="shared" ref="X287" si="4">SUM(V287-W287)</f>
        <v>0</v>
      </c>
      <c r="Y287" s="699">
        <f t="shared" si="3"/>
        <v>0</v>
      </c>
      <c r="Z287" s="736" t="s">
        <v>548</v>
      </c>
      <c r="AA287" s="1274"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108</v>
      </c>
      <c r="K6">
        <v>22274</v>
      </c>
      <c r="N6" t="s">
        <v>108</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351</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351</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351</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351</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351</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347</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347</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351</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347</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351</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351</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351</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347</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351</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107</v>
      </c>
      <c r="D829">
        <v>1282</v>
      </c>
      <c r="E829">
        <v>980</v>
      </c>
      <c r="G829">
        <v>2262</v>
      </c>
    </row>
    <row r="830" spans="1:7">
      <c r="A830" t="s">
        <v>330</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347</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107</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334</v>
      </c>
      <c r="B847">
        <v>60</v>
      </c>
      <c r="C847">
        <v>219</v>
      </c>
      <c r="G847">
        <v>279</v>
      </c>
    </row>
    <row r="848" spans="1:7">
      <c r="A848" t="s">
        <v>588</v>
      </c>
      <c r="D848">
        <v>240</v>
      </c>
      <c r="G848">
        <v>240</v>
      </c>
    </row>
    <row r="849" spans="1:7">
      <c r="A849" t="s">
        <v>1218</v>
      </c>
      <c r="C849">
        <v>1603</v>
      </c>
      <c r="D849">
        <v>791</v>
      </c>
      <c r="E849">
        <v>2803</v>
      </c>
      <c r="G849">
        <v>5197</v>
      </c>
    </row>
    <row r="850" spans="1:7">
      <c r="A850" t="s">
        <v>342</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342</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347</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342</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337</v>
      </c>
      <c r="D899">
        <v>3179</v>
      </c>
      <c r="G899">
        <v>3179</v>
      </c>
    </row>
    <row r="900" spans="1:7">
      <c r="A900" t="s">
        <v>991</v>
      </c>
      <c r="E900">
        <v>978</v>
      </c>
      <c r="G900">
        <v>978</v>
      </c>
    </row>
    <row r="901" spans="1:7">
      <c r="A901" t="s">
        <v>968</v>
      </c>
      <c r="E901">
        <v>502</v>
      </c>
      <c r="G901">
        <v>502</v>
      </c>
    </row>
    <row r="902" spans="1:7">
      <c r="A902" t="s">
        <v>164</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334</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337</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164</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354</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330</v>
      </c>
    </row>
    <row r="940" spans="1:7">
      <c r="A940" t="s">
        <v>1045</v>
      </c>
      <c r="B940">
        <v>560</v>
      </c>
      <c r="G940">
        <v>560</v>
      </c>
    </row>
    <row r="941" spans="1:7">
      <c r="A941" t="s">
        <v>804</v>
      </c>
    </row>
    <row r="942" spans="1:7">
      <c r="A942" t="s">
        <v>947</v>
      </c>
      <c r="B942">
        <v>138</v>
      </c>
      <c r="G942">
        <v>138</v>
      </c>
    </row>
    <row r="943" spans="1:7">
      <c r="A943" t="s">
        <v>802</v>
      </c>
    </row>
    <row r="944" spans="1:7">
      <c r="A944" t="s">
        <v>337</v>
      </c>
      <c r="B944">
        <v>96</v>
      </c>
      <c r="G944">
        <v>96</v>
      </c>
    </row>
    <row r="945" spans="1:7">
      <c r="A945" t="s">
        <v>991</v>
      </c>
      <c r="B945">
        <v>632</v>
      </c>
      <c r="G945">
        <v>632</v>
      </c>
    </row>
    <row r="946" spans="1:7">
      <c r="A946" t="s">
        <v>968</v>
      </c>
      <c r="B946">
        <v>558</v>
      </c>
      <c r="G946">
        <v>558</v>
      </c>
    </row>
    <row r="947" spans="1:7">
      <c r="A947" t="s">
        <v>164</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339</v>
      </c>
      <c r="B951">
        <v>435</v>
      </c>
      <c r="E951">
        <v>1123</v>
      </c>
      <c r="G951">
        <v>1558</v>
      </c>
    </row>
    <row r="952" spans="1:7">
      <c r="A952" t="s">
        <v>933</v>
      </c>
      <c r="D952">
        <v>1580</v>
      </c>
      <c r="E952">
        <v>1258</v>
      </c>
      <c r="G952">
        <v>2838</v>
      </c>
    </row>
    <row r="953" spans="1:7">
      <c r="A953" t="s">
        <v>547</v>
      </c>
      <c r="D953">
        <v>877</v>
      </c>
      <c r="E953">
        <v>814</v>
      </c>
      <c r="G953">
        <v>1691</v>
      </c>
    </row>
    <row r="954" spans="1:7">
      <c r="A954" t="s">
        <v>153</v>
      </c>
      <c r="D954">
        <v>711</v>
      </c>
      <c r="E954">
        <v>325</v>
      </c>
      <c r="F954">
        <v>430</v>
      </c>
      <c r="G954">
        <v>1466</v>
      </c>
    </row>
    <row r="955" spans="1:7">
      <c r="A955" t="s">
        <v>377</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347</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164</v>
      </c>
      <c r="B973">
        <v>420</v>
      </c>
      <c r="G973">
        <v>420</v>
      </c>
    </row>
    <row r="974" spans="1:7">
      <c r="A974" t="s">
        <v>971</v>
      </c>
    </row>
    <row r="975" spans="1:7">
      <c r="A975" t="s">
        <v>339</v>
      </c>
      <c r="C975">
        <v>1917</v>
      </c>
      <c r="E975">
        <v>272</v>
      </c>
      <c r="G975">
        <v>2189</v>
      </c>
    </row>
    <row r="976" spans="1:7">
      <c r="A976" t="s">
        <v>547</v>
      </c>
      <c r="B976">
        <v>956</v>
      </c>
      <c r="G976">
        <v>956</v>
      </c>
    </row>
    <row r="977" spans="1:7">
      <c r="A977" t="s">
        <v>153</v>
      </c>
      <c r="E977">
        <v>195</v>
      </c>
      <c r="G977">
        <v>195</v>
      </c>
    </row>
    <row r="978" spans="1:7">
      <c r="A978" t="s">
        <v>377</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379</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330</v>
      </c>
    </row>
    <row r="1008" spans="1:7">
      <c r="A1008" t="s">
        <v>823</v>
      </c>
    </row>
    <row r="1009" spans="1:7">
      <c r="A1009" t="s">
        <v>802</v>
      </c>
    </row>
    <row r="1010" spans="1:7">
      <c r="A1010" t="s">
        <v>337</v>
      </c>
    </row>
    <row r="1011" spans="1:7">
      <c r="A1011" t="s">
        <v>164</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339</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362</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365</v>
      </c>
      <c r="D1100">
        <v>817</v>
      </c>
      <c r="E1100">
        <v>1820</v>
      </c>
      <c r="G1100">
        <v>2637</v>
      </c>
    </row>
    <row r="1101" spans="1:7">
      <c r="A1101" t="s">
        <v>886</v>
      </c>
      <c r="E1101">
        <v>1351</v>
      </c>
      <c r="G1101">
        <v>1351</v>
      </c>
    </row>
    <row r="1102" spans="1:7">
      <c r="A1102" t="s">
        <v>371</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371</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156</v>
      </c>
      <c r="C1129">
        <v>890</v>
      </c>
      <c r="D1129">
        <v>1810</v>
      </c>
      <c r="E1129">
        <v>967</v>
      </c>
      <c r="G1129">
        <v>3667</v>
      </c>
    </row>
    <row r="1130" spans="1:7">
      <c r="A1130" t="s">
        <v>381</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371</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371</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204</v>
      </c>
      <c r="F1196">
        <v>0</v>
      </c>
      <c r="G1196">
        <v>0</v>
      </c>
    </row>
    <row r="1197" spans="1:7">
      <c r="A1197" t="s">
        <v>368</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347</v>
      </c>
      <c r="D1206">
        <v>1200</v>
      </c>
      <c r="E1206">
        <v>445</v>
      </c>
      <c r="F1206">
        <v>686</v>
      </c>
      <c r="G1206">
        <v>2331</v>
      </c>
    </row>
    <row r="1207" spans="1:7">
      <c r="A1207" t="s">
        <v>827</v>
      </c>
    </row>
    <row r="1208" spans="1:7">
      <c r="A1208" t="s">
        <v>330</v>
      </c>
    </row>
    <row r="1209" spans="1:7">
      <c r="A1209" t="s">
        <v>354</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368</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359</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347</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134</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217</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224</v>
      </c>
      <c r="D1256">
        <v>2000</v>
      </c>
      <c r="E1256">
        <v>970</v>
      </c>
      <c r="G1256">
        <v>2970</v>
      </c>
    </row>
    <row r="1257" spans="1:7">
      <c r="A1257" t="s">
        <v>343</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347</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134</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343</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374</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347</v>
      </c>
      <c r="B1296">
        <v>859</v>
      </c>
      <c r="G1296">
        <v>859</v>
      </c>
    </row>
    <row r="1297" spans="1:7">
      <c r="A1297" t="s">
        <v>1208</v>
      </c>
      <c r="B1297">
        <v>251</v>
      </c>
      <c r="G1297">
        <v>251</v>
      </c>
    </row>
    <row r="1298" spans="1:7">
      <c r="A1298" t="s">
        <v>164</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217</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89</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347</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89</v>
      </c>
      <c r="B1325">
        <v>712</v>
      </c>
      <c r="C1325">
        <v>1092</v>
      </c>
      <c r="D1325">
        <v>384</v>
      </c>
      <c r="E1325">
        <v>397</v>
      </c>
      <c r="G1325">
        <v>2585</v>
      </c>
    </row>
    <row r="1326" spans="1:7">
      <c r="A1326" t="s">
        <v>1237</v>
      </c>
      <c r="C1326">
        <v>189</v>
      </c>
      <c r="G1326">
        <v>189</v>
      </c>
    </row>
    <row r="1327" spans="1:7">
      <c r="A1327" t="s">
        <v>812</v>
      </c>
      <c r="C1327">
        <v>817</v>
      </c>
      <c r="G1327">
        <v>817</v>
      </c>
    </row>
    <row r="1328" spans="1:7">
      <c r="A1328" t="s">
        <v>202</v>
      </c>
      <c r="D1328">
        <v>753</v>
      </c>
      <c r="E1328">
        <v>1289</v>
      </c>
      <c r="G1328">
        <v>2042</v>
      </c>
    </row>
    <row r="1329" spans="1:7">
      <c r="A1329" t="s">
        <v>221</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204</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204</v>
      </c>
      <c r="B1351">
        <v>1274</v>
      </c>
      <c r="D1351">
        <v>1274</v>
      </c>
    </row>
    <row r="1352" spans="1:7">
      <c r="A1352" t="s">
        <v>89</v>
      </c>
      <c r="B1352">
        <v>1044</v>
      </c>
      <c r="D1352">
        <v>1044</v>
      </c>
    </row>
    <row r="1353" spans="1:7">
      <c r="A1353" t="s">
        <v>202</v>
      </c>
    </row>
    <row r="1354" spans="1:7">
      <c r="A1354" t="s">
        <v>221</v>
      </c>
      <c r="B1354">
        <v>1099</v>
      </c>
      <c r="D1354">
        <v>1099</v>
      </c>
    </row>
    <row r="1355" spans="1:7">
      <c r="A1355" t="s">
        <v>383</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21"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143</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101</v>
      </c>
      <c r="V2" s="28" t="s">
        <v>101</v>
      </c>
      <c r="W2" s="5"/>
      <c r="X2" s="12"/>
    </row>
    <row r="3" spans="1:25">
      <c r="A3" s="267" t="s">
        <v>444</v>
      </c>
      <c r="B3" s="409" t="s">
        <v>143</v>
      </c>
      <c r="C3" s="553">
        <v>45742</v>
      </c>
      <c r="D3" s="554" t="s">
        <v>446</v>
      </c>
      <c r="E3" s="128"/>
      <c r="F3" s="75"/>
      <c r="G3" s="75"/>
      <c r="H3" s="122">
        <v>0</v>
      </c>
      <c r="I3" s="118"/>
      <c r="J3" s="122" t="s">
        <v>56</v>
      </c>
      <c r="K3" s="122" t="s">
        <v>56</v>
      </c>
      <c r="L3" s="122" t="s">
        <v>55</v>
      </c>
      <c r="M3" s="130">
        <v>45716</v>
      </c>
      <c r="N3" s="39" t="s">
        <v>93</v>
      </c>
      <c r="O3" s="22">
        <v>45721</v>
      </c>
      <c r="P3" s="39" t="s">
        <v>93</v>
      </c>
      <c r="Q3" s="28" t="s">
        <v>93</v>
      </c>
      <c r="R3" s="28" t="s">
        <v>93</v>
      </c>
      <c r="S3" s="28" t="s">
        <v>67</v>
      </c>
      <c r="T3" s="28" t="s">
        <v>93</v>
      </c>
      <c r="U3" s="28" t="s">
        <v>93</v>
      </c>
      <c r="V3" s="28" t="s">
        <v>101</v>
      </c>
      <c r="W3" s="36"/>
      <c r="X3" s="28" t="s">
        <v>101</v>
      </c>
      <c r="Y3" t="e">
        <f>VLOOKUP(A3,#REF!,2,FALSE)</f>
        <v>#REF!</v>
      </c>
    </row>
    <row r="4" spans="1:25">
      <c r="A4" s="293" t="s">
        <v>1250</v>
      </c>
      <c r="B4" s="327" t="s">
        <v>143</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101</v>
      </c>
      <c r="V4" s="28" t="s">
        <v>101</v>
      </c>
      <c r="W4" s="36"/>
      <c r="X4" s="28" t="s">
        <v>101</v>
      </c>
      <c r="Y4" t="e">
        <f>VLOOKUP(A4,#REF!,2,FALSE)</f>
        <v>#REF!</v>
      </c>
    </row>
    <row r="5" spans="1:25">
      <c r="A5" s="286" t="s">
        <v>448</v>
      </c>
      <c r="B5" s="327" t="s">
        <v>143</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101</v>
      </c>
      <c r="V5" s="28" t="s">
        <v>101</v>
      </c>
      <c r="W5" s="36"/>
      <c r="X5" s="28" t="s">
        <v>101</v>
      </c>
    </row>
    <row r="6" spans="1:25">
      <c r="A6" s="293" t="s">
        <v>451</v>
      </c>
      <c r="B6" s="327" t="s">
        <v>143</v>
      </c>
      <c r="C6" s="328">
        <v>45747</v>
      </c>
      <c r="D6" s="557" t="s">
        <v>453</v>
      </c>
      <c r="E6" s="127"/>
      <c r="F6" s="74"/>
      <c r="G6" s="74"/>
      <c r="H6" s="122">
        <v>56</v>
      </c>
      <c r="I6" s="118"/>
      <c r="J6" s="125" t="s">
        <v>56</v>
      </c>
      <c r="K6" s="125" t="s">
        <v>56</v>
      </c>
      <c r="L6" s="122" t="s">
        <v>55</v>
      </c>
      <c r="M6" s="132">
        <v>45701</v>
      </c>
      <c r="N6" s="5" t="s">
        <v>93</v>
      </c>
      <c r="O6" s="284">
        <v>45718</v>
      </c>
      <c r="P6" s="5" t="s">
        <v>93</v>
      </c>
      <c r="Q6" s="263" t="s">
        <v>93</v>
      </c>
      <c r="R6" s="12" t="s">
        <v>1252</v>
      </c>
      <c r="S6" s="12" t="s">
        <v>93</v>
      </c>
      <c r="T6" s="12" t="s">
        <v>93</v>
      </c>
      <c r="U6" s="94" t="s">
        <v>93</v>
      </c>
      <c r="V6" s="28" t="s">
        <v>101</v>
      </c>
      <c r="W6" s="36"/>
      <c r="X6" s="28" t="s">
        <v>101</v>
      </c>
      <c r="Y6" t="e">
        <f>VLOOKUP(A6,#REF!,2,FALSE)</f>
        <v>#REF!</v>
      </c>
    </row>
    <row r="7" spans="1:25">
      <c r="A7" s="310" t="s">
        <v>1131</v>
      </c>
      <c r="B7" s="550" t="s">
        <v>143</v>
      </c>
      <c r="C7" s="311">
        <v>45742</v>
      </c>
      <c r="D7" s="331" t="s">
        <v>457</v>
      </c>
      <c r="E7" s="402"/>
      <c r="F7" s="403"/>
      <c r="G7" s="403"/>
      <c r="H7" s="116">
        <v>60</v>
      </c>
      <c r="I7" s="118"/>
      <c r="J7" s="122" t="s">
        <v>56</v>
      </c>
      <c r="K7" s="122" t="s">
        <v>56</v>
      </c>
      <c r="L7" s="122" t="s">
        <v>55</v>
      </c>
      <c r="M7" s="130">
        <v>45716</v>
      </c>
      <c r="N7" s="5" t="s">
        <v>93</v>
      </c>
      <c r="O7" s="36" t="s">
        <v>93</v>
      </c>
      <c r="P7" s="5" t="s">
        <v>93</v>
      </c>
      <c r="Q7" s="263" t="s">
        <v>93</v>
      </c>
      <c r="R7" s="12" t="s">
        <v>1252</v>
      </c>
      <c r="S7" s="12" t="s">
        <v>93</v>
      </c>
      <c r="T7" s="12" t="s">
        <v>93</v>
      </c>
      <c r="U7" s="12" t="s">
        <v>93</v>
      </c>
      <c r="V7" s="28" t="s">
        <v>101</v>
      </c>
      <c r="W7" s="5"/>
      <c r="X7" s="28" t="s">
        <v>101</v>
      </c>
      <c r="Y7" t="e">
        <f>VLOOKUP(A7,#REF!,2,FALSE)</f>
        <v>#REF!</v>
      </c>
    </row>
    <row r="8" spans="1:25">
      <c r="A8" s="112" t="s">
        <v>805</v>
      </c>
      <c r="B8" s="117" t="s">
        <v>143</v>
      </c>
      <c r="C8" s="113">
        <v>45742</v>
      </c>
      <c r="D8" s="122" t="s">
        <v>1253</v>
      </c>
      <c r="E8" s="57"/>
      <c r="F8" s="48"/>
      <c r="G8" s="48"/>
      <c r="H8" s="116">
        <v>84</v>
      </c>
      <c r="I8" s="118"/>
      <c r="J8" s="122" t="s">
        <v>56</v>
      </c>
      <c r="K8" s="122" t="s">
        <v>56</v>
      </c>
      <c r="L8" s="122" t="s">
        <v>55</v>
      </c>
      <c r="M8" s="130">
        <v>45716</v>
      </c>
      <c r="N8" s="5" t="s">
        <v>93</v>
      </c>
      <c r="O8" s="5" t="s">
        <v>93</v>
      </c>
      <c r="P8" s="575" t="s">
        <v>93</v>
      </c>
      <c r="Q8" s="28" t="s">
        <v>93</v>
      </c>
      <c r="R8" s="12" t="s">
        <v>1252</v>
      </c>
      <c r="S8" s="12" t="s">
        <v>93</v>
      </c>
      <c r="T8" s="12" t="s">
        <v>93</v>
      </c>
      <c r="U8" s="12" t="s">
        <v>93</v>
      </c>
      <c r="V8" s="28" t="s">
        <v>101</v>
      </c>
      <c r="W8" s="5"/>
      <c r="X8" s="28" t="s">
        <v>101</v>
      </c>
      <c r="Y8" t="e">
        <f>VLOOKUP(A8,#REF!,2,FALSE)</f>
        <v>#REF!</v>
      </c>
    </row>
    <row r="9" spans="1:25">
      <c r="A9" s="112" t="s">
        <v>1133</v>
      </c>
      <c r="B9" s="117" t="s">
        <v>143</v>
      </c>
      <c r="C9" s="113">
        <v>45742</v>
      </c>
      <c r="D9" s="399" t="s">
        <v>806</v>
      </c>
      <c r="E9" s="128"/>
      <c r="F9" s="75"/>
      <c r="G9" s="75"/>
      <c r="H9" s="122">
        <v>79</v>
      </c>
      <c r="I9" s="118"/>
      <c r="J9" s="122" t="s">
        <v>56</v>
      </c>
      <c r="K9" s="122" t="s">
        <v>56</v>
      </c>
      <c r="L9" s="122" t="s">
        <v>55</v>
      </c>
      <c r="M9" s="130">
        <v>45716</v>
      </c>
      <c r="N9" s="56" t="s">
        <v>93</v>
      </c>
      <c r="O9" s="22">
        <v>45718</v>
      </c>
      <c r="P9" s="56" t="s">
        <v>93</v>
      </c>
      <c r="Q9" s="28" t="s">
        <v>93</v>
      </c>
      <c r="R9" s="12" t="s">
        <v>1252</v>
      </c>
      <c r="S9" s="12" t="s">
        <v>93</v>
      </c>
      <c r="T9" s="12" t="s">
        <v>93</v>
      </c>
      <c r="U9" s="12" t="s">
        <v>93</v>
      </c>
      <c r="V9" s="28" t="s">
        <v>101</v>
      </c>
      <c r="W9" s="5"/>
      <c r="X9" s="28" t="s">
        <v>101</v>
      </c>
      <c r="Y9" t="e">
        <f>VLOOKUP(A9,#REF!,2,FALSE)</f>
        <v>#REF!</v>
      </c>
    </row>
    <row r="10" spans="1:25">
      <c r="A10" s="112" t="s">
        <v>1135</v>
      </c>
      <c r="B10" s="117" t="s">
        <v>143</v>
      </c>
      <c r="C10" s="246">
        <v>45742</v>
      </c>
      <c r="D10" s="330" t="s">
        <v>1134</v>
      </c>
      <c r="E10" s="128"/>
      <c r="F10" s="75"/>
      <c r="G10" s="75"/>
      <c r="H10" s="122">
        <v>83</v>
      </c>
      <c r="I10" s="118"/>
      <c r="J10" s="122" t="s">
        <v>56</v>
      </c>
      <c r="K10" s="122" t="s">
        <v>56</v>
      </c>
      <c r="L10" s="122" t="s">
        <v>55</v>
      </c>
      <c r="M10" s="130">
        <v>45716</v>
      </c>
      <c r="N10" s="5" t="s">
        <v>93</v>
      </c>
      <c r="O10" s="5" t="s">
        <v>93</v>
      </c>
      <c r="P10" s="5" t="s">
        <v>93</v>
      </c>
      <c r="Q10" s="12" t="s">
        <v>93</v>
      </c>
      <c r="R10" s="12" t="s">
        <v>1252</v>
      </c>
      <c r="S10" s="12" t="s">
        <v>93</v>
      </c>
      <c r="T10" s="12" t="s">
        <v>93</v>
      </c>
      <c r="U10" s="98" t="s">
        <v>93</v>
      </c>
      <c r="V10" s="263" t="s">
        <v>101</v>
      </c>
      <c r="W10" s="5"/>
      <c r="X10" s="28" t="s">
        <v>101</v>
      </c>
      <c r="Y10" t="e">
        <f>VLOOKUP(A10,#REF!,2,FALSE)</f>
        <v>#REF!</v>
      </c>
    </row>
    <row r="11" spans="1:25">
      <c r="A11" s="118" t="s">
        <v>455</v>
      </c>
      <c r="B11" s="342" t="s">
        <v>143</v>
      </c>
      <c r="C11" s="113">
        <v>45991</v>
      </c>
      <c r="D11" s="413" t="s">
        <v>457</v>
      </c>
      <c r="E11" s="57">
        <v>31</v>
      </c>
      <c r="F11" s="48"/>
      <c r="G11" s="48"/>
      <c r="H11" s="122">
        <v>31</v>
      </c>
      <c r="I11" s="118"/>
      <c r="J11" s="122" t="s">
        <v>56</v>
      </c>
      <c r="K11" s="122" t="s">
        <v>56</v>
      </c>
      <c r="L11" s="122" t="s">
        <v>55</v>
      </c>
      <c r="M11" s="132">
        <v>45716</v>
      </c>
      <c r="N11" s="5" t="s">
        <v>57</v>
      </c>
      <c r="O11" s="22">
        <v>45716</v>
      </c>
      <c r="P11" s="39" t="s">
        <v>93</v>
      </c>
      <c r="Q11" s="28" t="s">
        <v>93</v>
      </c>
      <c r="R11" s="12" t="s">
        <v>1252</v>
      </c>
      <c r="S11" s="12" t="s">
        <v>93</v>
      </c>
      <c r="T11" s="12" t="s">
        <v>93</v>
      </c>
      <c r="U11" s="263" t="s">
        <v>101</v>
      </c>
      <c r="V11" s="28" t="s">
        <v>101</v>
      </c>
      <c r="W11" s="5"/>
      <c r="X11" s="12"/>
    </row>
    <row r="12" spans="1:25">
      <c r="A12" s="112" t="s">
        <v>351</v>
      </c>
      <c r="B12" s="117" t="s">
        <v>143</v>
      </c>
      <c r="C12" s="113">
        <v>45772</v>
      </c>
      <c r="D12" s="136" t="s">
        <v>457</v>
      </c>
      <c r="E12" s="128"/>
      <c r="F12" s="75"/>
      <c r="G12" s="75"/>
      <c r="H12" s="122">
        <v>31</v>
      </c>
      <c r="I12" s="118"/>
      <c r="J12" s="122" t="s">
        <v>56</v>
      </c>
      <c r="K12" s="122" t="s">
        <v>56</v>
      </c>
      <c r="L12" s="122" t="s">
        <v>55</v>
      </c>
      <c r="M12" s="130">
        <v>45716</v>
      </c>
      <c r="N12" s="5" t="s">
        <v>57</v>
      </c>
      <c r="O12" s="22">
        <v>45716</v>
      </c>
      <c r="P12" s="39" t="s">
        <v>93</v>
      </c>
      <c r="Q12" s="28" t="s">
        <v>93</v>
      </c>
      <c r="R12" s="12" t="s">
        <v>1252</v>
      </c>
      <c r="S12" s="12" t="s">
        <v>93</v>
      </c>
      <c r="T12" s="12" t="s">
        <v>93</v>
      </c>
      <c r="U12" s="28" t="s">
        <v>101</v>
      </c>
      <c r="V12" s="28" t="s">
        <v>101</v>
      </c>
      <c r="W12" s="5"/>
      <c r="X12" s="28" t="s">
        <v>101</v>
      </c>
      <c r="Y12" t="e">
        <f>VLOOKUP(A12,#REF!,2,FALSE)</f>
        <v>#REF!</v>
      </c>
    </row>
    <row r="13" spans="1:25">
      <c r="A13" s="115" t="s">
        <v>347</v>
      </c>
      <c r="B13" s="117" t="s">
        <v>143</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101</v>
      </c>
      <c r="V13" s="28" t="s">
        <v>101</v>
      </c>
      <c r="W13" s="28"/>
      <c r="X13" s="12"/>
    </row>
    <row r="14" spans="1:25">
      <c r="A14" s="115" t="s">
        <v>807</v>
      </c>
      <c r="B14" s="117" t="s">
        <v>143</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101</v>
      </c>
      <c r="V14" s="28" t="s">
        <v>101</v>
      </c>
      <c r="W14" s="28"/>
      <c r="X14" s="12"/>
    </row>
    <row r="15" spans="1:25">
      <c r="A15" s="112" t="s">
        <v>818</v>
      </c>
      <c r="B15" s="117" t="s">
        <v>143</v>
      </c>
      <c r="C15" s="246">
        <v>45711</v>
      </c>
      <c r="D15" s="504" t="s">
        <v>820</v>
      </c>
      <c r="E15" s="57"/>
      <c r="F15" s="48"/>
      <c r="G15" s="48"/>
      <c r="H15" s="122">
        <v>0</v>
      </c>
      <c r="I15" s="118"/>
      <c r="J15" s="122" t="s">
        <v>56</v>
      </c>
      <c r="K15" s="122" t="s">
        <v>56</v>
      </c>
      <c r="L15" s="122" t="s">
        <v>55</v>
      </c>
      <c r="M15" s="132">
        <v>45701</v>
      </c>
      <c r="N15" s="5" t="s">
        <v>93</v>
      </c>
      <c r="O15" s="22">
        <v>45718</v>
      </c>
      <c r="P15" s="5" t="s">
        <v>93</v>
      </c>
      <c r="Q15" s="12" t="s">
        <v>93</v>
      </c>
      <c r="R15" s="12" t="s">
        <v>93</v>
      </c>
      <c r="S15" s="12" t="s">
        <v>67</v>
      </c>
      <c r="T15" s="12" t="s">
        <v>93</v>
      </c>
      <c r="U15" s="12" t="s">
        <v>93</v>
      </c>
      <c r="V15" s="12" t="s">
        <v>93</v>
      </c>
      <c r="W15" s="22">
        <v>45856</v>
      </c>
      <c r="X15" s="28" t="s">
        <v>1255</v>
      </c>
      <c r="Y15" t="e">
        <f>VLOOKUP(A15,#REF!,2,FALSE)</f>
        <v>#REF!</v>
      </c>
    </row>
    <row r="16" spans="1:25">
      <c r="A16" s="112" t="s">
        <v>458</v>
      </c>
      <c r="B16" s="117" t="s">
        <v>143</v>
      </c>
      <c r="C16" s="246">
        <v>45742</v>
      </c>
      <c r="D16" s="563" t="s">
        <v>460</v>
      </c>
      <c r="E16" s="128"/>
      <c r="F16" s="75"/>
      <c r="G16" s="75"/>
      <c r="H16" s="122">
        <v>0</v>
      </c>
      <c r="I16" s="118"/>
      <c r="J16" s="122" t="s">
        <v>56</v>
      </c>
      <c r="K16" s="122" t="s">
        <v>56</v>
      </c>
      <c r="L16" s="122" t="s">
        <v>55</v>
      </c>
      <c r="M16" s="132" t="s">
        <v>1256</v>
      </c>
      <c r="N16" s="5" t="s">
        <v>93</v>
      </c>
      <c r="O16" s="22" t="s">
        <v>1256</v>
      </c>
      <c r="P16" s="5" t="s">
        <v>93</v>
      </c>
      <c r="Q16" s="28" t="s">
        <v>93</v>
      </c>
      <c r="R16" s="12" t="s">
        <v>93</v>
      </c>
      <c r="S16" s="12" t="s">
        <v>67</v>
      </c>
      <c r="T16" s="12" t="s">
        <v>93</v>
      </c>
      <c r="U16" s="28" t="s">
        <v>101</v>
      </c>
      <c r="V16" s="28" t="s">
        <v>101</v>
      </c>
      <c r="W16" s="5"/>
      <c r="X16" s="28" t="s">
        <v>101</v>
      </c>
      <c r="Y16" t="e">
        <f>VLOOKUP(A16,#REF!,2,FALSE)</f>
        <v>#REF!</v>
      </c>
    </row>
    <row r="17" spans="1:25">
      <c r="A17" s="115" t="s">
        <v>825</v>
      </c>
      <c r="B17" s="117" t="s">
        <v>143</v>
      </c>
      <c r="C17" s="114">
        <v>45991</v>
      </c>
      <c r="D17" s="577" t="s">
        <v>826</v>
      </c>
      <c r="E17" s="128"/>
      <c r="F17" s="75"/>
      <c r="G17" s="75"/>
      <c r="H17" s="122">
        <v>0</v>
      </c>
      <c r="I17" s="118"/>
      <c r="J17" s="122" t="s">
        <v>56</v>
      </c>
      <c r="K17" s="122" t="s">
        <v>56</v>
      </c>
      <c r="L17" s="122" t="s">
        <v>55</v>
      </c>
      <c r="M17" s="132">
        <v>45863</v>
      </c>
      <c r="N17" s="5" t="s">
        <v>93</v>
      </c>
      <c r="O17" s="22">
        <v>45863</v>
      </c>
      <c r="P17" s="5" t="s">
        <v>93</v>
      </c>
      <c r="Q17" s="28" t="s">
        <v>93</v>
      </c>
      <c r="R17" s="12" t="s">
        <v>93</v>
      </c>
      <c r="S17" s="12" t="s">
        <v>67</v>
      </c>
      <c r="T17" s="12" t="s">
        <v>93</v>
      </c>
      <c r="U17" s="28" t="s">
        <v>101</v>
      </c>
      <c r="V17" s="28" t="s">
        <v>101</v>
      </c>
      <c r="W17" s="5"/>
      <c r="X17" s="12"/>
    </row>
    <row r="18" spans="1:25">
      <c r="A18" s="115" t="s">
        <v>827</v>
      </c>
      <c r="B18" s="117" t="s">
        <v>143</v>
      </c>
      <c r="C18" s="329">
        <v>45991</v>
      </c>
      <c r="D18" s="330" t="s">
        <v>828</v>
      </c>
      <c r="E18" s="128"/>
      <c r="F18" s="75"/>
      <c r="G18" s="75"/>
      <c r="H18" s="122">
        <v>0</v>
      </c>
      <c r="I18" s="118"/>
      <c r="J18" s="122" t="s">
        <v>56</v>
      </c>
      <c r="K18" s="122" t="s">
        <v>56</v>
      </c>
      <c r="L18" s="122" t="s">
        <v>55</v>
      </c>
      <c r="M18" s="132">
        <v>45881</v>
      </c>
      <c r="N18" s="5" t="s">
        <v>93</v>
      </c>
      <c r="O18" s="132">
        <v>45881</v>
      </c>
      <c r="P18" s="5" t="s">
        <v>93</v>
      </c>
      <c r="Q18" s="28" t="s">
        <v>93</v>
      </c>
      <c r="R18" s="12" t="s">
        <v>93</v>
      </c>
      <c r="S18" s="12" t="s">
        <v>67</v>
      </c>
      <c r="T18" s="12" t="s">
        <v>93</v>
      </c>
      <c r="U18" s="28" t="s">
        <v>101</v>
      </c>
      <c r="V18" s="28" t="s">
        <v>101</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93</v>
      </c>
      <c r="O19" s="22">
        <v>45873</v>
      </c>
      <c r="P19" s="39" t="s">
        <v>93</v>
      </c>
      <c r="Q19" s="28" t="s">
        <v>93</v>
      </c>
      <c r="R19" s="28" t="s">
        <v>93</v>
      </c>
      <c r="S19" s="28" t="s">
        <v>67</v>
      </c>
      <c r="T19" s="28" t="s">
        <v>93</v>
      </c>
      <c r="U19" s="28" t="s">
        <v>93</v>
      </c>
      <c r="V19" s="28" t="s">
        <v>101</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93</v>
      </c>
      <c r="O20" s="61">
        <v>45709</v>
      </c>
      <c r="P20" s="39" t="s">
        <v>93</v>
      </c>
      <c r="Q20" s="28" t="s">
        <v>93</v>
      </c>
      <c r="R20" s="28" t="s">
        <v>93</v>
      </c>
      <c r="S20" s="28" t="s">
        <v>67</v>
      </c>
      <c r="T20" s="28" t="s">
        <v>93</v>
      </c>
      <c r="U20" s="28" t="s">
        <v>93</v>
      </c>
      <c r="V20" s="28" t="s">
        <v>93</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93</v>
      </c>
      <c r="O21" s="22">
        <v>45737</v>
      </c>
      <c r="P21" s="39" t="s">
        <v>93</v>
      </c>
      <c r="Q21" s="28" t="s">
        <v>93</v>
      </c>
      <c r="R21" s="28" t="s">
        <v>93</v>
      </c>
      <c r="S21" s="28" t="s">
        <v>67</v>
      </c>
      <c r="T21" s="28" t="s">
        <v>93</v>
      </c>
      <c r="U21" s="28" t="s">
        <v>93</v>
      </c>
      <c r="V21" s="28" t="s">
        <v>93</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93</v>
      </c>
      <c r="O22" s="22">
        <v>45814</v>
      </c>
      <c r="P22" s="39" t="s">
        <v>93</v>
      </c>
      <c r="Q22" s="28" t="s">
        <v>93</v>
      </c>
      <c r="R22" s="28" t="s">
        <v>93</v>
      </c>
      <c r="S22" s="28" t="s">
        <v>67</v>
      </c>
      <c r="T22" s="28" t="s">
        <v>93</v>
      </c>
      <c r="U22" s="28" t="s">
        <v>93</v>
      </c>
      <c r="V22" s="28" t="s">
        <v>93</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93</v>
      </c>
      <c r="O23" s="22">
        <v>45789</v>
      </c>
      <c r="P23" s="39" t="s">
        <v>93</v>
      </c>
      <c r="Q23" s="28" t="s">
        <v>93</v>
      </c>
      <c r="R23" s="28" t="s">
        <v>93</v>
      </c>
      <c r="S23" s="28" t="s">
        <v>67</v>
      </c>
      <c r="T23" s="28" t="s">
        <v>93</v>
      </c>
      <c r="U23" s="28" t="s">
        <v>93</v>
      </c>
      <c r="V23" s="28" t="s">
        <v>93</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93</v>
      </c>
      <c r="O24" s="22">
        <v>45782</v>
      </c>
      <c r="P24" s="39" t="s">
        <v>93</v>
      </c>
      <c r="Q24" s="28" t="s">
        <v>93</v>
      </c>
      <c r="R24" s="28" t="s">
        <v>93</v>
      </c>
      <c r="S24" s="28" t="s">
        <v>67</v>
      </c>
      <c r="T24" s="28" t="s">
        <v>93</v>
      </c>
      <c r="U24" s="28" t="s">
        <v>93</v>
      </c>
      <c r="V24" s="28" t="s">
        <v>93</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93</v>
      </c>
      <c r="O25" s="61">
        <v>45716</v>
      </c>
      <c r="P25" s="39" t="s">
        <v>93</v>
      </c>
      <c r="Q25" s="28" t="s">
        <v>93</v>
      </c>
      <c r="R25" s="28" t="s">
        <v>93</v>
      </c>
      <c r="S25" s="28" t="s">
        <v>67</v>
      </c>
      <c r="T25" s="28" t="s">
        <v>93</v>
      </c>
      <c r="U25" s="28" t="s">
        <v>93</v>
      </c>
      <c r="V25" s="28" t="s">
        <v>93</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93</v>
      </c>
      <c r="O26" s="22">
        <v>45840</v>
      </c>
      <c r="P26" s="39" t="s">
        <v>93</v>
      </c>
      <c r="Q26" s="28" t="s">
        <v>93</v>
      </c>
      <c r="R26" s="28" t="s">
        <v>93</v>
      </c>
      <c r="S26" s="28" t="s">
        <v>67</v>
      </c>
      <c r="T26" s="28" t="s">
        <v>93</v>
      </c>
      <c r="U26" s="28" t="s">
        <v>93</v>
      </c>
      <c r="V26" s="28" t="s">
        <v>93</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93</v>
      </c>
      <c r="O27" s="22">
        <v>45853</v>
      </c>
      <c r="P27" s="39" t="s">
        <v>93</v>
      </c>
      <c r="Q27" s="28" t="s">
        <v>93</v>
      </c>
      <c r="R27" s="28" t="s">
        <v>93</v>
      </c>
      <c r="S27" s="28" t="s">
        <v>67</v>
      </c>
      <c r="T27" s="28" t="s">
        <v>93</v>
      </c>
      <c r="U27" s="28" t="s">
        <v>93</v>
      </c>
      <c r="V27" s="28" t="s">
        <v>93</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93</v>
      </c>
      <c r="O28" s="22">
        <v>45793</v>
      </c>
      <c r="P28" s="39" t="s">
        <v>93</v>
      </c>
      <c r="Q28" s="28" t="s">
        <v>93</v>
      </c>
      <c r="R28" s="28" t="s">
        <v>93</v>
      </c>
      <c r="S28" s="28" t="s">
        <v>67</v>
      </c>
      <c r="T28" s="28" t="s">
        <v>93</v>
      </c>
      <c r="U28" s="28" t="s">
        <v>93</v>
      </c>
      <c r="V28" s="28" t="s">
        <v>93</v>
      </c>
      <c r="W28" s="5"/>
      <c r="X28" s="28"/>
    </row>
    <row r="29" spans="1:25">
      <c r="A29" s="115" t="s">
        <v>478</v>
      </c>
      <c r="B29" s="112" t="s">
        <v>80</v>
      </c>
      <c r="C29" s="113">
        <v>45711</v>
      </c>
      <c r="D29" s="136" t="s">
        <v>353</v>
      </c>
      <c r="E29" s="565"/>
      <c r="F29" s="569"/>
      <c r="G29" s="569"/>
      <c r="H29" s="116">
        <v>54</v>
      </c>
      <c r="I29" s="118"/>
      <c r="J29" s="126" t="s">
        <v>56</v>
      </c>
      <c r="K29" s="126" t="s">
        <v>56</v>
      </c>
      <c r="L29" s="116" t="s">
        <v>55</v>
      </c>
      <c r="M29" s="132">
        <v>45659</v>
      </c>
      <c r="N29" s="5" t="s">
        <v>93</v>
      </c>
      <c r="O29" s="61">
        <v>45692</v>
      </c>
      <c r="P29" s="5" t="s">
        <v>93</v>
      </c>
      <c r="Q29" s="12" t="s">
        <v>93</v>
      </c>
      <c r="R29" s="12" t="s">
        <v>93</v>
      </c>
      <c r="S29" s="12" t="s">
        <v>93</v>
      </c>
      <c r="T29" s="12" t="s">
        <v>93</v>
      </c>
      <c r="U29" s="12" t="s">
        <v>93</v>
      </c>
      <c r="V29" s="28" t="s">
        <v>93</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93</v>
      </c>
      <c r="O30" s="61">
        <v>45692</v>
      </c>
      <c r="P30" s="5" t="s">
        <v>93</v>
      </c>
      <c r="Q30" s="12" t="s">
        <v>93</v>
      </c>
      <c r="R30" s="12" t="s">
        <v>93</v>
      </c>
      <c r="S30" s="12" t="s">
        <v>93</v>
      </c>
      <c r="T30" s="12" t="s">
        <v>93</v>
      </c>
      <c r="U30" s="52" t="s">
        <v>93</v>
      </c>
      <c r="V30" s="28" t="s">
        <v>93</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93</v>
      </c>
      <c r="O31" s="22">
        <v>45707</v>
      </c>
      <c r="P31" s="39" t="s">
        <v>93</v>
      </c>
      <c r="Q31" s="12" t="s">
        <v>93</v>
      </c>
      <c r="R31" s="12" t="s">
        <v>1252</v>
      </c>
      <c r="S31" s="12" t="s">
        <v>93</v>
      </c>
      <c r="T31" s="76" t="s">
        <v>93</v>
      </c>
      <c r="U31" s="52" t="s">
        <v>93</v>
      </c>
      <c r="V31" s="28" t="s">
        <v>93</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93</v>
      </c>
      <c r="O32" s="22">
        <v>45756</v>
      </c>
      <c r="P32" s="5" t="s">
        <v>93</v>
      </c>
      <c r="Q32" s="28" t="s">
        <v>93</v>
      </c>
      <c r="R32" s="28" t="s">
        <v>1252</v>
      </c>
      <c r="S32" s="12" t="s">
        <v>93</v>
      </c>
      <c r="T32" s="76" t="s">
        <v>93</v>
      </c>
      <c r="U32" s="12" t="s">
        <v>93</v>
      </c>
      <c r="V32" s="28" t="s">
        <v>93</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93</v>
      </c>
      <c r="O33" s="61">
        <v>45749</v>
      </c>
      <c r="P33" s="5" t="s">
        <v>93</v>
      </c>
      <c r="Q33" s="28" t="s">
        <v>93</v>
      </c>
      <c r="R33" s="28" t="s">
        <v>1252</v>
      </c>
      <c r="S33" s="12" t="s">
        <v>93</v>
      </c>
      <c r="T33" s="76" t="s">
        <v>93</v>
      </c>
      <c r="U33" s="12" t="s">
        <v>93</v>
      </c>
      <c r="V33" s="263" t="s">
        <v>93</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93</v>
      </c>
      <c r="O34" s="61">
        <v>45750</v>
      </c>
      <c r="P34" s="5" t="s">
        <v>93</v>
      </c>
      <c r="Q34" s="28" t="s">
        <v>93</v>
      </c>
      <c r="R34" s="28" t="s">
        <v>1252</v>
      </c>
      <c r="S34" s="12" t="s">
        <v>93</v>
      </c>
      <c r="T34" s="76" t="s">
        <v>93</v>
      </c>
      <c r="U34" s="12" t="s">
        <v>93</v>
      </c>
      <c r="V34" s="324" t="s">
        <v>93</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93</v>
      </c>
      <c r="O35" s="61">
        <v>45659</v>
      </c>
      <c r="P35" s="39" t="s">
        <v>93</v>
      </c>
      <c r="Q35" s="12" t="s">
        <v>93</v>
      </c>
      <c r="R35" s="12" t="s">
        <v>1252</v>
      </c>
      <c r="S35" s="12" t="s">
        <v>93</v>
      </c>
      <c r="T35" s="76" t="s">
        <v>93</v>
      </c>
      <c r="U35" s="106" t="s">
        <v>93</v>
      </c>
      <c r="V35" s="28" t="s">
        <v>93</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93</v>
      </c>
      <c r="O36" s="61">
        <v>45659</v>
      </c>
      <c r="P36" s="39" t="s">
        <v>93</v>
      </c>
      <c r="Q36" s="12" t="s">
        <v>93</v>
      </c>
      <c r="R36" s="12" t="s">
        <v>1252</v>
      </c>
      <c r="S36" s="12" t="s">
        <v>93</v>
      </c>
      <c r="T36" s="76" t="s">
        <v>93</v>
      </c>
      <c r="U36" s="12" t="s">
        <v>93</v>
      </c>
      <c r="V36" s="28" t="s">
        <v>93</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93</v>
      </c>
      <c r="N37" s="5" t="s">
        <v>93</v>
      </c>
      <c r="O37" s="61">
        <v>45672</v>
      </c>
      <c r="P37" s="5" t="s">
        <v>93</v>
      </c>
      <c r="Q37" s="12" t="s">
        <v>93</v>
      </c>
      <c r="R37" s="12" t="s">
        <v>1252</v>
      </c>
      <c r="S37" s="12" t="s">
        <v>93</v>
      </c>
      <c r="T37" s="12" t="s">
        <v>93</v>
      </c>
      <c r="U37" s="106" t="s">
        <v>93</v>
      </c>
      <c r="V37" s="28" t="s">
        <v>93</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93</v>
      </c>
      <c r="O38" s="61">
        <v>45673</v>
      </c>
      <c r="P38" s="5" t="s">
        <v>93</v>
      </c>
      <c r="Q38" s="12" t="s">
        <v>93</v>
      </c>
      <c r="R38" s="12" t="s">
        <v>1252</v>
      </c>
      <c r="S38" s="12" t="s">
        <v>93</v>
      </c>
      <c r="T38" s="12" t="s">
        <v>93</v>
      </c>
      <c r="U38" s="106" t="s">
        <v>93</v>
      </c>
      <c r="V38" s="28" t="s">
        <v>93</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93</v>
      </c>
      <c r="N39" s="5" t="s">
        <v>93</v>
      </c>
      <c r="O39" s="61">
        <v>45672</v>
      </c>
      <c r="P39" s="5" t="s">
        <v>93</v>
      </c>
      <c r="Q39" s="12" t="s">
        <v>93</v>
      </c>
      <c r="R39" s="12" t="s">
        <v>1252</v>
      </c>
      <c r="S39" s="12" t="s">
        <v>93</v>
      </c>
      <c r="T39" s="12" t="s">
        <v>93</v>
      </c>
      <c r="U39" s="106" t="s">
        <v>93</v>
      </c>
      <c r="V39" s="28" t="s">
        <v>93</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93</v>
      </c>
      <c r="O40" s="61">
        <v>45715</v>
      </c>
      <c r="P40" s="5" t="s">
        <v>93</v>
      </c>
      <c r="Q40" s="12" t="s">
        <v>93</v>
      </c>
      <c r="R40" s="12" t="s">
        <v>93</v>
      </c>
      <c r="S40" s="12" t="s">
        <v>93</v>
      </c>
      <c r="T40" s="12" t="s">
        <v>93</v>
      </c>
      <c r="U40" s="12" t="s">
        <v>93</v>
      </c>
      <c r="V40" s="28" t="s">
        <v>93</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93</v>
      </c>
      <c r="O41" s="22">
        <v>45729</v>
      </c>
      <c r="P41" s="39" t="s">
        <v>93</v>
      </c>
      <c r="Q41" s="12" t="s">
        <v>93</v>
      </c>
      <c r="R41" s="12" t="s">
        <v>93</v>
      </c>
      <c r="S41" s="12" t="s">
        <v>93</v>
      </c>
      <c r="T41" s="12" t="s">
        <v>93</v>
      </c>
      <c r="U41" s="106" t="s">
        <v>93</v>
      </c>
      <c r="V41" s="28" t="s">
        <v>93</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93</v>
      </c>
      <c r="O42" s="22">
        <v>45737</v>
      </c>
      <c r="P42" s="39" t="s">
        <v>93</v>
      </c>
      <c r="Q42" s="12" t="s">
        <v>93</v>
      </c>
      <c r="R42" s="12" t="s">
        <v>93</v>
      </c>
      <c r="S42" s="12" t="s">
        <v>93</v>
      </c>
      <c r="T42" s="12" t="s">
        <v>93</v>
      </c>
      <c r="U42" s="12" t="s">
        <v>93</v>
      </c>
      <c r="V42" s="28" t="s">
        <v>93</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93</v>
      </c>
      <c r="N43" s="5" t="s">
        <v>93</v>
      </c>
      <c r="O43" s="61">
        <v>45726</v>
      </c>
      <c r="P43" s="5" t="s">
        <v>93</v>
      </c>
      <c r="Q43" s="12" t="s">
        <v>93</v>
      </c>
      <c r="R43" s="12" t="s">
        <v>93</v>
      </c>
      <c r="S43" s="12" t="s">
        <v>93</v>
      </c>
      <c r="T43" s="12" t="s">
        <v>93</v>
      </c>
      <c r="U43" s="12" t="s">
        <v>93</v>
      </c>
      <c r="V43" s="28" t="s">
        <v>93</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93</v>
      </c>
      <c r="O44" s="22">
        <v>45741</v>
      </c>
      <c r="P44" s="5" t="s">
        <v>93</v>
      </c>
      <c r="Q44" s="12" t="s">
        <v>93</v>
      </c>
      <c r="R44" s="12" t="s">
        <v>93</v>
      </c>
      <c r="S44" s="12" t="s">
        <v>93</v>
      </c>
      <c r="T44" s="12" t="s">
        <v>93</v>
      </c>
      <c r="U44" s="12" t="s">
        <v>93</v>
      </c>
      <c r="V44" s="28" t="s">
        <v>93</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93</v>
      </c>
      <c r="N45" s="5" t="s">
        <v>93</v>
      </c>
      <c r="O45" s="61">
        <v>45695</v>
      </c>
      <c r="P45" s="5" t="s">
        <v>93</v>
      </c>
      <c r="Q45" s="12" t="s">
        <v>93</v>
      </c>
      <c r="R45" s="12" t="s">
        <v>93</v>
      </c>
      <c r="S45" s="12" t="s">
        <v>93</v>
      </c>
      <c r="T45" s="12" t="s">
        <v>93</v>
      </c>
      <c r="U45" s="12" t="s">
        <v>93</v>
      </c>
      <c r="V45" s="28" t="s">
        <v>93</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93</v>
      </c>
      <c r="O46" s="61">
        <v>45810</v>
      </c>
      <c r="P46" s="5" t="s">
        <v>93</v>
      </c>
      <c r="Q46" s="12" t="s">
        <v>93</v>
      </c>
      <c r="R46" s="12" t="s">
        <v>93</v>
      </c>
      <c r="S46" s="12" t="s">
        <v>93</v>
      </c>
      <c r="T46" s="12" t="s">
        <v>93</v>
      </c>
      <c r="U46" s="12" t="s">
        <v>93</v>
      </c>
      <c r="V46" s="28" t="s">
        <v>93</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93</v>
      </c>
      <c r="O47" s="22">
        <v>45880</v>
      </c>
      <c r="P47" s="39" t="s">
        <v>93</v>
      </c>
      <c r="Q47" s="12" t="s">
        <v>93</v>
      </c>
      <c r="R47" s="12" t="s">
        <v>93</v>
      </c>
      <c r="S47" s="12" t="s">
        <v>67</v>
      </c>
      <c r="T47" s="12" t="s">
        <v>93</v>
      </c>
      <c r="U47" s="12" t="s">
        <v>93</v>
      </c>
      <c r="V47" s="28" t="s">
        <v>101</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93</v>
      </c>
      <c r="O48" s="22">
        <v>45882</v>
      </c>
      <c r="P48" s="39" t="s">
        <v>93</v>
      </c>
      <c r="Q48" s="94" t="s">
        <v>93</v>
      </c>
      <c r="R48" s="94" t="s">
        <v>93</v>
      </c>
      <c r="S48" s="12" t="s">
        <v>93</v>
      </c>
      <c r="T48" s="12" t="s">
        <v>93</v>
      </c>
      <c r="U48" s="28" t="s">
        <v>93</v>
      </c>
      <c r="V48" s="28" t="s">
        <v>101</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93</v>
      </c>
      <c r="O49" s="22">
        <v>45840</v>
      </c>
      <c r="P49" s="39" t="s">
        <v>93</v>
      </c>
      <c r="Q49" s="12" t="s">
        <v>93</v>
      </c>
      <c r="R49" s="12" t="s">
        <v>93</v>
      </c>
      <c r="S49" s="12" t="s">
        <v>67</v>
      </c>
      <c r="T49" s="12" t="s">
        <v>93</v>
      </c>
      <c r="U49" s="12" t="s">
        <v>93</v>
      </c>
      <c r="V49" s="28" t="s">
        <v>93</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93</v>
      </c>
      <c r="O50" s="22">
        <v>45847</v>
      </c>
      <c r="P50" s="39" t="s">
        <v>93</v>
      </c>
      <c r="Q50" s="12" t="s">
        <v>93</v>
      </c>
      <c r="R50" s="12" t="s">
        <v>93</v>
      </c>
      <c r="S50" s="12" t="s">
        <v>67</v>
      </c>
      <c r="T50" s="12" t="s">
        <v>93</v>
      </c>
      <c r="U50" s="12" t="s">
        <v>93</v>
      </c>
      <c r="V50" s="28" t="s">
        <v>93</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93</v>
      </c>
      <c r="O51" s="22">
        <v>45840</v>
      </c>
      <c r="P51" s="39" t="s">
        <v>93</v>
      </c>
      <c r="Q51" s="12" t="s">
        <v>93</v>
      </c>
      <c r="R51" s="12" t="s">
        <v>93</v>
      </c>
      <c r="S51" s="12" t="s">
        <v>67</v>
      </c>
      <c r="T51" s="12" t="s">
        <v>93</v>
      </c>
      <c r="U51" s="12" t="s">
        <v>93</v>
      </c>
      <c r="V51" s="28" t="s">
        <v>93</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93</v>
      </c>
      <c r="O52" s="22">
        <v>45833</v>
      </c>
      <c r="P52" s="5" t="s">
        <v>93</v>
      </c>
      <c r="Q52" s="12" t="s">
        <v>93</v>
      </c>
      <c r="R52" s="12" t="s">
        <v>93</v>
      </c>
      <c r="S52" s="12" t="s">
        <v>93</v>
      </c>
      <c r="T52" s="12" t="s">
        <v>93</v>
      </c>
      <c r="U52" s="12" t="s">
        <v>93</v>
      </c>
      <c r="V52" s="28" t="s">
        <v>93</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93</v>
      </c>
      <c r="O53" s="22">
        <v>45840</v>
      </c>
      <c r="P53" s="39" t="s">
        <v>93</v>
      </c>
      <c r="Q53" s="12" t="s">
        <v>67</v>
      </c>
      <c r="R53" s="12" t="s">
        <v>93</v>
      </c>
      <c r="S53" s="12" t="s">
        <v>93</v>
      </c>
      <c r="T53" s="12" t="s">
        <v>93</v>
      </c>
      <c r="U53" s="12" t="s">
        <v>93</v>
      </c>
      <c r="V53" s="28" t="s">
        <v>93</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93</v>
      </c>
      <c r="O54" s="22">
        <v>45887</v>
      </c>
      <c r="P54" s="39" t="s">
        <v>93</v>
      </c>
      <c r="Q54" s="12" t="s">
        <v>93</v>
      </c>
      <c r="R54" s="12" t="s">
        <v>93</v>
      </c>
      <c r="S54" s="12" t="s">
        <v>93</v>
      </c>
      <c r="T54" s="12" t="s">
        <v>93</v>
      </c>
      <c r="U54" s="12" t="s">
        <v>93</v>
      </c>
      <c r="V54" s="28" t="s">
        <v>101</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93</v>
      </c>
      <c r="O55" s="22">
        <v>45887</v>
      </c>
      <c r="P55" s="39" t="s">
        <v>93</v>
      </c>
      <c r="Q55" s="52" t="s">
        <v>93</v>
      </c>
      <c r="R55" s="52" t="s">
        <v>93</v>
      </c>
      <c r="S55" s="52" t="s">
        <v>93</v>
      </c>
      <c r="T55" s="52" t="s">
        <v>93</v>
      </c>
      <c r="U55" s="12" t="s">
        <v>93</v>
      </c>
      <c r="V55" s="28" t="s">
        <v>101</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93</v>
      </c>
      <c r="O56" s="22">
        <v>45887</v>
      </c>
      <c r="P56" s="258" t="s">
        <v>93</v>
      </c>
      <c r="Q56" s="12" t="s">
        <v>93</v>
      </c>
      <c r="R56" s="12" t="s">
        <v>93</v>
      </c>
      <c r="S56" s="12" t="s">
        <v>93</v>
      </c>
      <c r="T56" s="12" t="s">
        <v>93</v>
      </c>
      <c r="U56" s="12" t="s">
        <v>93</v>
      </c>
      <c r="V56" s="28" t="s">
        <v>101</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93</v>
      </c>
      <c r="O57" s="61">
        <v>45783</v>
      </c>
      <c r="P57" s="258" t="s">
        <v>93</v>
      </c>
      <c r="Q57" s="12" t="s">
        <v>93</v>
      </c>
      <c r="R57" s="12" t="s">
        <v>1252</v>
      </c>
      <c r="S57" s="12" t="s">
        <v>93</v>
      </c>
      <c r="T57" s="12" t="s">
        <v>93</v>
      </c>
      <c r="U57" s="12" t="s">
        <v>93</v>
      </c>
      <c r="V57" s="28" t="s">
        <v>93</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93</v>
      </c>
      <c r="O58" s="22">
        <v>45776</v>
      </c>
      <c r="P58" s="258" t="s">
        <v>93</v>
      </c>
      <c r="Q58" s="12" t="s">
        <v>93</v>
      </c>
      <c r="R58" s="12" t="s">
        <v>1252</v>
      </c>
      <c r="S58" s="12" t="s">
        <v>93</v>
      </c>
      <c r="T58" s="12" t="s">
        <v>93</v>
      </c>
      <c r="U58" s="12" t="s">
        <v>93</v>
      </c>
      <c r="V58" s="263" t="s">
        <v>93</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93</v>
      </c>
      <c r="O59" s="5" t="s">
        <v>1257</v>
      </c>
      <c r="P59" s="258" t="s">
        <v>93</v>
      </c>
      <c r="Q59" s="12" t="s">
        <v>93</v>
      </c>
      <c r="R59" s="12" t="s">
        <v>1252</v>
      </c>
      <c r="S59" s="12" t="s">
        <v>93</v>
      </c>
      <c r="T59" s="12" t="s">
        <v>93</v>
      </c>
      <c r="U59" s="12" t="s">
        <v>93</v>
      </c>
      <c r="V59" s="263" t="s">
        <v>93</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93</v>
      </c>
      <c r="O60" s="22">
        <v>45812</v>
      </c>
      <c r="P60" s="258" t="s">
        <v>93</v>
      </c>
      <c r="Q60" s="12" t="s">
        <v>93</v>
      </c>
      <c r="R60" s="12" t="s">
        <v>1252</v>
      </c>
      <c r="S60" s="12" t="s">
        <v>93</v>
      </c>
      <c r="T60" s="12" t="s">
        <v>93</v>
      </c>
      <c r="U60" s="12" t="s">
        <v>93</v>
      </c>
      <c r="V60" s="263" t="s">
        <v>93</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93</v>
      </c>
      <c r="N61" s="39" t="s">
        <v>93</v>
      </c>
      <c r="O61" s="61">
        <v>45673</v>
      </c>
      <c r="P61" s="258" t="s">
        <v>93</v>
      </c>
      <c r="Q61" s="12" t="s">
        <v>93</v>
      </c>
      <c r="R61" s="28" t="s">
        <v>57</v>
      </c>
      <c r="S61" s="12" t="s">
        <v>67</v>
      </c>
      <c r="T61" s="12" t="s">
        <v>93</v>
      </c>
      <c r="U61" s="98" t="s">
        <v>93</v>
      </c>
      <c r="V61" s="28" t="s">
        <v>93</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93</v>
      </c>
      <c r="O62" s="22">
        <v>45848</v>
      </c>
      <c r="P62" s="258" t="s">
        <v>93</v>
      </c>
      <c r="Q62" s="12" t="s">
        <v>93</v>
      </c>
      <c r="R62" s="12" t="s">
        <v>93</v>
      </c>
      <c r="S62" s="12" t="s">
        <v>67</v>
      </c>
      <c r="T62" s="12" t="s">
        <v>93</v>
      </c>
      <c r="U62" s="12" t="s">
        <v>93</v>
      </c>
      <c r="V62" s="12" t="s">
        <v>93</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93</v>
      </c>
      <c r="O63" s="22">
        <v>45882</v>
      </c>
      <c r="P63" s="258" t="s">
        <v>93</v>
      </c>
      <c r="Q63" s="12" t="s">
        <v>93</v>
      </c>
      <c r="R63" s="12" t="s">
        <v>93</v>
      </c>
      <c r="S63" s="12" t="s">
        <v>67</v>
      </c>
      <c r="T63" s="12" t="s">
        <v>93</v>
      </c>
      <c r="U63" s="28" t="s">
        <v>101</v>
      </c>
      <c r="V63" s="263" t="s">
        <v>101</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93</v>
      </c>
      <c r="O64" s="22">
        <v>45884</v>
      </c>
      <c r="P64" s="258" t="s">
        <v>93</v>
      </c>
      <c r="Q64" s="12" t="s">
        <v>93</v>
      </c>
      <c r="R64" s="12" t="s">
        <v>93</v>
      </c>
      <c r="S64" s="12" t="s">
        <v>67</v>
      </c>
      <c r="T64" s="12" t="s">
        <v>93</v>
      </c>
      <c r="U64" s="12" t="s">
        <v>93</v>
      </c>
      <c r="V64" s="12" t="s">
        <v>93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93</v>
      </c>
      <c r="O65" s="22">
        <v>45824</v>
      </c>
      <c r="P65" s="258" t="s">
        <v>93</v>
      </c>
      <c r="Q65" s="12" t="s">
        <v>93</v>
      </c>
      <c r="R65" s="12" t="s">
        <v>93</v>
      </c>
      <c r="S65" s="12" t="s">
        <v>67</v>
      </c>
      <c r="T65" s="12" t="s">
        <v>93</v>
      </c>
      <c r="U65" s="28" t="s">
        <v>101</v>
      </c>
      <c r="V65" s="28" t="s">
        <v>101</v>
      </c>
      <c r="W65" s="5"/>
      <c r="X65" s="28" t="s">
        <v>101</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93</v>
      </c>
      <c r="O66" s="61">
        <v>45817</v>
      </c>
      <c r="P66" s="258" t="s">
        <v>93</v>
      </c>
      <c r="Q66" s="94" t="s">
        <v>93</v>
      </c>
      <c r="R66" s="12" t="s">
        <v>93</v>
      </c>
      <c r="S66" s="12" t="s">
        <v>67</v>
      </c>
      <c r="T66" s="12" t="s">
        <v>93</v>
      </c>
      <c r="U66" s="12" t="s">
        <v>93</v>
      </c>
      <c r="V66" s="12" t="s">
        <v>93</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93</v>
      </c>
      <c r="O67" s="22">
        <v>45876</v>
      </c>
      <c r="P67" s="258" t="s">
        <v>93</v>
      </c>
      <c r="Q67" s="94" t="s">
        <v>93</v>
      </c>
      <c r="R67" s="94" t="s">
        <v>93</v>
      </c>
      <c r="S67" s="12" t="s">
        <v>67</v>
      </c>
      <c r="T67" s="12" t="s">
        <v>93</v>
      </c>
      <c r="U67" s="28" t="s">
        <v>101</v>
      </c>
      <c r="V67" s="324" t="s">
        <v>101</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93</v>
      </c>
      <c r="N68" s="39" t="s">
        <v>93</v>
      </c>
      <c r="O68" s="39" t="s">
        <v>93</v>
      </c>
      <c r="P68" s="258" t="s">
        <v>93</v>
      </c>
      <c r="Q68" s="12" t="s">
        <v>93</v>
      </c>
      <c r="R68" s="12" t="s">
        <v>93</v>
      </c>
      <c r="S68" s="12" t="s">
        <v>67</v>
      </c>
      <c r="T68" s="12" t="s">
        <v>93</v>
      </c>
      <c r="U68" s="12" t="s">
        <v>93</v>
      </c>
      <c r="V68" s="263" t="s">
        <v>93</v>
      </c>
      <c r="W68" s="18"/>
      <c r="X68" s="28" t="s">
        <v>101</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93</v>
      </c>
      <c r="O69" s="22">
        <v>45870</v>
      </c>
      <c r="P69" s="258" t="s">
        <v>93</v>
      </c>
      <c r="Q69" s="12" t="s">
        <v>93</v>
      </c>
      <c r="R69" s="12" t="s">
        <v>93</v>
      </c>
      <c r="S69" s="12" t="s">
        <v>67</v>
      </c>
      <c r="T69" s="12" t="s">
        <v>93</v>
      </c>
      <c r="U69" s="28" t="s">
        <v>101</v>
      </c>
      <c r="V69" s="263" t="s">
        <v>101</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93</v>
      </c>
      <c r="O70" s="61">
        <v>45705</v>
      </c>
      <c r="P70" s="36" t="s">
        <v>93</v>
      </c>
      <c r="Q70" s="12" t="s">
        <v>93</v>
      </c>
      <c r="R70" s="12" t="s">
        <v>93</v>
      </c>
      <c r="S70" s="12" t="s">
        <v>67</v>
      </c>
      <c r="T70" s="12" t="s">
        <v>93</v>
      </c>
      <c r="U70" s="12" t="s">
        <v>93</v>
      </c>
      <c r="V70" s="263" t="s">
        <v>93</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93</v>
      </c>
      <c r="O71" s="22">
        <v>45870</v>
      </c>
      <c r="P71" s="36" t="s">
        <v>93</v>
      </c>
      <c r="Q71" s="12" t="s">
        <v>93</v>
      </c>
      <c r="R71" s="12" t="s">
        <v>93</v>
      </c>
      <c r="S71" s="12" t="s">
        <v>67</v>
      </c>
      <c r="T71" s="12" t="s">
        <v>93</v>
      </c>
      <c r="U71" s="28" t="s">
        <v>101</v>
      </c>
      <c r="V71" s="263" t="s">
        <v>101</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93</v>
      </c>
      <c r="O72" s="22">
        <v>45882</v>
      </c>
      <c r="P72" s="258" t="s">
        <v>93</v>
      </c>
      <c r="Q72" s="94" t="s">
        <v>93</v>
      </c>
      <c r="R72" s="12" t="s">
        <v>93</v>
      </c>
      <c r="S72" s="12" t="s">
        <v>67</v>
      </c>
      <c r="T72" s="12" t="s">
        <v>93</v>
      </c>
      <c r="U72" s="12" t="s">
        <v>93</v>
      </c>
      <c r="V72" s="12" t="s">
        <v>93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93</v>
      </c>
      <c r="O73" s="61">
        <v>45790</v>
      </c>
      <c r="P73" s="36" t="s">
        <v>93</v>
      </c>
      <c r="Q73" s="12" t="s">
        <v>93</v>
      </c>
      <c r="R73" s="12" t="s">
        <v>93</v>
      </c>
      <c r="S73" s="12" t="s">
        <v>67</v>
      </c>
      <c r="T73" s="12" t="s">
        <v>93</v>
      </c>
      <c r="U73" s="12" t="s">
        <v>93</v>
      </c>
      <c r="V73" s="263" t="s">
        <v>93</v>
      </c>
      <c r="W73" s="22">
        <v>45821</v>
      </c>
      <c r="X73" s="28" t="s">
        <v>101</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93</v>
      </c>
      <c r="O74" s="22">
        <v>45871</v>
      </c>
      <c r="P74" s="36" t="s">
        <v>93</v>
      </c>
      <c r="Q74" s="12" t="s">
        <v>93</v>
      </c>
      <c r="R74" s="12" t="s">
        <v>93</v>
      </c>
      <c r="S74" s="12" t="s">
        <v>67</v>
      </c>
      <c r="T74" s="12" t="s">
        <v>93</v>
      </c>
      <c r="U74" s="28" t="s">
        <v>101</v>
      </c>
      <c r="V74" s="263" t="s">
        <v>101</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93</v>
      </c>
      <c r="O75" s="22">
        <v>45853</v>
      </c>
      <c r="P75" s="36" t="s">
        <v>93</v>
      </c>
      <c r="Q75" s="12" t="s">
        <v>93</v>
      </c>
      <c r="R75" s="12" t="s">
        <v>93</v>
      </c>
      <c r="S75" s="12" t="s">
        <v>67</v>
      </c>
      <c r="T75" s="12" t="s">
        <v>93</v>
      </c>
      <c r="U75" s="12" t="s">
        <v>93</v>
      </c>
      <c r="V75" s="12" t="s">
        <v>93</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93</v>
      </c>
      <c r="O76" s="22">
        <v>45838</v>
      </c>
      <c r="P76" s="39" t="s">
        <v>93</v>
      </c>
      <c r="Q76" s="106" t="s">
        <v>93</v>
      </c>
      <c r="R76" s="106" t="s">
        <v>93</v>
      </c>
      <c r="S76" s="106" t="s">
        <v>67</v>
      </c>
      <c r="T76" s="106" t="s">
        <v>93</v>
      </c>
      <c r="U76" s="12" t="s">
        <v>93</v>
      </c>
      <c r="V76" s="12" t="s">
        <v>93</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93</v>
      </c>
      <c r="O77" s="22">
        <v>45902</v>
      </c>
      <c r="P77" s="258" t="s">
        <v>93</v>
      </c>
      <c r="Q77" s="12" t="s">
        <v>93</v>
      </c>
      <c r="R77" s="12" t="s">
        <v>93</v>
      </c>
      <c r="S77" s="12" t="s">
        <v>67</v>
      </c>
      <c r="T77" s="12" t="s">
        <v>93</v>
      </c>
      <c r="U77" s="28" t="s">
        <v>101</v>
      </c>
      <c r="V77" s="263" t="s">
        <v>101</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93</v>
      </c>
      <c r="O78" s="22">
        <v>45902</v>
      </c>
      <c r="P78" s="258" t="s">
        <v>93</v>
      </c>
      <c r="Q78" s="12" t="s">
        <v>93</v>
      </c>
      <c r="R78" s="12" t="s">
        <v>93</v>
      </c>
      <c r="S78" s="12" t="s">
        <v>67</v>
      </c>
      <c r="T78" s="12" t="s">
        <v>93</v>
      </c>
      <c r="U78" s="28" t="s">
        <v>101</v>
      </c>
      <c r="V78" s="263" t="s">
        <v>101</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93</v>
      </c>
      <c r="N79" s="39" t="s">
        <v>93</v>
      </c>
      <c r="O79" s="39" t="s">
        <v>93</v>
      </c>
      <c r="P79" s="39" t="s">
        <v>93</v>
      </c>
      <c r="Q79" s="12" t="s">
        <v>67</v>
      </c>
      <c r="R79" s="12" t="s">
        <v>67</v>
      </c>
      <c r="S79" s="12" t="s">
        <v>67</v>
      </c>
      <c r="T79" s="12" t="s">
        <v>93</v>
      </c>
      <c r="U79" s="12" t="s">
        <v>93</v>
      </c>
      <c r="V79" s="263" t="s">
        <v>93</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345</v>
      </c>
      <c r="N80" s="39" t="s">
        <v>93</v>
      </c>
      <c r="O80" s="5" t="s">
        <v>345</v>
      </c>
      <c r="P80" s="39" t="s">
        <v>93</v>
      </c>
      <c r="Q80" s="12" t="s">
        <v>67</v>
      </c>
      <c r="R80" s="12" t="s">
        <v>67</v>
      </c>
      <c r="S80" s="12" t="s">
        <v>67</v>
      </c>
      <c r="T80" s="12" t="s">
        <v>93</v>
      </c>
      <c r="U80" s="12" t="s">
        <v>93</v>
      </c>
      <c r="V80" s="28" t="s">
        <v>93</v>
      </c>
      <c r="W80" s="22">
        <v>45848</v>
      </c>
      <c r="X80" s="28" t="s">
        <v>101</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93</v>
      </c>
      <c r="N81" s="39" t="s">
        <v>93</v>
      </c>
      <c r="O81" s="61">
        <v>45678</v>
      </c>
      <c r="P81" s="39" t="s">
        <v>93</v>
      </c>
      <c r="Q81" s="12" t="s">
        <v>93</v>
      </c>
      <c r="R81" s="12" t="s">
        <v>1252</v>
      </c>
      <c r="S81" s="12" t="s">
        <v>93</v>
      </c>
      <c r="T81" s="12" t="s">
        <v>93</v>
      </c>
      <c r="U81" s="52" t="s">
        <v>93</v>
      </c>
      <c r="V81" s="28" t="s">
        <v>93</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93</v>
      </c>
      <c r="O82" s="22">
        <v>45874</v>
      </c>
      <c r="P82" s="39" t="s">
        <v>93</v>
      </c>
      <c r="Q82" s="12" t="s">
        <v>93</v>
      </c>
      <c r="R82" s="12" t="s">
        <v>1252</v>
      </c>
      <c r="S82" s="12" t="s">
        <v>93</v>
      </c>
      <c r="T82" s="12" t="s">
        <v>93</v>
      </c>
      <c r="U82" s="52" t="s">
        <v>93</v>
      </c>
      <c r="V82" s="28" t="s">
        <v>93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93</v>
      </c>
      <c r="O83" s="22">
        <v>45706</v>
      </c>
      <c r="P83" s="39" t="s">
        <v>93</v>
      </c>
      <c r="Q83" s="102" t="s">
        <v>93</v>
      </c>
      <c r="R83" s="28" t="s">
        <v>93</v>
      </c>
      <c r="S83" s="28" t="s">
        <v>67</v>
      </c>
      <c r="T83" s="28" t="s">
        <v>93</v>
      </c>
      <c r="U83" s="12" t="s">
        <v>93</v>
      </c>
      <c r="V83" s="12" t="s">
        <v>93</v>
      </c>
      <c r="W83" s="132">
        <v>45818</v>
      </c>
      <c r="X83" s="28" t="s">
        <v>101</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93</v>
      </c>
      <c r="O84" s="22">
        <v>45728</v>
      </c>
      <c r="P84" s="5" t="s">
        <v>93</v>
      </c>
      <c r="Q84" s="106" t="s">
        <v>93</v>
      </c>
      <c r="R84" s="106" t="s">
        <v>1252</v>
      </c>
      <c r="S84" s="106" t="s">
        <v>93</v>
      </c>
      <c r="T84" s="106" t="s">
        <v>93</v>
      </c>
      <c r="U84" s="41" t="s">
        <v>93</v>
      </c>
      <c r="V84" s="28" t="s">
        <v>93</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93</v>
      </c>
      <c r="O85" s="22">
        <v>45719</v>
      </c>
      <c r="P85" s="5" t="s">
        <v>93</v>
      </c>
      <c r="Q85" s="12" t="s">
        <v>93</v>
      </c>
      <c r="R85" s="106" t="s">
        <v>1252</v>
      </c>
      <c r="S85" s="106" t="s">
        <v>93</v>
      </c>
      <c r="T85" s="106" t="s">
        <v>93</v>
      </c>
      <c r="U85" s="41" t="s">
        <v>93</v>
      </c>
      <c r="V85" s="41" t="s">
        <v>93</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93</v>
      </c>
      <c r="O86" s="132">
        <v>45728</v>
      </c>
      <c r="P86" s="5" t="s">
        <v>93</v>
      </c>
      <c r="Q86" s="12" t="s">
        <v>93</v>
      </c>
      <c r="R86" s="12" t="s">
        <v>1252</v>
      </c>
      <c r="S86" s="12" t="s">
        <v>93</v>
      </c>
      <c r="T86" s="12" t="s">
        <v>93</v>
      </c>
      <c r="U86" s="28" t="s">
        <v>93</v>
      </c>
      <c r="V86" s="28" t="s">
        <v>93</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93</v>
      </c>
      <c r="O87" s="5" t="s">
        <v>93</v>
      </c>
      <c r="P87" s="5" t="s">
        <v>93</v>
      </c>
      <c r="Q87" s="12" t="s">
        <v>93</v>
      </c>
      <c r="R87" s="12" t="s">
        <v>1252</v>
      </c>
      <c r="S87" s="12" t="s">
        <v>93</v>
      </c>
      <c r="T87" s="12" t="s">
        <v>93</v>
      </c>
      <c r="U87" s="94" t="s">
        <v>93</v>
      </c>
      <c r="V87" s="28" t="s">
        <v>101</v>
      </c>
      <c r="W87" s="5"/>
      <c r="X87" s="28" t="s">
        <v>101</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93</v>
      </c>
      <c r="O88" s="22">
        <v>45728</v>
      </c>
      <c r="P88" s="5" t="s">
        <v>93</v>
      </c>
      <c r="Q88" s="12" t="s">
        <v>93</v>
      </c>
      <c r="R88" s="12" t="s">
        <v>1252</v>
      </c>
      <c r="S88" s="12" t="s">
        <v>93</v>
      </c>
      <c r="T88" s="12" t="s">
        <v>93</v>
      </c>
      <c r="U88" s="94" t="s">
        <v>93</v>
      </c>
      <c r="V88" s="94" t="s">
        <v>93</v>
      </c>
      <c r="W88" s="22">
        <v>45757</v>
      </c>
      <c r="X88" s="28" t="s">
        <v>101</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93</v>
      </c>
      <c r="O89" s="22">
        <v>45722</v>
      </c>
      <c r="P89" s="5" t="s">
        <v>93</v>
      </c>
      <c r="Q89" s="28" t="s">
        <v>93</v>
      </c>
      <c r="R89" s="12" t="s">
        <v>1252</v>
      </c>
      <c r="S89" s="28" t="s">
        <v>93</v>
      </c>
      <c r="T89" s="28" t="s">
        <v>93</v>
      </c>
      <c r="U89" s="28" t="s">
        <v>101</v>
      </c>
      <c r="V89" s="28" t="s">
        <v>101</v>
      </c>
      <c r="W89" s="22">
        <v>45825</v>
      </c>
      <c r="X89" s="28" t="s">
        <v>101</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93</v>
      </c>
      <c r="O90" s="22">
        <v>45727</v>
      </c>
      <c r="P90" s="5" t="s">
        <v>93</v>
      </c>
      <c r="Q90" s="28" t="s">
        <v>93</v>
      </c>
      <c r="R90" s="12" t="s">
        <v>1252</v>
      </c>
      <c r="S90" s="28" t="s">
        <v>93</v>
      </c>
      <c r="T90" s="28" t="s">
        <v>93</v>
      </c>
      <c r="U90" s="29" t="s">
        <v>101</v>
      </c>
      <c r="V90" s="28" t="s">
        <v>101</v>
      </c>
      <c r="W90" s="22">
        <v>45828</v>
      </c>
      <c r="X90" s="28" t="s">
        <v>101</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93</v>
      </c>
      <c r="O91" s="22">
        <v>45723</v>
      </c>
      <c r="P91" s="5" t="s">
        <v>93</v>
      </c>
      <c r="Q91" s="28" t="s">
        <v>93</v>
      </c>
      <c r="R91" s="12" t="s">
        <v>1252</v>
      </c>
      <c r="S91" s="28" t="s">
        <v>93</v>
      </c>
      <c r="T91" s="28" t="s">
        <v>93</v>
      </c>
      <c r="U91" s="28" t="s">
        <v>93</v>
      </c>
      <c r="V91" s="28" t="s">
        <v>93</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93</v>
      </c>
      <c r="O92" s="22">
        <v>45726</v>
      </c>
      <c r="P92" s="5" t="s">
        <v>93</v>
      </c>
      <c r="Q92" s="85" t="s">
        <v>93</v>
      </c>
      <c r="R92" s="12" t="s">
        <v>1252</v>
      </c>
      <c r="S92" s="28" t="s">
        <v>93</v>
      </c>
      <c r="T92" s="28" t="s">
        <v>93</v>
      </c>
      <c r="U92" s="263" t="s">
        <v>93</v>
      </c>
      <c r="V92" s="28" t="s">
        <v>101</v>
      </c>
      <c r="W92" s="5"/>
      <c r="X92" s="28" t="s">
        <v>101</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93</v>
      </c>
      <c r="O93" s="22">
        <v>45727</v>
      </c>
      <c r="P93" s="36" t="s">
        <v>93</v>
      </c>
      <c r="Q93" s="12" t="s">
        <v>93</v>
      </c>
      <c r="R93" s="12" t="s">
        <v>1252</v>
      </c>
      <c r="S93" s="12" t="s">
        <v>93</v>
      </c>
      <c r="T93" s="12" t="s">
        <v>93</v>
      </c>
      <c r="U93" s="263" t="s">
        <v>93</v>
      </c>
      <c r="V93" s="28" t="s">
        <v>93</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93</v>
      </c>
      <c r="O94" s="22">
        <v>45693</v>
      </c>
      <c r="P94" s="36" t="s">
        <v>93</v>
      </c>
      <c r="Q94" s="28" t="s">
        <v>93</v>
      </c>
      <c r="R94" s="28" t="s">
        <v>1252</v>
      </c>
      <c r="S94" s="28" t="s">
        <v>93</v>
      </c>
      <c r="T94" s="28" t="s">
        <v>93</v>
      </c>
      <c r="U94" s="263" t="s">
        <v>101</v>
      </c>
      <c r="V94" s="28" t="s">
        <v>101</v>
      </c>
      <c r="W94" s="5"/>
      <c r="X94" s="28" t="s">
        <v>101</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93</v>
      </c>
      <c r="O95" s="132">
        <v>45694</v>
      </c>
      <c r="P95" s="36" t="s">
        <v>93</v>
      </c>
      <c r="Q95" s="28" t="s">
        <v>93</v>
      </c>
      <c r="R95" s="28" t="s">
        <v>1252</v>
      </c>
      <c r="S95" s="28" t="s">
        <v>93</v>
      </c>
      <c r="T95" s="12" t="s">
        <v>93</v>
      </c>
      <c r="U95" s="28" t="s">
        <v>93</v>
      </c>
      <c r="V95" s="28" t="s">
        <v>93</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93</v>
      </c>
      <c r="O96" s="22">
        <v>45694</v>
      </c>
      <c r="P96" s="5" t="s">
        <v>93</v>
      </c>
      <c r="Q96" s="28" t="s">
        <v>93</v>
      </c>
      <c r="R96" s="41" t="s">
        <v>1252</v>
      </c>
      <c r="S96" s="28" t="s">
        <v>93</v>
      </c>
      <c r="T96" s="28" t="s">
        <v>93</v>
      </c>
      <c r="U96" s="28" t="s">
        <v>101</v>
      </c>
      <c r="V96" s="28" t="s">
        <v>101</v>
      </c>
      <c r="W96" s="5"/>
      <c r="X96" s="28" t="s">
        <v>101</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93</v>
      </c>
      <c r="O97" s="22">
        <v>45688</v>
      </c>
      <c r="P97" s="5" t="s">
        <v>93</v>
      </c>
      <c r="Q97" s="28" t="s">
        <v>93</v>
      </c>
      <c r="R97" s="28" t="s">
        <v>1252</v>
      </c>
      <c r="S97" s="28" t="s">
        <v>93</v>
      </c>
      <c r="T97" s="28" t="s">
        <v>93</v>
      </c>
      <c r="U97" s="28" t="s">
        <v>93</v>
      </c>
      <c r="V97" s="12" t="s">
        <v>93</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93</v>
      </c>
      <c r="O98" s="22">
        <v>45692</v>
      </c>
      <c r="P98" s="5" t="s">
        <v>93</v>
      </c>
      <c r="Q98" s="12" t="s">
        <v>93</v>
      </c>
      <c r="R98" s="12" t="s">
        <v>1252</v>
      </c>
      <c r="S98" s="12" t="s">
        <v>93</v>
      </c>
      <c r="T98" s="12" t="s">
        <v>93</v>
      </c>
      <c r="U98" s="28" t="s">
        <v>101</v>
      </c>
      <c r="V98" s="28" t="s">
        <v>101</v>
      </c>
      <c r="W98" s="22">
        <v>45840</v>
      </c>
      <c r="X98" s="28" t="s">
        <v>101</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93</v>
      </c>
      <c r="O99" s="22">
        <v>45692</v>
      </c>
      <c r="P99" s="5" t="s">
        <v>93</v>
      </c>
      <c r="Q99" s="12" t="s">
        <v>93</v>
      </c>
      <c r="R99" s="12" t="s">
        <v>1252</v>
      </c>
      <c r="S99" s="12" t="s">
        <v>93</v>
      </c>
      <c r="T99" s="52" t="s">
        <v>93</v>
      </c>
      <c r="U99" s="85" t="s">
        <v>93</v>
      </c>
      <c r="V99" s="28" t="s">
        <v>93</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93</v>
      </c>
      <c r="O100" s="103">
        <v>45691</v>
      </c>
      <c r="P100" s="5" t="s">
        <v>93</v>
      </c>
      <c r="Q100" s="12" t="s">
        <v>93</v>
      </c>
      <c r="R100" s="12" t="s">
        <v>1252</v>
      </c>
      <c r="S100" s="12" t="s">
        <v>93</v>
      </c>
      <c r="T100" s="12" t="s">
        <v>93</v>
      </c>
      <c r="U100" s="28" t="s">
        <v>93</v>
      </c>
      <c r="V100" s="94" t="s">
        <v>93</v>
      </c>
      <c r="W100" s="22">
        <v>45789</v>
      </c>
      <c r="X100" s="28" t="s">
        <v>101</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93</v>
      </c>
      <c r="O101" s="22">
        <v>45695</v>
      </c>
      <c r="P101" s="5" t="s">
        <v>93</v>
      </c>
      <c r="Q101" s="12" t="s">
        <v>93</v>
      </c>
      <c r="R101" s="12" t="s">
        <v>1252</v>
      </c>
      <c r="S101" s="12" t="s">
        <v>93</v>
      </c>
      <c r="T101" s="12" t="s">
        <v>93</v>
      </c>
      <c r="U101" s="28" t="s">
        <v>101</v>
      </c>
      <c r="V101" s="139" t="s">
        <v>101</v>
      </c>
      <c r="W101" s="22">
        <v>45810</v>
      </c>
      <c r="X101" s="28" t="s">
        <v>101</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93</v>
      </c>
      <c r="N102" s="5" t="s">
        <v>93</v>
      </c>
      <c r="O102" s="22">
        <v>45699</v>
      </c>
      <c r="P102" s="39" t="s">
        <v>93</v>
      </c>
      <c r="Q102" s="40" t="s">
        <v>93</v>
      </c>
      <c r="R102" s="12" t="s">
        <v>1252</v>
      </c>
      <c r="S102" s="12" t="s">
        <v>93</v>
      </c>
      <c r="T102" s="12" t="s">
        <v>93</v>
      </c>
      <c r="U102" s="12" t="s">
        <v>93</v>
      </c>
      <c r="V102" s="102" t="s">
        <v>93</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93</v>
      </c>
      <c r="O103" s="22">
        <v>45675</v>
      </c>
      <c r="P103" s="39" t="s">
        <v>93</v>
      </c>
      <c r="Q103" s="12" t="s">
        <v>93</v>
      </c>
      <c r="R103" s="12" t="s">
        <v>1252</v>
      </c>
      <c r="S103" s="12" t="s">
        <v>93</v>
      </c>
      <c r="T103" s="12" t="s">
        <v>93</v>
      </c>
      <c r="U103" s="12" t="s">
        <v>93</v>
      </c>
      <c r="V103" s="76" t="s">
        <v>93</v>
      </c>
      <c r="W103" s="5"/>
      <c r="X103" s="28" t="s">
        <v>101</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93</v>
      </c>
      <c r="N104" s="56" t="s">
        <v>93</v>
      </c>
      <c r="O104" s="22">
        <v>45675</v>
      </c>
      <c r="P104" s="149" t="s">
        <v>93</v>
      </c>
      <c r="Q104" s="12" t="s">
        <v>93</v>
      </c>
      <c r="R104" s="12" t="s">
        <v>1252</v>
      </c>
      <c r="S104" s="12" t="s">
        <v>93</v>
      </c>
      <c r="T104" s="12" t="s">
        <v>93</v>
      </c>
      <c r="U104" s="12" t="s">
        <v>93</v>
      </c>
      <c r="V104" s="76" t="s">
        <v>93</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93</v>
      </c>
      <c r="O105" s="22">
        <v>45743</v>
      </c>
      <c r="P105" s="39" t="s">
        <v>93</v>
      </c>
      <c r="Q105" s="94" t="s">
        <v>93</v>
      </c>
      <c r="R105" s="28" t="s">
        <v>1252</v>
      </c>
      <c r="S105" s="12" t="s">
        <v>93</v>
      </c>
      <c r="T105" s="12" t="s">
        <v>93</v>
      </c>
      <c r="U105" s="28" t="s">
        <v>101</v>
      </c>
      <c r="V105" s="102" t="s">
        <v>101</v>
      </c>
      <c r="W105" s="5"/>
      <c r="X105" s="28" t="s">
        <v>101</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93</v>
      </c>
      <c r="O106" s="22">
        <v>45679</v>
      </c>
      <c r="P106" s="39" t="s">
        <v>93</v>
      </c>
      <c r="Q106" s="12" t="s">
        <v>93</v>
      </c>
      <c r="R106" s="12" t="s">
        <v>1252</v>
      </c>
      <c r="S106" s="12" t="s">
        <v>93</v>
      </c>
      <c r="T106" s="12" t="s">
        <v>93</v>
      </c>
      <c r="U106" s="12" t="s">
        <v>93</v>
      </c>
      <c r="V106" s="102" t="s">
        <v>101</v>
      </c>
      <c r="W106" s="22">
        <v>45820</v>
      </c>
      <c r="X106" s="28" t="s">
        <v>101</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93</v>
      </c>
      <c r="O107" s="22">
        <v>45749</v>
      </c>
      <c r="P107" s="5" t="s">
        <v>93</v>
      </c>
      <c r="Q107" s="12" t="s">
        <v>93</v>
      </c>
      <c r="R107" s="12" t="s">
        <v>1252</v>
      </c>
      <c r="S107" s="12" t="s">
        <v>93</v>
      </c>
      <c r="T107" s="12" t="s">
        <v>93</v>
      </c>
      <c r="U107" s="12" t="s">
        <v>93</v>
      </c>
      <c r="V107" s="102" t="s">
        <v>101</v>
      </c>
      <c r="W107" s="5"/>
      <c r="X107" s="28" t="s">
        <v>101</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93</v>
      </c>
      <c r="O108" s="22">
        <v>45749</v>
      </c>
      <c r="P108" s="5" t="s">
        <v>93</v>
      </c>
      <c r="Q108" s="12" t="s">
        <v>93</v>
      </c>
      <c r="R108" s="263" t="s">
        <v>1252</v>
      </c>
      <c r="S108" s="12" t="s">
        <v>93</v>
      </c>
      <c r="T108" s="12" t="s">
        <v>93</v>
      </c>
      <c r="U108" s="40" t="s">
        <v>93</v>
      </c>
      <c r="V108" s="376" t="s">
        <v>93</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93</v>
      </c>
      <c r="O109" s="22">
        <v>45744</v>
      </c>
      <c r="P109" s="36" t="s">
        <v>93</v>
      </c>
      <c r="Q109" s="12" t="s">
        <v>93</v>
      </c>
      <c r="R109" s="263" t="s">
        <v>1252</v>
      </c>
      <c r="S109" s="12" t="s">
        <v>93</v>
      </c>
      <c r="T109" s="12" t="s">
        <v>93</v>
      </c>
      <c r="U109" s="12" t="s">
        <v>1259</v>
      </c>
      <c r="V109" s="110" t="s">
        <v>101</v>
      </c>
      <c r="W109" s="385">
        <v>45804</v>
      </c>
      <c r="X109" s="28" t="s">
        <v>101</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93</v>
      </c>
      <c r="O110" s="22">
        <v>45691</v>
      </c>
      <c r="P110" s="36" t="s">
        <v>93</v>
      </c>
      <c r="Q110" s="12" t="s">
        <v>93</v>
      </c>
      <c r="R110" s="263" t="s">
        <v>1252</v>
      </c>
      <c r="S110" s="12" t="s">
        <v>93</v>
      </c>
      <c r="T110" s="12" t="s">
        <v>93</v>
      </c>
      <c r="U110" s="40" t="s">
        <v>93</v>
      </c>
      <c r="V110" s="376" t="s">
        <v>93</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93</v>
      </c>
      <c r="O111" s="22">
        <v>45708</v>
      </c>
      <c r="P111" s="5" t="s">
        <v>93</v>
      </c>
      <c r="Q111" s="106" t="s">
        <v>93</v>
      </c>
      <c r="R111" s="28" t="s">
        <v>1252</v>
      </c>
      <c r="S111" s="12" t="s">
        <v>93</v>
      </c>
      <c r="T111" s="12" t="s">
        <v>93</v>
      </c>
      <c r="U111" s="12" t="s">
        <v>93</v>
      </c>
      <c r="V111" s="138" t="s">
        <v>93</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93</v>
      </c>
      <c r="O112" s="103">
        <v>45744</v>
      </c>
      <c r="P112" s="51" t="s">
        <v>93</v>
      </c>
      <c r="Q112" s="52" t="s">
        <v>93</v>
      </c>
      <c r="R112" s="85" t="s">
        <v>1252</v>
      </c>
      <c r="S112" s="12" t="s">
        <v>93</v>
      </c>
      <c r="T112" s="12" t="s">
        <v>93</v>
      </c>
      <c r="U112" s="12" t="s">
        <v>93</v>
      </c>
      <c r="V112" s="138" t="s">
        <v>93</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93</v>
      </c>
      <c r="O113" s="103">
        <v>45755</v>
      </c>
      <c r="P113" s="51" t="s">
        <v>93</v>
      </c>
      <c r="Q113" s="52" t="s">
        <v>93</v>
      </c>
      <c r="R113" s="85" t="s">
        <v>1252</v>
      </c>
      <c r="S113" s="52" t="s">
        <v>93</v>
      </c>
      <c r="T113" s="12" t="s">
        <v>93</v>
      </c>
      <c r="U113" s="12" t="s">
        <v>93</v>
      </c>
      <c r="V113" s="138" t="s">
        <v>93</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93</v>
      </c>
      <c r="O114" s="22">
        <v>45747</v>
      </c>
      <c r="P114" s="51" t="s">
        <v>93</v>
      </c>
      <c r="Q114" s="52" t="s">
        <v>93</v>
      </c>
      <c r="R114" s="85" t="s">
        <v>1252</v>
      </c>
      <c r="S114" s="52" t="s">
        <v>93</v>
      </c>
      <c r="T114" s="12" t="s">
        <v>93</v>
      </c>
      <c r="U114" s="94" t="s">
        <v>93</v>
      </c>
      <c r="V114" s="138" t="s">
        <v>93</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93</v>
      </c>
      <c r="O115" s="61">
        <v>45757</v>
      </c>
      <c r="P115" s="5" t="s">
        <v>93</v>
      </c>
      <c r="Q115" s="12" t="s">
        <v>93</v>
      </c>
      <c r="R115" s="28" t="s">
        <v>1252</v>
      </c>
      <c r="S115" s="12" t="s">
        <v>93</v>
      </c>
      <c r="T115" s="12" t="s">
        <v>93</v>
      </c>
      <c r="U115" s="12" t="s">
        <v>93</v>
      </c>
      <c r="V115" s="40" t="s">
        <v>93</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93</v>
      </c>
      <c r="O116" s="61">
        <v>45757</v>
      </c>
      <c r="P116" s="5" t="s">
        <v>93</v>
      </c>
      <c r="Q116" s="12" t="s">
        <v>93</v>
      </c>
      <c r="R116" s="28" t="s">
        <v>1252</v>
      </c>
      <c r="S116" s="12" t="s">
        <v>93</v>
      </c>
      <c r="T116" s="12" t="s">
        <v>93</v>
      </c>
      <c r="U116" s="12" t="s">
        <v>93</v>
      </c>
      <c r="V116" s="376" t="s">
        <v>93</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93</v>
      </c>
      <c r="O117" s="61">
        <v>45757</v>
      </c>
      <c r="P117" s="5" t="s">
        <v>93</v>
      </c>
      <c r="Q117" s="12" t="s">
        <v>93</v>
      </c>
      <c r="R117" s="28" t="s">
        <v>1252</v>
      </c>
      <c r="S117" s="12" t="s">
        <v>93</v>
      </c>
      <c r="T117" s="12" t="s">
        <v>93</v>
      </c>
      <c r="U117" s="12" t="s">
        <v>93</v>
      </c>
      <c r="V117" s="40" t="s">
        <v>93</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93</v>
      </c>
      <c r="O118" s="61">
        <v>45757</v>
      </c>
      <c r="P118" s="39" t="s">
        <v>93</v>
      </c>
      <c r="Q118" s="12" t="s">
        <v>93</v>
      </c>
      <c r="R118" s="12" t="s">
        <v>1252</v>
      </c>
      <c r="S118" s="12" t="s">
        <v>93</v>
      </c>
      <c r="T118" s="12" t="s">
        <v>93</v>
      </c>
      <c r="U118" s="94" t="s">
        <v>93</v>
      </c>
      <c r="V118" s="40" t="s">
        <v>93</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93</v>
      </c>
      <c r="O119" s="61">
        <v>45757</v>
      </c>
      <c r="P119" s="5" t="s">
        <v>93</v>
      </c>
      <c r="Q119" s="28" t="s">
        <v>93</v>
      </c>
      <c r="R119" s="28" t="s">
        <v>1252</v>
      </c>
      <c r="S119" s="12" t="s">
        <v>93</v>
      </c>
      <c r="T119" s="12" t="s">
        <v>93</v>
      </c>
      <c r="U119" s="94" t="s">
        <v>93</v>
      </c>
      <c r="V119" s="40" t="s">
        <v>93</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93</v>
      </c>
      <c r="O120" s="22">
        <v>45748</v>
      </c>
      <c r="P120" s="5" t="s">
        <v>93</v>
      </c>
      <c r="Q120" s="12" t="s">
        <v>93</v>
      </c>
      <c r="R120" s="28" t="s">
        <v>1252</v>
      </c>
      <c r="S120" s="12" t="s">
        <v>93</v>
      </c>
      <c r="T120" s="12" t="s">
        <v>93</v>
      </c>
      <c r="U120" s="12" t="s">
        <v>93</v>
      </c>
      <c r="V120" s="40" t="s">
        <v>93</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93</v>
      </c>
      <c r="O121" s="61">
        <v>45757</v>
      </c>
      <c r="P121" s="5" t="s">
        <v>93</v>
      </c>
      <c r="Q121" s="28" t="s">
        <v>93</v>
      </c>
      <c r="R121" s="28" t="s">
        <v>1252</v>
      </c>
      <c r="S121" s="12" t="s">
        <v>93</v>
      </c>
      <c r="T121" s="12" t="s">
        <v>93</v>
      </c>
      <c r="U121" s="12" t="s">
        <v>93</v>
      </c>
      <c r="V121" s="28" t="s">
        <v>101</v>
      </c>
      <c r="W121" s="22">
        <v>45838</v>
      </c>
      <c r="X121" s="28" t="s">
        <v>101</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93</v>
      </c>
      <c r="O122" s="22">
        <v>45747</v>
      </c>
      <c r="P122" s="5" t="s">
        <v>93</v>
      </c>
      <c r="Q122" s="28" t="s">
        <v>93</v>
      </c>
      <c r="R122" s="28" t="s">
        <v>1252</v>
      </c>
      <c r="S122" s="12" t="s">
        <v>93</v>
      </c>
      <c r="T122" s="12" t="s">
        <v>93</v>
      </c>
      <c r="U122" s="94" t="s">
        <v>93</v>
      </c>
      <c r="V122" s="94" t="s">
        <v>93</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93</v>
      </c>
      <c r="O123" s="22">
        <v>45744</v>
      </c>
      <c r="P123" s="5" t="s">
        <v>93</v>
      </c>
      <c r="Q123" s="12" t="s">
        <v>93</v>
      </c>
      <c r="R123" s="28" t="s">
        <v>1252</v>
      </c>
      <c r="S123" s="12" t="s">
        <v>93</v>
      </c>
      <c r="T123" s="12" t="s">
        <v>93</v>
      </c>
      <c r="U123" s="12" t="s">
        <v>93</v>
      </c>
      <c r="V123" s="28" t="s">
        <v>93</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93</v>
      </c>
      <c r="O124" s="22">
        <v>45744</v>
      </c>
      <c r="P124" s="5" t="s">
        <v>93</v>
      </c>
      <c r="Q124" s="12" t="s">
        <v>93</v>
      </c>
      <c r="R124" s="28" t="s">
        <v>1252</v>
      </c>
      <c r="S124" s="12" t="s">
        <v>93</v>
      </c>
      <c r="T124" s="12" t="s">
        <v>93</v>
      </c>
      <c r="U124" s="12" t="s">
        <v>1259</v>
      </c>
      <c r="V124" s="28" t="s">
        <v>101</v>
      </c>
      <c r="W124" s="22">
        <v>45832</v>
      </c>
      <c r="X124" s="28" t="s">
        <v>101</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93</v>
      </c>
      <c r="N125" s="5" t="s">
        <v>93</v>
      </c>
      <c r="O125" s="22">
        <v>45679</v>
      </c>
      <c r="P125" s="5" t="s">
        <v>93</v>
      </c>
      <c r="Q125" s="28" t="s">
        <v>93</v>
      </c>
      <c r="R125" s="12" t="s">
        <v>1252</v>
      </c>
      <c r="S125" s="12" t="s">
        <v>93</v>
      </c>
      <c r="T125" s="12" t="s">
        <v>93</v>
      </c>
      <c r="U125" s="12" t="s">
        <v>93</v>
      </c>
      <c r="V125" s="12" t="s">
        <v>93</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93</v>
      </c>
      <c r="N126" s="5" t="s">
        <v>93</v>
      </c>
      <c r="O126" s="22">
        <v>45720</v>
      </c>
      <c r="P126" s="5" t="s">
        <v>93</v>
      </c>
      <c r="Q126" s="28" t="s">
        <v>93</v>
      </c>
      <c r="R126" s="12" t="s">
        <v>1252</v>
      </c>
      <c r="S126" s="12" t="s">
        <v>93</v>
      </c>
      <c r="T126" s="12" t="s">
        <v>93</v>
      </c>
      <c r="U126" s="12" t="s">
        <v>93</v>
      </c>
      <c r="V126" s="40" t="s">
        <v>93</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93</v>
      </c>
      <c r="O127" s="22">
        <v>45679</v>
      </c>
      <c r="P127" s="5" t="s">
        <v>93</v>
      </c>
      <c r="Q127" s="12" t="s">
        <v>93</v>
      </c>
      <c r="R127" s="12" t="s">
        <v>1252</v>
      </c>
      <c r="S127" s="12" t="s">
        <v>93</v>
      </c>
      <c r="T127" s="12" t="s">
        <v>93</v>
      </c>
      <c r="U127" s="12" t="s">
        <v>93</v>
      </c>
      <c r="V127" s="40" t="s">
        <v>93</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93</v>
      </c>
      <c r="O128" s="275">
        <v>45694</v>
      </c>
      <c r="P128" s="39" t="s">
        <v>93</v>
      </c>
      <c r="Q128" s="12" t="s">
        <v>93</v>
      </c>
      <c r="R128" s="12" t="s">
        <v>1252</v>
      </c>
      <c r="S128" s="12" t="s">
        <v>93</v>
      </c>
      <c r="T128" s="12" t="s">
        <v>93</v>
      </c>
      <c r="U128" s="12" t="s">
        <v>93</v>
      </c>
      <c r="V128" s="40" t="s">
        <v>93</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93</v>
      </c>
      <c r="O129" s="103">
        <v>45720</v>
      </c>
      <c r="P129" s="51" t="s">
        <v>93</v>
      </c>
      <c r="Q129" s="85" t="s">
        <v>93</v>
      </c>
      <c r="R129" s="12" t="s">
        <v>1252</v>
      </c>
      <c r="S129" s="12" t="s">
        <v>93</v>
      </c>
      <c r="T129" s="52" t="s">
        <v>93</v>
      </c>
      <c r="U129" s="52" t="s">
        <v>93</v>
      </c>
      <c r="V129" s="40" t="s">
        <v>93</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93</v>
      </c>
      <c r="O130" s="22">
        <v>45698</v>
      </c>
      <c r="P130" s="5" t="s">
        <v>93</v>
      </c>
      <c r="Q130" s="28" t="s">
        <v>93</v>
      </c>
      <c r="R130" s="12" t="s">
        <v>1252</v>
      </c>
      <c r="S130" s="12" t="s">
        <v>93</v>
      </c>
      <c r="T130" s="12" t="s">
        <v>93</v>
      </c>
      <c r="U130" s="12" t="s">
        <v>93</v>
      </c>
      <c r="V130" s="40" t="s">
        <v>93</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93</v>
      </c>
      <c r="N131" s="18" t="s">
        <v>93</v>
      </c>
      <c r="O131" s="5" t="s">
        <v>93</v>
      </c>
      <c r="P131" s="5" t="s">
        <v>93</v>
      </c>
      <c r="Q131" s="12" t="s">
        <v>93</v>
      </c>
      <c r="R131" s="12" t="s">
        <v>1252</v>
      </c>
      <c r="S131" s="12" t="s">
        <v>93</v>
      </c>
      <c r="T131" s="94" t="s">
        <v>93</v>
      </c>
      <c r="U131" s="94" t="s">
        <v>93</v>
      </c>
      <c r="V131" s="40" t="s">
        <v>93</v>
      </c>
      <c r="W131" s="5"/>
      <c r="X131" s="28" t="s">
        <v>101</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93</v>
      </c>
      <c r="O132" s="22">
        <v>45691</v>
      </c>
      <c r="P132" s="39" t="s">
        <v>93</v>
      </c>
      <c r="Q132" s="12" t="s">
        <v>93</v>
      </c>
      <c r="R132" s="12" t="s">
        <v>1252</v>
      </c>
      <c r="S132" s="12" t="s">
        <v>93</v>
      </c>
      <c r="T132" s="12" t="s">
        <v>93</v>
      </c>
      <c r="U132" s="12" t="s">
        <v>93</v>
      </c>
      <c r="V132" s="12" t="s">
        <v>93</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93</v>
      </c>
      <c r="N133" s="18" t="s">
        <v>93</v>
      </c>
      <c r="O133" s="22">
        <v>45701</v>
      </c>
      <c r="P133" s="5" t="s">
        <v>93</v>
      </c>
      <c r="Q133" s="28" t="s">
        <v>93</v>
      </c>
      <c r="R133" s="12" t="s">
        <v>1252</v>
      </c>
      <c r="S133" s="12" t="s">
        <v>93</v>
      </c>
      <c r="T133" s="12" t="s">
        <v>93</v>
      </c>
      <c r="U133" s="12" t="s">
        <v>93</v>
      </c>
      <c r="V133" s="28" t="s">
        <v>93</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93</v>
      </c>
      <c r="O134" s="22">
        <v>45709</v>
      </c>
      <c r="P134" s="5" t="s">
        <v>93</v>
      </c>
      <c r="Q134" s="12" t="s">
        <v>93</v>
      </c>
      <c r="R134" s="12" t="s">
        <v>1252</v>
      </c>
      <c r="S134" s="12" t="s">
        <v>93</v>
      </c>
      <c r="T134" s="12" t="s">
        <v>93</v>
      </c>
      <c r="U134" s="28" t="s">
        <v>101</v>
      </c>
      <c r="V134" s="28" t="s">
        <v>101</v>
      </c>
      <c r="W134" s="22">
        <v>45825</v>
      </c>
      <c r="X134" s="28" t="s">
        <v>101</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93</v>
      </c>
      <c r="N135" s="18" t="s">
        <v>93</v>
      </c>
      <c r="O135" s="132">
        <v>45720</v>
      </c>
      <c r="P135" s="18" t="s">
        <v>93</v>
      </c>
      <c r="Q135" s="28" t="s">
        <v>93</v>
      </c>
      <c r="R135" s="12" t="s">
        <v>1252</v>
      </c>
      <c r="S135" s="12" t="s">
        <v>93</v>
      </c>
      <c r="T135" s="12" t="s">
        <v>93</v>
      </c>
      <c r="U135" s="94" t="s">
        <v>93</v>
      </c>
      <c r="V135" s="12" t="s">
        <v>93</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93</v>
      </c>
      <c r="O136" s="22">
        <v>45691</v>
      </c>
      <c r="P136" s="5" t="s">
        <v>93</v>
      </c>
      <c r="Q136" s="12" t="s">
        <v>93</v>
      </c>
      <c r="R136" s="12" t="s">
        <v>1252</v>
      </c>
      <c r="S136" s="12" t="s">
        <v>93</v>
      </c>
      <c r="T136" s="12" t="s">
        <v>93</v>
      </c>
      <c r="U136" s="12" t="s">
        <v>93</v>
      </c>
      <c r="V136" s="12" t="s">
        <v>93</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93</v>
      </c>
      <c r="O137" s="5" t="s">
        <v>93</v>
      </c>
      <c r="P137" s="18" t="s">
        <v>93</v>
      </c>
      <c r="Q137" s="28" t="s">
        <v>93</v>
      </c>
      <c r="R137" s="12" t="s">
        <v>1252</v>
      </c>
      <c r="S137" s="12" t="s">
        <v>93</v>
      </c>
      <c r="T137" s="12" t="s">
        <v>93</v>
      </c>
      <c r="U137" s="94" t="s">
        <v>93</v>
      </c>
      <c r="V137" s="28" t="s">
        <v>101</v>
      </c>
      <c r="W137" s="5"/>
      <c r="X137" s="28" t="s">
        <v>101</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93</v>
      </c>
      <c r="O138" s="61">
        <v>45707</v>
      </c>
      <c r="P138" s="5" t="s">
        <v>93</v>
      </c>
      <c r="Q138" s="12" t="s">
        <v>93</v>
      </c>
      <c r="R138" s="12" t="s">
        <v>1252</v>
      </c>
      <c r="S138" s="12" t="s">
        <v>93</v>
      </c>
      <c r="T138" s="12" t="s">
        <v>93</v>
      </c>
      <c r="U138" s="12" t="s">
        <v>93</v>
      </c>
      <c r="V138" s="12" t="s">
        <v>93</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93</v>
      </c>
      <c r="N139" s="5" t="s">
        <v>93</v>
      </c>
      <c r="O139" s="5" t="s">
        <v>93</v>
      </c>
      <c r="P139" s="5" t="s">
        <v>93</v>
      </c>
      <c r="Q139" s="12" t="s">
        <v>93</v>
      </c>
      <c r="R139" s="12" t="s">
        <v>1252</v>
      </c>
      <c r="S139" s="12" t="s">
        <v>93</v>
      </c>
      <c r="T139" s="12" t="s">
        <v>93</v>
      </c>
      <c r="U139" s="94" t="s">
        <v>93</v>
      </c>
      <c r="V139" s="28" t="s">
        <v>101</v>
      </c>
      <c r="W139" s="5"/>
      <c r="X139" s="28" t="s">
        <v>101</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93</v>
      </c>
      <c r="O140" s="22">
        <v>45743</v>
      </c>
      <c r="P140" s="39" t="s">
        <v>93</v>
      </c>
      <c r="Q140" s="40" t="s">
        <v>93</v>
      </c>
      <c r="R140" s="12" t="s">
        <v>1252</v>
      </c>
      <c r="S140" s="12" t="s">
        <v>93</v>
      </c>
      <c r="T140" s="12" t="s">
        <v>93</v>
      </c>
      <c r="U140" s="40" t="s">
        <v>93</v>
      </c>
      <c r="V140" s="28" t="s">
        <v>93</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93</v>
      </c>
      <c r="O141" s="132">
        <v>45743</v>
      </c>
      <c r="P141" s="39" t="s">
        <v>93</v>
      </c>
      <c r="Q141" s="40" t="s">
        <v>93</v>
      </c>
      <c r="R141" s="12" t="s">
        <v>1252</v>
      </c>
      <c r="S141" s="12" t="s">
        <v>93</v>
      </c>
      <c r="T141" s="12" t="s">
        <v>93</v>
      </c>
      <c r="U141" s="40" t="s">
        <v>93</v>
      </c>
      <c r="V141" s="40" t="s">
        <v>93</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93</v>
      </c>
      <c r="N142" s="18" t="s">
        <v>93</v>
      </c>
      <c r="O142" s="132">
        <v>45691</v>
      </c>
      <c r="P142" s="5" t="s">
        <v>93</v>
      </c>
      <c r="Q142" s="28" t="s">
        <v>93</v>
      </c>
      <c r="R142" s="12" t="s">
        <v>1252</v>
      </c>
      <c r="S142" s="12" t="s">
        <v>93</v>
      </c>
      <c r="T142" s="12" t="s">
        <v>93</v>
      </c>
      <c r="U142" s="94" t="s">
        <v>93</v>
      </c>
      <c r="V142" s="28" t="s">
        <v>101</v>
      </c>
      <c r="W142" s="5"/>
      <c r="X142" s="28" t="s">
        <v>101</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93</v>
      </c>
      <c r="N143" s="18" t="s">
        <v>93</v>
      </c>
      <c r="O143" s="132">
        <v>45675</v>
      </c>
      <c r="P143" s="5" t="s">
        <v>93</v>
      </c>
      <c r="Q143" s="28" t="s">
        <v>93</v>
      </c>
      <c r="R143" s="12" t="s">
        <v>1252</v>
      </c>
      <c r="S143" s="12" t="s">
        <v>93</v>
      </c>
      <c r="T143" s="12" t="s">
        <v>93</v>
      </c>
      <c r="U143" s="94" t="s">
        <v>93</v>
      </c>
      <c r="V143" s="28" t="s">
        <v>101</v>
      </c>
      <c r="W143" s="5"/>
      <c r="X143" s="28" t="s">
        <v>101</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93</v>
      </c>
      <c r="O144" s="132">
        <v>45749</v>
      </c>
      <c r="P144" s="5" t="s">
        <v>93</v>
      </c>
      <c r="Q144" s="12" t="s">
        <v>93</v>
      </c>
      <c r="R144" s="12" t="s">
        <v>93</v>
      </c>
      <c r="S144" s="12" t="s">
        <v>67</v>
      </c>
      <c r="T144" s="12" t="s">
        <v>93</v>
      </c>
      <c r="U144" s="40" t="s">
        <v>93</v>
      </c>
      <c r="V144" s="40" t="s">
        <v>93</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101</v>
      </c>
      <c r="V145" s="28" t="s">
        <v>101</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101</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101</v>
      </c>
      <c r="V147" s="28" t="s">
        <v>101</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93</v>
      </c>
      <c r="O148" s="132">
        <v>45744</v>
      </c>
      <c r="P148" s="18" t="s">
        <v>93</v>
      </c>
      <c r="Q148" s="12" t="s">
        <v>93</v>
      </c>
      <c r="R148" s="12" t="s">
        <v>93</v>
      </c>
      <c r="S148" s="12" t="s">
        <v>67</v>
      </c>
      <c r="T148" s="12" t="s">
        <v>93</v>
      </c>
      <c r="U148" s="28" t="s">
        <v>101</v>
      </c>
      <c r="V148" s="28" t="s">
        <v>101</v>
      </c>
      <c r="W148" s="5"/>
      <c r="X148" s="28" t="s">
        <v>101</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101</v>
      </c>
      <c r="V149" s="28" t="s">
        <v>101</v>
      </c>
      <c r="W149" s="5"/>
      <c r="X149" s="28" t="s">
        <v>101</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93</v>
      </c>
      <c r="O150" s="132">
        <v>45744</v>
      </c>
      <c r="P150" s="44" t="s">
        <v>93</v>
      </c>
      <c r="Q150" s="28" t="s">
        <v>93</v>
      </c>
      <c r="R150" s="12" t="s">
        <v>1252</v>
      </c>
      <c r="S150" s="12" t="s">
        <v>93</v>
      </c>
      <c r="T150" s="12" t="s">
        <v>93</v>
      </c>
      <c r="U150" s="28" t="s">
        <v>101</v>
      </c>
      <c r="V150" s="28" t="s">
        <v>101</v>
      </c>
      <c r="W150" s="5"/>
      <c r="X150" s="28" t="s">
        <v>101</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93</v>
      </c>
      <c r="O151" s="132">
        <v>45698</v>
      </c>
      <c r="P151" s="44" t="s">
        <v>93</v>
      </c>
      <c r="Q151" s="28" t="s">
        <v>93</v>
      </c>
      <c r="R151" s="12" t="s">
        <v>1252</v>
      </c>
      <c r="S151" s="12" t="s">
        <v>93</v>
      </c>
      <c r="T151" s="12" t="s">
        <v>93</v>
      </c>
      <c r="U151" s="28" t="s">
        <v>101</v>
      </c>
      <c r="V151" s="28" t="s">
        <v>101</v>
      </c>
      <c r="W151" s="22">
        <v>45818</v>
      </c>
      <c r="X151" s="28" t="s">
        <v>101</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101</v>
      </c>
      <c r="V152" s="28" t="s">
        <v>101</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93</v>
      </c>
      <c r="O153" s="132">
        <v>45696</v>
      </c>
      <c r="P153" s="5" t="s">
        <v>93</v>
      </c>
      <c r="Q153" s="28" t="s">
        <v>93</v>
      </c>
      <c r="R153" s="12" t="s">
        <v>1252</v>
      </c>
      <c r="S153" s="12" t="s">
        <v>93</v>
      </c>
      <c r="T153" s="94" t="s">
        <v>93</v>
      </c>
      <c r="U153" s="94" t="s">
        <v>93</v>
      </c>
      <c r="V153" s="12" t="s">
        <v>93</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93</v>
      </c>
      <c r="O154" s="275">
        <v>45696</v>
      </c>
      <c r="P154" s="5" t="s">
        <v>93</v>
      </c>
      <c r="Q154" s="28" t="s">
        <v>93</v>
      </c>
      <c r="R154" s="12" t="s">
        <v>1252</v>
      </c>
      <c r="S154" s="12" t="s">
        <v>93</v>
      </c>
      <c r="T154" s="94" t="s">
        <v>93</v>
      </c>
      <c r="U154" s="94" t="s">
        <v>93</v>
      </c>
      <c r="V154" s="12" t="s">
        <v>93</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93</v>
      </c>
      <c r="O155" s="22">
        <v>45699</v>
      </c>
      <c r="P155" s="18" t="s">
        <v>93</v>
      </c>
      <c r="Q155" s="28" t="s">
        <v>93</v>
      </c>
      <c r="R155" s="12" t="s">
        <v>1252</v>
      </c>
      <c r="S155" s="12" t="s">
        <v>93</v>
      </c>
      <c r="T155" s="12" t="s">
        <v>93</v>
      </c>
      <c r="U155" s="94" t="s">
        <v>93</v>
      </c>
      <c r="V155" s="12" t="s">
        <v>93</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93</v>
      </c>
      <c r="O156" s="22">
        <v>45699</v>
      </c>
      <c r="P156" s="18" t="s">
        <v>93</v>
      </c>
      <c r="Q156" s="28" t="s">
        <v>93</v>
      </c>
      <c r="R156" s="12" t="s">
        <v>1252</v>
      </c>
      <c r="S156" s="12" t="s">
        <v>93</v>
      </c>
      <c r="T156" s="12" t="s">
        <v>93</v>
      </c>
      <c r="U156" s="28" t="s">
        <v>93</v>
      </c>
      <c r="V156" s="28" t="s">
        <v>101</v>
      </c>
      <c r="W156" s="284">
        <v>45747</v>
      </c>
      <c r="X156" s="28" t="s">
        <v>101</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101</v>
      </c>
      <c r="V157" s="28"/>
      <c r="W157" s="36"/>
      <c r="X157" s="28" t="s">
        <v>101</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93</v>
      </c>
      <c r="O158" s="22">
        <v>45736</v>
      </c>
      <c r="P158" s="18" t="s">
        <v>93</v>
      </c>
      <c r="Q158" s="28" t="s">
        <v>93</v>
      </c>
      <c r="R158" s="12" t="s">
        <v>1252</v>
      </c>
      <c r="S158" s="12" t="s">
        <v>93</v>
      </c>
      <c r="T158" s="12" t="s">
        <v>93</v>
      </c>
      <c r="U158" s="94" t="s">
        <v>93</v>
      </c>
      <c r="V158" s="94" t="s">
        <v>93</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93</v>
      </c>
      <c r="O159" s="5" t="s">
        <v>93</v>
      </c>
      <c r="P159" s="18" t="s">
        <v>93</v>
      </c>
      <c r="Q159" s="12" t="s">
        <v>93</v>
      </c>
      <c r="R159" s="12" t="s">
        <v>93</v>
      </c>
      <c r="S159" s="12" t="s">
        <v>67</v>
      </c>
      <c r="T159" s="12" t="s">
        <v>93</v>
      </c>
      <c r="U159" s="12" t="s">
        <v>93</v>
      </c>
      <c r="V159" s="28" t="s">
        <v>101</v>
      </c>
      <c r="W159" s="36"/>
      <c r="X159" s="28" t="s">
        <v>101</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93</v>
      </c>
      <c r="O160" s="22">
        <v>45723</v>
      </c>
      <c r="P160" s="18" t="s">
        <v>93</v>
      </c>
      <c r="Q160" s="12" t="s">
        <v>93</v>
      </c>
      <c r="R160" s="12" t="s">
        <v>93</v>
      </c>
      <c r="S160" s="12" t="s">
        <v>67</v>
      </c>
      <c r="T160" s="12" t="s">
        <v>93</v>
      </c>
      <c r="U160" s="12" t="s">
        <v>93</v>
      </c>
      <c r="V160" s="28" t="s">
        <v>93</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93</v>
      </c>
      <c r="O161" s="93">
        <v>45726</v>
      </c>
      <c r="P161" s="18" t="s">
        <v>93</v>
      </c>
      <c r="Q161" s="12" t="s">
        <v>93</v>
      </c>
      <c r="R161" s="12" t="s">
        <v>93</v>
      </c>
      <c r="S161" s="12" t="s">
        <v>67</v>
      </c>
      <c r="T161" s="12" t="s">
        <v>93</v>
      </c>
      <c r="U161" s="12" t="s">
        <v>93</v>
      </c>
      <c r="V161" s="40" t="s">
        <v>93</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93</v>
      </c>
      <c r="O162" s="457">
        <v>45693</v>
      </c>
      <c r="P162" s="5" t="s">
        <v>93</v>
      </c>
      <c r="Q162" s="12" t="s">
        <v>93</v>
      </c>
      <c r="R162" s="12" t="s">
        <v>93</v>
      </c>
      <c r="S162" s="12" t="s">
        <v>67</v>
      </c>
      <c r="T162" s="12" t="s">
        <v>93</v>
      </c>
      <c r="U162" s="12" t="s">
        <v>93</v>
      </c>
      <c r="V162" s="40" t="s">
        <v>93</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93</v>
      </c>
      <c r="O163" s="22">
        <v>45693</v>
      </c>
      <c r="P163" s="5" t="s">
        <v>93</v>
      </c>
      <c r="Q163" s="28" t="s">
        <v>93</v>
      </c>
      <c r="R163" s="28" t="s">
        <v>93</v>
      </c>
      <c r="S163" s="12" t="s">
        <v>67</v>
      </c>
      <c r="T163" s="12" t="s">
        <v>93</v>
      </c>
      <c r="U163" s="28" t="s">
        <v>93</v>
      </c>
      <c r="V163" s="28" t="s">
        <v>101</v>
      </c>
      <c r="W163" s="36"/>
      <c r="X163" s="28" t="s">
        <v>101</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93</v>
      </c>
      <c r="N164" s="5" t="s">
        <v>93</v>
      </c>
      <c r="O164" s="9" t="s">
        <v>93</v>
      </c>
      <c r="P164" s="39" t="s">
        <v>93</v>
      </c>
      <c r="Q164" s="12" t="s">
        <v>93</v>
      </c>
      <c r="R164" s="12" t="s">
        <v>93</v>
      </c>
      <c r="S164" s="12" t="s">
        <v>67</v>
      </c>
      <c r="T164" s="12" t="s">
        <v>93</v>
      </c>
      <c r="U164" s="12" t="s">
        <v>93</v>
      </c>
      <c r="V164" s="12" t="s">
        <v>93</v>
      </c>
      <c r="W164" s="36"/>
      <c r="X164" s="28" t="s">
        <v>101</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93</v>
      </c>
      <c r="N165" s="5" t="s">
        <v>93</v>
      </c>
      <c r="O165" s="457">
        <v>45818</v>
      </c>
      <c r="P165" s="39" t="s">
        <v>93</v>
      </c>
      <c r="Q165" s="12" t="s">
        <v>93</v>
      </c>
      <c r="R165" s="12" t="s">
        <v>93</v>
      </c>
      <c r="S165" s="12" t="s">
        <v>67</v>
      </c>
      <c r="T165" s="12" t="s">
        <v>93</v>
      </c>
      <c r="U165" s="12" t="s">
        <v>93</v>
      </c>
      <c r="V165" s="12" t="s">
        <v>93</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93</v>
      </c>
      <c r="N166" s="5" t="s">
        <v>93</v>
      </c>
      <c r="O166" s="457">
        <v>45693</v>
      </c>
      <c r="P166" s="39" t="s">
        <v>93</v>
      </c>
      <c r="Q166" s="12" t="s">
        <v>93</v>
      </c>
      <c r="R166" s="12" t="s">
        <v>93</v>
      </c>
      <c r="S166" s="12" t="s">
        <v>67</v>
      </c>
      <c r="T166" s="12" t="s">
        <v>93</v>
      </c>
      <c r="U166" s="12" t="s">
        <v>93</v>
      </c>
      <c r="V166" s="12" t="s">
        <v>93</v>
      </c>
      <c r="W166" s="36"/>
      <c r="X166" s="28" t="s">
        <v>101</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93</v>
      </c>
      <c r="O167" s="457">
        <v>45720</v>
      </c>
      <c r="P167" s="39" t="s">
        <v>93</v>
      </c>
      <c r="Q167" s="12" t="s">
        <v>93</v>
      </c>
      <c r="R167" s="12" t="s">
        <v>93</v>
      </c>
      <c r="S167" s="12" t="s">
        <v>67</v>
      </c>
      <c r="T167" s="12" t="s">
        <v>93</v>
      </c>
      <c r="U167" s="12" t="s">
        <v>93</v>
      </c>
      <c r="V167" s="12" t="s">
        <v>93</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101</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101</v>
      </c>
      <c r="V169" s="28" t="s">
        <v>101</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101</v>
      </c>
      <c r="V170" s="28" t="s">
        <v>101</v>
      </c>
      <c r="W170" s="36"/>
      <c r="X170" s="28" t="s">
        <v>101</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101</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345</v>
      </c>
      <c r="N172" s="39" t="s">
        <v>93</v>
      </c>
      <c r="O172" s="9" t="s">
        <v>345</v>
      </c>
      <c r="P172" s="39" t="s">
        <v>93</v>
      </c>
      <c r="Q172" s="12" t="s">
        <v>67</v>
      </c>
      <c r="R172" s="12" t="s">
        <v>67</v>
      </c>
      <c r="S172" s="12" t="s">
        <v>67</v>
      </c>
      <c r="T172" s="12" t="s">
        <v>93</v>
      </c>
      <c r="U172" s="28" t="s">
        <v>101</v>
      </c>
      <c r="V172" s="28" t="s">
        <v>101</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1272</v>
      </c>
      <c r="C1" s="1353"/>
      <c r="D1" s="433"/>
      <c r="E1" s="1353" t="s">
        <v>1273</v>
      </c>
      <c r="F1" s="1353"/>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108</v>
      </c>
      <c r="C4">
        <v>4104</v>
      </c>
      <c r="E4" s="13" t="s">
        <v>1274</v>
      </c>
      <c r="F4" t="s">
        <v>1160</v>
      </c>
      <c r="W4" t="s">
        <v>1278</v>
      </c>
      <c r="X4">
        <v>22</v>
      </c>
    </row>
    <row r="5" spans="1:25">
      <c r="B5" t="s">
        <v>131</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157</v>
      </c>
      <c r="C8">
        <v>16756</v>
      </c>
      <c r="L8" t="s">
        <v>463</v>
      </c>
      <c r="M8">
        <v>1</v>
      </c>
      <c r="P8" t="s">
        <v>1286</v>
      </c>
      <c r="R8">
        <v>1</v>
      </c>
      <c r="V8" t="s">
        <v>1287</v>
      </c>
      <c r="W8" s="189">
        <v>203521</v>
      </c>
      <c r="X8" s="245">
        <f>X5/X4</f>
        <v>0.59090909090909094</v>
      </c>
      <c r="Y8" s="245">
        <f>W9/W8</f>
        <v>0.31446386367991508</v>
      </c>
    </row>
    <row r="9" spans="1:25">
      <c r="B9" t="s">
        <v>144</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120</v>
      </c>
      <c r="C11">
        <v>3</v>
      </c>
      <c r="L11" t="s">
        <v>675</v>
      </c>
      <c r="M11">
        <v>1</v>
      </c>
      <c r="Q11" t="s">
        <v>678</v>
      </c>
      <c r="R11">
        <v>1</v>
      </c>
    </row>
    <row r="12" spans="1:25">
      <c r="B12" t="s">
        <v>90</v>
      </c>
      <c r="C12">
        <v>7108</v>
      </c>
      <c r="L12" t="s">
        <v>678</v>
      </c>
      <c r="M12">
        <v>1</v>
      </c>
      <c r="Q12" t="s">
        <v>1291</v>
      </c>
      <c r="R12">
        <v>1</v>
      </c>
    </row>
    <row r="13" spans="1:25">
      <c r="B13" t="s">
        <v>51</v>
      </c>
      <c r="C13">
        <v>8185</v>
      </c>
      <c r="L13" t="s">
        <v>1292</v>
      </c>
      <c r="M13">
        <v>1</v>
      </c>
      <c r="Q13" t="s">
        <v>1021</v>
      </c>
      <c r="R13">
        <v>1</v>
      </c>
    </row>
    <row r="14" spans="1:25">
      <c r="B14" t="s">
        <v>247</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116</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1299</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116</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99</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1" activePane="bottomLeft" state="frozen"/>
      <selection pane="bottomLeft" activeCell="E2730" sqref="E273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1156</v>
      </c>
      <c r="B1" s="1154" t="s">
        <v>1159</v>
      </c>
      <c r="C1" s="1156" t="s">
        <v>1153</v>
      </c>
      <c r="D1" s="183" t="s">
        <v>1336</v>
      </c>
      <c r="E1" s="184" t="s">
        <v>1337</v>
      </c>
      <c r="F1" s="183" t="s">
        <v>1338</v>
      </c>
      <c r="G1" s="235" t="s">
        <v>1158</v>
      </c>
    </row>
    <row r="2" spans="1:7" ht="15.75">
      <c r="A2" s="1190" t="s">
        <v>661</v>
      </c>
      <c r="B2" s="1191" t="s">
        <v>662</v>
      </c>
      <c r="C2" s="89">
        <v>45698</v>
      </c>
      <c r="D2" s="78">
        <v>2677</v>
      </c>
      <c r="E2" s="78"/>
      <c r="F2" s="78"/>
      <c r="G2" t="str">
        <f>TEXT(C2,"mmmm")</f>
        <v>February</v>
      </c>
    </row>
    <row r="3" spans="1:7" ht="15.75">
      <c r="A3" s="54" t="s">
        <v>668</v>
      </c>
      <c r="B3" s="178" t="s">
        <v>1165</v>
      </c>
      <c r="C3" s="1157">
        <v>45698</v>
      </c>
      <c r="D3" s="88"/>
      <c r="E3" s="88"/>
      <c r="F3" s="78" t="s">
        <v>1339</v>
      </c>
      <c r="G3" t="str">
        <f t="shared" ref="G3:G66" si="0">TEXT(C3,"mmmm")</f>
        <v>February</v>
      </c>
    </row>
    <row r="4" spans="1:7" ht="15.75">
      <c r="A4" s="1190" t="s">
        <v>657</v>
      </c>
      <c r="B4" s="237" t="s">
        <v>1340</v>
      </c>
      <c r="C4" s="89">
        <v>45699</v>
      </c>
      <c r="D4" s="78">
        <v>202</v>
      </c>
      <c r="E4" s="78"/>
      <c r="F4" s="78"/>
      <c r="G4" t="str">
        <f t="shared" si="0"/>
        <v>February</v>
      </c>
    </row>
    <row r="5" spans="1:7" ht="15.75">
      <c r="A5" s="54" t="s">
        <v>668</v>
      </c>
      <c r="B5" s="178" t="s">
        <v>1165</v>
      </c>
      <c r="C5" s="1157">
        <v>45699</v>
      </c>
      <c r="D5" s="78">
        <v>241</v>
      </c>
      <c r="E5" s="78"/>
      <c r="F5" s="78"/>
      <c r="G5" t="str">
        <f t="shared" si="0"/>
        <v>February</v>
      </c>
    </row>
    <row r="6" spans="1:7" ht="15.75">
      <c r="A6" s="1192" t="s">
        <v>769</v>
      </c>
      <c r="B6" s="1193" t="s">
        <v>770</v>
      </c>
      <c r="C6" s="89">
        <v>45699</v>
      </c>
      <c r="D6" s="78">
        <v>1990</v>
      </c>
      <c r="E6" s="78"/>
      <c r="F6" s="78"/>
      <c r="G6" t="str">
        <f t="shared" si="0"/>
        <v>February</v>
      </c>
    </row>
    <row r="7" spans="1:7" ht="15.75">
      <c r="A7" s="1162" t="s">
        <v>498</v>
      </c>
      <c r="B7" s="1163" t="s">
        <v>1341</v>
      </c>
      <c r="C7" s="89">
        <v>45699</v>
      </c>
      <c r="D7" s="78">
        <v>534</v>
      </c>
      <c r="E7" s="78"/>
      <c r="F7" s="78"/>
      <c r="G7" t="str">
        <f t="shared" si="0"/>
        <v>February</v>
      </c>
    </row>
    <row r="8" spans="1:7" ht="15.75">
      <c r="A8" s="54" t="s">
        <v>668</v>
      </c>
      <c r="B8" s="178" t="s">
        <v>1165</v>
      </c>
      <c r="C8" s="1157">
        <v>45700</v>
      </c>
      <c r="D8" s="78">
        <v>366</v>
      </c>
      <c r="E8" s="78"/>
      <c r="F8" s="78"/>
      <c r="G8" t="str">
        <f t="shared" si="0"/>
        <v>February</v>
      </c>
    </row>
    <row r="9" spans="1:7" ht="15.75">
      <c r="A9" s="1194" t="s">
        <v>769</v>
      </c>
      <c r="B9" s="1195"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4" t="s">
        <v>647</v>
      </c>
      <c r="B11" s="1161" t="s">
        <v>108</v>
      </c>
      <c r="C11" s="89">
        <v>45700</v>
      </c>
      <c r="D11" s="78">
        <v>1426</v>
      </c>
      <c r="E11" s="78"/>
      <c r="F11" s="78"/>
      <c r="G11" t="str">
        <f t="shared" si="0"/>
        <v>February</v>
      </c>
    </row>
    <row r="12" spans="1:7" ht="15.75">
      <c r="A12" s="54" t="s">
        <v>668</v>
      </c>
      <c r="B12" s="178" t="s">
        <v>1165</v>
      </c>
      <c r="C12" s="1157">
        <v>45701</v>
      </c>
      <c r="D12" s="71">
        <v>202</v>
      </c>
      <c r="E12" s="71"/>
      <c r="F12" s="78"/>
      <c r="G12" t="str">
        <f t="shared" si="0"/>
        <v>February</v>
      </c>
    </row>
    <row r="13" spans="1:7" ht="15.75">
      <c r="A13" s="54" t="s">
        <v>494</v>
      </c>
      <c r="B13" s="178" t="s">
        <v>1165</v>
      </c>
      <c r="C13" s="1157">
        <v>45701</v>
      </c>
      <c r="D13" s="71">
        <v>106</v>
      </c>
      <c r="E13" s="71"/>
      <c r="F13" s="78"/>
      <c r="G13" t="str">
        <f t="shared" si="0"/>
        <v>February</v>
      </c>
    </row>
    <row r="14" spans="1:7" ht="15.75">
      <c r="A14" s="1192" t="s">
        <v>498</v>
      </c>
      <c r="B14" s="1195" t="s">
        <v>1341</v>
      </c>
      <c r="C14" s="89">
        <v>45701</v>
      </c>
      <c r="D14" s="71">
        <v>886</v>
      </c>
      <c r="E14" s="71"/>
      <c r="F14" s="78"/>
      <c r="G14" t="str">
        <f t="shared" si="0"/>
        <v>February</v>
      </c>
    </row>
    <row r="15" spans="1:7" ht="15.75">
      <c r="A15" s="1160" t="s">
        <v>647</v>
      </c>
      <c r="B15" s="1161" t="s">
        <v>108</v>
      </c>
      <c r="C15" s="89">
        <v>45701</v>
      </c>
      <c r="D15" s="80">
        <v>1190</v>
      </c>
      <c r="E15" s="80"/>
      <c r="F15" s="79"/>
      <c r="G15" t="str">
        <f t="shared" si="0"/>
        <v>February</v>
      </c>
    </row>
    <row r="16" spans="1:7" ht="15.75">
      <c r="A16" s="54" t="s">
        <v>668</v>
      </c>
      <c r="B16" s="178" t="s">
        <v>1165</v>
      </c>
      <c r="C16" s="1157">
        <v>45702</v>
      </c>
      <c r="D16" s="80">
        <v>120</v>
      </c>
      <c r="E16" s="80"/>
      <c r="F16" s="79"/>
      <c r="G16" t="str">
        <f t="shared" si="0"/>
        <v>February</v>
      </c>
    </row>
    <row r="17" spans="1:7" ht="15.75">
      <c r="A17" s="1192" t="s">
        <v>498</v>
      </c>
      <c r="B17" s="1195" t="s">
        <v>1341</v>
      </c>
      <c r="C17" s="89">
        <v>45702</v>
      </c>
      <c r="D17" s="80">
        <v>202</v>
      </c>
      <c r="E17" s="80"/>
      <c r="F17" s="79"/>
      <c r="G17" t="str">
        <f t="shared" si="0"/>
        <v>February</v>
      </c>
    </row>
    <row r="18" spans="1:7" ht="15.75">
      <c r="A18" s="1160" t="s">
        <v>647</v>
      </c>
      <c r="B18" s="1161" t="s">
        <v>108</v>
      </c>
      <c r="C18" s="89">
        <v>45702</v>
      </c>
      <c r="D18" s="80">
        <v>23</v>
      </c>
      <c r="E18" s="80"/>
      <c r="F18" s="80"/>
      <c r="G18" t="str">
        <f t="shared" si="0"/>
        <v>February</v>
      </c>
    </row>
    <row r="19" spans="1:7" ht="15.75">
      <c r="A19" s="54" t="s">
        <v>644</v>
      </c>
      <c r="B19" s="179" t="s">
        <v>554</v>
      </c>
      <c r="C19" s="1157">
        <v>45702</v>
      </c>
      <c r="D19" s="54">
        <v>1049</v>
      </c>
      <c r="E19" s="54"/>
      <c r="F19" s="55"/>
      <c r="G19" t="str">
        <f t="shared" si="0"/>
        <v>February</v>
      </c>
    </row>
    <row r="20" spans="1:7" ht="15.75">
      <c r="A20" s="1192" t="s">
        <v>668</v>
      </c>
      <c r="B20" s="1193" t="s">
        <v>1165</v>
      </c>
      <c r="C20" s="1158">
        <v>45705</v>
      </c>
      <c r="D20" s="71">
        <v>283</v>
      </c>
      <c r="E20" s="71"/>
      <c r="F20" s="55"/>
      <c r="G20" t="str">
        <f t="shared" si="0"/>
        <v>February</v>
      </c>
    </row>
    <row r="21" spans="1:7">
      <c r="A21" s="1192" t="s">
        <v>498</v>
      </c>
      <c r="B21" s="1195"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108</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0" t="s">
        <v>661</v>
      </c>
      <c r="B28" s="1165" t="s">
        <v>662</v>
      </c>
      <c r="C28" s="90">
        <v>45707</v>
      </c>
      <c r="D28" s="54">
        <v>1319</v>
      </c>
      <c r="E28" s="54"/>
      <c r="F28" s="55"/>
      <c r="G28" t="str">
        <f t="shared" si="0"/>
        <v>February</v>
      </c>
    </row>
    <row r="29" spans="1:7" ht="15.75">
      <c r="A29" s="54" t="s">
        <v>668</v>
      </c>
      <c r="B29" s="178" t="s">
        <v>1165</v>
      </c>
      <c r="C29" s="1158">
        <v>45707</v>
      </c>
      <c r="D29" s="54">
        <v>732</v>
      </c>
      <c r="E29" s="54"/>
      <c r="F29" s="55"/>
      <c r="G29" t="str">
        <f t="shared" si="0"/>
        <v>February</v>
      </c>
    </row>
    <row r="30" spans="1:7">
      <c r="A30" s="1192" t="s">
        <v>498</v>
      </c>
      <c r="B30" s="1195"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0" t="s">
        <v>657</v>
      </c>
      <c r="B34" s="238" t="s">
        <v>1340</v>
      </c>
      <c r="C34" s="90">
        <v>45708</v>
      </c>
      <c r="D34" s="54">
        <v>23</v>
      </c>
      <c r="E34" s="54"/>
      <c r="F34" s="55" t="s">
        <v>1346</v>
      </c>
      <c r="G34" t="str">
        <f t="shared" si="0"/>
        <v>February</v>
      </c>
    </row>
    <row r="35" spans="1:7" ht="15.75">
      <c r="A35" s="54" t="s">
        <v>668</v>
      </c>
      <c r="B35" s="178" t="s">
        <v>1165</v>
      </c>
      <c r="C35" s="1158">
        <v>45708</v>
      </c>
      <c r="D35" s="54">
        <v>309</v>
      </c>
      <c r="E35" s="54"/>
      <c r="F35" s="55" t="s">
        <v>1347</v>
      </c>
      <c r="G35" t="str">
        <f t="shared" si="0"/>
        <v>February</v>
      </c>
    </row>
    <row r="36" spans="1:7">
      <c r="A36" s="1190" t="s">
        <v>498</v>
      </c>
      <c r="B36" s="1199" t="s">
        <v>1341</v>
      </c>
      <c r="C36" s="90">
        <v>45708</v>
      </c>
      <c r="D36" s="54">
        <v>424</v>
      </c>
      <c r="E36" s="54"/>
      <c r="F36" s="55"/>
      <c r="G36" t="str">
        <f t="shared" si="0"/>
        <v>February</v>
      </c>
    </row>
    <row r="37" spans="1:7">
      <c r="A37" s="54" t="s">
        <v>644</v>
      </c>
      <c r="B37" s="179" t="s">
        <v>554</v>
      </c>
      <c r="C37" s="1158">
        <v>45708</v>
      </c>
      <c r="D37" s="54">
        <v>547</v>
      </c>
      <c r="E37" s="54"/>
      <c r="F37" s="55" t="s">
        <v>1348</v>
      </c>
      <c r="G37" t="str">
        <f t="shared" si="0"/>
        <v>February</v>
      </c>
    </row>
    <row r="38" spans="1:7">
      <c r="A38" s="1192"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0" t="s">
        <v>1026</v>
      </c>
      <c r="B45" s="1165" t="s">
        <v>662</v>
      </c>
      <c r="C45" s="90">
        <v>45709</v>
      </c>
      <c r="D45" s="54"/>
      <c r="E45" s="54"/>
      <c r="F45" s="55" t="s">
        <v>1351</v>
      </c>
      <c r="G45" t="str">
        <f t="shared" si="0"/>
        <v>February</v>
      </c>
    </row>
    <row r="46" spans="1:7" ht="15.75">
      <c r="A46" s="54" t="s">
        <v>494</v>
      </c>
      <c r="B46" s="178" t="s">
        <v>1165</v>
      </c>
      <c r="C46" s="1158">
        <v>45709</v>
      </c>
      <c r="D46" s="54">
        <v>21</v>
      </c>
      <c r="E46" s="54"/>
      <c r="F46" s="55" t="s">
        <v>1348</v>
      </c>
      <c r="G46" t="str">
        <f t="shared" si="0"/>
        <v>February</v>
      </c>
    </row>
    <row r="47" spans="1:7">
      <c r="A47" s="1192" t="s">
        <v>498</v>
      </c>
      <c r="B47" s="1195" t="s">
        <v>1341</v>
      </c>
      <c r="C47" s="90">
        <v>45709</v>
      </c>
      <c r="D47" s="54">
        <v>19</v>
      </c>
      <c r="E47" s="54"/>
      <c r="F47" s="55" t="s">
        <v>1352</v>
      </c>
      <c r="G47" t="str">
        <f t="shared" si="0"/>
        <v>February</v>
      </c>
    </row>
    <row r="48" spans="1:7" ht="15.75">
      <c r="A48" s="1160" t="s">
        <v>647</v>
      </c>
      <c r="B48" s="1161" t="s">
        <v>108</v>
      </c>
      <c r="C48" s="90">
        <v>45709</v>
      </c>
      <c r="D48" s="54">
        <v>823</v>
      </c>
      <c r="E48" s="54"/>
      <c r="F48" s="55" t="s">
        <v>1348</v>
      </c>
      <c r="G48" t="str">
        <f t="shared" si="0"/>
        <v>February</v>
      </c>
    </row>
    <row r="49" spans="1:7">
      <c r="A49" s="54" t="s">
        <v>644</v>
      </c>
      <c r="B49" s="179" t="s">
        <v>554</v>
      </c>
      <c r="C49" s="1158">
        <v>45709</v>
      </c>
      <c r="D49" s="54">
        <v>792</v>
      </c>
      <c r="E49" s="54"/>
      <c r="F49" s="55" t="s">
        <v>1348</v>
      </c>
      <c r="G49" t="str">
        <f t="shared" si="0"/>
        <v>February</v>
      </c>
    </row>
    <row r="50" spans="1:7">
      <c r="A50" s="1192"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108</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0" t="s">
        <v>637</v>
      </c>
      <c r="B55" s="1165" t="s">
        <v>631</v>
      </c>
      <c r="C55" s="90">
        <v>45709</v>
      </c>
      <c r="D55" s="54">
        <v>2989</v>
      </c>
      <c r="E55" s="54"/>
      <c r="F55" s="55"/>
      <c r="G55" t="str">
        <f t="shared" si="0"/>
        <v>February</v>
      </c>
    </row>
    <row r="56" spans="1:7" ht="15.75">
      <c r="A56" s="54" t="s">
        <v>668</v>
      </c>
      <c r="B56" s="178" t="s">
        <v>1165</v>
      </c>
      <c r="C56" s="1158">
        <v>45712</v>
      </c>
      <c r="D56" s="54">
        <v>73</v>
      </c>
      <c r="E56" s="54"/>
      <c r="F56" s="55"/>
      <c r="G56" t="str">
        <f t="shared" si="0"/>
        <v>February</v>
      </c>
    </row>
    <row r="57" spans="1:7">
      <c r="A57" s="1192" t="s">
        <v>478</v>
      </c>
      <c r="B57" s="1196"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0" t="s">
        <v>1026</v>
      </c>
      <c r="B62" s="1163" t="s">
        <v>662</v>
      </c>
      <c r="C62" s="90">
        <v>45713</v>
      </c>
      <c r="D62" s="54"/>
      <c r="E62" s="54"/>
      <c r="F62" s="55"/>
      <c r="G62" t="str">
        <f t="shared" si="0"/>
        <v>February</v>
      </c>
    </row>
    <row r="63" spans="1:7" ht="15.75">
      <c r="A63" s="54" t="s">
        <v>769</v>
      </c>
      <c r="B63" s="178" t="s">
        <v>1165</v>
      </c>
      <c r="C63" s="1158">
        <v>45713</v>
      </c>
      <c r="D63" s="54">
        <v>74</v>
      </c>
      <c r="E63" s="54"/>
      <c r="F63" s="55"/>
      <c r="G63" t="str">
        <f t="shared" si="0"/>
        <v>February</v>
      </c>
    </row>
    <row r="64" spans="1:7">
      <c r="A64" s="1192" t="s">
        <v>607</v>
      </c>
      <c r="B64" s="1195" t="s">
        <v>492</v>
      </c>
      <c r="C64" s="90">
        <v>45713</v>
      </c>
      <c r="D64" s="54"/>
      <c r="E64" s="54"/>
      <c r="F64" s="55"/>
      <c r="G64" t="str">
        <f t="shared" si="0"/>
        <v>February</v>
      </c>
    </row>
    <row r="65" spans="1:7">
      <c r="A65" s="1160" t="s">
        <v>491</v>
      </c>
      <c r="B65" s="1163" t="s">
        <v>492</v>
      </c>
      <c r="C65" s="90">
        <v>45713</v>
      </c>
      <c r="D65" s="54"/>
      <c r="E65" s="54"/>
      <c r="F65" s="55"/>
      <c r="G65" t="str">
        <f t="shared" si="0"/>
        <v>February</v>
      </c>
    </row>
    <row r="66" spans="1:7" ht="15.75">
      <c r="A66" s="54" t="s">
        <v>494</v>
      </c>
      <c r="B66" s="178" t="s">
        <v>1165</v>
      </c>
      <c r="C66" s="1158">
        <v>45713</v>
      </c>
      <c r="D66" s="54"/>
      <c r="E66" s="54"/>
      <c r="F66" s="55"/>
      <c r="G66" t="str">
        <f t="shared" si="0"/>
        <v>February</v>
      </c>
    </row>
    <row r="67" spans="1:7" ht="15.75">
      <c r="A67" s="1192" t="s">
        <v>496</v>
      </c>
      <c r="B67" s="1193" t="s">
        <v>108</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108</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0" t="s">
        <v>647</v>
      </c>
      <c r="B71" s="1161" t="s">
        <v>108</v>
      </c>
      <c r="C71" s="90">
        <v>45713</v>
      </c>
      <c r="D71" s="54"/>
      <c r="E71" s="54"/>
      <c r="F71" s="55"/>
      <c r="G71" t="str">
        <f t="shared" si="1"/>
        <v>February</v>
      </c>
    </row>
    <row r="72" spans="1:7">
      <c r="A72" s="54" t="s">
        <v>644</v>
      </c>
      <c r="B72" s="179" t="s">
        <v>554</v>
      </c>
      <c r="C72" s="1158">
        <v>45713</v>
      </c>
      <c r="D72" s="54">
        <v>1277</v>
      </c>
      <c r="E72" s="54"/>
      <c r="F72" s="55" t="s">
        <v>1356</v>
      </c>
      <c r="G72" t="str">
        <f t="shared" si="1"/>
        <v>February</v>
      </c>
    </row>
    <row r="73" spans="1:7">
      <c r="A73" s="1192"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108</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108</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0" t="s">
        <v>661</v>
      </c>
      <c r="B84" s="1163" t="s">
        <v>662</v>
      </c>
      <c r="C84" s="90">
        <v>45714</v>
      </c>
      <c r="D84" s="54"/>
      <c r="E84" s="54"/>
      <c r="F84" s="55"/>
      <c r="G84" t="str">
        <f t="shared" si="1"/>
        <v>February</v>
      </c>
    </row>
    <row r="85" spans="1:7" ht="15.75">
      <c r="A85" s="54" t="s">
        <v>668</v>
      </c>
      <c r="B85" s="178" t="s">
        <v>1165</v>
      </c>
      <c r="C85" s="1158">
        <v>45714</v>
      </c>
      <c r="D85" s="54">
        <v>25</v>
      </c>
      <c r="E85" s="54"/>
      <c r="F85" s="55"/>
      <c r="G85" t="str">
        <f t="shared" si="1"/>
        <v>February</v>
      </c>
    </row>
    <row r="86" spans="1:7">
      <c r="A86" s="1192" t="s">
        <v>714</v>
      </c>
      <c r="B86" s="273" t="s">
        <v>622</v>
      </c>
      <c r="C86" s="90">
        <v>45714</v>
      </c>
      <c r="D86" s="54"/>
      <c r="E86" s="54"/>
      <c r="F86" s="55"/>
      <c r="G86" t="str">
        <f t="shared" si="1"/>
        <v>February</v>
      </c>
    </row>
    <row r="87" spans="1:7">
      <c r="A87" s="1160" t="s">
        <v>1026</v>
      </c>
      <c r="B87" s="1163" t="s">
        <v>662</v>
      </c>
      <c r="C87" s="90">
        <v>45714</v>
      </c>
      <c r="D87" s="54"/>
      <c r="E87" s="54"/>
      <c r="F87" s="55"/>
      <c r="G87" t="str">
        <f t="shared" si="1"/>
        <v>February</v>
      </c>
    </row>
    <row r="88" spans="1:7" ht="15.75">
      <c r="A88" s="54" t="s">
        <v>769</v>
      </c>
      <c r="B88" s="178" t="s">
        <v>1165</v>
      </c>
      <c r="C88" s="1158">
        <v>45714</v>
      </c>
      <c r="D88" s="54">
        <v>671</v>
      </c>
      <c r="E88" s="54"/>
      <c r="F88" s="55"/>
      <c r="G88" t="str">
        <f t="shared" si="1"/>
        <v>February</v>
      </c>
    </row>
    <row r="89" spans="1:7">
      <c r="A89" s="1192" t="s">
        <v>607</v>
      </c>
      <c r="B89" s="1195" t="s">
        <v>492</v>
      </c>
      <c r="C89" s="90">
        <v>45714</v>
      </c>
      <c r="D89" s="54"/>
      <c r="E89" s="54"/>
      <c r="F89" s="55"/>
      <c r="G89" t="str">
        <f t="shared" si="1"/>
        <v>February</v>
      </c>
    </row>
    <row r="90" spans="1:7">
      <c r="A90" s="1160" t="s">
        <v>491</v>
      </c>
      <c r="B90" s="1163" t="s">
        <v>492</v>
      </c>
      <c r="C90" s="90">
        <v>45714</v>
      </c>
      <c r="D90" s="54"/>
      <c r="E90" s="54"/>
      <c r="F90" s="55"/>
      <c r="G90" t="str">
        <f t="shared" si="1"/>
        <v>February</v>
      </c>
    </row>
    <row r="91" spans="1:7" ht="15.75">
      <c r="A91" s="54" t="s">
        <v>494</v>
      </c>
      <c r="B91" s="178" t="s">
        <v>1165</v>
      </c>
      <c r="C91" s="1158">
        <v>45714</v>
      </c>
      <c r="D91" s="54"/>
      <c r="E91" s="54"/>
      <c r="F91" s="55"/>
      <c r="G91" t="str">
        <f t="shared" si="1"/>
        <v>February</v>
      </c>
    </row>
    <row r="92" spans="1:7" ht="15.75">
      <c r="A92" s="1192" t="s">
        <v>496</v>
      </c>
      <c r="B92" s="1193" t="s">
        <v>108</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108</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0" t="s">
        <v>647</v>
      </c>
      <c r="B96" s="1161" t="s">
        <v>108</v>
      </c>
      <c r="C96" s="90">
        <v>45714</v>
      </c>
      <c r="D96" s="54"/>
      <c r="E96" s="54"/>
      <c r="F96" s="55"/>
      <c r="G96" t="str">
        <f t="shared" si="1"/>
        <v>February</v>
      </c>
    </row>
    <row r="97" spans="1:7">
      <c r="A97" s="54" t="s">
        <v>644</v>
      </c>
      <c r="B97" s="179" t="s">
        <v>554</v>
      </c>
      <c r="C97" s="1158">
        <v>45714</v>
      </c>
      <c r="D97" s="54">
        <v>1721</v>
      </c>
      <c r="E97" s="54"/>
      <c r="F97" s="55" t="s">
        <v>1360</v>
      </c>
      <c r="G97" t="str">
        <f t="shared" si="1"/>
        <v>February</v>
      </c>
    </row>
    <row r="98" spans="1:7">
      <c r="A98" s="1192"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108</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108</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0" t="s">
        <v>661</v>
      </c>
      <c r="B115" s="1163" t="s">
        <v>662</v>
      </c>
      <c r="C115" s="59">
        <v>45715</v>
      </c>
      <c r="D115" s="55"/>
      <c r="E115" s="55"/>
      <c r="F115" s="55"/>
      <c r="G115" t="str">
        <f t="shared" si="1"/>
        <v>February</v>
      </c>
    </row>
    <row r="116" spans="1:7" ht="15.75">
      <c r="A116" s="54" t="s">
        <v>668</v>
      </c>
      <c r="B116" s="178" t="s">
        <v>1165</v>
      </c>
      <c r="C116" s="1159">
        <v>45715</v>
      </c>
      <c r="D116" s="55"/>
      <c r="E116" s="55"/>
      <c r="F116" s="71" t="s">
        <v>1363</v>
      </c>
      <c r="G116" t="str">
        <f t="shared" si="1"/>
        <v>February</v>
      </c>
    </row>
    <row r="117" spans="1:7">
      <c r="A117" s="1192" t="s">
        <v>714</v>
      </c>
      <c r="B117" s="273" t="s">
        <v>622</v>
      </c>
      <c r="C117" s="59">
        <v>45715</v>
      </c>
      <c r="D117" s="55">
        <v>437</v>
      </c>
      <c r="E117" s="55"/>
      <c r="F117" s="55" t="s">
        <v>1364</v>
      </c>
      <c r="G117" t="str">
        <f t="shared" si="1"/>
        <v>February</v>
      </c>
    </row>
    <row r="118" spans="1:7">
      <c r="A118" s="1160" t="s">
        <v>1026</v>
      </c>
      <c r="B118" s="1163" t="s">
        <v>662</v>
      </c>
      <c r="C118" s="59">
        <v>45715</v>
      </c>
      <c r="D118" s="55"/>
      <c r="E118" s="55"/>
      <c r="F118" s="55"/>
      <c r="G118" t="str">
        <f t="shared" si="1"/>
        <v>February</v>
      </c>
    </row>
    <row r="119" spans="1:7" ht="15.75">
      <c r="A119" s="54" t="s">
        <v>769</v>
      </c>
      <c r="B119" s="178" t="s">
        <v>1165</v>
      </c>
      <c r="C119" s="1159">
        <v>45715</v>
      </c>
      <c r="D119" s="55"/>
      <c r="E119" s="55"/>
      <c r="F119" s="55"/>
      <c r="G119" t="str">
        <f t="shared" si="1"/>
        <v>February</v>
      </c>
    </row>
    <row r="120" spans="1:7">
      <c r="A120" s="1192" t="s">
        <v>607</v>
      </c>
      <c r="B120" s="1195" t="s">
        <v>492</v>
      </c>
      <c r="C120" s="59">
        <v>45715</v>
      </c>
      <c r="D120" s="55"/>
      <c r="E120" s="55"/>
      <c r="F120" s="55"/>
      <c r="G120" t="str">
        <f t="shared" si="1"/>
        <v>February</v>
      </c>
    </row>
    <row r="121" spans="1:7">
      <c r="A121" s="1160" t="s">
        <v>491</v>
      </c>
      <c r="B121" s="1163" t="s">
        <v>492</v>
      </c>
      <c r="C121" s="59">
        <v>45715</v>
      </c>
      <c r="D121" s="55"/>
      <c r="E121" s="55"/>
      <c r="F121" s="55"/>
      <c r="G121" t="str">
        <f t="shared" si="1"/>
        <v>February</v>
      </c>
    </row>
    <row r="122" spans="1:7" ht="15.75">
      <c r="A122" s="54" t="s">
        <v>494</v>
      </c>
      <c r="B122" s="178" t="s">
        <v>1165</v>
      </c>
      <c r="C122" s="1159">
        <v>45715</v>
      </c>
      <c r="D122" s="55"/>
      <c r="E122" s="55"/>
      <c r="F122" s="71" t="s">
        <v>1365</v>
      </c>
      <c r="G122" t="str">
        <f t="shared" si="1"/>
        <v>February</v>
      </c>
    </row>
    <row r="123" spans="1:7" ht="15.75">
      <c r="A123" s="1192" t="s">
        <v>496</v>
      </c>
      <c r="B123" s="1193" t="s">
        <v>108</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108</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0" t="s">
        <v>647</v>
      </c>
      <c r="B127" s="1161" t="s">
        <v>108</v>
      </c>
      <c r="C127" s="59">
        <v>45715</v>
      </c>
      <c r="D127" s="55">
        <v>1422</v>
      </c>
      <c r="E127" s="55"/>
      <c r="F127" s="71" t="s">
        <v>1355</v>
      </c>
      <c r="G127" t="str">
        <f t="shared" si="1"/>
        <v>February</v>
      </c>
    </row>
    <row r="128" spans="1:7">
      <c r="A128" s="54" t="s">
        <v>644</v>
      </c>
      <c r="B128" s="179" t="s">
        <v>554</v>
      </c>
      <c r="C128" s="1159">
        <v>45715</v>
      </c>
      <c r="D128" s="55">
        <v>670</v>
      </c>
      <c r="E128" s="55"/>
      <c r="F128" s="71" t="s">
        <v>1339</v>
      </c>
      <c r="G128" t="str">
        <f t="shared" si="1"/>
        <v>February</v>
      </c>
    </row>
    <row r="129" spans="1:7">
      <c r="A129" s="1192"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108</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108</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0" t="s">
        <v>661</v>
      </c>
      <c r="B146" s="1163" t="s">
        <v>662</v>
      </c>
      <c r="C146" s="59">
        <v>45716</v>
      </c>
      <c r="D146" s="60" t="s">
        <v>1366</v>
      </c>
      <c r="E146" s="60"/>
      <c r="F146" s="55"/>
      <c r="G146" t="str">
        <f t="shared" si="2"/>
        <v>February</v>
      </c>
    </row>
    <row r="147" spans="1:7" ht="15.75">
      <c r="A147" s="54" t="s">
        <v>668</v>
      </c>
      <c r="B147" s="178" t="s">
        <v>1165</v>
      </c>
      <c r="C147" s="1159">
        <v>45716</v>
      </c>
      <c r="D147" s="60"/>
      <c r="E147" s="60"/>
      <c r="F147" s="60" t="s">
        <v>1363</v>
      </c>
      <c r="G147" t="str">
        <f t="shared" si="2"/>
        <v>February</v>
      </c>
    </row>
    <row r="148" spans="1:7">
      <c r="A148" s="1192" t="s">
        <v>714</v>
      </c>
      <c r="B148" s="273" t="s">
        <v>622</v>
      </c>
      <c r="C148" s="59">
        <v>45716</v>
      </c>
      <c r="D148" s="60" t="s">
        <v>1366</v>
      </c>
      <c r="E148" s="60"/>
      <c r="F148" s="55"/>
      <c r="G148" t="str">
        <f t="shared" si="2"/>
        <v>February</v>
      </c>
    </row>
    <row r="149" spans="1:7">
      <c r="A149" s="1160" t="s">
        <v>1026</v>
      </c>
      <c r="B149" s="1163" t="s">
        <v>662</v>
      </c>
      <c r="C149" s="59">
        <v>45716</v>
      </c>
      <c r="D149" s="60" t="s">
        <v>1366</v>
      </c>
      <c r="E149" s="60"/>
      <c r="F149" s="55"/>
      <c r="G149" t="str">
        <f t="shared" si="2"/>
        <v>February</v>
      </c>
    </row>
    <row r="150" spans="1:7" ht="15.75">
      <c r="A150" s="54" t="s">
        <v>769</v>
      </c>
      <c r="B150" s="178" t="s">
        <v>1165</v>
      </c>
      <c r="C150" s="1159">
        <v>45716</v>
      </c>
      <c r="D150" s="60" t="s">
        <v>1366</v>
      </c>
      <c r="E150" s="60"/>
      <c r="F150" s="55"/>
      <c r="G150" t="str">
        <f t="shared" si="2"/>
        <v>February</v>
      </c>
    </row>
    <row r="151" spans="1:7">
      <c r="A151" s="1192" t="s">
        <v>607</v>
      </c>
      <c r="B151" s="1195" t="s">
        <v>492</v>
      </c>
      <c r="C151" s="59">
        <v>45716</v>
      </c>
      <c r="D151" s="60" t="s">
        <v>1366</v>
      </c>
      <c r="E151" s="60"/>
      <c r="F151" s="55"/>
      <c r="G151" t="str">
        <f t="shared" si="2"/>
        <v>February</v>
      </c>
    </row>
    <row r="152" spans="1:7">
      <c r="A152" s="1160" t="s">
        <v>491</v>
      </c>
      <c r="B152" s="1163" t="s">
        <v>492</v>
      </c>
      <c r="C152" s="59">
        <v>45716</v>
      </c>
      <c r="D152" s="60" t="s">
        <v>1366</v>
      </c>
      <c r="E152" s="60"/>
      <c r="F152" s="55"/>
      <c r="G152" t="str">
        <f t="shared" si="2"/>
        <v>February</v>
      </c>
    </row>
    <row r="153" spans="1:7" ht="15.75">
      <c r="A153" s="54" t="s">
        <v>494</v>
      </c>
      <c r="B153" s="178" t="s">
        <v>1165</v>
      </c>
      <c r="C153" s="1159">
        <v>45716</v>
      </c>
      <c r="D153" s="60">
        <v>3</v>
      </c>
      <c r="E153" s="60"/>
      <c r="F153" s="49" t="s">
        <v>1368</v>
      </c>
      <c r="G153" t="str">
        <f t="shared" si="2"/>
        <v>February</v>
      </c>
    </row>
    <row r="154" spans="1:7" ht="15.75">
      <c r="A154" s="1192" t="s">
        <v>496</v>
      </c>
      <c r="B154" s="1193" t="s">
        <v>108</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108</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0" t="s">
        <v>647</v>
      </c>
      <c r="B158" s="1161" t="s">
        <v>108</v>
      </c>
      <c r="C158" s="59">
        <v>45716</v>
      </c>
      <c r="D158" s="60">
        <v>946</v>
      </c>
      <c r="E158" s="60"/>
      <c r="F158" s="49" t="s">
        <v>1348</v>
      </c>
      <c r="G158" t="str">
        <f t="shared" si="2"/>
        <v>February</v>
      </c>
    </row>
    <row r="159" spans="1:7">
      <c r="A159" s="54" t="s">
        <v>644</v>
      </c>
      <c r="B159" s="179" t="s">
        <v>554</v>
      </c>
      <c r="C159" s="1159">
        <v>45716</v>
      </c>
      <c r="D159" s="60" t="s">
        <v>1366</v>
      </c>
      <c r="E159" s="60"/>
      <c r="F159" s="55"/>
      <c r="G159" t="str">
        <f t="shared" si="2"/>
        <v>February</v>
      </c>
    </row>
    <row r="160" spans="1:7">
      <c r="A160" s="1192"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108</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108</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0" t="s">
        <v>661</v>
      </c>
      <c r="B177" s="1163" t="s">
        <v>662</v>
      </c>
      <c r="C177" s="59">
        <v>45719</v>
      </c>
      <c r="D177" s="60" t="s">
        <v>1366</v>
      </c>
      <c r="E177" s="60"/>
      <c r="F177" s="55"/>
      <c r="G177" t="str">
        <f t="shared" si="2"/>
        <v>March</v>
      </c>
    </row>
    <row r="178" spans="1:7" ht="15.75">
      <c r="A178" s="54" t="s">
        <v>668</v>
      </c>
      <c r="B178" s="178" t="s">
        <v>1165</v>
      </c>
      <c r="C178" s="1159">
        <v>45719</v>
      </c>
      <c r="D178" s="60" t="s">
        <v>1366</v>
      </c>
      <c r="E178" s="60"/>
      <c r="F178" s="55"/>
      <c r="G178" t="str">
        <f t="shared" si="2"/>
        <v>March</v>
      </c>
    </row>
    <row r="179" spans="1:7">
      <c r="A179" s="1192" t="s">
        <v>714</v>
      </c>
      <c r="B179" s="273" t="s">
        <v>622</v>
      </c>
      <c r="C179" s="59">
        <v>45719</v>
      </c>
      <c r="D179" s="60" t="s">
        <v>1366</v>
      </c>
      <c r="E179" s="60"/>
      <c r="F179" s="55"/>
      <c r="G179" t="str">
        <f t="shared" si="2"/>
        <v>March</v>
      </c>
    </row>
    <row r="180" spans="1:7">
      <c r="A180" s="1160" t="s">
        <v>1026</v>
      </c>
      <c r="B180" s="1163" t="s">
        <v>662</v>
      </c>
      <c r="C180" s="59">
        <v>45719</v>
      </c>
      <c r="D180" s="60" t="s">
        <v>1366</v>
      </c>
      <c r="E180" s="60"/>
      <c r="F180" s="55"/>
      <c r="G180" t="str">
        <f t="shared" si="2"/>
        <v>March</v>
      </c>
    </row>
    <row r="181" spans="1:7" ht="15.75">
      <c r="A181" s="54" t="s">
        <v>769</v>
      </c>
      <c r="B181" s="178" t="s">
        <v>1165</v>
      </c>
      <c r="C181" s="1159">
        <v>45719</v>
      </c>
      <c r="D181" s="60">
        <v>363</v>
      </c>
      <c r="E181" s="60"/>
      <c r="F181" s="55"/>
      <c r="G181" t="str">
        <f t="shared" si="2"/>
        <v>March</v>
      </c>
    </row>
    <row r="182" spans="1:7">
      <c r="A182" s="1192" t="s">
        <v>607</v>
      </c>
      <c r="B182" s="1195" t="s">
        <v>492</v>
      </c>
      <c r="C182" s="59">
        <v>45719</v>
      </c>
      <c r="D182" s="60" t="s">
        <v>1366</v>
      </c>
      <c r="E182" s="60"/>
      <c r="F182" s="55"/>
      <c r="G182" t="str">
        <f t="shared" si="2"/>
        <v>March</v>
      </c>
    </row>
    <row r="183" spans="1:7">
      <c r="A183" s="1160" t="s">
        <v>491</v>
      </c>
      <c r="B183" s="1163" t="s">
        <v>492</v>
      </c>
      <c r="C183" s="59">
        <v>45719</v>
      </c>
      <c r="D183" s="60" t="s">
        <v>1366</v>
      </c>
      <c r="E183" s="60"/>
      <c r="F183" s="55"/>
      <c r="G183" t="str">
        <f t="shared" si="2"/>
        <v>March</v>
      </c>
    </row>
    <row r="184" spans="1:7" ht="15.75">
      <c r="A184" s="54" t="s">
        <v>494</v>
      </c>
      <c r="B184" s="178" t="s">
        <v>1165</v>
      </c>
      <c r="C184" s="1159">
        <v>45719</v>
      </c>
      <c r="D184" s="60" t="s">
        <v>1366</v>
      </c>
      <c r="E184" s="60"/>
      <c r="F184" s="55"/>
      <c r="G184" t="str">
        <f t="shared" si="2"/>
        <v>March</v>
      </c>
    </row>
    <row r="185" spans="1:7" ht="15.75">
      <c r="A185" s="1192" t="s">
        <v>496</v>
      </c>
      <c r="B185" s="1193" t="s">
        <v>108</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108</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0" t="s">
        <v>647</v>
      </c>
      <c r="B189" s="1161" t="s">
        <v>108</v>
      </c>
      <c r="C189" s="59">
        <v>45719</v>
      </c>
      <c r="D189" s="60" t="s">
        <v>1366</v>
      </c>
      <c r="E189" s="60"/>
      <c r="F189" s="55"/>
      <c r="G189" t="str">
        <f t="shared" si="2"/>
        <v>March</v>
      </c>
    </row>
    <row r="190" spans="1:7">
      <c r="A190" s="54" t="s">
        <v>644</v>
      </c>
      <c r="B190" s="179" t="s">
        <v>554</v>
      </c>
      <c r="C190" s="1159">
        <v>45719</v>
      </c>
      <c r="D190" s="60" t="s">
        <v>1366</v>
      </c>
      <c r="E190" s="60"/>
      <c r="F190" s="55"/>
      <c r="G190" t="str">
        <f t="shared" si="2"/>
        <v>March</v>
      </c>
    </row>
    <row r="191" spans="1:7">
      <c r="A191" s="1192"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108</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108</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108</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0" t="s">
        <v>657</v>
      </c>
      <c r="B210" s="238" t="s">
        <v>1340</v>
      </c>
      <c r="C210" s="59">
        <v>45720</v>
      </c>
      <c r="D210" s="60" t="s">
        <v>1366</v>
      </c>
      <c r="E210" s="60"/>
      <c r="F210" s="55"/>
      <c r="G210" t="str">
        <f t="shared" si="3"/>
        <v>March</v>
      </c>
      <c r="H210" s="69"/>
    </row>
    <row r="211" spans="1:8" ht="15.75">
      <c r="A211" s="54" t="s">
        <v>668</v>
      </c>
      <c r="B211" s="178" t="s">
        <v>1165</v>
      </c>
      <c r="C211" s="1159">
        <v>45720</v>
      </c>
      <c r="D211" s="60">
        <v>414</v>
      </c>
      <c r="E211" s="60"/>
      <c r="F211" s="55"/>
      <c r="G211" t="str">
        <f t="shared" si="3"/>
        <v>March</v>
      </c>
    </row>
    <row r="212" spans="1:8" ht="15.75">
      <c r="A212" s="54" t="s">
        <v>769</v>
      </c>
      <c r="B212" s="178" t="s">
        <v>1165</v>
      </c>
      <c r="C212" s="1159">
        <v>45720</v>
      </c>
      <c r="D212" s="60">
        <v>171</v>
      </c>
      <c r="E212" s="60"/>
      <c r="F212" s="55"/>
      <c r="G212" t="str">
        <f t="shared" si="3"/>
        <v>March</v>
      </c>
    </row>
    <row r="213" spans="1:8">
      <c r="A213" s="1190" t="s">
        <v>498</v>
      </c>
      <c r="B213" s="1199" t="s">
        <v>1341</v>
      </c>
      <c r="C213" s="59">
        <v>45720</v>
      </c>
      <c r="D213" s="60"/>
      <c r="E213" s="60"/>
      <c r="F213" s="60" t="s">
        <v>1373</v>
      </c>
      <c r="G213" t="str">
        <f t="shared" si="3"/>
        <v>March</v>
      </c>
    </row>
    <row r="214" spans="1:8">
      <c r="A214" s="54" t="s">
        <v>644</v>
      </c>
      <c r="B214" s="179" t="s">
        <v>554</v>
      </c>
      <c r="C214" s="1159">
        <v>45720</v>
      </c>
      <c r="D214" s="60"/>
      <c r="E214" s="60"/>
      <c r="F214" s="71" t="s">
        <v>1374</v>
      </c>
      <c r="G214" t="str">
        <f t="shared" si="3"/>
        <v>March</v>
      </c>
    </row>
    <row r="215" spans="1:8">
      <c r="A215" s="1192"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108</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108</v>
      </c>
      <c r="C222" s="59">
        <v>45720</v>
      </c>
      <c r="D222" s="87">
        <v>1360</v>
      </c>
      <c r="E222" s="87"/>
      <c r="F222" s="49" t="s">
        <v>1376</v>
      </c>
      <c r="G222" t="str">
        <f t="shared" si="3"/>
        <v>March</v>
      </c>
    </row>
    <row r="223" spans="1:8">
      <c r="A223" s="1160" t="s">
        <v>747</v>
      </c>
      <c r="B223" s="1166" t="s">
        <v>724</v>
      </c>
      <c r="C223" s="59">
        <v>45720</v>
      </c>
      <c r="D223" s="60" t="s">
        <v>1366</v>
      </c>
      <c r="E223" s="60"/>
      <c r="F223" s="55"/>
      <c r="G223" t="str">
        <f t="shared" si="3"/>
        <v>March</v>
      </c>
    </row>
    <row r="224" spans="1:8" ht="15.75">
      <c r="A224" s="54" t="s">
        <v>1170</v>
      </c>
      <c r="B224" s="178" t="s">
        <v>1165</v>
      </c>
      <c r="C224" s="1159">
        <v>45720</v>
      </c>
      <c r="D224" s="60">
        <v>285</v>
      </c>
      <c r="E224" s="60"/>
      <c r="F224" s="55"/>
      <c r="G224" t="str">
        <f t="shared" si="3"/>
        <v>March</v>
      </c>
    </row>
    <row r="225" spans="1:7">
      <c r="A225" s="1192" t="s">
        <v>657</v>
      </c>
      <c r="B225" s="236" t="s">
        <v>1340</v>
      </c>
      <c r="C225" s="59">
        <v>45721</v>
      </c>
      <c r="D225" s="60">
        <v>0</v>
      </c>
      <c r="E225" s="60"/>
      <c r="F225" s="55"/>
      <c r="G225" t="str">
        <f t="shared" si="3"/>
        <v>March</v>
      </c>
    </row>
    <row r="226" spans="1:7">
      <c r="A226" s="1160" t="s">
        <v>661</v>
      </c>
      <c r="B226" s="1163" t="s">
        <v>662</v>
      </c>
      <c r="C226" s="59">
        <v>45721</v>
      </c>
      <c r="D226" s="60">
        <v>0</v>
      </c>
      <c r="E226" s="60"/>
      <c r="F226" s="55"/>
      <c r="G226" t="str">
        <f t="shared" si="3"/>
        <v>March</v>
      </c>
    </row>
    <row r="227" spans="1:7" ht="15.75">
      <c r="A227" s="54" t="s">
        <v>668</v>
      </c>
      <c r="B227" s="178" t="s">
        <v>1165</v>
      </c>
      <c r="C227" s="1159">
        <v>45721</v>
      </c>
      <c r="D227" s="60">
        <v>367</v>
      </c>
      <c r="E227" s="60"/>
      <c r="F227" s="55"/>
      <c r="G227" t="str">
        <f t="shared" si="3"/>
        <v>March</v>
      </c>
    </row>
    <row r="228" spans="1:7">
      <c r="A228" s="1192" t="s">
        <v>714</v>
      </c>
      <c r="B228" s="273" t="s">
        <v>622</v>
      </c>
      <c r="C228" s="59">
        <v>45721</v>
      </c>
      <c r="D228" s="60">
        <v>0</v>
      </c>
      <c r="E228" s="60"/>
      <c r="F228" s="55"/>
      <c r="G228" t="str">
        <f t="shared" si="3"/>
        <v>March</v>
      </c>
    </row>
    <row r="229" spans="1:7">
      <c r="A229" s="1160" t="s">
        <v>1026</v>
      </c>
      <c r="B229" s="1163" t="s">
        <v>662</v>
      </c>
      <c r="C229" s="59">
        <v>45721</v>
      </c>
      <c r="D229" s="60">
        <v>0</v>
      </c>
      <c r="E229" s="60"/>
      <c r="F229" s="55"/>
      <c r="G229" t="str">
        <f t="shared" si="3"/>
        <v>March</v>
      </c>
    </row>
    <row r="230" spans="1:7" ht="15.75">
      <c r="A230" s="54" t="s">
        <v>769</v>
      </c>
      <c r="B230" s="178" t="s">
        <v>1165</v>
      </c>
      <c r="C230" s="1159">
        <v>45721</v>
      </c>
      <c r="D230" s="60">
        <v>0</v>
      </c>
      <c r="E230" s="60"/>
      <c r="F230" s="55"/>
      <c r="G230" t="str">
        <f t="shared" si="3"/>
        <v>March</v>
      </c>
    </row>
    <row r="231" spans="1:7">
      <c r="A231" s="1192" t="s">
        <v>607</v>
      </c>
      <c r="B231" s="1195" t="s">
        <v>492</v>
      </c>
      <c r="C231" s="59">
        <v>45721</v>
      </c>
      <c r="D231" s="60">
        <v>0</v>
      </c>
      <c r="E231" s="60"/>
      <c r="F231" s="55"/>
      <c r="G231" t="str">
        <f t="shared" si="3"/>
        <v>March</v>
      </c>
    </row>
    <row r="232" spans="1:7">
      <c r="A232" s="1160" t="s">
        <v>491</v>
      </c>
      <c r="B232" s="1163" t="s">
        <v>492</v>
      </c>
      <c r="C232" s="59">
        <v>45721</v>
      </c>
      <c r="D232" s="60">
        <v>0</v>
      </c>
      <c r="E232" s="60"/>
      <c r="F232" s="55"/>
      <c r="G232" t="str">
        <f t="shared" si="3"/>
        <v>March</v>
      </c>
    </row>
    <row r="233" spans="1:7" ht="15.75">
      <c r="A233" s="54" t="s">
        <v>494</v>
      </c>
      <c r="B233" s="178" t="s">
        <v>1165</v>
      </c>
      <c r="C233" s="1159">
        <v>45721</v>
      </c>
      <c r="D233" s="60">
        <v>0</v>
      </c>
      <c r="E233" s="60"/>
      <c r="F233" s="60" t="s">
        <v>1377</v>
      </c>
      <c r="G233" t="str">
        <f t="shared" si="3"/>
        <v>March</v>
      </c>
    </row>
    <row r="234" spans="1:7" ht="15.75">
      <c r="A234" s="1192" t="s">
        <v>496</v>
      </c>
      <c r="B234" s="1193" t="s">
        <v>108</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108</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0" t="s">
        <v>647</v>
      </c>
      <c r="B238" s="1161" t="s">
        <v>108</v>
      </c>
      <c r="C238" s="59">
        <v>45721</v>
      </c>
      <c r="D238" s="60">
        <v>0</v>
      </c>
      <c r="E238" s="60"/>
      <c r="F238" s="55"/>
      <c r="G238" t="str">
        <f t="shared" si="3"/>
        <v>March</v>
      </c>
    </row>
    <row r="239" spans="1:7">
      <c r="A239" s="54" t="s">
        <v>644</v>
      </c>
      <c r="B239" s="179" t="s">
        <v>554</v>
      </c>
      <c r="C239" s="1159">
        <v>45721</v>
      </c>
      <c r="D239" s="60">
        <v>0</v>
      </c>
      <c r="E239" s="60"/>
      <c r="F239" s="55"/>
      <c r="G239" t="str">
        <f t="shared" si="3"/>
        <v>March</v>
      </c>
    </row>
    <row r="240" spans="1:7">
      <c r="A240" s="1192"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108</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108</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108</v>
      </c>
      <c r="C257" s="59">
        <v>45721</v>
      </c>
      <c r="D257" s="87">
        <v>1263</v>
      </c>
      <c r="E257" s="87"/>
      <c r="F257" s="70" t="s">
        <v>1383</v>
      </c>
      <c r="G257" t="str">
        <f t="shared" si="3"/>
        <v>March</v>
      </c>
    </row>
    <row r="258" spans="1:7">
      <c r="A258" s="1160" t="s">
        <v>747</v>
      </c>
      <c r="B258" s="1166" t="s">
        <v>724</v>
      </c>
      <c r="C258" s="59">
        <v>45721</v>
      </c>
      <c r="D258" s="60">
        <v>0</v>
      </c>
      <c r="E258" s="60"/>
      <c r="F258" s="55"/>
      <c r="G258" t="str">
        <f t="shared" si="3"/>
        <v>March</v>
      </c>
    </row>
    <row r="259" spans="1:7" ht="15.75">
      <c r="A259" s="55" t="s">
        <v>461</v>
      </c>
      <c r="B259" s="178" t="s">
        <v>1165</v>
      </c>
      <c r="C259" s="1159">
        <v>45721</v>
      </c>
      <c r="D259" s="60">
        <v>617</v>
      </c>
      <c r="E259" s="60"/>
      <c r="F259" s="55"/>
      <c r="G259" t="str">
        <f t="shared" ref="G259:G322" si="4">TEXT(C259,"mmmm")</f>
        <v>March</v>
      </c>
    </row>
    <row r="260" spans="1:7" ht="15.75">
      <c r="A260" s="1197" t="s">
        <v>756</v>
      </c>
      <c r="B260" s="1191" t="s">
        <v>108</v>
      </c>
      <c r="C260" s="59">
        <v>45721</v>
      </c>
      <c r="D260" s="60">
        <v>700</v>
      </c>
      <c r="E260" s="60"/>
      <c r="F260" s="49" t="s">
        <v>1348</v>
      </c>
      <c r="G260" t="str">
        <f t="shared" si="4"/>
        <v>March</v>
      </c>
    </row>
    <row r="261" spans="1:7" ht="15.75">
      <c r="A261" s="55" t="s">
        <v>570</v>
      </c>
      <c r="B261" s="178" t="s">
        <v>1165</v>
      </c>
      <c r="C261" s="1159">
        <v>45721</v>
      </c>
      <c r="D261" s="60">
        <v>200</v>
      </c>
      <c r="E261" s="60"/>
      <c r="F261" s="55"/>
      <c r="G261" t="str">
        <f t="shared" si="4"/>
        <v>March</v>
      </c>
    </row>
    <row r="262" spans="1:7">
      <c r="A262" s="1192" t="s">
        <v>657</v>
      </c>
      <c r="B262" s="236" t="s">
        <v>1340</v>
      </c>
      <c r="C262" s="59">
        <v>45722</v>
      </c>
      <c r="D262" s="71">
        <v>0</v>
      </c>
      <c r="E262" s="71"/>
      <c r="F262" s="55"/>
      <c r="G262" t="str">
        <f t="shared" si="4"/>
        <v>March</v>
      </c>
    </row>
    <row r="263" spans="1:7">
      <c r="A263" s="1160" t="s">
        <v>661</v>
      </c>
      <c r="B263" s="1163" t="s">
        <v>662</v>
      </c>
      <c r="C263" s="59">
        <v>45722</v>
      </c>
      <c r="D263" s="71">
        <v>0</v>
      </c>
      <c r="E263" s="71"/>
      <c r="F263" s="55"/>
      <c r="G263" t="str">
        <f t="shared" si="4"/>
        <v>March</v>
      </c>
    </row>
    <row r="264" spans="1:7" ht="15.75">
      <c r="A264" s="54" t="s">
        <v>668</v>
      </c>
      <c r="B264" s="178" t="s">
        <v>1165</v>
      </c>
      <c r="C264" s="1159">
        <v>45722</v>
      </c>
      <c r="D264" s="71">
        <v>245</v>
      </c>
      <c r="E264" s="71"/>
      <c r="F264" s="49" t="s">
        <v>1355</v>
      </c>
      <c r="G264" t="str">
        <f t="shared" si="4"/>
        <v>March</v>
      </c>
    </row>
    <row r="265" spans="1:7">
      <c r="A265" s="1192" t="s">
        <v>714</v>
      </c>
      <c r="B265" s="273" t="s">
        <v>622</v>
      </c>
      <c r="C265" s="59">
        <v>45722</v>
      </c>
      <c r="D265" s="71">
        <v>0</v>
      </c>
      <c r="E265" s="71"/>
      <c r="F265" s="55"/>
      <c r="G265" t="str">
        <f t="shared" si="4"/>
        <v>March</v>
      </c>
    </row>
    <row r="266" spans="1:7">
      <c r="A266" s="1160" t="s">
        <v>1026</v>
      </c>
      <c r="B266" s="1163" t="s">
        <v>662</v>
      </c>
      <c r="C266" s="59">
        <v>45722</v>
      </c>
      <c r="D266" s="71">
        <v>0</v>
      </c>
      <c r="E266" s="71"/>
      <c r="F266" s="55"/>
      <c r="G266" t="str">
        <f t="shared" si="4"/>
        <v>March</v>
      </c>
    </row>
    <row r="267" spans="1:7" ht="15.75">
      <c r="A267" s="54" t="s">
        <v>769</v>
      </c>
      <c r="B267" s="178" t="s">
        <v>1165</v>
      </c>
      <c r="C267" s="1159">
        <v>45722</v>
      </c>
      <c r="D267" s="71">
        <v>397</v>
      </c>
      <c r="E267" s="71"/>
      <c r="F267" s="49" t="s">
        <v>1384</v>
      </c>
      <c r="G267" t="str">
        <f t="shared" si="4"/>
        <v>March</v>
      </c>
    </row>
    <row r="268" spans="1:7">
      <c r="A268" s="1192" t="s">
        <v>503</v>
      </c>
      <c r="B268" s="1195" t="s">
        <v>492</v>
      </c>
      <c r="C268" s="59">
        <v>45722</v>
      </c>
      <c r="D268" s="71">
        <v>0</v>
      </c>
      <c r="E268" s="71"/>
      <c r="F268" s="55"/>
      <c r="G268" t="str">
        <f t="shared" si="4"/>
        <v>March</v>
      </c>
    </row>
    <row r="269" spans="1:7">
      <c r="A269" s="1160" t="s">
        <v>491</v>
      </c>
      <c r="B269" s="1163" t="s">
        <v>492</v>
      </c>
      <c r="C269" s="59">
        <v>45722</v>
      </c>
      <c r="D269" s="71">
        <v>0</v>
      </c>
      <c r="E269" s="71"/>
      <c r="F269" s="55"/>
      <c r="G269" t="str">
        <f t="shared" si="4"/>
        <v>March</v>
      </c>
    </row>
    <row r="270" spans="1:7" ht="15.75">
      <c r="A270" s="54" t="s">
        <v>494</v>
      </c>
      <c r="B270" s="178" t="s">
        <v>1165</v>
      </c>
      <c r="C270" s="1159">
        <v>45722</v>
      </c>
      <c r="D270" s="71">
        <v>0</v>
      </c>
      <c r="E270" s="71"/>
      <c r="F270" s="55"/>
      <c r="G270" t="str">
        <f t="shared" si="4"/>
        <v>March</v>
      </c>
    </row>
    <row r="271" spans="1:7" ht="15.75">
      <c r="A271" s="1192" t="s">
        <v>496</v>
      </c>
      <c r="B271" s="1193" t="s">
        <v>108</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108</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0" t="s">
        <v>647</v>
      </c>
      <c r="B275" s="1161" t="s">
        <v>108</v>
      </c>
      <c r="C275" s="59">
        <v>45722</v>
      </c>
      <c r="D275" s="71">
        <v>0</v>
      </c>
      <c r="E275" s="71"/>
      <c r="F275" s="55"/>
      <c r="G275" t="str">
        <f t="shared" si="4"/>
        <v>March</v>
      </c>
    </row>
    <row r="276" spans="1:7">
      <c r="A276" s="54" t="s">
        <v>644</v>
      </c>
      <c r="B276" s="179" t="s">
        <v>554</v>
      </c>
      <c r="C276" s="1159">
        <v>45722</v>
      </c>
      <c r="D276" s="71">
        <v>0</v>
      </c>
      <c r="E276" s="71"/>
      <c r="F276" s="55"/>
      <c r="G276" t="str">
        <f t="shared" si="4"/>
        <v>March</v>
      </c>
    </row>
    <row r="277" spans="1:7">
      <c r="A277" s="1192"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108</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108</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108</v>
      </c>
      <c r="C294" s="59">
        <v>45722</v>
      </c>
      <c r="D294" s="71">
        <v>0</v>
      </c>
      <c r="E294" s="71"/>
      <c r="F294" s="55"/>
      <c r="G294" t="str">
        <f t="shared" si="4"/>
        <v>March</v>
      </c>
    </row>
    <row r="295" spans="1:7">
      <c r="A295" s="1160" t="s">
        <v>747</v>
      </c>
      <c r="B295" s="1166" t="s">
        <v>724</v>
      </c>
      <c r="C295" s="59">
        <v>45722</v>
      </c>
      <c r="D295" s="71">
        <v>0</v>
      </c>
      <c r="E295" s="71"/>
      <c r="F295" s="55"/>
      <c r="G295" t="str">
        <f t="shared" si="4"/>
        <v>March</v>
      </c>
    </row>
    <row r="296" spans="1:7" ht="15.75">
      <c r="A296" s="55" t="s">
        <v>461</v>
      </c>
      <c r="B296" s="178" t="s">
        <v>1165</v>
      </c>
      <c r="C296" s="1159">
        <v>45722</v>
      </c>
      <c r="D296" s="71">
        <v>286</v>
      </c>
      <c r="E296" s="71"/>
      <c r="F296" s="55"/>
      <c r="G296" t="str">
        <f t="shared" si="4"/>
        <v>March</v>
      </c>
    </row>
    <row r="297" spans="1:7" ht="15.75">
      <c r="A297" s="1197" t="s">
        <v>756</v>
      </c>
      <c r="B297" s="1191" t="s">
        <v>108</v>
      </c>
      <c r="C297" s="59">
        <v>45722</v>
      </c>
      <c r="D297" s="88">
        <v>1590</v>
      </c>
      <c r="E297" s="88"/>
      <c r="F297" s="71" t="s">
        <v>1345</v>
      </c>
      <c r="G297" t="str">
        <f t="shared" si="4"/>
        <v>March</v>
      </c>
    </row>
    <row r="298" spans="1:7" ht="15.75">
      <c r="A298" s="55" t="s">
        <v>570</v>
      </c>
      <c r="B298" s="178" t="s">
        <v>1165</v>
      </c>
      <c r="C298" s="1159">
        <v>45722</v>
      </c>
      <c r="D298" s="71">
        <v>489</v>
      </c>
      <c r="E298" s="71"/>
      <c r="F298" s="71" t="s">
        <v>1386</v>
      </c>
      <c r="G298" t="str">
        <f t="shared" si="4"/>
        <v>March</v>
      </c>
    </row>
    <row r="299" spans="1:7">
      <c r="A299" s="1198" t="s">
        <v>729</v>
      </c>
      <c r="B299" s="273" t="s">
        <v>622</v>
      </c>
      <c r="C299" s="59">
        <v>45722</v>
      </c>
      <c r="D299" s="71">
        <v>884</v>
      </c>
      <c r="E299" s="71"/>
      <c r="F299" s="71" t="s">
        <v>1387</v>
      </c>
      <c r="G299" t="str">
        <f t="shared" si="4"/>
        <v>March</v>
      </c>
    </row>
    <row r="300" spans="1:7" ht="15.75">
      <c r="A300" s="55" t="s">
        <v>481</v>
      </c>
      <c r="B300" s="178" t="s">
        <v>108</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0" t="s">
        <v>661</v>
      </c>
      <c r="B303" s="1163"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2" t="s">
        <v>714</v>
      </c>
      <c r="B305" s="273" t="s">
        <v>622</v>
      </c>
      <c r="C305" s="24">
        <v>45723</v>
      </c>
      <c r="D305" s="71">
        <v>0</v>
      </c>
      <c r="E305" s="71"/>
      <c r="G305" t="str">
        <f t="shared" si="4"/>
        <v>March</v>
      </c>
    </row>
    <row r="306" spans="1:7">
      <c r="A306" s="1160" t="s">
        <v>1026</v>
      </c>
      <c r="B306" s="1163"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2" t="s">
        <v>607</v>
      </c>
      <c r="B308" s="1195" t="s">
        <v>492</v>
      </c>
      <c r="C308" s="24">
        <v>45723</v>
      </c>
      <c r="D308" s="71">
        <v>0</v>
      </c>
      <c r="E308" s="71"/>
      <c r="G308" t="str">
        <f t="shared" si="4"/>
        <v>March</v>
      </c>
    </row>
    <row r="309" spans="1:7">
      <c r="A309" s="1160" t="s">
        <v>491</v>
      </c>
      <c r="B309" s="1163"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2" t="s">
        <v>496</v>
      </c>
      <c r="B311" s="1193" t="s">
        <v>108</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108</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0" t="s">
        <v>647</v>
      </c>
      <c r="B315" s="1161" t="s">
        <v>108</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2"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108</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108</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108</v>
      </c>
      <c r="C334" s="24">
        <v>45723</v>
      </c>
      <c r="D334" s="71">
        <v>0</v>
      </c>
      <c r="E334" s="71"/>
      <c r="G334" t="str">
        <f t="shared" si="5"/>
        <v>March</v>
      </c>
    </row>
    <row r="335" spans="1:7">
      <c r="A335" s="1160" t="s">
        <v>747</v>
      </c>
      <c r="B335" s="1166"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7" t="s">
        <v>756</v>
      </c>
      <c r="B337" s="1191" t="s">
        <v>108</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8" t="s">
        <v>729</v>
      </c>
      <c r="B339" s="273" t="s">
        <v>622</v>
      </c>
      <c r="C339" s="24">
        <v>45723</v>
      </c>
      <c r="D339" s="71">
        <v>738</v>
      </c>
      <c r="E339" s="71"/>
      <c r="F339" s="71" t="s">
        <v>1394</v>
      </c>
      <c r="G339" t="str">
        <f t="shared" si="5"/>
        <v>March</v>
      </c>
    </row>
    <row r="340" spans="1:7" ht="15.75">
      <c r="A340" s="55" t="s">
        <v>481</v>
      </c>
      <c r="B340" s="178" t="s">
        <v>108</v>
      </c>
      <c r="C340" s="24">
        <v>45723</v>
      </c>
      <c r="D340" s="71">
        <v>0</v>
      </c>
      <c r="E340" s="71"/>
      <c r="G340" t="str">
        <f t="shared" si="5"/>
        <v>March</v>
      </c>
    </row>
    <row r="341" spans="1:7">
      <c r="A341" s="1167" t="s">
        <v>684</v>
      </c>
      <c r="B341" s="1166"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2" t="s">
        <v>657</v>
      </c>
      <c r="B343" s="236" t="s">
        <v>1340</v>
      </c>
      <c r="C343" s="24">
        <v>45726</v>
      </c>
      <c r="D343" s="71">
        <v>0</v>
      </c>
      <c r="E343" s="71"/>
      <c r="G343" t="str">
        <f t="shared" si="5"/>
        <v>March</v>
      </c>
    </row>
    <row r="344" spans="1:7">
      <c r="A344" s="1160" t="s">
        <v>661</v>
      </c>
      <c r="B344" s="1163"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2" t="s">
        <v>714</v>
      </c>
      <c r="B346" s="273" t="s">
        <v>622</v>
      </c>
      <c r="C346" s="24">
        <v>45726</v>
      </c>
      <c r="D346" s="71">
        <v>0</v>
      </c>
      <c r="E346" s="71"/>
      <c r="G346" t="str">
        <f t="shared" si="5"/>
        <v>March</v>
      </c>
    </row>
    <row r="347" spans="1:7">
      <c r="A347" s="1160" t="s">
        <v>1026</v>
      </c>
      <c r="B347" s="1163"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2" t="s">
        <v>607</v>
      </c>
      <c r="B349" s="1195" t="s">
        <v>492</v>
      </c>
      <c r="C349" s="24">
        <v>45726</v>
      </c>
      <c r="D349" s="71">
        <v>0</v>
      </c>
      <c r="E349" s="71"/>
      <c r="G349" t="str">
        <f t="shared" si="5"/>
        <v>March</v>
      </c>
    </row>
    <row r="350" spans="1:7">
      <c r="A350" s="1160" t="s">
        <v>491</v>
      </c>
      <c r="B350" s="1163"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2" t="s">
        <v>496</v>
      </c>
      <c r="B352" s="1193" t="s">
        <v>108</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108</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0" t="s">
        <v>647</v>
      </c>
      <c r="B356" s="1161" t="s">
        <v>108</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2"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108</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108</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108</v>
      </c>
      <c r="C375" s="24">
        <v>45726</v>
      </c>
      <c r="D375" s="71">
        <v>0</v>
      </c>
      <c r="E375" s="71"/>
      <c r="G375" t="str">
        <f t="shared" si="5"/>
        <v>March</v>
      </c>
    </row>
    <row r="376" spans="1:7">
      <c r="A376" s="1160" t="s">
        <v>747</v>
      </c>
      <c r="B376" s="1166"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7" t="s">
        <v>756</v>
      </c>
      <c r="B378" s="1191" t="s">
        <v>108</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8" t="s">
        <v>729</v>
      </c>
      <c r="B380" s="273" t="s">
        <v>622</v>
      </c>
      <c r="C380" s="24">
        <v>45726</v>
      </c>
      <c r="D380" s="71">
        <v>0</v>
      </c>
      <c r="E380" s="71"/>
      <c r="G380" t="str">
        <f t="shared" si="5"/>
        <v>March</v>
      </c>
    </row>
    <row r="381" spans="1:7" ht="15.75">
      <c r="A381" s="55" t="s">
        <v>481</v>
      </c>
      <c r="B381" s="178" t="s">
        <v>108</v>
      </c>
      <c r="C381" s="24">
        <v>45726</v>
      </c>
      <c r="D381" s="88">
        <v>1288</v>
      </c>
      <c r="E381" s="88"/>
      <c r="F381" s="49" t="s">
        <v>1382</v>
      </c>
      <c r="G381" t="str">
        <f t="shared" si="5"/>
        <v>March</v>
      </c>
    </row>
    <row r="382" spans="1:7">
      <c r="A382" s="1167" t="s">
        <v>684</v>
      </c>
      <c r="B382" s="1166"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2" t="s">
        <v>657</v>
      </c>
      <c r="B384" s="236" t="s">
        <v>1340</v>
      </c>
      <c r="C384" s="24">
        <v>45727</v>
      </c>
      <c r="D384" s="60">
        <v>3</v>
      </c>
      <c r="E384" s="60"/>
      <c r="F384" s="49" t="s">
        <v>1359</v>
      </c>
      <c r="G384" t="str">
        <f t="shared" si="5"/>
        <v>March</v>
      </c>
    </row>
    <row r="385" spans="1:7">
      <c r="A385" s="1160" t="s">
        <v>661</v>
      </c>
      <c r="B385" s="1163"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2" t="s">
        <v>714</v>
      </c>
      <c r="B387" s="273" t="s">
        <v>622</v>
      </c>
      <c r="C387" s="24">
        <v>45727</v>
      </c>
      <c r="D387" s="60">
        <v>0</v>
      </c>
      <c r="E387" s="60"/>
      <c r="G387" t="str">
        <f t="shared" ref="G387:G450" si="6">TEXT(C387,"mmmm")</f>
        <v>March</v>
      </c>
    </row>
    <row r="388" spans="1:7">
      <c r="A388" s="1160" t="s">
        <v>1026</v>
      </c>
      <c r="B388" s="1163"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2" t="s">
        <v>607</v>
      </c>
      <c r="B390" s="1195" t="s">
        <v>492</v>
      </c>
      <c r="C390" s="24">
        <v>45727</v>
      </c>
      <c r="D390" s="60">
        <v>0</v>
      </c>
      <c r="E390" s="60"/>
      <c r="G390" t="str">
        <f t="shared" si="6"/>
        <v>March</v>
      </c>
    </row>
    <row r="391" spans="1:7">
      <c r="A391" s="1160" t="s">
        <v>491</v>
      </c>
      <c r="B391" s="1163"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2" t="s">
        <v>496</v>
      </c>
      <c r="B393" s="1193" t="s">
        <v>108</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108</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0" t="s">
        <v>647</v>
      </c>
      <c r="B397" s="1161" t="s">
        <v>108</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2"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108</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108</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108</v>
      </c>
      <c r="C416" s="24">
        <v>45727</v>
      </c>
      <c r="D416" s="60">
        <v>0</v>
      </c>
      <c r="E416" s="60"/>
      <c r="G416" t="str">
        <f t="shared" si="6"/>
        <v>March</v>
      </c>
    </row>
    <row r="417" spans="1:7">
      <c r="A417" s="1160" t="s">
        <v>747</v>
      </c>
      <c r="B417" s="1166"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7" t="s">
        <v>756</v>
      </c>
      <c r="B419" s="1191" t="s">
        <v>108</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8" t="s">
        <v>729</v>
      </c>
      <c r="B421" s="273" t="s">
        <v>622</v>
      </c>
      <c r="C421" s="24">
        <v>45727</v>
      </c>
      <c r="D421" s="60">
        <v>0</v>
      </c>
      <c r="E421" s="60"/>
      <c r="G421" t="str">
        <f t="shared" si="6"/>
        <v>March</v>
      </c>
    </row>
    <row r="422" spans="1:7" ht="15.75">
      <c r="A422" s="55" t="s">
        <v>481</v>
      </c>
      <c r="B422" s="178" t="s">
        <v>108</v>
      </c>
      <c r="C422" s="24">
        <v>45727</v>
      </c>
      <c r="D422" s="60">
        <v>685</v>
      </c>
      <c r="E422" s="60"/>
      <c r="F422" s="70" t="s">
        <v>1398</v>
      </c>
      <c r="G422" t="str">
        <f t="shared" si="6"/>
        <v>March</v>
      </c>
    </row>
    <row r="423" spans="1:7">
      <c r="A423" s="1167" t="s">
        <v>684</v>
      </c>
      <c r="B423" s="1166"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8" t="s">
        <v>509</v>
      </c>
      <c r="B425" s="1193" t="s">
        <v>108</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0" t="s">
        <v>661</v>
      </c>
      <c r="B431" s="1163"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2" t="s">
        <v>714</v>
      </c>
      <c r="B433" s="273" t="s">
        <v>622</v>
      </c>
      <c r="C433" s="24">
        <v>45728</v>
      </c>
      <c r="D433" s="60" t="s">
        <v>1366</v>
      </c>
      <c r="E433" s="60"/>
      <c r="G433" t="str">
        <f t="shared" si="6"/>
        <v>March</v>
      </c>
    </row>
    <row r="434" spans="1:7">
      <c r="A434" s="1160" t="s">
        <v>1026</v>
      </c>
      <c r="B434" s="1163"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2" t="s">
        <v>607</v>
      </c>
      <c r="B436" s="1195" t="s">
        <v>492</v>
      </c>
      <c r="C436" s="24">
        <v>45728</v>
      </c>
      <c r="D436" s="60" t="s">
        <v>1400</v>
      </c>
      <c r="E436" s="60"/>
      <c r="G436" t="str">
        <f t="shared" si="6"/>
        <v>March</v>
      </c>
    </row>
    <row r="437" spans="1:7">
      <c r="A437" s="1160" t="s">
        <v>491</v>
      </c>
      <c r="B437" s="1163"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2" t="s">
        <v>496</v>
      </c>
      <c r="B439" s="1193" t="s">
        <v>108</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108</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0" t="s">
        <v>647</v>
      </c>
      <c r="B443" s="1161" t="s">
        <v>108</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2"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108</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108</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108</v>
      </c>
      <c r="C462" s="24">
        <v>45728</v>
      </c>
      <c r="D462" s="60" t="s">
        <v>1366</v>
      </c>
      <c r="E462" s="60"/>
      <c r="G462" t="str">
        <f t="shared" si="7"/>
        <v>March</v>
      </c>
    </row>
    <row r="463" spans="1:7">
      <c r="A463" s="1160" t="s">
        <v>747</v>
      </c>
      <c r="B463" s="1166"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7" t="s">
        <v>756</v>
      </c>
      <c r="B465" s="1191" t="s">
        <v>108</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8" t="s">
        <v>729</v>
      </c>
      <c r="B467" s="273" t="s">
        <v>622</v>
      </c>
      <c r="C467" s="24">
        <v>45728</v>
      </c>
      <c r="D467" s="60">
        <v>961</v>
      </c>
      <c r="E467" s="60"/>
      <c r="G467" t="str">
        <f t="shared" si="7"/>
        <v>March</v>
      </c>
    </row>
    <row r="468" spans="1:7" ht="15.75">
      <c r="A468" s="55" t="s">
        <v>481</v>
      </c>
      <c r="B468" s="178" t="s">
        <v>108</v>
      </c>
      <c r="C468" s="24">
        <v>45728</v>
      </c>
      <c r="D468" s="60" t="s">
        <v>1366</v>
      </c>
      <c r="E468" s="60"/>
      <c r="G468" t="str">
        <f t="shared" si="7"/>
        <v>March</v>
      </c>
    </row>
    <row r="469" spans="1:7">
      <c r="A469" s="1167" t="s">
        <v>684</v>
      </c>
      <c r="B469" s="1166"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8" t="s">
        <v>509</v>
      </c>
      <c r="B471" s="1193" t="s">
        <v>108</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7"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8" t="s">
        <v>503</v>
      </c>
      <c r="B479" s="1193" t="s">
        <v>108</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0" t="s">
        <v>661</v>
      </c>
      <c r="B481" s="1163"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2" t="s">
        <v>714</v>
      </c>
      <c r="B483" s="273" t="s">
        <v>622</v>
      </c>
      <c r="C483" s="24">
        <v>45729</v>
      </c>
      <c r="D483" s="60"/>
      <c r="E483" s="60"/>
      <c r="G483" t="str">
        <f t="shared" si="7"/>
        <v>March</v>
      </c>
    </row>
    <row r="484" spans="1:7">
      <c r="A484" s="1160" t="s">
        <v>1026</v>
      </c>
      <c r="B484" s="1163"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2" t="s">
        <v>607</v>
      </c>
      <c r="B486" s="1195" t="s">
        <v>492</v>
      </c>
      <c r="C486" s="24">
        <v>45729</v>
      </c>
      <c r="D486" s="60"/>
      <c r="E486" s="60"/>
      <c r="G486" t="str">
        <f t="shared" si="7"/>
        <v>March</v>
      </c>
    </row>
    <row r="487" spans="1:7">
      <c r="A487" s="1160" t="s">
        <v>491</v>
      </c>
      <c r="B487" s="1163"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2" t="s">
        <v>496</v>
      </c>
      <c r="B489" s="1193" t="s">
        <v>108</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108</v>
      </c>
      <c r="C491" s="24">
        <v>45729</v>
      </c>
      <c r="D491" s="60"/>
      <c r="E491" s="60"/>
      <c r="G491" t="str">
        <f t="shared" si="7"/>
        <v>March</v>
      </c>
    </row>
    <row r="492" spans="1:7">
      <c r="A492" s="54" t="s">
        <v>557</v>
      </c>
      <c r="B492" s="180" t="s">
        <v>631</v>
      </c>
      <c r="C492" s="24">
        <v>45729</v>
      </c>
      <c r="D492" s="60"/>
      <c r="E492" s="60"/>
      <c r="G492" t="str">
        <f t="shared" si="7"/>
        <v>March</v>
      </c>
    </row>
    <row r="493" spans="1:7" ht="15.75">
      <c r="A493" s="1160" t="s">
        <v>647</v>
      </c>
      <c r="B493" s="1161" t="s">
        <v>108</v>
      </c>
      <c r="C493" s="24">
        <v>45729</v>
      </c>
      <c r="D493" s="60"/>
      <c r="E493" s="60"/>
      <c r="G493" t="str">
        <f t="shared" si="7"/>
        <v>March</v>
      </c>
    </row>
    <row r="494" spans="1:7">
      <c r="A494" s="54" t="s">
        <v>644</v>
      </c>
      <c r="B494" s="179" t="s">
        <v>554</v>
      </c>
      <c r="C494" s="242">
        <v>45729</v>
      </c>
      <c r="D494" s="60"/>
      <c r="E494" s="60"/>
      <c r="G494" t="str">
        <f t="shared" si="7"/>
        <v>March</v>
      </c>
    </row>
    <row r="495" spans="1:7">
      <c r="A495" s="1192"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108</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108</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108</v>
      </c>
      <c r="C512" s="24">
        <v>45729</v>
      </c>
      <c r="D512" s="60" t="s">
        <v>1366</v>
      </c>
      <c r="E512" s="60"/>
      <c r="G512" t="str">
        <f t="shared" si="7"/>
        <v>March</v>
      </c>
    </row>
    <row r="513" spans="1:7">
      <c r="A513" s="1160" t="s">
        <v>747</v>
      </c>
      <c r="B513" s="1166"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7" t="s">
        <v>756</v>
      </c>
      <c r="B515" s="1191" t="s">
        <v>108</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8" t="s">
        <v>729</v>
      </c>
      <c r="B517" s="273" t="s">
        <v>622</v>
      </c>
      <c r="C517" s="24">
        <v>45729</v>
      </c>
      <c r="D517" s="60">
        <v>914</v>
      </c>
      <c r="E517" s="60"/>
      <c r="F517" s="49" t="s">
        <v>1406</v>
      </c>
      <c r="G517" t="str">
        <f t="shared" si="8"/>
        <v>March</v>
      </c>
    </row>
    <row r="518" spans="1:7" ht="15.75">
      <c r="A518" s="55" t="s">
        <v>481</v>
      </c>
      <c r="B518" s="178" t="s">
        <v>108</v>
      </c>
      <c r="C518" s="24">
        <v>45729</v>
      </c>
      <c r="D518" s="60" t="s">
        <v>1366</v>
      </c>
      <c r="E518" s="60"/>
      <c r="G518" t="str">
        <f t="shared" si="8"/>
        <v>March</v>
      </c>
    </row>
    <row r="519" spans="1:7">
      <c r="A519" s="1167" t="s">
        <v>684</v>
      </c>
      <c r="B519" s="1166"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8" t="s">
        <v>509</v>
      </c>
      <c r="B521" s="1193" t="s">
        <v>108</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7"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8" t="s">
        <v>503</v>
      </c>
      <c r="B529" s="1193" t="s">
        <v>108</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0" t="s">
        <v>661</v>
      </c>
      <c r="B532" s="1163"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2" t="s">
        <v>714</v>
      </c>
      <c r="B534" s="273" t="s">
        <v>622</v>
      </c>
      <c r="C534" s="24">
        <v>45730</v>
      </c>
      <c r="D534" s="60"/>
      <c r="E534" s="60"/>
      <c r="F534" s="60" t="s">
        <v>1366</v>
      </c>
      <c r="G534" t="str">
        <f t="shared" si="8"/>
        <v>March</v>
      </c>
    </row>
    <row r="535" spans="1:7">
      <c r="A535" s="1160" t="s">
        <v>1026</v>
      </c>
      <c r="B535" s="1163"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2" t="s">
        <v>607</v>
      </c>
      <c r="B537" s="1195" t="s">
        <v>492</v>
      </c>
      <c r="C537" s="24">
        <v>45730</v>
      </c>
      <c r="D537" s="60"/>
      <c r="E537" s="60"/>
      <c r="F537" s="60" t="s">
        <v>1366</v>
      </c>
      <c r="G537" t="str">
        <f t="shared" si="8"/>
        <v>March</v>
      </c>
    </row>
    <row r="538" spans="1:7">
      <c r="A538" s="1160" t="s">
        <v>491</v>
      </c>
      <c r="B538" s="1163"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2" t="s">
        <v>496</v>
      </c>
      <c r="B540" s="1193" t="s">
        <v>108</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108</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0" t="s">
        <v>647</v>
      </c>
      <c r="B544" s="1161" t="s">
        <v>108</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2"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108</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108</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108</v>
      </c>
      <c r="C563" s="24">
        <v>45730</v>
      </c>
      <c r="D563" s="60" t="s">
        <v>1366</v>
      </c>
      <c r="E563" s="60"/>
      <c r="F563" s="60"/>
      <c r="G563" t="str">
        <f t="shared" si="8"/>
        <v>March</v>
      </c>
    </row>
    <row r="564" spans="1:7">
      <c r="A564" s="1160" t="s">
        <v>747</v>
      </c>
      <c r="B564" s="1166"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7" t="s">
        <v>756</v>
      </c>
      <c r="B566" s="1191" t="s">
        <v>108</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8" t="s">
        <v>729</v>
      </c>
      <c r="B568" s="273" t="s">
        <v>622</v>
      </c>
      <c r="C568" s="24">
        <v>45730</v>
      </c>
      <c r="D568" s="87">
        <v>1903</v>
      </c>
      <c r="E568" s="87"/>
      <c r="F568" s="49" t="s">
        <v>1413</v>
      </c>
      <c r="G568" t="str">
        <f t="shared" si="8"/>
        <v>March</v>
      </c>
    </row>
    <row r="569" spans="1:7" ht="15.75">
      <c r="A569" s="55" t="s">
        <v>481</v>
      </c>
      <c r="B569" s="178" t="s">
        <v>108</v>
      </c>
      <c r="C569" s="24">
        <v>45730</v>
      </c>
      <c r="D569" s="60" t="s">
        <v>1366</v>
      </c>
      <c r="E569" s="60"/>
      <c r="F569" s="60"/>
      <c r="G569" t="str">
        <f t="shared" si="8"/>
        <v>March</v>
      </c>
    </row>
    <row r="570" spans="1:7">
      <c r="A570" s="1167" t="s">
        <v>684</v>
      </c>
      <c r="B570" s="1166"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8" t="s">
        <v>509</v>
      </c>
      <c r="B572" s="1193" t="s">
        <v>108</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7"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8" t="s">
        <v>503</v>
      </c>
      <c r="B580" s="1193" t="s">
        <v>108</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0"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0" t="s">
        <v>1026</v>
      </c>
      <c r="B584" s="1199"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2" t="s">
        <v>557</v>
      </c>
      <c r="B586" s="1195" t="s">
        <v>631</v>
      </c>
      <c r="C586" s="24">
        <v>45733</v>
      </c>
      <c r="E586" s="12"/>
      <c r="F586" s="60" t="s">
        <v>1366</v>
      </c>
      <c r="G586" t="str">
        <f t="shared" si="9"/>
        <v>March</v>
      </c>
    </row>
    <row r="587" spans="1:7" ht="15.75">
      <c r="A587" s="54" t="s">
        <v>647</v>
      </c>
      <c r="B587" s="178" t="s">
        <v>108</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108</v>
      </c>
      <c r="C598" s="24">
        <v>45733</v>
      </c>
      <c r="E598" s="12"/>
      <c r="F598" s="60" t="s">
        <v>1366</v>
      </c>
      <c r="G598" t="str">
        <f t="shared" si="9"/>
        <v>March</v>
      </c>
    </row>
    <row r="599" spans="1:7">
      <c r="A599" s="1160" t="s">
        <v>747</v>
      </c>
      <c r="B599" s="1166"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7" t="s">
        <v>756</v>
      </c>
      <c r="B601" s="1191" t="s">
        <v>108</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8" t="s">
        <v>481</v>
      </c>
      <c r="B603" s="1193" t="s">
        <v>108</v>
      </c>
      <c r="C603" s="24">
        <v>45733</v>
      </c>
      <c r="E603" s="12"/>
      <c r="F603" s="60" t="s">
        <v>1366</v>
      </c>
      <c r="G603" t="str">
        <f t="shared" si="9"/>
        <v>March</v>
      </c>
    </row>
    <row r="604" spans="1:7">
      <c r="A604" s="1167" t="s">
        <v>684</v>
      </c>
      <c r="B604" s="1166"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8" t="s">
        <v>509</v>
      </c>
      <c r="B606" s="1193" t="s">
        <v>108</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7"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8" t="s">
        <v>503</v>
      </c>
      <c r="B613" s="1193" t="s">
        <v>108</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108</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0"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2" t="s">
        <v>681</v>
      </c>
      <c r="B619" s="1195"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108</v>
      </c>
      <c r="C621" s="24">
        <v>45734</v>
      </c>
      <c r="E621" s="12"/>
      <c r="F621" s="71" t="s">
        <v>1423</v>
      </c>
      <c r="G621" t="str">
        <f t="shared" si="9"/>
        <v>March</v>
      </c>
    </row>
    <row r="622" spans="1:7" ht="15.75">
      <c r="A622" s="1167" t="s">
        <v>756</v>
      </c>
      <c r="B622" s="1161" t="s">
        <v>108</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7" t="s">
        <v>1040</v>
      </c>
      <c r="B624" s="1204"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2"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6"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0"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6"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0" t="s">
        <v>1173</v>
      </c>
      <c r="B640" s="1195"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6" t="s">
        <v>761</v>
      </c>
      <c r="B645" s="1166"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1" t="s">
        <v>754</v>
      </c>
      <c r="B647" s="1201"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1" t="s">
        <v>716</v>
      </c>
      <c r="B649" s="1201"/>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0" t="s">
        <v>752</v>
      </c>
      <c r="B651" s="1200"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6"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1" t="s">
        <v>754</v>
      </c>
      <c r="B658" s="1204"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1"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0"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6"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1" t="s">
        <v>754</v>
      </c>
      <c r="B667" s="1204"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1" t="s">
        <v>716</v>
      </c>
      <c r="B669" s="1204"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0" t="s">
        <v>684</v>
      </c>
      <c r="B671" s="1052" t="s">
        <v>676</v>
      </c>
      <c r="C671" s="24">
        <v>45737</v>
      </c>
      <c r="D671" s="60"/>
      <c r="E671" s="12"/>
      <c r="F671" s="60" t="s">
        <v>1441</v>
      </c>
      <c r="G671" t="str">
        <f t="shared" si="10"/>
        <v>March</v>
      </c>
    </row>
    <row r="672" spans="1:7">
      <c r="A672" s="1166"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108</v>
      </c>
      <c r="C677" s="24">
        <v>45740</v>
      </c>
      <c r="D677" s="79">
        <v>1430</v>
      </c>
      <c r="E677" s="49" t="s">
        <v>1346</v>
      </c>
      <c r="F677" s="49" t="s">
        <v>1453</v>
      </c>
      <c r="G677" t="str">
        <f t="shared" si="10"/>
        <v>March</v>
      </c>
    </row>
    <row r="678" spans="1:7" ht="15.75">
      <c r="A678" s="78" t="s">
        <v>628</v>
      </c>
      <c r="B678" s="178" t="s">
        <v>108</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1"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108</v>
      </c>
      <c r="C690" s="24">
        <v>45741</v>
      </c>
      <c r="D690" s="79">
        <v>1383</v>
      </c>
      <c r="E690" s="49" t="s">
        <v>1461</v>
      </c>
      <c r="F690" s="49" t="s">
        <v>1462</v>
      </c>
      <c r="G690" t="str">
        <f t="shared" si="10"/>
        <v>March</v>
      </c>
    </row>
    <row r="691" spans="1:7" ht="15.75">
      <c r="A691" s="78" t="s">
        <v>628</v>
      </c>
      <c r="B691" s="178" t="s">
        <v>108</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3" t="s">
        <v>108</v>
      </c>
      <c r="C706" s="24">
        <v>45741</v>
      </c>
      <c r="D706" s="92">
        <v>1740</v>
      </c>
      <c r="E706" s="12"/>
      <c r="G706" t="str">
        <f t="shared" si="10"/>
        <v>March</v>
      </c>
    </row>
    <row r="707" spans="1:7">
      <c r="A707" s="71" t="s">
        <v>351</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108</v>
      </c>
      <c r="C713" s="24">
        <v>45742</v>
      </c>
      <c r="D713" s="145">
        <v>1334</v>
      </c>
      <c r="E713" s="49" t="s">
        <v>1384</v>
      </c>
      <c r="F713" s="49" t="s">
        <v>1346</v>
      </c>
      <c r="G713" t="str">
        <f t="shared" si="11"/>
        <v>March</v>
      </c>
    </row>
    <row r="714" spans="1:7" ht="15.75">
      <c r="A714" s="78" t="s">
        <v>628</v>
      </c>
      <c r="B714" s="178" t="s">
        <v>108</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6"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3" t="s">
        <v>108</v>
      </c>
      <c r="C725" s="24">
        <v>45742</v>
      </c>
      <c r="D725" s="145">
        <v>2934</v>
      </c>
      <c r="E725" s="12"/>
      <c r="F725" s="49" t="s">
        <v>1476</v>
      </c>
      <c r="G725" t="str">
        <f t="shared" si="11"/>
        <v>March</v>
      </c>
    </row>
    <row r="726" spans="1:7">
      <c r="A726" s="71" t="s">
        <v>351</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108</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108</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108</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108</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3" t="s">
        <v>108</v>
      </c>
      <c r="C758" s="24">
        <v>45744</v>
      </c>
      <c r="D758" s="146"/>
      <c r="E758" s="12"/>
      <c r="F758" s="146" t="s">
        <v>1486</v>
      </c>
      <c r="G758" t="str">
        <f t="shared" si="11"/>
        <v>March</v>
      </c>
    </row>
    <row r="759" spans="1:13">
      <c r="A759" s="71" t="s">
        <v>351</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108</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3" t="s">
        <v>108</v>
      </c>
      <c r="C775" s="24">
        <v>45747</v>
      </c>
      <c r="D775" s="78">
        <v>418</v>
      </c>
      <c r="E775" s="12"/>
      <c r="G775" t="str">
        <f t="shared" si="12"/>
        <v>March</v>
      </c>
      <c r="H775" s="186"/>
      <c r="I775" s="186"/>
      <c r="J775" s="186"/>
      <c r="K775" s="101"/>
    </row>
    <row r="776" spans="1:11">
      <c r="A776" s="71" t="s">
        <v>351</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108</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3" t="s">
        <v>108</v>
      </c>
      <c r="C789" s="24">
        <v>45748</v>
      </c>
      <c r="D789" s="78" t="s">
        <v>1503</v>
      </c>
      <c r="E789" s="12"/>
      <c r="G789" t="str">
        <f t="shared" si="12"/>
        <v>April</v>
      </c>
      <c r="H789" s="101"/>
      <c r="I789" s="101"/>
      <c r="J789" s="101"/>
      <c r="K789" s="101"/>
    </row>
    <row r="790" spans="1:11" ht="15.75">
      <c r="A790" s="78" t="s">
        <v>458</v>
      </c>
      <c r="B790" s="178" t="s">
        <v>108</v>
      </c>
      <c r="C790" s="24">
        <v>45748</v>
      </c>
      <c r="D790" s="78"/>
      <c r="E790" s="12"/>
      <c r="F790" s="78" t="s">
        <v>1504</v>
      </c>
      <c r="G790" t="str">
        <f t="shared" si="12"/>
        <v>April</v>
      </c>
      <c r="H790" s="101"/>
      <c r="I790" s="101"/>
      <c r="J790" s="101"/>
      <c r="K790" s="101"/>
    </row>
    <row r="791" spans="1:11">
      <c r="A791" s="748" t="s">
        <v>351</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3" t="s">
        <v>108</v>
      </c>
      <c r="C803" s="24">
        <v>45749</v>
      </c>
      <c r="D803" s="79">
        <v>1394</v>
      </c>
      <c r="E803" s="12"/>
      <c r="F803" s="12" t="s">
        <v>1345</v>
      </c>
      <c r="G803" t="str">
        <f t="shared" si="12"/>
        <v>April</v>
      </c>
    </row>
    <row r="804" spans="1:11" ht="15.75">
      <c r="A804" s="78" t="s">
        <v>458</v>
      </c>
      <c r="B804" s="178" t="s">
        <v>108</v>
      </c>
      <c r="C804" s="24">
        <v>45749</v>
      </c>
      <c r="D804" s="78">
        <v>0</v>
      </c>
      <c r="E804" s="12"/>
      <c r="F804" s="78" t="s">
        <v>1504</v>
      </c>
      <c r="G804" t="str">
        <f t="shared" si="12"/>
        <v>April</v>
      </c>
    </row>
    <row r="805" spans="1:11">
      <c r="A805" s="748" t="s">
        <v>351</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3" t="s">
        <v>108</v>
      </c>
      <c r="C816" s="24">
        <v>45750</v>
      </c>
      <c r="D816" s="92">
        <v>1334</v>
      </c>
      <c r="E816" s="12"/>
      <c r="F816" s="12" t="s">
        <v>1512</v>
      </c>
      <c r="G816" t="str">
        <f t="shared" si="12"/>
        <v>April</v>
      </c>
    </row>
    <row r="817" spans="1:7" ht="15.75">
      <c r="A817" s="78" t="s">
        <v>505</v>
      </c>
      <c r="B817" s="178" t="s">
        <v>108</v>
      </c>
      <c r="C817" s="24">
        <v>45750</v>
      </c>
      <c r="D817" s="92">
        <v>1970</v>
      </c>
      <c r="E817" s="12"/>
      <c r="F817" s="12" t="s">
        <v>1513</v>
      </c>
      <c r="G817" t="str">
        <f t="shared" si="12"/>
        <v>April</v>
      </c>
    </row>
    <row r="818" spans="1:7" ht="15.75">
      <c r="A818" s="78" t="s">
        <v>458</v>
      </c>
      <c r="B818" s="178" t="s">
        <v>108</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3" t="s">
        <v>108</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108</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3" t="s">
        <v>108</v>
      </c>
      <c r="C845" s="24">
        <v>45754</v>
      </c>
      <c r="D845" s="12">
        <v>618</v>
      </c>
      <c r="E845" s="12"/>
      <c r="F845" s="12" t="s">
        <v>1524</v>
      </c>
      <c r="G845" t="str">
        <f t="shared" si="13"/>
        <v>April</v>
      </c>
    </row>
    <row r="846" spans="1:7" ht="15.75">
      <c r="A846" s="78" t="s">
        <v>507</v>
      </c>
      <c r="B846" s="178" t="s">
        <v>108</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3" t="s">
        <v>108</v>
      </c>
      <c r="C851" s="24">
        <v>45755</v>
      </c>
      <c r="D851" s="12">
        <v>700</v>
      </c>
      <c r="E851" s="12"/>
      <c r="F851" s="12" t="s">
        <v>1350</v>
      </c>
      <c r="G851" t="str">
        <f t="shared" si="13"/>
        <v>April</v>
      </c>
    </row>
    <row r="852" spans="1:7" ht="15.75">
      <c r="A852" s="78" t="s">
        <v>507</v>
      </c>
      <c r="B852" s="178" t="s">
        <v>108</v>
      </c>
      <c r="C852" s="24">
        <v>45755</v>
      </c>
      <c r="D852" s="92">
        <v>1520</v>
      </c>
      <c r="E852" s="12"/>
      <c r="F852" s="12" t="s">
        <v>1429</v>
      </c>
      <c r="G852" t="str">
        <f t="shared" si="13"/>
        <v>April</v>
      </c>
    </row>
    <row r="853" spans="1:7" ht="15.75">
      <c r="A853" s="78" t="s">
        <v>570</v>
      </c>
      <c r="B853" s="178" t="s">
        <v>108</v>
      </c>
      <c r="C853" s="24">
        <v>45755</v>
      </c>
      <c r="D853" s="12">
        <v>150</v>
      </c>
      <c r="E853" s="12"/>
      <c r="G853" t="str">
        <f t="shared" si="13"/>
        <v>April</v>
      </c>
    </row>
    <row r="854" spans="1:7" ht="15.75">
      <c r="A854" s="78" t="s">
        <v>458</v>
      </c>
      <c r="B854" s="178" t="s">
        <v>108</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1" t="s">
        <v>108</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3" t="s">
        <v>108</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3"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3" t="s">
        <v>108</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3" t="s">
        <v>108</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108</v>
      </c>
      <c r="C890" s="24">
        <v>45761</v>
      </c>
      <c r="D890" s="92">
        <v>1335</v>
      </c>
      <c r="E890" s="12"/>
      <c r="F890" s="12" t="s">
        <v>1345</v>
      </c>
      <c r="G890" t="str">
        <f t="shared" si="13"/>
        <v>April</v>
      </c>
    </row>
    <row r="891" spans="1:7" ht="15.75">
      <c r="A891" s="238" t="s">
        <v>710</v>
      </c>
      <c r="B891" s="1161" t="s">
        <v>108</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108</v>
      </c>
      <c r="C900" s="24">
        <v>45762</v>
      </c>
      <c r="D900" s="92">
        <v>1133</v>
      </c>
      <c r="E900" s="12"/>
      <c r="F900" s="12" t="s">
        <v>1544</v>
      </c>
      <c r="G900" t="str">
        <f t="shared" si="14"/>
        <v>April</v>
      </c>
    </row>
    <row r="901" spans="1:7" ht="15.75">
      <c r="A901" s="238" t="s">
        <v>710</v>
      </c>
      <c r="B901" s="1161" t="s">
        <v>108</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3"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108</v>
      </c>
      <c r="C914" s="24">
        <v>45763</v>
      </c>
      <c r="D914" s="92">
        <v>1624</v>
      </c>
      <c r="E914" s="12"/>
      <c r="F914" s="12" t="s">
        <v>1552</v>
      </c>
      <c r="G914" t="str">
        <f t="shared" si="14"/>
        <v>April</v>
      </c>
    </row>
    <row r="915" spans="1:7" ht="15.75">
      <c r="A915" s="238" t="s">
        <v>710</v>
      </c>
      <c r="B915" s="1161" t="s">
        <v>108</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1"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3"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108</v>
      </c>
      <c r="C928" s="24">
        <v>45764</v>
      </c>
      <c r="E928" s="12"/>
      <c r="F928" s="78" t="s">
        <v>1559</v>
      </c>
      <c r="G928" t="str">
        <f t="shared" si="14"/>
        <v>April</v>
      </c>
    </row>
    <row r="929" spans="1:7">
      <c r="A929" s="238" t="s">
        <v>710</v>
      </c>
      <c r="B929" s="238" t="s">
        <v>108</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1"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108</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108</v>
      </c>
      <c r="C940" s="24">
        <v>45765</v>
      </c>
      <c r="D940" s="12">
        <v>350</v>
      </c>
      <c r="E940" s="12"/>
      <c r="F940" s="12" t="s">
        <v>1347</v>
      </c>
      <c r="G940" t="str">
        <f t="shared" si="14"/>
        <v>April</v>
      </c>
    </row>
    <row r="941" spans="1:7">
      <c r="A941" s="78" t="s">
        <v>710</v>
      </c>
      <c r="B941" s="78" t="s">
        <v>108</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108</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108</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108</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3"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108</v>
      </c>
      <c r="C973" s="251">
        <v>45769</v>
      </c>
      <c r="D973" s="12">
        <v>932</v>
      </c>
      <c r="F973" s="12" t="s">
        <v>1348</v>
      </c>
      <c r="G973" t="str">
        <f t="shared" si="15"/>
        <v>April</v>
      </c>
    </row>
    <row r="974" spans="1:7">
      <c r="A974" s="248" t="s">
        <v>605</v>
      </c>
      <c r="B974" s="238" t="s">
        <v>108</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108</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108</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108</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1"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108</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1"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108</v>
      </c>
      <c r="C1029" s="24">
        <v>45776</v>
      </c>
      <c r="D1029" s="92">
        <v>1520</v>
      </c>
      <c r="F1029" s="12" t="s">
        <v>1345</v>
      </c>
      <c r="G1029" t="str">
        <f t="shared" si="16"/>
        <v>April</v>
      </c>
    </row>
    <row r="1030" spans="1:7">
      <c r="A1030" s="243" t="s">
        <v>489</v>
      </c>
      <c r="B1030" s="243" t="s">
        <v>108</v>
      </c>
      <c r="C1030" s="24">
        <v>45776</v>
      </c>
      <c r="D1030" s="12">
        <v>470</v>
      </c>
      <c r="F1030" s="12" t="s">
        <v>1339</v>
      </c>
      <c r="G1030" t="str">
        <f t="shared" si="16"/>
        <v>April</v>
      </c>
    </row>
    <row r="1031" spans="1:7">
      <c r="A1031" s="181" t="s">
        <v>540</v>
      </c>
      <c r="B1031" s="243" t="s">
        <v>108</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1"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108</v>
      </c>
      <c r="C1040" s="24">
        <v>45777</v>
      </c>
      <c r="D1040" s="92">
        <v>1216</v>
      </c>
      <c r="E1040" s="12"/>
      <c r="F1040" s="12" t="s">
        <v>1360</v>
      </c>
      <c r="G1040" t="str">
        <f t="shared" si="16"/>
        <v>April</v>
      </c>
    </row>
    <row r="1041" spans="1:7">
      <c r="A1041" s="78" t="s">
        <v>540</v>
      </c>
      <c r="B1041" s="78" t="s">
        <v>108</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1"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108</v>
      </c>
      <c r="C1051" s="24">
        <v>45778</v>
      </c>
      <c r="D1051" s="92">
        <v>1098</v>
      </c>
      <c r="E1051" s="12"/>
      <c r="F1051" s="12" t="s">
        <v>1634</v>
      </c>
      <c r="G1051" t="str">
        <f t="shared" si="16"/>
        <v>May</v>
      </c>
    </row>
    <row r="1052" spans="1:7">
      <c r="A1052" s="91" t="s">
        <v>540</v>
      </c>
      <c r="B1052" s="78" t="s">
        <v>108</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108</v>
      </c>
      <c r="C1067" s="24">
        <v>45782</v>
      </c>
      <c r="D1067" s="92">
        <v>1053</v>
      </c>
      <c r="F1067" s="12" t="s">
        <v>1644</v>
      </c>
      <c r="G1067" t="str">
        <f t="shared" si="17"/>
        <v>May</v>
      </c>
    </row>
    <row r="1068" spans="1:7">
      <c r="A1068" s="91" t="s">
        <v>542</v>
      </c>
      <c r="B1068" s="250" t="s">
        <v>108</v>
      </c>
      <c r="C1068" s="24">
        <v>45782</v>
      </c>
      <c r="D1068" s="12">
        <v>575</v>
      </c>
      <c r="F1068" s="12" t="s">
        <v>1645</v>
      </c>
      <c r="G1068" t="str">
        <f t="shared" si="17"/>
        <v>May</v>
      </c>
    </row>
    <row r="1069" spans="1:7">
      <c r="A1069" s="292" t="s">
        <v>489</v>
      </c>
      <c r="B1069" s="276" t="s">
        <v>108</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108</v>
      </c>
      <c r="C1078" s="24">
        <v>45783</v>
      </c>
      <c r="D1078" s="12">
        <v>812</v>
      </c>
      <c r="F1078" s="12" t="s">
        <v>1651</v>
      </c>
      <c r="G1078" t="str">
        <f t="shared" si="18"/>
        <v>May</v>
      </c>
    </row>
    <row r="1079" spans="1:7">
      <c r="A1079" s="91" t="s">
        <v>542</v>
      </c>
      <c r="B1079" s="250" t="s">
        <v>108</v>
      </c>
      <c r="C1079" s="24">
        <v>45783</v>
      </c>
      <c r="D1079" s="92">
        <v>1847</v>
      </c>
      <c r="F1079" s="12" t="s">
        <v>1652</v>
      </c>
      <c r="G1079" t="str">
        <f t="shared" si="18"/>
        <v>May</v>
      </c>
    </row>
    <row r="1080" spans="1:7">
      <c r="A1080" s="292" t="s">
        <v>538</v>
      </c>
      <c r="B1080" s="276" t="s">
        <v>108</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108</v>
      </c>
      <c r="C1089" s="24">
        <v>45784</v>
      </c>
      <c r="D1089" s="92">
        <v>1052</v>
      </c>
      <c r="F1089" s="12" t="s">
        <v>1656</v>
      </c>
      <c r="G1089" t="str">
        <f>TEXT(C1089,"mmmm")</f>
        <v>May</v>
      </c>
    </row>
    <row r="1090" spans="1:7">
      <c r="A1090" s="292" t="s">
        <v>538</v>
      </c>
      <c r="B1090" s="276" t="s">
        <v>108</v>
      </c>
      <c r="C1090" s="24">
        <v>45784</v>
      </c>
      <c r="D1090" s="92">
        <v>1935</v>
      </c>
      <c r="F1090" s="12" t="s">
        <v>1657</v>
      </c>
      <c r="G1090" t="str">
        <f>TEXT(C1090,"mmmm")</f>
        <v>May</v>
      </c>
    </row>
    <row r="1091" spans="1:7" ht="15.75">
      <c r="A1091" s="748" t="s">
        <v>694</v>
      </c>
      <c r="B1091" s="1161"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108</v>
      </c>
      <c r="C1100" s="24">
        <v>45785</v>
      </c>
      <c r="D1100" s="92">
        <v>1483</v>
      </c>
      <c r="F1100" s="12" t="s">
        <v>1661</v>
      </c>
      <c r="G1100" t="str">
        <f t="shared" si="19"/>
        <v>May</v>
      </c>
    </row>
    <row r="1101" spans="1:7">
      <c r="A1101" s="273" t="s">
        <v>542</v>
      </c>
      <c r="B1101" s="236" t="s">
        <v>108</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1"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108</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108</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108</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3"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108</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3"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1"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3"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108</v>
      </c>
      <c r="C1148" s="24">
        <v>45796</v>
      </c>
      <c r="D1148" s="12">
        <v>270</v>
      </c>
      <c r="F1148" s="12" t="s">
        <v>1405</v>
      </c>
      <c r="G1148" t="str">
        <f t="shared" si="21"/>
        <v>May</v>
      </c>
    </row>
    <row r="1149" spans="1:7">
      <c r="A1149" s="273" t="s">
        <v>579</v>
      </c>
      <c r="B1149" s="236" t="s">
        <v>108</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1"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3"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108</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3"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108</v>
      </c>
      <c r="C1164" s="24">
        <v>45798</v>
      </c>
      <c r="D1164" s="12">
        <v>678</v>
      </c>
      <c r="E1164" s="253">
        <v>2850</v>
      </c>
      <c r="F1164" s="12" t="s">
        <v>1692</v>
      </c>
      <c r="G1164" t="str">
        <f t="shared" si="21"/>
        <v>May</v>
      </c>
    </row>
    <row r="1165" spans="1:7">
      <c r="A1165" s="273" t="s">
        <v>579</v>
      </c>
      <c r="B1165" s="236" t="s">
        <v>108</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108</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1"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3"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108</v>
      </c>
      <c r="C1183" s="24">
        <v>45804</v>
      </c>
      <c r="D1183" s="12">
        <v>948</v>
      </c>
      <c r="F1183" s="12" t="s">
        <v>1700</v>
      </c>
      <c r="G1183" t="str">
        <f t="shared" si="21"/>
        <v>May</v>
      </c>
    </row>
    <row r="1184" spans="1:7">
      <c r="A1184" s="237" t="s">
        <v>470</v>
      </c>
      <c r="B1184" s="237" t="s">
        <v>108</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108</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108</v>
      </c>
      <c r="C1195" s="24">
        <v>45806</v>
      </c>
      <c r="D1195" s="92">
        <v>2248</v>
      </c>
      <c r="F1195" s="12" t="s">
        <v>1705</v>
      </c>
      <c r="G1195" t="str">
        <f t="shared" si="22"/>
        <v>May</v>
      </c>
    </row>
    <row r="1196" spans="1:7">
      <c r="A1196" s="250" t="s">
        <v>579</v>
      </c>
      <c r="B1196" s="239" t="s">
        <v>108</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1"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3"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108</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108</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1"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108</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108</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108</v>
      </c>
      <c r="C1220" s="24">
        <v>45812</v>
      </c>
      <c r="D1220" s="12">
        <v>610</v>
      </c>
      <c r="F1220" s="12" t="s">
        <v>1714</v>
      </c>
      <c r="G1220" t="s">
        <v>1708</v>
      </c>
    </row>
    <row r="1221" spans="1:7">
      <c r="A1221" s="273" t="s">
        <v>579</v>
      </c>
      <c r="B1221" s="236" t="s">
        <v>108</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3"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108</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108</v>
      </c>
      <c r="C1230" s="24">
        <v>45817</v>
      </c>
      <c r="D1230" s="92">
        <v>1100</v>
      </c>
      <c r="G1230" t="s">
        <v>1708</v>
      </c>
    </row>
    <row r="1231" spans="1:7">
      <c r="A1231" s="237" t="s">
        <v>605</v>
      </c>
      <c r="B1231" s="237" t="s">
        <v>108</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108</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108</v>
      </c>
      <c r="C1238" s="24">
        <v>45819</v>
      </c>
      <c r="D1238" s="92">
        <v>1975</v>
      </c>
      <c r="F1238" s="12" t="s">
        <v>1706</v>
      </c>
      <c r="G1238" t="s">
        <v>1708</v>
      </c>
    </row>
    <row r="1239" spans="1:7">
      <c r="A1239" s="292" t="s">
        <v>470</v>
      </c>
      <c r="B1239" s="237" t="s">
        <v>108</v>
      </c>
      <c r="C1239" s="24">
        <v>45819</v>
      </c>
      <c r="D1239" s="12">
        <v>370</v>
      </c>
      <c r="F1239" s="12" t="s">
        <v>1706</v>
      </c>
      <c r="G1239" t="s">
        <v>1708</v>
      </c>
    </row>
    <row r="1240" spans="1:7" ht="15.75">
      <c r="A1240" s="78" t="s">
        <v>851</v>
      </c>
      <c r="B1240" s="178" t="s">
        <v>1165</v>
      </c>
      <c r="C1240" s="242">
        <v>45819</v>
      </c>
      <c r="F1240" s="12" t="s">
        <v>1628</v>
      </c>
      <c r="G1240" t="s">
        <v>1708</v>
      </c>
    </row>
    <row r="1241" spans="1:7">
      <c r="A1241" s="1202" t="s">
        <v>840</v>
      </c>
      <c r="B1241" s="320" t="s">
        <v>108</v>
      </c>
      <c r="C1241" s="24">
        <v>45820</v>
      </c>
      <c r="D1241" s="92">
        <v>1395</v>
      </c>
      <c r="F1241" s="12" t="s">
        <v>1706</v>
      </c>
      <c r="G1241" t="s">
        <v>1708</v>
      </c>
    </row>
    <row r="1242" spans="1:7">
      <c r="A1242" s="745" t="s">
        <v>570</v>
      </c>
      <c r="B1242" s="299" t="s">
        <v>108</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108</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3" t="s">
        <v>840</v>
      </c>
      <c r="B1249" s="600" t="s">
        <v>108</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108</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3" t="s">
        <v>840</v>
      </c>
      <c r="B1254" s="600" t="s">
        <v>108</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108</v>
      </c>
      <c r="C1256" s="24">
        <v>45825</v>
      </c>
      <c r="D1256" s="92">
        <v>1465</v>
      </c>
      <c r="F1256" s="12" t="s">
        <v>1725</v>
      </c>
      <c r="G1256" t="s">
        <v>1708</v>
      </c>
    </row>
    <row r="1257" spans="1:7">
      <c r="A1257" s="243" t="s">
        <v>470</v>
      </c>
      <c r="B1257" s="243" t="s">
        <v>108</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3"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108</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108</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108</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108</v>
      </c>
      <c r="C1276" s="24">
        <v>45831</v>
      </c>
      <c r="D1276" s="92">
        <v>1269</v>
      </c>
      <c r="F1276" s="12" t="s">
        <v>1701</v>
      </c>
      <c r="G1276" t="s">
        <v>1708</v>
      </c>
    </row>
    <row r="1277" spans="1:7" ht="15.75">
      <c r="A1277" s="238" t="s">
        <v>1189</v>
      </c>
      <c r="B1277" s="1161"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108</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108</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1"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108</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108</v>
      </c>
      <c r="C1287" s="24">
        <v>45833</v>
      </c>
      <c r="D1287" s="92">
        <v>1308</v>
      </c>
      <c r="F1287" s="12" t="s">
        <v>1730</v>
      </c>
      <c r="G1287" t="s">
        <v>1708</v>
      </c>
    </row>
    <row r="1288" spans="1:7" ht="15.75">
      <c r="A1288" s="238" t="s">
        <v>1189</v>
      </c>
      <c r="B1288" s="1161"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108</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108</v>
      </c>
      <c r="C1293" s="24">
        <v>45834</v>
      </c>
      <c r="D1293" s="92">
        <v>1296</v>
      </c>
      <c r="F1293" s="12" t="s">
        <v>1725</v>
      </c>
      <c r="G1293" t="s">
        <v>1708</v>
      </c>
    </row>
    <row r="1294" spans="1:7">
      <c r="A1294" s="236" t="s">
        <v>560</v>
      </c>
      <c r="B1294" s="236" t="s">
        <v>108</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352</v>
      </c>
      <c r="C1297" s="24">
        <v>45834</v>
      </c>
      <c r="E1297" s="253">
        <v>6183</v>
      </c>
      <c r="F1297" s="12" t="s">
        <v>1737</v>
      </c>
    </row>
    <row r="1298" spans="1:7" ht="15.75">
      <c r="A1298" s="238" t="s">
        <v>1189</v>
      </c>
      <c r="B1298" s="1161"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108</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108</v>
      </c>
      <c r="C1306" s="24">
        <v>45839</v>
      </c>
      <c r="E1306" s="76">
        <v>53</v>
      </c>
      <c r="F1306" s="12" t="s">
        <v>1742</v>
      </c>
      <c r="G1306" t="s">
        <v>1741</v>
      </c>
    </row>
    <row r="1307" spans="1:7">
      <c r="A1307" s="274" t="s">
        <v>467</v>
      </c>
      <c r="B1307" s="247" t="s">
        <v>108</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108</v>
      </c>
      <c r="C1312" s="24">
        <v>45840</v>
      </c>
      <c r="D1312" s="12">
        <v>355</v>
      </c>
      <c r="F1312" s="12" t="s">
        <v>1348</v>
      </c>
      <c r="G1312" t="s">
        <v>1741</v>
      </c>
    </row>
    <row r="1313" spans="1:7">
      <c r="A1313" s="236" t="s">
        <v>467</v>
      </c>
      <c r="B1313" s="236" t="s">
        <v>108</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352</v>
      </c>
      <c r="C1317" s="24">
        <v>45841</v>
      </c>
      <c r="E1317" s="253">
        <v>5776</v>
      </c>
      <c r="F1317" s="325" t="s">
        <v>1745</v>
      </c>
    </row>
    <row r="1318" spans="1:7">
      <c r="A1318" s="1168"/>
      <c r="B1318" s="1169"/>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108</v>
      </c>
      <c r="C1320" s="24">
        <v>45845</v>
      </c>
      <c r="D1320" s="12">
        <v>846</v>
      </c>
      <c r="G1320" t="s">
        <v>1741</v>
      </c>
    </row>
    <row r="1321" spans="1:7">
      <c r="A1321" s="236" t="s">
        <v>475</v>
      </c>
      <c r="B1321" s="236" t="s">
        <v>108</v>
      </c>
      <c r="C1321" s="24">
        <v>45845</v>
      </c>
      <c r="D1321" s="92">
        <v>1644</v>
      </c>
      <c r="E1321" s="138"/>
      <c r="G1321" t="s">
        <v>1741</v>
      </c>
    </row>
    <row r="1322" spans="1:7">
      <c r="A1322" s="238" t="s">
        <v>444</v>
      </c>
      <c r="B1322" s="660" t="s">
        <v>352</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3" t="s">
        <v>108</v>
      </c>
      <c r="C1324" s="24">
        <v>45846</v>
      </c>
      <c r="D1324" s="12">
        <v>827</v>
      </c>
      <c r="F1324" s="12" t="s">
        <v>1748</v>
      </c>
      <c r="G1324" t="s">
        <v>1741</v>
      </c>
    </row>
    <row r="1325" spans="1:7">
      <c r="A1325" s="1170" t="s">
        <v>475</v>
      </c>
      <c r="B1325" s="1171" t="s">
        <v>108</v>
      </c>
      <c r="C1325" s="24">
        <v>45846</v>
      </c>
      <c r="D1325" s="12">
        <v>60</v>
      </c>
      <c r="F1325" s="12" t="s">
        <v>1701</v>
      </c>
      <c r="G1325" t="s">
        <v>1741</v>
      </c>
    </row>
    <row r="1326" spans="1:7" ht="15.75">
      <c r="A1326" s="318" t="s">
        <v>585</v>
      </c>
      <c r="B1326" s="178" t="s">
        <v>1165</v>
      </c>
      <c r="C1326" s="242">
        <v>45847</v>
      </c>
      <c r="D1326" s="12">
        <v>321</v>
      </c>
      <c r="G1326" t="s">
        <v>1741</v>
      </c>
    </row>
    <row r="1327" spans="1:7">
      <c r="A1327" s="1171" t="s">
        <v>455</v>
      </c>
      <c r="B1327" s="1204"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5" t="s">
        <v>448</v>
      </c>
      <c r="B1331" s="1204" t="s">
        <v>352</v>
      </c>
      <c r="C1331" s="24">
        <v>45849</v>
      </c>
      <c r="D1331" s="12">
        <v>198</v>
      </c>
      <c r="G1331" t="s">
        <v>1741</v>
      </c>
    </row>
    <row r="1332" spans="1:7" ht="15.75">
      <c r="A1332" s="181" t="s">
        <v>585</v>
      </c>
      <c r="B1332" s="178" t="s">
        <v>1165</v>
      </c>
      <c r="C1332" s="242">
        <v>45852</v>
      </c>
      <c r="F1332" s="12" t="s">
        <v>1246</v>
      </c>
      <c r="G1332" t="s">
        <v>1741</v>
      </c>
    </row>
    <row r="1333" spans="1:7">
      <c r="A1333" s="1205" t="s">
        <v>448</v>
      </c>
      <c r="B1333" s="1204" t="s">
        <v>352</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2" t="s">
        <v>108</v>
      </c>
      <c r="C1336" s="24">
        <v>45853</v>
      </c>
      <c r="D1336" s="92">
        <v>1210</v>
      </c>
      <c r="F1336" s="12" t="s">
        <v>1751</v>
      </c>
      <c r="G1336" t="s">
        <v>1741</v>
      </c>
    </row>
    <row r="1337" spans="1:7">
      <c r="A1337" s="748" t="s">
        <v>351</v>
      </c>
      <c r="B1337" s="660" t="s">
        <v>352</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108</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108</v>
      </c>
      <c r="C1342" s="24">
        <v>45854</v>
      </c>
      <c r="D1342" s="12">
        <v>426</v>
      </c>
      <c r="F1342" s="12" t="s">
        <v>1347</v>
      </c>
      <c r="G1342" t="s">
        <v>1741</v>
      </c>
    </row>
    <row r="1343" spans="1:7">
      <c r="A1343" s="748" t="s">
        <v>351</v>
      </c>
      <c r="B1343" s="249" t="s">
        <v>352</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108</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1"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108</v>
      </c>
      <c r="C1352" s="24">
        <v>45859</v>
      </c>
      <c r="D1352" s="92">
        <v>1070</v>
      </c>
      <c r="F1352" s="12" t="s">
        <v>1346</v>
      </c>
      <c r="G1352" t="s">
        <v>1741</v>
      </c>
    </row>
    <row r="1353" spans="1:7">
      <c r="A1353" s="334" t="s">
        <v>523</v>
      </c>
      <c r="B1353" s="335" t="s">
        <v>108</v>
      </c>
      <c r="C1353" s="24">
        <v>45859</v>
      </c>
      <c r="D1353" s="92">
        <v>1843</v>
      </c>
      <c r="F1353" s="12" t="s">
        <v>1755</v>
      </c>
      <c r="G1353" t="s">
        <v>1741</v>
      </c>
    </row>
    <row r="1354" spans="1:7">
      <c r="A1354" s="748" t="s">
        <v>351</v>
      </c>
      <c r="B1354" s="660" t="s">
        <v>352</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108</v>
      </c>
      <c r="C1356" s="24">
        <v>45860</v>
      </c>
      <c r="D1356" s="92">
        <v>1224</v>
      </c>
      <c r="F1356" s="12" t="s">
        <v>1757</v>
      </c>
      <c r="G1356" t="s">
        <v>1741</v>
      </c>
    </row>
    <row r="1357" spans="1:7">
      <c r="A1357" s="237" t="s">
        <v>523</v>
      </c>
      <c r="B1357" s="237" t="s">
        <v>108</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351</v>
      </c>
      <c r="B1361" s="1052" t="s">
        <v>352</v>
      </c>
      <c r="C1361" s="24">
        <v>45860</v>
      </c>
      <c r="D1361" s="12">
        <v>318</v>
      </c>
      <c r="G1361" t="s">
        <v>1741</v>
      </c>
    </row>
    <row r="1362" spans="1:7">
      <c r="A1362" s="299" t="s">
        <v>1204</v>
      </c>
      <c r="B1362" s="660" t="s">
        <v>352</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108</v>
      </c>
      <c r="C1365" s="24">
        <v>45861</v>
      </c>
      <c r="D1365" s="12">
        <v>235</v>
      </c>
      <c r="F1365" s="12" t="s">
        <v>1759</v>
      </c>
      <c r="G1365" t="s">
        <v>1741</v>
      </c>
    </row>
    <row r="1366" spans="1:7">
      <c r="A1366" s="237" t="s">
        <v>523</v>
      </c>
      <c r="B1366" s="237" t="s">
        <v>108</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108</v>
      </c>
      <c r="C1368" s="24">
        <v>45861</v>
      </c>
      <c r="D1368" s="12">
        <v>363</v>
      </c>
      <c r="F1368" s="12" t="s">
        <v>1761</v>
      </c>
      <c r="G1368" t="s">
        <v>1741</v>
      </c>
    </row>
    <row r="1369" spans="1:7">
      <c r="A1369" s="78" t="s">
        <v>840</v>
      </c>
      <c r="B1369" s="78" t="s">
        <v>108</v>
      </c>
      <c r="C1369" s="24">
        <v>45861</v>
      </c>
      <c r="D1369" s="12">
        <v>853</v>
      </c>
      <c r="F1369" s="12" t="s">
        <v>1393</v>
      </c>
      <c r="G1369" t="s">
        <v>1741</v>
      </c>
    </row>
    <row r="1370" spans="1:7">
      <c r="A1370" s="1172" t="s">
        <v>448</v>
      </c>
      <c r="B1370" s="660" t="s">
        <v>352</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108</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108</v>
      </c>
      <c r="C1377" s="24">
        <v>45862</v>
      </c>
      <c r="D1377" s="92">
        <v>1279</v>
      </c>
      <c r="F1377" s="12" t="s">
        <v>1393</v>
      </c>
      <c r="G1377" t="s">
        <v>1741</v>
      </c>
    </row>
    <row r="1378" spans="1:7">
      <c r="A1378" s="60" t="s">
        <v>448</v>
      </c>
      <c r="B1378" s="250" t="s">
        <v>352</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108</v>
      </c>
      <c r="C1382" s="24">
        <v>45863</v>
      </c>
      <c r="F1382" s="236" t="s">
        <v>1770</v>
      </c>
      <c r="G1382" t="s">
        <v>1741</v>
      </c>
    </row>
    <row r="1383" spans="1:7">
      <c r="A1383" s="78" t="s">
        <v>517</v>
      </c>
      <c r="B1383" s="236" t="s">
        <v>108</v>
      </c>
      <c r="C1383" s="24">
        <v>45863</v>
      </c>
      <c r="F1383" s="239" t="s">
        <v>1770</v>
      </c>
      <c r="G1383" t="s">
        <v>1741</v>
      </c>
    </row>
    <row r="1384" spans="1:7">
      <c r="A1384" s="237" t="s">
        <v>532</v>
      </c>
      <c r="B1384" s="237" t="s">
        <v>108</v>
      </c>
      <c r="C1384" s="24">
        <v>45863</v>
      </c>
      <c r="F1384" s="285" t="s">
        <v>1770</v>
      </c>
      <c r="G1384" t="s">
        <v>1741</v>
      </c>
    </row>
    <row r="1385" spans="1:7" ht="15.75">
      <c r="A1385" s="78" t="s">
        <v>529</v>
      </c>
      <c r="B1385" s="178" t="s">
        <v>1165</v>
      </c>
      <c r="C1385" s="242">
        <v>45863</v>
      </c>
      <c r="F1385" s="243" t="s">
        <v>1771</v>
      </c>
      <c r="G1385" t="s">
        <v>1741</v>
      </c>
    </row>
    <row r="1386" spans="1:7">
      <c r="A1386" s="1206" t="s">
        <v>448</v>
      </c>
      <c r="B1386" s="1204" t="s">
        <v>352</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108</v>
      </c>
      <c r="C1388" s="24">
        <v>45866</v>
      </c>
      <c r="D1388" s="12">
        <v>817</v>
      </c>
      <c r="G1388" t="s">
        <v>1741</v>
      </c>
    </row>
    <row r="1389" spans="1:7">
      <c r="A1389" s="238" t="s">
        <v>526</v>
      </c>
      <c r="B1389" s="237" t="s">
        <v>108</v>
      </c>
      <c r="C1389" s="24">
        <v>45866</v>
      </c>
      <c r="D1389" s="92">
        <v>1430</v>
      </c>
      <c r="F1389" s="12" t="s">
        <v>1772</v>
      </c>
      <c r="G1389" t="s">
        <v>1741</v>
      </c>
    </row>
    <row r="1390" spans="1:7" ht="15.75">
      <c r="A1390" s="238" t="s">
        <v>983</v>
      </c>
      <c r="B1390" s="1161" t="s">
        <v>1165</v>
      </c>
      <c r="C1390" s="242">
        <v>45866</v>
      </c>
      <c r="F1390" s="240" t="s">
        <v>1540</v>
      </c>
      <c r="G1390" t="s">
        <v>1741</v>
      </c>
    </row>
    <row r="1391" spans="1:7">
      <c r="A1391" s="78" t="s">
        <v>475</v>
      </c>
      <c r="B1391" s="179" t="s">
        <v>554</v>
      </c>
      <c r="C1391" s="242">
        <v>45866</v>
      </c>
      <c r="D1391" s="92">
        <v>1181</v>
      </c>
      <c r="G1391" t="s">
        <v>1741</v>
      </c>
    </row>
    <row r="1392" spans="1:7">
      <c r="A1392" s="1206" t="s">
        <v>448</v>
      </c>
      <c r="B1392" s="1204" t="s">
        <v>352</v>
      </c>
      <c r="C1392" s="24">
        <v>45866</v>
      </c>
      <c r="D1392" s="12">
        <v>345</v>
      </c>
      <c r="G1392" t="s">
        <v>1741</v>
      </c>
    </row>
    <row r="1393" spans="1:7">
      <c r="A1393" s="490" t="s">
        <v>475</v>
      </c>
      <c r="B1393" s="179" t="s">
        <v>554</v>
      </c>
      <c r="C1393" s="242">
        <v>45867</v>
      </c>
      <c r="D1393" s="92">
        <v>1933</v>
      </c>
      <c r="G1393" t="s">
        <v>1741</v>
      </c>
    </row>
    <row r="1394" spans="1:7">
      <c r="A1394" s="319" t="s">
        <v>840</v>
      </c>
      <c r="B1394" s="320" t="s">
        <v>108</v>
      </c>
      <c r="C1394" s="24">
        <v>45867</v>
      </c>
      <c r="E1394" s="253">
        <v>5590</v>
      </c>
      <c r="F1394" s="12" t="s">
        <v>1773</v>
      </c>
      <c r="G1394" t="s">
        <v>1741</v>
      </c>
    </row>
    <row r="1395" spans="1:7">
      <c r="A1395" s="1173" t="s">
        <v>526</v>
      </c>
      <c r="B1395" s="1174" t="s">
        <v>108</v>
      </c>
      <c r="C1395" s="24">
        <v>45867</v>
      </c>
      <c r="D1395" s="92">
        <v>1004</v>
      </c>
      <c r="F1395" s="12" t="s">
        <v>1774</v>
      </c>
      <c r="G1395" t="s">
        <v>1741</v>
      </c>
    </row>
    <row r="1396" spans="1:7" ht="15.75">
      <c r="A1396" s="352" t="s">
        <v>983</v>
      </c>
      <c r="B1396" s="1161"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108</v>
      </c>
      <c r="C1398" s="24">
        <v>45868</v>
      </c>
      <c r="D1398" s="12">
        <v>902</v>
      </c>
      <c r="G1398" t="s">
        <v>1741</v>
      </c>
    </row>
    <row r="1399" spans="1:7">
      <c r="A1399" s="237" t="s">
        <v>840</v>
      </c>
      <c r="B1399" s="237" t="s">
        <v>108</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360</v>
      </c>
      <c r="C1401" s="24">
        <v>45868</v>
      </c>
      <c r="E1401" s="253">
        <v>6067</v>
      </c>
      <c r="G1401" t="s">
        <v>1741</v>
      </c>
    </row>
    <row r="1402" spans="1:7">
      <c r="A1402" s="748" t="s">
        <v>794</v>
      </c>
      <c r="B1402" s="249" t="s">
        <v>352</v>
      </c>
      <c r="C1402" s="24">
        <v>45868</v>
      </c>
      <c r="D1402" s="12">
        <v>314</v>
      </c>
      <c r="G1402" t="s">
        <v>1741</v>
      </c>
    </row>
    <row r="1403" spans="1:7" ht="15.75">
      <c r="A1403" s="238" t="s">
        <v>644</v>
      </c>
      <c r="B1403" s="1161"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108</v>
      </c>
      <c r="C1405" s="24">
        <v>45869</v>
      </c>
      <c r="D1405" s="12">
        <v>862</v>
      </c>
      <c r="G1405" t="s">
        <v>1741</v>
      </c>
    </row>
    <row r="1406" spans="1:7">
      <c r="A1406" s="243" t="s">
        <v>851</v>
      </c>
      <c r="B1406" s="243" t="s">
        <v>360</v>
      </c>
      <c r="C1406" s="24">
        <v>45869</v>
      </c>
      <c r="E1406" s="253">
        <v>2691</v>
      </c>
      <c r="G1406" t="s">
        <v>1741</v>
      </c>
    </row>
    <row r="1407" spans="1:7">
      <c r="A1407" s="274" t="s">
        <v>825</v>
      </c>
      <c r="B1407" s="660" t="s">
        <v>352</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7" t="s">
        <v>475</v>
      </c>
      <c r="B1410" s="247" t="s">
        <v>360</v>
      </c>
      <c r="C1410" s="24">
        <v>45870</v>
      </c>
      <c r="F1410" s="12" t="s">
        <v>1780</v>
      </c>
      <c r="G1410" t="s">
        <v>1778</v>
      </c>
    </row>
    <row r="1411" spans="1:7">
      <c r="A1411" s="71" t="s">
        <v>825</v>
      </c>
      <c r="B1411" s="94" t="s">
        <v>352</v>
      </c>
      <c r="C1411" s="24">
        <v>45870</v>
      </c>
      <c r="D1411" s="92">
        <v>1377</v>
      </c>
      <c r="G1411" t="s">
        <v>1778</v>
      </c>
    </row>
    <row r="1412" spans="1:7">
      <c r="A1412" s="490" t="s">
        <v>475</v>
      </c>
      <c r="B1412" s="243" t="s">
        <v>360</v>
      </c>
      <c r="C1412" s="24">
        <v>45873</v>
      </c>
      <c r="E1412" s="253">
        <v>13125</v>
      </c>
      <c r="G1412" t="s">
        <v>1778</v>
      </c>
    </row>
    <row r="1413" spans="1:7">
      <c r="A1413" s="352" t="s">
        <v>567</v>
      </c>
      <c r="B1413" s="356" t="s">
        <v>108</v>
      </c>
      <c r="C1413" s="24">
        <v>45873</v>
      </c>
      <c r="D1413" s="12">
        <v>918</v>
      </c>
      <c r="G1413" t="s">
        <v>1778</v>
      </c>
    </row>
    <row r="1414" spans="1:7">
      <c r="A1414" s="243" t="s">
        <v>848</v>
      </c>
      <c r="B1414" s="243" t="s">
        <v>108</v>
      </c>
      <c r="C1414" s="24">
        <v>45874</v>
      </c>
      <c r="D1414" s="92">
        <v>2675</v>
      </c>
      <c r="G1414" t="s">
        <v>1778</v>
      </c>
    </row>
    <row r="1415" spans="1:7">
      <c r="A1415" s="266" t="s">
        <v>825</v>
      </c>
      <c r="B1415" s="266" t="s">
        <v>352</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108</v>
      </c>
      <c r="C1417" s="24">
        <v>45875</v>
      </c>
      <c r="D1417" s="92">
        <v>1964</v>
      </c>
      <c r="G1417" t="s">
        <v>1778</v>
      </c>
    </row>
    <row r="1418" spans="1:7">
      <c r="A1418" s="425" t="s">
        <v>825</v>
      </c>
      <c r="B1418" s="243" t="s">
        <v>352</v>
      </c>
      <c r="C1418" s="24">
        <v>45875</v>
      </c>
      <c r="D1418" s="12">
        <v>840</v>
      </c>
      <c r="G1418" t="s">
        <v>1778</v>
      </c>
    </row>
    <row r="1419" spans="1:7">
      <c r="A1419" s="78" t="s">
        <v>794</v>
      </c>
      <c r="B1419" s="426" t="s">
        <v>352</v>
      </c>
      <c r="C1419" s="24">
        <v>45875</v>
      </c>
      <c r="F1419" s="12" t="s">
        <v>1781</v>
      </c>
      <c r="G1419" t="s">
        <v>1778</v>
      </c>
    </row>
    <row r="1420" spans="1:7">
      <c r="A1420" s="312" t="s">
        <v>848</v>
      </c>
      <c r="B1420" s="335" t="s">
        <v>108</v>
      </c>
      <c r="C1420" s="242">
        <v>45876</v>
      </c>
      <c r="D1420" s="12">
        <v>377</v>
      </c>
      <c r="E1420" s="253"/>
      <c r="F1420" s="12" t="s">
        <v>1782</v>
      </c>
      <c r="G1420" t="s">
        <v>1778</v>
      </c>
    </row>
    <row r="1421" spans="1:7">
      <c r="A1421" s="312" t="s">
        <v>848</v>
      </c>
      <c r="B1421" s="243" t="s">
        <v>360</v>
      </c>
      <c r="C1421" s="242">
        <v>45876</v>
      </c>
      <c r="E1421" s="253">
        <v>5289</v>
      </c>
      <c r="F1421" s="12" t="s">
        <v>1783</v>
      </c>
      <c r="G1421" t="s">
        <v>1778</v>
      </c>
    </row>
    <row r="1422" spans="1:7">
      <c r="A1422" s="78" t="s">
        <v>573</v>
      </c>
      <c r="B1422" s="404" t="s">
        <v>108</v>
      </c>
      <c r="C1422" s="24">
        <v>45876</v>
      </c>
      <c r="D1422" s="12">
        <v>674</v>
      </c>
      <c r="G1422" t="s">
        <v>1778</v>
      </c>
    </row>
    <row r="1423" spans="1:7">
      <c r="A1423" s="426" t="s">
        <v>825</v>
      </c>
      <c r="B1423" s="426" t="s">
        <v>352</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108</v>
      </c>
      <c r="C1425" s="24">
        <v>45877</v>
      </c>
      <c r="F1425" s="243" t="s">
        <v>1246</v>
      </c>
      <c r="G1425" t="s">
        <v>1778</v>
      </c>
    </row>
    <row r="1426" spans="1:7">
      <c r="A1426" s="425" t="s">
        <v>825</v>
      </c>
      <c r="B1426" s="266" t="s">
        <v>352</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108</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352</v>
      </c>
      <c r="C1430" s="24">
        <v>45880</v>
      </c>
      <c r="D1430" s="12">
        <v>571</v>
      </c>
      <c r="G1430" t="s">
        <v>1778</v>
      </c>
    </row>
    <row r="1431" spans="1:7" ht="15.75">
      <c r="A1431" s="40" t="s">
        <v>1184</v>
      </c>
      <c r="B1431" s="178" t="s">
        <v>1165</v>
      </c>
      <c r="C1431" s="242">
        <v>45881</v>
      </c>
      <c r="D1431" s="12">
        <v>35</v>
      </c>
      <c r="G1431" t="s">
        <v>1778</v>
      </c>
    </row>
    <row r="1432" spans="1:7">
      <c r="A1432" s="1208" t="s">
        <v>567</v>
      </c>
      <c r="B1432" s="1209" t="s">
        <v>108</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108</v>
      </c>
      <c r="C1434" s="24">
        <v>45881</v>
      </c>
      <c r="D1434" s="12">
        <v>111</v>
      </c>
      <c r="F1434" s="12" t="s">
        <v>1730</v>
      </c>
      <c r="G1434" t="s">
        <v>1778</v>
      </c>
    </row>
    <row r="1435" spans="1:7">
      <c r="A1435" s="181" t="s">
        <v>351</v>
      </c>
      <c r="B1435" s="243" t="s">
        <v>352</v>
      </c>
      <c r="C1435" s="24">
        <v>45881</v>
      </c>
      <c r="D1435" s="12">
        <v>319</v>
      </c>
      <c r="G1435" t="s">
        <v>1778</v>
      </c>
    </row>
    <row r="1436" spans="1:7">
      <c r="A1436" s="427" t="s">
        <v>825</v>
      </c>
      <c r="B1436" s="243" t="s">
        <v>352</v>
      </c>
      <c r="C1436" s="24">
        <v>45881</v>
      </c>
      <c r="D1436" s="92">
        <v>1293</v>
      </c>
      <c r="G1436" t="s">
        <v>1778</v>
      </c>
    </row>
    <row r="1437" spans="1:7">
      <c r="A1437" s="299" t="s">
        <v>839</v>
      </c>
      <c r="B1437" s="660" t="s">
        <v>108</v>
      </c>
      <c r="C1437" s="24">
        <v>45881</v>
      </c>
      <c r="D1437" s="12">
        <v>406</v>
      </c>
      <c r="G1437" t="s">
        <v>1778</v>
      </c>
    </row>
    <row r="1438" spans="1:7" ht="15.75">
      <c r="A1438" s="181" t="s">
        <v>1184</v>
      </c>
      <c r="B1438" s="178" t="s">
        <v>1165</v>
      </c>
      <c r="C1438" s="242">
        <v>45882</v>
      </c>
      <c r="D1438" s="12">
        <v>48</v>
      </c>
      <c r="F1438" s="12" t="s">
        <v>1762</v>
      </c>
      <c r="G1438" t="s">
        <v>1778</v>
      </c>
    </row>
    <row r="1439" spans="1:7">
      <c r="A1439" s="1171" t="s">
        <v>567</v>
      </c>
      <c r="B1439" s="600" t="s">
        <v>108</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108</v>
      </c>
      <c r="C1441" s="24">
        <v>45882</v>
      </c>
      <c r="D1441" s="92">
        <v>1031</v>
      </c>
      <c r="F1441" s="12" t="s">
        <v>1784</v>
      </c>
      <c r="G1441" t="s">
        <v>1778</v>
      </c>
    </row>
    <row r="1442" spans="1:7">
      <c r="A1442" s="237" t="s">
        <v>573</v>
      </c>
      <c r="B1442" s="237" t="s">
        <v>108</v>
      </c>
      <c r="C1442" s="24">
        <v>45882</v>
      </c>
      <c r="D1442" s="12">
        <v>12</v>
      </c>
      <c r="F1442" s="237" t="s">
        <v>1701</v>
      </c>
      <c r="G1442" t="s">
        <v>1778</v>
      </c>
    </row>
    <row r="1443" spans="1:7">
      <c r="A1443" s="299" t="s">
        <v>825</v>
      </c>
      <c r="B1443" s="266" t="s">
        <v>352</v>
      </c>
      <c r="C1443" s="24">
        <v>45882</v>
      </c>
      <c r="D1443" s="12">
        <v>540</v>
      </c>
      <c r="G1443" t="s">
        <v>1778</v>
      </c>
    </row>
    <row r="1444" spans="1:7" ht="15.75">
      <c r="A1444" s="40" t="s">
        <v>1184</v>
      </c>
      <c r="B1444" s="178" t="s">
        <v>1165</v>
      </c>
      <c r="C1444" s="242">
        <v>45883</v>
      </c>
      <c r="D1444" s="12">
        <v>144</v>
      </c>
      <c r="G1444" t="s">
        <v>1778</v>
      </c>
    </row>
    <row r="1445" spans="1:7">
      <c r="A1445" s="1208" t="s">
        <v>1205</v>
      </c>
      <c r="B1445" s="1209" t="s">
        <v>108</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352</v>
      </c>
      <c r="C1447" s="24">
        <v>45883</v>
      </c>
      <c r="D1447" s="12">
        <v>554</v>
      </c>
      <c r="G1447" t="s">
        <v>1778</v>
      </c>
    </row>
    <row r="1448" spans="1:7" ht="15.75">
      <c r="A1448" s="12" t="s">
        <v>347</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360</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360</v>
      </c>
      <c r="C1452" s="24">
        <v>45884</v>
      </c>
      <c r="E1452" s="253">
        <v>1297</v>
      </c>
      <c r="F1452" s="12" t="s">
        <v>1787</v>
      </c>
      <c r="G1452" t="s">
        <v>1778</v>
      </c>
    </row>
    <row r="1453" spans="1:7">
      <c r="A1453" s="425" t="s">
        <v>825</v>
      </c>
      <c r="B1453" s="266" t="s">
        <v>352</v>
      </c>
      <c r="C1453" s="24">
        <v>45884</v>
      </c>
      <c r="D1453" s="12">
        <v>89</v>
      </c>
      <c r="G1453" t="s">
        <v>1778</v>
      </c>
    </row>
    <row r="1454" spans="1:7" ht="15.75">
      <c r="A1454" s="78" t="s">
        <v>347</v>
      </c>
      <c r="B1454" s="178" t="s">
        <v>1165</v>
      </c>
      <c r="C1454" s="242">
        <v>45884</v>
      </c>
      <c r="D1454" s="12">
        <v>391</v>
      </c>
      <c r="G1454" t="s">
        <v>1778</v>
      </c>
    </row>
    <row r="1455" spans="1:7" ht="15.75">
      <c r="A1455" s="71" t="s">
        <v>1184</v>
      </c>
      <c r="B1455" s="178" t="s">
        <v>1165</v>
      </c>
      <c r="C1455" s="242">
        <v>45887</v>
      </c>
      <c r="D1455" s="12">
        <v>141</v>
      </c>
      <c r="G1455" t="s">
        <v>1778</v>
      </c>
    </row>
    <row r="1456" spans="1:7">
      <c r="A1456" s="1208" t="s">
        <v>567</v>
      </c>
      <c r="B1456" s="1209" t="s">
        <v>360</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360</v>
      </c>
      <c r="C1458" s="24">
        <v>45887</v>
      </c>
      <c r="E1458" s="253">
        <v>2145</v>
      </c>
      <c r="F1458" s="12" t="s">
        <v>1789</v>
      </c>
      <c r="G1458" t="s">
        <v>1778</v>
      </c>
    </row>
    <row r="1459" spans="1:7">
      <c r="A1459" s="455" t="s">
        <v>576</v>
      </c>
      <c r="B1459" s="254" t="s">
        <v>108</v>
      </c>
      <c r="C1459" s="24">
        <v>45887</v>
      </c>
      <c r="D1459" s="92">
        <v>1109</v>
      </c>
      <c r="F1459" s="12" t="s">
        <v>1790</v>
      </c>
      <c r="G1459" t="s">
        <v>1778</v>
      </c>
    </row>
    <row r="1460" spans="1:7">
      <c r="A1460" s="425" t="s">
        <v>825</v>
      </c>
      <c r="B1460" s="266" t="s">
        <v>352</v>
      </c>
      <c r="C1460" s="24">
        <v>45887</v>
      </c>
      <c r="D1460" s="12">
        <v>377</v>
      </c>
      <c r="G1460" t="s">
        <v>1778</v>
      </c>
    </row>
    <row r="1461" spans="1:7" ht="15.75">
      <c r="A1461" s="78" t="s">
        <v>347</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108</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108</v>
      </c>
      <c r="C1465" s="24">
        <v>45888</v>
      </c>
      <c r="D1465" s="92">
        <v>1460</v>
      </c>
      <c r="F1465" s="12" t="s">
        <v>1791</v>
      </c>
      <c r="G1465" t="s">
        <v>1778</v>
      </c>
    </row>
    <row r="1466" spans="1:7">
      <c r="A1466" s="425" t="s">
        <v>825</v>
      </c>
      <c r="B1466" s="266" t="s">
        <v>352</v>
      </c>
      <c r="C1466" s="24">
        <v>45888</v>
      </c>
      <c r="D1466" s="12">
        <v>408</v>
      </c>
      <c r="F1466" s="52"/>
      <c r="G1466" t="s">
        <v>1778</v>
      </c>
    </row>
    <row r="1467" spans="1:7" ht="15.75">
      <c r="A1467" s="71" t="s">
        <v>455</v>
      </c>
      <c r="B1467" s="178" t="s">
        <v>1165</v>
      </c>
      <c r="C1467" s="242">
        <v>45888</v>
      </c>
      <c r="F1467" s="78" t="s">
        <v>1792</v>
      </c>
      <c r="G1467" t="s">
        <v>1778</v>
      </c>
    </row>
    <row r="1468" spans="1:7">
      <c r="A1468" s="1171" t="s">
        <v>794</v>
      </c>
      <c r="B1468" s="600" t="s">
        <v>352</v>
      </c>
      <c r="C1468" s="24">
        <v>45888</v>
      </c>
      <c r="D1468" s="12">
        <v>430</v>
      </c>
      <c r="F1468" s="106"/>
      <c r="G1468" t="s">
        <v>1778</v>
      </c>
    </row>
    <row r="1469" spans="1:7" ht="15.75">
      <c r="A1469" s="1152" t="s">
        <v>1184</v>
      </c>
      <c r="B1469" s="1161" t="s">
        <v>1165</v>
      </c>
      <c r="C1469" s="242">
        <v>45889</v>
      </c>
      <c r="D1469" s="12">
        <v>181</v>
      </c>
      <c r="G1469" t="s">
        <v>1778</v>
      </c>
    </row>
    <row r="1470" spans="1:7">
      <c r="A1470" s="40" t="s">
        <v>418</v>
      </c>
      <c r="B1470" s="179" t="s">
        <v>554</v>
      </c>
      <c r="C1470" s="242">
        <v>45889</v>
      </c>
      <c r="F1470" s="252" t="s">
        <v>1754</v>
      </c>
      <c r="G1470" t="s">
        <v>1778</v>
      </c>
    </row>
    <row r="1471" spans="1:7">
      <c r="A1471" s="1208" t="s">
        <v>1207</v>
      </c>
      <c r="B1471" s="1209" t="s">
        <v>108</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108</v>
      </c>
      <c r="C1473" s="24">
        <v>45889</v>
      </c>
      <c r="D1473" s="92">
        <v>1428</v>
      </c>
      <c r="F1473" s="12" t="s">
        <v>1701</v>
      </c>
      <c r="G1473" t="s">
        <v>1778</v>
      </c>
    </row>
    <row r="1474" spans="1:7">
      <c r="A1474" s="425" t="s">
        <v>825</v>
      </c>
      <c r="B1474" s="266" t="s">
        <v>352</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2" t="s">
        <v>1184</v>
      </c>
      <c r="B1476" s="1161" t="s">
        <v>1165</v>
      </c>
      <c r="C1476" s="242">
        <v>45890</v>
      </c>
      <c r="D1476" s="12">
        <v>82</v>
      </c>
      <c r="G1476" t="s">
        <v>1778</v>
      </c>
    </row>
    <row r="1477" spans="1:7">
      <c r="A1477" s="40" t="s">
        <v>418</v>
      </c>
      <c r="B1477" s="179" t="s">
        <v>554</v>
      </c>
      <c r="C1477" s="242">
        <v>45890</v>
      </c>
      <c r="F1477" s="12" t="s">
        <v>1542</v>
      </c>
      <c r="G1477" t="s">
        <v>1778</v>
      </c>
    </row>
    <row r="1478" spans="1:7">
      <c r="A1478" s="1208" t="s">
        <v>1207</v>
      </c>
      <c r="B1478" s="1209" t="s">
        <v>108</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108</v>
      </c>
      <c r="C1480" s="24">
        <v>45890</v>
      </c>
      <c r="D1480" s="92">
        <v>1654</v>
      </c>
      <c r="G1480" t="s">
        <v>1778</v>
      </c>
    </row>
    <row r="1481" spans="1:7">
      <c r="A1481" s="28" t="s">
        <v>576</v>
      </c>
      <c r="B1481" s="164" t="s">
        <v>360</v>
      </c>
      <c r="C1481" s="24">
        <v>45890</v>
      </c>
      <c r="E1481" s="253">
        <v>1109</v>
      </c>
      <c r="F1481" s="12" t="s">
        <v>1794</v>
      </c>
      <c r="G1481" t="s">
        <v>1778</v>
      </c>
    </row>
    <row r="1482" spans="1:7">
      <c r="A1482" s="425" t="s">
        <v>825</v>
      </c>
      <c r="B1482" s="266" t="s">
        <v>352</v>
      </c>
      <c r="C1482" s="24">
        <v>45890</v>
      </c>
      <c r="D1482" s="92">
        <v>1022</v>
      </c>
      <c r="G1482" t="s">
        <v>1778</v>
      </c>
    </row>
    <row r="1483" spans="1:7" ht="15.75">
      <c r="A1483" s="71" t="s">
        <v>455</v>
      </c>
      <c r="B1483" s="178" t="s">
        <v>1165</v>
      </c>
      <c r="C1483" s="242">
        <v>45890</v>
      </c>
      <c r="D1483" s="12">
        <v>231</v>
      </c>
      <c r="G1483" t="s">
        <v>1778</v>
      </c>
    </row>
    <row r="1484" spans="1:7" ht="15.75">
      <c r="A1484" s="1152" t="s">
        <v>1184</v>
      </c>
      <c r="B1484" s="1161" t="s">
        <v>1165</v>
      </c>
      <c r="C1484" s="242">
        <v>45891</v>
      </c>
      <c r="D1484" s="12">
        <v>96</v>
      </c>
      <c r="G1484" t="s">
        <v>1778</v>
      </c>
    </row>
    <row r="1485" spans="1:7">
      <c r="A1485" s="40" t="s">
        <v>1208</v>
      </c>
      <c r="B1485" s="179" t="s">
        <v>554</v>
      </c>
      <c r="C1485" s="242">
        <v>45891</v>
      </c>
      <c r="D1485" s="12">
        <v>878</v>
      </c>
      <c r="F1485" s="12" t="s">
        <v>1795</v>
      </c>
      <c r="G1485" t="s">
        <v>1778</v>
      </c>
    </row>
    <row r="1486" spans="1:7">
      <c r="A1486" s="1208" t="s">
        <v>1207</v>
      </c>
      <c r="B1486" s="1209" t="s">
        <v>108</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352</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2" t="s">
        <v>1184</v>
      </c>
      <c r="B1490" s="1161" t="s">
        <v>1165</v>
      </c>
      <c r="C1490" s="242">
        <v>45894</v>
      </c>
      <c r="D1490" s="12">
        <v>20</v>
      </c>
      <c r="F1490" s="243"/>
      <c r="G1490" t="s">
        <v>1778</v>
      </c>
    </row>
    <row r="1491" spans="1:7">
      <c r="A1491" s="40" t="s">
        <v>1208</v>
      </c>
      <c r="B1491" s="179" t="s">
        <v>554</v>
      </c>
      <c r="C1491" s="242">
        <v>45894</v>
      </c>
      <c r="D1491" s="12">
        <v>715</v>
      </c>
      <c r="G1491" t="s">
        <v>1778</v>
      </c>
    </row>
    <row r="1492" spans="1:7">
      <c r="A1492" s="1208" t="s">
        <v>1207</v>
      </c>
      <c r="B1492" s="1209" t="s">
        <v>108</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108</v>
      </c>
      <c r="C1494" s="24">
        <v>45894</v>
      </c>
      <c r="D1494" s="12">
        <v>735</v>
      </c>
      <c r="F1494" s="12" t="s">
        <v>1799</v>
      </c>
      <c r="G1494" t="s">
        <v>1778</v>
      </c>
    </row>
    <row r="1495" spans="1:7">
      <c r="A1495" s="425" t="s">
        <v>825</v>
      </c>
      <c r="B1495" s="266" t="s">
        <v>352</v>
      </c>
      <c r="C1495" s="24">
        <v>45894</v>
      </c>
      <c r="D1495" s="12">
        <v>639</v>
      </c>
      <c r="G1495" t="s">
        <v>1778</v>
      </c>
    </row>
    <row r="1496" spans="1:7" ht="15.75">
      <c r="A1496" s="71" t="s">
        <v>455</v>
      </c>
      <c r="B1496" s="178" t="s">
        <v>1165</v>
      </c>
      <c r="C1496" s="242">
        <v>45894</v>
      </c>
      <c r="D1496" s="12">
        <v>503</v>
      </c>
      <c r="G1496" t="s">
        <v>1778</v>
      </c>
    </row>
    <row r="1497" spans="1:7" ht="15.75">
      <c r="A1497" s="1152" t="s">
        <v>1184</v>
      </c>
      <c r="B1497" s="1161"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8" t="s">
        <v>1207</v>
      </c>
      <c r="B1499" s="1209" t="s">
        <v>108</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108</v>
      </c>
      <c r="C1502" s="24">
        <v>45895</v>
      </c>
      <c r="D1502" s="12">
        <v>558</v>
      </c>
      <c r="F1502" s="266" t="s">
        <v>1344</v>
      </c>
      <c r="G1502" t="s">
        <v>1778</v>
      </c>
    </row>
    <row r="1503" spans="1:7">
      <c r="A1503" s="596" t="s">
        <v>535</v>
      </c>
      <c r="B1503" s="52" t="s">
        <v>108</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352</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3"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108</v>
      </c>
      <c r="C1509" s="24">
        <v>45896</v>
      </c>
      <c r="D1509" s="92">
        <v>1248</v>
      </c>
      <c r="F1509" s="12" t="s">
        <v>1804</v>
      </c>
      <c r="G1509" t="s">
        <v>1778</v>
      </c>
    </row>
    <row r="1510" spans="1:7">
      <c r="A1510" s="596" t="s">
        <v>535</v>
      </c>
      <c r="B1510" s="52" t="s">
        <v>108</v>
      </c>
      <c r="C1510" s="24">
        <v>45896</v>
      </c>
      <c r="D1510" s="12">
        <v>967</v>
      </c>
      <c r="F1510" s="12" t="s">
        <v>1805</v>
      </c>
      <c r="G1510" t="s">
        <v>1778</v>
      </c>
    </row>
    <row r="1511" spans="1:7" ht="15.75">
      <c r="A1511" s="71" t="s">
        <v>347</v>
      </c>
      <c r="B1511" s="178" t="s">
        <v>1165</v>
      </c>
      <c r="C1511" s="242">
        <v>45896</v>
      </c>
      <c r="D1511" s="12">
        <v>400</v>
      </c>
      <c r="G1511" t="s">
        <v>1778</v>
      </c>
    </row>
    <row r="1512" spans="1:7">
      <c r="A1512" s="498" t="s">
        <v>351</v>
      </c>
      <c r="B1512" s="276" t="s">
        <v>352</v>
      </c>
      <c r="C1512" s="24">
        <v>45896</v>
      </c>
      <c r="D1512" s="12">
        <v>358</v>
      </c>
      <c r="F1512" s="12" t="s">
        <v>1806</v>
      </c>
      <c r="G1512" t="s">
        <v>1778</v>
      </c>
    </row>
    <row r="1513" spans="1:7">
      <c r="A1513" s="1175" t="s">
        <v>448</v>
      </c>
      <c r="B1513" s="238" t="s">
        <v>352</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7" t="s">
        <v>875</v>
      </c>
      <c r="B1516" s="106" t="s">
        <v>108</v>
      </c>
      <c r="C1516" s="24">
        <v>45897</v>
      </c>
      <c r="D1516" s="92">
        <v>1453</v>
      </c>
      <c r="F1516" s="12" t="s">
        <v>1808</v>
      </c>
      <c r="G1516" t="s">
        <v>1778</v>
      </c>
    </row>
    <row r="1517" spans="1:7">
      <c r="A1517" s="28" t="s">
        <v>903</v>
      </c>
      <c r="B1517" s="12" t="s">
        <v>108</v>
      </c>
      <c r="C1517" s="24">
        <v>45897</v>
      </c>
      <c r="D1517" s="92">
        <v>1260</v>
      </c>
      <c r="F1517" s="12" t="s">
        <v>1809</v>
      </c>
      <c r="G1517" t="s">
        <v>1778</v>
      </c>
    </row>
    <row r="1518" spans="1:7">
      <c r="A1518" s="425" t="s">
        <v>825</v>
      </c>
      <c r="B1518" s="266" t="s">
        <v>352</v>
      </c>
      <c r="C1518" s="24">
        <v>45897</v>
      </c>
      <c r="F1518" s="12" t="s">
        <v>1405</v>
      </c>
      <c r="G1518" t="s">
        <v>1778</v>
      </c>
    </row>
    <row r="1519" spans="1:7" ht="15.75">
      <c r="A1519" s="71" t="s">
        <v>347</v>
      </c>
      <c r="B1519" s="178" t="s">
        <v>1165</v>
      </c>
      <c r="C1519" s="242">
        <v>45897</v>
      </c>
      <c r="D1519" s="12">
        <v>320</v>
      </c>
      <c r="G1519" t="s">
        <v>1778</v>
      </c>
    </row>
    <row r="1520" spans="1:7">
      <c r="A1520" s="498" t="s">
        <v>351</v>
      </c>
      <c r="B1520" s="277" t="s">
        <v>352</v>
      </c>
      <c r="C1520" s="24">
        <v>45897</v>
      </c>
      <c r="F1520" s="243" t="s">
        <v>1542</v>
      </c>
      <c r="G1520" t="s">
        <v>1778</v>
      </c>
    </row>
    <row r="1521" spans="1:7">
      <c r="A1521" s="1172" t="s">
        <v>448</v>
      </c>
      <c r="B1521" s="276" t="s">
        <v>352</v>
      </c>
      <c r="C1521" s="24">
        <v>45897</v>
      </c>
      <c r="F1521" s="243" t="s">
        <v>1542</v>
      </c>
      <c r="G1521" t="s">
        <v>1778</v>
      </c>
    </row>
    <row r="1522" spans="1:7" ht="15.75">
      <c r="A1522" s="748" t="s">
        <v>1184</v>
      </c>
      <c r="B1522" s="1161" t="s">
        <v>1165</v>
      </c>
      <c r="C1522" s="242">
        <v>45898</v>
      </c>
      <c r="D1522" s="12">
        <v>177</v>
      </c>
      <c r="F1522" s="12" t="s">
        <v>1810</v>
      </c>
      <c r="G1522" t="s">
        <v>1778</v>
      </c>
    </row>
    <row r="1523" spans="1:7">
      <c r="A1523" s="71" t="s">
        <v>1208</v>
      </c>
      <c r="B1523" s="179" t="s">
        <v>554</v>
      </c>
      <c r="C1523" s="242">
        <v>45898</v>
      </c>
      <c r="D1523" s="92">
        <v>1131</v>
      </c>
      <c r="G1523" t="s">
        <v>1778</v>
      </c>
    </row>
    <row r="1524" spans="1:7">
      <c r="A1524" s="1234" t="s">
        <v>448</v>
      </c>
      <c r="B1524" s="600" t="s">
        <v>352</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352</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108</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1" t="s">
        <v>448</v>
      </c>
      <c r="B1532" s="600" t="s">
        <v>352</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0" t="s">
        <v>857</v>
      </c>
      <c r="B1535" s="247" t="s">
        <v>108</v>
      </c>
      <c r="C1535" s="24">
        <v>45903</v>
      </c>
      <c r="D1535" s="92">
        <v>1491</v>
      </c>
      <c r="F1535" s="12" t="s">
        <v>1820</v>
      </c>
      <c r="G1535" t="s">
        <v>1814</v>
      </c>
    </row>
    <row r="1536" spans="1:7">
      <c r="A1536" s="600" t="s">
        <v>875</v>
      </c>
      <c r="B1536" s="600" t="s">
        <v>108</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5" t="s">
        <v>517</v>
      </c>
      <c r="B1538" s="1193"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352</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108</v>
      </c>
      <c r="C1543" s="24">
        <v>45904</v>
      </c>
      <c r="D1543" s="92">
        <v>1549</v>
      </c>
      <c r="F1543" s="12" t="s">
        <v>1826</v>
      </c>
      <c r="G1543" t="s">
        <v>1814</v>
      </c>
    </row>
    <row r="1544" spans="1:7">
      <c r="A1544" s="596" t="s">
        <v>870</v>
      </c>
      <c r="B1544" s="52" t="s">
        <v>108</v>
      </c>
      <c r="C1544" s="24">
        <v>45904</v>
      </c>
      <c r="D1544" s="12">
        <v>903</v>
      </c>
      <c r="F1544" s="12" t="s">
        <v>1827</v>
      </c>
      <c r="G1544" t="s">
        <v>1814</v>
      </c>
    </row>
    <row r="1545" spans="1:7" ht="15.75">
      <c r="A1545" s="1155" t="s">
        <v>517</v>
      </c>
      <c r="B1545" s="178" t="s">
        <v>1165</v>
      </c>
      <c r="C1545" s="242">
        <v>45904</v>
      </c>
      <c r="E1545" s="76">
        <v>800</v>
      </c>
      <c r="G1545" t="s">
        <v>1814</v>
      </c>
    </row>
    <row r="1546" spans="1:7" ht="15.75">
      <c r="A1546" s="181" t="s">
        <v>351</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1" t="s">
        <v>872</v>
      </c>
      <c r="B1550" s="1211" t="s">
        <v>108</v>
      </c>
      <c r="C1550" s="24">
        <v>45905</v>
      </c>
      <c r="D1550" s="12">
        <v>128</v>
      </c>
      <c r="E1550" s="76">
        <v>2000</v>
      </c>
      <c r="F1550" s="12" t="s">
        <v>1830</v>
      </c>
      <c r="G1550" t="s">
        <v>1814</v>
      </c>
    </row>
    <row r="1551" spans="1:7" ht="15.75">
      <c r="A1551" s="299" t="s">
        <v>900</v>
      </c>
      <c r="B1551" s="1161" t="s">
        <v>1165</v>
      </c>
      <c r="C1551" s="242">
        <v>45905</v>
      </c>
      <c r="E1551" s="253">
        <v>2062</v>
      </c>
      <c r="G1551" t="s">
        <v>1814</v>
      </c>
    </row>
    <row r="1552" spans="1:7">
      <c r="A1552" s="350" t="s">
        <v>870</v>
      </c>
      <c r="B1552" s="179" t="s">
        <v>554</v>
      </c>
      <c r="C1552" s="242">
        <v>45908</v>
      </c>
      <c r="D1552" s="12">
        <v>254</v>
      </c>
      <c r="F1552" s="12" t="s">
        <v>1831</v>
      </c>
      <c r="G1552" t="s">
        <v>1814</v>
      </c>
    </row>
    <row r="1553" spans="1:7">
      <c r="A1553" s="1219" t="s">
        <v>1207</v>
      </c>
      <c r="B1553" s="1212" t="s">
        <v>108</v>
      </c>
      <c r="C1553" s="24">
        <v>45908</v>
      </c>
      <c r="D1553" s="92">
        <v>2498</v>
      </c>
      <c r="G1553" t="s">
        <v>1814</v>
      </c>
    </row>
    <row r="1554" spans="1:7">
      <c r="A1554" s="85" t="s">
        <v>857</v>
      </c>
      <c r="B1554" s="1177" t="s">
        <v>108</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19" t="s">
        <v>1207</v>
      </c>
      <c r="B1556" s="1212" t="s">
        <v>108</v>
      </c>
      <c r="C1556" s="24">
        <v>45909</v>
      </c>
      <c r="D1556" s="92">
        <v>1192</v>
      </c>
      <c r="F1556" s="12" t="s">
        <v>1834</v>
      </c>
      <c r="G1556" t="s">
        <v>1814</v>
      </c>
    </row>
    <row r="1557" spans="1:7">
      <c r="A1557" s="85" t="s">
        <v>591</v>
      </c>
      <c r="B1557" s="1177" t="s">
        <v>108</v>
      </c>
      <c r="C1557" s="24">
        <v>45909</v>
      </c>
      <c r="D1557" s="12">
        <v>329</v>
      </c>
      <c r="G1557" t="s">
        <v>1814</v>
      </c>
    </row>
    <row r="1558" spans="1:7" ht="15.75">
      <c r="A1558" s="1152" t="s">
        <v>1189</v>
      </c>
      <c r="B1558" s="1161" t="s">
        <v>1165</v>
      </c>
      <c r="C1558" s="242">
        <v>45910</v>
      </c>
      <c r="D1558" s="12">
        <v>299</v>
      </c>
      <c r="G1558" t="s">
        <v>1814</v>
      </c>
    </row>
    <row r="1559" spans="1:7">
      <c r="A1559" s="350" t="s">
        <v>870</v>
      </c>
      <c r="B1559" s="179" t="s">
        <v>554</v>
      </c>
      <c r="C1559" s="242">
        <v>45910</v>
      </c>
      <c r="D1559" s="12">
        <v>611</v>
      </c>
      <c r="F1559" s="12" t="s">
        <v>1835</v>
      </c>
      <c r="G1559" t="s">
        <v>1814</v>
      </c>
    </row>
    <row r="1560" spans="1:7">
      <c r="A1560" s="1219" t="s">
        <v>1207</v>
      </c>
      <c r="B1560" s="1236" t="s">
        <v>108</v>
      </c>
      <c r="C1560" s="24">
        <v>45910</v>
      </c>
      <c r="D1560" s="92">
        <v>1925</v>
      </c>
      <c r="G1560" t="s">
        <v>1814</v>
      </c>
    </row>
    <row r="1561" spans="1:7" ht="15.75">
      <c r="A1561" s="28" t="s">
        <v>591</v>
      </c>
      <c r="B1561" s="178" t="s">
        <v>1165</v>
      </c>
      <c r="C1561" s="242">
        <v>45910</v>
      </c>
      <c r="D1561" s="12">
        <v>333</v>
      </c>
      <c r="G1561" t="s">
        <v>1814</v>
      </c>
    </row>
    <row r="1562" spans="1:7">
      <c r="A1562" s="576" t="s">
        <v>906</v>
      </c>
      <c r="B1562" s="1212" t="s">
        <v>108</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2" t="s">
        <v>1189</v>
      </c>
      <c r="B1565" s="1161"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3"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1"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1"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3" t="s">
        <v>108</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1"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3" t="s">
        <v>108</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4" t="s">
        <v>108</v>
      </c>
      <c r="C1584" s="24">
        <v>45916</v>
      </c>
      <c r="D1584" s="92">
        <v>1808</v>
      </c>
      <c r="F1584" s="597"/>
      <c r="G1584" t="s">
        <v>1814</v>
      </c>
    </row>
    <row r="1585" spans="1:7">
      <c r="A1585" s="748" t="s">
        <v>796</v>
      </c>
      <c r="B1585" s="299" t="s">
        <v>797</v>
      </c>
      <c r="C1585" s="24">
        <v>45916</v>
      </c>
      <c r="F1585" s="597" t="s">
        <v>1393</v>
      </c>
      <c r="G1585" t="s">
        <v>1814</v>
      </c>
    </row>
    <row r="1586" spans="1:7" ht="15.75">
      <c r="A1586" s="94" t="s">
        <v>351</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157</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108</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108</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157</v>
      </c>
      <c r="C1594" s="24">
        <v>45917</v>
      </c>
      <c r="D1594" s="12">
        <v>253</v>
      </c>
      <c r="F1594" s="597"/>
      <c r="G1594" t="s">
        <v>1814</v>
      </c>
    </row>
    <row r="1595" spans="1:7" ht="15.75">
      <c r="A1595" s="71" t="s">
        <v>351</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4" t="s">
        <v>108</v>
      </c>
      <c r="C1599" s="24">
        <v>45918</v>
      </c>
      <c r="D1599" s="12">
        <v>361</v>
      </c>
      <c r="F1599" s="597" t="s">
        <v>1847</v>
      </c>
      <c r="G1599" t="s">
        <v>1814</v>
      </c>
    </row>
    <row r="1600" spans="1:7">
      <c r="A1600" s="28" t="s">
        <v>878</v>
      </c>
      <c r="B1600" s="548" t="s">
        <v>108</v>
      </c>
      <c r="C1600" s="24">
        <v>45918</v>
      </c>
      <c r="D1600" s="92">
        <v>1204</v>
      </c>
      <c r="F1600" s="597" t="s">
        <v>1848</v>
      </c>
      <c r="G1600" t="s">
        <v>1814</v>
      </c>
    </row>
    <row r="1601" spans="1:7">
      <c r="A1601" s="28" t="s">
        <v>880</v>
      </c>
      <c r="B1601" s="548" t="s">
        <v>108</v>
      </c>
      <c r="C1601" s="24">
        <v>45918</v>
      </c>
      <c r="D1601" s="92">
        <v>562</v>
      </c>
      <c r="F1601" s="597"/>
      <c r="G1601" t="s">
        <v>1814</v>
      </c>
    </row>
    <row r="1602" spans="1:7">
      <c r="A1602" s="28" t="s">
        <v>898</v>
      </c>
      <c r="B1602" s="548" t="s">
        <v>108</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157</v>
      </c>
      <c r="C1604" s="24">
        <v>45918</v>
      </c>
      <c r="D1604" s="92">
        <v>1076</v>
      </c>
      <c r="F1604" s="597"/>
      <c r="G1604" t="s">
        <v>1814</v>
      </c>
    </row>
    <row r="1605" spans="1:7" ht="15.75">
      <c r="A1605" s="94" t="s">
        <v>351</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157</v>
      </c>
      <c r="C1609" s="24">
        <v>45919</v>
      </c>
      <c r="F1609" s="266" t="s">
        <v>1542</v>
      </c>
      <c r="G1609" t="s">
        <v>1814</v>
      </c>
    </row>
    <row r="1610" spans="1:7">
      <c r="A1610" s="547" t="s">
        <v>1207</v>
      </c>
      <c r="B1610" s="758" t="s">
        <v>108</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108</v>
      </c>
      <c r="C1613" s="24">
        <v>45922</v>
      </c>
      <c r="D1613" s="12">
        <v>978</v>
      </c>
      <c r="F1613" s="597" t="s">
        <v>1852</v>
      </c>
      <c r="G1613" t="s">
        <v>1814</v>
      </c>
    </row>
    <row r="1614" spans="1:7">
      <c r="A1614" s="237" t="s">
        <v>898</v>
      </c>
      <c r="B1614" s="604" t="s">
        <v>108</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157</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5" t="s">
        <v>1212</v>
      </c>
      <c r="B1621" s="859" t="s">
        <v>998</v>
      </c>
      <c r="C1621" s="24">
        <v>45923</v>
      </c>
      <c r="D1621" s="12">
        <v>427</v>
      </c>
      <c r="F1621" s="28"/>
      <c r="G1621" t="s">
        <v>1814</v>
      </c>
    </row>
    <row r="1622" spans="1:7">
      <c r="A1622" s="28" t="s">
        <v>880</v>
      </c>
      <c r="B1622" s="608" t="s">
        <v>108</v>
      </c>
      <c r="C1622" s="24">
        <v>45923</v>
      </c>
      <c r="D1622" s="12">
        <v>675</v>
      </c>
      <c r="F1622" s="28"/>
      <c r="G1622" t="s">
        <v>1814</v>
      </c>
    </row>
    <row r="1623" spans="1:7">
      <c r="A1623" s="85" t="s">
        <v>883</v>
      </c>
      <c r="B1623" s="1178" t="s">
        <v>108</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157</v>
      </c>
      <c r="C1626" s="24">
        <v>45923</v>
      </c>
      <c r="D1626" s="12">
        <v>120</v>
      </c>
      <c r="F1626" s="28"/>
      <c r="G1626" t="s">
        <v>1814</v>
      </c>
    </row>
    <row r="1627" spans="1:7" ht="15.75">
      <c r="A1627" s="94" t="s">
        <v>351</v>
      </c>
      <c r="B1627" s="178" t="s">
        <v>1165</v>
      </c>
      <c r="C1627" s="242">
        <v>45923</v>
      </c>
      <c r="F1627" s="78" t="s">
        <v>1734</v>
      </c>
      <c r="G1627" t="s">
        <v>1814</v>
      </c>
    </row>
    <row r="1628" spans="1:7">
      <c r="A1628" s="1216" t="s">
        <v>1213</v>
      </c>
      <c r="B1628" s="1170"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5" t="s">
        <v>1212</v>
      </c>
      <c r="B1630" s="236" t="s">
        <v>998</v>
      </c>
      <c r="C1630" s="24">
        <v>45924</v>
      </c>
      <c r="D1630" s="12">
        <v>537</v>
      </c>
      <c r="F1630" s="28"/>
      <c r="G1630" t="s">
        <v>1814</v>
      </c>
    </row>
    <row r="1631" spans="1:7">
      <c r="A1631" s="85" t="s">
        <v>889</v>
      </c>
      <c r="B1631" s="614" t="s">
        <v>108</v>
      </c>
      <c r="C1631" s="265">
        <v>45924</v>
      </c>
      <c r="D1631" s="92">
        <v>1205</v>
      </c>
      <c r="F1631" s="28" t="s">
        <v>1860</v>
      </c>
      <c r="G1631" t="s">
        <v>1814</v>
      </c>
    </row>
    <row r="1632" spans="1:7">
      <c r="A1632" s="85" t="s">
        <v>883</v>
      </c>
      <c r="B1632" s="334" t="s">
        <v>108</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7" t="s">
        <v>906</v>
      </c>
      <c r="B1634" s="351" t="s">
        <v>108</v>
      </c>
      <c r="C1634" s="24">
        <v>45924</v>
      </c>
      <c r="D1634" s="98"/>
      <c r="F1634" s="266" t="s">
        <v>1862</v>
      </c>
      <c r="G1634" t="s">
        <v>1814</v>
      </c>
    </row>
    <row r="1635" spans="1:7">
      <c r="A1635" s="28" t="s">
        <v>880</v>
      </c>
      <c r="B1635" s="608" t="s">
        <v>108</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157</v>
      </c>
      <c r="C1637" s="24">
        <v>45924</v>
      </c>
      <c r="D1637" s="12">
        <v>190</v>
      </c>
      <c r="F1637" s="28"/>
      <c r="G1637" t="s">
        <v>1814</v>
      </c>
    </row>
    <row r="1638" spans="1:7" ht="15.75">
      <c r="A1638" s="94" t="s">
        <v>347</v>
      </c>
      <c r="B1638" s="178" t="s">
        <v>1165</v>
      </c>
      <c r="C1638" s="242">
        <v>45924</v>
      </c>
      <c r="D1638" s="12">
        <v>362</v>
      </c>
      <c r="F1638" s="5"/>
      <c r="G1638" t="s">
        <v>1814</v>
      </c>
    </row>
    <row r="1639" spans="1:7">
      <c r="A1639" s="1216" t="s">
        <v>1213</v>
      </c>
      <c r="B1639" s="1170" t="s">
        <v>701</v>
      </c>
      <c r="C1639" s="24">
        <v>45924</v>
      </c>
      <c r="F1639" s="243" t="s">
        <v>1864</v>
      </c>
      <c r="G1639" t="s">
        <v>1814</v>
      </c>
    </row>
    <row r="1640" spans="1:7">
      <c r="A1640" s="634" t="s">
        <v>794</v>
      </c>
      <c r="B1640" s="758" t="s">
        <v>157</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5" t="s">
        <v>1212</v>
      </c>
      <c r="B1646" s="236" t="s">
        <v>998</v>
      </c>
      <c r="C1646" s="24">
        <v>45925</v>
      </c>
      <c r="D1646" s="12">
        <v>646</v>
      </c>
      <c r="F1646" s="28" t="s">
        <v>1495</v>
      </c>
      <c r="G1646" t="s">
        <v>1814</v>
      </c>
    </row>
    <row r="1647" spans="1:7">
      <c r="A1647" s="28" t="s">
        <v>889</v>
      </c>
      <c r="B1647" s="608" t="s">
        <v>108</v>
      </c>
      <c r="C1647" s="24">
        <v>45925</v>
      </c>
      <c r="D1647" s="92">
        <v>1000</v>
      </c>
      <c r="F1647" s="5"/>
      <c r="G1647" t="s">
        <v>1814</v>
      </c>
    </row>
    <row r="1648" spans="1:7">
      <c r="A1648" s="85" t="s">
        <v>883</v>
      </c>
      <c r="B1648" s="1178" t="s">
        <v>108</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8"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157</v>
      </c>
      <c r="C1652" s="24">
        <v>45925</v>
      </c>
      <c r="F1652" s="78" t="s">
        <v>1246</v>
      </c>
      <c r="G1652" t="s">
        <v>1814</v>
      </c>
    </row>
    <row r="1653" spans="1:7" ht="15.75">
      <c r="A1653" s="94" t="s">
        <v>347</v>
      </c>
      <c r="B1653" s="178" t="s">
        <v>1165</v>
      </c>
      <c r="C1653" s="242">
        <v>45925</v>
      </c>
      <c r="D1653" s="12">
        <v>399</v>
      </c>
      <c r="G1653" t="s">
        <v>1814</v>
      </c>
    </row>
    <row r="1654" spans="1:7">
      <c r="A1654" s="1216" t="s">
        <v>1213</v>
      </c>
      <c r="B1654" s="1170"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157</v>
      </c>
      <c r="C1660" s="24">
        <v>45926</v>
      </c>
      <c r="D1660" s="12">
        <v>551</v>
      </c>
      <c r="G1660" t="s">
        <v>1814</v>
      </c>
    </row>
    <row r="1661" spans="1:7" ht="15.75">
      <c r="A1661" s="71" t="s">
        <v>347</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108</v>
      </c>
      <c r="C1667" s="24">
        <v>45929</v>
      </c>
      <c r="D1667" s="12">
        <v>600</v>
      </c>
      <c r="F1667" s="12" t="s">
        <v>1872</v>
      </c>
      <c r="G1667" t="s">
        <v>1814</v>
      </c>
    </row>
    <row r="1668" spans="1:7">
      <c r="A1668" s="243" t="s">
        <v>889</v>
      </c>
      <c r="B1668" s="243" t="s">
        <v>108</v>
      </c>
      <c r="C1668" s="24">
        <v>45929</v>
      </c>
      <c r="D1668" s="92">
        <v>1002</v>
      </c>
      <c r="F1668" s="12" t="s">
        <v>1873</v>
      </c>
      <c r="G1668" t="s">
        <v>1814</v>
      </c>
    </row>
    <row r="1669" spans="1:7">
      <c r="A1669" s="71" t="s">
        <v>796</v>
      </c>
      <c r="B1669" s="78" t="s">
        <v>797</v>
      </c>
      <c r="C1669" s="24">
        <v>45929</v>
      </c>
      <c r="D1669" s="92">
        <v>1375</v>
      </c>
      <c r="G1669" t="s">
        <v>1814</v>
      </c>
    </row>
    <row r="1670" spans="1:7">
      <c r="A1670" s="601" t="s">
        <v>351</v>
      </c>
      <c r="B1670" s="237" t="s">
        <v>157</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157</v>
      </c>
      <c r="C1672" s="24">
        <v>45929</v>
      </c>
      <c r="D1672" s="12">
        <v>479</v>
      </c>
      <c r="G1672" t="s">
        <v>1814</v>
      </c>
    </row>
    <row r="1673" spans="1:7">
      <c r="A1673" s="12" t="s">
        <v>810</v>
      </c>
      <c r="B1673" s="250" t="s">
        <v>157</v>
      </c>
      <c r="C1673" s="24">
        <v>45929</v>
      </c>
      <c r="D1673" s="12">
        <v>454</v>
      </c>
      <c r="G1673" t="s">
        <v>1814</v>
      </c>
    </row>
    <row r="1674" spans="1:7">
      <c r="A1674" s="266" t="s">
        <v>889</v>
      </c>
      <c r="B1674" s="266" t="s">
        <v>108</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3" t="s">
        <v>144</v>
      </c>
      <c r="C1676" s="24">
        <v>45930</v>
      </c>
      <c r="D1676" s="92">
        <v>1253</v>
      </c>
      <c r="G1676" t="s">
        <v>1814</v>
      </c>
    </row>
    <row r="1677" spans="1:7">
      <c r="A1677" s="649" t="s">
        <v>520</v>
      </c>
      <c r="B1677" s="318" t="s">
        <v>108</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157</v>
      </c>
      <c r="C1685" s="24">
        <v>45930</v>
      </c>
      <c r="D1685" s="12">
        <v>251</v>
      </c>
      <c r="G1685" t="s">
        <v>1814</v>
      </c>
    </row>
    <row r="1686" spans="1:7">
      <c r="A1686" s="426" t="s">
        <v>794</v>
      </c>
      <c r="B1686" s="276" t="s">
        <v>157</v>
      </c>
      <c r="C1686" s="24">
        <v>45930</v>
      </c>
      <c r="D1686" s="12">
        <v>665</v>
      </c>
      <c r="G1686" t="s">
        <v>1814</v>
      </c>
    </row>
    <row r="1687" spans="1:7" ht="15.75">
      <c r="A1687" s="40" t="s">
        <v>1189</v>
      </c>
      <c r="B1687" s="178" t="s">
        <v>1165</v>
      </c>
      <c r="C1687" s="242">
        <v>45931</v>
      </c>
      <c r="D1687" s="12">
        <v>201</v>
      </c>
      <c r="G1687" t="s">
        <v>1877</v>
      </c>
    </row>
    <row r="1688" spans="1:7">
      <c r="A1688" s="261" t="s">
        <v>1029</v>
      </c>
      <c r="B1688" s="1203" t="s">
        <v>144</v>
      </c>
      <c r="C1688" s="24">
        <v>45931</v>
      </c>
      <c r="D1688" s="92">
        <v>1351</v>
      </c>
      <c r="G1688" t="s">
        <v>1877</v>
      </c>
    </row>
    <row r="1689" spans="1:7">
      <c r="A1689" s="650" t="s">
        <v>520</v>
      </c>
      <c r="B1689" s="78" t="s">
        <v>108</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108</v>
      </c>
      <c r="C1692" s="24">
        <v>45931</v>
      </c>
      <c r="D1692" s="92">
        <v>1118</v>
      </c>
      <c r="G1692" t="s">
        <v>1877</v>
      </c>
    </row>
    <row r="1693" spans="1:7">
      <c r="A1693" s="71" t="s">
        <v>796</v>
      </c>
      <c r="B1693" s="78" t="s">
        <v>797</v>
      </c>
      <c r="C1693" s="24">
        <v>45931</v>
      </c>
      <c r="D1693" s="12">
        <v>312</v>
      </c>
      <c r="G1693" t="s">
        <v>1877</v>
      </c>
    </row>
    <row r="1694" spans="1:7">
      <c r="A1694" s="427" t="s">
        <v>794</v>
      </c>
      <c r="B1694" s="78" t="s">
        <v>157</v>
      </c>
      <c r="C1694" s="24">
        <v>45931</v>
      </c>
      <c r="D1694" s="12">
        <v>753</v>
      </c>
      <c r="G1694" t="s">
        <v>1877</v>
      </c>
    </row>
    <row r="1695" spans="1:7">
      <c r="A1695" s="237" t="s">
        <v>810</v>
      </c>
      <c r="B1695" s="276" t="s">
        <v>157</v>
      </c>
      <c r="C1695" s="24">
        <v>45931</v>
      </c>
      <c r="D1695" s="12">
        <v>224</v>
      </c>
      <c r="G1695" t="s">
        <v>1877</v>
      </c>
    </row>
    <row r="1696" spans="1:7" ht="15.75">
      <c r="A1696" s="71" t="s">
        <v>432</v>
      </c>
      <c r="B1696" s="178" t="s">
        <v>1165</v>
      </c>
      <c r="C1696" s="242">
        <v>45932</v>
      </c>
      <c r="D1696" s="12">
        <v>450</v>
      </c>
      <c r="G1696" t="s">
        <v>1877</v>
      </c>
    </row>
    <row r="1697" spans="1:7">
      <c r="A1697" s="255" t="s">
        <v>1029</v>
      </c>
      <c r="B1697" s="1203" t="s">
        <v>144</v>
      </c>
      <c r="C1697" s="24">
        <v>45932</v>
      </c>
      <c r="D1697" s="12">
        <v>443</v>
      </c>
      <c r="F1697" s="12" t="s">
        <v>1879</v>
      </c>
      <c r="G1697" t="s">
        <v>1877</v>
      </c>
    </row>
    <row r="1698" spans="1:7">
      <c r="A1698" s="650" t="s">
        <v>917</v>
      </c>
      <c r="B1698" s="78" t="s">
        <v>108</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108</v>
      </c>
      <c r="C1701" s="24">
        <v>45932</v>
      </c>
      <c r="D1701" s="92">
        <v>1472</v>
      </c>
      <c r="F1701" s="12" t="s">
        <v>1835</v>
      </c>
      <c r="G1701" t="s">
        <v>1877</v>
      </c>
    </row>
    <row r="1702" spans="1:7">
      <c r="A1702" s="650" t="s">
        <v>520</v>
      </c>
      <c r="B1702" s="78" t="s">
        <v>108</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157</v>
      </c>
      <c r="C1705" s="24">
        <v>45932</v>
      </c>
      <c r="D1705" s="12">
        <v>305</v>
      </c>
      <c r="G1705" t="s">
        <v>1877</v>
      </c>
    </row>
    <row r="1706" spans="1:7">
      <c r="A1706" s="237" t="s">
        <v>810</v>
      </c>
      <c r="B1706" s="276" t="s">
        <v>157</v>
      </c>
      <c r="C1706" s="24">
        <v>45932</v>
      </c>
      <c r="D1706" s="12">
        <v>789</v>
      </c>
      <c r="F1706" s="12" t="s">
        <v>1883</v>
      </c>
      <c r="G1706" t="s">
        <v>1877</v>
      </c>
    </row>
    <row r="1707" spans="1:7">
      <c r="A1707" s="238" t="s">
        <v>807</v>
      </c>
      <c r="B1707" s="238" t="s">
        <v>157</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3" t="s">
        <v>144</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157</v>
      </c>
      <c r="C1715" s="24">
        <v>45933</v>
      </c>
      <c r="F1715" s="12" t="s">
        <v>1886</v>
      </c>
      <c r="G1715" t="s">
        <v>1877</v>
      </c>
    </row>
    <row r="1716" spans="1:7">
      <c r="A1716" s="238" t="s">
        <v>807</v>
      </c>
      <c r="B1716" s="238" t="s">
        <v>157</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3" t="s">
        <v>144</v>
      </c>
      <c r="C1719" s="24">
        <v>45936</v>
      </c>
      <c r="D1719" s="12">
        <v>192</v>
      </c>
      <c r="F1719" s="12" t="s">
        <v>1887</v>
      </c>
      <c r="G1719" t="s">
        <v>1877</v>
      </c>
    </row>
    <row r="1720" spans="1:7">
      <c r="A1720" s="266" t="s">
        <v>917</v>
      </c>
      <c r="B1720" s="266" t="s">
        <v>108</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108</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157</v>
      </c>
      <c r="C1726" s="24">
        <v>45936</v>
      </c>
      <c r="F1726" s="266" t="s">
        <v>1542</v>
      </c>
      <c r="G1726" t="s">
        <v>1877</v>
      </c>
    </row>
    <row r="1727" spans="1:7">
      <c r="A1727" s="266" t="s">
        <v>810</v>
      </c>
      <c r="B1727" s="266" t="s">
        <v>157</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108</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108</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157</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3" t="s">
        <v>144</v>
      </c>
      <c r="C1740" s="24">
        <v>45938</v>
      </c>
      <c r="F1740" s="248" t="s">
        <v>1891</v>
      </c>
      <c r="G1740" t="s">
        <v>1877</v>
      </c>
    </row>
    <row r="1741" spans="1:7">
      <c r="A1741" s="266" t="s">
        <v>107</v>
      </c>
      <c r="B1741" s="266" t="s">
        <v>108</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108</v>
      </c>
      <c r="C1743" s="24">
        <v>45938</v>
      </c>
      <c r="D1743" s="12">
        <v>308</v>
      </c>
      <c r="F1743" s="12" t="s">
        <v>1893</v>
      </c>
      <c r="G1743" t="s">
        <v>1877</v>
      </c>
    </row>
    <row r="1744" spans="1:7">
      <c r="A1744" s="637" t="s">
        <v>889</v>
      </c>
      <c r="B1744" s="238" t="s">
        <v>108</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157</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19" t="s">
        <v>107</v>
      </c>
      <c r="B1751" s="1219" t="s">
        <v>108</v>
      </c>
      <c r="C1751" s="24">
        <v>45939</v>
      </c>
      <c r="D1751" s="12">
        <v>980</v>
      </c>
      <c r="F1751" s="12" t="s">
        <v>1706</v>
      </c>
      <c r="G1751" t="s">
        <v>1877</v>
      </c>
    </row>
    <row r="1752" spans="1:7">
      <c r="A1752" s="263" t="s">
        <v>1214</v>
      </c>
      <c r="B1752" s="78" t="s">
        <v>1340</v>
      </c>
      <c r="C1752" s="24">
        <v>45939</v>
      </c>
      <c r="F1752" s="610" t="s">
        <v>1365</v>
      </c>
      <c r="G1752" t="s">
        <v>1877</v>
      </c>
    </row>
    <row r="1753" spans="1:7">
      <c r="A1753" s="1179" t="s">
        <v>921</v>
      </c>
      <c r="B1753" s="334" t="s">
        <v>108</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1" t="s">
        <v>797</v>
      </c>
      <c r="C1755" s="24">
        <v>45939</v>
      </c>
      <c r="F1755" s="12" t="s">
        <v>1756</v>
      </c>
      <c r="G1755" t="s">
        <v>1877</v>
      </c>
    </row>
    <row r="1756" spans="1:7" ht="15.75">
      <c r="A1756" s="490" t="s">
        <v>1213</v>
      </c>
      <c r="B1756" s="178" t="s">
        <v>1165</v>
      </c>
      <c r="C1756" s="242">
        <v>45939</v>
      </c>
      <c r="D1756" s="12">
        <v>508</v>
      </c>
      <c r="G1756" t="s">
        <v>1877</v>
      </c>
    </row>
    <row r="1757" spans="1:7">
      <c r="A1757" s="1216" t="s">
        <v>1213</v>
      </c>
      <c r="B1757" s="851" t="s">
        <v>701</v>
      </c>
      <c r="C1757" s="24">
        <v>45939</v>
      </c>
      <c r="F1757" s="490" t="s">
        <v>1246</v>
      </c>
      <c r="G1757" t="s">
        <v>1877</v>
      </c>
    </row>
    <row r="1758" spans="1:7">
      <c r="A1758" s="52" t="s">
        <v>810</v>
      </c>
      <c r="B1758" s="249" t="s">
        <v>157</v>
      </c>
      <c r="C1758" s="24">
        <v>45939</v>
      </c>
      <c r="D1758" s="12">
        <v>369</v>
      </c>
      <c r="G1758" t="s">
        <v>1877</v>
      </c>
    </row>
    <row r="1759" spans="1:7">
      <c r="A1759" s="52" t="s">
        <v>807</v>
      </c>
      <c r="B1759" s="249" t="s">
        <v>157</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330</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107</v>
      </c>
      <c r="B1772" s="236" t="s">
        <v>108</v>
      </c>
      <c r="C1772" s="24">
        <v>45943</v>
      </c>
      <c r="D1772" s="12">
        <v>828</v>
      </c>
      <c r="G1772" t="s">
        <v>1877</v>
      </c>
    </row>
    <row r="1773" spans="1:7">
      <c r="A1773" s="637" t="s">
        <v>927</v>
      </c>
      <c r="B1773" s="237" t="s">
        <v>108</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334</v>
      </c>
      <c r="B1776" s="178" t="s">
        <v>1165</v>
      </c>
      <c r="C1776" s="242">
        <v>45943</v>
      </c>
      <c r="D1776" s="12">
        <v>60</v>
      </c>
      <c r="G1776" t="s">
        <v>1877</v>
      </c>
    </row>
    <row r="1777" spans="1:7" ht="15.75">
      <c r="A1777" s="60" t="s">
        <v>1183</v>
      </c>
      <c r="B1777" s="178" t="s">
        <v>1165</v>
      </c>
      <c r="C1777" s="242">
        <v>45944</v>
      </c>
      <c r="D1777" s="12">
        <v>163</v>
      </c>
      <c r="G1777" t="s">
        <v>1877</v>
      </c>
    </row>
    <row r="1778" spans="1:7">
      <c r="A1778" s="1109"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107</v>
      </c>
      <c r="B1781" s="237" t="s">
        <v>108</v>
      </c>
      <c r="C1781" s="24">
        <v>45944</v>
      </c>
      <c r="D1781" s="12">
        <v>150</v>
      </c>
      <c r="G1781" t="s">
        <v>1877</v>
      </c>
    </row>
    <row r="1782" spans="1:7">
      <c r="A1782" s="652" t="s">
        <v>927</v>
      </c>
      <c r="B1782" s="78" t="s">
        <v>108</v>
      </c>
      <c r="C1782" s="242">
        <v>45944</v>
      </c>
      <c r="D1782" s="12">
        <v>510</v>
      </c>
      <c r="F1782" s="12" t="s">
        <v>1901</v>
      </c>
      <c r="G1782" t="s">
        <v>1877</v>
      </c>
    </row>
    <row r="1783" spans="1:7">
      <c r="A1783" s="652" t="s">
        <v>931</v>
      </c>
      <c r="B1783" s="78" t="s">
        <v>108</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342</v>
      </c>
      <c r="B1786" s="600" t="s">
        <v>157</v>
      </c>
      <c r="C1786" s="24">
        <v>45944</v>
      </c>
      <c r="D1786" s="12">
        <v>927</v>
      </c>
      <c r="F1786" s="12" t="s">
        <v>1884</v>
      </c>
      <c r="G1786" t="s">
        <v>1877</v>
      </c>
    </row>
    <row r="1787" spans="1:7" ht="15.75">
      <c r="A1787" s="181" t="s">
        <v>334</v>
      </c>
      <c r="B1787" s="178" t="s">
        <v>1165</v>
      </c>
      <c r="C1787" s="242">
        <v>45944</v>
      </c>
      <c r="D1787" s="12">
        <v>219</v>
      </c>
      <c r="G1787" t="s">
        <v>1877</v>
      </c>
    </row>
    <row r="1788" spans="1:7" ht="15.75">
      <c r="A1788" s="60" t="s">
        <v>1183</v>
      </c>
      <c r="B1788" s="178" t="s">
        <v>1165</v>
      </c>
      <c r="C1788" s="242">
        <v>45945</v>
      </c>
      <c r="D1788" s="12">
        <v>535</v>
      </c>
      <c r="G1788" t="s">
        <v>1877</v>
      </c>
    </row>
    <row r="1789" spans="1:7">
      <c r="A1789" s="1109"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108</v>
      </c>
      <c r="C1791" s="24">
        <v>45945</v>
      </c>
      <c r="D1791" s="92">
        <v>1312</v>
      </c>
      <c r="F1791" s="12" t="s">
        <v>1906</v>
      </c>
      <c r="G1791" t="s">
        <v>1877</v>
      </c>
    </row>
    <row r="1792" spans="1:7">
      <c r="A1792" s="747" t="s">
        <v>919</v>
      </c>
      <c r="B1792" s="247" t="s">
        <v>108</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342</v>
      </c>
      <c r="B1796" s="266" t="s">
        <v>157</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0" t="s">
        <v>1045</v>
      </c>
      <c r="B1799" s="236" t="s">
        <v>1869</v>
      </c>
      <c r="C1799" s="242">
        <v>45946</v>
      </c>
      <c r="D1799" s="12">
        <v>487</v>
      </c>
      <c r="F1799" s="12" t="s">
        <v>1912</v>
      </c>
      <c r="G1799" t="s">
        <v>1877</v>
      </c>
    </row>
    <row r="1800" spans="1:7">
      <c r="A1800" s="749" t="s">
        <v>931</v>
      </c>
      <c r="B1800" s="78" t="s">
        <v>108</v>
      </c>
      <c r="C1800" s="242">
        <v>45946</v>
      </c>
      <c r="D1800" s="12">
        <v>359</v>
      </c>
      <c r="F1800" s="12" t="s">
        <v>1913</v>
      </c>
      <c r="G1800" t="s">
        <v>1877</v>
      </c>
    </row>
    <row r="1801" spans="1:7">
      <c r="A1801" s="750" t="s">
        <v>919</v>
      </c>
      <c r="B1801" s="78" t="s">
        <v>108</v>
      </c>
      <c r="C1801" s="242">
        <v>45946</v>
      </c>
      <c r="D1801" s="92">
        <v>1220</v>
      </c>
      <c r="F1801" s="12" t="s">
        <v>1914</v>
      </c>
      <c r="G1801" t="s">
        <v>1877</v>
      </c>
    </row>
    <row r="1802" spans="1:7">
      <c r="A1802" s="237" t="s">
        <v>1218</v>
      </c>
      <c r="B1802" s="78" t="s">
        <v>1340</v>
      </c>
      <c r="C1802" s="242">
        <v>45946</v>
      </c>
      <c r="D1802" s="92">
        <v>2803</v>
      </c>
      <c r="G1802" t="s">
        <v>1877</v>
      </c>
    </row>
    <row r="1803" spans="1:7">
      <c r="A1803" s="238" t="s">
        <v>107</v>
      </c>
      <c r="B1803" s="238" t="s">
        <v>108</v>
      </c>
      <c r="C1803" s="242">
        <v>45946</v>
      </c>
      <c r="D1803" s="12">
        <v>688</v>
      </c>
      <c r="F1803" s="12" t="s">
        <v>1725</v>
      </c>
      <c r="G1803" t="s">
        <v>1877</v>
      </c>
    </row>
    <row r="1804" spans="1:7" ht="15.75">
      <c r="A1804" s="71" t="s">
        <v>347</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342</v>
      </c>
      <c r="B1806" s="237" t="s">
        <v>157</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1"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0" t="s">
        <v>1045</v>
      </c>
      <c r="B1815" s="1108"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108</v>
      </c>
      <c r="C1817" s="24">
        <v>45950</v>
      </c>
      <c r="D1817" s="12">
        <v>853</v>
      </c>
      <c r="F1817" s="12" t="s">
        <v>1922</v>
      </c>
      <c r="G1817" t="s">
        <v>1877</v>
      </c>
    </row>
    <row r="1818" spans="1:7">
      <c r="A1818" s="1108"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8" t="s">
        <v>342</v>
      </c>
      <c r="B1821" s="1108" t="s">
        <v>157</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108</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108</v>
      </c>
      <c r="C1826" s="24">
        <v>45951</v>
      </c>
      <c r="D1826" s="92">
        <v>1007</v>
      </c>
      <c r="F1826" s="12" t="s">
        <v>1925</v>
      </c>
      <c r="G1826" t="s">
        <v>1877</v>
      </c>
    </row>
    <row r="1827" spans="1:7">
      <c r="A1827" s="254" t="s">
        <v>947</v>
      </c>
      <c r="B1827" s="52" t="s">
        <v>108</v>
      </c>
      <c r="C1827" s="24">
        <v>45951</v>
      </c>
      <c r="D1827" s="92">
        <v>1182</v>
      </c>
      <c r="F1827" s="12" t="s">
        <v>1926</v>
      </c>
      <c r="G1827" t="s">
        <v>1877</v>
      </c>
    </row>
    <row r="1828" spans="1:7" ht="15.75">
      <c r="A1828" s="12" t="s">
        <v>794</v>
      </c>
      <c r="B1828" s="178" t="s">
        <v>1165</v>
      </c>
      <c r="C1828" s="242">
        <v>45951</v>
      </c>
      <c r="D1828" s="12">
        <v>149</v>
      </c>
      <c r="G1828" t="s">
        <v>1877</v>
      </c>
    </row>
    <row r="1829" spans="1:7">
      <c r="A1829" s="1222" t="s">
        <v>804</v>
      </c>
      <c r="B1829" s="254" t="s">
        <v>1909</v>
      </c>
      <c r="C1829" s="24">
        <v>45951</v>
      </c>
      <c r="D1829" s="92">
        <v>1564</v>
      </c>
      <c r="F1829" s="12" t="s">
        <v>1927</v>
      </c>
      <c r="G1829" t="s">
        <v>1877</v>
      </c>
    </row>
    <row r="1830" spans="1:7">
      <c r="A1830" s="12" t="s">
        <v>342</v>
      </c>
      <c r="B1830" s="78" t="s">
        <v>157</v>
      </c>
      <c r="C1830" s="24">
        <v>45951</v>
      </c>
      <c r="D1830" s="12">
        <v>527</v>
      </c>
      <c r="F1830" s="12" t="s">
        <v>1916</v>
      </c>
      <c r="G1830" t="s">
        <v>1877</v>
      </c>
    </row>
    <row r="1831" spans="1:7">
      <c r="A1831" s="455" t="s">
        <v>823</v>
      </c>
      <c r="B1831" s="1181"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108</v>
      </c>
      <c r="C1835" s="24">
        <v>45952</v>
      </c>
      <c r="D1835" s="92">
        <v>1604</v>
      </c>
      <c r="F1835" s="12" t="s">
        <v>1930</v>
      </c>
      <c r="G1835" t="s">
        <v>1877</v>
      </c>
    </row>
    <row r="1836" spans="1:7">
      <c r="A1836" s="1182" t="s">
        <v>925</v>
      </c>
      <c r="B1836" s="334" t="s">
        <v>108</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7" t="s">
        <v>804</v>
      </c>
      <c r="B1838" s="851" t="s">
        <v>1909</v>
      </c>
      <c r="C1838" s="24">
        <v>45952</v>
      </c>
      <c r="D1838" s="92">
        <v>1012</v>
      </c>
      <c r="F1838" s="12" t="s">
        <v>1933</v>
      </c>
      <c r="G1838" t="s">
        <v>1877</v>
      </c>
    </row>
    <row r="1839" spans="1:7">
      <c r="A1839" s="12" t="s">
        <v>342</v>
      </c>
      <c r="B1839" s="250" t="s">
        <v>157</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3"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108</v>
      </c>
      <c r="C1846" s="24">
        <v>45953</v>
      </c>
      <c r="D1846" s="92">
        <v>1268</v>
      </c>
      <c r="F1846" s="12" t="s">
        <v>1938</v>
      </c>
      <c r="G1846" t="s">
        <v>1877</v>
      </c>
    </row>
    <row r="1847" spans="1:7">
      <c r="A1847" s="1183" t="s">
        <v>925</v>
      </c>
      <c r="B1847" s="334" t="s">
        <v>108</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7" t="s">
        <v>804</v>
      </c>
      <c r="B1850" s="851"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2" t="s">
        <v>802</v>
      </c>
      <c r="B1858" s="1186"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360</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108</v>
      </c>
      <c r="C1866" s="24">
        <v>45957</v>
      </c>
      <c r="D1866" s="12">
        <v>587</v>
      </c>
      <c r="F1866" s="12" t="s">
        <v>1950</v>
      </c>
      <c r="G1866" t="s">
        <v>1877</v>
      </c>
    </row>
    <row r="1867" spans="1:7">
      <c r="A1867" s="767" t="s">
        <v>947</v>
      </c>
      <c r="B1867" s="318" t="s">
        <v>108</v>
      </c>
      <c r="C1867" s="24">
        <v>45957</v>
      </c>
      <c r="D1867" s="92">
        <v>1310</v>
      </c>
      <c r="F1867" s="12" t="s">
        <v>1951</v>
      </c>
      <c r="G1867" t="s">
        <v>1877</v>
      </c>
    </row>
    <row r="1868" spans="1:7">
      <c r="A1868" s="254" t="s">
        <v>845</v>
      </c>
      <c r="B1868" s="254" t="s">
        <v>108</v>
      </c>
      <c r="C1868" s="24">
        <v>45957</v>
      </c>
      <c r="D1868" s="12">
        <v>270</v>
      </c>
      <c r="G1868" t="s">
        <v>1877</v>
      </c>
    </row>
    <row r="1869" spans="1:7" ht="15.75">
      <c r="A1869" s="71" t="s">
        <v>347</v>
      </c>
      <c r="B1869" s="178" t="s">
        <v>1165</v>
      </c>
      <c r="C1869" s="242">
        <v>45957</v>
      </c>
      <c r="F1869" s="252" t="s">
        <v>1781</v>
      </c>
      <c r="G1869" t="s">
        <v>1877</v>
      </c>
    </row>
    <row r="1870" spans="1:7">
      <c r="A1870" s="1207" t="s">
        <v>802</v>
      </c>
      <c r="B1870" s="851" t="s">
        <v>1909</v>
      </c>
      <c r="C1870" s="24">
        <v>45957</v>
      </c>
      <c r="D1870" s="92">
        <v>1323</v>
      </c>
      <c r="F1870" s="12" t="s">
        <v>1952</v>
      </c>
      <c r="G1870" t="s">
        <v>1877</v>
      </c>
    </row>
    <row r="1871" spans="1:7">
      <c r="A1871" s="52" t="s">
        <v>342</v>
      </c>
      <c r="B1871" s="249" t="s">
        <v>157</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360</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108</v>
      </c>
      <c r="C1879" s="24">
        <v>45958</v>
      </c>
      <c r="D1879" s="92">
        <v>1509</v>
      </c>
      <c r="F1879" s="12" t="s">
        <v>1956</v>
      </c>
      <c r="G1879" t="s">
        <v>1877</v>
      </c>
    </row>
    <row r="1880" spans="1:7">
      <c r="A1880" s="767" t="s">
        <v>923</v>
      </c>
      <c r="B1880" s="318" t="s">
        <v>108</v>
      </c>
      <c r="C1880" s="24">
        <v>45958</v>
      </c>
      <c r="D1880" s="92">
        <v>1678</v>
      </c>
      <c r="F1880" s="12" t="s">
        <v>1957</v>
      </c>
      <c r="G1880" t="s">
        <v>1877</v>
      </c>
    </row>
    <row r="1881" spans="1:7">
      <c r="A1881" s="1183" t="s">
        <v>925</v>
      </c>
      <c r="B1881" s="334" t="s">
        <v>108</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7" t="s">
        <v>802</v>
      </c>
      <c r="B1883" s="851" t="s">
        <v>1909</v>
      </c>
      <c r="C1883" s="24">
        <v>45958</v>
      </c>
      <c r="D1883" s="92">
        <v>1516</v>
      </c>
      <c r="F1883" s="12" t="s">
        <v>1959</v>
      </c>
      <c r="G1883" t="s">
        <v>1877</v>
      </c>
    </row>
    <row r="1884" spans="1:7">
      <c r="A1884" s="12" t="s">
        <v>342</v>
      </c>
      <c r="B1884" s="250" t="s">
        <v>157</v>
      </c>
      <c r="C1884" s="24">
        <v>45958</v>
      </c>
      <c r="D1884" s="92">
        <v>1224</v>
      </c>
      <c r="G1884" t="s">
        <v>1877</v>
      </c>
    </row>
    <row r="1885" spans="1:7">
      <c r="A1885" s="52" t="s">
        <v>342</v>
      </c>
      <c r="B1885" s="860" t="s">
        <v>157</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360</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108</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342</v>
      </c>
      <c r="B1895" s="519" t="s">
        <v>157</v>
      </c>
      <c r="C1895" s="24">
        <v>45959</v>
      </c>
      <c r="D1895" s="12">
        <v>343</v>
      </c>
      <c r="G1895" t="s">
        <v>1877</v>
      </c>
    </row>
    <row r="1896" spans="1:7">
      <c r="A1896" s="85" t="s">
        <v>337</v>
      </c>
      <c r="B1896" s="52" t="s">
        <v>157</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360</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108</v>
      </c>
      <c r="C1904" s="24">
        <v>45960</v>
      </c>
      <c r="D1904" s="12">
        <v>777</v>
      </c>
      <c r="F1904" s="12" t="s">
        <v>1974</v>
      </c>
      <c r="G1904" t="s">
        <v>1877</v>
      </c>
    </row>
    <row r="1905" spans="1:7">
      <c r="A1905" s="12" t="s">
        <v>923</v>
      </c>
      <c r="B1905" s="786" t="s">
        <v>108</v>
      </c>
      <c r="C1905" s="24">
        <v>45960</v>
      </c>
      <c r="D1905" s="12">
        <v>394</v>
      </c>
      <c r="E1905" s="253">
        <v>1275</v>
      </c>
      <c r="F1905" s="12" t="s">
        <v>1975</v>
      </c>
      <c r="G1905" t="s">
        <v>1877</v>
      </c>
    </row>
    <row r="1906" spans="1:7">
      <c r="A1906" s="1184" t="s">
        <v>991</v>
      </c>
      <c r="B1906" s="254" t="s">
        <v>108</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108</v>
      </c>
      <c r="C1909" s="24">
        <v>45960</v>
      </c>
      <c r="D1909" s="76"/>
      <c r="E1909" s="12"/>
      <c r="F1909" s="91" t="s">
        <v>1976</v>
      </c>
      <c r="G1909" t="s">
        <v>1877</v>
      </c>
    </row>
    <row r="1910" spans="1:7">
      <c r="A1910" s="12" t="s">
        <v>342</v>
      </c>
      <c r="B1910" s="250" t="s">
        <v>157</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164</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2" t="s">
        <v>1045</v>
      </c>
      <c r="B1916" s="299" t="s">
        <v>1961</v>
      </c>
      <c r="C1916" s="24">
        <v>45961</v>
      </c>
      <c r="D1916" s="12">
        <v>955</v>
      </c>
      <c r="F1916" s="12" t="s">
        <v>1980</v>
      </c>
      <c r="G1916" t="s">
        <v>1877</v>
      </c>
    </row>
    <row r="1917" spans="1:7">
      <c r="A1917" s="28" t="s">
        <v>1219</v>
      </c>
      <c r="B1917" s="94" t="s">
        <v>360</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108</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7" t="s">
        <v>802</v>
      </c>
      <c r="B1923" s="851" t="s">
        <v>1909</v>
      </c>
      <c r="C1923" s="24">
        <v>45961</v>
      </c>
      <c r="D1923" s="12">
        <v>408</v>
      </c>
      <c r="F1923" s="12" t="s">
        <v>1982</v>
      </c>
      <c r="G1923" t="s">
        <v>1877</v>
      </c>
    </row>
    <row r="1924" spans="1:7">
      <c r="A1924" s="12" t="s">
        <v>164</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108</v>
      </c>
      <c r="C1928" s="24">
        <v>45964</v>
      </c>
      <c r="D1928" s="92">
        <v>1420</v>
      </c>
      <c r="F1928" s="12" t="s">
        <v>1706</v>
      </c>
      <c r="G1928" t="s">
        <v>1984</v>
      </c>
    </row>
    <row r="1929" spans="1:7">
      <c r="A1929" s="274" t="s">
        <v>947</v>
      </c>
      <c r="B1929" s="277" t="s">
        <v>108</v>
      </c>
      <c r="C1929" s="24">
        <v>45964</v>
      </c>
      <c r="D1929" s="12">
        <v>701</v>
      </c>
      <c r="F1929" s="12" t="s">
        <v>1823</v>
      </c>
      <c r="G1929" t="s">
        <v>1984</v>
      </c>
    </row>
    <row r="1930" spans="1:7">
      <c r="A1930" s="78" t="s">
        <v>936</v>
      </c>
      <c r="B1930" s="236" t="s">
        <v>108</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337</v>
      </c>
      <c r="B1934" s="237" t="s">
        <v>157</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354</v>
      </c>
      <c r="B1938" s="178" t="s">
        <v>1165</v>
      </c>
      <c r="C1938" s="242">
        <v>45964</v>
      </c>
      <c r="D1938" s="12">
        <v>207</v>
      </c>
      <c r="G1938" t="s">
        <v>1984</v>
      </c>
    </row>
    <row r="1939" spans="1:7">
      <c r="A1939" s="237" t="s">
        <v>1052</v>
      </c>
      <c r="B1939" s="237" t="s">
        <v>108</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1" t="s">
        <v>1045</v>
      </c>
      <c r="B1941" s="757" t="s">
        <v>1961</v>
      </c>
      <c r="C1941" s="24">
        <v>45965</v>
      </c>
      <c r="F1941" s="745" t="s">
        <v>1646</v>
      </c>
      <c r="G1941" t="s">
        <v>1984</v>
      </c>
    </row>
    <row r="1942" spans="1:7">
      <c r="A1942" s="28" t="s">
        <v>1049</v>
      </c>
      <c r="B1942" s="28" t="s">
        <v>360</v>
      </c>
      <c r="C1942" s="242">
        <v>45965</v>
      </c>
      <c r="D1942" s="12">
        <v>363</v>
      </c>
      <c r="G1942" t="s">
        <v>1984</v>
      </c>
    </row>
    <row r="1943" spans="1:7">
      <c r="A1943" s="455" t="s">
        <v>1049</v>
      </c>
      <c r="B1943" s="455" t="s">
        <v>144</v>
      </c>
      <c r="C1943" s="24">
        <v>45965</v>
      </c>
      <c r="D1943" s="12">
        <v>778</v>
      </c>
      <c r="G1943" t="s">
        <v>1984</v>
      </c>
    </row>
    <row r="1944" spans="1:7">
      <c r="A1944" s="85" t="s">
        <v>1049</v>
      </c>
      <c r="B1944" s="12" t="s">
        <v>1869</v>
      </c>
      <c r="C1944" s="24">
        <v>45965</v>
      </c>
      <c r="D1944" s="12">
        <v>550</v>
      </c>
      <c r="G1944" t="s">
        <v>1984</v>
      </c>
    </row>
    <row r="1945" spans="1:7">
      <c r="A1945" s="767" t="s">
        <v>936</v>
      </c>
      <c r="B1945" s="12" t="s">
        <v>108</v>
      </c>
      <c r="C1945" s="24">
        <v>45965</v>
      </c>
      <c r="D1945" s="92">
        <v>1120</v>
      </c>
      <c r="F1945" s="12" t="s">
        <v>1991</v>
      </c>
      <c r="G1945" t="s">
        <v>1984</v>
      </c>
    </row>
    <row r="1946" spans="1:7">
      <c r="A1946" s="78" t="s">
        <v>991</v>
      </c>
      <c r="B1946" s="78" t="s">
        <v>108</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7" t="s">
        <v>823</v>
      </c>
      <c r="B1949" s="106" t="s">
        <v>1909</v>
      </c>
      <c r="C1949" s="24">
        <v>45965</v>
      </c>
      <c r="D1949" s="12">
        <v>633</v>
      </c>
      <c r="G1949" t="s">
        <v>1984</v>
      </c>
    </row>
    <row r="1950" spans="1:7">
      <c r="A1950" s="12" t="s">
        <v>164</v>
      </c>
      <c r="B1950" s="78" t="s">
        <v>1983</v>
      </c>
      <c r="C1950" s="24">
        <v>45965</v>
      </c>
      <c r="D1950" s="12">
        <v>379</v>
      </c>
      <c r="F1950" s="12" t="s">
        <v>1992</v>
      </c>
      <c r="G1950" t="s">
        <v>1984</v>
      </c>
    </row>
    <row r="1951" spans="1:7">
      <c r="A1951" s="85" t="s">
        <v>337</v>
      </c>
      <c r="B1951" s="12" t="s">
        <v>157</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108</v>
      </c>
      <c r="C1954" s="24">
        <v>45965</v>
      </c>
      <c r="D1954" s="253">
        <v>3910</v>
      </c>
      <c r="E1954" s="12"/>
      <c r="F1954" s="91" t="s">
        <v>1994</v>
      </c>
      <c r="G1954" t="s">
        <v>1984</v>
      </c>
    </row>
    <row r="1955" spans="1:7">
      <c r="A1955" s="299" t="s">
        <v>392</v>
      </c>
      <c r="B1955" s="52" t="s">
        <v>108</v>
      </c>
      <c r="C1955" s="24">
        <v>45965</v>
      </c>
      <c r="D1955" s="76">
        <v>372</v>
      </c>
      <c r="E1955" s="12"/>
      <c r="F1955" s="91"/>
      <c r="G1955" t="s">
        <v>1984</v>
      </c>
    </row>
    <row r="1956" spans="1:7">
      <c r="A1956" s="78" t="s">
        <v>1049</v>
      </c>
      <c r="B1956" s="78" t="s">
        <v>360</v>
      </c>
      <c r="C1956" s="242">
        <v>45966</v>
      </c>
      <c r="D1956" s="92">
        <v>1113</v>
      </c>
      <c r="E1956" s="185"/>
      <c r="F1956" s="106"/>
      <c r="G1956" t="s">
        <v>1984</v>
      </c>
    </row>
    <row r="1957" spans="1:7">
      <c r="A1957" s="247" t="s">
        <v>1049</v>
      </c>
      <c r="B1957" s="247" t="s">
        <v>144</v>
      </c>
      <c r="C1957" s="24">
        <v>45966</v>
      </c>
      <c r="D1957" s="12">
        <v>885</v>
      </c>
      <c r="G1957" t="s">
        <v>1984</v>
      </c>
    </row>
    <row r="1958" spans="1:7">
      <c r="A1958" s="78" t="s">
        <v>936</v>
      </c>
      <c r="B1958" s="78" t="s">
        <v>108</v>
      </c>
      <c r="C1958" s="24">
        <v>45966</v>
      </c>
      <c r="D1958" s="92">
        <v>1488</v>
      </c>
      <c r="F1958" s="12" t="s">
        <v>1995</v>
      </c>
      <c r="G1958" t="s">
        <v>1984</v>
      </c>
    </row>
    <row r="1959" spans="1:7">
      <c r="A1959" s="236" t="s">
        <v>991</v>
      </c>
      <c r="B1959" s="236" t="s">
        <v>108</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108</v>
      </c>
      <c r="C1962" s="24">
        <v>45966</v>
      </c>
      <c r="D1962" s="92">
        <v>1031</v>
      </c>
      <c r="G1962" t="s">
        <v>1984</v>
      </c>
    </row>
    <row r="1963" spans="1:7">
      <c r="A1963" s="78" t="s">
        <v>823</v>
      </c>
      <c r="B1963" s="78" t="s">
        <v>1909</v>
      </c>
      <c r="C1963" s="24">
        <v>45966</v>
      </c>
      <c r="D1963" s="12">
        <v>625</v>
      </c>
      <c r="G1963" t="s">
        <v>1984</v>
      </c>
    </row>
    <row r="1964" spans="1:7">
      <c r="A1964" s="236" t="s">
        <v>164</v>
      </c>
      <c r="B1964" s="236" t="s">
        <v>1983</v>
      </c>
      <c r="C1964" s="24">
        <v>45966</v>
      </c>
      <c r="D1964" s="12">
        <v>208</v>
      </c>
      <c r="F1964" s="12" t="s">
        <v>1347</v>
      </c>
      <c r="G1964" t="s">
        <v>1984</v>
      </c>
    </row>
    <row r="1965" spans="1:7">
      <c r="A1965" s="237" t="s">
        <v>337</v>
      </c>
      <c r="B1965" s="237" t="s">
        <v>157</v>
      </c>
      <c r="C1965" s="24">
        <v>45966</v>
      </c>
      <c r="D1965" s="92">
        <v>1034</v>
      </c>
      <c r="G1965" t="s">
        <v>1984</v>
      </c>
    </row>
    <row r="1966" spans="1:7" ht="15.75">
      <c r="A1966" s="78" t="s">
        <v>334</v>
      </c>
      <c r="B1966" s="178" t="s">
        <v>1165</v>
      </c>
      <c r="C1966" s="242">
        <v>45966</v>
      </c>
      <c r="D1966" s="12">
        <v>150</v>
      </c>
      <c r="G1966" t="s">
        <v>1984</v>
      </c>
    </row>
    <row r="1967" spans="1:7">
      <c r="A1967" s="320" t="s">
        <v>796</v>
      </c>
      <c r="B1967" s="1052" t="s">
        <v>1987</v>
      </c>
      <c r="C1967" s="24">
        <v>45966</v>
      </c>
      <c r="E1967" s="798">
        <v>13112</v>
      </c>
      <c r="F1967" s="52" t="s">
        <v>1996</v>
      </c>
      <c r="G1967" t="s">
        <v>1984</v>
      </c>
    </row>
    <row r="1968" spans="1:7">
      <c r="A1968" s="181" t="s">
        <v>1052</v>
      </c>
      <c r="B1968" s="236" t="s">
        <v>108</v>
      </c>
      <c r="C1968" s="24">
        <v>45966</v>
      </c>
      <c r="D1968" s="76">
        <v>346</v>
      </c>
      <c r="E1968" s="92"/>
      <c r="F1968" s="12" t="s">
        <v>1701</v>
      </c>
      <c r="G1968" t="s">
        <v>1984</v>
      </c>
    </row>
    <row r="1969" spans="1:7">
      <c r="A1969" s="299" t="s">
        <v>392</v>
      </c>
      <c r="B1969" s="236" t="s">
        <v>108</v>
      </c>
      <c r="C1969" s="24">
        <v>45966</v>
      </c>
      <c r="D1969" s="76">
        <v>656</v>
      </c>
      <c r="E1969" s="92"/>
      <c r="G1969" t="s">
        <v>1984</v>
      </c>
    </row>
    <row r="1970" spans="1:7">
      <c r="A1970" s="299" t="s">
        <v>1055</v>
      </c>
      <c r="B1970" s="236" t="s">
        <v>108</v>
      </c>
      <c r="C1970" s="24">
        <v>45966</v>
      </c>
      <c r="D1970" s="253">
        <v>2985</v>
      </c>
      <c r="E1970" s="92"/>
      <c r="F1970" s="12" t="s">
        <v>1997</v>
      </c>
      <c r="G1970" t="s">
        <v>1984</v>
      </c>
    </row>
    <row r="1971" spans="1:7">
      <c r="A1971" s="85" t="s">
        <v>1049</v>
      </c>
      <c r="B1971" s="85" t="s">
        <v>360</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108</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7" t="s">
        <v>823</v>
      </c>
      <c r="B1976" s="106" t="s">
        <v>1987</v>
      </c>
      <c r="C1976" s="24">
        <v>45967</v>
      </c>
      <c r="E1976" s="253">
        <v>5200</v>
      </c>
      <c r="F1976" s="12" t="s">
        <v>2001</v>
      </c>
      <c r="G1976" t="s">
        <v>1984</v>
      </c>
    </row>
    <row r="1977" spans="1:7">
      <c r="A1977" s="12" t="s">
        <v>164</v>
      </c>
      <c r="B1977" s="78" t="s">
        <v>1983</v>
      </c>
      <c r="C1977" s="24">
        <v>45967</v>
      </c>
      <c r="F1977" s="312" t="s">
        <v>2002</v>
      </c>
      <c r="G1977" t="s">
        <v>1984</v>
      </c>
    </row>
    <row r="1978" spans="1:7">
      <c r="A1978" s="85" t="s">
        <v>337</v>
      </c>
      <c r="B1978" s="12" t="s">
        <v>157</v>
      </c>
      <c r="C1978" s="24">
        <v>45967</v>
      </c>
      <c r="D1978" s="12">
        <v>209</v>
      </c>
      <c r="G1978" t="s">
        <v>1984</v>
      </c>
    </row>
    <row r="1979" spans="1:7">
      <c r="A1979" s="490" t="s">
        <v>821</v>
      </c>
      <c r="B1979" s="610" t="s">
        <v>1909</v>
      </c>
      <c r="C1979" s="24">
        <v>45967</v>
      </c>
      <c r="D1979" s="92">
        <v>1063</v>
      </c>
      <c r="G1979" t="s">
        <v>1984</v>
      </c>
    </row>
    <row r="1980" spans="1:7">
      <c r="A1980" s="596" t="s">
        <v>1055</v>
      </c>
      <c r="B1980" s="12" t="s">
        <v>108</v>
      </c>
      <c r="C1980" s="24">
        <v>45967</v>
      </c>
      <c r="D1980" s="92">
        <v>2373</v>
      </c>
      <c r="F1980" s="12" t="s">
        <v>2003</v>
      </c>
      <c r="G1980" t="s">
        <v>1984</v>
      </c>
    </row>
    <row r="1981" spans="1:7">
      <c r="A1981" s="238" t="s">
        <v>1049</v>
      </c>
      <c r="B1981" s="238" t="s">
        <v>360</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59" t="s">
        <v>1909</v>
      </c>
      <c r="C1986" s="24">
        <v>45968</v>
      </c>
      <c r="D1986" s="12">
        <v>913</v>
      </c>
      <c r="F1986" s="12" t="s">
        <v>1426</v>
      </c>
      <c r="G1986" t="s">
        <v>1984</v>
      </c>
    </row>
    <row r="1987" spans="1:7">
      <c r="A1987" s="12" t="s">
        <v>164</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157</v>
      </c>
      <c r="C1989" s="24">
        <v>45968</v>
      </c>
      <c r="D1989" s="12">
        <v>569</v>
      </c>
      <c r="G1989" t="s">
        <v>1984</v>
      </c>
    </row>
    <row r="1990" spans="1:7">
      <c r="A1990" s="181" t="s">
        <v>1073</v>
      </c>
      <c r="B1990" s="12" t="s">
        <v>108</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108</v>
      </c>
      <c r="C1994" s="24">
        <v>45971</v>
      </c>
      <c r="D1994" s="92">
        <v>1351</v>
      </c>
      <c r="G1994" t="s">
        <v>1984</v>
      </c>
    </row>
    <row r="1995" spans="1:7">
      <c r="A1995" s="247" t="s">
        <v>947</v>
      </c>
      <c r="B1995" s="247" t="s">
        <v>108</v>
      </c>
      <c r="C1995" s="24">
        <v>45971</v>
      </c>
      <c r="D1995" s="12">
        <v>138</v>
      </c>
      <c r="F1995" s="12" t="s">
        <v>2004</v>
      </c>
      <c r="G1995" t="s">
        <v>1984</v>
      </c>
    </row>
    <row r="1996" spans="1:7">
      <c r="A1996" s="247" t="s">
        <v>991</v>
      </c>
      <c r="B1996" s="247" t="s">
        <v>108</v>
      </c>
      <c r="C1996" s="24">
        <v>45971</v>
      </c>
      <c r="D1996" s="12">
        <v>632</v>
      </c>
      <c r="F1996" s="12" t="s">
        <v>1730</v>
      </c>
      <c r="G1996" t="s">
        <v>1984</v>
      </c>
    </row>
    <row r="1997" spans="1:7">
      <c r="A1997" s="247" t="s">
        <v>1221</v>
      </c>
      <c r="B1997" s="247" t="s">
        <v>998</v>
      </c>
      <c r="C1997" s="24">
        <v>45971</v>
      </c>
      <c r="D1997" s="12">
        <v>748</v>
      </c>
      <c r="G1997" t="s">
        <v>1984</v>
      </c>
    </row>
    <row r="1998" spans="1:7">
      <c r="A1998" s="78" t="s">
        <v>337</v>
      </c>
      <c r="B1998" s="650" t="s">
        <v>157</v>
      </c>
      <c r="C1998" s="24">
        <v>45971</v>
      </c>
      <c r="D1998" s="12">
        <v>96</v>
      </c>
      <c r="G1998" t="s">
        <v>1984</v>
      </c>
    </row>
    <row r="1999" spans="1:7">
      <c r="A1999" s="236" t="s">
        <v>164</v>
      </c>
      <c r="B1999" s="277" t="s">
        <v>1983</v>
      </c>
      <c r="C1999" s="24">
        <v>45971</v>
      </c>
      <c r="D1999" s="12">
        <v>562</v>
      </c>
      <c r="G1999" t="s">
        <v>1984</v>
      </c>
    </row>
    <row r="2000" spans="1:7">
      <c r="A2000" s="78" t="s">
        <v>339</v>
      </c>
      <c r="B2000" s="650" t="s">
        <v>157</v>
      </c>
      <c r="C2000" s="24">
        <v>45971</v>
      </c>
      <c r="D2000" s="12">
        <v>435</v>
      </c>
      <c r="F2000" s="12" t="s">
        <v>2005</v>
      </c>
      <c r="G2000" t="s">
        <v>1984</v>
      </c>
    </row>
    <row r="2001" spans="1:7">
      <c r="A2001" s="1185" t="s">
        <v>1073</v>
      </c>
      <c r="B2001" s="266" t="s">
        <v>108</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108</v>
      </c>
      <c r="C2008" s="24">
        <v>45973</v>
      </c>
      <c r="D2008" s="92">
        <v>1580</v>
      </c>
      <c r="F2008" s="12" t="s">
        <v>1835</v>
      </c>
      <c r="G2008" t="s">
        <v>1984</v>
      </c>
    </row>
    <row r="2009" spans="1:7">
      <c r="A2009" s="12" t="s">
        <v>971</v>
      </c>
      <c r="B2009" s="52" t="s">
        <v>108</v>
      </c>
      <c r="C2009" s="24">
        <v>45973</v>
      </c>
      <c r="D2009" s="12">
        <v>890</v>
      </c>
      <c r="G2009" t="s">
        <v>1984</v>
      </c>
    </row>
    <row r="2010" spans="1:7">
      <c r="A2010" s="12" t="s">
        <v>971</v>
      </c>
      <c r="B2010" s="78" t="s">
        <v>1340</v>
      </c>
      <c r="C2010" s="24">
        <v>45973</v>
      </c>
      <c r="F2010" s="12" t="s">
        <v>1701</v>
      </c>
      <c r="G2010" t="s">
        <v>1984</v>
      </c>
    </row>
    <row r="2011" spans="1:7">
      <c r="A2011" s="52" t="s">
        <v>547</v>
      </c>
      <c r="B2011" s="52" t="s">
        <v>108</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153</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377</v>
      </c>
      <c r="B2015" s="12" t="s">
        <v>1909</v>
      </c>
      <c r="C2015" s="24">
        <v>45973</v>
      </c>
      <c r="D2015" s="92">
        <v>1486</v>
      </c>
      <c r="F2015" s="12" t="s">
        <v>2013</v>
      </c>
      <c r="G2015" t="s">
        <v>1984</v>
      </c>
    </row>
    <row r="2016" spans="1:7">
      <c r="A2016" s="490" t="s">
        <v>164</v>
      </c>
      <c r="B2016" s="12" t="s">
        <v>1977</v>
      </c>
      <c r="C2016" s="24">
        <v>45973</v>
      </c>
      <c r="D2016" s="12">
        <v>474</v>
      </c>
      <c r="G2016" t="s">
        <v>1984</v>
      </c>
    </row>
    <row r="2017" spans="1:7">
      <c r="A2017" s="12" t="s">
        <v>1073</v>
      </c>
      <c r="B2017" s="12" t="s">
        <v>108</v>
      </c>
      <c r="C2017" s="24">
        <v>45973</v>
      </c>
      <c r="D2017" s="12">
        <v>242</v>
      </c>
      <c r="G2017" t="s">
        <v>1984</v>
      </c>
    </row>
    <row r="2018" spans="1:7">
      <c r="A2018" s="12" t="s">
        <v>1069</v>
      </c>
      <c r="B2018" s="12" t="s">
        <v>108</v>
      </c>
      <c r="C2018" s="24">
        <v>45973</v>
      </c>
      <c r="D2018" s="92">
        <v>1264</v>
      </c>
      <c r="G2018" t="s">
        <v>1984</v>
      </c>
    </row>
    <row r="2019" spans="1:7">
      <c r="A2019" s="52" t="s">
        <v>1077</v>
      </c>
      <c r="B2019" s="52" t="s">
        <v>108</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108</v>
      </c>
      <c r="C2021" s="24">
        <v>45974</v>
      </c>
      <c r="D2021" s="92">
        <v>1258</v>
      </c>
      <c r="F2021" s="12" t="s">
        <v>2014</v>
      </c>
      <c r="G2021" t="s">
        <v>1984</v>
      </c>
    </row>
    <row r="2022" spans="1:7">
      <c r="A2022" s="52" t="s">
        <v>547</v>
      </c>
      <c r="B2022" s="52" t="s">
        <v>108</v>
      </c>
      <c r="C2022" s="24">
        <v>45974</v>
      </c>
      <c r="D2022" s="12">
        <v>814</v>
      </c>
      <c r="F2022" s="12" t="s">
        <v>2015</v>
      </c>
      <c r="G2022" t="s">
        <v>1984</v>
      </c>
    </row>
    <row r="2023" spans="1:7" ht="15.75">
      <c r="A2023" s="490" t="s">
        <v>153</v>
      </c>
      <c r="B2023" s="178" t="s">
        <v>1165</v>
      </c>
      <c r="C2023" s="242">
        <v>45974</v>
      </c>
      <c r="D2023" s="12">
        <v>325</v>
      </c>
      <c r="G2023" t="s">
        <v>1984</v>
      </c>
    </row>
    <row r="2024" spans="1:7" ht="15.75">
      <c r="A2024" s="12" t="s">
        <v>153</v>
      </c>
      <c r="B2024" s="178" t="s">
        <v>1165</v>
      </c>
      <c r="C2024" s="242">
        <v>45974</v>
      </c>
      <c r="F2024" s="12" t="s">
        <v>1426</v>
      </c>
      <c r="G2024" t="s">
        <v>1984</v>
      </c>
    </row>
    <row r="2025" spans="1:7">
      <c r="A2025" s="455" t="s">
        <v>164</v>
      </c>
      <c r="B2025" s="106" t="s">
        <v>1977</v>
      </c>
      <c r="C2025" s="24">
        <v>45974</v>
      </c>
      <c r="D2025" s="12">
        <v>606</v>
      </c>
      <c r="G2025" t="s">
        <v>1984</v>
      </c>
    </row>
    <row r="2026" spans="1:7">
      <c r="A2026" s="833" t="s">
        <v>339</v>
      </c>
      <c r="B2026" s="834" t="s">
        <v>157</v>
      </c>
      <c r="C2026" s="24">
        <v>45974</v>
      </c>
      <c r="D2026" s="92">
        <v>1123</v>
      </c>
      <c r="F2026" s="12" t="s">
        <v>2016</v>
      </c>
      <c r="G2026" t="s">
        <v>1984</v>
      </c>
    </row>
    <row r="2027" spans="1:7">
      <c r="A2027" s="596" t="s">
        <v>377</v>
      </c>
      <c r="B2027" s="52" t="s">
        <v>1909</v>
      </c>
      <c r="C2027" s="24">
        <v>45974</v>
      </c>
      <c r="D2027" s="92">
        <v>2912</v>
      </c>
      <c r="G2027" t="s">
        <v>1984</v>
      </c>
    </row>
    <row r="2028" spans="1:7" ht="15.75">
      <c r="A2028" s="490" t="s">
        <v>330</v>
      </c>
      <c r="B2028" s="178" t="s">
        <v>1165</v>
      </c>
      <c r="C2028" s="242">
        <v>45974</v>
      </c>
      <c r="F2028" s="12" t="s">
        <v>1426</v>
      </c>
      <c r="G2028" t="s">
        <v>1984</v>
      </c>
    </row>
    <row r="2029" spans="1:7">
      <c r="A2029" s="106" t="s">
        <v>1077</v>
      </c>
      <c r="B2029" s="106" t="s">
        <v>108</v>
      </c>
      <c r="C2029" s="24">
        <v>45974</v>
      </c>
      <c r="D2029" s="92">
        <v>3382</v>
      </c>
      <c r="G2029" t="s">
        <v>1984</v>
      </c>
    </row>
    <row r="2030" spans="1:7">
      <c r="A2030" s="12" t="s">
        <v>1069</v>
      </c>
      <c r="B2030" s="12" t="s">
        <v>108</v>
      </c>
      <c r="C2030" s="24">
        <v>45974</v>
      </c>
      <c r="D2030" s="92">
        <v>1281</v>
      </c>
      <c r="G2030" t="s">
        <v>1984</v>
      </c>
    </row>
    <row r="2031" spans="1:7">
      <c r="A2031" s="181" t="s">
        <v>1109</v>
      </c>
      <c r="B2031" s="12" t="s">
        <v>108</v>
      </c>
      <c r="C2031" s="24">
        <v>45974</v>
      </c>
      <c r="D2031" s="12">
        <v>424</v>
      </c>
      <c r="G2031" t="s">
        <v>1984</v>
      </c>
    </row>
    <row r="2032" spans="1:7">
      <c r="A2032" s="299" t="s">
        <v>400</v>
      </c>
      <c r="B2032" s="52" t="s">
        <v>108</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153</v>
      </c>
      <c r="B2036" s="178" t="s">
        <v>1165</v>
      </c>
      <c r="C2036" s="242">
        <v>45975</v>
      </c>
      <c r="D2036" s="12">
        <v>430</v>
      </c>
      <c r="G2036" t="s">
        <v>1984</v>
      </c>
    </row>
    <row r="2037" spans="1:7">
      <c r="A2037" s="237" t="s">
        <v>164</v>
      </c>
      <c r="B2037" s="106" t="s">
        <v>1977</v>
      </c>
      <c r="C2037" s="24">
        <v>45975</v>
      </c>
      <c r="D2037" s="12">
        <v>322</v>
      </c>
      <c r="G2037" t="s">
        <v>1984</v>
      </c>
    </row>
    <row r="2038" spans="1:7">
      <c r="A2038" s="266" t="s">
        <v>377</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108</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108</v>
      </c>
      <c r="C2044" s="24">
        <v>45978</v>
      </c>
      <c r="D2044" s="12">
        <v>762</v>
      </c>
      <c r="G2044" t="s">
        <v>1984</v>
      </c>
    </row>
    <row r="2045" spans="1:7">
      <c r="A2045" s="238" t="s">
        <v>547</v>
      </c>
      <c r="B2045" s="276" t="s">
        <v>108</v>
      </c>
      <c r="C2045" s="24">
        <v>45978</v>
      </c>
      <c r="D2045" s="12">
        <v>956</v>
      </c>
      <c r="F2045" s="12" t="s">
        <v>2020</v>
      </c>
      <c r="G2045" t="s">
        <v>1984</v>
      </c>
    </row>
    <row r="2046" spans="1:7" ht="15.75">
      <c r="A2046" s="78" t="s">
        <v>347</v>
      </c>
      <c r="B2046" s="178" t="s">
        <v>1165</v>
      </c>
      <c r="C2046" s="242">
        <v>45978</v>
      </c>
      <c r="D2046" s="12">
        <v>176</v>
      </c>
      <c r="G2046" t="s">
        <v>1984</v>
      </c>
    </row>
    <row r="2047" spans="1:7" ht="15.75">
      <c r="A2047" s="78" t="s">
        <v>347</v>
      </c>
      <c r="B2047" s="178" t="s">
        <v>1165</v>
      </c>
      <c r="C2047" s="242">
        <v>45978</v>
      </c>
      <c r="D2047" s="12">
        <v>270</v>
      </c>
      <c r="G2047" t="s">
        <v>1984</v>
      </c>
    </row>
    <row r="2048" spans="1:7">
      <c r="A2048" s="236" t="s">
        <v>164</v>
      </c>
      <c r="B2048" s="106" t="s">
        <v>1977</v>
      </c>
      <c r="C2048" s="24">
        <v>45978</v>
      </c>
      <c r="D2048" s="12">
        <v>420</v>
      </c>
      <c r="G2048" t="s">
        <v>1984</v>
      </c>
    </row>
    <row r="2049" spans="1:7">
      <c r="A2049" s="236" t="s">
        <v>377</v>
      </c>
      <c r="B2049" s="236" t="s">
        <v>1909</v>
      </c>
      <c r="C2049" s="24">
        <v>45978</v>
      </c>
      <c r="D2049" s="92">
        <v>1449</v>
      </c>
      <c r="G2049" t="s">
        <v>1984</v>
      </c>
    </row>
    <row r="2050" spans="1:7">
      <c r="A2050" s="78" t="s">
        <v>1075</v>
      </c>
      <c r="B2050" s="78" t="s">
        <v>108</v>
      </c>
      <c r="C2050" s="24">
        <v>45978</v>
      </c>
      <c r="D2050" s="92">
        <v>5466</v>
      </c>
      <c r="G2050" t="s">
        <v>1984</v>
      </c>
    </row>
    <row r="2051" spans="1:7">
      <c r="A2051" s="236" t="s">
        <v>1069</v>
      </c>
      <c r="B2051" s="236" t="s">
        <v>108</v>
      </c>
      <c r="C2051" s="24">
        <v>45978</v>
      </c>
      <c r="D2051" s="92">
        <v>1662</v>
      </c>
      <c r="G2051" t="s">
        <v>1984</v>
      </c>
    </row>
    <row r="2052" spans="1:7">
      <c r="A2052" s="236" t="s">
        <v>400</v>
      </c>
      <c r="B2052" s="236" t="s">
        <v>108</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108</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108</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347</v>
      </c>
      <c r="B2061" s="178" t="s">
        <v>1165</v>
      </c>
      <c r="C2061" s="242">
        <v>45979</v>
      </c>
      <c r="D2061" s="12">
        <v>120</v>
      </c>
      <c r="F2061" s="28"/>
      <c r="G2061" t="s">
        <v>1984</v>
      </c>
    </row>
    <row r="2062" spans="1:7">
      <c r="A2062" s="1207" t="s">
        <v>339</v>
      </c>
      <c r="B2062" s="793" t="s">
        <v>157</v>
      </c>
      <c r="C2062" s="24">
        <v>45979</v>
      </c>
      <c r="D2062" s="92">
        <v>1917</v>
      </c>
      <c r="F2062" s="28"/>
      <c r="G2062" t="s">
        <v>1984</v>
      </c>
    </row>
    <row r="2063" spans="1:7">
      <c r="A2063" s="12" t="s">
        <v>379</v>
      </c>
      <c r="B2063" s="12" t="s">
        <v>1909</v>
      </c>
      <c r="C2063" s="24">
        <v>45979</v>
      </c>
      <c r="D2063" s="92">
        <v>2351</v>
      </c>
      <c r="F2063" s="28"/>
      <c r="G2063" t="s">
        <v>1984</v>
      </c>
    </row>
    <row r="2064" spans="1:7">
      <c r="A2064" s="28" t="s">
        <v>1069</v>
      </c>
      <c r="B2064" s="12" t="s">
        <v>108</v>
      </c>
      <c r="C2064" s="24">
        <v>45979</v>
      </c>
      <c r="D2064" s="92">
        <v>2684</v>
      </c>
      <c r="F2064" s="28"/>
      <c r="G2064" t="s">
        <v>1984</v>
      </c>
    </row>
    <row r="2065" spans="1:7">
      <c r="A2065" s="85" t="s">
        <v>400</v>
      </c>
      <c r="B2065" s="52" t="s">
        <v>108</v>
      </c>
      <c r="C2065" s="24">
        <v>45979</v>
      </c>
      <c r="D2065" s="92">
        <v>3613</v>
      </c>
      <c r="F2065" s="28"/>
      <c r="G2065" t="s">
        <v>1984</v>
      </c>
    </row>
    <row r="2066" spans="1:7">
      <c r="A2066" s="266" t="s">
        <v>1226</v>
      </c>
      <c r="B2066" s="266" t="s">
        <v>360</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108</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108</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347</v>
      </c>
      <c r="B2073" s="178" t="s">
        <v>1165</v>
      </c>
      <c r="C2073" s="242">
        <v>45980</v>
      </c>
      <c r="D2073" s="12">
        <v>550</v>
      </c>
      <c r="F2073" s="28"/>
      <c r="G2073" t="s">
        <v>1984</v>
      </c>
    </row>
    <row r="2074" spans="1:7">
      <c r="A2074" s="237" t="s">
        <v>379</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360</v>
      </c>
      <c r="C2076" s="24">
        <v>45981</v>
      </c>
      <c r="F2076" s="28" t="s">
        <v>2030</v>
      </c>
      <c r="G2076" t="s">
        <v>1984</v>
      </c>
    </row>
    <row r="2077" spans="1:7">
      <c r="A2077" s="243" t="s">
        <v>949</v>
      </c>
      <c r="B2077" s="78" t="s">
        <v>108</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108</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153</v>
      </c>
      <c r="B2081" s="178" t="s">
        <v>1165</v>
      </c>
      <c r="C2081" s="242">
        <v>45981</v>
      </c>
      <c r="D2081" s="12">
        <v>195</v>
      </c>
      <c r="F2081" s="28" t="s">
        <v>2034</v>
      </c>
      <c r="G2081" t="s">
        <v>1984</v>
      </c>
    </row>
    <row r="2082" spans="1:7" ht="15.75">
      <c r="A2082" s="78" t="s">
        <v>347</v>
      </c>
      <c r="B2082" s="178" t="s">
        <v>1165</v>
      </c>
      <c r="C2082" s="242">
        <v>45981</v>
      </c>
      <c r="F2082" s="28" t="s">
        <v>2035</v>
      </c>
      <c r="G2082" t="s">
        <v>1984</v>
      </c>
    </row>
    <row r="2083" spans="1:7">
      <c r="A2083" s="236" t="s">
        <v>339</v>
      </c>
      <c r="B2083" s="793" t="s">
        <v>157</v>
      </c>
      <c r="C2083" s="24">
        <v>45981</v>
      </c>
      <c r="D2083" s="12">
        <v>272</v>
      </c>
      <c r="F2083" s="28"/>
      <c r="G2083" t="s">
        <v>1984</v>
      </c>
    </row>
    <row r="2084" spans="1:7">
      <c r="A2084" s="12" t="s">
        <v>377</v>
      </c>
      <c r="B2084" s="12" t="s">
        <v>1909</v>
      </c>
      <c r="C2084" s="24">
        <v>45982</v>
      </c>
      <c r="E2084" s="185"/>
      <c r="F2084" s="243" t="s">
        <v>2036</v>
      </c>
      <c r="G2084" t="s">
        <v>1984</v>
      </c>
    </row>
    <row r="2085" spans="1:7">
      <c r="A2085" s="236" t="s">
        <v>379</v>
      </c>
      <c r="B2085" s="236" t="s">
        <v>1909</v>
      </c>
      <c r="C2085" s="24">
        <v>45981</v>
      </c>
      <c r="D2085" s="92">
        <v>2139</v>
      </c>
      <c r="F2085" s="28"/>
      <c r="G2085" t="s">
        <v>1984</v>
      </c>
    </row>
    <row r="2086" spans="1:7">
      <c r="A2086" s="276" t="s">
        <v>1075</v>
      </c>
      <c r="B2086" s="285" t="s">
        <v>108</v>
      </c>
      <c r="C2086" s="24">
        <v>45981</v>
      </c>
      <c r="D2086" s="92">
        <v>2252</v>
      </c>
      <c r="F2086" s="28"/>
      <c r="G2086" t="s">
        <v>1984</v>
      </c>
    </row>
    <row r="2087" spans="1:7">
      <c r="A2087" s="250" t="s">
        <v>400</v>
      </c>
      <c r="B2087" s="312" t="s">
        <v>108</v>
      </c>
      <c r="C2087" s="24">
        <v>45981</v>
      </c>
      <c r="D2087" s="846">
        <v>1027</v>
      </c>
      <c r="F2087" s="28"/>
      <c r="G2087" t="s">
        <v>1984</v>
      </c>
    </row>
    <row r="2088" spans="1:7">
      <c r="A2088" s="276" t="s">
        <v>403</v>
      </c>
      <c r="B2088" s="285" t="s">
        <v>108</v>
      </c>
      <c r="C2088" s="24">
        <v>45981</v>
      </c>
      <c r="D2088" s="92">
        <v>1420</v>
      </c>
      <c r="F2088" s="28"/>
      <c r="G2088" t="s">
        <v>1984</v>
      </c>
    </row>
    <row r="2089" spans="1:7">
      <c r="A2089" s="250" t="s">
        <v>1079</v>
      </c>
      <c r="B2089" s="312" t="s">
        <v>108</v>
      </c>
      <c r="C2089" s="24">
        <v>45981</v>
      </c>
      <c r="D2089" s="92">
        <v>2376</v>
      </c>
      <c r="F2089" s="28"/>
      <c r="G2089" t="s">
        <v>1984</v>
      </c>
    </row>
    <row r="2090" spans="1:7">
      <c r="A2090" s="276" t="s">
        <v>1109</v>
      </c>
      <c r="B2090" s="285" t="s">
        <v>108</v>
      </c>
      <c r="C2090" s="24">
        <v>45981</v>
      </c>
      <c r="D2090" s="12">
        <v>313</v>
      </c>
      <c r="G2090" t="s">
        <v>1984</v>
      </c>
    </row>
    <row r="2091" spans="1:7" ht="15.75">
      <c r="A2091" s="12" t="s">
        <v>435</v>
      </c>
      <c r="B2091" s="178" t="s">
        <v>1165</v>
      </c>
      <c r="C2091" s="242">
        <v>45982</v>
      </c>
      <c r="D2091" s="12">
        <v>271</v>
      </c>
      <c r="G2091" t="s">
        <v>1984</v>
      </c>
    </row>
    <row r="2092" spans="1:7">
      <c r="A2092" s="41" t="s">
        <v>1226</v>
      </c>
      <c r="B2092" s="1181" t="s">
        <v>360</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5" t="s">
        <v>2038</v>
      </c>
      <c r="G2094" t="s">
        <v>1984</v>
      </c>
    </row>
    <row r="2095" spans="1:7">
      <c r="A2095" s="106" t="s">
        <v>379</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108</v>
      </c>
      <c r="C2097" s="24">
        <v>45982</v>
      </c>
      <c r="D2097" s="12">
        <v>51</v>
      </c>
      <c r="F2097" s="28"/>
      <c r="G2097" t="s">
        <v>1984</v>
      </c>
    </row>
    <row r="2098" spans="1:7">
      <c r="A2098" s="324" t="s">
        <v>1109</v>
      </c>
      <c r="B2098" s="110" t="s">
        <v>108</v>
      </c>
      <c r="C2098" s="24">
        <v>45982</v>
      </c>
      <c r="D2098" s="92">
        <v>3007</v>
      </c>
      <c r="F2098" s="28"/>
      <c r="G2098" t="s">
        <v>1984</v>
      </c>
    </row>
    <row r="2099" spans="1:7">
      <c r="A2099" s="324" t="s">
        <v>400</v>
      </c>
      <c r="B2099" s="110" t="s">
        <v>108</v>
      </c>
      <c r="C2099" s="24">
        <v>45982</v>
      </c>
      <c r="D2099" s="12">
        <v>490</v>
      </c>
      <c r="F2099" s="28"/>
      <c r="G2099" t="s">
        <v>1984</v>
      </c>
    </row>
    <row r="2100" spans="1:7">
      <c r="A2100" s="324" t="s">
        <v>403</v>
      </c>
      <c r="B2100" s="110" t="s">
        <v>108</v>
      </c>
      <c r="C2100" s="24">
        <v>45982</v>
      </c>
      <c r="D2100" s="92">
        <v>3043</v>
      </c>
      <c r="F2100" s="28"/>
      <c r="G2100" t="s">
        <v>1984</v>
      </c>
    </row>
    <row r="2101" spans="1:7">
      <c r="A2101" s="324" t="s">
        <v>1079</v>
      </c>
      <c r="B2101" s="110" t="s">
        <v>108</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360</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108</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1" t="s">
        <v>108</v>
      </c>
      <c r="C2111" s="24">
        <v>45985</v>
      </c>
      <c r="D2111" s="12">
        <v>805</v>
      </c>
      <c r="F2111" s="28" t="s">
        <v>2044</v>
      </c>
      <c r="G2111" t="s">
        <v>1984</v>
      </c>
    </row>
    <row r="2112" spans="1:7">
      <c r="A2112" s="12" t="s">
        <v>952</v>
      </c>
      <c r="B2112" s="851" t="s">
        <v>108</v>
      </c>
      <c r="C2112" s="24">
        <v>45985</v>
      </c>
      <c r="D2112" s="12">
        <v>665</v>
      </c>
      <c r="F2112" s="28"/>
      <c r="G2112" t="s">
        <v>1984</v>
      </c>
    </row>
    <row r="2113" spans="1:7">
      <c r="A2113" s="52" t="s">
        <v>859</v>
      </c>
      <c r="B2113" s="1186" t="s">
        <v>108</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339</v>
      </c>
      <c r="B2117" s="277" t="s">
        <v>157</v>
      </c>
      <c r="C2117" s="24">
        <v>45985</v>
      </c>
      <c r="D2117" s="76">
        <v>900</v>
      </c>
      <c r="E2117" s="12"/>
      <c r="F2117" s="28" t="s">
        <v>2046</v>
      </c>
      <c r="G2117" t="s">
        <v>1984</v>
      </c>
    </row>
    <row r="2118" spans="1:7">
      <c r="A2118" s="352" t="s">
        <v>823</v>
      </c>
      <c r="B2118" s="299" t="s">
        <v>1909</v>
      </c>
      <c r="C2118" s="24">
        <v>45985</v>
      </c>
      <c r="D2118" s="76"/>
      <c r="E2118" s="12"/>
      <c r="F2118" s="850" t="s">
        <v>2047</v>
      </c>
      <c r="G2118" t="s">
        <v>1984</v>
      </c>
    </row>
    <row r="2119" spans="1:7">
      <c r="A2119" s="350" t="s">
        <v>821</v>
      </c>
      <c r="B2119" s="181" t="s">
        <v>1909</v>
      </c>
      <c r="C2119" s="24">
        <v>45985</v>
      </c>
      <c r="D2119" s="76"/>
      <c r="E2119" s="12"/>
      <c r="F2119" s="850" t="s">
        <v>2048</v>
      </c>
      <c r="G2119" t="s">
        <v>1984</v>
      </c>
    </row>
    <row r="2120" spans="1:7">
      <c r="A2120" s="12" t="s">
        <v>802</v>
      </c>
      <c r="B2120" s="181" t="s">
        <v>1909</v>
      </c>
      <c r="C2120" s="24">
        <v>45985</v>
      </c>
      <c r="D2120" s="76"/>
      <c r="E2120" s="12"/>
      <c r="F2120" s="850"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360</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108</v>
      </c>
      <c r="C2128" s="24">
        <v>45986</v>
      </c>
      <c r="D2128" s="92">
        <v>1100</v>
      </c>
      <c r="G2128" t="s">
        <v>1984</v>
      </c>
    </row>
    <row r="2129" spans="1:7">
      <c r="A2129" s="12" t="s">
        <v>952</v>
      </c>
      <c r="B2129" s="12" t="s">
        <v>108</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108</v>
      </c>
      <c r="C2136" s="24">
        <v>45986</v>
      </c>
      <c r="D2136" s="92">
        <v>2382</v>
      </c>
      <c r="G2136" t="s">
        <v>1984</v>
      </c>
    </row>
    <row r="2137" spans="1:7">
      <c r="A2137" s="324" t="s">
        <v>1055</v>
      </c>
      <c r="B2137" s="110" t="s">
        <v>108</v>
      </c>
      <c r="C2137" s="24">
        <v>45986</v>
      </c>
      <c r="D2137" s="12">
        <v>996</v>
      </c>
      <c r="G2137" t="s">
        <v>1984</v>
      </c>
    </row>
    <row r="2138" spans="1:7">
      <c r="A2138" s="324" t="s">
        <v>1082</v>
      </c>
      <c r="B2138" s="110" t="s">
        <v>108</v>
      </c>
      <c r="C2138" s="24">
        <v>45986</v>
      </c>
      <c r="D2138" s="92">
        <v>3634</v>
      </c>
      <c r="G2138" t="s">
        <v>1984</v>
      </c>
    </row>
    <row r="2139" spans="1:7">
      <c r="A2139" s="28" t="s">
        <v>1079</v>
      </c>
      <c r="B2139" s="110" t="s">
        <v>108</v>
      </c>
      <c r="C2139" s="24">
        <v>45986</v>
      </c>
      <c r="D2139" s="92">
        <v>3311</v>
      </c>
      <c r="G2139" t="s">
        <v>1984</v>
      </c>
    </row>
    <row r="2140" spans="1:7">
      <c r="A2140" s="28" t="s">
        <v>392</v>
      </c>
      <c r="B2140" s="110" t="s">
        <v>108</v>
      </c>
      <c r="C2140" s="24">
        <v>45986</v>
      </c>
      <c r="D2140" s="92">
        <v>1175</v>
      </c>
      <c r="G2140" t="s">
        <v>1984</v>
      </c>
    </row>
    <row r="2141" spans="1:7">
      <c r="A2141" s="181" t="s">
        <v>403</v>
      </c>
      <c r="B2141" s="110" t="s">
        <v>108</v>
      </c>
      <c r="C2141" s="24">
        <v>45986</v>
      </c>
      <c r="D2141" s="92">
        <v>3411</v>
      </c>
      <c r="G2141" t="s">
        <v>1984</v>
      </c>
    </row>
    <row r="2142" spans="1:7">
      <c r="A2142" s="238" t="s">
        <v>1226</v>
      </c>
      <c r="B2142" s="238" t="s">
        <v>360</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2" t="s">
        <v>952</v>
      </c>
      <c r="B2147" s="236" t="s">
        <v>108</v>
      </c>
      <c r="C2147" s="24">
        <v>45987</v>
      </c>
      <c r="D2147" s="92">
        <v>1024</v>
      </c>
      <c r="F2147" s="12" t="s">
        <v>2055</v>
      </c>
      <c r="G2147" t="s">
        <v>1984</v>
      </c>
    </row>
    <row r="2148" spans="1:7">
      <c r="A2148" s="238" t="s">
        <v>955</v>
      </c>
      <c r="B2148" s="237" t="s">
        <v>108</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337</v>
      </c>
      <c r="B2154" s="78" t="s">
        <v>157</v>
      </c>
      <c r="C2154" s="24">
        <v>45987</v>
      </c>
      <c r="D2154" s="343"/>
      <c r="E2154" s="12"/>
      <c r="F2154" s="78" t="s">
        <v>2053</v>
      </c>
      <c r="G2154" t="s">
        <v>1984</v>
      </c>
    </row>
    <row r="2155" spans="1:7">
      <c r="A2155" s="78" t="s">
        <v>164</v>
      </c>
      <c r="B2155" s="78" t="s">
        <v>1977</v>
      </c>
      <c r="C2155" s="24">
        <v>45987</v>
      </c>
      <c r="D2155" s="98">
        <v>426</v>
      </c>
      <c r="E2155" s="185"/>
      <c r="F2155" s="106"/>
      <c r="G2155" t="s">
        <v>1984</v>
      </c>
    </row>
    <row r="2156" spans="1:7">
      <c r="A2156" s="78" t="s">
        <v>339</v>
      </c>
      <c r="B2156" s="78" t="s">
        <v>157</v>
      </c>
      <c r="C2156" s="24">
        <v>45987</v>
      </c>
      <c r="D2156" s="343"/>
      <c r="E2156" s="12"/>
      <c r="F2156" s="78" t="s">
        <v>2053</v>
      </c>
      <c r="G2156" t="s">
        <v>1984</v>
      </c>
    </row>
    <row r="2157" spans="1:7">
      <c r="A2157" s="238" t="s">
        <v>330</v>
      </c>
      <c r="B2157" s="238" t="s">
        <v>1987</v>
      </c>
      <c r="C2157" s="24">
        <v>45987</v>
      </c>
      <c r="D2157" s="98"/>
      <c r="E2157" s="853">
        <v>4668</v>
      </c>
      <c r="F2157" s="106" t="s">
        <v>2059</v>
      </c>
      <c r="G2157" t="s">
        <v>1984</v>
      </c>
    </row>
    <row r="2158" spans="1:7" ht="15.75">
      <c r="A2158" s="181" t="s">
        <v>1052</v>
      </c>
      <c r="B2158" s="178" t="s">
        <v>1165</v>
      </c>
      <c r="C2158" s="242">
        <v>45987</v>
      </c>
      <c r="E2158" s="76">
        <v>794</v>
      </c>
      <c r="G2158" t="s">
        <v>1984</v>
      </c>
    </row>
    <row r="2159" spans="1:7">
      <c r="A2159" s="237" t="s">
        <v>392</v>
      </c>
      <c r="B2159" s="237" t="s">
        <v>108</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108</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108</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4"/>
      <c r="B2170" s="1225"/>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360</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108</v>
      </c>
      <c r="C2176" s="24">
        <v>45992</v>
      </c>
      <c r="D2176" s="92">
        <v>1610</v>
      </c>
      <c r="F2176" s="12" t="s">
        <v>2067</v>
      </c>
      <c r="G2176" t="s">
        <v>2064</v>
      </c>
    </row>
    <row r="2177" spans="1:7">
      <c r="A2177" s="852" t="s">
        <v>955</v>
      </c>
      <c r="B2177" s="236" t="s">
        <v>108</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108</v>
      </c>
      <c r="C2181" s="24">
        <v>45992</v>
      </c>
      <c r="D2181" s="92">
        <v>1515</v>
      </c>
      <c r="F2181" s="12" t="s">
        <v>1730</v>
      </c>
      <c r="G2181" t="s">
        <v>2064</v>
      </c>
    </row>
    <row r="2182" spans="1:7">
      <c r="A2182" s="276" t="s">
        <v>1082</v>
      </c>
      <c r="B2182" s="285" t="s">
        <v>108</v>
      </c>
      <c r="C2182" s="24">
        <v>45992</v>
      </c>
      <c r="D2182" s="92">
        <v>3376</v>
      </c>
      <c r="G2182" t="s">
        <v>2064</v>
      </c>
    </row>
    <row r="2183" spans="1:7">
      <c r="A2183" s="249" t="s">
        <v>397</v>
      </c>
      <c r="B2183" s="240" t="s">
        <v>108</v>
      </c>
      <c r="C2183" s="24">
        <v>45992</v>
      </c>
      <c r="D2183" s="92">
        <v>3084</v>
      </c>
      <c r="G2183" t="s">
        <v>2064</v>
      </c>
    </row>
    <row r="2184" spans="1:7">
      <c r="A2184" s="243" t="s">
        <v>1106</v>
      </c>
      <c r="B2184" s="243" t="s">
        <v>108</v>
      </c>
      <c r="C2184" s="24">
        <v>45992</v>
      </c>
      <c r="D2184" s="92">
        <v>1829</v>
      </c>
      <c r="G2184" t="s">
        <v>2064</v>
      </c>
    </row>
    <row r="2185" spans="1:7">
      <c r="A2185" s="181" t="s">
        <v>1070</v>
      </c>
      <c r="B2185" s="612" t="s">
        <v>108</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360</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2" t="s">
        <v>955</v>
      </c>
      <c r="B2191" s="236" t="s">
        <v>108</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108</v>
      </c>
      <c r="C2194" s="24">
        <v>45993</v>
      </c>
      <c r="D2194" s="92">
        <v>2916</v>
      </c>
      <c r="G2194" t="s">
        <v>2064</v>
      </c>
    </row>
    <row r="2195" spans="1:7">
      <c r="A2195" s="247" t="s">
        <v>1106</v>
      </c>
      <c r="B2195" s="247" t="s">
        <v>108</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0" t="s">
        <v>1049</v>
      </c>
      <c r="B2198" s="870" t="s">
        <v>360</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59" t="s">
        <v>1228</v>
      </c>
      <c r="B2203" s="236" t="s">
        <v>1340</v>
      </c>
      <c r="C2203" s="24">
        <v>45994</v>
      </c>
      <c r="D2203" s="12">
        <v>383</v>
      </c>
      <c r="G2203" t="s">
        <v>2064</v>
      </c>
    </row>
    <row r="2204" spans="1:7">
      <c r="A2204" s="610" t="s">
        <v>911</v>
      </c>
      <c r="B2204" s="859" t="s">
        <v>108</v>
      </c>
      <c r="C2204" s="24">
        <v>45994</v>
      </c>
      <c r="D2204" s="92">
        <v>1379</v>
      </c>
      <c r="F2204" s="12" t="s">
        <v>2079</v>
      </c>
      <c r="G2204" t="s">
        <v>2064</v>
      </c>
    </row>
    <row r="2205" spans="1:7">
      <c r="A2205" s="610" t="s">
        <v>834</v>
      </c>
      <c r="B2205" s="610" t="s">
        <v>1909</v>
      </c>
      <c r="C2205" s="24">
        <v>45994</v>
      </c>
      <c r="D2205" s="92">
        <v>1677</v>
      </c>
      <c r="G2205" t="s">
        <v>2064</v>
      </c>
    </row>
    <row r="2206" spans="1:7">
      <c r="A2206" s="860" t="s">
        <v>1070</v>
      </c>
      <c r="B2206" s="861" t="s">
        <v>108</v>
      </c>
      <c r="C2206" s="24">
        <v>45994</v>
      </c>
      <c r="D2206" s="92">
        <v>2430</v>
      </c>
      <c r="G2206" t="s">
        <v>2064</v>
      </c>
    </row>
    <row r="2207" spans="1:7">
      <c r="A2207" s="612" t="s">
        <v>1106</v>
      </c>
      <c r="B2207" s="612" t="s">
        <v>108</v>
      </c>
      <c r="C2207" s="24">
        <v>45994</v>
      </c>
      <c r="D2207" s="12">
        <v>694</v>
      </c>
      <c r="G2207" t="s">
        <v>2064</v>
      </c>
    </row>
    <row r="2208" spans="1:7">
      <c r="A2208" s="860" t="s">
        <v>1066</v>
      </c>
      <c r="B2208" s="861" t="s">
        <v>108</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360</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108</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108</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108</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69" t="s">
        <v>108</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360</v>
      </c>
      <c r="C2225" s="24">
        <v>45996</v>
      </c>
      <c r="D2225" s="92">
        <v>1114</v>
      </c>
      <c r="G2225" t="s">
        <v>2064</v>
      </c>
    </row>
    <row r="2226" spans="1:7" ht="15.75">
      <c r="A2226" s="610" t="s">
        <v>1200</v>
      </c>
      <c r="B2226" s="178" t="s">
        <v>1165</v>
      </c>
      <c r="C2226" s="242">
        <v>45996</v>
      </c>
      <c r="D2226" s="12">
        <v>222</v>
      </c>
      <c r="G2226" t="s">
        <v>2064</v>
      </c>
    </row>
    <row r="2227" spans="1:7">
      <c r="A2227" s="870" t="s">
        <v>1231</v>
      </c>
      <c r="B2227" s="869"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59"/>
      <c r="G2229" t="s">
        <v>2064</v>
      </c>
    </row>
    <row r="2230" spans="1:7" ht="15.75">
      <c r="A2230" s="652" t="s">
        <v>955</v>
      </c>
      <c r="B2230" s="178" t="s">
        <v>1165</v>
      </c>
      <c r="C2230" s="242">
        <v>45996</v>
      </c>
      <c r="F2230" s="243" t="s">
        <v>1565</v>
      </c>
      <c r="G2230" t="s">
        <v>2064</v>
      </c>
    </row>
    <row r="2231" spans="1:7">
      <c r="A2231" s="859"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1" t="s">
        <v>108</v>
      </c>
      <c r="C2233" s="24">
        <v>45996</v>
      </c>
      <c r="E2233" s="76">
        <v>636</v>
      </c>
      <c r="F2233" s="756"/>
      <c r="G2233" t="s">
        <v>2064</v>
      </c>
    </row>
    <row r="2234" spans="1:7">
      <c r="A2234" s="243" t="s">
        <v>1077</v>
      </c>
      <c r="B2234" s="612" t="s">
        <v>108</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360</v>
      </c>
      <c r="C2237" s="24">
        <v>45999</v>
      </c>
      <c r="D2237" s="92">
        <v>1283</v>
      </c>
      <c r="G2237" t="s">
        <v>2064</v>
      </c>
    </row>
    <row r="2238" spans="1:7" ht="15.75">
      <c r="A2238" s="28" t="s">
        <v>1200</v>
      </c>
      <c r="B2238" s="178" t="s">
        <v>1165</v>
      </c>
      <c r="C2238" s="242">
        <v>45999</v>
      </c>
      <c r="D2238" s="12">
        <v>237</v>
      </c>
      <c r="F2238" s="12" t="s">
        <v>2094</v>
      </c>
      <c r="G2238" t="s">
        <v>2064</v>
      </c>
    </row>
    <row r="2239" spans="1:7">
      <c r="A2239" s="1171" t="s">
        <v>1231</v>
      </c>
      <c r="B2239" s="1226" t="s">
        <v>998</v>
      </c>
      <c r="C2239" s="24">
        <v>45999</v>
      </c>
      <c r="D2239" s="12">
        <v>640</v>
      </c>
      <c r="F2239" s="12" t="s">
        <v>2095</v>
      </c>
      <c r="G2239" t="s">
        <v>2064</v>
      </c>
    </row>
    <row r="2240" spans="1:7" ht="15.75">
      <c r="A2240" s="1003" t="s">
        <v>952</v>
      </c>
      <c r="B2240" s="1161"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7" t="s">
        <v>862</v>
      </c>
      <c r="B2242" s="1227" t="s">
        <v>108</v>
      </c>
      <c r="C2242" s="24">
        <v>45999</v>
      </c>
      <c r="D2242" s="253">
        <v>1583</v>
      </c>
      <c r="E2242" s="12"/>
      <c r="F2242" s="12" t="s">
        <v>2098</v>
      </c>
      <c r="G2242" t="s">
        <v>2064</v>
      </c>
    </row>
    <row r="2243" spans="1:7">
      <c r="A2243" s="299" t="s">
        <v>911</v>
      </c>
      <c r="B2243" s="868" t="s">
        <v>108</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108</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360</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1" t="s">
        <v>1231</v>
      </c>
      <c r="B2252" s="1226" t="s">
        <v>998</v>
      </c>
      <c r="C2252" s="24">
        <v>46000</v>
      </c>
      <c r="D2252" s="12">
        <v>541</v>
      </c>
      <c r="F2252" s="12" t="s">
        <v>2104</v>
      </c>
      <c r="G2252" t="s">
        <v>2064</v>
      </c>
    </row>
    <row r="2253" spans="1:7">
      <c r="A2253" s="1003" t="s">
        <v>862</v>
      </c>
      <c r="B2253" s="299" t="s">
        <v>108</v>
      </c>
      <c r="C2253" s="242">
        <v>46000</v>
      </c>
      <c r="D2253" s="92">
        <v>1325</v>
      </c>
      <c r="F2253" s="12" t="s">
        <v>2056</v>
      </c>
      <c r="G2253" t="s">
        <v>2064</v>
      </c>
    </row>
    <row r="2254" spans="1:7" ht="15.75">
      <c r="A2254" s="1003" t="s">
        <v>911</v>
      </c>
      <c r="B2254" s="1161"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7" t="s">
        <v>1233</v>
      </c>
      <c r="B2256" s="1193" t="s">
        <v>1165</v>
      </c>
      <c r="C2256" s="242">
        <v>46000</v>
      </c>
      <c r="E2256" s="253">
        <v>3493</v>
      </c>
      <c r="G2256" t="s">
        <v>2064</v>
      </c>
    </row>
    <row r="2257" spans="1:7">
      <c r="A2257" s="106" t="s">
        <v>362</v>
      </c>
      <c r="B2257" s="106" t="s">
        <v>1909</v>
      </c>
      <c r="C2257" s="24">
        <v>46000</v>
      </c>
      <c r="D2257" s="92">
        <v>1640</v>
      </c>
      <c r="F2257" s="12" t="s">
        <v>2106</v>
      </c>
      <c r="G2257" t="s">
        <v>2064</v>
      </c>
    </row>
    <row r="2258" spans="1:7">
      <c r="A2258" s="324" t="s">
        <v>406</v>
      </c>
      <c r="B2258" s="110" t="s">
        <v>108</v>
      </c>
      <c r="C2258" s="24">
        <v>46000</v>
      </c>
      <c r="D2258" s="92">
        <v>1980</v>
      </c>
      <c r="F2258" s="12" t="s">
        <v>2107</v>
      </c>
      <c r="G2258" t="s">
        <v>2064</v>
      </c>
    </row>
    <row r="2259" spans="1:7">
      <c r="A2259" s="324" t="s">
        <v>1088</v>
      </c>
      <c r="B2259" s="110" t="s">
        <v>108</v>
      </c>
      <c r="C2259" s="24">
        <v>46000</v>
      </c>
      <c r="D2259" s="92">
        <v>3343</v>
      </c>
      <c r="G2259" t="s">
        <v>2064</v>
      </c>
    </row>
    <row r="2260" spans="1:7">
      <c r="A2260" s="98" t="s">
        <v>1055</v>
      </c>
      <c r="B2260" s="76" t="s">
        <v>108</v>
      </c>
      <c r="C2260" s="24">
        <v>46000</v>
      </c>
      <c r="D2260" s="92">
        <v>2203</v>
      </c>
      <c r="F2260" s="12" t="s">
        <v>1348</v>
      </c>
      <c r="G2260" t="s">
        <v>2064</v>
      </c>
    </row>
    <row r="2261" spans="1:7">
      <c r="A2261" s="759" t="s">
        <v>1085</v>
      </c>
      <c r="B2261" s="76" t="s">
        <v>108</v>
      </c>
      <c r="C2261" s="24">
        <v>46000</v>
      </c>
      <c r="D2261" s="92">
        <v>1111</v>
      </c>
      <c r="G2261" t="s">
        <v>2064</v>
      </c>
    </row>
    <row r="2262" spans="1:7">
      <c r="A2262" s="324" t="s">
        <v>412</v>
      </c>
      <c r="B2262" s="110" t="s">
        <v>108</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360</v>
      </c>
      <c r="C2265" s="24">
        <v>46001</v>
      </c>
      <c r="F2265" s="612" t="s">
        <v>2109</v>
      </c>
      <c r="G2265" t="s">
        <v>2064</v>
      </c>
    </row>
    <row r="2266" spans="1:7" ht="15.75">
      <c r="A2266" s="610" t="s">
        <v>1200</v>
      </c>
      <c r="B2266" s="178" t="s">
        <v>1165</v>
      </c>
      <c r="C2266" s="242">
        <v>46001</v>
      </c>
      <c r="D2266" s="12">
        <v>359</v>
      </c>
      <c r="F2266" s="12" t="s">
        <v>1824</v>
      </c>
      <c r="G2266" t="s">
        <v>2064</v>
      </c>
    </row>
    <row r="2267" spans="1:7">
      <c r="A2267" s="859" t="s">
        <v>1231</v>
      </c>
      <c r="B2267" s="864" t="s">
        <v>998</v>
      </c>
      <c r="C2267" s="24">
        <v>46001</v>
      </c>
      <c r="D2267" s="12">
        <v>330</v>
      </c>
      <c r="F2267" s="12" t="s">
        <v>1916</v>
      </c>
      <c r="G2267" t="s">
        <v>2064</v>
      </c>
    </row>
    <row r="2268" spans="1:7">
      <c r="A2268" s="637" t="s">
        <v>862</v>
      </c>
      <c r="B2268" s="869" t="s">
        <v>108</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3" t="s">
        <v>1165</v>
      </c>
      <c r="C2270" s="242">
        <v>46001</v>
      </c>
      <c r="E2270" s="253">
        <v>1685</v>
      </c>
      <c r="G2270" t="s">
        <v>2064</v>
      </c>
    </row>
    <row r="2271" spans="1:7">
      <c r="A2271" s="859" t="s">
        <v>362</v>
      </c>
      <c r="B2271" s="859" t="s">
        <v>1909</v>
      </c>
      <c r="C2271" s="24">
        <v>46001</v>
      </c>
      <c r="D2271" s="92">
        <v>1177</v>
      </c>
      <c r="F2271" s="12" t="s">
        <v>2112</v>
      </c>
      <c r="G2271" t="s">
        <v>2064</v>
      </c>
    </row>
    <row r="2272" spans="1:7">
      <c r="A2272" s="610" t="s">
        <v>365</v>
      </c>
      <c r="B2272" s="610" t="s">
        <v>1909</v>
      </c>
      <c r="C2272" s="24">
        <v>46001</v>
      </c>
      <c r="D2272" s="12">
        <v>817</v>
      </c>
      <c r="F2272" s="12" t="s">
        <v>2113</v>
      </c>
      <c r="G2272" t="s">
        <v>2064</v>
      </c>
    </row>
    <row r="2273" spans="1:7">
      <c r="A2273" s="610" t="s">
        <v>406</v>
      </c>
      <c r="B2273" s="610" t="s">
        <v>108</v>
      </c>
      <c r="C2273" s="24">
        <v>46001</v>
      </c>
      <c r="D2273" s="92">
        <v>1251</v>
      </c>
      <c r="G2273" t="s">
        <v>2064</v>
      </c>
    </row>
    <row r="2274" spans="1:7">
      <c r="A2274" s="870" t="s">
        <v>1088</v>
      </c>
      <c r="B2274" s="859" t="s">
        <v>108</v>
      </c>
      <c r="C2274" s="24">
        <v>46001</v>
      </c>
      <c r="D2274" s="12">
        <v>931</v>
      </c>
      <c r="G2274" t="s">
        <v>2064</v>
      </c>
    </row>
    <row r="2275" spans="1:7">
      <c r="A2275" s="610" t="s">
        <v>412</v>
      </c>
      <c r="B2275" s="793" t="s">
        <v>108</v>
      </c>
      <c r="C2275" s="24">
        <v>46001</v>
      </c>
      <c r="D2275" s="12">
        <v>522</v>
      </c>
      <c r="G2275" t="s">
        <v>2064</v>
      </c>
    </row>
    <row r="2276" spans="1:7">
      <c r="A2276" s="610" t="s">
        <v>1106</v>
      </c>
      <c r="B2276" s="594" t="s">
        <v>108</v>
      </c>
      <c r="C2276" s="24">
        <v>46001</v>
      </c>
      <c r="D2276" s="12">
        <v>91</v>
      </c>
      <c r="G2276" t="s">
        <v>2064</v>
      </c>
    </row>
    <row r="2277" spans="1:7">
      <c r="A2277" s="610" t="s">
        <v>1055</v>
      </c>
      <c r="B2277" s="834" t="s">
        <v>108</v>
      </c>
      <c r="C2277" s="24">
        <v>46001</v>
      </c>
      <c r="E2277" s="253">
        <v>3674</v>
      </c>
      <c r="F2277" s="12" t="s">
        <v>2114</v>
      </c>
      <c r="G2277" t="s">
        <v>2064</v>
      </c>
    </row>
    <row r="2278" spans="1:7">
      <c r="A2278" s="756" t="s">
        <v>1085</v>
      </c>
      <c r="B2278" s="1176" t="s">
        <v>108</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360</v>
      </c>
      <c r="C2282" s="24">
        <v>46002</v>
      </c>
      <c r="F2282" s="243" t="s">
        <v>2117</v>
      </c>
      <c r="G2282" t="s">
        <v>2064</v>
      </c>
    </row>
    <row r="2283" spans="1:7">
      <c r="A2283" s="85" t="s">
        <v>1049</v>
      </c>
      <c r="B2283" s="110" t="s">
        <v>1961</v>
      </c>
      <c r="C2283" s="24">
        <v>46002</v>
      </c>
      <c r="F2283" s="243" t="s">
        <v>2118</v>
      </c>
      <c r="G2283" t="s">
        <v>2064</v>
      </c>
    </row>
    <row r="2284" spans="1:7">
      <c r="A2284" s="299" t="s">
        <v>1231</v>
      </c>
      <c r="B2284" s="868" t="s">
        <v>998</v>
      </c>
      <c r="C2284" s="24">
        <v>46002</v>
      </c>
      <c r="D2284" s="12">
        <v>520</v>
      </c>
      <c r="G2284" t="s">
        <v>2064</v>
      </c>
    </row>
    <row r="2285" spans="1:7">
      <c r="A2285" s="871" t="s">
        <v>886</v>
      </c>
      <c r="B2285" s="179" t="s">
        <v>554</v>
      </c>
      <c r="C2285" s="242">
        <v>46002</v>
      </c>
      <c r="D2285" s="92">
        <v>1351</v>
      </c>
      <c r="F2285" s="12" t="s">
        <v>2119</v>
      </c>
      <c r="G2285" t="s">
        <v>2064</v>
      </c>
    </row>
    <row r="2286" spans="1:7">
      <c r="A2286" s="106" t="s">
        <v>365</v>
      </c>
      <c r="B2286" s="106" t="s">
        <v>1909</v>
      </c>
      <c r="C2286" s="24">
        <v>46002</v>
      </c>
      <c r="D2286" s="92">
        <v>1820</v>
      </c>
      <c r="F2286" s="612" t="s">
        <v>2120</v>
      </c>
      <c r="G2286" t="s">
        <v>2064</v>
      </c>
    </row>
    <row r="2287" spans="1:7">
      <c r="A2287" s="872" t="s">
        <v>406</v>
      </c>
      <c r="B2287" s="28" t="s">
        <v>108</v>
      </c>
      <c r="C2287" s="24">
        <v>46002</v>
      </c>
      <c r="D2287" s="92">
        <v>3172</v>
      </c>
      <c r="G2287" t="s">
        <v>2064</v>
      </c>
    </row>
    <row r="2288" spans="1:7">
      <c r="A2288" s="872" t="s">
        <v>400</v>
      </c>
      <c r="B2288" s="28" t="s">
        <v>108</v>
      </c>
      <c r="C2288" s="24">
        <v>46002</v>
      </c>
      <c r="D2288" s="12">
        <v>242</v>
      </c>
      <c r="F2288" s="12" t="s">
        <v>2121</v>
      </c>
      <c r="G2288" t="s">
        <v>2064</v>
      </c>
    </row>
    <row r="2289" spans="1:7">
      <c r="A2289" s="318" t="s">
        <v>412</v>
      </c>
      <c r="B2289" s="12" t="s">
        <v>108</v>
      </c>
      <c r="C2289" s="24">
        <v>46002</v>
      </c>
      <c r="D2289" s="92">
        <v>1194</v>
      </c>
      <c r="G2289" t="s">
        <v>2064</v>
      </c>
    </row>
    <row r="2290" spans="1:7">
      <c r="A2290" s="873" t="s">
        <v>1085</v>
      </c>
      <c r="B2290" s="52" t="s">
        <v>108</v>
      </c>
      <c r="C2290" s="24">
        <v>46002</v>
      </c>
      <c r="D2290" s="92">
        <v>1090</v>
      </c>
      <c r="G2290" t="s">
        <v>2064</v>
      </c>
    </row>
    <row r="2291" spans="1:7" ht="15.75">
      <c r="A2291" s="610" t="s">
        <v>1200</v>
      </c>
      <c r="B2291" s="178" t="s">
        <v>1165</v>
      </c>
      <c r="C2291" s="242">
        <v>46003</v>
      </c>
      <c r="D2291" s="12">
        <v>253</v>
      </c>
      <c r="F2291" s="12" t="s">
        <v>1824</v>
      </c>
      <c r="G2291" t="s">
        <v>2064</v>
      </c>
    </row>
    <row r="2292" spans="1:7">
      <c r="A2292" s="870" t="s">
        <v>1230</v>
      </c>
      <c r="B2292" s="870" t="s">
        <v>1936</v>
      </c>
      <c r="C2292" s="24">
        <v>46003</v>
      </c>
      <c r="F2292" s="876"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360</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371</v>
      </c>
      <c r="B2297" s="178" t="s">
        <v>1165</v>
      </c>
      <c r="C2297" s="242">
        <v>46003</v>
      </c>
      <c r="D2297" s="92">
        <v>1832</v>
      </c>
      <c r="F2297" s="12" t="s">
        <v>2126</v>
      </c>
      <c r="G2297" t="s">
        <v>2064</v>
      </c>
    </row>
    <row r="2298" spans="1:7">
      <c r="A2298" s="859" t="s">
        <v>400</v>
      </c>
      <c r="B2298" s="859" t="s">
        <v>108</v>
      </c>
      <c r="C2298" s="24">
        <v>46003</v>
      </c>
      <c r="F2298" s="266" t="s">
        <v>2127</v>
      </c>
      <c r="G2298" t="s">
        <v>2064</v>
      </c>
    </row>
    <row r="2299" spans="1:7">
      <c r="A2299" s="870" t="s">
        <v>412</v>
      </c>
      <c r="B2299" s="870" t="s">
        <v>108</v>
      </c>
      <c r="C2299" s="24">
        <v>46003</v>
      </c>
      <c r="D2299" s="92">
        <v>2811</v>
      </c>
      <c r="G2299" t="s">
        <v>2064</v>
      </c>
    </row>
    <row r="2300" spans="1:7">
      <c r="A2300" s="756" t="s">
        <v>1085</v>
      </c>
      <c r="B2300" s="634" t="s">
        <v>108</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1" t="s">
        <v>2130</v>
      </c>
      <c r="G2302" t="s">
        <v>2064</v>
      </c>
    </row>
    <row r="2303" spans="1:7">
      <c r="A2303" s="85" t="s">
        <v>1049</v>
      </c>
      <c r="B2303" s="85" t="s">
        <v>1936</v>
      </c>
      <c r="C2303" s="24">
        <v>46006</v>
      </c>
      <c r="D2303" s="12">
        <v>735</v>
      </c>
      <c r="G2303" t="s">
        <v>2064</v>
      </c>
    </row>
    <row r="2304" spans="1:7">
      <c r="A2304" s="85" t="s">
        <v>1049</v>
      </c>
      <c r="B2304" s="85" t="s">
        <v>360</v>
      </c>
      <c r="C2304" s="24">
        <v>46006</v>
      </c>
      <c r="F2304" s="612" t="s">
        <v>1565</v>
      </c>
      <c r="G2304" t="s">
        <v>2064</v>
      </c>
    </row>
    <row r="2305" spans="1:7">
      <c r="A2305" s="299" t="s">
        <v>1231</v>
      </c>
      <c r="B2305" s="868" t="s">
        <v>998</v>
      </c>
      <c r="C2305" s="24">
        <v>46006</v>
      </c>
      <c r="D2305" s="12">
        <v>752</v>
      </c>
      <c r="F2305" s="12" t="s">
        <v>2104</v>
      </c>
      <c r="G2305" t="s">
        <v>2064</v>
      </c>
    </row>
    <row r="2306" spans="1:7">
      <c r="A2306" s="871" t="s">
        <v>886</v>
      </c>
      <c r="B2306" s="179" t="s">
        <v>554</v>
      </c>
      <c r="C2306" s="242">
        <v>46006</v>
      </c>
      <c r="D2306" s="12">
        <v>689</v>
      </c>
      <c r="F2306" s="12" t="s">
        <v>2131</v>
      </c>
      <c r="G2306" t="s">
        <v>2064</v>
      </c>
    </row>
    <row r="2307" spans="1:7">
      <c r="A2307" s="852" t="s">
        <v>868</v>
      </c>
      <c r="B2307" s="320" t="s">
        <v>108</v>
      </c>
      <c r="C2307" s="242">
        <v>46006</v>
      </c>
      <c r="D2307" s="92">
        <v>1095</v>
      </c>
      <c r="G2307" t="s">
        <v>2064</v>
      </c>
    </row>
    <row r="2308" spans="1:7">
      <c r="A2308" s="997" t="s">
        <v>908</v>
      </c>
      <c r="B2308" s="12" t="s">
        <v>108</v>
      </c>
      <c r="C2308" s="242">
        <v>46006</v>
      </c>
      <c r="D2308" s="92">
        <v>1344</v>
      </c>
      <c r="F2308" s="12" t="s">
        <v>2132</v>
      </c>
      <c r="G2308" t="s">
        <v>2064</v>
      </c>
    </row>
    <row r="2309" spans="1:7">
      <c r="A2309" s="997" t="s">
        <v>952</v>
      </c>
      <c r="B2309" s="12" t="s">
        <v>108</v>
      </c>
      <c r="C2309" s="242">
        <v>46006</v>
      </c>
      <c r="F2309" s="612" t="s">
        <v>1565</v>
      </c>
      <c r="G2309" t="s">
        <v>2064</v>
      </c>
    </row>
    <row r="2310" spans="1:7">
      <c r="A2310" s="85" t="s">
        <v>381</v>
      </c>
      <c r="B2310" s="12" t="s">
        <v>1909</v>
      </c>
      <c r="C2310" s="24">
        <v>46006</v>
      </c>
      <c r="D2310" s="92">
        <v>1511</v>
      </c>
      <c r="F2310" s="12" t="s">
        <v>2133</v>
      </c>
      <c r="G2310" t="s">
        <v>2064</v>
      </c>
    </row>
    <row r="2311" spans="1:7">
      <c r="A2311" s="872" t="s">
        <v>406</v>
      </c>
      <c r="B2311" s="28" t="s">
        <v>108</v>
      </c>
      <c r="C2311" s="24">
        <v>46006</v>
      </c>
      <c r="D2311" s="12">
        <v>29</v>
      </c>
      <c r="E2311" s="138"/>
      <c r="F2311" s="52"/>
      <c r="G2311" t="s">
        <v>2064</v>
      </c>
    </row>
    <row r="2312" spans="1:7">
      <c r="A2312" s="872" t="s">
        <v>1052</v>
      </c>
      <c r="B2312" s="28" t="s">
        <v>108</v>
      </c>
      <c r="C2312" s="24">
        <v>46006</v>
      </c>
      <c r="D2312" s="76"/>
      <c r="E2312" s="12"/>
      <c r="F2312" s="610" t="s">
        <v>1565</v>
      </c>
      <c r="G2312" t="s">
        <v>2064</v>
      </c>
    </row>
    <row r="2313" spans="1:7">
      <c r="A2313" s="873" t="s">
        <v>1079</v>
      </c>
      <c r="B2313" s="85" t="s">
        <v>108</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8" t="s">
        <v>998</v>
      </c>
      <c r="C2317" s="24">
        <v>46007</v>
      </c>
      <c r="D2317" s="92">
        <v>1249</v>
      </c>
      <c r="F2317" s="12" t="s">
        <v>2137</v>
      </c>
      <c r="G2317" t="s">
        <v>2064</v>
      </c>
    </row>
    <row r="2318" spans="1:7">
      <c r="A2318" s="867" t="s">
        <v>886</v>
      </c>
      <c r="B2318" s="179" t="s">
        <v>554</v>
      </c>
      <c r="C2318" s="242">
        <v>46007</v>
      </c>
      <c r="D2318" s="12">
        <v>586</v>
      </c>
      <c r="F2318" s="12" t="s">
        <v>2138</v>
      </c>
      <c r="G2318" t="s">
        <v>2064</v>
      </c>
    </row>
    <row r="2319" spans="1:7">
      <c r="A2319" s="852" t="s">
        <v>868</v>
      </c>
      <c r="B2319" s="1227" t="s">
        <v>108</v>
      </c>
      <c r="C2319" s="24">
        <v>46007</v>
      </c>
      <c r="D2319" s="92">
        <v>1676</v>
      </c>
      <c r="F2319" s="12" t="s">
        <v>2139</v>
      </c>
      <c r="G2319" t="s">
        <v>2064</v>
      </c>
    </row>
    <row r="2320" spans="1:7">
      <c r="A2320" s="867" t="s">
        <v>908</v>
      </c>
      <c r="B2320" t="s">
        <v>108</v>
      </c>
      <c r="C2320" s="24">
        <v>46007</v>
      </c>
      <c r="D2320" s="92">
        <v>1583</v>
      </c>
      <c r="F2320" s="12" t="s">
        <v>2140</v>
      </c>
      <c r="G2320" t="s">
        <v>2064</v>
      </c>
    </row>
    <row r="2321" spans="1:7">
      <c r="A2321" s="352" t="s">
        <v>156</v>
      </c>
      <c r="B2321" s="299" t="s">
        <v>157</v>
      </c>
      <c r="C2321" s="24">
        <v>46007</v>
      </c>
      <c r="D2321" s="12">
        <v>890</v>
      </c>
      <c r="F2321" s="12" t="s">
        <v>2141</v>
      </c>
      <c r="G2321" t="s">
        <v>2064</v>
      </c>
    </row>
    <row r="2322" spans="1:7" ht="15.75">
      <c r="A2322" s="12" t="s">
        <v>371</v>
      </c>
      <c r="B2322" s="178" t="s">
        <v>1165</v>
      </c>
      <c r="C2322" s="242">
        <v>46007</v>
      </c>
      <c r="D2322" s="92">
        <v>1164</v>
      </c>
      <c r="G2322" t="s">
        <v>2064</v>
      </c>
    </row>
    <row r="2323" spans="1:7">
      <c r="A2323" s="455" t="s">
        <v>381</v>
      </c>
      <c r="B2323" s="106" t="s">
        <v>1909</v>
      </c>
      <c r="C2323" s="24">
        <v>46007</v>
      </c>
      <c r="D2323" s="92">
        <v>1887</v>
      </c>
      <c r="F2323" s="12" t="s">
        <v>2142</v>
      </c>
      <c r="G2323" t="s">
        <v>2064</v>
      </c>
    </row>
    <row r="2324" spans="1:7">
      <c r="A2324" s="845" t="s">
        <v>406</v>
      </c>
      <c r="B2324" s="28" t="s">
        <v>108</v>
      </c>
      <c r="C2324" s="24">
        <v>46007</v>
      </c>
      <c r="F2324" s="266" t="s">
        <v>2143</v>
      </c>
      <c r="G2324" t="s">
        <v>2064</v>
      </c>
    </row>
    <row r="2325" spans="1:7">
      <c r="A2325" s="28" t="s">
        <v>409</v>
      </c>
      <c r="B2325" s="28" t="s">
        <v>108</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4" t="s">
        <v>2144</v>
      </c>
      <c r="G2327" t="s">
        <v>2064</v>
      </c>
    </row>
    <row r="2328" spans="1:7">
      <c r="A2328" s="85" t="s">
        <v>1230</v>
      </c>
      <c r="B2328" s="85" t="s">
        <v>360</v>
      </c>
      <c r="C2328" s="24">
        <v>46008</v>
      </c>
      <c r="D2328" s="12">
        <v>467</v>
      </c>
      <c r="G2328" t="s">
        <v>2064</v>
      </c>
    </row>
    <row r="2329" spans="1:7">
      <c r="A2329" s="85" t="s">
        <v>1049</v>
      </c>
      <c r="B2329" s="52" t="s">
        <v>1869</v>
      </c>
      <c r="C2329" s="24">
        <v>46008</v>
      </c>
      <c r="F2329" s="745" t="s">
        <v>2145</v>
      </c>
      <c r="G2329" t="s">
        <v>2064</v>
      </c>
    </row>
    <row r="2330" spans="1:7">
      <c r="A2330" s="85" t="s">
        <v>1049</v>
      </c>
      <c r="B2330" s="85" t="s">
        <v>360</v>
      </c>
      <c r="C2330" s="24">
        <v>46008</v>
      </c>
      <c r="F2330" s="1004" t="s">
        <v>2123</v>
      </c>
      <c r="G2330" t="s">
        <v>2064</v>
      </c>
    </row>
    <row r="2331" spans="1:7">
      <c r="A2331" s="299" t="s">
        <v>1231</v>
      </c>
      <c r="B2331" s="868" t="s">
        <v>998</v>
      </c>
      <c r="C2331" s="24">
        <v>46008</v>
      </c>
      <c r="D2331" s="12">
        <v>235</v>
      </c>
      <c r="F2331" s="12" t="s">
        <v>2137</v>
      </c>
      <c r="G2331" t="s">
        <v>2064</v>
      </c>
    </row>
    <row r="2332" spans="1:7">
      <c r="A2332" s="867" t="s">
        <v>886</v>
      </c>
      <c r="B2332" s="179" t="s">
        <v>554</v>
      </c>
      <c r="C2332" s="242">
        <v>46008</v>
      </c>
      <c r="D2332" s="12">
        <v>199</v>
      </c>
      <c r="F2332" s="12" t="s">
        <v>2146</v>
      </c>
      <c r="G2332" t="s">
        <v>2064</v>
      </c>
    </row>
    <row r="2333" spans="1:7">
      <c r="A2333" s="852" t="s">
        <v>868</v>
      </c>
      <c r="B2333" s="1227" t="s">
        <v>108</v>
      </c>
      <c r="C2333" s="24">
        <v>46008</v>
      </c>
      <c r="D2333" s="92">
        <v>1139</v>
      </c>
      <c r="F2333" s="12" t="s">
        <v>2147</v>
      </c>
      <c r="G2333" t="s">
        <v>2064</v>
      </c>
    </row>
    <row r="2334" spans="1:7">
      <c r="A2334" s="1003" t="s">
        <v>908</v>
      </c>
      <c r="B2334" t="s">
        <v>108</v>
      </c>
      <c r="C2334" s="24">
        <v>46008</v>
      </c>
      <c r="D2334" s="92">
        <v>1027</v>
      </c>
      <c r="F2334" s="12" t="s">
        <v>2148</v>
      </c>
      <c r="G2334" t="s">
        <v>2064</v>
      </c>
    </row>
    <row r="2335" spans="1:7">
      <c r="A2335" s="867" t="s">
        <v>895</v>
      </c>
      <c r="B2335" s="179" t="s">
        <v>554</v>
      </c>
      <c r="C2335" s="242">
        <v>46008</v>
      </c>
      <c r="D2335" s="12">
        <v>163</v>
      </c>
      <c r="F2335" s="12" t="s">
        <v>2149</v>
      </c>
      <c r="G2335" t="s">
        <v>2064</v>
      </c>
    </row>
    <row r="2336" spans="1:7">
      <c r="A2336" s="1170" t="s">
        <v>156</v>
      </c>
      <c r="B2336" s="1171" t="s">
        <v>157</v>
      </c>
      <c r="C2336" s="24">
        <v>46008</v>
      </c>
      <c r="D2336" s="92">
        <v>1810</v>
      </c>
      <c r="F2336" s="12" t="s">
        <v>2150</v>
      </c>
      <c r="G2336" t="s">
        <v>2064</v>
      </c>
    </row>
    <row r="2337" spans="1:7" ht="15.75">
      <c r="A2337" s="12" t="s">
        <v>371</v>
      </c>
      <c r="B2337" s="178" t="s">
        <v>1165</v>
      </c>
      <c r="C2337" s="242">
        <v>46008</v>
      </c>
      <c r="D2337" s="12">
        <v>308</v>
      </c>
      <c r="F2337" s="12" t="s">
        <v>2151</v>
      </c>
      <c r="G2337" t="s">
        <v>2064</v>
      </c>
    </row>
    <row r="2338" spans="1:7">
      <c r="A2338" s="455" t="s">
        <v>381</v>
      </c>
      <c r="B2338" s="106" t="s">
        <v>1909</v>
      </c>
      <c r="C2338" s="24">
        <v>46008</v>
      </c>
      <c r="D2338" s="12">
        <v>916</v>
      </c>
      <c r="F2338" s="12" t="s">
        <v>2152</v>
      </c>
      <c r="G2338" t="s">
        <v>2064</v>
      </c>
    </row>
    <row r="2339" spans="1:7">
      <c r="A2339" s="845" t="s">
        <v>1106</v>
      </c>
      <c r="B2339" s="28" t="s">
        <v>108</v>
      </c>
      <c r="C2339" s="24">
        <v>46008</v>
      </c>
      <c r="D2339" s="12">
        <v>320</v>
      </c>
      <c r="G2339" t="s">
        <v>2064</v>
      </c>
    </row>
    <row r="2340" spans="1:7">
      <c r="A2340" s="85" t="s">
        <v>409</v>
      </c>
      <c r="B2340" s="85" t="s">
        <v>108</v>
      </c>
      <c r="C2340" s="24">
        <v>46008</v>
      </c>
      <c r="D2340" s="92">
        <v>1083</v>
      </c>
      <c r="G2340" t="s">
        <v>2064</v>
      </c>
    </row>
    <row r="2341" spans="1:7">
      <c r="A2341" s="85" t="s">
        <v>400</v>
      </c>
      <c r="B2341" s="85" t="s">
        <v>108</v>
      </c>
      <c r="C2341" s="24">
        <v>46008</v>
      </c>
      <c r="F2341" s="243" t="s">
        <v>1355</v>
      </c>
      <c r="G2341" t="s">
        <v>2064</v>
      </c>
    </row>
    <row r="2342" spans="1:7">
      <c r="A2342" s="872" t="s">
        <v>1066</v>
      </c>
      <c r="B2342" s="28" t="s">
        <v>108</v>
      </c>
      <c r="C2342" s="24">
        <v>46008</v>
      </c>
      <c r="D2342" s="12">
        <v>372</v>
      </c>
      <c r="G2342" t="s">
        <v>2064</v>
      </c>
    </row>
    <row r="2343" spans="1:7">
      <c r="A2343" s="872" t="s">
        <v>1097</v>
      </c>
      <c r="B2343" s="28" t="s">
        <v>108</v>
      </c>
      <c r="C2343" s="24">
        <v>46008</v>
      </c>
      <c r="D2343" s="12">
        <v>95</v>
      </c>
      <c r="G2343" t="s">
        <v>2064</v>
      </c>
    </row>
    <row r="2344" spans="1:7">
      <c r="A2344" s="872" t="s">
        <v>412</v>
      </c>
      <c r="B2344" s="28" t="s">
        <v>108</v>
      </c>
      <c r="C2344" s="24">
        <v>46008</v>
      </c>
      <c r="D2344" s="92">
        <v>1049</v>
      </c>
      <c r="G2344" t="s">
        <v>2064</v>
      </c>
    </row>
    <row r="2345" spans="1:7">
      <c r="A2345" s="85" t="s">
        <v>1077</v>
      </c>
      <c r="B2345" s="85" t="s">
        <v>108</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360</v>
      </c>
      <c r="C2347" s="24">
        <v>46009</v>
      </c>
      <c r="D2347" s="76"/>
      <c r="E2347" s="12"/>
      <c r="F2347" s="1004" t="s">
        <v>2123</v>
      </c>
      <c r="G2347" t="s">
        <v>2064</v>
      </c>
    </row>
    <row r="2348" spans="1:7" ht="15.75">
      <c r="A2348" s="78" t="s">
        <v>1230</v>
      </c>
      <c r="B2348" s="178" t="s">
        <v>1165</v>
      </c>
      <c r="C2348" s="242">
        <v>46009</v>
      </c>
      <c r="D2348" s="76"/>
      <c r="E2348" s="92">
        <v>1506</v>
      </c>
      <c r="F2348" s="1005"/>
      <c r="G2348" t="s">
        <v>2064</v>
      </c>
    </row>
    <row r="2349" spans="1:7">
      <c r="A2349" s="276" t="s">
        <v>1049</v>
      </c>
      <c r="B2349" s="237" t="s">
        <v>1869</v>
      </c>
      <c r="C2349" s="24">
        <v>46009</v>
      </c>
      <c r="D2349" s="76"/>
      <c r="E2349" s="12"/>
      <c r="F2349" s="91" t="s">
        <v>2053</v>
      </c>
      <c r="G2349" t="s">
        <v>2064</v>
      </c>
    </row>
    <row r="2350" spans="1:7">
      <c r="A2350" s="249" t="s">
        <v>1049</v>
      </c>
      <c r="B2350" s="78" t="s">
        <v>360</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2" t="s">
        <v>908</v>
      </c>
      <c r="B2354" s="274" t="s">
        <v>108</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108</v>
      </c>
      <c r="C2357" s="24">
        <v>46009</v>
      </c>
      <c r="D2357" s="92">
        <v>1568</v>
      </c>
      <c r="G2357" t="s">
        <v>2064</v>
      </c>
    </row>
    <row r="2358" spans="1:7" ht="15.75">
      <c r="A2358" s="78" t="s">
        <v>371</v>
      </c>
      <c r="B2358" s="178" t="s">
        <v>1165</v>
      </c>
      <c r="C2358" s="242">
        <v>46009</v>
      </c>
      <c r="D2358" s="12">
        <v>892</v>
      </c>
      <c r="F2358" s="12" t="s">
        <v>2155</v>
      </c>
      <c r="G2358" t="s">
        <v>2064</v>
      </c>
    </row>
    <row r="2359" spans="1:7">
      <c r="A2359" s="237" t="s">
        <v>381</v>
      </c>
      <c r="B2359" s="237" t="s">
        <v>1909</v>
      </c>
      <c r="C2359" s="242">
        <v>46009</v>
      </c>
      <c r="D2359" s="92">
        <v>1704</v>
      </c>
      <c r="F2359" s="12" t="s">
        <v>2156</v>
      </c>
      <c r="G2359" t="s">
        <v>2064</v>
      </c>
    </row>
    <row r="2360" spans="1:7" ht="15.75">
      <c r="A2360" s="78" t="s">
        <v>156</v>
      </c>
      <c r="B2360" s="178" t="s">
        <v>1165</v>
      </c>
      <c r="C2360" s="242">
        <v>46009</v>
      </c>
      <c r="D2360" s="92">
        <v>967</v>
      </c>
      <c r="F2360" s="12" t="s">
        <v>2157</v>
      </c>
    </row>
    <row r="2361" spans="1:7">
      <c r="A2361" s="236" t="s">
        <v>1106</v>
      </c>
      <c r="B2361" s="236" t="s">
        <v>108</v>
      </c>
      <c r="C2361" s="242">
        <v>46009</v>
      </c>
      <c r="D2361" s="12">
        <v>652</v>
      </c>
      <c r="G2361" t="s">
        <v>2064</v>
      </c>
    </row>
    <row r="2362" spans="1:7">
      <c r="A2362" s="236" t="s">
        <v>1109</v>
      </c>
      <c r="B2362" s="236" t="s">
        <v>108</v>
      </c>
      <c r="C2362" s="24">
        <v>46009</v>
      </c>
      <c r="D2362" s="12">
        <v>396</v>
      </c>
      <c r="G2362" t="s">
        <v>2064</v>
      </c>
    </row>
    <row r="2363" spans="1:7">
      <c r="A2363" s="237" t="s">
        <v>409</v>
      </c>
      <c r="B2363" s="237" t="s">
        <v>108</v>
      </c>
      <c r="C2363" s="24">
        <v>46009</v>
      </c>
      <c r="D2363" s="92">
        <v>1905</v>
      </c>
      <c r="G2363" t="s">
        <v>2064</v>
      </c>
    </row>
    <row r="2364" spans="1:7">
      <c r="A2364" s="238" t="s">
        <v>1097</v>
      </c>
      <c r="B2364" s="238" t="s">
        <v>108</v>
      </c>
      <c r="C2364" s="24">
        <v>46009</v>
      </c>
      <c r="D2364" s="12">
        <v>881</v>
      </c>
      <c r="G2364" t="s">
        <v>2064</v>
      </c>
    </row>
    <row r="2365" spans="1:7">
      <c r="A2365" s="78" t="s">
        <v>1091</v>
      </c>
      <c r="B2365" s="78" t="s">
        <v>108</v>
      </c>
      <c r="C2365" s="242">
        <v>46009</v>
      </c>
      <c r="D2365" s="92">
        <v>3028</v>
      </c>
      <c r="F2365" s="12" t="s">
        <v>2158</v>
      </c>
      <c r="G2365" t="s">
        <v>2064</v>
      </c>
    </row>
    <row r="2366" spans="1:7">
      <c r="A2366" s="299" t="s">
        <v>1077</v>
      </c>
      <c r="B2366" s="238" t="s">
        <v>108</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360</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360</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108</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371</v>
      </c>
      <c r="B2378" s="1193" t="s">
        <v>1165</v>
      </c>
      <c r="C2378" s="242">
        <v>46010</v>
      </c>
      <c r="D2378" s="12">
        <v>366</v>
      </c>
      <c r="F2378" s="12" t="s">
        <v>2163</v>
      </c>
      <c r="G2378" t="s">
        <v>2064</v>
      </c>
    </row>
    <row r="2379" spans="1:7">
      <c r="A2379" s="455" t="s">
        <v>381</v>
      </c>
      <c r="B2379" s="106" t="s">
        <v>1909</v>
      </c>
      <c r="C2379" s="24">
        <v>46010</v>
      </c>
      <c r="D2379" s="12">
        <v>974</v>
      </c>
      <c r="F2379" s="12" t="s">
        <v>2164</v>
      </c>
      <c r="G2379" t="s">
        <v>2064</v>
      </c>
    </row>
    <row r="2380" spans="1:7">
      <c r="A2380" s="1006" t="s">
        <v>1066</v>
      </c>
      <c r="B2380" s="1007" t="s">
        <v>108</v>
      </c>
      <c r="C2380" s="24">
        <v>46010</v>
      </c>
      <c r="D2380" s="12">
        <v>582</v>
      </c>
      <c r="G2380" t="s">
        <v>2064</v>
      </c>
    </row>
    <row r="2381" spans="1:7">
      <c r="A2381" s="1006" t="s">
        <v>409</v>
      </c>
      <c r="B2381" s="1007" t="s">
        <v>108</v>
      </c>
      <c r="C2381" s="24">
        <v>46010</v>
      </c>
      <c r="D2381" s="92">
        <v>2064</v>
      </c>
      <c r="G2381" t="s">
        <v>2064</v>
      </c>
    </row>
    <row r="2382" spans="1:7">
      <c r="A2382" s="1006" t="s">
        <v>1091</v>
      </c>
      <c r="B2382" s="1007" t="s">
        <v>108</v>
      </c>
      <c r="C2382" s="24">
        <v>46010</v>
      </c>
      <c r="D2382" s="92">
        <v>1683</v>
      </c>
      <c r="G2382" t="s">
        <v>2064</v>
      </c>
    </row>
    <row r="2383" spans="1:7">
      <c r="A2383" s="1006" t="s">
        <v>1085</v>
      </c>
      <c r="B2383" s="1007" t="s">
        <v>108</v>
      </c>
      <c r="C2383" s="24">
        <v>46010</v>
      </c>
      <c r="D2383" s="92">
        <v>1235</v>
      </c>
      <c r="G2383" t="s">
        <v>2064</v>
      </c>
    </row>
    <row r="2384" spans="1:7">
      <c r="A2384" s="1006" t="s">
        <v>406</v>
      </c>
      <c r="B2384" s="1007" t="s">
        <v>108</v>
      </c>
      <c r="C2384" s="24">
        <v>46010</v>
      </c>
      <c r="F2384" s="12" t="s">
        <v>2165</v>
      </c>
      <c r="G2384" t="s">
        <v>2064</v>
      </c>
    </row>
    <row r="2385" spans="1:7">
      <c r="A2385" s="1006" t="s">
        <v>1106</v>
      </c>
      <c r="B2385" s="1007" t="s">
        <v>108</v>
      </c>
      <c r="C2385" s="24">
        <v>46010</v>
      </c>
      <c r="D2385" s="12">
        <v>780</v>
      </c>
      <c r="E2385" s="138"/>
      <c r="F2385" s="52"/>
      <c r="G2385" t="s">
        <v>2064</v>
      </c>
    </row>
    <row r="2386" spans="1:7">
      <c r="A2386" s="1006" t="s">
        <v>1234</v>
      </c>
      <c r="B2386" s="1007" t="s">
        <v>108</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360</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108</v>
      </c>
      <c r="C2390" s="24">
        <v>46013</v>
      </c>
      <c r="D2390" s="12">
        <v>380</v>
      </c>
      <c r="G2390" t="s">
        <v>2064</v>
      </c>
    </row>
    <row r="2391" spans="1:7">
      <c r="A2391" s="247" t="s">
        <v>989</v>
      </c>
      <c r="B2391" s="247" t="s">
        <v>108</v>
      </c>
      <c r="C2391" s="24">
        <v>46013</v>
      </c>
      <c r="D2391" s="12">
        <v>523</v>
      </c>
      <c r="G2391" t="s">
        <v>2064</v>
      </c>
    </row>
    <row r="2392" spans="1:7">
      <c r="A2392" s="600" t="s">
        <v>908</v>
      </c>
      <c r="B2392" s="600" t="s">
        <v>108</v>
      </c>
      <c r="C2392" s="24">
        <v>46013</v>
      </c>
      <c r="D2392" s="12">
        <v>342</v>
      </c>
      <c r="F2392" s="243" t="s">
        <v>2168</v>
      </c>
      <c r="G2392" t="s">
        <v>2064</v>
      </c>
    </row>
    <row r="2393" spans="1:7" ht="15.75">
      <c r="A2393" s="78" t="s">
        <v>371</v>
      </c>
      <c r="B2393" s="178" t="s">
        <v>1165</v>
      </c>
      <c r="C2393" s="242">
        <v>46013</v>
      </c>
      <c r="D2393" s="12">
        <v>154</v>
      </c>
      <c r="G2393" t="s">
        <v>2064</v>
      </c>
    </row>
    <row r="2394" spans="1:7">
      <c r="A2394" s="859" t="s">
        <v>1066</v>
      </c>
      <c r="B2394" s="859" t="s">
        <v>108</v>
      </c>
      <c r="C2394" s="24">
        <v>46013</v>
      </c>
      <c r="D2394" s="12">
        <v>551</v>
      </c>
      <c r="G2394" t="s">
        <v>2064</v>
      </c>
    </row>
    <row r="2395" spans="1:7">
      <c r="A2395" s="859" t="s">
        <v>409</v>
      </c>
      <c r="B2395" s="859" t="s">
        <v>108</v>
      </c>
      <c r="C2395" s="24">
        <v>46013</v>
      </c>
      <c r="F2395" s="266" t="s">
        <v>2169</v>
      </c>
      <c r="G2395" t="s">
        <v>2064</v>
      </c>
    </row>
    <row r="2396" spans="1:7">
      <c r="A2396" s="859" t="s">
        <v>1091</v>
      </c>
      <c r="B2396" s="859" t="s">
        <v>108</v>
      </c>
      <c r="C2396" s="24">
        <v>46013</v>
      </c>
      <c r="D2396" s="12">
        <v>362</v>
      </c>
      <c r="G2396" t="s">
        <v>2064</v>
      </c>
    </row>
    <row r="2397" spans="1:7">
      <c r="A2397" s="870" t="s">
        <v>1097</v>
      </c>
      <c r="B2397" s="870" t="s">
        <v>108</v>
      </c>
      <c r="C2397" s="24">
        <v>46013</v>
      </c>
      <c r="D2397" s="92">
        <v>3523</v>
      </c>
      <c r="G2397" t="s">
        <v>2064</v>
      </c>
    </row>
    <row r="2398" spans="1:7">
      <c r="A2398" s="634" t="s">
        <v>1106</v>
      </c>
      <c r="B2398" s="634" t="s">
        <v>108</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108</v>
      </c>
      <c r="C2401" s="24">
        <v>46014</v>
      </c>
      <c r="F2401" s="266" t="s">
        <v>1725</v>
      </c>
      <c r="G2401" t="s">
        <v>2064</v>
      </c>
    </row>
    <row r="2402" spans="1:7">
      <c r="A2402" s="1187" t="s">
        <v>989</v>
      </c>
      <c r="B2402" s="274" t="s">
        <v>108</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8" t="s">
        <v>108</v>
      </c>
      <c r="C2404" s="24">
        <v>46014</v>
      </c>
      <c r="E2404" s="253">
        <v>14727</v>
      </c>
      <c r="F2404" s="350" t="s">
        <v>2170</v>
      </c>
      <c r="G2404" t="s">
        <v>2064</v>
      </c>
    </row>
    <row r="2405" spans="1:7">
      <c r="A2405" s="299" t="s">
        <v>1097</v>
      </c>
      <c r="B2405" s="1188" t="s">
        <v>108</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29"/>
      <c r="B2408" s="1230"/>
      <c r="C2408" s="24">
        <v>46016</v>
      </c>
      <c r="G2408" t="s">
        <v>2064</v>
      </c>
    </row>
    <row r="2409" spans="1:7">
      <c r="A2409" s="299"/>
      <c r="B2409" s="1188"/>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4" t="s">
        <v>108</v>
      </c>
      <c r="C2411" s="24">
        <v>46020</v>
      </c>
      <c r="D2411" s="92">
        <v>1188</v>
      </c>
      <c r="F2411" s="12" t="s">
        <v>2173</v>
      </c>
      <c r="G2411" t="s">
        <v>2064</v>
      </c>
    </row>
    <row r="2412" spans="1:7">
      <c r="A2412" s="1022" t="s">
        <v>961</v>
      </c>
      <c r="B2412" s="869" t="s">
        <v>108</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108</v>
      </c>
      <c r="C2414" s="24">
        <v>46020</v>
      </c>
      <c r="D2414" s="12">
        <v>738</v>
      </c>
      <c r="G2414" t="s">
        <v>2064</v>
      </c>
    </row>
    <row r="2415" spans="1:7">
      <c r="A2415" s="859" t="s">
        <v>1091</v>
      </c>
      <c r="B2415" s="859" t="s">
        <v>108</v>
      </c>
      <c r="C2415" s="24">
        <v>46020</v>
      </c>
      <c r="D2415" s="92">
        <v>1297</v>
      </c>
      <c r="G2415" t="s">
        <v>2064</v>
      </c>
    </row>
    <row r="2416" spans="1:7">
      <c r="A2416" s="859" t="s">
        <v>1094</v>
      </c>
      <c r="B2416" s="859" t="s">
        <v>108</v>
      </c>
      <c r="C2416" s="24">
        <v>46020</v>
      </c>
      <c r="D2416" s="92">
        <v>2583</v>
      </c>
      <c r="G2416" t="s">
        <v>2064</v>
      </c>
    </row>
    <row r="2417" spans="1:7">
      <c r="A2417" s="859" t="s">
        <v>1069</v>
      </c>
      <c r="B2417" s="859" t="s">
        <v>108</v>
      </c>
      <c r="C2417" s="24">
        <v>46020</v>
      </c>
      <c r="D2417" s="12">
        <v>0</v>
      </c>
      <c r="F2417" s="243" t="s">
        <v>2175</v>
      </c>
      <c r="G2417" t="s">
        <v>2064</v>
      </c>
    </row>
    <row r="2418" spans="1:7">
      <c r="A2418" s="859" t="s">
        <v>1070</v>
      </c>
      <c r="B2418" s="859" t="s">
        <v>108</v>
      </c>
      <c r="C2418" s="24">
        <v>46020</v>
      </c>
      <c r="D2418" s="12">
        <v>0</v>
      </c>
      <c r="F2418" s="243" t="s">
        <v>2175</v>
      </c>
      <c r="G2418" t="s">
        <v>2064</v>
      </c>
    </row>
    <row r="2419" spans="1:7">
      <c r="A2419" s="870" t="s">
        <v>412</v>
      </c>
      <c r="B2419" s="870" t="s">
        <v>108</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108</v>
      </c>
      <c r="C2423" s="24">
        <v>46021</v>
      </c>
      <c r="D2423" s="12">
        <v>0</v>
      </c>
      <c r="F2423" s="243" t="s">
        <v>1565</v>
      </c>
      <c r="G2423" t="s">
        <v>2064</v>
      </c>
    </row>
    <row r="2424" spans="1:7">
      <c r="A2424" s="243" t="s">
        <v>1066</v>
      </c>
      <c r="B2424" s="612" t="s">
        <v>108</v>
      </c>
      <c r="C2424" s="24">
        <v>46021</v>
      </c>
      <c r="D2424" s="12">
        <v>466</v>
      </c>
      <c r="G2424" t="s">
        <v>2064</v>
      </c>
    </row>
    <row r="2425" spans="1:7">
      <c r="A2425" s="236" t="s">
        <v>1094</v>
      </c>
      <c r="B2425" s="859" t="s">
        <v>108</v>
      </c>
      <c r="C2425" s="24">
        <v>46021</v>
      </c>
      <c r="D2425" s="92">
        <v>3099</v>
      </c>
      <c r="G2425" t="s">
        <v>2064</v>
      </c>
    </row>
    <row r="2426" spans="1:7">
      <c r="A2426" s="237" t="s">
        <v>397</v>
      </c>
      <c r="B2426" s="870" t="s">
        <v>108</v>
      </c>
      <c r="C2426" s="24">
        <v>46021</v>
      </c>
      <c r="D2426" s="12">
        <v>0</v>
      </c>
      <c r="F2426" s="243" t="s">
        <v>2175</v>
      </c>
      <c r="G2426" t="s">
        <v>2064</v>
      </c>
    </row>
    <row r="2427" spans="1:7" ht="15.75">
      <c r="A2427" s="78" t="s">
        <v>371</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2">
        <v>46022</v>
      </c>
      <c r="D2430" s="52"/>
      <c r="E2430" s="798">
        <v>1565</v>
      </c>
      <c r="F2430" s="52"/>
      <c r="G2430" t="s">
        <v>2064</v>
      </c>
    </row>
    <row r="2431" spans="1:7">
      <c r="A2431" s="1229"/>
      <c r="B2431" s="1230"/>
      <c r="C2431" s="24">
        <v>46023</v>
      </c>
      <c r="D2431" s="12">
        <v>0</v>
      </c>
      <c r="E2431" s="12"/>
      <c r="G2431" t="s">
        <v>2176</v>
      </c>
    </row>
    <row r="2432" spans="1:7">
      <c r="C2432" s="24">
        <v>46024</v>
      </c>
      <c r="D2432" s="12">
        <v>0</v>
      </c>
      <c r="E2432" s="12"/>
      <c r="G2432" t="s">
        <v>2176</v>
      </c>
    </row>
    <row r="2433" spans="1:7">
      <c r="A2433" s="299" t="s">
        <v>981</v>
      </c>
      <c r="B2433" s="660" t="s">
        <v>108</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2" t="s">
        <v>144</v>
      </c>
      <c r="C2435" s="24">
        <v>46027</v>
      </c>
      <c r="D2435" s="92">
        <v>1105</v>
      </c>
      <c r="E2435" s="12"/>
      <c r="G2435" t="s">
        <v>2176</v>
      </c>
    </row>
    <row r="2436" spans="1:7">
      <c r="A2436" s="181" t="s">
        <v>1066</v>
      </c>
      <c r="B2436" s="94" t="s">
        <v>108</v>
      </c>
      <c r="C2436" s="24">
        <v>46027</v>
      </c>
      <c r="D2436" s="92">
        <v>3728</v>
      </c>
      <c r="E2436" s="12"/>
      <c r="G2436" t="s">
        <v>2176</v>
      </c>
    </row>
    <row r="2437" spans="1:7">
      <c r="A2437" s="181" t="s">
        <v>1094</v>
      </c>
      <c r="B2437" s="94" t="s">
        <v>108</v>
      </c>
      <c r="C2437" s="24">
        <v>46027</v>
      </c>
      <c r="D2437" s="92">
        <v>568</v>
      </c>
      <c r="E2437" s="12"/>
      <c r="G2437" t="s">
        <v>2176</v>
      </c>
    </row>
    <row r="2438" spans="1:7">
      <c r="A2438" s="181" t="s">
        <v>1055</v>
      </c>
      <c r="B2438" s="94" t="s">
        <v>108</v>
      </c>
      <c r="C2438" s="24">
        <v>46028</v>
      </c>
      <c r="D2438" s="12">
        <v>0</v>
      </c>
      <c r="E2438" s="12"/>
      <c r="F2438" s="12" t="s">
        <v>2177</v>
      </c>
      <c r="G2438" t="s">
        <v>2176</v>
      </c>
    </row>
    <row r="2439" spans="1:7">
      <c r="A2439" s="181" t="s">
        <v>1066</v>
      </c>
      <c r="B2439" s="94" t="s">
        <v>108</v>
      </c>
      <c r="C2439" s="24">
        <v>46028</v>
      </c>
      <c r="D2439" s="1064">
        <v>1789</v>
      </c>
      <c r="E2439" s="12"/>
      <c r="G2439" t="s">
        <v>2176</v>
      </c>
    </row>
    <row r="2440" spans="1:7">
      <c r="A2440" s="181" t="s">
        <v>1100</v>
      </c>
      <c r="B2440" s="94" t="s">
        <v>108</v>
      </c>
      <c r="C2440" s="24">
        <v>46028</v>
      </c>
      <c r="D2440" s="1064">
        <v>2362</v>
      </c>
      <c r="E2440" s="12"/>
      <c r="G2440" t="s">
        <v>2176</v>
      </c>
    </row>
    <row r="2441" spans="1:7">
      <c r="A2441" s="181" t="s">
        <v>914</v>
      </c>
      <c r="B2441" s="94" t="s">
        <v>108</v>
      </c>
      <c r="C2441" s="24">
        <v>46028</v>
      </c>
      <c r="D2441" s="1064">
        <v>1534</v>
      </c>
      <c r="E2441" s="12"/>
      <c r="F2441" s="12" t="s">
        <v>2178</v>
      </c>
      <c r="G2441" t="s">
        <v>2176</v>
      </c>
    </row>
    <row r="2442" spans="1:7">
      <c r="A2442" s="299" t="s">
        <v>815</v>
      </c>
      <c r="B2442" s="660" t="s">
        <v>144</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1" t="s">
        <v>981</v>
      </c>
      <c r="B2444" s="1204" t="s">
        <v>108</v>
      </c>
      <c r="C2444" s="24">
        <v>46028</v>
      </c>
      <c r="D2444" s="1064">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2" t="s">
        <v>108</v>
      </c>
      <c r="C2446" s="24">
        <v>46029</v>
      </c>
      <c r="D2446" s="40">
        <v>0</v>
      </c>
      <c r="E2446" s="12"/>
      <c r="F2446" s="243" t="s">
        <v>2179</v>
      </c>
      <c r="G2446" t="s">
        <v>2176</v>
      </c>
    </row>
    <row r="2447" spans="1:7">
      <c r="A2447" s="181" t="s">
        <v>550</v>
      </c>
      <c r="B2447" s="94" t="s">
        <v>108</v>
      </c>
      <c r="C2447" s="24">
        <v>46029</v>
      </c>
      <c r="D2447" s="1064">
        <v>1687</v>
      </c>
      <c r="E2447" s="12"/>
      <c r="G2447" t="s">
        <v>2176</v>
      </c>
    </row>
    <row r="2448" spans="1:7">
      <c r="A2448" s="181" t="s">
        <v>938</v>
      </c>
      <c r="B2448" s="94" t="s">
        <v>108</v>
      </c>
      <c r="C2448" s="24">
        <v>46029</v>
      </c>
      <c r="D2448" s="1064">
        <v>1056</v>
      </c>
      <c r="E2448" s="12"/>
      <c r="F2448" s="1069" t="s">
        <v>2180</v>
      </c>
      <c r="G2448" t="s">
        <v>2176</v>
      </c>
    </row>
    <row r="2449" spans="1:7">
      <c r="A2449" s="181" t="s">
        <v>914</v>
      </c>
      <c r="B2449" s="94" t="s">
        <v>108</v>
      </c>
      <c r="C2449" s="24">
        <v>46029</v>
      </c>
      <c r="D2449" s="40">
        <v>180</v>
      </c>
      <c r="E2449" s="12"/>
      <c r="F2449" s="1069" t="s">
        <v>1347</v>
      </c>
      <c r="G2449" t="s">
        <v>2176</v>
      </c>
    </row>
    <row r="2450" spans="1:7">
      <c r="A2450" s="181" t="s">
        <v>815</v>
      </c>
      <c r="B2450" s="94" t="s">
        <v>144</v>
      </c>
      <c r="C2450" s="24">
        <v>46029</v>
      </c>
      <c r="D2450" s="1064">
        <v>2151</v>
      </c>
      <c r="E2450" s="12"/>
      <c r="F2450" s="1069"/>
      <c r="G2450" t="s">
        <v>2176</v>
      </c>
    </row>
    <row r="2451" spans="1:7">
      <c r="A2451" s="181" t="s">
        <v>1100</v>
      </c>
      <c r="B2451" s="94" t="s">
        <v>108</v>
      </c>
      <c r="C2451" s="24">
        <v>46029</v>
      </c>
      <c r="D2451" s="1064">
        <v>3079</v>
      </c>
      <c r="E2451" s="12"/>
      <c r="F2451" s="1069"/>
      <c r="G2451" t="s">
        <v>2176</v>
      </c>
    </row>
    <row r="2452" spans="1:7">
      <c r="A2452" s="299" t="s">
        <v>1088</v>
      </c>
      <c r="B2452" s="660" t="s">
        <v>108</v>
      </c>
      <c r="C2452" s="24">
        <v>46029</v>
      </c>
      <c r="D2452" s="40">
        <v>0</v>
      </c>
      <c r="E2452" s="12"/>
      <c r="F2452" s="1070" t="s">
        <v>2175</v>
      </c>
      <c r="G2452" t="s">
        <v>2176</v>
      </c>
    </row>
    <row r="2453" spans="1:7" ht="15.75">
      <c r="A2453" s="181" t="s">
        <v>435</v>
      </c>
      <c r="B2453" s="178" t="s">
        <v>1165</v>
      </c>
      <c r="C2453" s="242">
        <v>46030</v>
      </c>
      <c r="D2453" s="40">
        <v>85</v>
      </c>
      <c r="E2453" s="12"/>
      <c r="F2453" s="1069"/>
      <c r="G2453" t="s">
        <v>2176</v>
      </c>
    </row>
    <row r="2454" spans="1:7" ht="15.75">
      <c r="A2454" s="181" t="s">
        <v>1200</v>
      </c>
      <c r="B2454" s="178" t="s">
        <v>1165</v>
      </c>
      <c r="C2454" s="242">
        <v>46030</v>
      </c>
      <c r="D2454" s="40">
        <v>113</v>
      </c>
      <c r="E2454" s="12"/>
      <c r="F2454" s="1069" t="s">
        <v>2181</v>
      </c>
      <c r="G2454" t="s">
        <v>2176</v>
      </c>
    </row>
    <row r="2455" spans="1:7">
      <c r="A2455" s="320" t="s">
        <v>550</v>
      </c>
      <c r="B2455" s="1052" t="s">
        <v>108</v>
      </c>
      <c r="C2455" s="24">
        <v>46030</v>
      </c>
      <c r="D2455" s="1064">
        <v>1053</v>
      </c>
      <c r="E2455" s="12"/>
      <c r="F2455" s="1069" t="s">
        <v>2182</v>
      </c>
      <c r="G2455" t="s">
        <v>2176</v>
      </c>
    </row>
    <row r="2456" spans="1:7">
      <c r="A2456" s="181" t="s">
        <v>815</v>
      </c>
      <c r="B2456" s="94" t="s">
        <v>144</v>
      </c>
      <c r="C2456" s="24">
        <v>46030</v>
      </c>
      <c r="D2456" s="1064">
        <v>1926</v>
      </c>
      <c r="E2456" s="12"/>
      <c r="F2456" s="1069"/>
      <c r="G2456" t="s">
        <v>2176</v>
      </c>
    </row>
    <row r="2457" spans="1:7">
      <c r="A2457" s="181" t="s">
        <v>1103</v>
      </c>
      <c r="B2457" s="94" t="s">
        <v>108</v>
      </c>
      <c r="C2457" s="24">
        <v>46030</v>
      </c>
      <c r="D2457" s="1064">
        <v>2367</v>
      </c>
      <c r="E2457" s="12"/>
      <c r="F2457" s="1069"/>
      <c r="G2457" t="s">
        <v>2176</v>
      </c>
    </row>
    <row r="2458" spans="1:7">
      <c r="A2458" s="181" t="s">
        <v>821</v>
      </c>
      <c r="B2458" s="94" t="s">
        <v>2183</v>
      </c>
      <c r="C2458" s="24">
        <v>46030</v>
      </c>
      <c r="D2458" s="1064"/>
      <c r="E2458" s="1064">
        <v>2706</v>
      </c>
      <c r="F2458" s="1069"/>
      <c r="G2458" t="s">
        <v>2176</v>
      </c>
    </row>
    <row r="2459" spans="1:7">
      <c r="A2459" s="181" t="s">
        <v>821</v>
      </c>
      <c r="B2459" s="94" t="s">
        <v>2183</v>
      </c>
      <c r="C2459" s="24">
        <v>46031</v>
      </c>
      <c r="D2459" s="40">
        <v>0</v>
      </c>
      <c r="E2459" s="40"/>
      <c r="F2459" s="1071" t="s">
        <v>2184</v>
      </c>
      <c r="G2459" t="s">
        <v>2176</v>
      </c>
    </row>
    <row r="2460" spans="1:7">
      <c r="A2460" s="181" t="s">
        <v>204</v>
      </c>
      <c r="B2460" s="94" t="s">
        <v>2183</v>
      </c>
      <c r="C2460" s="24">
        <v>46031</v>
      </c>
      <c r="D2460" s="40">
        <v>0</v>
      </c>
      <c r="E2460" s="40"/>
      <c r="F2460" s="1069" t="s">
        <v>1393</v>
      </c>
      <c r="G2460" t="s">
        <v>2176</v>
      </c>
    </row>
    <row r="2461" spans="1:7">
      <c r="A2461" s="181" t="s">
        <v>815</v>
      </c>
      <c r="B2461" s="94" t="s">
        <v>144</v>
      </c>
      <c r="C2461" s="24">
        <v>46031</v>
      </c>
      <c r="D2461" s="1064">
        <v>1000</v>
      </c>
      <c r="E2461" s="40"/>
      <c r="F2461" s="1071"/>
      <c r="G2461" t="s">
        <v>2176</v>
      </c>
    </row>
    <row r="2462" spans="1:7">
      <c r="A2462" s="181" t="s">
        <v>409</v>
      </c>
      <c r="B2462" s="94" t="s">
        <v>108</v>
      </c>
      <c r="C2462" s="24">
        <v>46031</v>
      </c>
      <c r="D2462" s="1064">
        <v>104</v>
      </c>
      <c r="E2462" s="40"/>
      <c r="F2462" s="1071"/>
      <c r="G2462" t="s">
        <v>2176</v>
      </c>
    </row>
    <row r="2463" spans="1:7">
      <c r="A2463" s="181" t="s">
        <v>1085</v>
      </c>
      <c r="B2463" s="94" t="s">
        <v>108</v>
      </c>
      <c r="C2463" s="24">
        <v>46031</v>
      </c>
      <c r="D2463" s="40"/>
      <c r="E2463" s="1064">
        <v>1056</v>
      </c>
      <c r="F2463" s="1071"/>
      <c r="G2463" t="s">
        <v>2176</v>
      </c>
    </row>
    <row r="2464" spans="1:7">
      <c r="A2464" s="181" t="s">
        <v>1082</v>
      </c>
      <c r="B2464" s="94" t="s">
        <v>108</v>
      </c>
      <c r="C2464" s="24">
        <v>46031</v>
      </c>
      <c r="D2464" s="40"/>
      <c r="E2464" s="1064">
        <v>1090</v>
      </c>
      <c r="F2464" s="1069"/>
      <c r="G2464" t="s">
        <v>2176</v>
      </c>
    </row>
    <row r="2465" spans="1:7">
      <c r="A2465" s="181" t="s">
        <v>1103</v>
      </c>
      <c r="B2465" s="94" t="s">
        <v>108</v>
      </c>
      <c r="C2465" s="24">
        <v>46031</v>
      </c>
      <c r="D2465" s="40">
        <v>447</v>
      </c>
      <c r="E2465" s="40"/>
      <c r="F2465" s="1071"/>
      <c r="G2465" t="s">
        <v>2176</v>
      </c>
    </row>
    <row r="2466" spans="1:7">
      <c r="A2466" s="181" t="s">
        <v>368</v>
      </c>
      <c r="B2466" s="94" t="s">
        <v>144</v>
      </c>
      <c r="C2466" s="24">
        <v>46031</v>
      </c>
      <c r="D2466" s="1064">
        <v>1319</v>
      </c>
      <c r="E2466" s="40"/>
      <c r="F2466" s="1071" t="s">
        <v>2185</v>
      </c>
      <c r="G2466" t="s">
        <v>2176</v>
      </c>
    </row>
    <row r="2467" spans="1:7">
      <c r="A2467" s="181" t="s">
        <v>550</v>
      </c>
      <c r="B2467" s="94" t="s">
        <v>108</v>
      </c>
      <c r="C2467" s="24">
        <v>46034</v>
      </c>
      <c r="D2467" s="40">
        <v>0</v>
      </c>
      <c r="E2467" s="40"/>
      <c r="F2467" s="1070" t="s">
        <v>1565</v>
      </c>
      <c r="G2467" t="s">
        <v>2176</v>
      </c>
    </row>
    <row r="2468" spans="1:7">
      <c r="A2468" s="181" t="s">
        <v>827</v>
      </c>
      <c r="B2468" s="94" t="s">
        <v>2183</v>
      </c>
      <c r="C2468" s="24">
        <v>46034</v>
      </c>
      <c r="D2468" s="40"/>
      <c r="E2468" s="40">
        <v>640</v>
      </c>
      <c r="F2468" s="1071"/>
      <c r="G2468" t="s">
        <v>2176</v>
      </c>
    </row>
    <row r="2469" spans="1:7">
      <c r="A2469" s="299" t="s">
        <v>354</v>
      </c>
      <c r="B2469" s="660" t="s">
        <v>2183</v>
      </c>
      <c r="C2469" s="24">
        <v>46034</v>
      </c>
      <c r="D2469" s="40"/>
      <c r="E2469" s="40">
        <v>428</v>
      </c>
      <c r="F2469" s="1071" t="s">
        <v>1393</v>
      </c>
      <c r="G2469" t="s">
        <v>2176</v>
      </c>
    </row>
    <row r="2470" spans="1:7" ht="15.75">
      <c r="A2470" s="181" t="s">
        <v>428</v>
      </c>
      <c r="B2470" s="178" t="s">
        <v>1165</v>
      </c>
      <c r="C2470" s="242">
        <v>46034</v>
      </c>
      <c r="D2470" s="40">
        <v>205</v>
      </c>
      <c r="E2470" s="40"/>
      <c r="F2470" s="1069" t="s">
        <v>2005</v>
      </c>
      <c r="G2470" t="s">
        <v>2176</v>
      </c>
    </row>
    <row r="2471" spans="1:7">
      <c r="A2471" s="320" t="s">
        <v>1103</v>
      </c>
      <c r="B2471" s="1052" t="s">
        <v>108</v>
      </c>
      <c r="C2471" s="24">
        <v>46034</v>
      </c>
      <c r="D2471" s="40">
        <v>858</v>
      </c>
      <c r="E2471" s="40"/>
      <c r="F2471" s="1071"/>
      <c r="G2471" t="s">
        <v>2176</v>
      </c>
    </row>
    <row r="2472" spans="1:7">
      <c r="A2472" s="181" t="s">
        <v>1114</v>
      </c>
      <c r="B2472" s="94" t="s">
        <v>108</v>
      </c>
      <c r="C2472" s="24">
        <v>46034</v>
      </c>
      <c r="D2472" s="1064">
        <v>4915</v>
      </c>
      <c r="E2472" s="40"/>
      <c r="F2472" s="1071"/>
      <c r="G2472" t="s">
        <v>2176</v>
      </c>
    </row>
    <row r="2473" spans="1:7">
      <c r="A2473" s="181" t="s">
        <v>1112</v>
      </c>
      <c r="B2473" s="94" t="s">
        <v>108</v>
      </c>
      <c r="C2473" s="24">
        <v>46034</v>
      </c>
      <c r="D2473" s="40">
        <v>813</v>
      </c>
      <c r="E2473" s="40"/>
      <c r="F2473" s="1071"/>
      <c r="G2473" t="s">
        <v>2176</v>
      </c>
    </row>
    <row r="2474" spans="1:7">
      <c r="A2474" s="181" t="s">
        <v>938</v>
      </c>
      <c r="B2474" s="94" t="s">
        <v>108</v>
      </c>
      <c r="C2474" s="24">
        <v>46034</v>
      </c>
      <c r="D2474" s="1064">
        <v>1356</v>
      </c>
      <c r="E2474" s="40"/>
      <c r="F2474" s="1071" t="s">
        <v>2186</v>
      </c>
      <c r="G2474" t="s">
        <v>2176</v>
      </c>
    </row>
    <row r="2475" spans="1:7">
      <c r="A2475" s="181" t="s">
        <v>359</v>
      </c>
      <c r="B2475" s="94" t="s">
        <v>360</v>
      </c>
      <c r="C2475" s="24">
        <v>46034</v>
      </c>
      <c r="D2475" s="40">
        <v>607</v>
      </c>
      <c r="E2475" s="40"/>
      <c r="F2475" s="1071"/>
      <c r="G2475" t="s">
        <v>2176</v>
      </c>
    </row>
    <row r="2476" spans="1:7">
      <c r="A2476" s="181" t="s">
        <v>815</v>
      </c>
      <c r="B2476" s="94" t="s">
        <v>144</v>
      </c>
      <c r="C2476" s="24">
        <v>46034</v>
      </c>
      <c r="D2476" s="1064">
        <v>1812</v>
      </c>
      <c r="E2476" s="40"/>
      <c r="F2476" s="1071"/>
      <c r="G2476" t="s">
        <v>2176</v>
      </c>
    </row>
    <row r="2477" spans="1:7">
      <c r="A2477" s="181" t="s">
        <v>981</v>
      </c>
      <c r="B2477" s="94" t="s">
        <v>108</v>
      </c>
      <c r="C2477" s="24">
        <v>46034</v>
      </c>
      <c r="D2477" s="1064">
        <v>1314</v>
      </c>
      <c r="E2477" s="40"/>
      <c r="F2477" s="1071" t="s">
        <v>1766</v>
      </c>
      <c r="G2477" t="s">
        <v>2176</v>
      </c>
    </row>
    <row r="2478" spans="1:7">
      <c r="A2478" s="299" t="s">
        <v>368</v>
      </c>
      <c r="B2478" s="660" t="s">
        <v>144</v>
      </c>
      <c r="C2478" s="24">
        <v>46034</v>
      </c>
      <c r="D2478" s="40">
        <v>926</v>
      </c>
      <c r="E2478" s="40"/>
      <c r="F2478" s="1071" t="s">
        <v>2187</v>
      </c>
      <c r="G2478" t="s">
        <v>2176</v>
      </c>
    </row>
    <row r="2479" spans="1:7" ht="15.75">
      <c r="A2479" s="181" t="s">
        <v>997</v>
      </c>
      <c r="B2479" s="178" t="s">
        <v>1165</v>
      </c>
      <c r="C2479" s="242">
        <v>46035</v>
      </c>
      <c r="D2479" s="40"/>
      <c r="E2479" s="1064">
        <v>2112</v>
      </c>
      <c r="F2479" s="1071"/>
      <c r="G2479" t="s">
        <v>2176</v>
      </c>
    </row>
    <row r="2480" spans="1:7">
      <c r="A2480" s="320" t="s">
        <v>976</v>
      </c>
      <c r="B2480" s="1052" t="s">
        <v>108</v>
      </c>
      <c r="C2480" s="24">
        <v>46035</v>
      </c>
      <c r="D2480" s="40"/>
      <c r="E2480" s="1064">
        <v>1208</v>
      </c>
      <c r="F2480" s="1069"/>
      <c r="G2480" t="s">
        <v>2176</v>
      </c>
    </row>
    <row r="2481" spans="1:7">
      <c r="A2481" s="181" t="s">
        <v>1114</v>
      </c>
      <c r="B2481" s="94" t="s">
        <v>108</v>
      </c>
      <c r="C2481" s="24">
        <v>46035</v>
      </c>
      <c r="D2481" s="40">
        <v>914</v>
      </c>
      <c r="E2481" s="40"/>
      <c r="F2481" s="1071" t="s">
        <v>2188</v>
      </c>
      <c r="G2481" t="s">
        <v>2176</v>
      </c>
    </row>
    <row r="2482" spans="1:7">
      <c r="A2482" s="181" t="s">
        <v>1116</v>
      </c>
      <c r="B2482" s="94" t="s">
        <v>108</v>
      </c>
      <c r="C2482" s="24">
        <v>46035</v>
      </c>
      <c r="D2482" s="1064">
        <v>6092</v>
      </c>
      <c r="E2482" s="40"/>
      <c r="F2482" s="1071"/>
      <c r="G2482" t="s">
        <v>2176</v>
      </c>
    </row>
    <row r="2483" spans="1:7">
      <c r="A2483" s="181" t="s">
        <v>1112</v>
      </c>
      <c r="B2483" s="94" t="s">
        <v>108</v>
      </c>
      <c r="C2483" s="24">
        <v>46035</v>
      </c>
      <c r="D2483" s="1064">
        <v>1491</v>
      </c>
      <c r="E2483" s="40"/>
      <c r="F2483" s="1071"/>
      <c r="G2483" t="s">
        <v>2176</v>
      </c>
    </row>
    <row r="2484" spans="1:7">
      <c r="A2484" s="181" t="s">
        <v>1118</v>
      </c>
      <c r="B2484" s="94" t="s">
        <v>108</v>
      </c>
      <c r="C2484" s="24">
        <v>46035</v>
      </c>
      <c r="D2484" s="40">
        <v>822</v>
      </c>
      <c r="E2484" s="40"/>
      <c r="F2484" s="1071"/>
      <c r="G2484" t="s">
        <v>2176</v>
      </c>
    </row>
    <row r="2485" spans="1:7">
      <c r="A2485" s="299" t="s">
        <v>938</v>
      </c>
      <c r="B2485" s="660" t="s">
        <v>108</v>
      </c>
      <c r="C2485" s="24">
        <v>46035</v>
      </c>
      <c r="D2485" s="1064">
        <v>1435</v>
      </c>
      <c r="E2485" s="40"/>
      <c r="F2485" s="1071" t="s">
        <v>2189</v>
      </c>
      <c r="G2485" t="s">
        <v>2176</v>
      </c>
    </row>
    <row r="2486" spans="1:7" ht="15.75">
      <c r="A2486" s="181" t="s">
        <v>435</v>
      </c>
      <c r="B2486" s="178" t="s">
        <v>1165</v>
      </c>
      <c r="C2486" s="242">
        <v>46035</v>
      </c>
      <c r="D2486" s="40">
        <v>312</v>
      </c>
      <c r="E2486" s="40"/>
      <c r="F2486" s="1069" t="s">
        <v>1466</v>
      </c>
      <c r="G2486" t="s">
        <v>2176</v>
      </c>
    </row>
    <row r="2487" spans="1:7">
      <c r="A2487" s="320" t="s">
        <v>815</v>
      </c>
      <c r="B2487" s="1052" t="s">
        <v>144</v>
      </c>
      <c r="C2487" s="24">
        <v>46035</v>
      </c>
      <c r="D2487" s="1064">
        <v>1838</v>
      </c>
      <c r="E2487" s="40"/>
      <c r="F2487" s="1069"/>
      <c r="G2487" t="s">
        <v>2176</v>
      </c>
    </row>
    <row r="2488" spans="1:7">
      <c r="A2488" s="181" t="s">
        <v>330</v>
      </c>
      <c r="B2488" s="94" t="s">
        <v>2190</v>
      </c>
      <c r="C2488" s="24">
        <v>46035</v>
      </c>
      <c r="D2488" s="40"/>
      <c r="E2488" s="1064">
        <v>5312</v>
      </c>
      <c r="F2488" s="1071" t="s">
        <v>2191</v>
      </c>
      <c r="G2488" t="s">
        <v>2176</v>
      </c>
    </row>
    <row r="2489" spans="1:7">
      <c r="A2489" s="181" t="s">
        <v>359</v>
      </c>
      <c r="B2489" s="94" t="s">
        <v>360</v>
      </c>
      <c r="C2489" s="24">
        <v>46035</v>
      </c>
      <c r="D2489" s="40">
        <v>662</v>
      </c>
      <c r="E2489" s="40"/>
      <c r="F2489" s="1071"/>
      <c r="G2489" t="s">
        <v>2176</v>
      </c>
    </row>
    <row r="2490" spans="1:7">
      <c r="A2490" s="299" t="s">
        <v>368</v>
      </c>
      <c r="B2490" s="660" t="s">
        <v>144</v>
      </c>
      <c r="C2490" s="24">
        <v>46035</v>
      </c>
      <c r="D2490" s="1064">
        <v>1128</v>
      </c>
      <c r="E2490" s="40"/>
      <c r="F2490" s="1071" t="s">
        <v>2192</v>
      </c>
      <c r="G2490" t="s">
        <v>2176</v>
      </c>
    </row>
    <row r="2491" spans="1:7" ht="15.75">
      <c r="A2491" s="181" t="s">
        <v>914</v>
      </c>
      <c r="B2491" s="178" t="s">
        <v>1165</v>
      </c>
      <c r="C2491" s="242">
        <v>46035</v>
      </c>
      <c r="D2491" s="1064"/>
      <c r="E2491" s="40">
        <v>576</v>
      </c>
      <c r="F2491" s="1071"/>
      <c r="G2491" t="s">
        <v>2176</v>
      </c>
    </row>
    <row r="2492" spans="1:7">
      <c r="A2492" s="320" t="s">
        <v>914</v>
      </c>
      <c r="B2492" s="1052" t="s">
        <v>108</v>
      </c>
      <c r="C2492" s="24">
        <v>46036</v>
      </c>
      <c r="D2492" s="40">
        <v>0</v>
      </c>
      <c r="E2492" s="12"/>
      <c r="F2492" s="1070" t="s">
        <v>1565</v>
      </c>
      <c r="G2492" t="s">
        <v>2176</v>
      </c>
    </row>
    <row r="2493" spans="1:7">
      <c r="A2493" s="181" t="s">
        <v>1116</v>
      </c>
      <c r="B2493" s="94" t="s">
        <v>108</v>
      </c>
      <c r="C2493" s="24">
        <v>46036</v>
      </c>
      <c r="D2493" s="40">
        <v>0</v>
      </c>
      <c r="E2493" s="12"/>
      <c r="F2493" s="1071" t="s">
        <v>2193</v>
      </c>
      <c r="G2493" t="s">
        <v>2176</v>
      </c>
    </row>
    <row r="2494" spans="1:7">
      <c r="A2494" s="181" t="s">
        <v>1112</v>
      </c>
      <c r="B2494" s="94" t="s">
        <v>108</v>
      </c>
      <c r="C2494" s="24">
        <v>46036</v>
      </c>
      <c r="D2494" s="1064">
        <v>1062</v>
      </c>
      <c r="E2494" s="12"/>
      <c r="F2494" s="1071"/>
      <c r="G2494" t="s">
        <v>2176</v>
      </c>
    </row>
    <row r="2495" spans="1:7">
      <c r="A2495" s="181" t="s">
        <v>1118</v>
      </c>
      <c r="B2495" s="94" t="s">
        <v>108</v>
      </c>
      <c r="C2495" s="24">
        <v>46036</v>
      </c>
      <c r="D2495" s="1064">
        <v>2611</v>
      </c>
      <c r="E2495" s="12"/>
      <c r="F2495" s="1071"/>
      <c r="G2495" t="s">
        <v>2176</v>
      </c>
    </row>
    <row r="2496" spans="1:7">
      <c r="A2496" s="181" t="s">
        <v>359</v>
      </c>
      <c r="B2496" s="94" t="s">
        <v>360</v>
      </c>
      <c r="C2496" s="24">
        <v>46036</v>
      </c>
      <c r="D2496" s="40">
        <v>877</v>
      </c>
      <c r="E2496" s="12"/>
      <c r="F2496" s="1071" t="s">
        <v>2194</v>
      </c>
      <c r="G2496" t="s">
        <v>2176</v>
      </c>
    </row>
    <row r="2497" spans="1:7">
      <c r="A2497" s="181" t="s">
        <v>347</v>
      </c>
      <c r="B2497" s="94" t="s">
        <v>144</v>
      </c>
      <c r="C2497" s="24">
        <v>46036</v>
      </c>
      <c r="D2497" s="1064">
        <v>1200</v>
      </c>
      <c r="E2497" s="12"/>
      <c r="F2497" s="1071"/>
      <c r="G2497" t="s">
        <v>2176</v>
      </c>
    </row>
    <row r="2498" spans="1:7">
      <c r="A2498" s="181" t="s">
        <v>368</v>
      </c>
      <c r="B2498" s="94" t="s">
        <v>144</v>
      </c>
      <c r="C2498" s="24">
        <v>46036</v>
      </c>
      <c r="D2498" s="1064">
        <v>1082</v>
      </c>
      <c r="E2498" s="12"/>
      <c r="F2498" s="1071" t="s">
        <v>2195</v>
      </c>
      <c r="G2498" t="s">
        <v>2176</v>
      </c>
    </row>
    <row r="2499" spans="1:7">
      <c r="A2499" s="181" t="s">
        <v>938</v>
      </c>
      <c r="B2499" s="94" t="s">
        <v>108</v>
      </c>
      <c r="C2499" s="24">
        <v>46036</v>
      </c>
      <c r="D2499" s="1064">
        <v>1295</v>
      </c>
      <c r="E2499" s="12"/>
      <c r="F2499" s="1071" t="s">
        <v>2196</v>
      </c>
      <c r="G2499" t="s">
        <v>2176</v>
      </c>
    </row>
    <row r="2500" spans="1:7">
      <c r="A2500" s="299" t="s">
        <v>1122</v>
      </c>
      <c r="B2500" s="660" t="s">
        <v>108</v>
      </c>
      <c r="C2500" s="24">
        <v>46036</v>
      </c>
      <c r="D2500" s="40">
        <v>544</v>
      </c>
      <c r="E2500" s="12"/>
      <c r="F2500" s="1071" t="s">
        <v>2197</v>
      </c>
      <c r="G2500" t="s">
        <v>2176</v>
      </c>
    </row>
    <row r="2501" spans="1:7" ht="15.75">
      <c r="A2501" s="181" t="s">
        <v>1085</v>
      </c>
      <c r="B2501" s="178" t="s">
        <v>1165</v>
      </c>
      <c r="C2501" s="242">
        <v>46036</v>
      </c>
      <c r="D2501" s="40"/>
      <c r="E2501" s="1064">
        <v>1562</v>
      </c>
      <c r="F2501" s="1071"/>
      <c r="G2501" t="s">
        <v>2176</v>
      </c>
    </row>
    <row r="2502" spans="1:7">
      <c r="A2502" s="320" t="s">
        <v>1114</v>
      </c>
      <c r="B2502" s="1052" t="s">
        <v>108</v>
      </c>
      <c r="C2502" s="24">
        <v>46036</v>
      </c>
      <c r="D2502" s="40">
        <v>0</v>
      </c>
      <c r="E2502" s="12"/>
      <c r="F2502" s="1071" t="s">
        <v>2198</v>
      </c>
      <c r="G2502" t="s">
        <v>2176</v>
      </c>
    </row>
    <row r="2503" spans="1:7">
      <c r="A2503" s="181" t="s">
        <v>1120</v>
      </c>
      <c r="B2503" s="94" t="s">
        <v>108</v>
      </c>
      <c r="C2503" s="24">
        <v>46036</v>
      </c>
      <c r="D2503" s="1064">
        <v>1728</v>
      </c>
      <c r="E2503" s="12"/>
      <c r="F2503" s="1071" t="s">
        <v>1852</v>
      </c>
      <c r="G2503" t="s">
        <v>2176</v>
      </c>
    </row>
    <row r="2504" spans="1:7">
      <c r="A2504" s="181" t="s">
        <v>1112</v>
      </c>
      <c r="B2504" s="94" t="s">
        <v>108</v>
      </c>
      <c r="C2504" s="24">
        <v>46037</v>
      </c>
      <c r="D2504" s="40">
        <v>527</v>
      </c>
      <c r="E2504" s="12"/>
      <c r="F2504" s="1071" t="s">
        <v>1917</v>
      </c>
      <c r="G2504" t="s">
        <v>2176</v>
      </c>
    </row>
    <row r="2505" spans="1:7">
      <c r="A2505" s="181" t="s">
        <v>1124</v>
      </c>
      <c r="B2505" s="94" t="s">
        <v>108</v>
      </c>
      <c r="C2505" s="24">
        <v>46037</v>
      </c>
      <c r="D2505" s="1064">
        <v>1562</v>
      </c>
      <c r="E2505" s="12"/>
      <c r="F2505" s="1071"/>
      <c r="G2505" t="s">
        <v>2176</v>
      </c>
    </row>
    <row r="2506" spans="1:7">
      <c r="A2506" s="181" t="s">
        <v>1122</v>
      </c>
      <c r="B2506" s="94" t="s">
        <v>108</v>
      </c>
      <c r="C2506" s="24">
        <v>46037</v>
      </c>
      <c r="D2506" s="1064">
        <v>2832</v>
      </c>
      <c r="E2506" s="12"/>
      <c r="F2506" s="1071"/>
      <c r="G2506" t="s">
        <v>2176</v>
      </c>
    </row>
    <row r="2507" spans="1:7">
      <c r="A2507" s="181" t="s">
        <v>1116</v>
      </c>
      <c r="B2507" s="94" t="s">
        <v>108</v>
      </c>
      <c r="C2507" s="24">
        <v>46037</v>
      </c>
      <c r="D2507" s="40">
        <v>0</v>
      </c>
      <c r="E2507" s="12"/>
      <c r="F2507" s="1071" t="s">
        <v>2199</v>
      </c>
      <c r="G2507" t="s">
        <v>2176</v>
      </c>
    </row>
    <row r="2508" spans="1:7">
      <c r="A2508" s="181" t="s">
        <v>1126</v>
      </c>
      <c r="B2508" s="94" t="s">
        <v>108</v>
      </c>
      <c r="C2508" s="24">
        <v>46037</v>
      </c>
      <c r="D2508" s="1064">
        <v>1639</v>
      </c>
      <c r="E2508" s="12"/>
      <c r="F2508" s="1071"/>
      <c r="G2508" t="s">
        <v>2176</v>
      </c>
    </row>
    <row r="2509" spans="1:7">
      <c r="A2509" s="181" t="s">
        <v>347</v>
      </c>
      <c r="B2509" s="94" t="s">
        <v>144</v>
      </c>
      <c r="C2509" s="24">
        <v>46037</v>
      </c>
      <c r="D2509" s="40">
        <v>445</v>
      </c>
      <c r="E2509" s="12"/>
      <c r="F2509" s="1071"/>
      <c r="G2509" t="s">
        <v>2176</v>
      </c>
    </row>
    <row r="2510" spans="1:7">
      <c r="A2510" s="181" t="s">
        <v>359</v>
      </c>
      <c r="B2510" s="94" t="s">
        <v>360</v>
      </c>
      <c r="C2510" s="24">
        <v>46037</v>
      </c>
      <c r="D2510" s="40">
        <v>499</v>
      </c>
      <c r="E2510" s="12"/>
      <c r="F2510" s="1071" t="s">
        <v>2200</v>
      </c>
      <c r="G2510" t="s">
        <v>2176</v>
      </c>
    </row>
    <row r="2511" spans="1:7">
      <c r="A2511" s="299" t="s">
        <v>368</v>
      </c>
      <c r="B2511" s="660" t="s">
        <v>144</v>
      </c>
      <c r="C2511" s="24">
        <v>46037</v>
      </c>
      <c r="D2511" s="1064">
        <v>1325</v>
      </c>
      <c r="E2511" s="12"/>
      <c r="F2511" s="1071" t="s">
        <v>2201</v>
      </c>
      <c r="G2511" t="s">
        <v>2176</v>
      </c>
    </row>
    <row r="2512" spans="1:7" ht="15.75">
      <c r="A2512" s="181" t="s">
        <v>1183</v>
      </c>
      <c r="B2512" s="178" t="s">
        <v>1165</v>
      </c>
      <c r="C2512" s="242">
        <v>46037</v>
      </c>
      <c r="D2512" s="40">
        <v>142</v>
      </c>
      <c r="E2512" s="12"/>
      <c r="F2512" s="1071" t="s">
        <v>2202</v>
      </c>
      <c r="G2512" t="s">
        <v>2176</v>
      </c>
    </row>
    <row r="2513" spans="1:7">
      <c r="A2513" s="320" t="s">
        <v>815</v>
      </c>
      <c r="B2513" s="1052" t="s">
        <v>144</v>
      </c>
      <c r="C2513" s="272">
        <v>46037</v>
      </c>
      <c r="D2513" s="261">
        <v>0</v>
      </c>
      <c r="E2513" s="185"/>
      <c r="F2513" s="1006" t="s">
        <v>2203</v>
      </c>
      <c r="G2513" t="s">
        <v>2176</v>
      </c>
    </row>
    <row r="2514" spans="1:7">
      <c r="A2514" s="320" t="s">
        <v>1126</v>
      </c>
      <c r="B2514" s="94" t="s">
        <v>108</v>
      </c>
      <c r="C2514" s="272">
        <v>46038</v>
      </c>
      <c r="D2514" s="261">
        <v>987</v>
      </c>
      <c r="E2514" s="185"/>
      <c r="F2514" s="1071"/>
      <c r="G2514" t="s">
        <v>2176</v>
      </c>
    </row>
    <row r="2515" spans="1:7">
      <c r="A2515" s="181" t="s">
        <v>1122</v>
      </c>
      <c r="B2515" s="94" t="s">
        <v>108</v>
      </c>
      <c r="C2515" s="24">
        <v>46038</v>
      </c>
      <c r="D2515" s="40">
        <v>457</v>
      </c>
      <c r="F2515" s="1071"/>
      <c r="G2515" t="s">
        <v>2176</v>
      </c>
    </row>
    <row r="2516" spans="1:7">
      <c r="A2516" s="181" t="s">
        <v>1120</v>
      </c>
      <c r="B2516" s="94" t="s">
        <v>108</v>
      </c>
      <c r="C2516" s="24">
        <v>46038</v>
      </c>
      <c r="D2516" s="1064">
        <v>3082</v>
      </c>
      <c r="F2516" s="1071"/>
      <c r="G2516" t="s">
        <v>2176</v>
      </c>
    </row>
    <row r="2517" spans="1:7">
      <c r="A2517" s="181" t="s">
        <v>359</v>
      </c>
      <c r="B2517" s="94" t="s">
        <v>360</v>
      </c>
      <c r="C2517" s="24">
        <v>46038</v>
      </c>
      <c r="D2517" s="40">
        <v>186</v>
      </c>
      <c r="F2517" s="1071" t="s">
        <v>2197</v>
      </c>
      <c r="G2517" t="s">
        <v>2176</v>
      </c>
    </row>
    <row r="2518" spans="1:7">
      <c r="A2518" s="181" t="s">
        <v>347</v>
      </c>
      <c r="B2518" s="94" t="s">
        <v>144</v>
      </c>
      <c r="C2518" s="24">
        <v>46038</v>
      </c>
      <c r="D2518" s="40">
        <v>686</v>
      </c>
      <c r="F2518" s="1073"/>
      <c r="G2518" t="s">
        <v>2176</v>
      </c>
    </row>
    <row r="2519" spans="1:7">
      <c r="A2519" s="299" t="s">
        <v>1124</v>
      </c>
      <c r="B2519" s="660" t="s">
        <v>108</v>
      </c>
      <c r="C2519" s="24">
        <v>46038</v>
      </c>
      <c r="D2519" s="1064">
        <v>673</v>
      </c>
      <c r="F2519" s="1071"/>
      <c r="G2519" t="s">
        <v>2176</v>
      </c>
    </row>
    <row r="2520" spans="1:7" ht="15.75">
      <c r="A2520" s="181" t="s">
        <v>668</v>
      </c>
      <c r="B2520" s="178" t="s">
        <v>1165</v>
      </c>
      <c r="C2520" s="242">
        <v>46038</v>
      </c>
      <c r="D2520" s="40">
        <v>50</v>
      </c>
      <c r="F2520" s="1006" t="s">
        <v>2204</v>
      </c>
      <c r="G2520" t="s">
        <v>2176</v>
      </c>
    </row>
    <row r="2521" spans="1:7" ht="15.75">
      <c r="A2521" s="181" t="s">
        <v>428</v>
      </c>
      <c r="B2521" s="178" t="s">
        <v>1165</v>
      </c>
      <c r="C2521" s="242">
        <v>46038</v>
      </c>
      <c r="D2521" s="40">
        <v>107</v>
      </c>
      <c r="F2521" s="1072"/>
      <c r="G2521" t="s">
        <v>2176</v>
      </c>
    </row>
    <row r="2522" spans="1:7">
      <c r="A2522" s="1171" t="s">
        <v>368</v>
      </c>
      <c r="B2522" s="1204" t="s">
        <v>144</v>
      </c>
      <c r="C2522" s="24">
        <v>46038</v>
      </c>
      <c r="D2522" s="40">
        <v>441</v>
      </c>
      <c r="E2522" s="138"/>
      <c r="F2522" s="1073" t="s">
        <v>2205</v>
      </c>
      <c r="G2522" t="s">
        <v>2176</v>
      </c>
    </row>
    <row r="2523" spans="1:7">
      <c r="A2523" s="299"/>
      <c r="B2523" s="660"/>
      <c r="C2523" s="242">
        <v>46041</v>
      </c>
      <c r="D2523" s="260">
        <v>0</v>
      </c>
      <c r="E2523" s="138"/>
      <c r="F2523" s="1073"/>
      <c r="G2523" t="s">
        <v>2176</v>
      </c>
    </row>
    <row r="2524" spans="1:7" ht="15.75">
      <c r="A2524" s="78" t="s">
        <v>428</v>
      </c>
      <c r="B2524" s="178" t="s">
        <v>1165</v>
      </c>
      <c r="C2524" s="242">
        <v>46042</v>
      </c>
      <c r="D2524" s="260">
        <v>183</v>
      </c>
      <c r="E2524" s="12"/>
      <c r="F2524" s="1071"/>
      <c r="G2524" t="s">
        <v>2176</v>
      </c>
    </row>
    <row r="2525" spans="1:7">
      <c r="A2525" s="320" t="s">
        <v>938</v>
      </c>
      <c r="B2525" s="1052" t="s">
        <v>108</v>
      </c>
      <c r="C2525" s="24">
        <v>46042</v>
      </c>
      <c r="D2525" s="12">
        <v>0</v>
      </c>
      <c r="E2525" s="185"/>
      <c r="F2525" s="1091" t="s">
        <v>1565</v>
      </c>
      <c r="G2525" t="s">
        <v>2176</v>
      </c>
    </row>
    <row r="2526" spans="1:7">
      <c r="A2526" s="243" t="s">
        <v>134</v>
      </c>
      <c r="B2526" s="94" t="s">
        <v>108</v>
      </c>
      <c r="C2526" s="24">
        <v>46042</v>
      </c>
      <c r="D2526" s="92">
        <v>1344</v>
      </c>
      <c r="F2526" s="1069" t="s">
        <v>1701</v>
      </c>
      <c r="G2526" t="s">
        <v>2176</v>
      </c>
    </row>
    <row r="2527" spans="1:7">
      <c r="A2527" s="243" t="s">
        <v>347</v>
      </c>
      <c r="B2527" s="243" t="s">
        <v>144</v>
      </c>
      <c r="C2527" s="24">
        <v>46042</v>
      </c>
      <c r="D2527" s="12">
        <v>0</v>
      </c>
      <c r="F2527" s="243" t="s">
        <v>2002</v>
      </c>
      <c r="G2527" t="s">
        <v>2176</v>
      </c>
    </row>
    <row r="2528" spans="1:7">
      <c r="A2528" s="247" t="s">
        <v>1235</v>
      </c>
      <c r="B2528" s="247" t="s">
        <v>360</v>
      </c>
      <c r="C2528" s="24">
        <v>46042</v>
      </c>
      <c r="D2528" s="12">
        <v>660</v>
      </c>
      <c r="F2528" s="1069" t="s">
        <v>2206</v>
      </c>
      <c r="G2528" t="s">
        <v>2176</v>
      </c>
    </row>
    <row r="2529" spans="1:7">
      <c r="A2529" s="247" t="s">
        <v>1236</v>
      </c>
      <c r="B2529" s="247" t="s">
        <v>1936</v>
      </c>
      <c r="C2529" s="24">
        <v>46042</v>
      </c>
      <c r="D2529" s="92">
        <v>1382</v>
      </c>
      <c r="F2529" s="1069" t="s">
        <v>2125</v>
      </c>
      <c r="G2529" t="s">
        <v>2176</v>
      </c>
    </row>
    <row r="2530" spans="1:7">
      <c r="A2530" s="247" t="s">
        <v>217</v>
      </c>
      <c r="B2530" s="247" t="s">
        <v>144</v>
      </c>
      <c r="C2530" s="24">
        <v>46042</v>
      </c>
      <c r="D2530" s="92">
        <v>2719</v>
      </c>
      <c r="F2530" s="1069" t="s">
        <v>2207</v>
      </c>
      <c r="G2530" t="s">
        <v>2176</v>
      </c>
    </row>
    <row r="2531" spans="1:7">
      <c r="A2531" s="243" t="s">
        <v>1126</v>
      </c>
      <c r="B2531" s="94" t="s">
        <v>108</v>
      </c>
      <c r="C2531" s="24">
        <v>46042</v>
      </c>
      <c r="D2531" s="12">
        <v>0</v>
      </c>
      <c r="F2531" s="243" t="s">
        <v>2002</v>
      </c>
      <c r="G2531" t="s">
        <v>2176</v>
      </c>
    </row>
    <row r="2532" spans="1:7">
      <c r="A2532" s="247" t="s">
        <v>1128</v>
      </c>
      <c r="B2532" s="94" t="s">
        <v>108</v>
      </c>
      <c r="C2532" s="24">
        <v>46042</v>
      </c>
      <c r="D2532" s="92">
        <v>1277</v>
      </c>
      <c r="F2532" s="1069"/>
      <c r="G2532" t="s">
        <v>2176</v>
      </c>
    </row>
    <row r="2533" spans="1:7">
      <c r="A2533" s="600" t="s">
        <v>1122</v>
      </c>
      <c r="B2533" s="94" t="s">
        <v>108</v>
      </c>
      <c r="C2533" s="265">
        <v>46042</v>
      </c>
      <c r="D2533" s="52">
        <v>506</v>
      </c>
      <c r="E2533" s="138"/>
      <c r="F2533" s="1106"/>
      <c r="G2533" t="s">
        <v>2176</v>
      </c>
    </row>
    <row r="2534" spans="1:7">
      <c r="A2534" s="238" t="s">
        <v>392</v>
      </c>
      <c r="B2534" s="660" t="s">
        <v>108</v>
      </c>
      <c r="C2534" s="24">
        <v>46042</v>
      </c>
      <c r="D2534" s="92">
        <v>2209</v>
      </c>
      <c r="E2534" s="12"/>
      <c r="F2534" s="1069" t="s">
        <v>1841</v>
      </c>
      <c r="G2534" t="s">
        <v>2176</v>
      </c>
    </row>
    <row r="2535" spans="1:7" ht="15.75">
      <c r="A2535" s="78" t="s">
        <v>428</v>
      </c>
      <c r="B2535" s="178" t="s">
        <v>1165</v>
      </c>
      <c r="C2535" s="251">
        <v>46043</v>
      </c>
      <c r="D2535" s="106">
        <v>182</v>
      </c>
      <c r="E2535" s="185"/>
      <c r="F2535" s="1107"/>
      <c r="G2535" t="s">
        <v>2176</v>
      </c>
    </row>
    <row r="2536" spans="1:7">
      <c r="A2536" s="600" t="s">
        <v>1208</v>
      </c>
      <c r="B2536" s="600" t="s">
        <v>360</v>
      </c>
      <c r="C2536" s="24">
        <v>46043</v>
      </c>
      <c r="D2536" s="12">
        <v>150</v>
      </c>
      <c r="F2536" s="1069"/>
      <c r="G2536" t="s">
        <v>2176</v>
      </c>
    </row>
    <row r="2537" spans="1:7">
      <c r="A2537" s="78" t="s">
        <v>553</v>
      </c>
      <c r="B2537" s="179" t="s">
        <v>554</v>
      </c>
      <c r="C2537" s="242">
        <v>46043</v>
      </c>
      <c r="D2537" s="12">
        <v>686</v>
      </c>
      <c r="F2537" s="1069" t="s">
        <v>2185</v>
      </c>
      <c r="G2537" t="s">
        <v>2176</v>
      </c>
    </row>
    <row r="2538" spans="1:7">
      <c r="A2538" s="600" t="s">
        <v>941</v>
      </c>
      <c r="B2538" s="1204" t="s">
        <v>108</v>
      </c>
      <c r="C2538" s="24">
        <v>46043</v>
      </c>
      <c r="D2538" s="12">
        <v>867</v>
      </c>
      <c r="F2538" s="1069" t="s">
        <v>2208</v>
      </c>
      <c r="G2538" t="s">
        <v>2176</v>
      </c>
    </row>
    <row r="2539" spans="1:7" ht="15.75">
      <c r="A2539" s="78" t="s">
        <v>981</v>
      </c>
      <c r="B2539" s="178" t="s">
        <v>1165</v>
      </c>
      <c r="C2539" s="242">
        <v>46043</v>
      </c>
      <c r="E2539" s="253">
        <v>3507</v>
      </c>
      <c r="F2539" s="1069" t="s">
        <v>2209</v>
      </c>
      <c r="G2539" t="s">
        <v>2176</v>
      </c>
    </row>
    <row r="2540" spans="1:7">
      <c r="A2540" s="247" t="s">
        <v>1235</v>
      </c>
      <c r="B2540" s="247" t="s">
        <v>360</v>
      </c>
      <c r="C2540" s="24">
        <v>46043</v>
      </c>
      <c r="D2540" s="12">
        <v>754</v>
      </c>
      <c r="F2540" s="1069" t="s">
        <v>2210</v>
      </c>
      <c r="G2540" t="s">
        <v>2176</v>
      </c>
    </row>
    <row r="2541" spans="1:7">
      <c r="A2541" s="247" t="s">
        <v>1236</v>
      </c>
      <c r="B2541" s="247" t="s">
        <v>1936</v>
      </c>
      <c r="C2541" s="24">
        <v>46043</v>
      </c>
      <c r="D2541" s="12">
        <v>993</v>
      </c>
      <c r="F2541" s="1069" t="s">
        <v>2211</v>
      </c>
      <c r="G2541" t="s">
        <v>2176</v>
      </c>
    </row>
    <row r="2542" spans="1:7">
      <c r="A2542" s="247" t="s">
        <v>217</v>
      </c>
      <c r="B2542" s="247" t="s">
        <v>144</v>
      </c>
      <c r="C2542" s="24">
        <v>46043</v>
      </c>
      <c r="D2542" s="92">
        <v>408</v>
      </c>
      <c r="F2542" s="1069"/>
      <c r="G2542" t="s">
        <v>2176</v>
      </c>
    </row>
    <row r="2543" spans="1:7">
      <c r="A2543" s="247" t="s">
        <v>224</v>
      </c>
      <c r="B2543" s="247" t="s">
        <v>144</v>
      </c>
      <c r="C2543" s="24">
        <v>46043</v>
      </c>
      <c r="D2543" s="92">
        <v>2000</v>
      </c>
      <c r="F2543" s="1069"/>
      <c r="G2543" t="s">
        <v>2176</v>
      </c>
    </row>
    <row r="2544" spans="1:7">
      <c r="A2544" s="243" t="s">
        <v>1126</v>
      </c>
      <c r="B2544" s="94" t="s">
        <v>108</v>
      </c>
      <c r="C2544" s="24">
        <v>46043</v>
      </c>
      <c r="D2544" s="12">
        <v>575</v>
      </c>
      <c r="F2544" s="1069"/>
      <c r="G2544" t="s">
        <v>2176</v>
      </c>
    </row>
    <row r="2545" spans="1:7">
      <c r="A2545" s="600" t="s">
        <v>1124</v>
      </c>
      <c r="B2545" s="94" t="s">
        <v>108</v>
      </c>
      <c r="C2545" s="265">
        <v>46043</v>
      </c>
      <c r="D2545" s="1105">
        <v>2265</v>
      </c>
      <c r="E2545" s="138"/>
      <c r="F2545" s="1106"/>
      <c r="G2545" t="s">
        <v>2176</v>
      </c>
    </row>
    <row r="2546" spans="1:7">
      <c r="A2546" s="238" t="s">
        <v>1103</v>
      </c>
      <c r="B2546" s="660" t="s">
        <v>108</v>
      </c>
      <c r="C2546" s="24">
        <v>46043</v>
      </c>
      <c r="D2546" s="92"/>
      <c r="E2546" s="12"/>
      <c r="F2546" s="652" t="s">
        <v>1565</v>
      </c>
      <c r="G2546" t="s">
        <v>2176</v>
      </c>
    </row>
    <row r="2547" spans="1:7" ht="15.75">
      <c r="A2547" s="78" t="s">
        <v>428</v>
      </c>
      <c r="B2547" s="178" t="s">
        <v>1165</v>
      </c>
      <c r="C2547" s="251">
        <v>46044</v>
      </c>
      <c r="D2547" s="106">
        <v>186</v>
      </c>
      <c r="E2547" s="185"/>
      <c r="F2547" s="1107" t="s">
        <v>1405</v>
      </c>
      <c r="G2547" t="s">
        <v>2176</v>
      </c>
    </row>
    <row r="2548" spans="1:7">
      <c r="A2548" s="600" t="s">
        <v>1208</v>
      </c>
      <c r="B2548" s="600" t="s">
        <v>360</v>
      </c>
      <c r="C2548" s="24">
        <v>46044</v>
      </c>
      <c r="D2548" s="12">
        <v>0</v>
      </c>
      <c r="F2548" s="1004" t="s">
        <v>1542</v>
      </c>
      <c r="G2548" t="s">
        <v>2176</v>
      </c>
    </row>
    <row r="2549" spans="1:7">
      <c r="A2549" s="78" t="s">
        <v>553</v>
      </c>
      <c r="B2549" s="179" t="s">
        <v>554</v>
      </c>
      <c r="C2549" s="242">
        <v>46044</v>
      </c>
      <c r="D2549" s="12">
        <v>736</v>
      </c>
      <c r="F2549" s="1069" t="s">
        <v>2212</v>
      </c>
      <c r="G2549" t="s">
        <v>2176</v>
      </c>
    </row>
    <row r="2550" spans="1:7">
      <c r="A2550" s="600" t="s">
        <v>941</v>
      </c>
      <c r="B2550" s="1204" t="s">
        <v>108</v>
      </c>
      <c r="C2550" s="24">
        <v>46044</v>
      </c>
      <c r="D2550" s="92">
        <v>1539</v>
      </c>
      <c r="F2550" s="1069" t="s">
        <v>2213</v>
      </c>
      <c r="G2550" t="s">
        <v>2176</v>
      </c>
    </row>
    <row r="2551" spans="1:7" ht="15.75">
      <c r="A2551" s="78" t="s">
        <v>938</v>
      </c>
      <c r="B2551" s="178" t="s">
        <v>1165</v>
      </c>
      <c r="C2551" s="242">
        <v>46044</v>
      </c>
      <c r="E2551" s="76">
        <v>486</v>
      </c>
      <c r="F2551" s="1069" t="s">
        <v>2214</v>
      </c>
      <c r="G2551" t="s">
        <v>2176</v>
      </c>
    </row>
    <row r="2552" spans="1:7">
      <c r="A2552" s="247" t="s">
        <v>1235</v>
      </c>
      <c r="B2552" s="247" t="s">
        <v>360</v>
      </c>
      <c r="C2552" s="24">
        <v>46044</v>
      </c>
      <c r="D2552" s="12">
        <v>520</v>
      </c>
      <c r="F2552" s="1069" t="s">
        <v>2200</v>
      </c>
      <c r="G2552" t="s">
        <v>2176</v>
      </c>
    </row>
    <row r="2553" spans="1:7">
      <c r="A2553" s="247" t="s">
        <v>1236</v>
      </c>
      <c r="B2553" s="247" t="s">
        <v>1936</v>
      </c>
      <c r="C2553" s="24">
        <v>46044</v>
      </c>
      <c r="D2553" s="92">
        <v>1462</v>
      </c>
      <c r="F2553" s="1069" t="s">
        <v>2215</v>
      </c>
      <c r="G2553" t="s">
        <v>2176</v>
      </c>
    </row>
    <row r="2554" spans="1:7">
      <c r="A2554" s="247" t="s">
        <v>343</v>
      </c>
      <c r="B2554" s="247" t="s">
        <v>144</v>
      </c>
      <c r="C2554" s="24">
        <v>46044</v>
      </c>
      <c r="D2554" s="92">
        <v>2031</v>
      </c>
      <c r="F2554" s="1069" t="s">
        <v>2216</v>
      </c>
      <c r="G2554" t="s">
        <v>2176</v>
      </c>
    </row>
    <row r="2555" spans="1:7">
      <c r="A2555" s="247" t="s">
        <v>224</v>
      </c>
      <c r="B2555" s="247" t="s">
        <v>144</v>
      </c>
      <c r="C2555" s="24">
        <v>46044</v>
      </c>
      <c r="D2555" s="12">
        <v>970</v>
      </c>
      <c r="F2555" s="1069" t="s">
        <v>2217</v>
      </c>
      <c r="G2555" t="s">
        <v>2176</v>
      </c>
    </row>
    <row r="2556" spans="1:7">
      <c r="A2556" s="247" t="s">
        <v>1112</v>
      </c>
      <c r="B2556" s="94" t="s">
        <v>108</v>
      </c>
      <c r="C2556" s="24">
        <v>46044</v>
      </c>
      <c r="D2556" s="92">
        <v>1776</v>
      </c>
      <c r="F2556" s="1069" t="s">
        <v>2218</v>
      </c>
      <c r="G2556" t="s">
        <v>2176</v>
      </c>
    </row>
    <row r="2557" spans="1:7">
      <c r="A2557" s="600" t="s">
        <v>1103</v>
      </c>
      <c r="B2557" s="660" t="s">
        <v>108</v>
      </c>
      <c r="C2557" s="24">
        <v>46044</v>
      </c>
      <c r="D2557" s="92">
        <v>1940</v>
      </c>
      <c r="F2557" s="1069" t="s">
        <v>2219</v>
      </c>
      <c r="G2557" t="s">
        <v>2176</v>
      </c>
    </row>
    <row r="2558" spans="1:7" ht="15.75">
      <c r="A2558" s="78" t="s">
        <v>1183</v>
      </c>
      <c r="B2558" s="178" t="s">
        <v>1165</v>
      </c>
      <c r="C2558" s="242">
        <v>46045</v>
      </c>
      <c r="D2558" s="12">
        <v>57</v>
      </c>
      <c r="F2558" s="1069" t="s">
        <v>1762</v>
      </c>
      <c r="G2558" t="s">
        <v>2176</v>
      </c>
    </row>
    <row r="2559" spans="1:7">
      <c r="A2559" s="247" t="s">
        <v>1208</v>
      </c>
      <c r="B2559" s="247" t="s">
        <v>360</v>
      </c>
      <c r="C2559" s="24">
        <v>46045</v>
      </c>
      <c r="D2559" s="12">
        <v>274</v>
      </c>
      <c r="F2559" s="1069"/>
      <c r="G2559" t="s">
        <v>2176</v>
      </c>
    </row>
    <row r="2560" spans="1:7">
      <c r="A2560" s="243" t="s">
        <v>1235</v>
      </c>
      <c r="B2560" s="243" t="s">
        <v>360</v>
      </c>
      <c r="C2560" s="24">
        <v>46045</v>
      </c>
      <c r="D2560" s="12">
        <v>0</v>
      </c>
      <c r="F2560" s="1069" t="s">
        <v>1246</v>
      </c>
      <c r="G2560" t="s">
        <v>2176</v>
      </c>
    </row>
    <row r="2561" spans="1:7">
      <c r="A2561" s="247" t="s">
        <v>1236</v>
      </c>
      <c r="B2561" s="247" t="s">
        <v>1936</v>
      </c>
      <c r="C2561" s="24">
        <v>46045</v>
      </c>
      <c r="D2561" s="92">
        <v>1617</v>
      </c>
      <c r="F2561" s="1069"/>
      <c r="G2561" t="s">
        <v>2176</v>
      </c>
    </row>
    <row r="2562" spans="1:7">
      <c r="A2562" s="247" t="s">
        <v>343</v>
      </c>
      <c r="B2562" s="247" t="s">
        <v>144</v>
      </c>
      <c r="C2562" s="24">
        <v>46045</v>
      </c>
      <c r="D2562" s="12">
        <v>845</v>
      </c>
      <c r="F2562" s="1069" t="s">
        <v>2220</v>
      </c>
      <c r="G2562" t="s">
        <v>2176</v>
      </c>
    </row>
    <row r="2563" spans="1:7">
      <c r="A2563" s="243" t="s">
        <v>1124</v>
      </c>
      <c r="B2563" s="94" t="s">
        <v>108</v>
      </c>
      <c r="C2563" s="24">
        <v>46045</v>
      </c>
      <c r="D2563" s="92">
        <v>2651</v>
      </c>
      <c r="F2563" s="1069" t="s">
        <v>2221</v>
      </c>
      <c r="G2563" t="s">
        <v>2176</v>
      </c>
    </row>
    <row r="2564" spans="1:7">
      <c r="A2564" s="600" t="s">
        <v>1126</v>
      </c>
      <c r="B2564" s="660" t="s">
        <v>108</v>
      </c>
      <c r="C2564" s="24">
        <v>46045</v>
      </c>
      <c r="D2564" s="12">
        <v>818</v>
      </c>
      <c r="F2564" s="1069"/>
      <c r="G2564" t="s">
        <v>2176</v>
      </c>
    </row>
    <row r="2565" spans="1:7" ht="15.75">
      <c r="A2565" s="78" t="s">
        <v>409</v>
      </c>
      <c r="B2565" s="178" t="s">
        <v>1165</v>
      </c>
      <c r="C2565" s="242">
        <v>46045</v>
      </c>
      <c r="E2565" s="253">
        <v>1907</v>
      </c>
      <c r="F2565" s="243" t="s">
        <v>1707</v>
      </c>
      <c r="G2565" t="s">
        <v>2176</v>
      </c>
    </row>
    <row r="2566" spans="1:7">
      <c r="A2566" s="754" t="s">
        <v>1208</v>
      </c>
      <c r="B2566" s="754" t="s">
        <v>360</v>
      </c>
      <c r="C2566" s="24">
        <v>46048</v>
      </c>
      <c r="F2566" s="1004" t="s">
        <v>2222</v>
      </c>
      <c r="G2566" t="s">
        <v>2176</v>
      </c>
    </row>
    <row r="2567" spans="1:7">
      <c r="A2567" s="634" t="s">
        <v>941</v>
      </c>
      <c r="B2567" s="660" t="s">
        <v>108</v>
      </c>
      <c r="C2567" s="24">
        <v>46048</v>
      </c>
      <c r="D2567" s="92">
        <v>1590</v>
      </c>
      <c r="F2567" s="1069" t="s">
        <v>2024</v>
      </c>
      <c r="G2567" t="s">
        <v>2176</v>
      </c>
    </row>
    <row r="2568" spans="1:7">
      <c r="A2568" s="610" t="s">
        <v>553</v>
      </c>
      <c r="B2568" s="179" t="s">
        <v>554</v>
      </c>
      <c r="C2568" s="242">
        <v>46048</v>
      </c>
      <c r="D2568" s="12">
        <v>835</v>
      </c>
      <c r="F2568" s="1069" t="s">
        <v>2223</v>
      </c>
      <c r="G2568" t="s">
        <v>2176</v>
      </c>
    </row>
    <row r="2569" spans="1:7">
      <c r="A2569" s="754" t="s">
        <v>944</v>
      </c>
      <c r="B2569" s="1052" t="s">
        <v>108</v>
      </c>
      <c r="C2569" s="24">
        <v>46048</v>
      </c>
      <c r="F2569" s="612" t="s">
        <v>2224</v>
      </c>
      <c r="G2569" t="s">
        <v>2176</v>
      </c>
    </row>
    <row r="2570" spans="1:7">
      <c r="A2570" s="1108" t="s">
        <v>134</v>
      </c>
      <c r="B2570" s="660" t="s">
        <v>108</v>
      </c>
      <c r="C2570" s="24">
        <v>46048</v>
      </c>
      <c r="D2570" s="12">
        <v>886</v>
      </c>
      <c r="F2570" s="1069" t="s">
        <v>1393</v>
      </c>
      <c r="G2570" t="s">
        <v>2176</v>
      </c>
    </row>
    <row r="2571" spans="1:7" ht="15.75">
      <c r="A2571" s="610" t="s">
        <v>981</v>
      </c>
      <c r="B2571" s="178" t="s">
        <v>1165</v>
      </c>
      <c r="C2571" s="242">
        <v>46048</v>
      </c>
      <c r="E2571" s="76">
        <v>313</v>
      </c>
      <c r="F2571" s="1069" t="s">
        <v>2225</v>
      </c>
      <c r="G2571" t="s">
        <v>2176</v>
      </c>
    </row>
    <row r="2572" spans="1:7">
      <c r="A2572" s="754" t="s">
        <v>1235</v>
      </c>
      <c r="B2572" s="754" t="s">
        <v>360</v>
      </c>
      <c r="C2572" s="24">
        <v>46048</v>
      </c>
      <c r="D2572" s="12">
        <v>376</v>
      </c>
      <c r="F2572" s="1069" t="s">
        <v>1916</v>
      </c>
      <c r="G2572" t="s">
        <v>2176</v>
      </c>
    </row>
    <row r="2573" spans="1:7">
      <c r="A2573" s="754" t="s">
        <v>1236</v>
      </c>
      <c r="B2573" s="754" t="s">
        <v>1936</v>
      </c>
      <c r="C2573" s="24">
        <v>46048</v>
      </c>
      <c r="D2573" s="92">
        <v>1642</v>
      </c>
      <c r="F2573" s="12" t="s">
        <v>2226</v>
      </c>
      <c r="G2573" t="s">
        <v>2176</v>
      </c>
    </row>
    <row r="2574" spans="1:7">
      <c r="A2574" s="754" t="s">
        <v>343</v>
      </c>
      <c r="B2574" s="754" t="s">
        <v>144</v>
      </c>
      <c r="C2574" s="24">
        <v>46048</v>
      </c>
      <c r="D2574" s="92">
        <v>1530</v>
      </c>
      <c r="F2574" s="12" t="s">
        <v>2227</v>
      </c>
      <c r="G2574" t="s">
        <v>2176</v>
      </c>
    </row>
    <row r="2575" spans="1:7">
      <c r="A2575" s="181" t="s">
        <v>1126</v>
      </c>
      <c r="B2575" s="94" t="s">
        <v>108</v>
      </c>
      <c r="C2575" s="24">
        <v>46048</v>
      </c>
      <c r="E2575" s="253">
        <v>6116</v>
      </c>
      <c r="F2575" s="12" t="s">
        <v>2228</v>
      </c>
      <c r="G2575" t="s">
        <v>2176</v>
      </c>
    </row>
    <row r="2576" spans="1:7">
      <c r="A2576" s="181" t="s">
        <v>1118</v>
      </c>
      <c r="B2576" s="94" t="s">
        <v>108</v>
      </c>
      <c r="C2576" s="24">
        <v>46048</v>
      </c>
      <c r="D2576" s="92">
        <v>1908</v>
      </c>
      <c r="F2576" s="12" t="s">
        <v>2229</v>
      </c>
      <c r="G2576" t="s">
        <v>2176</v>
      </c>
    </row>
    <row r="2577" spans="1:7">
      <c r="A2577" s="634" t="s">
        <v>1208</v>
      </c>
      <c r="B2577" s="634" t="s">
        <v>360</v>
      </c>
      <c r="C2577" s="265">
        <v>46049</v>
      </c>
      <c r="D2577" s="52">
        <v>343</v>
      </c>
      <c r="E2577" s="138"/>
      <c r="F2577" s="52"/>
      <c r="G2577" t="s">
        <v>2176</v>
      </c>
    </row>
    <row r="2578" spans="1:7">
      <c r="A2578" s="756" t="s">
        <v>343</v>
      </c>
      <c r="B2578" s="756" t="s">
        <v>144</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8" t="s">
        <v>941</v>
      </c>
      <c r="B2580" s="1204" t="s">
        <v>108</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2" t="s">
        <v>108</v>
      </c>
      <c r="C2582" s="24">
        <v>46049</v>
      </c>
      <c r="D2582" s="92">
        <v>1758</v>
      </c>
      <c r="F2582" s="12" t="s">
        <v>2232</v>
      </c>
      <c r="G2582" t="s">
        <v>2176</v>
      </c>
    </row>
    <row r="2583" spans="1:7">
      <c r="A2583" s="612" t="s">
        <v>1235</v>
      </c>
      <c r="B2583" s="612" t="s">
        <v>360</v>
      </c>
      <c r="C2583" s="24">
        <v>46049</v>
      </c>
      <c r="D2583" s="12">
        <v>647</v>
      </c>
      <c r="F2583" s="12" t="s">
        <v>2233</v>
      </c>
      <c r="G2583" t="s">
        <v>2176</v>
      </c>
    </row>
    <row r="2584" spans="1:7">
      <c r="A2584" s="754" t="s">
        <v>1236</v>
      </c>
      <c r="B2584" s="754" t="s">
        <v>1936</v>
      </c>
      <c r="C2584" s="24">
        <v>46049</v>
      </c>
      <c r="D2584" s="12">
        <v>843</v>
      </c>
      <c r="G2584" t="s">
        <v>2176</v>
      </c>
    </row>
    <row r="2585" spans="1:7">
      <c r="A2585" s="754" t="s">
        <v>347</v>
      </c>
      <c r="B2585" s="754" t="s">
        <v>144</v>
      </c>
      <c r="C2585" s="24">
        <v>46049</v>
      </c>
      <c r="D2585" s="12">
        <v>511</v>
      </c>
      <c r="G2585" t="s">
        <v>2176</v>
      </c>
    </row>
    <row r="2586" spans="1:7">
      <c r="A2586" s="612" t="s">
        <v>1128</v>
      </c>
      <c r="B2586" s="94" t="s">
        <v>108</v>
      </c>
      <c r="C2586" s="24">
        <v>46049</v>
      </c>
      <c r="E2586" s="253">
        <v>2058</v>
      </c>
      <c r="F2586" s="612" t="s">
        <v>2234</v>
      </c>
      <c r="G2586" t="s">
        <v>2176</v>
      </c>
    </row>
    <row r="2587" spans="1:7">
      <c r="A2587" s="754" t="s">
        <v>1112</v>
      </c>
      <c r="B2587" s="94" t="s">
        <v>108</v>
      </c>
      <c r="C2587" s="24">
        <v>46049</v>
      </c>
      <c r="F2587" s="612" t="s">
        <v>1565</v>
      </c>
      <c r="G2587" t="s">
        <v>2176</v>
      </c>
    </row>
    <row r="2588" spans="1:7">
      <c r="A2588" s="754" t="s">
        <v>1114</v>
      </c>
      <c r="B2588" s="94" t="s">
        <v>108</v>
      </c>
      <c r="C2588" s="24">
        <v>46049</v>
      </c>
      <c r="F2588" s="612" t="s">
        <v>1565</v>
      </c>
      <c r="G2588" t="s">
        <v>2176</v>
      </c>
    </row>
    <row r="2589" spans="1:7">
      <c r="A2589" s="754" t="s">
        <v>1120</v>
      </c>
      <c r="B2589" s="94" t="s">
        <v>108</v>
      </c>
      <c r="C2589" s="24">
        <v>46049</v>
      </c>
      <c r="F2589" s="612" t="s">
        <v>1565</v>
      </c>
      <c r="G2589" t="s">
        <v>2176</v>
      </c>
    </row>
    <row r="2590" spans="1:7">
      <c r="A2590" s="754" t="s">
        <v>1122</v>
      </c>
      <c r="B2590" s="94" t="s">
        <v>108</v>
      </c>
      <c r="C2590" s="24">
        <v>46049</v>
      </c>
      <c r="F2590" s="612" t="s">
        <v>1565</v>
      </c>
      <c r="G2590" t="s">
        <v>2176</v>
      </c>
    </row>
    <row r="2591" spans="1:7">
      <c r="A2591" s="754" t="s">
        <v>1124</v>
      </c>
      <c r="B2591" s="94" t="s">
        <v>108</v>
      </c>
      <c r="C2591" s="24">
        <v>46049</v>
      </c>
      <c r="F2591" s="243" t="s">
        <v>2235</v>
      </c>
      <c r="G2591" t="s">
        <v>2176</v>
      </c>
    </row>
    <row r="2592" spans="1:7">
      <c r="A2592" s="243" t="s">
        <v>1208</v>
      </c>
      <c r="B2592" s="243" t="s">
        <v>360</v>
      </c>
      <c r="C2592" s="24">
        <v>46050</v>
      </c>
      <c r="D2592" s="12">
        <v>62</v>
      </c>
      <c r="G2592" t="s">
        <v>2176</v>
      </c>
    </row>
    <row r="2593" spans="1:7">
      <c r="A2593" s="266" t="s">
        <v>941</v>
      </c>
      <c r="B2593" s="660" t="s">
        <v>108</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2" t="s">
        <v>108</v>
      </c>
      <c r="C2595" s="24">
        <v>46050</v>
      </c>
      <c r="D2595" s="92">
        <v>1363</v>
      </c>
      <c r="F2595" s="12" t="s">
        <v>2238</v>
      </c>
      <c r="G2595" t="s">
        <v>2176</v>
      </c>
    </row>
    <row r="2596" spans="1:7">
      <c r="A2596" s="243" t="s">
        <v>1235</v>
      </c>
      <c r="B2596" s="243" t="s">
        <v>360</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347</v>
      </c>
      <c r="B2598" s="610" t="s">
        <v>144</v>
      </c>
      <c r="C2598" s="24">
        <v>46050</v>
      </c>
      <c r="D2598" s="138">
        <v>324</v>
      </c>
      <c r="E2598" s="12"/>
      <c r="F2598" s="610" t="s">
        <v>1725</v>
      </c>
      <c r="G2598" t="s">
        <v>2176</v>
      </c>
    </row>
    <row r="2599" spans="1:7">
      <c r="A2599" s="71" t="s">
        <v>815</v>
      </c>
      <c r="B2599" s="78" t="s">
        <v>144</v>
      </c>
      <c r="C2599" s="24">
        <v>46050</v>
      </c>
      <c r="D2599" s="12">
        <v>149</v>
      </c>
      <c r="E2599" s="106"/>
      <c r="F2599" s="106"/>
      <c r="G2599" t="s">
        <v>2176</v>
      </c>
    </row>
    <row r="2600" spans="1:7">
      <c r="A2600" s="748" t="s">
        <v>830</v>
      </c>
      <c r="B2600" s="238" t="s">
        <v>157</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4" t="s">
        <v>108</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360</v>
      </c>
      <c r="C2607" s="24">
        <v>46051</v>
      </c>
      <c r="D2607" s="12">
        <v>329</v>
      </c>
      <c r="F2607" s="12" t="s">
        <v>2240</v>
      </c>
      <c r="G2607" t="s">
        <v>2176</v>
      </c>
    </row>
    <row r="2608" spans="1:7">
      <c r="A2608" s="78" t="s">
        <v>553</v>
      </c>
      <c r="B2608" s="179" t="s">
        <v>554</v>
      </c>
      <c r="C2608" s="242">
        <v>46051</v>
      </c>
      <c r="G2608" t="s">
        <v>2176</v>
      </c>
    </row>
    <row r="2609" spans="1:7">
      <c r="A2609" s="247" t="s">
        <v>1235</v>
      </c>
      <c r="B2609" s="247" t="s">
        <v>360</v>
      </c>
      <c r="C2609" s="24">
        <v>46051</v>
      </c>
      <c r="D2609" s="12">
        <v>222</v>
      </c>
      <c r="G2609" t="s">
        <v>2176</v>
      </c>
    </row>
    <row r="2610" spans="1:7">
      <c r="A2610" s="247" t="s">
        <v>1236</v>
      </c>
      <c r="B2610" s="247" t="s">
        <v>1936</v>
      </c>
      <c r="C2610" s="24">
        <v>46051</v>
      </c>
      <c r="D2610" s="12">
        <v>410</v>
      </c>
      <c r="F2610" s="12" t="s">
        <v>2241</v>
      </c>
      <c r="G2610" t="s">
        <v>2176</v>
      </c>
    </row>
    <row r="2611" spans="1:7">
      <c r="A2611" s="1109" t="s">
        <v>347</v>
      </c>
      <c r="B2611" s="600" t="s">
        <v>144</v>
      </c>
      <c r="C2611" s="24">
        <v>46051</v>
      </c>
      <c r="D2611" s="12">
        <v>838</v>
      </c>
      <c r="G2611" t="s">
        <v>2176</v>
      </c>
    </row>
    <row r="2612" spans="1:7">
      <c r="A2612" s="71" t="s">
        <v>830</v>
      </c>
      <c r="B2612" s="78" t="s">
        <v>157</v>
      </c>
      <c r="C2612" s="1112">
        <v>46051</v>
      </c>
      <c r="D2612" s="1105">
        <v>1143</v>
      </c>
      <c r="E2612" s="138"/>
      <c r="F2612" s="52"/>
      <c r="G2612" t="s">
        <v>2176</v>
      </c>
    </row>
    <row r="2613" spans="1:7">
      <c r="A2613" s="71" t="s">
        <v>374</v>
      </c>
      <c r="B2613" s="78" t="s">
        <v>144</v>
      </c>
      <c r="C2613" s="242">
        <v>46051</v>
      </c>
      <c r="D2613" s="92">
        <v>1468</v>
      </c>
      <c r="E2613" s="12"/>
      <c r="F2613" s="12" t="s">
        <v>2242</v>
      </c>
      <c r="G2613" t="s">
        <v>2176</v>
      </c>
    </row>
    <row r="2614" spans="1:7">
      <c r="A2614" s="71" t="s">
        <v>343</v>
      </c>
      <c r="B2614" s="78" t="s">
        <v>144</v>
      </c>
      <c r="C2614" s="242">
        <v>46051</v>
      </c>
      <c r="D2614" s="92">
        <v>470</v>
      </c>
      <c r="E2614" s="12"/>
      <c r="F2614" s="12" t="s">
        <v>1845</v>
      </c>
      <c r="G2614" t="s">
        <v>2176</v>
      </c>
    </row>
    <row r="2615" spans="1:7">
      <c r="A2615" s="600" t="s">
        <v>1118</v>
      </c>
      <c r="B2615" s="660" t="s">
        <v>108</v>
      </c>
      <c r="C2615" s="1110">
        <v>46051</v>
      </c>
      <c r="D2615" s="254"/>
      <c r="E2615" s="1111">
        <v>2048</v>
      </c>
      <c r="F2615" s="1108"/>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3">
        <v>1916</v>
      </c>
      <c r="F2617" s="754"/>
      <c r="G2617" t="s">
        <v>2176</v>
      </c>
    </row>
    <row r="2618" spans="1:7">
      <c r="A2618" s="1231" t="s">
        <v>1094</v>
      </c>
      <c r="B2618" s="1052" t="s">
        <v>108</v>
      </c>
      <c r="C2618" s="24">
        <v>46051</v>
      </c>
      <c r="F2618" s="12" t="s">
        <v>2243</v>
      </c>
      <c r="G2618" t="s">
        <v>2176</v>
      </c>
    </row>
    <row r="2619" spans="1:7">
      <c r="A2619" s="243" t="s">
        <v>1235</v>
      </c>
      <c r="B2619" s="243" t="s">
        <v>360</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157</v>
      </c>
      <c r="C2621" s="24">
        <v>46052</v>
      </c>
      <c r="F2621" s="247" t="s">
        <v>2245</v>
      </c>
      <c r="G2621" t="s">
        <v>2176</v>
      </c>
    </row>
    <row r="2622" spans="1:7">
      <c r="A2622" s="489" t="s">
        <v>374</v>
      </c>
      <c r="B2622" s="247" t="s">
        <v>144</v>
      </c>
      <c r="C2622" s="24">
        <v>46052</v>
      </c>
      <c r="D2622" s="92">
        <v>1637</v>
      </c>
      <c r="F2622" s="12" t="s">
        <v>2246</v>
      </c>
      <c r="G2622" t="s">
        <v>2176</v>
      </c>
    </row>
    <row r="2623" spans="1:7">
      <c r="A2623" s="1109" t="s">
        <v>347</v>
      </c>
      <c r="B2623" s="600" t="s">
        <v>144</v>
      </c>
      <c r="C2623" s="24">
        <v>46052</v>
      </c>
      <c r="D2623" s="12">
        <v>481</v>
      </c>
      <c r="F2623" s="12" t="s">
        <v>2247</v>
      </c>
      <c r="G2623" t="s">
        <v>2176</v>
      </c>
    </row>
    <row r="2624" spans="1:7" ht="15.75">
      <c r="A2624" s="78" t="s">
        <v>1091</v>
      </c>
      <c r="B2624" s="178" t="s">
        <v>1165</v>
      </c>
      <c r="C2624" s="1112">
        <v>46052</v>
      </c>
      <c r="D2624" s="52"/>
      <c r="E2624" s="138">
        <v>939</v>
      </c>
      <c r="F2624" s="52"/>
      <c r="G2624" t="s">
        <v>2176</v>
      </c>
    </row>
    <row r="2625" spans="1:7">
      <c r="A2625" s="237" t="s">
        <v>1208</v>
      </c>
      <c r="B2625" s="237" t="s">
        <v>360</v>
      </c>
      <c r="C2625" s="24">
        <v>46055</v>
      </c>
      <c r="D2625" s="12">
        <v>251</v>
      </c>
      <c r="E2625" s="12"/>
      <c r="F2625" s="12" t="s">
        <v>1347</v>
      </c>
      <c r="G2625" t="s">
        <v>1161</v>
      </c>
    </row>
    <row r="2626" spans="1:7" ht="15.75">
      <c r="A2626" s="238" t="s">
        <v>428</v>
      </c>
      <c r="B2626" s="1161" t="s">
        <v>1165</v>
      </c>
      <c r="C2626" s="242">
        <v>46055</v>
      </c>
      <c r="E2626" s="12"/>
      <c r="F2626" s="1137" t="s">
        <v>1542</v>
      </c>
      <c r="G2626" t="s">
        <v>1161</v>
      </c>
    </row>
    <row r="2627" spans="1:7">
      <c r="A2627" s="78" t="s">
        <v>553</v>
      </c>
      <c r="B2627" s="179" t="s">
        <v>554</v>
      </c>
      <c r="C2627" s="242">
        <v>46055</v>
      </c>
      <c r="D2627" s="12">
        <v>505</v>
      </c>
      <c r="E2627" s="12"/>
      <c r="F2627" s="12" t="s">
        <v>2248</v>
      </c>
      <c r="G2627" t="s">
        <v>1161</v>
      </c>
    </row>
    <row r="2628" spans="1:7" ht="15.75">
      <c r="A2628" s="236" t="s">
        <v>941</v>
      </c>
      <c r="B2628" s="1193"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360</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157</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347</v>
      </c>
      <c r="B2634" s="610" t="s">
        <v>144</v>
      </c>
      <c r="C2634" s="24">
        <v>46055</v>
      </c>
      <c r="D2634" s="12">
        <v>859</v>
      </c>
      <c r="E2634" s="12"/>
      <c r="G2634" t="s">
        <v>1161</v>
      </c>
    </row>
    <row r="2635" spans="1:7">
      <c r="A2635" s="238" t="s">
        <v>386</v>
      </c>
      <c r="B2635" s="660" t="s">
        <v>108</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360</v>
      </c>
      <c r="C2637" s="24">
        <v>46056</v>
      </c>
      <c r="E2637" s="12"/>
      <c r="F2637" s="652" t="s">
        <v>1565</v>
      </c>
      <c r="G2637" t="s">
        <v>1161</v>
      </c>
    </row>
    <row r="2638" spans="1:7">
      <c r="A2638" s="748" t="s">
        <v>830</v>
      </c>
      <c r="B2638" s="238" t="s">
        <v>157</v>
      </c>
      <c r="C2638" s="24">
        <v>46056</v>
      </c>
      <c r="D2638" s="12">
        <v>363</v>
      </c>
      <c r="E2638" s="12"/>
      <c r="G2638" t="s">
        <v>1161</v>
      </c>
    </row>
    <row r="2639" spans="1:7" ht="15.75">
      <c r="A2639" s="71" t="s">
        <v>164</v>
      </c>
      <c r="B2639" s="178" t="s">
        <v>1165</v>
      </c>
      <c r="C2639" s="242">
        <v>46056</v>
      </c>
      <c r="E2639" s="12"/>
      <c r="F2639" s="78" t="s">
        <v>1565</v>
      </c>
      <c r="G2639" t="s">
        <v>1161</v>
      </c>
    </row>
    <row r="2640" spans="1:7">
      <c r="A2640" s="236" t="s">
        <v>374</v>
      </c>
      <c r="B2640" s="1052" t="s">
        <v>144</v>
      </c>
      <c r="C2640" s="24">
        <v>46056</v>
      </c>
      <c r="D2640" s="92">
        <v>1646</v>
      </c>
      <c r="E2640" s="12"/>
      <c r="F2640" s="12" t="s">
        <v>2251</v>
      </c>
      <c r="G2640" t="s">
        <v>1161</v>
      </c>
    </row>
    <row r="2641" spans="1:7">
      <c r="A2641" s="266" t="s">
        <v>386</v>
      </c>
      <c r="B2641" s="660" t="s">
        <v>108</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89</v>
      </c>
      <c r="B2643" s="236" t="s">
        <v>1340</v>
      </c>
      <c r="C2643" s="272">
        <v>46057</v>
      </c>
      <c r="D2643" s="106">
        <v>330</v>
      </c>
      <c r="E2643" s="185"/>
      <c r="F2643" s="106"/>
      <c r="G2643" t="s">
        <v>1161</v>
      </c>
    </row>
    <row r="2644" spans="1:7">
      <c r="A2644" s="243" t="s">
        <v>1236</v>
      </c>
      <c r="B2644" s="243" t="s">
        <v>360</v>
      </c>
      <c r="C2644" s="272">
        <v>46057</v>
      </c>
      <c r="D2644" s="106"/>
      <c r="E2644" s="185"/>
      <c r="F2644" s="652" t="s">
        <v>2254</v>
      </c>
      <c r="G2644" t="s">
        <v>1161</v>
      </c>
    </row>
    <row r="2645" spans="1:7">
      <c r="A2645" s="489" t="s">
        <v>830</v>
      </c>
      <c r="B2645" s="247" t="s">
        <v>157</v>
      </c>
      <c r="C2645" s="272">
        <v>46057</v>
      </c>
      <c r="D2645" s="106">
        <v>933</v>
      </c>
      <c r="E2645" s="185"/>
      <c r="F2645" s="106"/>
      <c r="G2645" t="s">
        <v>1161</v>
      </c>
    </row>
    <row r="2646" spans="1:7">
      <c r="A2646" s="1189" t="s">
        <v>217</v>
      </c>
      <c r="B2646" s="660" t="s">
        <v>144</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4" t="s">
        <v>108</v>
      </c>
      <c r="C2648" s="24">
        <v>46058</v>
      </c>
      <c r="D2648" s="12">
        <v>990</v>
      </c>
      <c r="F2648" s="12" t="s">
        <v>2257</v>
      </c>
      <c r="G2648" t="s">
        <v>1161</v>
      </c>
    </row>
    <row r="2649" spans="1:7" ht="15.75">
      <c r="A2649" s="71" t="s">
        <v>854</v>
      </c>
      <c r="B2649" s="178" t="s">
        <v>1165</v>
      </c>
      <c r="C2649" s="242">
        <v>46058</v>
      </c>
      <c r="D2649" s="12">
        <v>298</v>
      </c>
      <c r="G2649" t="s">
        <v>1161</v>
      </c>
    </row>
    <row r="2650" spans="1:7">
      <c r="A2650" s="489" t="s">
        <v>89</v>
      </c>
      <c r="B2650" s="236" t="s">
        <v>1340</v>
      </c>
      <c r="C2650" s="24">
        <v>46058</v>
      </c>
      <c r="D2650" s="12">
        <v>625</v>
      </c>
      <c r="G2650" t="s">
        <v>1161</v>
      </c>
    </row>
    <row r="2651" spans="1:7">
      <c r="A2651" s="243" t="s">
        <v>347</v>
      </c>
      <c r="B2651" s="94" t="s">
        <v>2183</v>
      </c>
      <c r="C2651" s="24">
        <v>46058</v>
      </c>
      <c r="E2651" s="253">
        <v>9106</v>
      </c>
      <c r="F2651" s="12" t="s">
        <v>2258</v>
      </c>
      <c r="G2651" t="s">
        <v>1161</v>
      </c>
    </row>
    <row r="2652" spans="1:7">
      <c r="A2652" s="489" t="s">
        <v>830</v>
      </c>
      <c r="B2652" s="247" t="s">
        <v>157</v>
      </c>
      <c r="C2652" s="24">
        <v>46058</v>
      </c>
      <c r="D2652" s="12">
        <v>363</v>
      </c>
      <c r="G2652" t="s">
        <v>1161</v>
      </c>
    </row>
    <row r="2653" spans="1:7">
      <c r="A2653" s="489" t="s">
        <v>217</v>
      </c>
      <c r="B2653" s="247" t="s">
        <v>144</v>
      </c>
      <c r="C2653" s="24">
        <v>46058</v>
      </c>
      <c r="D2653" s="12">
        <v>696</v>
      </c>
      <c r="F2653" s="12" t="s">
        <v>2259</v>
      </c>
      <c r="G2653" t="s">
        <v>1161</v>
      </c>
    </row>
    <row r="2654" spans="1:7">
      <c r="A2654" s="243" t="s">
        <v>1085</v>
      </c>
      <c r="B2654" s="94" t="s">
        <v>108</v>
      </c>
      <c r="C2654" s="24">
        <v>46058</v>
      </c>
      <c r="D2654" s="12">
        <v>253</v>
      </c>
      <c r="G2654" t="s">
        <v>1161</v>
      </c>
    </row>
    <row r="2655" spans="1:7">
      <c r="A2655" s="612" t="s">
        <v>386</v>
      </c>
      <c r="B2655" s="612" t="s">
        <v>108</v>
      </c>
      <c r="C2655" s="24">
        <v>46059</v>
      </c>
      <c r="F2655" s="612" t="s">
        <v>1706</v>
      </c>
      <c r="G2655" t="s">
        <v>1161</v>
      </c>
    </row>
    <row r="2656" spans="1:7">
      <c r="A2656" s="1238" t="s">
        <v>1236</v>
      </c>
      <c r="B2656" s="754" t="s">
        <v>1936</v>
      </c>
      <c r="C2656" s="24">
        <v>46059</v>
      </c>
      <c r="F2656" s="243" t="s">
        <v>2260</v>
      </c>
      <c r="G2656" t="s">
        <v>1161</v>
      </c>
    </row>
    <row r="2657" spans="1:7">
      <c r="A2657" s="1238" t="s">
        <v>217</v>
      </c>
      <c r="B2657" s="754" t="s">
        <v>144</v>
      </c>
      <c r="C2657" s="24">
        <v>46059</v>
      </c>
      <c r="D2657" s="12">
        <v>3</v>
      </c>
      <c r="F2657" s="12" t="s">
        <v>2261</v>
      </c>
      <c r="G2657" t="s">
        <v>1161</v>
      </c>
    </row>
    <row r="2658" spans="1:7">
      <c r="A2658" s="1238" t="s">
        <v>374</v>
      </c>
      <c r="B2658" s="754" t="s">
        <v>144</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108</v>
      </c>
      <c r="C2660" s="24">
        <v>46062</v>
      </c>
      <c r="E2660" s="253">
        <v>1049</v>
      </c>
      <c r="F2660" s="12" t="s">
        <v>2263</v>
      </c>
      <c r="G2660" t="s">
        <v>1161</v>
      </c>
    </row>
    <row r="2661" spans="1:7">
      <c r="A2661" s="247" t="s">
        <v>89</v>
      </c>
      <c r="B2661" s="247" t="s">
        <v>995</v>
      </c>
      <c r="C2661" s="24">
        <v>46062</v>
      </c>
      <c r="D2661" s="12">
        <v>712</v>
      </c>
      <c r="G2661" t="s">
        <v>1161</v>
      </c>
    </row>
    <row r="2662" spans="1:7">
      <c r="A2662" s="243" t="s">
        <v>347</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89</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144</v>
      </c>
      <c r="C2668" s="24">
        <v>46063</v>
      </c>
      <c r="D2668" s="12">
        <v>817</v>
      </c>
      <c r="G2668" t="s">
        <v>1161</v>
      </c>
    </row>
    <row r="2669" spans="1:7">
      <c r="A2669" s="181" t="s">
        <v>815</v>
      </c>
      <c r="B2669" s="94" t="s">
        <v>144</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89</v>
      </c>
      <c r="B2673" s="247" t="s">
        <v>995</v>
      </c>
      <c r="C2673" s="24">
        <v>46064</v>
      </c>
      <c r="D2673" s="12">
        <v>384</v>
      </c>
      <c r="F2673" s="12" t="s">
        <v>2266</v>
      </c>
      <c r="G2673" t="s">
        <v>1161</v>
      </c>
    </row>
    <row r="2674" spans="1:7">
      <c r="A2674" s="243" t="s">
        <v>830</v>
      </c>
      <c r="B2674" s="243" t="s">
        <v>157</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202</v>
      </c>
      <c r="B2676" s="247" t="s">
        <v>157</v>
      </c>
      <c r="C2676" s="24">
        <v>46064</v>
      </c>
      <c r="D2676" s="12">
        <v>753</v>
      </c>
      <c r="G2676" t="s">
        <v>1161</v>
      </c>
    </row>
    <row r="2677" spans="1:7">
      <c r="A2677" s="247" t="s">
        <v>812</v>
      </c>
      <c r="B2677" s="247" t="s">
        <v>144</v>
      </c>
      <c r="C2677" s="24">
        <v>46064</v>
      </c>
      <c r="F2677" s="243" t="s">
        <v>1730</v>
      </c>
      <c r="G2677" t="s">
        <v>1161</v>
      </c>
    </row>
    <row r="2678" spans="1:7">
      <c r="A2678" s="247" t="s">
        <v>221</v>
      </c>
      <c r="B2678" s="247" t="s">
        <v>144</v>
      </c>
      <c r="C2678" s="24">
        <v>46064</v>
      </c>
      <c r="D2678" s="92">
        <v>2073</v>
      </c>
      <c r="F2678" s="12" t="s">
        <v>2268</v>
      </c>
      <c r="G2678" t="s">
        <v>1161</v>
      </c>
    </row>
    <row r="2679" spans="1:7">
      <c r="A2679" s="243" t="s">
        <v>854</v>
      </c>
      <c r="B2679" s="243" t="s">
        <v>1165</v>
      </c>
      <c r="C2679" s="24">
        <v>46065</v>
      </c>
      <c r="F2679" s="610" t="s">
        <v>1365</v>
      </c>
      <c r="G2679" t="s">
        <v>1161</v>
      </c>
    </row>
    <row r="2680" spans="1:7">
      <c r="A2680" s="247" t="s">
        <v>89</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202</v>
      </c>
      <c r="B2683" s="247" t="s">
        <v>157</v>
      </c>
      <c r="C2683" s="24">
        <v>46065</v>
      </c>
      <c r="D2683" s="92">
        <v>1289</v>
      </c>
      <c r="G2683" t="s">
        <v>1161</v>
      </c>
    </row>
    <row r="2684" spans="1:7">
      <c r="A2684" s="247" t="s">
        <v>812</v>
      </c>
      <c r="B2684" s="247" t="s">
        <v>2183</v>
      </c>
      <c r="C2684" s="24">
        <v>46065</v>
      </c>
      <c r="E2684" s="253">
        <v>1230</v>
      </c>
      <c r="F2684" s="12" t="s">
        <v>2270</v>
      </c>
      <c r="G2684" t="s">
        <v>1161</v>
      </c>
    </row>
    <row r="2685" spans="1:7">
      <c r="A2685" s="247" t="s">
        <v>221</v>
      </c>
      <c r="B2685" s="247" t="s">
        <v>144</v>
      </c>
      <c r="C2685" s="24">
        <v>46065</v>
      </c>
      <c r="D2685" s="92">
        <v>1342</v>
      </c>
      <c r="F2685" s="12" t="s">
        <v>2271</v>
      </c>
      <c r="G2685" t="s">
        <v>1161</v>
      </c>
    </row>
    <row r="2686" spans="1:7">
      <c r="A2686" s="243" t="s">
        <v>386</v>
      </c>
      <c r="B2686" s="243" t="s">
        <v>1165</v>
      </c>
      <c r="C2686" s="24">
        <v>46066</v>
      </c>
      <c r="D2686" s="12">
        <v>342</v>
      </c>
      <c r="G2686" t="s">
        <v>1161</v>
      </c>
    </row>
    <row r="2687" spans="1:7">
      <c r="A2687" s="243" t="s">
        <v>221</v>
      </c>
      <c r="B2687" s="243" t="s">
        <v>144</v>
      </c>
      <c r="C2687" s="24">
        <v>46066</v>
      </c>
      <c r="D2687" s="92">
        <v>1601</v>
      </c>
      <c r="F2687" s="12" t="s">
        <v>2272</v>
      </c>
      <c r="G2687" t="s">
        <v>1161</v>
      </c>
    </row>
    <row r="2688" spans="1:7">
      <c r="A2688" s="612" t="s">
        <v>89</v>
      </c>
      <c r="B2688" s="612" t="s">
        <v>995</v>
      </c>
      <c r="C2688" s="24">
        <v>46069</v>
      </c>
      <c r="D2688" s="92">
        <v>669</v>
      </c>
      <c r="G2688" t="s">
        <v>1161</v>
      </c>
    </row>
    <row r="2689" spans="1:7">
      <c r="A2689" s="754" t="s">
        <v>383</v>
      </c>
      <c r="B2689" s="754" t="s">
        <v>108</v>
      </c>
      <c r="C2689" s="24">
        <v>46069</v>
      </c>
      <c r="D2689" s="92">
        <v>1564</v>
      </c>
      <c r="F2689" s="12" t="s">
        <v>2273</v>
      </c>
      <c r="G2689" t="s">
        <v>1161</v>
      </c>
    </row>
    <row r="2690" spans="1:7">
      <c r="A2690" s="243" t="s">
        <v>1180</v>
      </c>
      <c r="B2690" s="243" t="s">
        <v>157</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89</v>
      </c>
      <c r="B2693" s="243" t="s">
        <v>995</v>
      </c>
      <c r="C2693" s="24">
        <v>46070</v>
      </c>
      <c r="D2693" s="12">
        <v>467</v>
      </c>
      <c r="G2693" t="s">
        <v>1161</v>
      </c>
    </row>
    <row r="2694" spans="1:7">
      <c r="A2694" s="247" t="s">
        <v>383</v>
      </c>
      <c r="B2694" s="247" t="s">
        <v>108</v>
      </c>
      <c r="C2694" s="24">
        <v>46070</v>
      </c>
      <c r="D2694" s="92">
        <v>1532</v>
      </c>
      <c r="F2694" s="12" t="s">
        <v>2274</v>
      </c>
      <c r="G2694" t="s">
        <v>1161</v>
      </c>
    </row>
    <row r="2695" spans="1:7">
      <c r="A2695" s="243" t="s">
        <v>204</v>
      </c>
      <c r="B2695" s="243" t="s">
        <v>144</v>
      </c>
      <c r="C2695" s="24">
        <v>46070</v>
      </c>
      <c r="D2695" s="1331">
        <v>1340</v>
      </c>
      <c r="G2695" t="s">
        <v>1161</v>
      </c>
    </row>
    <row r="2696" spans="1:7">
      <c r="A2696" s="243" t="s">
        <v>1238</v>
      </c>
      <c r="B2696" s="243" t="s">
        <v>2275</v>
      </c>
      <c r="C2696" s="24">
        <v>46070</v>
      </c>
      <c r="D2696" s="12">
        <v>199</v>
      </c>
      <c r="F2696" s="12" t="s">
        <v>1845</v>
      </c>
      <c r="G2696" t="s">
        <v>1161</v>
      </c>
    </row>
    <row r="2697" spans="1:7">
      <c r="A2697" s="243" t="s">
        <v>1180</v>
      </c>
      <c r="B2697" s="243" t="s">
        <v>157</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89</v>
      </c>
      <c r="B2700" s="243" t="s">
        <v>995</v>
      </c>
      <c r="C2700" s="24">
        <v>46071</v>
      </c>
      <c r="D2700" s="12">
        <v>1133</v>
      </c>
      <c r="F2700" s="12" t="s">
        <v>2277</v>
      </c>
      <c r="G2700" t="s">
        <v>1161</v>
      </c>
    </row>
    <row r="2701" spans="1:7">
      <c r="A2701" s="247" t="s">
        <v>383</v>
      </c>
      <c r="B2701" s="247" t="s">
        <v>108</v>
      </c>
      <c r="C2701" s="24">
        <v>46071</v>
      </c>
      <c r="D2701" s="92">
        <v>1447</v>
      </c>
      <c r="F2701" s="12" t="s">
        <v>2278</v>
      </c>
      <c r="G2701" t="s">
        <v>1161</v>
      </c>
    </row>
    <row r="2702" spans="1:7">
      <c r="A2702" s="243" t="s">
        <v>204</v>
      </c>
      <c r="B2702" s="243" t="s">
        <v>144</v>
      </c>
      <c r="C2702" s="24">
        <v>46071</v>
      </c>
      <c r="D2702" s="92">
        <v>1529</v>
      </c>
      <c r="G2702" t="s">
        <v>1161</v>
      </c>
    </row>
    <row r="2703" spans="1:7">
      <c r="A2703" s="243" t="s">
        <v>1238</v>
      </c>
      <c r="B2703" s="243" t="s">
        <v>2275</v>
      </c>
      <c r="C2703" s="24">
        <v>46071</v>
      </c>
      <c r="D2703" s="12">
        <v>361</v>
      </c>
      <c r="G2703" t="s">
        <v>1161</v>
      </c>
    </row>
    <row r="2704" spans="1:7">
      <c r="A2704" s="243" t="s">
        <v>1180</v>
      </c>
      <c r="B2704" s="243" t="s">
        <v>157</v>
      </c>
      <c r="C2704" s="24">
        <v>46072</v>
      </c>
      <c r="D2704" s="12">
        <v>474</v>
      </c>
      <c r="G2704" t="s">
        <v>1161</v>
      </c>
    </row>
    <row r="2705" spans="1:7">
      <c r="A2705" s="247" t="s">
        <v>628</v>
      </c>
      <c r="B2705" s="247" t="s">
        <v>1165</v>
      </c>
      <c r="C2705" s="24">
        <v>46072</v>
      </c>
      <c r="D2705" s="12">
        <v>300</v>
      </c>
      <c r="F2705" s="12" t="s">
        <v>2276</v>
      </c>
      <c r="G2705" t="s">
        <v>1161</v>
      </c>
    </row>
    <row r="2706" spans="1:7">
      <c r="A2706" s="243" t="s">
        <v>89</v>
      </c>
      <c r="B2706" s="243" t="s">
        <v>995</v>
      </c>
      <c r="C2706" s="24">
        <v>46072</v>
      </c>
      <c r="D2706" s="12">
        <v>448</v>
      </c>
      <c r="G2706" t="s">
        <v>1161</v>
      </c>
    </row>
    <row r="2707" spans="1:7">
      <c r="A2707" s="247" t="s">
        <v>383</v>
      </c>
      <c r="B2707" s="247" t="s">
        <v>108</v>
      </c>
      <c r="C2707" s="24">
        <v>46072</v>
      </c>
      <c r="D2707" s="12">
        <v>864</v>
      </c>
      <c r="F2707" s="12" t="s">
        <v>2279</v>
      </c>
      <c r="G2707" t="s">
        <v>1161</v>
      </c>
    </row>
    <row r="2708" spans="1:7">
      <c r="A2708" s="247" t="s">
        <v>79</v>
      </c>
      <c r="B2708" s="247" t="s">
        <v>108</v>
      </c>
      <c r="C2708" s="24">
        <v>46072</v>
      </c>
      <c r="D2708" s="12">
        <v>538</v>
      </c>
      <c r="F2708" s="12" t="s">
        <v>2280</v>
      </c>
      <c r="G2708" t="s">
        <v>1161</v>
      </c>
    </row>
    <row r="2709" spans="1:7">
      <c r="A2709" s="243" t="s">
        <v>204</v>
      </c>
      <c r="B2709" s="243" t="s">
        <v>144</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204</v>
      </c>
      <c r="B2713" s="243" t="s">
        <v>144</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157</v>
      </c>
      <c r="C2717" s="24">
        <v>46076</v>
      </c>
      <c r="D2717" s="12">
        <v>837</v>
      </c>
      <c r="G2717" t="s">
        <v>1161</v>
      </c>
    </row>
    <row r="2718" spans="1:7">
      <c r="A2718" s="247" t="s">
        <v>383</v>
      </c>
      <c r="B2718" s="247" t="s">
        <v>108</v>
      </c>
      <c r="C2718" s="24">
        <v>46076</v>
      </c>
      <c r="F2718" s="12" t="s">
        <v>1646</v>
      </c>
      <c r="G2718" t="s">
        <v>1161</v>
      </c>
    </row>
    <row r="2719" spans="1:7">
      <c r="A2719" s="243" t="s">
        <v>89</v>
      </c>
      <c r="B2719" s="243" t="s">
        <v>995</v>
      </c>
      <c r="C2719" s="24">
        <v>46076</v>
      </c>
      <c r="D2719" s="92">
        <v>1044</v>
      </c>
      <c r="F2719" s="12" t="s">
        <v>2284</v>
      </c>
      <c r="G2719" t="s">
        <v>1161</v>
      </c>
    </row>
    <row r="2720" spans="1:7">
      <c r="A2720" s="243" t="s">
        <v>204</v>
      </c>
      <c r="B2720" s="243" t="s">
        <v>144</v>
      </c>
      <c r="C2720" s="24">
        <v>46076</v>
      </c>
      <c r="D2720" s="92">
        <v>1274</v>
      </c>
      <c r="G2720" t="s">
        <v>1161</v>
      </c>
    </row>
    <row r="2721" spans="1:7">
      <c r="A2721" s="247" t="s">
        <v>221</v>
      </c>
      <c r="B2721" s="247" t="s">
        <v>144</v>
      </c>
      <c r="C2721" s="24">
        <v>46076</v>
      </c>
      <c r="D2721" s="92">
        <v>1099</v>
      </c>
      <c r="G2721" t="s">
        <v>1161</v>
      </c>
    </row>
    <row r="2722" spans="1:7">
      <c r="A2722" s="243" t="s">
        <v>1238</v>
      </c>
      <c r="B2722" s="243" t="s">
        <v>2275</v>
      </c>
      <c r="C2722" s="24">
        <v>46076</v>
      </c>
      <c r="D2722" s="12">
        <v>534</v>
      </c>
      <c r="F2722" s="12" t="s">
        <v>2227</v>
      </c>
      <c r="G2722" t="s">
        <v>1161</v>
      </c>
    </row>
    <row r="2723" spans="1:7">
      <c r="A2723" s="243" t="s">
        <v>89</v>
      </c>
      <c r="B2723" s="243" t="s">
        <v>995</v>
      </c>
      <c r="C2723" s="24">
        <v>46077</v>
      </c>
      <c r="F2723" s="243" t="s">
        <v>1981</v>
      </c>
      <c r="G2723" t="s">
        <v>1161</v>
      </c>
    </row>
    <row r="2724" spans="1:7">
      <c r="A2724" s="247" t="s">
        <v>79</v>
      </c>
      <c r="B2724" s="247" t="s">
        <v>108</v>
      </c>
      <c r="C2724" s="24">
        <v>46077</v>
      </c>
      <c r="D2724" s="92">
        <v>1056</v>
      </c>
      <c r="F2724" s="12" t="s">
        <v>2285</v>
      </c>
      <c r="G2724" t="s">
        <v>1161</v>
      </c>
    </row>
    <row r="2725" spans="1:7">
      <c r="A2725" s="243" t="s">
        <v>204</v>
      </c>
      <c r="B2725" s="243" t="s">
        <v>144</v>
      </c>
      <c r="C2725" s="24">
        <v>46077</v>
      </c>
      <c r="G2725" t="s">
        <v>1161</v>
      </c>
    </row>
    <row r="2726" spans="1:7">
      <c r="A2726" s="247" t="s">
        <v>202</v>
      </c>
      <c r="B2726" s="247" t="s">
        <v>157</v>
      </c>
      <c r="C2726" s="24">
        <v>46077</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1AD0DF-6C22-4E1B-AD77-3F67459377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2026-02-24T20:09:51Z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