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5" documentId="8_{E14B221E-02E2-46A3-8CEC-C736815F2DD5}" xr6:coauthVersionLast="47" xr6:coauthVersionMax="47" xr10:uidLastSave="{4771FCDC-4621-4DCD-9006-D22ABF23AD8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8696" r:id="rId12"/>
    <pivotCache cacheId="8697" r:id="rId13"/>
    <pivotCache cacheId="8698" r:id="rId14"/>
    <pivotCache cacheId="8699" r:id="rId15"/>
    <pivotCache cacheId="87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<sst xmlns="http://schemas.openxmlformats.org/spreadsheetml/2006/main" count="16138" uniqueCount="2088">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</sst>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U1" activePane="topRight" state="frozen"/>
      <selection pane="topRight" activeCell="W15" sqref="W1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281">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4">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59">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3">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v>46006</v>
      </c>
      <c r="M53" s="1208" t="s">
        <v>57</v>
      </c>
      <c r="N53" s="1209">
        <v>45512.75</v>
      </c>
      <c r="O53" s="1208" t="s">
        <v>57</v>
      </c>
      <c r="P53" s="1210" t="s">
        <v>58</v>
      </c>
      <c r="Q53" s="1211">
        <v>46006</v>
      </c>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2">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4">
        <v>46053</v>
      </c>
      <c r="D65" s="1355" t="s">
        <v>236</v>
      </c>
      <c r="E65" s="1356"/>
      <c r="F65" s="1355"/>
      <c r="G65" s="1227"/>
      <c r="H65" s="1228">
        <v>0</v>
      </c>
      <c r="I65" s="661" t="s">
        <v>55</v>
      </c>
      <c r="J65" s="1372"/>
      <c r="K65" s="1372"/>
      <c r="L65" s="1354"/>
      <c r="M65" s="1228" t="s">
        <v>57</v>
      </c>
      <c r="N65" s="1373">
        <v>1035</v>
      </c>
      <c r="O65" s="1228" t="s">
        <v>57</v>
      </c>
      <c r="P65" s="1241" t="s">
        <v>58</v>
      </c>
      <c r="Q65" s="1374"/>
      <c r="R65" s="1374"/>
      <c r="S65" s="1374"/>
      <c r="T65" s="1374"/>
      <c r="U65" s="1374"/>
      <c r="V65" s="1375">
        <v>0</v>
      </c>
      <c r="W65" s="1376"/>
      <c r="X65" s="1376">
        <f>SUM(V65-W65)</f>
        <v>0</v>
      </c>
      <c r="Y65" s="662">
        <f>IFERROR($W65/$V65, 0)</f>
        <v>0</v>
      </c>
      <c r="Z65" s="1377"/>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59">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3" t="s">
        <v>273</v>
      </c>
      <c r="B79" s="831" t="s">
        <v>225</v>
      </c>
      <c r="C79" s="1354">
        <v>46052</v>
      </c>
      <c r="D79" s="1356"/>
      <c r="E79" s="1356"/>
      <c r="F79" s="1355"/>
      <c r="G79" s="1226"/>
      <c r="H79" s="1378"/>
      <c r="I79" s="829" t="s">
        <v>55</v>
      </c>
      <c r="J79" s="832" t="s">
        <v>63</v>
      </c>
      <c r="K79" s="1372"/>
      <c r="L79" s="1356"/>
      <c r="M79" s="829" t="s">
        <v>57</v>
      </c>
      <c r="N79" s="1373">
        <v>36998.550000000003</v>
      </c>
      <c r="O79" s="829" t="s">
        <v>57</v>
      </c>
      <c r="P79" s="1241" t="s">
        <v>58</v>
      </c>
      <c r="Q79" s="1374"/>
      <c r="R79" s="1374"/>
      <c r="S79" s="1374"/>
      <c r="T79" s="1374"/>
      <c r="U79" s="1374"/>
      <c r="V79" s="1375">
        <v>2944</v>
      </c>
      <c r="W79" s="1376"/>
      <c r="X79" s="1376">
        <f>SUM(V79-W79)</f>
        <v>2944</v>
      </c>
      <c r="Y79" s="662">
        <f>IFERROR($W79/$V79, 0)</f>
        <v>0</v>
      </c>
      <c r="Z79" s="1377"/>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5"/>
      <c r="E88" s="1356"/>
      <c r="F88" s="1355"/>
      <c r="G88" s="1227"/>
      <c r="H88" s="1228">
        <v>0</v>
      </c>
      <c r="I88" s="829" t="s">
        <v>55</v>
      </c>
      <c r="J88" s="1228" t="s">
        <v>63</v>
      </c>
      <c r="K88" s="1372"/>
      <c r="L88" s="1356"/>
      <c r="M88" s="1228" t="s">
        <v>57</v>
      </c>
      <c r="N88" s="1373">
        <v>118710.8</v>
      </c>
      <c r="O88" s="1228" t="s">
        <v>57</v>
      </c>
      <c r="P88" s="1210" t="s">
        <v>58</v>
      </c>
      <c r="Q88" s="1374"/>
      <c r="R88" s="1374"/>
      <c r="S88" s="1374"/>
      <c r="T88" s="1374"/>
      <c r="U88" s="1374"/>
      <c r="V88" s="1375">
        <v>9628</v>
      </c>
      <c r="W88" s="1376"/>
      <c r="X88" s="1376">
        <f>SUM(V88-W88)</f>
        <v>9628</v>
      </c>
      <c r="Y88" s="662">
        <f>IFERROR($W88/$V88, 0)</f>
        <v>0</v>
      </c>
      <c r="Z88" s="1374"/>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59">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59">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7">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7">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7">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7">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0"/>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1" t="s">
        <v>363</v>
      </c>
      <c r="Q27" s="156">
        <v>45902</v>
      </c>
      <c r="R27" s="1352"/>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0"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0"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8"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0" t="s">
        <v>1911</v>
      </c>
      <c r="G2347" t="s">
        <v>1851</v>
      </c>
    </row>
    <row r="2348" spans="1:7">
      <c r="A2348" s="317" t="s">
        <v>1098</v>
      </c>
      <c r="B2348" s="306" t="s">
        <v>1471</v>
      </c>
      <c r="C2348" s="56">
        <v>46009</v>
      </c>
      <c r="D2348" s="139"/>
      <c r="E2348" s="155">
        <v>1506</v>
      </c>
      <c r="F2348" s="1365"/>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1"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6"/>
      <c r="B1" s="1366"/>
      <c r="C1" s="1366"/>
      <c r="D1" s="1366"/>
      <c r="E1" s="1366"/>
      <c r="F1" s="1366"/>
      <c r="G1" s="1366"/>
      <c r="H1" s="1366"/>
      <c r="I1" s="1366"/>
      <c r="J1" s="1"/>
      <c r="K1" s="1"/>
      <c r="L1" s="1"/>
      <c r="M1" s="1"/>
      <c r="N1" s="1"/>
      <c r="O1" s="1"/>
      <c r="P1" s="1367" t="s">
        <v>34</v>
      </c>
      <c r="Q1" s="1367"/>
      <c r="R1" s="1367"/>
      <c r="S1" s="1367"/>
      <c r="T1" s="1367"/>
      <c r="U1" s="1367"/>
      <c r="V1" s="1367"/>
      <c r="W1" s="1367"/>
      <c r="X1" s="1367"/>
      <c r="Y1" s="1367"/>
      <c r="Z1" s="1367"/>
      <c r="AA1" s="1367"/>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8" t="s">
        <v>2030</v>
      </c>
      <c r="C1" s="1368"/>
      <c r="D1" s="558"/>
      <c r="E1" s="1368" t="s">
        <v>2031</v>
      </c>
      <c r="F1" s="1368"/>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9"/>
      <c r="B1" s="1369"/>
      <c r="C1" s="1369"/>
      <c r="D1" s="1369"/>
      <c r="E1" s="1369"/>
      <c r="F1" s="1369"/>
      <c r="G1" s="1369"/>
      <c r="H1" s="1370" t="s">
        <v>2057</v>
      </c>
      <c r="I1" s="1370"/>
      <c r="J1" s="1370"/>
      <c r="K1" s="1370"/>
      <c r="L1" s="1370"/>
      <c r="M1" s="1370"/>
      <c r="N1" s="1370"/>
      <c r="O1" s="1370"/>
      <c r="P1" s="260"/>
      <c r="Q1" s="1371" t="s">
        <v>34</v>
      </c>
      <c r="R1" s="1371"/>
      <c r="S1" s="1367"/>
      <c r="T1" s="1371"/>
      <c r="U1" s="1371"/>
      <c r="V1" s="1371"/>
      <c r="W1" s="1371"/>
      <c r="X1" s="1371"/>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0C32C21-3005-4311-B74E-AE760ECF251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2025-12-19T12:13:23Z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