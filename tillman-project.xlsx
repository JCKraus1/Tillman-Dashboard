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1" documentId="8_{E14B221E-02E2-46A3-8CEC-C736815F2DD5}" xr6:coauthVersionLast="47" xr6:coauthVersionMax="47" xr10:uidLastSave="{632E220E-8A86-4769-8899-4E423FB086F8}"/>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<sst xmlns="http://schemas.openxmlformats.org/spreadsheetml/2006/main" count="16928" uniqueCount="2201">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</sst>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Y31" activePane="topRight" state="frozen"/>
      <selection pane="topRight" activeCell="Z40" sqref="Z4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6">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3">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3">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8">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9"/>
      <c r="K57" s="1459"/>
      <c r="L57" s="1344"/>
      <c r="M57" s="1225" t="s">
        <v>57</v>
      </c>
      <c r="N57" s="1460">
        <v>1035</v>
      </c>
      <c r="O57" s="1225" t="s">
        <v>57</v>
      </c>
      <c r="P57" s="1238" t="s">
        <v>58</v>
      </c>
      <c r="Q57" s="1461"/>
      <c r="R57" s="1461"/>
      <c r="S57" s="1461"/>
      <c r="T57" s="1461"/>
      <c r="U57" s="1461"/>
      <c r="V57" s="1462">
        <v>0</v>
      </c>
      <c r="W57" s="1463"/>
      <c r="X57" s="1463">
        <f>SUM(V57-W57)</f>
        <v>0</v>
      </c>
      <c r="Y57" s="662">
        <f>IFERROR($W57/$V57, 0)</f>
        <v>0</v>
      </c>
      <c r="Z57" s="1464"/>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5"/>
      <c r="I71" s="828" t="s">
        <v>55</v>
      </c>
      <c r="J71" s="831" t="s">
        <v>63</v>
      </c>
      <c r="K71" s="1459"/>
      <c r="L71" s="1346"/>
      <c r="M71" s="828" t="s">
        <v>57</v>
      </c>
      <c r="N71" s="1460">
        <v>36998.550000000003</v>
      </c>
      <c r="O71" s="828" t="s">
        <v>57</v>
      </c>
      <c r="P71" s="1238" t="s">
        <v>58</v>
      </c>
      <c r="Q71" s="1461"/>
      <c r="R71" s="1461"/>
      <c r="S71" s="1461"/>
      <c r="T71" s="1461"/>
      <c r="U71" s="1461"/>
      <c r="V71" s="1462">
        <v>2944</v>
      </c>
      <c r="W71" s="1463"/>
      <c r="X71" s="1463">
        <f>SUM(V71-W71)</f>
        <v>2944</v>
      </c>
      <c r="Y71" s="662">
        <f>IFERROR($W71/$V71, 0)</f>
        <v>0</v>
      </c>
      <c r="Z71" s="1464"/>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3">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9"/>
      <c r="L81" s="1346"/>
      <c r="M81" s="1225" t="s">
        <v>57</v>
      </c>
      <c r="N81" s="1460">
        <v>118710.8</v>
      </c>
      <c r="O81" s="1225" t="s">
        <v>57</v>
      </c>
      <c r="P81" s="1207" t="s">
        <v>58</v>
      </c>
      <c r="Q81" s="1461"/>
      <c r="R81" s="1461"/>
      <c r="S81" s="1461"/>
      <c r="T81" s="1461"/>
      <c r="U81" s="1461"/>
      <c r="V81" s="1462">
        <v>9628</v>
      </c>
      <c r="W81" s="1463"/>
      <c r="X81" s="1463">
        <f>SUM(V81-W81)</f>
        <v>9628</v>
      </c>
      <c r="Y81" s="662">
        <f>IFERROR($W81/$V81, 0)</f>
        <v>0</v>
      </c>
      <c r="Z81" s="1461"/>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5">
        <v>109</v>
      </c>
      <c r="I87" s="828" t="s">
        <v>55</v>
      </c>
      <c r="J87" s="831" t="s">
        <v>63</v>
      </c>
      <c r="K87" s="1459"/>
      <c r="L87" s="1346">
        <v>45663</v>
      </c>
      <c r="M87" s="1465" t="s">
        <v>92</v>
      </c>
      <c r="N87" s="1460"/>
      <c r="O87" s="1465" t="s">
        <v>57</v>
      </c>
      <c r="P87" s="1466" t="s">
        <v>64</v>
      </c>
      <c r="Q87" s="1461">
        <v>46008</v>
      </c>
      <c r="R87" s="1461"/>
      <c r="S87" s="1461"/>
      <c r="T87" s="1461"/>
      <c r="U87" s="1461"/>
      <c r="V87" s="1462">
        <v>6825</v>
      </c>
      <c r="W87" s="1467">
        <v>607</v>
      </c>
      <c r="X87" s="1463">
        <f>SUM(V87-W87)</f>
        <v>6218</v>
      </c>
      <c r="Y87" s="662">
        <f>IFERROR($W87/$V87, 0)</f>
        <v>8.8937728937728944E-2</v>
      </c>
      <c r="Z87" s="1461">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46">
        <v>1319</v>
      </c>
      <c r="X88" s="1209">
        <f t="shared" si="5"/>
        <v>4944</v>
      </c>
      <c r="Y88" s="662">
        <f t="shared" si="6"/>
        <v>0.21060194794826761</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5">
        <v>0</v>
      </c>
      <c r="I94" s="828" t="s">
        <v>55</v>
      </c>
      <c r="J94" s="1205" t="s">
        <v>91</v>
      </c>
      <c r="K94" s="1205" t="s">
        <v>76</v>
      </c>
      <c r="L94" s="1346"/>
      <c r="M94" s="1225" t="s">
        <v>92</v>
      </c>
      <c r="N94" s="1236"/>
      <c r="O94" s="1225" t="s">
        <v>92</v>
      </c>
      <c r="P94" s="1238" t="s">
        <v>58</v>
      </c>
      <c r="Q94" s="1461"/>
      <c r="R94" s="1461"/>
      <c r="S94" s="1461"/>
      <c r="T94" s="1461"/>
      <c r="U94" s="1461"/>
      <c r="V94" s="1462">
        <v>6202</v>
      </c>
      <c r="W94" s="1463"/>
      <c r="X94" s="1463">
        <f>SUM(V94-W94)</f>
        <v>6202</v>
      </c>
      <c r="Y94" s="662">
        <f>IFERROR($W94/$V94, 0)</f>
        <v>0</v>
      </c>
      <c r="Z94" s="1464"/>
      <c r="AA94" s="1286">
        <v>0</v>
      </c>
      <c r="AB94" s="1286">
        <v>0</v>
      </c>
      <c r="AC94" s="1285">
        <v>0</v>
      </c>
      <c r="AD94" s="1212" t="s">
        <v>308</v>
      </c>
      <c r="AE94" s="1272"/>
    </row>
    <row r="95" spans="1:31" ht="24.75" customHeight="1">
      <c r="A95" s="1434" t="s">
        <v>309</v>
      </c>
      <c r="B95" s="1016" t="s">
        <v>292</v>
      </c>
      <c r="C95" s="1419">
        <v>46051</v>
      </c>
      <c r="D95" s="1345"/>
      <c r="E95" s="1346"/>
      <c r="F95" s="1345"/>
      <c r="G95" s="1224"/>
      <c r="H95" s="1465">
        <v>0</v>
      </c>
      <c r="I95" s="828" t="s">
        <v>55</v>
      </c>
      <c r="J95" s="1205" t="s">
        <v>91</v>
      </c>
      <c r="K95" s="1205" t="s">
        <v>76</v>
      </c>
      <c r="L95" s="1346"/>
      <c r="M95" s="1225" t="s">
        <v>92</v>
      </c>
      <c r="N95" s="1236"/>
      <c r="O95" s="1225" t="s">
        <v>92</v>
      </c>
      <c r="P95" s="1238" t="s">
        <v>58</v>
      </c>
      <c r="Q95" s="1461"/>
      <c r="R95" s="1461"/>
      <c r="S95" s="1461"/>
      <c r="T95" s="1461"/>
      <c r="U95" s="1461"/>
      <c r="V95" s="1468">
        <v>545</v>
      </c>
      <c r="W95" s="1469"/>
      <c r="X95" s="1469">
        <f>SUM(V95-W95)</f>
        <v>545</v>
      </c>
      <c r="Y95" s="657">
        <f>IFERROR($W95/$V95, 0)</f>
        <v>0</v>
      </c>
      <c r="Z95" s="1470"/>
      <c r="AA95" s="1286">
        <v>0</v>
      </c>
      <c r="AB95" s="1286">
        <v>0</v>
      </c>
      <c r="AC95" s="1285">
        <v>0</v>
      </c>
      <c r="AD95" s="1212" t="s">
        <v>308</v>
      </c>
      <c r="AE95" s="1272"/>
    </row>
    <row r="96" spans="1:31" ht="24.75" customHeight="1">
      <c r="A96" s="1434" t="s">
        <v>310</v>
      </c>
      <c r="B96" s="1016" t="s">
        <v>292</v>
      </c>
      <c r="C96" s="1419">
        <v>46051</v>
      </c>
      <c r="D96" s="1345"/>
      <c r="E96" s="1346"/>
      <c r="F96" s="1345"/>
      <c r="G96" s="1224"/>
      <c r="H96" s="1465">
        <v>0</v>
      </c>
      <c r="I96" s="828" t="s">
        <v>55</v>
      </c>
      <c r="J96" s="1205" t="s">
        <v>91</v>
      </c>
      <c r="K96" s="1205" t="s">
        <v>76</v>
      </c>
      <c r="L96" s="1346"/>
      <c r="M96" s="1225" t="s">
        <v>92</v>
      </c>
      <c r="N96" s="1236"/>
      <c r="O96" s="1225" t="s">
        <v>92</v>
      </c>
      <c r="P96" s="1238" t="s">
        <v>58</v>
      </c>
      <c r="Q96" s="1461"/>
      <c r="R96" s="1461"/>
      <c r="S96" s="1461"/>
      <c r="T96" s="1461"/>
      <c r="U96" s="1461"/>
      <c r="V96" s="1468">
        <v>1172</v>
      </c>
      <c r="W96" s="1469"/>
      <c r="X96" s="1469">
        <f>SUM(V96-W96)</f>
        <v>1172</v>
      </c>
      <c r="Y96" s="657">
        <f>IFERROR($W96/$V96, 0)</f>
        <v>0</v>
      </c>
      <c r="Z96" s="1470"/>
      <c r="AA96" s="1286">
        <v>0</v>
      </c>
      <c r="AB96" s="1286">
        <v>0</v>
      </c>
      <c r="AC96" s="1285">
        <v>0</v>
      </c>
      <c r="AD96" s="1212" t="s">
        <v>308</v>
      </c>
      <c r="AE96" s="1272"/>
    </row>
    <row r="97" spans="1:31" ht="24.75" customHeight="1">
      <c r="A97" s="1434" t="s">
        <v>311</v>
      </c>
      <c r="B97" s="1016" t="s">
        <v>292</v>
      </c>
      <c r="C97" s="1419">
        <v>46051</v>
      </c>
      <c r="D97" s="1345"/>
      <c r="E97" s="1346"/>
      <c r="F97" s="1345"/>
      <c r="G97" s="1224"/>
      <c r="H97" s="1465">
        <v>0</v>
      </c>
      <c r="I97" s="828" t="s">
        <v>55</v>
      </c>
      <c r="J97" s="1205" t="s">
        <v>91</v>
      </c>
      <c r="K97" s="1205" t="s">
        <v>76</v>
      </c>
      <c r="L97" s="1346"/>
      <c r="M97" s="1225" t="s">
        <v>92</v>
      </c>
      <c r="N97" s="1236"/>
      <c r="O97" s="1225" t="s">
        <v>92</v>
      </c>
      <c r="P97" s="1238" t="s">
        <v>58</v>
      </c>
      <c r="Q97" s="1461"/>
      <c r="R97" s="1461"/>
      <c r="S97" s="1461"/>
      <c r="T97" s="1461"/>
      <c r="U97" s="1461"/>
      <c r="V97" s="1468">
        <v>4184</v>
      </c>
      <c r="W97" s="1469"/>
      <c r="X97" s="1469">
        <f>SUM(V97-W97)</f>
        <v>4184</v>
      </c>
      <c r="Y97" s="657">
        <f>IFERROR($W97/$V97, 0)</f>
        <v>0</v>
      </c>
      <c r="Z97" s="1470"/>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1">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1">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9"/>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9"/>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9"/>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9"/>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9"/>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9"/>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9"/>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2"/>
      <c r="R130" s="1366"/>
      <c r="S130" s="1366"/>
      <c r="T130" s="1366"/>
      <c r="U130" s="1366"/>
      <c r="V130" s="1266">
        <v>8641</v>
      </c>
      <c r="W130" s="1469"/>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3"/>
      <c r="R131" s="1368"/>
      <c r="S131" s="1368"/>
      <c r="T131" s="1368"/>
      <c r="U131" s="1368"/>
      <c r="V131" s="1370">
        <v>7502</v>
      </c>
      <c r="W131" s="1474"/>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4"/>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E2487" sqref="E248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4"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5" t="s">
        <v>2040</v>
      </c>
      <c r="G2472" t="s">
        <v>2020</v>
      </c>
    </row>
    <row r="2473" spans="1:7">
      <c r="A2473" s="247" t="s">
        <v>321</v>
      </c>
      <c r="B2473" s="157" t="s">
        <v>128</v>
      </c>
      <c r="C2473" s="56">
        <v>46031</v>
      </c>
      <c r="E2473" s="321">
        <v>1056</v>
      </c>
      <c r="F2473" s="1455"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5" t="s">
        <v>2043</v>
      </c>
      <c r="G2475" t="s">
        <v>2020</v>
      </c>
    </row>
    <row r="2476" spans="1:7">
      <c r="A2476" s="247" t="s">
        <v>291</v>
      </c>
      <c r="B2476" s="157" t="s">
        <v>229</v>
      </c>
      <c r="C2476" s="56">
        <v>46031</v>
      </c>
      <c r="D2476" s="155">
        <v>1319</v>
      </c>
      <c r="F2476" s="1455" t="s">
        <v>2044</v>
      </c>
      <c r="G2476" t="s">
        <v>2020</v>
      </c>
    </row>
    <row r="2477" spans="1:7">
      <c r="A2477" s="247" t="s">
        <v>133</v>
      </c>
      <c r="B2477" s="157" t="s">
        <v>128</v>
      </c>
      <c r="C2477" s="56">
        <v>46034</v>
      </c>
      <c r="D2477" s="43">
        <v>0</v>
      </c>
      <c r="F2477" s="1455" t="s">
        <v>2045</v>
      </c>
      <c r="G2477" t="s">
        <v>2020</v>
      </c>
    </row>
    <row r="2478" spans="1:7">
      <c r="A2478" s="247" t="s">
        <v>555</v>
      </c>
      <c r="B2478" s="157" t="s">
        <v>2035</v>
      </c>
      <c r="C2478" s="56">
        <v>46034</v>
      </c>
      <c r="E2478" s="139">
        <v>640</v>
      </c>
      <c r="F2478" s="1454" t="s">
        <v>557</v>
      </c>
      <c r="G2478" t="s">
        <v>2020</v>
      </c>
    </row>
    <row r="2479" spans="1:7">
      <c r="A2479" s="247" t="s">
        <v>405</v>
      </c>
      <c r="B2479" s="157" t="s">
        <v>2035</v>
      </c>
      <c r="C2479" s="56">
        <v>46034</v>
      </c>
      <c r="E2479" s="201">
        <v>428</v>
      </c>
      <c r="F2479" s="1457"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5" t="s">
        <v>2048</v>
      </c>
      <c r="G2481" t="s">
        <v>2020</v>
      </c>
    </row>
    <row r="2482" spans="1:7">
      <c r="A2482" s="247" t="s">
        <v>343</v>
      </c>
      <c r="B2482" s="157" t="s">
        <v>128</v>
      </c>
      <c r="C2482" s="56">
        <v>46034</v>
      </c>
      <c r="D2482" s="321">
        <v>4915</v>
      </c>
      <c r="E2482" s="43"/>
      <c r="F2482" s="1455" t="s">
        <v>2049</v>
      </c>
      <c r="G2482" t="s">
        <v>2020</v>
      </c>
    </row>
    <row r="2483" spans="1:7">
      <c r="A2483" s="247" t="s">
        <v>340</v>
      </c>
      <c r="B2483" s="157" t="s">
        <v>128</v>
      </c>
      <c r="C2483" s="56">
        <v>46034</v>
      </c>
      <c r="D2483" s="139">
        <v>813</v>
      </c>
      <c r="E2483" s="43"/>
      <c r="F2483" s="1455" t="s">
        <v>2050</v>
      </c>
      <c r="G2483" t="s">
        <v>2020</v>
      </c>
    </row>
    <row r="2484" spans="1:7">
      <c r="A2484" s="247" t="s">
        <v>136</v>
      </c>
      <c r="B2484" s="157" t="s">
        <v>128</v>
      </c>
      <c r="C2484" s="56">
        <v>46034</v>
      </c>
      <c r="D2484" s="321">
        <v>1356</v>
      </c>
      <c r="E2484" s="43"/>
      <c r="F2484" s="1455"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c r="B2488" s="157"/>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2143</v>
      </c>
      <c r="C1" s="1449"/>
      <c r="D1" s="558"/>
      <c r="E1" s="1449" t="s">
        <v>2144</v>
      </c>
      <c r="F1" s="1449"/>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2170</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4D17981-96C4-47C9-B01A-FF6637A8F6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2026-01-12T23:45:57Z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