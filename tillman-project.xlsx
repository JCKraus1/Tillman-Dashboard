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87" documentId="8_{E14B221E-02E2-46A3-8CEC-C736815F2DD5}" xr6:coauthVersionLast="47" xr6:coauthVersionMax="47" xr10:uidLastSave="{20E74DDB-26D8-4F00-8C4D-D69EDFE6587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<sst xmlns="http://schemas.openxmlformats.org/spreadsheetml/2006/main" count="14498" uniqueCount="1783">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</sst>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K61" activePane="topRight" state="frozen"/>
      <selection pane="topRight" activeCell="P71" sqref="P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1"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486"/>
      <c r="X72" s="486">
        <f t="shared" si="3"/>
        <v>16290</v>
      </c>
      <c r="Y72" s="684">
        <f t="shared" ref="Y72:Y118" si="5">IFERROR($W72/$V72, 0)</f>
        <v>0</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49">
        <v>2897</v>
      </c>
      <c r="X84" s="486">
        <f t="shared" si="6"/>
        <v>1100</v>
      </c>
      <c r="Y84" s="684">
        <f t="shared" si="5"/>
        <v>0.7247935951963973</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486">
        <v>2733</v>
      </c>
      <c r="X102" s="486">
        <f t="shared" si="6"/>
        <v>2092</v>
      </c>
      <c r="Y102" s="684">
        <f t="shared" si="5"/>
        <v>0.56642487046632128</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v>127</v>
      </c>
      <c r="C969" s="1158">
        <v>127</v>
      </c>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219</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220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220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220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s="1158">
        <v>223696</v>
      </c>
      <c r="E4" s="44" t="s">
        <v>1727</v>
      </c>
      <c r="F4" t="s">
        <v>878</v>
      </c>
      <c r="W4" t="s">
        <v>1731</v>
      </c>
      <c r="X4">
        <v>22</v>
      </c>
    </row>
    <row r="5" spans="1:25">
      <c r="B5" t="s">
        <v>60</v>
      </c>
      <c r="C5" s="1158">
        <v>53770</v>
      </c>
      <c r="E5" t="s">
        <v>878</v>
      </c>
      <c r="F5" s="1158">
        <v>307508</v>
      </c>
      <c r="K5" s="44" t="s">
        <v>1732</v>
      </c>
      <c r="P5" s="44" t="s">
        <v>1732</v>
      </c>
      <c r="W5" t="s">
        <v>1733</v>
      </c>
      <c r="X5">
        <v>13</v>
      </c>
    </row>
    <row r="6" spans="1:25">
      <c r="B6" t="s">
        <v>101</v>
      </c>
      <c r="C6" s="1158">
        <v>22387</v>
      </c>
      <c r="K6" s="44" t="s">
        <v>27</v>
      </c>
      <c r="L6" s="44" t="s">
        <v>1734</v>
      </c>
      <c r="M6" t="s">
        <v>878</v>
      </c>
      <c r="P6" s="44" t="s">
        <v>1735</v>
      </c>
      <c r="Q6" s="44" t="s">
        <v>1734</v>
      </c>
      <c r="R6" t="s">
        <v>878</v>
      </c>
    </row>
    <row r="7" spans="1:25">
      <c r="B7" t="s">
        <v>904</v>
      </c>
      <c r="C7" s="1158">
        <v>224873</v>
      </c>
      <c r="K7" t="s">
        <v>1728</v>
      </c>
      <c r="L7" t="s">
        <v>509</v>
      </c>
      <c r="M7" s="1158">
        <v>1</v>
      </c>
      <c r="P7" t="s">
        <v>1736</v>
      </c>
      <c r="R7" s="1158">
        <v>1</v>
      </c>
      <c r="X7" t="s">
        <v>1737</v>
      </c>
      <c r="Y7" t="s">
        <v>1738</v>
      </c>
    </row>
    <row r="8" spans="1:25">
      <c r="B8" t="s">
        <v>51</v>
      </c>
      <c r="C8" s="1158">
        <v>0</v>
      </c>
      <c r="L8" t="s">
        <v>511</v>
      </c>
      <c r="M8" s="1158">
        <v>1</v>
      </c>
      <c r="P8" t="s">
        <v>1739</v>
      </c>
      <c r="R8" s="1158">
        <v>1</v>
      </c>
      <c r="V8" t="s">
        <v>1740</v>
      </c>
      <c r="W8" s="261">
        <v>203521</v>
      </c>
      <c r="X8" s="317">
        <f>X5/X4</f>
        <v>0.59090909090909094</v>
      </c>
      <c r="Y8" s="317">
        <f>W9/W8</f>
        <v>0.31446386367991508</v>
      </c>
    </row>
    <row r="9" spans="1:25">
      <c r="B9" t="s">
        <v>22</v>
      </c>
      <c r="C9" s="1158">
        <v>0</v>
      </c>
      <c r="L9" t="s">
        <v>1741</v>
      </c>
      <c r="M9" s="1158">
        <v>1</v>
      </c>
      <c r="P9" t="s">
        <v>1742</v>
      </c>
      <c r="Q9" t="s">
        <v>1741</v>
      </c>
      <c r="R9" s="1158">
        <v>1</v>
      </c>
      <c r="V9" t="s">
        <v>1743</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1744</v>
      </c>
      <c r="R12" s="1158">
        <v>1</v>
      </c>
    </row>
    <row r="13" spans="1:25">
      <c r="B13" t="s">
        <v>212</v>
      </c>
      <c r="C13" s="1158">
        <v>16290</v>
      </c>
      <c r="L13" t="s">
        <v>1745</v>
      </c>
      <c r="M13" s="1158">
        <v>1</v>
      </c>
      <c r="Q13" t="s">
        <v>828</v>
      </c>
      <c r="R13" s="1158">
        <v>1</v>
      </c>
    </row>
    <row r="14" spans="1:25">
      <c r="B14" t="s">
        <v>239</v>
      </c>
      <c r="C14" s="1158">
        <v>11123</v>
      </c>
      <c r="L14" t="s">
        <v>628</v>
      </c>
      <c r="M14" s="1158">
        <v>1</v>
      </c>
      <c r="P14" t="s">
        <v>1746</v>
      </c>
      <c r="R14" s="1158">
        <v>5</v>
      </c>
    </row>
    <row r="15" spans="1:25">
      <c r="B15" t="s">
        <v>215</v>
      </c>
      <c r="C15" s="1158">
        <v>5576</v>
      </c>
      <c r="L15" t="s">
        <v>1744</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614692</v>
      </c>
      <c r="L18" t="s">
        <v>636</v>
      </c>
      <c r="M18" s="1158">
        <v>1</v>
      </c>
    </row>
    <row r="19" spans="2:13">
      <c r="L19" t="s">
        <v>640</v>
      </c>
      <c r="M19" s="1158">
        <v>1</v>
      </c>
    </row>
    <row r="20" spans="2:13">
      <c r="L20" t="s">
        <v>701</v>
      </c>
      <c r="M20" s="1158">
        <v>1</v>
      </c>
    </row>
    <row r="21" spans="2:13">
      <c r="L21" t="s">
        <v>1747</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1748</v>
      </c>
      <c r="M26" s="1158">
        <v>19</v>
      </c>
    </row>
    <row r="27" spans="2:13">
      <c r="K27" t="s">
        <v>1749</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1750</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1751</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B0833C-089F-4C4B-AB0E-3EA6E89F94D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2025-11-17T20:05:11Z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