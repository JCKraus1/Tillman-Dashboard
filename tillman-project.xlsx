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41" documentId="8_{E14B221E-02E2-46A3-8CEC-C736815F2DD5}" xr6:coauthVersionLast="47" xr6:coauthVersionMax="47" xr10:uidLastSave="{17D95920-562C-4AFB-962D-D26FDF4BF37E}"/>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5391" r:id="rId12"/>
    <pivotCache cacheId="5394" r:id="rId13"/>
    <pivotCache cacheId="5397" r:id="rId14"/>
    <pivotCache cacheId="5400" r:id="rId15"/>
    <pivotCache cacheId="54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<sst xmlns="http://schemas.openxmlformats.org/spreadsheetml/2006/main" count="16138" uniqueCount="2088">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</sst>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0" borderId="20" xfId="0" applyNumberFormat="1" applyFont="1" applyFill="1" applyBorder="1" applyAlignment="1">
      <alignment horizontal="center"/>
    </xf>
    <xf numFmtId="0" fontId="38" fillId="0" borderId="0" xfId="0" applyFo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375"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6064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m/>
    <m/>
    <m/>
  </r>
  <r>
    <x v="314"/>
    <x v="45"/>
    <x v="222"/>
    <m/>
    <m/>
    <m/>
  </r>
  <r>
    <x v="294"/>
    <x v="5"/>
    <x v="222"/>
    <m/>
    <m/>
    <m/>
  </r>
  <r>
    <x v="316"/>
    <x v="5"/>
    <x v="222"/>
    <m/>
    <m/>
    <m/>
  </r>
  <r>
    <x v="317"/>
    <x v="5"/>
    <x v="222"/>
    <m/>
    <m/>
    <m/>
  </r>
  <r>
    <x v="319"/>
    <x v="5"/>
    <x v="222"/>
    <m/>
    <m/>
    <m/>
  </r>
  <r>
    <x v="258"/>
    <x v="5"/>
    <x v="222"/>
    <m/>
    <m/>
    <s v="1 HH /  1 FDH  / 1 Swing Arm / 1 Ground Rod"/>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abSelected="1" topLeftCell="A118" zoomScale="90" zoomScaleNormal="90" workbookViewId="0">
      <pane xSplit="1" topLeftCell="AC10" activePane="topRight" state="frozen"/>
      <selection pane="topRight" activeCell="AD18" sqref="AD1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49">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71">
        <v>8519</v>
      </c>
      <c r="X18" s="1212">
        <f>SUM(V18-W18)</f>
        <v>662</v>
      </c>
      <c r="Y18" s="863">
        <f t="shared" si="2"/>
        <v>0.92789456486221544</v>
      </c>
      <c r="Z18" s="1211">
        <v>45992</v>
      </c>
      <c r="AA18" s="1214">
        <v>1</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60">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64">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c r="M53" s="1208" t="s">
        <v>57</v>
      </c>
      <c r="N53" s="1209">
        <v>45512.75</v>
      </c>
      <c r="O53" s="1208" t="s">
        <v>57</v>
      </c>
      <c r="P53" s="1210" t="s">
        <v>58</v>
      </c>
      <c r="Q53" s="1211"/>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3">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5">
        <v>46053</v>
      </c>
      <c r="D65" s="1356" t="s">
        <v>236</v>
      </c>
      <c r="E65" s="1357"/>
      <c r="F65" s="1356"/>
      <c r="G65" s="1227"/>
      <c r="H65" s="1228">
        <v>0</v>
      </c>
      <c r="I65" s="661" t="s">
        <v>55</v>
      </c>
      <c r="J65" s="1373"/>
      <c r="K65" s="1373"/>
      <c r="L65" s="1355"/>
      <c r="M65" s="1228" t="s">
        <v>57</v>
      </c>
      <c r="N65" s="1374">
        <v>1035</v>
      </c>
      <c r="O65" s="1228" t="s">
        <v>57</v>
      </c>
      <c r="P65" s="1241" t="s">
        <v>58</v>
      </c>
      <c r="Q65" s="1375"/>
      <c r="R65" s="1375"/>
      <c r="S65" s="1375"/>
      <c r="T65" s="1375"/>
      <c r="U65" s="1375"/>
      <c r="V65" s="1376">
        <v>0</v>
      </c>
      <c r="W65" s="1377"/>
      <c r="X65" s="1377">
        <f>SUM(V65-W65)</f>
        <v>0</v>
      </c>
      <c r="Y65" s="662">
        <f>IFERROR($W65/$V65, 0)</f>
        <v>0</v>
      </c>
      <c r="Z65" s="1378"/>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60">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4" t="s">
        <v>273</v>
      </c>
      <c r="B79" s="831" t="s">
        <v>225</v>
      </c>
      <c r="C79" s="1355">
        <v>46052</v>
      </c>
      <c r="D79" s="1357"/>
      <c r="E79" s="1357"/>
      <c r="F79" s="1356"/>
      <c r="G79" s="1226"/>
      <c r="H79" s="1379"/>
      <c r="I79" s="829" t="s">
        <v>55</v>
      </c>
      <c r="J79" s="832" t="s">
        <v>63</v>
      </c>
      <c r="K79" s="1373"/>
      <c r="L79" s="1357"/>
      <c r="M79" s="829" t="s">
        <v>57</v>
      </c>
      <c r="N79" s="1374">
        <v>36998.550000000003</v>
      </c>
      <c r="O79" s="829" t="s">
        <v>57</v>
      </c>
      <c r="P79" s="1241" t="s">
        <v>58</v>
      </c>
      <c r="Q79" s="1375"/>
      <c r="R79" s="1375"/>
      <c r="S79" s="1375"/>
      <c r="T79" s="1375"/>
      <c r="U79" s="1375"/>
      <c r="V79" s="1376">
        <v>2944</v>
      </c>
      <c r="W79" s="1377"/>
      <c r="X79" s="1377">
        <f>SUM(V79-W79)</f>
        <v>2944</v>
      </c>
      <c r="Y79" s="662">
        <f>IFERROR($W79/$V79, 0)</f>
        <v>0</v>
      </c>
      <c r="Z79" s="1378"/>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6"/>
      <c r="E88" s="1357"/>
      <c r="F88" s="1356"/>
      <c r="G88" s="1227"/>
      <c r="H88" s="1228">
        <v>0</v>
      </c>
      <c r="I88" s="829" t="s">
        <v>55</v>
      </c>
      <c r="J88" s="1228" t="s">
        <v>63</v>
      </c>
      <c r="K88" s="1373"/>
      <c r="L88" s="1357"/>
      <c r="M88" s="1228" t="s">
        <v>57</v>
      </c>
      <c r="N88" s="1374">
        <v>118710.8</v>
      </c>
      <c r="O88" s="1228" t="s">
        <v>57</v>
      </c>
      <c r="P88" s="1210" t="s">
        <v>58</v>
      </c>
      <c r="Q88" s="1375"/>
      <c r="R88" s="1375"/>
      <c r="S88" s="1375"/>
      <c r="T88" s="1375"/>
      <c r="U88" s="1375"/>
      <c r="V88" s="1376">
        <v>9628</v>
      </c>
      <c r="W88" s="1377"/>
      <c r="X88" s="1377">
        <f>SUM(V88-W88)</f>
        <v>9628</v>
      </c>
      <c r="Y88" s="662">
        <f>IFERROR($W88/$V88, 0)</f>
        <v>0</v>
      </c>
      <c r="Z88" s="1375"/>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0">
        <v>3304</v>
      </c>
      <c r="X96" s="1212">
        <f t="shared" si="5"/>
        <v>1748</v>
      </c>
      <c r="Y96" s="662">
        <f t="shared" si="6"/>
        <v>0.65399841646872525</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0">
        <v>4359</v>
      </c>
      <c r="X100" s="1212">
        <f t="shared" si="5"/>
        <v>2399</v>
      </c>
      <c r="Y100" s="662">
        <f t="shared" si="6"/>
        <v>0.64501331754957092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358">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358">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358">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358">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50"/>
      <c r="S18" s="1350"/>
      <c r="T18" s="1350"/>
      <c r="U18" s="1350"/>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1"/>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2" t="s">
        <v>363</v>
      </c>
      <c r="Q27" s="156">
        <v>45902</v>
      </c>
      <c r="R27" s="1353"/>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I1115" sqref="I1115"/>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136</v>
      </c>
      <c r="K6">
        <v>22274</v>
      </c>
      <c r="N6" t="s">
        <v>136</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161</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161</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382</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382</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434</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434</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434</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434</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434</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291</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291</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291</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382</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360</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385</v>
      </c>
      <c r="C753">
        <v>251</v>
      </c>
      <c r="D753">
        <v>253</v>
      </c>
      <c r="E753">
        <v>1076</v>
      </c>
      <c r="G753">
        <v>1580</v>
      </c>
    </row>
    <row r="754" spans="1:7">
      <c r="A754" t="s">
        <v>360</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291</v>
      </c>
      <c r="D767">
        <v>362</v>
      </c>
      <c r="E767">
        <v>399</v>
      </c>
      <c r="G767">
        <v>761</v>
      </c>
    </row>
    <row r="768" spans="1:7">
      <c r="A768" t="s">
        <v>945</v>
      </c>
    </row>
    <row r="769" spans="1:7">
      <c r="A769" t="s">
        <v>927</v>
      </c>
    </row>
    <row r="770" spans="1:7">
      <c r="A770" t="s">
        <v>385</v>
      </c>
      <c r="C770">
        <v>120</v>
      </c>
      <c r="D770">
        <v>190</v>
      </c>
      <c r="G770">
        <v>310</v>
      </c>
    </row>
    <row r="771" spans="1:7">
      <c r="A771" t="s">
        <v>360</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388</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385</v>
      </c>
      <c r="B794">
        <v>479</v>
      </c>
      <c r="E794">
        <v>170</v>
      </c>
      <c r="G794">
        <v>649</v>
      </c>
    </row>
    <row r="795" spans="1:7">
      <c r="A795" t="s">
        <v>360</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388</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385</v>
      </c>
      <c r="E818">
        <v>725</v>
      </c>
      <c r="G818">
        <v>725</v>
      </c>
    </row>
    <row r="819" spans="1:7">
      <c r="A819" t="s">
        <v>360</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388</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169</v>
      </c>
      <c r="D829">
        <v>1282</v>
      </c>
      <c r="E829">
        <v>980</v>
      </c>
      <c r="G829">
        <v>2262</v>
      </c>
    </row>
    <row r="830" spans="1:7">
      <c r="A830" t="s">
        <v>365</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291</v>
      </c>
      <c r="E838">
        <v>170</v>
      </c>
      <c r="G838">
        <v>170</v>
      </c>
    </row>
    <row r="839" spans="1:7">
      <c r="A839" t="s">
        <v>360</v>
      </c>
      <c r="D839">
        <v>986</v>
      </c>
      <c r="G839">
        <v>986</v>
      </c>
    </row>
    <row r="840" spans="1:7">
      <c r="A840" t="s">
        <v>1081</v>
      </c>
      <c r="B840">
        <v>916</v>
      </c>
      <c r="C840">
        <v>144</v>
      </c>
      <c r="G840">
        <v>1060</v>
      </c>
    </row>
    <row r="841" spans="1:7">
      <c r="A841" t="s">
        <v>562</v>
      </c>
    </row>
    <row r="842" spans="1:7">
      <c r="A842" t="s">
        <v>947</v>
      </c>
    </row>
    <row r="843" spans="1:7">
      <c r="A843" t="s">
        <v>169</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368</v>
      </c>
      <c r="B847">
        <v>60</v>
      </c>
      <c r="C847">
        <v>219</v>
      </c>
      <c r="G847">
        <v>279</v>
      </c>
    </row>
    <row r="848" spans="1:7">
      <c r="A848" t="s">
        <v>969</v>
      </c>
      <c r="D848">
        <v>240</v>
      </c>
      <c r="G848">
        <v>240</v>
      </c>
    </row>
    <row r="849" spans="1:7">
      <c r="A849" t="s">
        <v>1086</v>
      </c>
      <c r="C849">
        <v>1603</v>
      </c>
      <c r="D849">
        <v>791</v>
      </c>
      <c r="E849">
        <v>2803</v>
      </c>
      <c r="G849">
        <v>5197</v>
      </c>
    </row>
    <row r="850" spans="1:7">
      <c r="A850" t="s">
        <v>378</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381</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378</v>
      </c>
      <c r="B867">
        <v>1100</v>
      </c>
      <c r="C867">
        <v>527</v>
      </c>
      <c r="D867">
        <v>553</v>
      </c>
      <c r="G867">
        <v>2180</v>
      </c>
    </row>
    <row r="868" spans="1:7">
      <c r="A868" t="s">
        <v>568</v>
      </c>
      <c r="C868">
        <v>230</v>
      </c>
      <c r="G868">
        <v>230</v>
      </c>
    </row>
    <row r="869" spans="1:7">
      <c r="A869" t="s">
        <v>949</v>
      </c>
      <c r="B869">
        <v>853</v>
      </c>
      <c r="G869">
        <v>853</v>
      </c>
    </row>
    <row r="870" spans="1:7">
      <c r="A870" t="s">
        <v>381</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391</v>
      </c>
      <c r="D873">
        <v>1624</v>
      </c>
      <c r="E873">
        <v>551</v>
      </c>
      <c r="G873">
        <v>2175</v>
      </c>
    </row>
    <row r="874" spans="1:7">
      <c r="A874" t="s">
        <v>379</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291</v>
      </c>
    </row>
    <row r="885" spans="1:7">
      <c r="A885" t="s">
        <v>360</v>
      </c>
    </row>
    <row r="886" spans="1:7">
      <c r="A886" t="s">
        <v>77</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378</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391</v>
      </c>
      <c r="F895">
        <v>168</v>
      </c>
      <c r="G895">
        <v>168</v>
      </c>
    </row>
    <row r="896" spans="1:7">
      <c r="A896" t="s">
        <v>379</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374</v>
      </c>
      <c r="D899">
        <v>3179</v>
      </c>
      <c r="G899">
        <v>3179</v>
      </c>
    </row>
    <row r="900" spans="1:7">
      <c r="A900" t="s">
        <v>587</v>
      </c>
      <c r="E900">
        <v>978</v>
      </c>
      <c r="G900">
        <v>978</v>
      </c>
    </row>
    <row r="901" spans="1:7">
      <c r="A901" t="s">
        <v>440</v>
      </c>
      <c r="E901">
        <v>502</v>
      </c>
      <c r="G901">
        <v>502</v>
      </c>
    </row>
    <row r="902" spans="1:7">
      <c r="A902" t="s">
        <v>246</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360</v>
      </c>
    </row>
    <row r="911" spans="1:7">
      <c r="A911" t="s">
        <v>388</v>
      </c>
      <c r="F911">
        <v>569</v>
      </c>
      <c r="G911">
        <v>569</v>
      </c>
    </row>
    <row r="912" spans="1:7">
      <c r="A912" t="s">
        <v>521</v>
      </c>
    </row>
    <row r="913" spans="1:7">
      <c r="A913" t="s">
        <v>368</v>
      </c>
      <c r="D913">
        <v>150</v>
      </c>
      <c r="G913">
        <v>150</v>
      </c>
    </row>
    <row r="914" spans="1:7">
      <c r="A914" t="s">
        <v>381</v>
      </c>
    </row>
    <row r="915" spans="1:7">
      <c r="A915" t="s">
        <v>574</v>
      </c>
      <c r="B915">
        <v>701</v>
      </c>
      <c r="G915">
        <v>701</v>
      </c>
    </row>
    <row r="916" spans="1:7">
      <c r="A916" t="s">
        <v>391</v>
      </c>
      <c r="B916">
        <v>463</v>
      </c>
      <c r="C916">
        <v>633</v>
      </c>
      <c r="D916">
        <v>625</v>
      </c>
      <c r="G916">
        <v>1721</v>
      </c>
    </row>
    <row r="917" spans="1:7">
      <c r="A917" t="s">
        <v>379</v>
      </c>
    </row>
    <row r="918" spans="1:7">
      <c r="A918" t="s">
        <v>374</v>
      </c>
      <c r="B918">
        <v>882</v>
      </c>
      <c r="C918">
        <v>1072</v>
      </c>
      <c r="D918">
        <v>1034</v>
      </c>
      <c r="E918">
        <v>209</v>
      </c>
      <c r="G918">
        <v>3197</v>
      </c>
    </row>
    <row r="919" spans="1:7">
      <c r="A919" t="s">
        <v>587</v>
      </c>
      <c r="B919">
        <v>1420</v>
      </c>
      <c r="C919">
        <v>990</v>
      </c>
      <c r="D919">
        <v>549</v>
      </c>
      <c r="G919">
        <v>2959</v>
      </c>
    </row>
    <row r="920" spans="1:7">
      <c r="A920" t="s">
        <v>440</v>
      </c>
      <c r="B920">
        <v>259</v>
      </c>
      <c r="C920">
        <v>1087</v>
      </c>
      <c r="D920">
        <v>2206</v>
      </c>
      <c r="E920">
        <v>453</v>
      </c>
      <c r="G920">
        <v>4005</v>
      </c>
    </row>
    <row r="921" spans="1:7">
      <c r="A921" t="s">
        <v>246</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393</v>
      </c>
      <c r="B924">
        <v>207</v>
      </c>
      <c r="G924">
        <v>207</v>
      </c>
    </row>
    <row r="925" spans="1:7">
      <c r="A925" t="s">
        <v>99</v>
      </c>
      <c r="C925">
        <v>1691</v>
      </c>
      <c r="D925">
        <v>1998</v>
      </c>
      <c r="E925">
        <v>760</v>
      </c>
      <c r="F925">
        <v>3975</v>
      </c>
      <c r="G925">
        <v>8424</v>
      </c>
    </row>
    <row r="926" spans="1:7">
      <c r="A926" t="s">
        <v>590</v>
      </c>
      <c r="D926">
        <v>1031</v>
      </c>
      <c r="G926">
        <v>1031</v>
      </c>
    </row>
    <row r="927" spans="1:7">
      <c r="A927" t="s">
        <v>390</v>
      </c>
      <c r="E927">
        <v>1063</v>
      </c>
      <c r="F927">
        <v>1263</v>
      </c>
      <c r="G927">
        <v>2326</v>
      </c>
    </row>
    <row r="928" spans="1:7">
      <c r="A928" t="s">
        <v>519</v>
      </c>
      <c r="F928">
        <v>451</v>
      </c>
      <c r="G928">
        <v>451</v>
      </c>
    </row>
    <row r="929" spans="1:7">
      <c r="A929" t="s">
        <v>460</v>
      </c>
      <c r="B929">
        <v>3266</v>
      </c>
      <c r="C929">
        <v>3910</v>
      </c>
      <c r="D929">
        <v>346</v>
      </c>
      <c r="G929">
        <v>7522</v>
      </c>
    </row>
    <row r="930" spans="1:7">
      <c r="A930" t="s">
        <v>328</v>
      </c>
      <c r="C930">
        <v>372</v>
      </c>
      <c r="D930">
        <v>656</v>
      </c>
      <c r="G930">
        <v>1028</v>
      </c>
    </row>
    <row r="931" spans="1:7">
      <c r="A931" t="s">
        <v>451</v>
      </c>
      <c r="D931">
        <v>2985</v>
      </c>
      <c r="E931">
        <v>2373</v>
      </c>
      <c r="G931">
        <v>5358</v>
      </c>
    </row>
    <row r="932" spans="1:7">
      <c r="A932" t="s">
        <v>478</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365</v>
      </c>
    </row>
    <row r="940" spans="1:7">
      <c r="A940" t="s">
        <v>521</v>
      </c>
      <c r="B940">
        <v>560</v>
      </c>
      <c r="G940">
        <v>560</v>
      </c>
    </row>
    <row r="941" spans="1:7">
      <c r="A941" t="s">
        <v>381</v>
      </c>
    </row>
    <row r="942" spans="1:7">
      <c r="A942" t="s">
        <v>574</v>
      </c>
      <c r="B942">
        <v>138</v>
      </c>
      <c r="G942">
        <v>138</v>
      </c>
    </row>
    <row r="943" spans="1:7">
      <c r="A943" t="s">
        <v>379</v>
      </c>
    </row>
    <row r="944" spans="1:7">
      <c r="A944" t="s">
        <v>374</v>
      </c>
      <c r="B944">
        <v>96</v>
      </c>
      <c r="G944">
        <v>96</v>
      </c>
    </row>
    <row r="945" spans="1:7">
      <c r="A945" t="s">
        <v>587</v>
      </c>
      <c r="B945">
        <v>632</v>
      </c>
      <c r="G945">
        <v>632</v>
      </c>
    </row>
    <row r="946" spans="1:7">
      <c r="A946" t="s">
        <v>440</v>
      </c>
      <c r="B946">
        <v>558</v>
      </c>
      <c r="G946">
        <v>558</v>
      </c>
    </row>
    <row r="947" spans="1:7">
      <c r="A947" t="s">
        <v>246</v>
      </c>
      <c r="B947">
        <v>562</v>
      </c>
      <c r="D947">
        <v>474</v>
      </c>
      <c r="E947">
        <v>606</v>
      </c>
      <c r="F947">
        <v>322</v>
      </c>
      <c r="G947">
        <v>1964</v>
      </c>
    </row>
    <row r="948" spans="1:7">
      <c r="A948" t="s">
        <v>590</v>
      </c>
      <c r="B948">
        <v>1351</v>
      </c>
      <c r="D948">
        <v>890</v>
      </c>
      <c r="G948">
        <v>2241</v>
      </c>
    </row>
    <row r="949" spans="1:7">
      <c r="A949" t="s">
        <v>478</v>
      </c>
      <c r="B949">
        <v>4084</v>
      </c>
      <c r="D949">
        <v>242</v>
      </c>
      <c r="G949">
        <v>4326</v>
      </c>
    </row>
    <row r="950" spans="1:7">
      <c r="A950" t="s">
        <v>1089</v>
      </c>
      <c r="B950">
        <v>748</v>
      </c>
      <c r="C950">
        <v>1062</v>
      </c>
      <c r="G950">
        <v>1810</v>
      </c>
    </row>
    <row r="951" spans="1:7">
      <c r="A951" t="s">
        <v>376</v>
      </c>
      <c r="B951">
        <v>435</v>
      </c>
      <c r="E951">
        <v>1123</v>
      </c>
      <c r="G951">
        <v>1558</v>
      </c>
    </row>
    <row r="952" spans="1:7">
      <c r="A952" t="s">
        <v>421</v>
      </c>
      <c r="D952">
        <v>1580</v>
      </c>
      <c r="E952">
        <v>1258</v>
      </c>
      <c r="G952">
        <v>2838</v>
      </c>
    </row>
    <row r="953" spans="1:7">
      <c r="A953" t="s">
        <v>570</v>
      </c>
      <c r="D953">
        <v>877</v>
      </c>
      <c r="E953">
        <v>814</v>
      </c>
      <c r="G953">
        <v>1691</v>
      </c>
    </row>
    <row r="954" spans="1:7">
      <c r="A954" t="s">
        <v>229</v>
      </c>
      <c r="D954">
        <v>711</v>
      </c>
      <c r="E954">
        <v>325</v>
      </c>
      <c r="F954">
        <v>430</v>
      </c>
      <c r="G954">
        <v>1466</v>
      </c>
    </row>
    <row r="955" spans="1:7">
      <c r="A955" t="s">
        <v>405</v>
      </c>
      <c r="D955">
        <v>1486</v>
      </c>
      <c r="E955">
        <v>2912</v>
      </c>
      <c r="F955">
        <v>2125</v>
      </c>
      <c r="G955">
        <v>6523</v>
      </c>
    </row>
    <row r="956" spans="1:7">
      <c r="A956" t="s">
        <v>470</v>
      </c>
      <c r="D956">
        <v>1264</v>
      </c>
      <c r="E956">
        <v>1281</v>
      </c>
      <c r="G956">
        <v>2545</v>
      </c>
    </row>
    <row r="957" spans="1:7">
      <c r="A957" t="s">
        <v>1090</v>
      </c>
    </row>
    <row r="958" spans="1:7">
      <c r="A958" t="s">
        <v>483</v>
      </c>
      <c r="D958">
        <v>3678</v>
      </c>
      <c r="E958">
        <v>3382</v>
      </c>
      <c r="G958">
        <v>7060</v>
      </c>
    </row>
    <row r="959" spans="1:7">
      <c r="A959" t="s">
        <v>1091</v>
      </c>
      <c r="F959">
        <v>1505</v>
      </c>
      <c r="G959">
        <v>1505</v>
      </c>
    </row>
    <row r="960" spans="1:7">
      <c r="A960" t="s">
        <v>356</v>
      </c>
      <c r="E960">
        <v>424</v>
      </c>
      <c r="G960">
        <v>424</v>
      </c>
    </row>
    <row r="961" spans="1:7">
      <c r="A961" t="s">
        <v>485</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291</v>
      </c>
      <c r="B969">
        <v>446</v>
      </c>
      <c r="C969">
        <v>120</v>
      </c>
      <c r="D969">
        <v>550</v>
      </c>
      <c r="G969">
        <v>1116</v>
      </c>
    </row>
    <row r="970" spans="1:7">
      <c r="A970" t="s">
        <v>521</v>
      </c>
      <c r="C970">
        <v>17</v>
      </c>
      <c r="G970">
        <v>17</v>
      </c>
    </row>
    <row r="971" spans="1:7">
      <c r="A971" t="s">
        <v>574</v>
      </c>
    </row>
    <row r="972" spans="1:7">
      <c r="A972" t="s">
        <v>440</v>
      </c>
      <c r="B972">
        <v>127</v>
      </c>
      <c r="G972">
        <v>127</v>
      </c>
    </row>
    <row r="973" spans="1:7">
      <c r="A973" t="s">
        <v>246</v>
      </c>
      <c r="B973">
        <v>420</v>
      </c>
      <c r="G973">
        <v>420</v>
      </c>
    </row>
    <row r="974" spans="1:7">
      <c r="A974" t="s">
        <v>590</v>
      </c>
    </row>
    <row r="975" spans="1:7">
      <c r="A975" t="s">
        <v>376</v>
      </c>
      <c r="C975">
        <v>1917</v>
      </c>
      <c r="E975">
        <v>272</v>
      </c>
      <c r="G975">
        <v>2189</v>
      </c>
    </row>
    <row r="976" spans="1:7">
      <c r="A976" t="s">
        <v>570</v>
      </c>
      <c r="B976">
        <v>956</v>
      </c>
      <c r="G976">
        <v>956</v>
      </c>
    </row>
    <row r="977" spans="1:7">
      <c r="A977" t="s">
        <v>229</v>
      </c>
      <c r="E977">
        <v>195</v>
      </c>
      <c r="G977">
        <v>195</v>
      </c>
    </row>
    <row r="978" spans="1:7">
      <c r="A978" t="s">
        <v>405</v>
      </c>
      <c r="B978">
        <v>1449</v>
      </c>
      <c r="G978">
        <v>1449</v>
      </c>
    </row>
    <row r="979" spans="1:7">
      <c r="A979" t="s">
        <v>470</v>
      </c>
      <c r="B979">
        <v>1662</v>
      </c>
      <c r="C979">
        <v>2684</v>
      </c>
      <c r="F979">
        <v>51</v>
      </c>
      <c r="G979">
        <v>4397</v>
      </c>
    </row>
    <row r="980" spans="1:7">
      <c r="A980" t="s">
        <v>480</v>
      </c>
      <c r="B980">
        <v>5466</v>
      </c>
      <c r="E980">
        <v>2252</v>
      </c>
      <c r="G980">
        <v>7718</v>
      </c>
    </row>
    <row r="981" spans="1:7">
      <c r="A981" t="s">
        <v>1091</v>
      </c>
      <c r="B981">
        <v>907</v>
      </c>
      <c r="G981">
        <v>907</v>
      </c>
    </row>
    <row r="982" spans="1:7">
      <c r="A982" t="s">
        <v>356</v>
      </c>
      <c r="E982">
        <v>313</v>
      </c>
      <c r="F982">
        <v>3007</v>
      </c>
      <c r="G982">
        <v>3320</v>
      </c>
    </row>
    <row r="983" spans="1:7">
      <c r="A983" t="s">
        <v>485</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424</v>
      </c>
      <c r="C987">
        <v>1679</v>
      </c>
      <c r="D987">
        <v>1429</v>
      </c>
      <c r="E987">
        <v>1624</v>
      </c>
      <c r="G987">
        <v>4732</v>
      </c>
    </row>
    <row r="988" spans="1:7">
      <c r="A988" t="s">
        <v>406</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371</v>
      </c>
      <c r="C993">
        <v>136</v>
      </c>
      <c r="D993">
        <v>170</v>
      </c>
      <c r="F993">
        <v>15</v>
      </c>
      <c r="G993">
        <v>321</v>
      </c>
    </row>
    <row r="994" spans="1:7">
      <c r="A994" t="s">
        <v>488</v>
      </c>
      <c r="E994">
        <v>1420</v>
      </c>
      <c r="F994">
        <v>3043</v>
      </c>
      <c r="G994">
        <v>4463</v>
      </c>
    </row>
    <row r="995" spans="1:7">
      <c r="A995" t="s">
        <v>491</v>
      </c>
      <c r="E995">
        <v>2376</v>
      </c>
      <c r="F995">
        <v>1217</v>
      </c>
      <c r="G995">
        <v>3593</v>
      </c>
    </row>
    <row r="996" spans="1:7">
      <c r="A996" t="s">
        <v>408</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365</v>
      </c>
    </row>
    <row r="1008" spans="1:7">
      <c r="A1008" t="s">
        <v>391</v>
      </c>
    </row>
    <row r="1009" spans="1:7">
      <c r="A1009" t="s">
        <v>379</v>
      </c>
    </row>
    <row r="1010" spans="1:7">
      <c r="A1010" t="s">
        <v>374</v>
      </c>
    </row>
    <row r="1011" spans="1:7">
      <c r="A1011" t="s">
        <v>246</v>
      </c>
      <c r="D1011">
        <v>426</v>
      </c>
      <c r="G1011">
        <v>426</v>
      </c>
    </row>
    <row r="1012" spans="1:7">
      <c r="A1012" t="s">
        <v>390</v>
      </c>
    </row>
    <row r="1013" spans="1:7">
      <c r="A1013" t="s">
        <v>460</v>
      </c>
    </row>
    <row r="1014" spans="1:7">
      <c r="A1014" t="s">
        <v>328</v>
      </c>
      <c r="C1014">
        <v>1175</v>
      </c>
      <c r="G1014">
        <v>1175</v>
      </c>
    </row>
    <row r="1015" spans="1:7">
      <c r="A1015" t="s">
        <v>451</v>
      </c>
      <c r="C1015">
        <v>996</v>
      </c>
      <c r="G1015">
        <v>996</v>
      </c>
    </row>
    <row r="1016" spans="1:7">
      <c r="A1016" t="s">
        <v>376</v>
      </c>
      <c r="B1016">
        <v>900</v>
      </c>
      <c r="G1016">
        <v>900</v>
      </c>
    </row>
    <row r="1017" spans="1:7">
      <c r="A1017" t="s">
        <v>421</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424</v>
      </c>
      <c r="B1022">
        <v>572</v>
      </c>
      <c r="G1022">
        <v>572</v>
      </c>
    </row>
    <row r="1023" spans="1:7">
      <c r="A1023" t="s">
        <v>1094</v>
      </c>
      <c r="B1023">
        <v>1718</v>
      </c>
      <c r="C1023">
        <v>2478</v>
      </c>
      <c r="D1023">
        <v>1567</v>
      </c>
      <c r="G1023">
        <v>5763</v>
      </c>
    </row>
    <row r="1024" spans="1:7">
      <c r="A1024" t="s">
        <v>488</v>
      </c>
      <c r="C1024">
        <v>3411</v>
      </c>
      <c r="G1024">
        <v>3411</v>
      </c>
    </row>
    <row r="1025" spans="1:7">
      <c r="A1025" t="s">
        <v>215</v>
      </c>
      <c r="B1025">
        <v>82</v>
      </c>
      <c r="G1025">
        <v>82</v>
      </c>
    </row>
    <row r="1026" spans="1:7">
      <c r="A1026" t="s">
        <v>491</v>
      </c>
      <c r="C1026">
        <v>3311</v>
      </c>
      <c r="G1026">
        <v>3311</v>
      </c>
    </row>
    <row r="1027" spans="1:7">
      <c r="A1027" t="s">
        <v>454</v>
      </c>
    </row>
    <row r="1028" spans="1:7">
      <c r="A1028" t="s">
        <v>408</v>
      </c>
      <c r="C1028">
        <v>2568</v>
      </c>
      <c r="G1028">
        <v>2568</v>
      </c>
    </row>
    <row r="1029" spans="1:7">
      <c r="A1029" t="s">
        <v>430</v>
      </c>
      <c r="B1029">
        <v>286</v>
      </c>
      <c r="C1029">
        <v>357</v>
      </c>
      <c r="D1029">
        <v>331</v>
      </c>
      <c r="G1029">
        <v>974</v>
      </c>
    </row>
    <row r="1030" spans="1:7">
      <c r="A1030" t="s">
        <v>402</v>
      </c>
      <c r="B1030">
        <v>1655</v>
      </c>
      <c r="C1030">
        <v>2537</v>
      </c>
      <c r="G1030">
        <v>4192</v>
      </c>
    </row>
    <row r="1031" spans="1:7">
      <c r="A1031" t="s">
        <v>472</v>
      </c>
      <c r="C1031">
        <v>2382</v>
      </c>
      <c r="G1031">
        <v>2382</v>
      </c>
    </row>
    <row r="1032" spans="1:7">
      <c r="A1032" t="s">
        <v>582</v>
      </c>
      <c r="C1032">
        <v>1100</v>
      </c>
      <c r="D1032">
        <v>855</v>
      </c>
      <c r="G1032">
        <v>1955</v>
      </c>
    </row>
    <row r="1033" spans="1:7">
      <c r="A1033" t="s">
        <v>1095</v>
      </c>
      <c r="C1033">
        <v>486</v>
      </c>
      <c r="G1033">
        <v>486</v>
      </c>
    </row>
    <row r="1034" spans="1:7">
      <c r="A1034" t="s">
        <v>494</v>
      </c>
      <c r="C1034">
        <v>3634</v>
      </c>
      <c r="G1034">
        <v>3634</v>
      </c>
    </row>
    <row r="1035" spans="1:7">
      <c r="A1035" t="s">
        <v>1096</v>
      </c>
      <c r="D1035">
        <v>955</v>
      </c>
      <c r="G1035">
        <v>955</v>
      </c>
    </row>
    <row r="1036" spans="1:7">
      <c r="A1036" t="s">
        <v>1097</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328</v>
      </c>
      <c r="B1053">
        <v>1515</v>
      </c>
      <c r="G1053">
        <v>1515</v>
      </c>
    </row>
    <row r="1054" spans="1:7">
      <c r="A1054" t="s">
        <v>480</v>
      </c>
      <c r="E1054">
        <v>64</v>
      </c>
      <c r="G1054">
        <v>64</v>
      </c>
    </row>
    <row r="1055" spans="1:7">
      <c r="A1055" t="s">
        <v>483</v>
      </c>
    </row>
    <row r="1056" spans="1:7">
      <c r="A1056" t="s">
        <v>579</v>
      </c>
      <c r="B1056">
        <v>1610</v>
      </c>
      <c r="G1056">
        <v>1610</v>
      </c>
    </row>
    <row r="1057" spans="1:7">
      <c r="A1057" t="s">
        <v>576</v>
      </c>
    </row>
    <row r="1058" spans="1:7">
      <c r="A1058" t="s">
        <v>488</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472</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494</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353</v>
      </c>
      <c r="B1067">
        <v>1829</v>
      </c>
      <c r="C1067">
        <v>2302</v>
      </c>
      <c r="D1067">
        <v>694</v>
      </c>
      <c r="G1067">
        <v>4825</v>
      </c>
    </row>
    <row r="1068" spans="1:7">
      <c r="A1068" t="s">
        <v>475</v>
      </c>
      <c r="B1068">
        <v>1391</v>
      </c>
      <c r="C1068">
        <v>2916</v>
      </c>
      <c r="D1068">
        <v>2430</v>
      </c>
      <c r="G1068">
        <v>6737</v>
      </c>
    </row>
    <row r="1069" spans="1:7">
      <c r="A1069" t="s">
        <v>418</v>
      </c>
      <c r="D1069">
        <v>466</v>
      </c>
      <c r="E1069">
        <v>345</v>
      </c>
      <c r="G1069">
        <v>811</v>
      </c>
    </row>
    <row r="1070" spans="1:7">
      <c r="A1070" t="s">
        <v>427</v>
      </c>
      <c r="E1070">
        <v>1431</v>
      </c>
      <c r="G1070">
        <v>1431</v>
      </c>
    </row>
    <row r="1071" spans="1:7">
      <c r="A1071" t="s">
        <v>557</v>
      </c>
      <c r="D1071">
        <v>1379</v>
      </c>
      <c r="E1071">
        <v>1154</v>
      </c>
      <c r="G1071">
        <v>2533</v>
      </c>
    </row>
    <row r="1072" spans="1:7">
      <c r="A1072" t="s">
        <v>333</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579</v>
      </c>
    </row>
    <row r="1085" spans="1:7">
      <c r="A1085" t="s">
        <v>408</v>
      </c>
      <c r="B1085">
        <v>428</v>
      </c>
      <c r="G1085">
        <v>428</v>
      </c>
    </row>
    <row r="1086" spans="1:7">
      <c r="A1086" t="s">
        <v>1096</v>
      </c>
    </row>
    <row r="1087" spans="1:7">
      <c r="A1087" t="s">
        <v>1098</v>
      </c>
      <c r="C1087">
        <v>265</v>
      </c>
      <c r="D1087">
        <v>542</v>
      </c>
      <c r="E1087">
        <v>739</v>
      </c>
      <c r="G1087">
        <v>1546</v>
      </c>
    </row>
    <row r="1088" spans="1:7">
      <c r="A1088" t="s">
        <v>353</v>
      </c>
      <c r="D1088">
        <v>91</v>
      </c>
      <c r="G1088">
        <v>91</v>
      </c>
    </row>
    <row r="1089" spans="1:7">
      <c r="A1089" t="s">
        <v>418</v>
      </c>
      <c r="B1089">
        <v>1172</v>
      </c>
      <c r="G1089">
        <v>1172</v>
      </c>
    </row>
    <row r="1090" spans="1:7">
      <c r="A1090" t="s">
        <v>427</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500</v>
      </c>
      <c r="B1093">
        <v>2855</v>
      </c>
      <c r="C1093">
        <v>3343</v>
      </c>
      <c r="D1093">
        <v>931</v>
      </c>
      <c r="G1093">
        <v>7129</v>
      </c>
    </row>
    <row r="1094" spans="1:7">
      <c r="A1094" t="s">
        <v>503</v>
      </c>
      <c r="C1094">
        <v>1743</v>
      </c>
      <c r="D1094">
        <v>522</v>
      </c>
      <c r="E1094">
        <v>1194</v>
      </c>
      <c r="F1094">
        <v>2811</v>
      </c>
      <c r="G1094">
        <v>6270</v>
      </c>
    </row>
    <row r="1095" spans="1:7">
      <c r="A1095" t="s">
        <v>1101</v>
      </c>
    </row>
    <row r="1096" spans="1:7">
      <c r="A1096" t="s">
        <v>396</v>
      </c>
      <c r="C1096">
        <v>1640</v>
      </c>
      <c r="D1096">
        <v>1177</v>
      </c>
      <c r="G1096">
        <v>2817</v>
      </c>
    </row>
    <row r="1097" spans="1:7">
      <c r="A1097" t="s">
        <v>497</v>
      </c>
      <c r="C1097">
        <v>1980</v>
      </c>
      <c r="D1097">
        <v>1251</v>
      </c>
      <c r="E1097">
        <v>3172</v>
      </c>
      <c r="G1097">
        <v>6403</v>
      </c>
    </row>
    <row r="1098" spans="1:7">
      <c r="A1098" t="s">
        <v>339</v>
      </c>
      <c r="C1098">
        <v>1111</v>
      </c>
      <c r="D1098">
        <v>1373</v>
      </c>
      <c r="E1098">
        <v>1090</v>
      </c>
      <c r="F1098">
        <v>1204</v>
      </c>
      <c r="G1098">
        <v>4778</v>
      </c>
    </row>
    <row r="1099" spans="1:7">
      <c r="A1099" t="s">
        <v>415</v>
      </c>
      <c r="C1099">
        <v>1500</v>
      </c>
      <c r="D1099">
        <v>1084</v>
      </c>
      <c r="G1099">
        <v>2584</v>
      </c>
    </row>
    <row r="1100" spans="1:7">
      <c r="A1100" t="s">
        <v>399</v>
      </c>
      <c r="D1100">
        <v>817</v>
      </c>
      <c r="E1100">
        <v>1820</v>
      </c>
      <c r="G1100">
        <v>2637</v>
      </c>
    </row>
    <row r="1101" spans="1:7">
      <c r="A1101" t="s">
        <v>412</v>
      </c>
      <c r="E1101">
        <v>1351</v>
      </c>
      <c r="G1101">
        <v>1351</v>
      </c>
    </row>
    <row r="1102" spans="1:7">
      <c r="A1102" t="s">
        <v>313</v>
      </c>
      <c r="F1102">
        <v>1832</v>
      </c>
      <c r="G1102">
        <v>1832</v>
      </c>
    </row>
    <row r="1103" spans="1:7">
      <c r="A1103" t="s">
        <v>1024</v>
      </c>
      <c r="B1103">
        <v>8198</v>
      </c>
      <c r="C1103">
        <v>16287</v>
      </c>
      <c r="D1103">
        <v>9098</v>
      </c>
      <c r="E1103">
        <v>10383</v>
      </c>
      <c r="F1103">
        <v>7356</v>
      </c>
      <c r="G1103">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v>365</v>
      </c>
      <c r="C1108">
        <v>210</v>
      </c>
      <c r="F1108">
        <v>575</v>
      </c>
    </row>
    <row r="1109" spans="1:6">
      <c r="A1109" t="s">
        <v>99</v>
      </c>
      <c r="B1109">
        <v>735</v>
      </c>
      <c r="F1109">
        <v>735</v>
      </c>
    </row>
    <row r="1110" spans="1:6">
      <c r="A1110" t="s">
        <v>460</v>
      </c>
    </row>
    <row r="1111" spans="1:6">
      <c r="A1111" t="s">
        <v>483</v>
      </c>
    </row>
    <row r="1112" spans="1:6">
      <c r="A1112" t="s">
        <v>485</v>
      </c>
    </row>
    <row r="1113" spans="1:6">
      <c r="A1113" t="s">
        <v>579</v>
      </c>
    </row>
    <row r="1114" spans="1:6">
      <c r="A1114" t="s">
        <v>491</v>
      </c>
      <c r="B1114">
        <v>87</v>
      </c>
      <c r="F1114">
        <v>87</v>
      </c>
    </row>
    <row r="1115" spans="1:6">
      <c r="A1115" t="s">
        <v>1098</v>
      </c>
      <c r="B1115">
        <v>671</v>
      </c>
      <c r="C1115">
        <v>1204</v>
      </c>
      <c r="D1115">
        <v>1210</v>
      </c>
      <c r="E1115">
        <v>292</v>
      </c>
      <c r="F1115">
        <v>3377</v>
      </c>
    </row>
    <row r="1116" spans="1:6">
      <c r="A1116" t="s">
        <v>353</v>
      </c>
      <c r="D1116">
        <v>320</v>
      </c>
      <c r="F1116">
        <v>320</v>
      </c>
    </row>
    <row r="1117" spans="1:6">
      <c r="A1117" t="s">
        <v>418</v>
      </c>
      <c r="D1117">
        <v>163</v>
      </c>
      <c r="F1117">
        <v>163</v>
      </c>
    </row>
    <row r="1118" spans="1:6">
      <c r="A1118" t="s">
        <v>333</v>
      </c>
      <c r="D1118">
        <v>372</v>
      </c>
      <c r="F1118">
        <v>372</v>
      </c>
    </row>
    <row r="1119" spans="1:6">
      <c r="A1119" t="s">
        <v>1099</v>
      </c>
      <c r="B1119">
        <v>752</v>
      </c>
      <c r="C1119">
        <v>1249</v>
      </c>
      <c r="D1119">
        <v>235</v>
      </c>
      <c r="E1119">
        <v>563</v>
      </c>
      <c r="F1119">
        <v>2799</v>
      </c>
    </row>
    <row r="1120" spans="1:6">
      <c r="A1120" t="s">
        <v>503</v>
      </c>
      <c r="D1120">
        <v>1049</v>
      </c>
      <c r="F1120">
        <v>1049</v>
      </c>
    </row>
    <row r="1121" spans="1:6">
      <c r="A1121" t="s">
        <v>497</v>
      </c>
      <c r="B1121">
        <v>29</v>
      </c>
      <c r="F1121">
        <v>29</v>
      </c>
    </row>
    <row r="1122" spans="1:6">
      <c r="A1122" t="s">
        <v>415</v>
      </c>
    </row>
    <row r="1123" spans="1:6">
      <c r="A1123" t="s">
        <v>412</v>
      </c>
      <c r="B1123">
        <v>689</v>
      </c>
      <c r="C1123">
        <v>586</v>
      </c>
      <c r="D1123">
        <v>199</v>
      </c>
      <c r="F1123">
        <v>1474</v>
      </c>
    </row>
    <row r="1124" spans="1:6">
      <c r="A1124" t="s">
        <v>313</v>
      </c>
      <c r="C1124">
        <v>1164</v>
      </c>
      <c r="D1124">
        <v>308</v>
      </c>
      <c r="F1124">
        <v>1472</v>
      </c>
    </row>
    <row r="1125" spans="1:6">
      <c r="A1125" t="s">
        <v>410</v>
      </c>
      <c r="B1125">
        <v>1095</v>
      </c>
      <c r="C1125">
        <v>1676</v>
      </c>
      <c r="D1125">
        <v>1139</v>
      </c>
      <c r="F1125">
        <v>3910</v>
      </c>
    </row>
    <row r="1126" spans="1:6">
      <c r="A1126" t="s">
        <v>135</v>
      </c>
      <c r="B1126">
        <v>1344</v>
      </c>
      <c r="C1126">
        <v>1583</v>
      </c>
      <c r="D1126">
        <v>1027</v>
      </c>
      <c r="F1126">
        <v>3954</v>
      </c>
    </row>
    <row r="1127" spans="1:6">
      <c r="A1127" t="s">
        <v>238</v>
      </c>
      <c r="C1127">
        <v>890</v>
      </c>
      <c r="D1127">
        <v>1810</v>
      </c>
      <c r="F1127">
        <v>2700</v>
      </c>
    </row>
    <row r="1128" spans="1:6">
      <c r="A1128" t="s">
        <v>322</v>
      </c>
      <c r="B1128">
        <v>1511</v>
      </c>
      <c r="C1128">
        <v>1887</v>
      </c>
      <c r="D1128">
        <v>916</v>
      </c>
      <c r="F1128">
        <v>4314</v>
      </c>
    </row>
    <row r="1129" spans="1:6">
      <c r="A1129" t="s">
        <v>336</v>
      </c>
      <c r="C1129">
        <v>1617</v>
      </c>
      <c r="D1129">
        <v>1083</v>
      </c>
      <c r="F1129">
        <v>2700</v>
      </c>
    </row>
    <row r="1130" spans="1:6">
      <c r="A1130" t="s">
        <v>347</v>
      </c>
      <c r="D1130">
        <v>95</v>
      </c>
      <c r="F1130">
        <v>95</v>
      </c>
    </row>
    <row r="1131" spans="1:6">
      <c r="A1131" t="s">
        <v>342</v>
      </c>
    </row>
    <row r="1132" spans="1:6">
      <c r="A1132" t="s">
        <v>184</v>
      </c>
      <c r="E1132">
        <v>1568</v>
      </c>
      <c r="F1132">
        <v>1568</v>
      </c>
    </row>
    <row r="1133" spans="1:6">
      <c r="A1133" t="s">
        <v>1024</v>
      </c>
      <c r="B1133">
        <v>7278</v>
      </c>
      <c r="C1133">
        <v>12066</v>
      </c>
      <c r="D1133">
        <v>9926</v>
      </c>
      <c r="E1133">
        <v>2423</v>
      </c>
      <c r="F1133">
        <v>31693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5"/>
  <sheetViews>
    <sheetView workbookViewId="0">
      <pane ySplit="1" topLeftCell="A2340" activePane="bottomLeft" state="frozen"/>
      <selection pane="bottomLeft" activeCell="B2365" sqref="B2365:G236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0"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8" t="s">
        <v>135</v>
      </c>
      <c r="B2308" s="43" t="s">
        <v>136</v>
      </c>
      <c r="C2308" s="310">
        <v>46006</v>
      </c>
      <c r="D2308" s="155">
        <v>1344</v>
      </c>
      <c r="F2308" s="43" t="s">
        <v>1920</v>
      </c>
      <c r="G2308" t="s">
        <v>1851</v>
      </c>
    </row>
    <row r="2309" spans="1:7">
      <c r="A2309" s="1348"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1"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1"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59"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317" t="s">
        <v>1098</v>
      </c>
      <c r="B2346" s="306" t="s">
        <v>1718</v>
      </c>
      <c r="C2346" s="56">
        <v>46009</v>
      </c>
      <c r="D2346" s="43">
        <v>292</v>
      </c>
      <c r="E2346" s="201"/>
      <c r="F2346" s="115" t="s">
        <v>1941</v>
      </c>
      <c r="G2346" t="s">
        <v>1851</v>
      </c>
    </row>
    <row r="2347" spans="1:7">
      <c r="A2347" s="317" t="s">
        <v>1098</v>
      </c>
      <c r="B2347" s="306" t="s">
        <v>1557</v>
      </c>
      <c r="C2347" s="56">
        <v>46009</v>
      </c>
      <c r="D2347" s="139"/>
      <c r="E2347" s="43"/>
      <c r="F2347" s="1361" t="s">
        <v>1911</v>
      </c>
      <c r="G2347" t="s">
        <v>1851</v>
      </c>
    </row>
    <row r="2348" spans="1:7">
      <c r="A2348" s="317" t="s">
        <v>1098</v>
      </c>
      <c r="B2348" s="306" t="s">
        <v>1471</v>
      </c>
      <c r="C2348" s="56">
        <v>46009</v>
      </c>
      <c r="D2348" s="139"/>
      <c r="E2348" s="155">
        <v>1506</v>
      </c>
      <c r="F2348" s="1372"/>
      <c r="G2348" t="s">
        <v>1851</v>
      </c>
    </row>
    <row r="2349" spans="1:7">
      <c r="A2349" s="317" t="s">
        <v>99</v>
      </c>
      <c r="B2349" s="306" t="s">
        <v>1647</v>
      </c>
      <c r="C2349" s="56">
        <v>46009</v>
      </c>
      <c r="D2349" s="139"/>
      <c r="E2349" s="43"/>
      <c r="F2349" s="154" t="s">
        <v>1839</v>
      </c>
      <c r="G2349" t="s">
        <v>1851</v>
      </c>
    </row>
    <row r="2350" spans="1:7">
      <c r="A2350" s="317" t="s">
        <v>99</v>
      </c>
      <c r="B2350" s="141" t="s">
        <v>1557</v>
      </c>
      <c r="C2350" s="56">
        <v>46009</v>
      </c>
      <c r="D2350" s="139"/>
      <c r="E2350" s="43"/>
      <c r="F2350" s="154" t="s">
        <v>1839</v>
      </c>
      <c r="G2350" t="s">
        <v>1851</v>
      </c>
    </row>
    <row r="2351" spans="1:7">
      <c r="A2351" s="317" t="s">
        <v>99</v>
      </c>
      <c r="B2351" s="305" t="s">
        <v>1718</v>
      </c>
      <c r="C2351" s="56">
        <v>46009</v>
      </c>
      <c r="D2351" s="139"/>
      <c r="E2351" s="43"/>
      <c r="F2351" s="154" t="s">
        <v>1839</v>
      </c>
      <c r="G2351" t="s">
        <v>1851</v>
      </c>
    </row>
    <row r="2352" spans="1:7">
      <c r="A2352" s="318" t="s">
        <v>1099</v>
      </c>
      <c r="B2352" s="387" t="s">
        <v>220</v>
      </c>
      <c r="C2352" s="56">
        <v>46009</v>
      </c>
      <c r="D2352" s="43">
        <v>563</v>
      </c>
      <c r="E2352" s="253"/>
      <c r="F2352" s="169" t="s">
        <v>1913</v>
      </c>
      <c r="G2352" t="s">
        <v>1851</v>
      </c>
    </row>
    <row r="2353" spans="1:7">
      <c r="A2353" s="1362" t="s">
        <v>412</v>
      </c>
      <c r="B2353" s="307" t="s">
        <v>161</v>
      </c>
      <c r="C2353" s="56">
        <v>46009</v>
      </c>
      <c r="F2353" s="304" t="s">
        <v>1763</v>
      </c>
      <c r="G2353" t="s">
        <v>1851</v>
      </c>
    </row>
    <row r="2354" spans="1:7">
      <c r="A2354" s="803" t="s">
        <v>135</v>
      </c>
      <c r="B2354" s="346" t="s">
        <v>136</v>
      </c>
      <c r="C2354" s="56">
        <v>46009</v>
      </c>
      <c r="G2354" t="s">
        <v>1851</v>
      </c>
    </row>
    <row r="2355" spans="1:7">
      <c r="A2355" s="349" t="s">
        <v>415</v>
      </c>
      <c r="B2355" s="387" t="s">
        <v>161</v>
      </c>
      <c r="C2355" s="56">
        <v>46009</v>
      </c>
      <c r="F2355" s="304" t="s">
        <v>1763</v>
      </c>
      <c r="G2355" t="s">
        <v>1851</v>
      </c>
    </row>
    <row r="2356" spans="1:7">
      <c r="A2356" s="349" t="s">
        <v>418</v>
      </c>
      <c r="B2356" s="307" t="s">
        <v>161</v>
      </c>
      <c r="C2356" s="56">
        <v>46009</v>
      </c>
      <c r="F2356" s="304" t="s">
        <v>1763</v>
      </c>
      <c r="G2356" t="s">
        <v>1851</v>
      </c>
    </row>
    <row r="2357" spans="1:7">
      <c r="A2357" s="348" t="s">
        <v>184</v>
      </c>
      <c r="B2357" s="346" t="s">
        <v>136</v>
      </c>
      <c r="C2357" s="56">
        <v>46009</v>
      </c>
      <c r="D2357" s="155">
        <v>1568</v>
      </c>
      <c r="G2357" t="s">
        <v>1851</v>
      </c>
    </row>
    <row r="2358" spans="1:7">
      <c r="A2358" s="306" t="s">
        <v>238</v>
      </c>
      <c r="B2358" s="306" t="s">
        <v>239</v>
      </c>
      <c r="C2358" s="56">
        <v>46009</v>
      </c>
      <c r="G2358" t="s">
        <v>1851</v>
      </c>
    </row>
    <row r="2359" spans="1:7">
      <c r="A2359" s="141" t="s">
        <v>313</v>
      </c>
      <c r="B2359" s="306" t="s">
        <v>1471</v>
      </c>
      <c r="C2359" s="56">
        <v>46009</v>
      </c>
      <c r="G2359" t="s">
        <v>1851</v>
      </c>
    </row>
    <row r="2360" spans="1:7">
      <c r="A2360" s="305" t="s">
        <v>322</v>
      </c>
      <c r="B2360" s="141" t="s">
        <v>1691</v>
      </c>
      <c r="C2360" s="56">
        <v>46009</v>
      </c>
      <c r="G2360" t="s">
        <v>1851</v>
      </c>
    </row>
    <row r="2361" spans="1:7">
      <c r="A2361" s="141" t="s">
        <v>353</v>
      </c>
      <c r="B2361" s="141" t="s">
        <v>136</v>
      </c>
      <c r="C2361" s="56">
        <v>46009</v>
      </c>
      <c r="G2361" t="s">
        <v>1851</v>
      </c>
    </row>
    <row r="2362" spans="1:7">
      <c r="A2362" s="305" t="s">
        <v>336</v>
      </c>
      <c r="B2362" s="305" t="s">
        <v>136</v>
      </c>
      <c r="C2362" s="56">
        <v>46009</v>
      </c>
      <c r="G2362" t="s">
        <v>1851</v>
      </c>
    </row>
    <row r="2363" spans="1:7">
      <c r="A2363" s="141" t="s">
        <v>347</v>
      </c>
      <c r="B2363" s="306" t="s">
        <v>136</v>
      </c>
      <c r="C2363" s="56">
        <v>46009</v>
      </c>
      <c r="G2363" t="s">
        <v>1851</v>
      </c>
    </row>
    <row r="2364" spans="1:7">
      <c r="A2364" s="304" t="s">
        <v>342</v>
      </c>
      <c r="B2364" s="306" t="s">
        <v>136</v>
      </c>
      <c r="C2364" s="56">
        <v>46009</v>
      </c>
      <c r="G2364" t="s">
        <v>1851</v>
      </c>
    </row>
    <row r="2365" spans="1:7">
      <c r="A2365" s="247" t="s">
        <v>483</v>
      </c>
      <c r="B2365" s="306" t="s">
        <v>136</v>
      </c>
      <c r="C2365" s="56">
        <v>46009</v>
      </c>
      <c r="F2365" s="311" t="s">
        <v>1942</v>
      </c>
      <c r="G2365"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630</v>
      </c>
      <c r="AB3" s="68" t="s">
        <v>48</v>
      </c>
    </row>
    <row r="4" spans="1:30" ht="24.75" customHeight="1" thickBot="1">
      <c r="A4" s="440" t="s">
        <v>1951</v>
      </c>
      <c r="B4" s="440" t="s">
        <v>1952</v>
      </c>
      <c r="C4" s="16">
        <v>45717</v>
      </c>
      <c r="D4" s="63" t="s">
        <v>1953</v>
      </c>
      <c r="E4" s="51">
        <v>45707</v>
      </c>
      <c r="F4" s="51" t="s">
        <v>226</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226</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226</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1961</v>
      </c>
      <c r="B8" s="440" t="s">
        <v>1962</v>
      </c>
      <c r="C8" s="16">
        <v>45748</v>
      </c>
      <c r="D8" s="16" t="s">
        <v>1953</v>
      </c>
      <c r="E8" s="94" t="s">
        <v>52</v>
      </c>
      <c r="F8" s="95" t="s">
        <v>52</v>
      </c>
      <c r="G8" s="620" t="s">
        <v>1963</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1050</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1176</v>
      </c>
      <c r="V1" s="160" t="s">
        <v>2012</v>
      </c>
      <c r="W1" s="160" t="s">
        <v>2013</v>
      </c>
      <c r="X1" s="163" t="s">
        <v>2014</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2015</v>
      </c>
      <c r="B4" s="407" t="s">
        <v>225</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2017</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2017</v>
      </c>
      <c r="S7" s="43" t="s">
        <v>363</v>
      </c>
      <c r="T7" s="43" t="s">
        <v>363</v>
      </c>
      <c r="U7" s="43" t="s">
        <v>363</v>
      </c>
      <c r="V7" s="69" t="s">
        <v>90</v>
      </c>
      <c r="W7" s="30"/>
      <c r="X7" s="69" t="s">
        <v>90</v>
      </c>
      <c r="Y7" t="e">
        <f>VLOOKUP(A7,#REF!,2,FALSE)</f>
        <v>#REF!</v>
      </c>
    </row>
    <row r="8" spans="1:25">
      <c r="A8" s="175" t="s">
        <v>532</v>
      </c>
      <c r="B8" s="180" t="s">
        <v>225</v>
      </c>
      <c r="C8" s="176">
        <v>45742</v>
      </c>
      <c r="D8" s="185" t="s">
        <v>2018</v>
      </c>
      <c r="E8" s="120"/>
      <c r="F8" s="108"/>
      <c r="G8" s="108"/>
      <c r="H8" s="179">
        <v>84</v>
      </c>
      <c r="I8" s="181"/>
      <c r="J8" s="185" t="s">
        <v>57</v>
      </c>
      <c r="K8" s="185" t="s">
        <v>57</v>
      </c>
      <c r="L8" s="185" t="s">
        <v>63</v>
      </c>
      <c r="M8" s="193">
        <v>45716</v>
      </c>
      <c r="N8" s="30" t="s">
        <v>363</v>
      </c>
      <c r="O8" s="30" t="s">
        <v>363</v>
      </c>
      <c r="P8" s="711" t="s">
        <v>363</v>
      </c>
      <c r="Q8" s="69" t="s">
        <v>363</v>
      </c>
      <c r="R8" s="43" t="s">
        <v>2017</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2017</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2017</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2017</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2017</v>
      </c>
      <c r="S12" s="43" t="s">
        <v>363</v>
      </c>
      <c r="T12" s="43" t="s">
        <v>363</v>
      </c>
      <c r="U12" s="69" t="s">
        <v>90</v>
      </c>
      <c r="V12" s="69" t="s">
        <v>90</v>
      </c>
      <c r="W12" s="30"/>
      <c r="X12" s="69" t="s">
        <v>90</v>
      </c>
      <c r="Y12" t="e">
        <f>VLOOKUP(A12,#REF!,2,FALSE)</f>
        <v>#REF!</v>
      </c>
    </row>
    <row r="13" spans="1:25">
      <c r="A13" s="178" t="s">
        <v>291</v>
      </c>
      <c r="B13" s="180" t="s">
        <v>225</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2020</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2021</v>
      </c>
      <c r="N16" s="30" t="s">
        <v>363</v>
      </c>
      <c r="O16" s="54" t="s">
        <v>2021</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2020</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2020</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2020</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2020</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2020</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2020</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2020</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2017</v>
      </c>
      <c r="S31" s="43" t="s">
        <v>363</v>
      </c>
      <c r="T31" s="139" t="s">
        <v>363</v>
      </c>
      <c r="U31" s="115" t="s">
        <v>363</v>
      </c>
      <c r="V31" s="69" t="s">
        <v>363</v>
      </c>
      <c r="W31" s="54">
        <v>45779</v>
      </c>
      <c r="X31" s="69" t="s">
        <v>2020</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2017</v>
      </c>
      <c r="S32" s="43" t="s">
        <v>363</v>
      </c>
      <c r="T32" s="139" t="s">
        <v>363</v>
      </c>
      <c r="U32" s="43" t="s">
        <v>363</v>
      </c>
      <c r="V32" s="69" t="s">
        <v>363</v>
      </c>
      <c r="W32" s="54">
        <v>45792</v>
      </c>
      <c r="X32" s="69" t="s">
        <v>2020</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2017</v>
      </c>
      <c r="S33" s="43" t="s">
        <v>363</v>
      </c>
      <c r="T33" s="139" t="s">
        <v>363</v>
      </c>
      <c r="U33" s="43" t="s">
        <v>363</v>
      </c>
      <c r="V33" s="334" t="s">
        <v>363</v>
      </c>
      <c r="W33" s="54">
        <v>45812</v>
      </c>
      <c r="X33" s="69" t="s">
        <v>2020</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2017</v>
      </c>
      <c r="S34" s="43" t="s">
        <v>363</v>
      </c>
      <c r="T34" s="139" t="s">
        <v>363</v>
      </c>
      <c r="U34" s="43" t="s">
        <v>363</v>
      </c>
      <c r="V34" s="404" t="s">
        <v>363</v>
      </c>
      <c r="W34" s="166">
        <v>45797</v>
      </c>
      <c r="X34" s="69" t="s">
        <v>2020</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2017</v>
      </c>
      <c r="S35" s="43" t="s">
        <v>363</v>
      </c>
      <c r="T35" s="139" t="s">
        <v>363</v>
      </c>
      <c r="U35" s="169" t="s">
        <v>363</v>
      </c>
      <c r="V35" s="69" t="s">
        <v>363</v>
      </c>
      <c r="W35" s="54">
        <v>45789</v>
      </c>
      <c r="X35" s="334" t="s">
        <v>2020</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2017</v>
      </c>
      <c r="S36" s="43" t="s">
        <v>363</v>
      </c>
      <c r="T36" s="139" t="s">
        <v>363</v>
      </c>
      <c r="U36" s="43" t="s">
        <v>363</v>
      </c>
      <c r="V36" s="69" t="s">
        <v>363</v>
      </c>
      <c r="W36" s="54">
        <v>45824</v>
      </c>
      <c r="X36" s="334" t="s">
        <v>2020</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2017</v>
      </c>
      <c r="S37" s="43" t="s">
        <v>363</v>
      </c>
      <c r="T37" s="43" t="s">
        <v>363</v>
      </c>
      <c r="U37" s="169" t="s">
        <v>363</v>
      </c>
      <c r="V37" s="69" t="s">
        <v>363</v>
      </c>
      <c r="W37" s="156">
        <v>45789</v>
      </c>
      <c r="X37" s="69" t="s">
        <v>2020</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2017</v>
      </c>
      <c r="S38" s="43" t="s">
        <v>363</v>
      </c>
      <c r="T38" s="43" t="s">
        <v>363</v>
      </c>
      <c r="U38" s="169" t="s">
        <v>363</v>
      </c>
      <c r="V38" s="69" t="s">
        <v>363</v>
      </c>
      <c r="W38" s="54">
        <v>45789</v>
      </c>
      <c r="X38" s="69" t="s">
        <v>2020</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2017</v>
      </c>
      <c r="S39" s="43" t="s">
        <v>363</v>
      </c>
      <c r="T39" s="43" t="s">
        <v>363</v>
      </c>
      <c r="U39" s="169" t="s">
        <v>363</v>
      </c>
      <c r="V39" s="69" t="s">
        <v>363</v>
      </c>
      <c r="W39" s="54">
        <v>45789</v>
      </c>
      <c r="X39" s="69" t="s">
        <v>2020</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2020</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2020</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2020</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2020</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2020</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2020</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2020</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2020</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2020</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2020</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2020</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2020</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2017</v>
      </c>
      <c r="S57" s="43" t="s">
        <v>363</v>
      </c>
      <c r="T57" s="43" t="s">
        <v>363</v>
      </c>
      <c r="U57" s="43" t="s">
        <v>363</v>
      </c>
      <c r="V57" s="69" t="s">
        <v>363</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2017</v>
      </c>
      <c r="S58" s="43" t="s">
        <v>363</v>
      </c>
      <c r="T58" s="43" t="s">
        <v>363</v>
      </c>
      <c r="U58" s="43" t="s">
        <v>363</v>
      </c>
      <c r="V58" s="334" t="s">
        <v>363</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1999</v>
      </c>
      <c r="P59" s="328" t="s">
        <v>363</v>
      </c>
      <c r="Q59" s="43" t="s">
        <v>363</v>
      </c>
      <c r="R59" s="43" t="s">
        <v>2017</v>
      </c>
      <c r="S59" s="43" t="s">
        <v>363</v>
      </c>
      <c r="T59" s="43" t="s">
        <v>363</v>
      </c>
      <c r="U59" s="43" t="s">
        <v>363</v>
      </c>
      <c r="V59" s="334" t="s">
        <v>363</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2017</v>
      </c>
      <c r="S60" s="43" t="s">
        <v>363</v>
      </c>
      <c r="T60" s="43" t="s">
        <v>363</v>
      </c>
      <c r="U60" s="43" t="s">
        <v>363</v>
      </c>
      <c r="V60" s="334" t="s">
        <v>363</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2017</v>
      </c>
      <c r="S81" s="43" t="s">
        <v>363</v>
      </c>
      <c r="T81" s="43" t="s">
        <v>363</v>
      </c>
      <c r="U81" s="115" t="s">
        <v>363</v>
      </c>
      <c r="V81" s="69" t="s">
        <v>363</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2017</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2017</v>
      </c>
      <c r="S84" s="169" t="s">
        <v>363</v>
      </c>
      <c r="T84" s="169" t="s">
        <v>363</v>
      </c>
      <c r="U84" s="91" t="s">
        <v>363</v>
      </c>
      <c r="V84" s="69" t="s">
        <v>363</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2017</v>
      </c>
      <c r="S85" s="169" t="s">
        <v>363</v>
      </c>
      <c r="T85" s="169" t="s">
        <v>363</v>
      </c>
      <c r="U85" s="91" t="s">
        <v>363</v>
      </c>
      <c r="V85" s="91" t="s">
        <v>363</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2017</v>
      </c>
      <c r="S86" s="43" t="s">
        <v>363</v>
      </c>
      <c r="T86" s="43" t="s">
        <v>363</v>
      </c>
      <c r="U86" s="69" t="s">
        <v>363</v>
      </c>
      <c r="V86" s="69" t="s">
        <v>363</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2017</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2017</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2017</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2017</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2017</v>
      </c>
      <c r="S91" s="69" t="s">
        <v>363</v>
      </c>
      <c r="T91" s="69" t="s">
        <v>363</v>
      </c>
      <c r="U91" s="69" t="s">
        <v>363</v>
      </c>
      <c r="V91" s="69" t="s">
        <v>363</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2017</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2017</v>
      </c>
      <c r="S93" s="43" t="s">
        <v>363</v>
      </c>
      <c r="T93" s="43" t="s">
        <v>363</v>
      </c>
      <c r="U93" s="334" t="s">
        <v>363</v>
      </c>
      <c r="V93" s="69" t="s">
        <v>363</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2017</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2017</v>
      </c>
      <c r="S95" s="69" t="s">
        <v>363</v>
      </c>
      <c r="T95" s="43" t="s">
        <v>363</v>
      </c>
      <c r="U95" s="69" t="s">
        <v>363</v>
      </c>
      <c r="V95" s="69" t="s">
        <v>363</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2017</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2017</v>
      </c>
      <c r="S97" s="69" t="s">
        <v>363</v>
      </c>
      <c r="T97" s="69" t="s">
        <v>363</v>
      </c>
      <c r="U97" s="69" t="s">
        <v>363</v>
      </c>
      <c r="V97" s="43" t="s">
        <v>363</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2017</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2017</v>
      </c>
      <c r="S99" s="43" t="s">
        <v>363</v>
      </c>
      <c r="T99" s="115" t="s">
        <v>363</v>
      </c>
      <c r="U99" s="148" t="s">
        <v>363</v>
      </c>
      <c r="V99" s="69" t="s">
        <v>363</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2017</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2017</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2017</v>
      </c>
      <c r="S102" s="43" t="s">
        <v>363</v>
      </c>
      <c r="T102" s="43" t="s">
        <v>363</v>
      </c>
      <c r="U102" s="43" t="s">
        <v>363</v>
      </c>
      <c r="V102" s="165" t="s">
        <v>363</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2017</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2017</v>
      </c>
      <c r="S104" s="43" t="s">
        <v>363</v>
      </c>
      <c r="T104" s="43" t="s">
        <v>363</v>
      </c>
      <c r="U104" s="43" t="s">
        <v>363</v>
      </c>
      <c r="V104" s="139" t="s">
        <v>363</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2017</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2017</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2017</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2017</v>
      </c>
      <c r="S108" s="43" t="s">
        <v>363</v>
      </c>
      <c r="T108" s="43" t="s">
        <v>363</v>
      </c>
      <c r="U108" s="88" t="s">
        <v>363</v>
      </c>
      <c r="V108" s="481" t="s">
        <v>363</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2017</v>
      </c>
      <c r="S109" s="43" t="s">
        <v>363</v>
      </c>
      <c r="T109" s="43" t="s">
        <v>363</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2017</v>
      </c>
      <c r="S110" s="43" t="s">
        <v>363</v>
      </c>
      <c r="T110" s="43" t="s">
        <v>363</v>
      </c>
      <c r="U110" s="88" t="s">
        <v>363</v>
      </c>
      <c r="V110" s="481" t="s">
        <v>363</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2017</v>
      </c>
      <c r="S111" s="43" t="s">
        <v>363</v>
      </c>
      <c r="T111" s="43" t="s">
        <v>363</v>
      </c>
      <c r="U111" s="43" t="s">
        <v>363</v>
      </c>
      <c r="V111" s="201" t="s">
        <v>363</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2017</v>
      </c>
      <c r="S112" s="43" t="s">
        <v>363</v>
      </c>
      <c r="T112" s="43" t="s">
        <v>363</v>
      </c>
      <c r="U112" s="43" t="s">
        <v>363</v>
      </c>
      <c r="V112" s="201" t="s">
        <v>363</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2017</v>
      </c>
      <c r="S113" s="115" t="s">
        <v>363</v>
      </c>
      <c r="T113" s="43" t="s">
        <v>363</v>
      </c>
      <c r="U113" s="43" t="s">
        <v>363</v>
      </c>
      <c r="V113" s="201" t="s">
        <v>363</v>
      </c>
      <c r="W113" s="479">
        <v>45791</v>
      </c>
      <c r="X113" s="148" t="s">
        <v>2020</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2017</v>
      </c>
      <c r="S114" s="115" t="s">
        <v>363</v>
      </c>
      <c r="T114" s="43" t="s">
        <v>363</v>
      </c>
      <c r="U114" s="157" t="s">
        <v>363</v>
      </c>
      <c r="V114" s="201" t="s">
        <v>363</v>
      </c>
      <c r="W114" s="54">
        <v>45798</v>
      </c>
      <c r="X114" s="69" t="s">
        <v>2020</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2017</v>
      </c>
      <c r="S115" s="43" t="s">
        <v>363</v>
      </c>
      <c r="T115" s="43" t="s">
        <v>363</v>
      </c>
      <c r="U115" s="43" t="s">
        <v>363</v>
      </c>
      <c r="V115" s="88" t="s">
        <v>363</v>
      </c>
      <c r="W115" s="54">
        <v>45814</v>
      </c>
      <c r="X115" s="69" t="s">
        <v>2020</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2017</v>
      </c>
      <c r="S116" s="43" t="s">
        <v>363</v>
      </c>
      <c r="T116" s="43" t="s">
        <v>363</v>
      </c>
      <c r="U116" s="43" t="s">
        <v>363</v>
      </c>
      <c r="V116" s="481" t="s">
        <v>363</v>
      </c>
      <c r="W116" s="54">
        <v>45807</v>
      </c>
      <c r="X116" s="69" t="s">
        <v>2020</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2017</v>
      </c>
      <c r="S117" s="43" t="s">
        <v>363</v>
      </c>
      <c r="T117" s="43" t="s">
        <v>363</v>
      </c>
      <c r="U117" s="43" t="s">
        <v>363</v>
      </c>
      <c r="V117" s="88" t="s">
        <v>363</v>
      </c>
      <c r="W117" s="54">
        <v>45811</v>
      </c>
      <c r="X117" s="69" t="s">
        <v>2020</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2017</v>
      </c>
      <c r="S118" s="43" t="s">
        <v>363</v>
      </c>
      <c r="T118" s="43" t="s">
        <v>363</v>
      </c>
      <c r="U118" s="157" t="s">
        <v>363</v>
      </c>
      <c r="V118" s="88" t="s">
        <v>363</v>
      </c>
      <c r="W118" s="54">
        <v>45810</v>
      </c>
      <c r="X118" s="69" t="s">
        <v>2020</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2017</v>
      </c>
      <c r="S119" s="43" t="s">
        <v>363</v>
      </c>
      <c r="T119" s="43" t="s">
        <v>363</v>
      </c>
      <c r="U119" s="157" t="s">
        <v>363</v>
      </c>
      <c r="V119" s="88" t="s">
        <v>363</v>
      </c>
      <c r="W119" s="54">
        <v>45813</v>
      </c>
      <c r="X119" s="69" t="s">
        <v>2020</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2017</v>
      </c>
      <c r="S120" s="43" t="s">
        <v>363</v>
      </c>
      <c r="T120" s="43" t="s">
        <v>363</v>
      </c>
      <c r="U120" s="43" t="s">
        <v>363</v>
      </c>
      <c r="V120" s="88" t="s">
        <v>363</v>
      </c>
      <c r="W120" s="54">
        <v>45811</v>
      </c>
      <c r="X120" s="69" t="s">
        <v>2020</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2017</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2017</v>
      </c>
      <c r="S122" s="43" t="s">
        <v>363</v>
      </c>
      <c r="T122" s="43" t="s">
        <v>363</v>
      </c>
      <c r="U122" s="157" t="s">
        <v>363</v>
      </c>
      <c r="V122" s="157" t="s">
        <v>363</v>
      </c>
      <c r="W122" s="54">
        <v>45789</v>
      </c>
      <c r="X122" s="69" t="s">
        <v>2020</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2017</v>
      </c>
      <c r="S123" s="43" t="s">
        <v>363</v>
      </c>
      <c r="T123" s="43" t="s">
        <v>363</v>
      </c>
      <c r="U123" s="43" t="s">
        <v>363</v>
      </c>
      <c r="V123" s="69" t="s">
        <v>363</v>
      </c>
      <c r="W123" s="54">
        <v>45811</v>
      </c>
      <c r="X123" s="69" t="s">
        <v>2020</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2017</v>
      </c>
      <c r="S124" s="43" t="s">
        <v>363</v>
      </c>
      <c r="T124" s="43" t="s">
        <v>363</v>
      </c>
      <c r="U124" s="43" t="s">
        <v>2023</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2017</v>
      </c>
      <c r="S125" s="43" t="s">
        <v>363</v>
      </c>
      <c r="T125" s="43" t="s">
        <v>363</v>
      </c>
      <c r="U125" s="43" t="s">
        <v>363</v>
      </c>
      <c r="V125" s="43" t="s">
        <v>363</v>
      </c>
      <c r="W125" s="54">
        <v>45814</v>
      </c>
      <c r="X125" s="69" t="s">
        <v>2020</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2017</v>
      </c>
      <c r="S126" s="43" t="s">
        <v>363</v>
      </c>
      <c r="T126" s="43" t="s">
        <v>363</v>
      </c>
      <c r="U126" s="43" t="s">
        <v>363</v>
      </c>
      <c r="V126" s="88" t="s">
        <v>363</v>
      </c>
      <c r="W126" s="54">
        <v>45819</v>
      </c>
      <c r="X126" s="69" t="s">
        <v>2020</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2017</v>
      </c>
      <c r="S127" s="43" t="s">
        <v>363</v>
      </c>
      <c r="T127" s="43" t="s">
        <v>363</v>
      </c>
      <c r="U127" s="43" t="s">
        <v>363</v>
      </c>
      <c r="V127" s="88" t="s">
        <v>363</v>
      </c>
      <c r="W127" s="54">
        <v>45812</v>
      </c>
      <c r="X127" s="69" t="s">
        <v>2020</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2017</v>
      </c>
      <c r="S128" s="43" t="s">
        <v>363</v>
      </c>
      <c r="T128" s="43" t="s">
        <v>363</v>
      </c>
      <c r="U128" s="43" t="s">
        <v>363</v>
      </c>
      <c r="V128" s="88" t="s">
        <v>363</v>
      </c>
      <c r="W128" s="166">
        <v>45883</v>
      </c>
      <c r="X128" s="69" t="s">
        <v>2020</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2017</v>
      </c>
      <c r="S129" s="43" t="s">
        <v>363</v>
      </c>
      <c r="T129" s="115" t="s">
        <v>363</v>
      </c>
      <c r="U129" s="115" t="s">
        <v>363</v>
      </c>
      <c r="V129" s="88" t="s">
        <v>363</v>
      </c>
      <c r="W129" s="166">
        <v>45814</v>
      </c>
      <c r="X129" s="69" t="s">
        <v>2020</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2017</v>
      </c>
      <c r="S130" s="43" t="s">
        <v>363</v>
      </c>
      <c r="T130" s="43" t="s">
        <v>363</v>
      </c>
      <c r="U130" s="43" t="s">
        <v>363</v>
      </c>
      <c r="V130" s="88" t="s">
        <v>363</v>
      </c>
      <c r="W130" s="54">
        <v>45798</v>
      </c>
      <c r="X130" s="69" t="s">
        <v>2020</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2017</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2017</v>
      </c>
      <c r="S132" s="43" t="s">
        <v>363</v>
      </c>
      <c r="T132" s="43" t="s">
        <v>363</v>
      </c>
      <c r="U132" s="43" t="s">
        <v>363</v>
      </c>
      <c r="V132" s="43" t="s">
        <v>363</v>
      </c>
      <c r="W132" s="54">
        <v>45820</v>
      </c>
      <c r="X132" s="69" t="s">
        <v>2020</v>
      </c>
      <c r="Y132" t="e">
        <f>VLOOKUP(A132,#REF!,2,FALSE)</f>
        <v>#REF!</v>
      </c>
    </row>
    <row r="133" spans="1:25" ht="15" customHeight="1">
      <c r="A133" s="358" t="s">
        <v>853</v>
      </c>
      <c r="B133" s="406" t="s">
        <v>50</v>
      </c>
      <c r="C133" s="367">
        <v>45742</v>
      </c>
      <c r="D133" s="419" t="s">
        <v>2024</v>
      </c>
      <c r="E133" s="361"/>
      <c r="F133" s="361"/>
      <c r="G133" s="361"/>
      <c r="H133" s="361">
        <v>38</v>
      </c>
      <c r="I133" s="360"/>
      <c r="J133" s="361" t="s">
        <v>57</v>
      </c>
      <c r="K133" s="361" t="s">
        <v>57</v>
      </c>
      <c r="L133" s="361" t="s">
        <v>63</v>
      </c>
      <c r="M133" s="49" t="s">
        <v>363</v>
      </c>
      <c r="N133" s="49" t="s">
        <v>363</v>
      </c>
      <c r="O133" s="54">
        <v>45701</v>
      </c>
      <c r="P133" s="30" t="s">
        <v>363</v>
      </c>
      <c r="Q133" s="69" t="s">
        <v>363</v>
      </c>
      <c r="R133" s="43" t="s">
        <v>2017</v>
      </c>
      <c r="S133" s="43" t="s">
        <v>363</v>
      </c>
      <c r="T133" s="43" t="s">
        <v>363</v>
      </c>
      <c r="U133" s="43" t="s">
        <v>363</v>
      </c>
      <c r="V133" s="69" t="s">
        <v>363</v>
      </c>
      <c r="W133" s="54">
        <v>45821</v>
      </c>
      <c r="X133" s="69" t="s">
        <v>2020</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2017</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2017</v>
      </c>
      <c r="S135" s="43" t="s">
        <v>363</v>
      </c>
      <c r="T135" s="43" t="s">
        <v>363</v>
      </c>
      <c r="U135" s="157" t="s">
        <v>363</v>
      </c>
      <c r="V135" s="43" t="s">
        <v>363</v>
      </c>
      <c r="W135" s="54">
        <v>45819</v>
      </c>
      <c r="X135" s="69" t="s">
        <v>2020</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2017</v>
      </c>
      <c r="S136" s="43" t="s">
        <v>363</v>
      </c>
      <c r="T136" s="43" t="s">
        <v>363</v>
      </c>
      <c r="U136" s="43" t="s">
        <v>363</v>
      </c>
      <c r="V136" s="43" t="s">
        <v>363</v>
      </c>
      <c r="W136" s="54">
        <v>45791</v>
      </c>
      <c r="X136" s="69" t="s">
        <v>2020</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2017</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2017</v>
      </c>
      <c r="S138" s="43" t="s">
        <v>363</v>
      </c>
      <c r="T138" s="43" t="s">
        <v>363</v>
      </c>
      <c r="U138" s="43" t="s">
        <v>363</v>
      </c>
      <c r="V138" s="43" t="s">
        <v>363</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363</v>
      </c>
      <c r="N139" s="30" t="s">
        <v>363</v>
      </c>
      <c r="O139" s="30" t="s">
        <v>363</v>
      </c>
      <c r="P139" s="30" t="s">
        <v>363</v>
      </c>
      <c r="Q139" s="43" t="s">
        <v>363</v>
      </c>
      <c r="R139" s="43" t="s">
        <v>2017</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2017</v>
      </c>
      <c r="S140" s="43" t="s">
        <v>363</v>
      </c>
      <c r="T140" s="43" t="s">
        <v>363</v>
      </c>
      <c r="U140" s="88" t="s">
        <v>363</v>
      </c>
      <c r="V140" s="69" t="s">
        <v>363</v>
      </c>
      <c r="W140" s="54">
        <v>45819</v>
      </c>
      <c r="X140" s="69" t="s">
        <v>2020</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2017</v>
      </c>
      <c r="S141" s="43" t="s">
        <v>363</v>
      </c>
      <c r="T141" s="43" t="s">
        <v>363</v>
      </c>
      <c r="U141" s="88" t="s">
        <v>363</v>
      </c>
      <c r="V141" s="88" t="s">
        <v>363</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363</v>
      </c>
      <c r="N142" s="49" t="s">
        <v>363</v>
      </c>
      <c r="O142" s="195">
        <v>45691</v>
      </c>
      <c r="P142" s="30" t="s">
        <v>363</v>
      </c>
      <c r="Q142" s="69" t="s">
        <v>363</v>
      </c>
      <c r="R142" s="43" t="s">
        <v>2017</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2017</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2020</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2017</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2017</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2017</v>
      </c>
      <c r="S153" s="43" t="s">
        <v>363</v>
      </c>
      <c r="T153" s="157" t="s">
        <v>363</v>
      </c>
      <c r="U153" s="157" t="s">
        <v>363</v>
      </c>
      <c r="V153" s="43" t="s">
        <v>363</v>
      </c>
      <c r="W153" s="54">
        <v>45807</v>
      </c>
      <c r="X153" s="69" t="s">
        <v>2020</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2017</v>
      </c>
      <c r="S154" s="43" t="s">
        <v>363</v>
      </c>
      <c r="T154" s="157" t="s">
        <v>363</v>
      </c>
      <c r="U154" s="157" t="s">
        <v>363</v>
      </c>
      <c r="V154" s="43" t="s">
        <v>363</v>
      </c>
      <c r="W154" s="166">
        <v>45792</v>
      </c>
      <c r="X154" s="148" t="s">
        <v>2020</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2017</v>
      </c>
      <c r="S155" s="43" t="s">
        <v>363</v>
      </c>
      <c r="T155" s="43" t="s">
        <v>363</v>
      </c>
      <c r="U155" s="157" t="s">
        <v>363</v>
      </c>
      <c r="V155" s="43" t="s">
        <v>363</v>
      </c>
      <c r="W155" s="356">
        <v>45821</v>
      </c>
      <c r="X155" s="69" t="s">
        <v>2020</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2017</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2017</v>
      </c>
      <c r="S158" s="43" t="s">
        <v>363</v>
      </c>
      <c r="T158" s="43" t="s">
        <v>363</v>
      </c>
      <c r="U158" s="157" t="s">
        <v>363</v>
      </c>
      <c r="V158" s="157" t="s">
        <v>363</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2020</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2020</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2020</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2020</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2030</v>
      </c>
      <c r="C1" s="1367"/>
      <c r="D1" s="558"/>
      <c r="E1" s="1367" t="s">
        <v>2031</v>
      </c>
      <c r="F1" s="1367"/>
    </row>
    <row r="2" spans="1:25">
      <c r="B2" s="44" t="s">
        <v>2032</v>
      </c>
      <c r="E2" s="44" t="s">
        <v>22</v>
      </c>
      <c r="F2" t="s">
        <v>1021</v>
      </c>
      <c r="P2" s="44" t="s">
        <v>27</v>
      </c>
      <c r="Q2" t="s">
        <v>2033</v>
      </c>
    </row>
    <row r="3" spans="1:25">
      <c r="B3" s="44" t="s">
        <v>22</v>
      </c>
      <c r="C3" t="s">
        <v>1027</v>
      </c>
      <c r="K3" s="44" t="s">
        <v>2034</v>
      </c>
      <c r="L3" t="s">
        <v>2035</v>
      </c>
      <c r="P3" s="44" t="s">
        <v>2034</v>
      </c>
      <c r="Q3" t="s">
        <v>2035</v>
      </c>
    </row>
    <row r="4" spans="1:25">
      <c r="B4" t="s">
        <v>136</v>
      </c>
      <c r="C4">
        <v>92365</v>
      </c>
      <c r="E4" s="44" t="s">
        <v>2032</v>
      </c>
      <c r="F4" t="s">
        <v>1027</v>
      </c>
      <c r="W4" t="s">
        <v>2036</v>
      </c>
      <c r="X4">
        <v>22</v>
      </c>
    </row>
    <row r="5" spans="1:25">
      <c r="B5" t="s">
        <v>71</v>
      </c>
      <c r="C5">
        <v>25486</v>
      </c>
      <c r="E5" t="s">
        <v>1027</v>
      </c>
      <c r="F5">
        <v>143854</v>
      </c>
      <c r="K5" s="44" t="s">
        <v>2037</v>
      </c>
      <c r="P5" s="44" t="s">
        <v>2037</v>
      </c>
      <c r="W5" t="s">
        <v>2038</v>
      </c>
      <c r="X5">
        <v>13</v>
      </c>
    </row>
    <row r="6" spans="1:25">
      <c r="B6" t="s">
        <v>100</v>
      </c>
      <c r="C6">
        <v>20635</v>
      </c>
      <c r="K6" s="44" t="s">
        <v>27</v>
      </c>
      <c r="L6" s="44" t="s">
        <v>2039</v>
      </c>
      <c r="M6" t="s">
        <v>1027</v>
      </c>
      <c r="P6" s="44" t="s">
        <v>2040</v>
      </c>
      <c r="Q6" s="44" t="s">
        <v>2039</v>
      </c>
      <c r="R6" t="s">
        <v>1027</v>
      </c>
    </row>
    <row r="7" spans="1:25">
      <c r="B7" t="s">
        <v>1054</v>
      </c>
      <c r="C7">
        <v>224648</v>
      </c>
      <c r="K7" t="s">
        <v>2033</v>
      </c>
      <c r="L7" t="s">
        <v>639</v>
      </c>
      <c r="M7">
        <v>1</v>
      </c>
      <c r="P7" t="s">
        <v>2041</v>
      </c>
      <c r="R7">
        <v>1</v>
      </c>
      <c r="X7" t="s">
        <v>2042</v>
      </c>
      <c r="Y7" t="s">
        <v>2043</v>
      </c>
    </row>
    <row r="8" spans="1:25">
      <c r="B8" t="s">
        <v>51</v>
      </c>
      <c r="C8">
        <v>446</v>
      </c>
      <c r="L8" t="s">
        <v>641</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239</v>
      </c>
      <c r="C10">
        <v>7128</v>
      </c>
      <c r="L10" t="s">
        <v>797</v>
      </c>
      <c r="M10">
        <v>1</v>
      </c>
      <c r="Q10" t="s">
        <v>801</v>
      </c>
      <c r="R10">
        <v>1</v>
      </c>
    </row>
    <row r="11" spans="1:25">
      <c r="B11" t="s">
        <v>250</v>
      </c>
      <c r="C11">
        <v>23241</v>
      </c>
      <c r="L11" t="s">
        <v>801</v>
      </c>
      <c r="M11">
        <v>1</v>
      </c>
      <c r="Q11" t="s">
        <v>804</v>
      </c>
      <c r="R11">
        <v>1</v>
      </c>
    </row>
    <row r="12" spans="1:25">
      <c r="B12" t="s">
        <v>216</v>
      </c>
      <c r="C12">
        <v>103</v>
      </c>
      <c r="L12" t="s">
        <v>804</v>
      </c>
      <c r="M12">
        <v>1</v>
      </c>
      <c r="Q12" t="s">
        <v>2049</v>
      </c>
      <c r="R12">
        <v>1</v>
      </c>
    </row>
    <row r="13" spans="1:25">
      <c r="B13" t="s">
        <v>220</v>
      </c>
      <c r="C13">
        <v>10187</v>
      </c>
      <c r="L13" t="s">
        <v>2050</v>
      </c>
      <c r="M13">
        <v>1</v>
      </c>
      <c r="Q13" t="s">
        <v>976</v>
      </c>
      <c r="R13">
        <v>1</v>
      </c>
    </row>
    <row r="14" spans="1:25">
      <c r="B14" t="s">
        <v>161</v>
      </c>
      <c r="C14">
        <v>5368</v>
      </c>
      <c r="L14" t="s">
        <v>818</v>
      </c>
      <c r="M14">
        <v>1</v>
      </c>
      <c r="P14" t="s">
        <v>2051</v>
      </c>
      <c r="R14">
        <v>5</v>
      </c>
    </row>
    <row r="15" spans="1:25">
      <c r="B15" t="s">
        <v>188</v>
      </c>
      <c r="C15">
        <v>3</v>
      </c>
      <c r="L15" t="s">
        <v>2049</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109</v>
      </c>
      <c r="C20">
        <v>9181</v>
      </c>
      <c r="L20" t="s">
        <v>834</v>
      </c>
      <c r="M20">
        <v>1</v>
      </c>
    </row>
    <row r="21" spans="2:13">
      <c r="B21" t="s">
        <v>292</v>
      </c>
      <c r="C21">
        <v>8622</v>
      </c>
      <c r="L21" t="s">
        <v>2052</v>
      </c>
      <c r="M21">
        <v>1</v>
      </c>
    </row>
    <row r="22" spans="2:13">
      <c r="B22" t="s">
        <v>236</v>
      </c>
      <c r="C22">
        <v>0</v>
      </c>
      <c r="L22" t="s">
        <v>976</v>
      </c>
      <c r="M22">
        <v>1</v>
      </c>
    </row>
    <row r="23" spans="2:13">
      <c r="B23" t="s">
        <v>1024</v>
      </c>
      <c r="C23">
        <v>442056</v>
      </c>
      <c r="L23" t="s">
        <v>866</v>
      </c>
      <c r="M23">
        <v>1</v>
      </c>
    </row>
    <row r="24" spans="2:13">
      <c r="L24" t="s">
        <v>887</v>
      </c>
      <c r="M24">
        <v>1</v>
      </c>
    </row>
    <row r="25" spans="2:13">
      <c r="L25" t="s">
        <v>182</v>
      </c>
      <c r="M25">
        <v>1</v>
      </c>
    </row>
    <row r="26" spans="2:13">
      <c r="K26" t="s">
        <v>2053</v>
      </c>
      <c r="M26">
        <v>19</v>
      </c>
    </row>
    <row r="27" spans="2:13">
      <c r="K27" t="s">
        <v>2054</v>
      </c>
      <c r="L27" t="s">
        <v>812</v>
      </c>
      <c r="M27">
        <v>1</v>
      </c>
    </row>
    <row r="28" spans="2:13">
      <c r="L28" t="s">
        <v>814</v>
      </c>
      <c r="M28">
        <v>1</v>
      </c>
    </row>
    <row r="29" spans="2:13">
      <c r="L29" t="s">
        <v>816</v>
      </c>
      <c r="M29">
        <v>1</v>
      </c>
    </row>
    <row r="30" spans="2:13">
      <c r="L30" t="s">
        <v>832</v>
      </c>
      <c r="M30">
        <v>1</v>
      </c>
    </row>
    <row r="31" spans="2:13">
      <c r="L31" t="s">
        <v>836</v>
      </c>
      <c r="M31">
        <v>1</v>
      </c>
    </row>
    <row r="32" spans="2:13">
      <c r="L32" t="s">
        <v>2055</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2056</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2057</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630</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1051</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1068</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1076</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1053</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513</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1048</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1074</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509</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1052</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887</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866</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869</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812</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814</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797</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801</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804</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976</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832</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836</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824</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818</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820</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816</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826</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830</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834</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516</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639</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641</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182</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690</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684</v>
      </c>
      <c r="B49" s="102" t="s">
        <v>116</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682</v>
      </c>
      <c r="B50" s="102" t="s">
        <v>116</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688</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664</v>
      </c>
      <c r="B52" s="102" t="s">
        <v>116</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666</v>
      </c>
      <c r="B53" s="102" t="s">
        <v>116</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662</v>
      </c>
      <c r="B54" s="102" t="s">
        <v>116</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712</v>
      </c>
      <c r="B55" s="102" t="s">
        <v>116</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133</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116</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662</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664</v>
      </c>
      <c r="B59" s="102" t="s">
        <v>116</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666</v>
      </c>
      <c r="B60" s="102" t="s">
        <v>116</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1027</v>
      </c>
      <c r="B73" s="301">
        <f>SUM(B70:B72)</f>
        <v>0</v>
      </c>
      <c r="C73" s="279"/>
    </row>
    <row r="80" spans="1:25">
      <c r="A80" t="s">
        <v>2085</v>
      </c>
    </row>
    <row r="81" spans="1:1">
      <c r="A81" t="s">
        <v>2086</v>
      </c>
    </row>
    <row r="82" spans="1:1">
      <c r="A82" t="s">
        <v>2071</v>
      </c>
    </row>
    <row r="83" spans="1:1">
      <c r="A83" t="s">
        <v>2087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4335A7D-C958-4AF6-B701-9961FBF73B8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2025-12-18T22:35:02Z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