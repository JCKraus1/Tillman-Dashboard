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9" documentId="8_{E14B221E-02E2-46A3-8CEC-C736815F2DD5}" xr6:coauthVersionLast="47" xr6:coauthVersionMax="47" xr10:uidLastSave="{3C5150CE-C62C-4AC4-96F3-097735B9DAC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4714" r:id="rId12"/>
    <pivotCache cacheId="4715" r:id="rId13"/>
    <pivotCache cacheId="4716" r:id="rId14"/>
    <pivotCache cacheId="4717" r:id="rId15"/>
    <pivotCache cacheId="47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<sst xmlns="http://schemas.openxmlformats.org/spreadsheetml/2006/main" count="16276" uniqueCount="2105">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</sst>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AC33" activePane="topRight" state="frozen"/>
      <selection pane="topRight" activeCell="AD52" sqref="AD5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199</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199</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199</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170</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170</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170</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170</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170</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170</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170</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170</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170</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170</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170</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170</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170</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170</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170</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170</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167</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170</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170</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170</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170</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170</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170</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170</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170</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170</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170</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170</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170</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170</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170</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170</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170</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170</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170</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170</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199</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199</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199</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199</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199</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199</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199</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199</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199</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170</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170</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170</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170</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934</v>
      </c>
      <c r="B122" s="374" t="s">
        <v>111</v>
      </c>
      <c r="C122" s="51">
        <v>45930</v>
      </c>
      <c r="D122" s="375" t="s">
        <v>131</v>
      </c>
      <c r="E122" s="649">
        <v>45910</v>
      </c>
      <c r="F122" s="649" t="s">
        <v>170</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170</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199</v>
      </c>
      <c r="E125" s="51">
        <v>45887</v>
      </c>
      <c r="F125" s="381" t="s">
        <v>170</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170</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199</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199</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199</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199</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199</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165</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165</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F1119">
        <v>582</v>
      </c>
      <c r="G1119">
        <v>954</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1105</v>
      </c>
    </row>
    <row r="1136" spans="1:7">
      <c r="A1136" t="s">
        <v>1027</v>
      </c>
      <c r="B1136">
        <v>7278</v>
      </c>
      <c r="C1136">
        <v>12066</v>
      </c>
      <c r="D1136">
        <v>9926</v>
      </c>
      <c r="E1136">
        <v>14444</v>
      </c>
      <c r="F1136">
        <v>7098</v>
      </c>
      <c r="G1136">
        <v>50812</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c r="B1144">
        <v>154</v>
      </c>
      <c r="C1144">
        <v>154</v>
      </c>
    </row>
    <row r="1145" spans="1:3">
      <c r="A1145" t="s">
        <v>130</v>
      </c>
      <c r="B1145">
        <v>342</v>
      </c>
      <c r="C1145">
        <v>342</v>
      </c>
    </row>
    <row r="1146" spans="1:3">
      <c r="A1146" t="s">
        <v>492</v>
      </c>
    </row>
    <row r="1147" spans="1:3">
      <c r="A1147" t="s">
        <v>339</v>
      </c>
    </row>
    <row r="1148" spans="1:3">
      <c r="A1148" t="s">
        <v>333</v>
      </c>
    </row>
    <row r="1149" spans="1:3">
      <c r="A1149" t="s">
        <v>182</v>
      </c>
      <c r="B1149">
        <v>380</v>
      </c>
      <c r="C1149">
        <v>380</v>
      </c>
    </row>
    <row r="1150" spans="1:3">
      <c r="A1150" t="s">
        <v>202</v>
      </c>
      <c r="B1150">
        <v>523</v>
      </c>
      <c r="C1150">
        <v>523</v>
      </c>
    </row>
    <row r="1151" spans="1:3">
      <c r="A1151" t="s">
        <v>1027</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199</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199</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199</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199</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199</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199</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199</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199</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199</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199</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199</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199</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199</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199</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199</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199</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199</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199</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199</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199</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199</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199</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199</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199</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199</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199</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199</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199</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199</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199</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199</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199</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199</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199</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199</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199</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199</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199</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199</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199</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199</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199</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199</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199</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199</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199</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199</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199</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199</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199</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199</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199</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199</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199</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199</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199</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199</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199</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199</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199</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199</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199</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199</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199</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199</v>
      </c>
      <c r="C1216" s="56">
        <v>45812</v>
      </c>
      <c r="D1216" s="43">
        <v>83</v>
      </c>
      <c r="G1216" t="s">
        <v>1484</v>
      </c>
    </row>
    <row r="1217" spans="1:7">
      <c r="A1217" s="304" t="s">
        <v>507</v>
      </c>
      <c r="B1217" s="304" t="s">
        <v>199</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199</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199</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199</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199</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199</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199</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199</v>
      </c>
      <c r="C1289" s="56">
        <v>45834</v>
      </c>
      <c r="F1289" s="316" t="s">
        <v>1510</v>
      </c>
      <c r="G1289" t="s">
        <v>1484</v>
      </c>
    </row>
    <row r="1290" spans="1:7">
      <c r="A1290" s="349" t="s">
        <v>760</v>
      </c>
      <c r="B1290" s="307" t="s">
        <v>199</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199</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199</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199</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199</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199</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199</v>
      </c>
      <c r="C1391" s="56">
        <v>45866</v>
      </c>
      <c r="D1391" s="155">
        <v>1181</v>
      </c>
      <c r="G1391" t="s">
        <v>1517</v>
      </c>
    </row>
    <row r="1392" spans="1:7">
      <c r="A1392" s="123" t="s">
        <v>533</v>
      </c>
      <c r="B1392" s="157" t="s">
        <v>371</v>
      </c>
      <c r="C1392" s="56">
        <v>45866</v>
      </c>
      <c r="D1392" s="43">
        <v>345</v>
      </c>
      <c r="G1392" t="s">
        <v>1517</v>
      </c>
    </row>
    <row r="1393" spans="1:7">
      <c r="A1393" s="618" t="s">
        <v>656</v>
      </c>
      <c r="B1393" s="69" t="s">
        <v>199</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199</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199</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199</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199</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199</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199</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199</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199</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199</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199</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199</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199</v>
      </c>
      <c r="C1566" s="56">
        <v>45911</v>
      </c>
      <c r="D1566" s="43">
        <v>279</v>
      </c>
      <c r="F1566" s="43" t="s">
        <v>1617</v>
      </c>
      <c r="G1566" t="s">
        <v>1594</v>
      </c>
    </row>
    <row r="1567" spans="1:7">
      <c r="A1567" s="88" t="s">
        <v>1079</v>
      </c>
      <c r="B1567" s="398" t="s">
        <v>199</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199</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165</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165</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165</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165</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165</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199</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199</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199</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199</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199</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199</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199</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199</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199</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199</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199</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199</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199</v>
      </c>
      <c r="C2355" s="56">
        <v>46009</v>
      </c>
      <c r="F2355" s="304" t="s">
        <v>1767</v>
      </c>
      <c r="G2355" t="s">
        <v>1855</v>
      </c>
    </row>
    <row r="2356" spans="1:7">
      <c r="A2356" s="349" t="s">
        <v>406</v>
      </c>
      <c r="B2356" s="307" t="s">
        <v>199</v>
      </c>
      <c r="C2356" s="56">
        <v>46009</v>
      </c>
      <c r="F2356" s="304" t="s">
        <v>1767</v>
      </c>
      <c r="G2356" t="s">
        <v>1855</v>
      </c>
    </row>
    <row r="2357" spans="1:7">
      <c r="A2357" s="348" t="s">
        <v>182</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199</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199</v>
      </c>
      <c r="C2376" s="310">
        <v>46010</v>
      </c>
      <c r="E2376" s="139">
        <v>765</v>
      </c>
      <c r="G2376" t="s">
        <v>1855</v>
      </c>
    </row>
    <row r="2377" spans="1:7">
      <c r="A2377" s="141" t="s">
        <v>406</v>
      </c>
      <c r="B2377" s="141" t="s">
        <v>199</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182</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170</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2047</v>
      </c>
      <c r="C1" s="1370"/>
      <c r="D1" s="558"/>
      <c r="E1" s="1370" t="s">
        <v>2048</v>
      </c>
      <c r="F1" s="1370"/>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v>81486</v>
      </c>
      <c r="E4" s="44" t="s">
        <v>2049</v>
      </c>
      <c r="F4" t="s">
        <v>1030</v>
      </c>
      <c r="W4" t="s">
        <v>2053</v>
      </c>
      <c r="X4">
        <v>22</v>
      </c>
    </row>
    <row r="5" spans="1:25">
      <c r="B5" t="s">
        <v>71</v>
      </c>
      <c r="C5">
        <v>25486</v>
      </c>
      <c r="E5" t="s">
        <v>1030</v>
      </c>
      <c r="F5">
        <v>112340</v>
      </c>
      <c r="K5" s="44" t="s">
        <v>2054</v>
      </c>
      <c r="P5" s="44" t="s">
        <v>2054</v>
      </c>
      <c r="W5" t="s">
        <v>2055</v>
      </c>
      <c r="X5">
        <v>13</v>
      </c>
    </row>
    <row r="6" spans="1:25">
      <c r="B6" t="s">
        <v>1057</v>
      </c>
      <c r="C6">
        <v>224648</v>
      </c>
      <c r="K6" s="44" t="s">
        <v>27</v>
      </c>
      <c r="L6" s="44" t="s">
        <v>2056</v>
      </c>
      <c r="M6" t="s">
        <v>1030</v>
      </c>
      <c r="P6" s="44" t="s">
        <v>2057</v>
      </c>
      <c r="Q6" s="44" t="s">
        <v>2056</v>
      </c>
      <c r="R6" t="s">
        <v>1030</v>
      </c>
    </row>
    <row r="7" spans="1:25">
      <c r="B7" t="s">
        <v>51</v>
      </c>
      <c r="C7">
        <v>446</v>
      </c>
      <c r="K7" t="s">
        <v>2050</v>
      </c>
      <c r="L7" t="s">
        <v>642</v>
      </c>
      <c r="M7">
        <v>1</v>
      </c>
      <c r="P7" t="s">
        <v>2058</v>
      </c>
      <c r="R7">
        <v>1</v>
      </c>
      <c r="X7" t="s">
        <v>2059</v>
      </c>
      <c r="Y7" t="s">
        <v>2060</v>
      </c>
    </row>
    <row r="8" spans="1:25">
      <c r="B8" t="s">
        <v>22</v>
      </c>
      <c r="C8">
        <v>0</v>
      </c>
      <c r="L8" t="s">
        <v>644</v>
      </c>
      <c r="M8">
        <v>1</v>
      </c>
      <c r="P8" t="s">
        <v>2061</v>
      </c>
      <c r="R8">
        <v>1</v>
      </c>
      <c r="V8" t="s">
        <v>2062</v>
      </c>
      <c r="W8" s="257">
        <v>203521</v>
      </c>
      <c r="X8" s="313">
        <f>X5/X4</f>
        <v>0.59090909090909094</v>
      </c>
      <c r="Y8" s="313">
        <f>W9/W8</f>
        <v>0.31446386367991508</v>
      </c>
    </row>
    <row r="9" spans="1:25">
      <c r="B9" t="s">
        <v>232</v>
      </c>
      <c r="C9">
        <v>7128</v>
      </c>
      <c r="L9" t="s">
        <v>2063</v>
      </c>
      <c r="M9">
        <v>1</v>
      </c>
      <c r="P9" t="s">
        <v>2064</v>
      </c>
      <c r="Q9" t="s">
        <v>2063</v>
      </c>
      <c r="R9">
        <v>1</v>
      </c>
      <c r="V9" t="s">
        <v>2065</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199</v>
      </c>
      <c r="C12">
        <v>5368</v>
      </c>
      <c r="L12" t="s">
        <v>807</v>
      </c>
      <c r="M12">
        <v>1</v>
      </c>
      <c r="Q12" t="s">
        <v>2066</v>
      </c>
      <c r="R12">
        <v>1</v>
      </c>
    </row>
    <row r="13" spans="1:25">
      <c r="B13" t="s">
        <v>186</v>
      </c>
      <c r="C13">
        <v>3</v>
      </c>
      <c r="L13" t="s">
        <v>2067</v>
      </c>
      <c r="M13">
        <v>1</v>
      </c>
      <c r="Q13" t="s">
        <v>979</v>
      </c>
      <c r="R13">
        <v>1</v>
      </c>
    </row>
    <row r="14" spans="1:25">
      <c r="B14" t="s">
        <v>67</v>
      </c>
      <c r="C14">
        <v>3796</v>
      </c>
      <c r="L14" t="s">
        <v>821</v>
      </c>
      <c r="M14">
        <v>1</v>
      </c>
      <c r="P14" t="s">
        <v>2068</v>
      </c>
      <c r="R14">
        <v>5</v>
      </c>
    </row>
    <row r="15" spans="1:25">
      <c r="B15" t="s">
        <v>60</v>
      </c>
      <c r="C15">
        <v>6182</v>
      </c>
      <c r="L15" t="s">
        <v>2066</v>
      </c>
      <c r="M15">
        <v>1</v>
      </c>
      <c r="P15" t="s">
        <v>1057</v>
      </c>
      <c r="R15">
        <v>12</v>
      </c>
    </row>
    <row r="16" spans="1:25">
      <c r="B16" t="s">
        <v>78</v>
      </c>
      <c r="C16">
        <v>3834</v>
      </c>
      <c r="L16" t="s">
        <v>823</v>
      </c>
      <c r="M16">
        <v>1</v>
      </c>
      <c r="P16" t="s">
        <v>1027</v>
      </c>
      <c r="R16">
        <v>19</v>
      </c>
    </row>
    <row r="17" spans="2:13">
      <c r="B17" t="s">
        <v>82</v>
      </c>
      <c r="C17">
        <v>831</v>
      </c>
      <c r="L17" t="s">
        <v>827</v>
      </c>
      <c r="M17">
        <v>1</v>
      </c>
    </row>
    <row r="18" spans="2:13">
      <c r="B18" t="s">
        <v>104</v>
      </c>
      <c r="C18">
        <v>9181</v>
      </c>
      <c r="L18" t="s">
        <v>829</v>
      </c>
      <c r="M18">
        <v>1</v>
      </c>
    </row>
    <row r="19" spans="2:13">
      <c r="B19" t="s">
        <v>285</v>
      </c>
      <c r="C19">
        <v>8622</v>
      </c>
      <c r="L19" t="s">
        <v>833</v>
      </c>
      <c r="M19">
        <v>1</v>
      </c>
    </row>
    <row r="20" spans="2:13">
      <c r="B20" t="s">
        <v>229</v>
      </c>
      <c r="C20">
        <v>0</v>
      </c>
      <c r="L20" t="s">
        <v>837</v>
      </c>
      <c r="M20">
        <v>1</v>
      </c>
    </row>
    <row r="21" spans="2:13">
      <c r="B21" t="s">
        <v>1027</v>
      </c>
      <c r="C21">
        <v>400355</v>
      </c>
      <c r="L21" t="s">
        <v>2069</v>
      </c>
      <c r="M21">
        <v>1</v>
      </c>
    </row>
    <row r="22" spans="2:13">
      <c r="L22" t="s">
        <v>979</v>
      </c>
      <c r="M22">
        <v>1</v>
      </c>
    </row>
    <row r="23" spans="2:13">
      <c r="L23" t="s">
        <v>869</v>
      </c>
      <c r="M23">
        <v>1</v>
      </c>
    </row>
    <row r="24" spans="2:13">
      <c r="L24" t="s">
        <v>890</v>
      </c>
      <c r="M24">
        <v>1</v>
      </c>
    </row>
    <row r="25" spans="2:13">
      <c r="L25" t="s">
        <v>180</v>
      </c>
      <c r="M25">
        <v>1</v>
      </c>
    </row>
    <row r="26" spans="2:13">
      <c r="K26" t="s">
        <v>2070</v>
      </c>
      <c r="M26">
        <v>19</v>
      </c>
    </row>
    <row r="27" spans="2:13">
      <c r="K27" t="s">
        <v>2071</v>
      </c>
      <c r="L27" t="s">
        <v>815</v>
      </c>
      <c r="M27">
        <v>1</v>
      </c>
    </row>
    <row r="28" spans="2:13">
      <c r="L28" t="s">
        <v>817</v>
      </c>
      <c r="M28">
        <v>1</v>
      </c>
    </row>
    <row r="29" spans="2:13">
      <c r="L29" t="s">
        <v>819</v>
      </c>
      <c r="M29">
        <v>1</v>
      </c>
    </row>
    <row r="30" spans="2:13">
      <c r="L30" t="s">
        <v>835</v>
      </c>
      <c r="M30">
        <v>1</v>
      </c>
    </row>
    <row r="31" spans="2:13">
      <c r="L31" t="s">
        <v>839</v>
      </c>
      <c r="M31">
        <v>1</v>
      </c>
    </row>
    <row r="32" spans="2:13">
      <c r="L32" t="s">
        <v>2072</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2073</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2074</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180</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7AFE7A7-8ECE-4A16-83E8-0D7EA1B637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2025-12-23T12:12:10Z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